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workbookPr filterPrivacy="1" defaultThemeVersion="124226"/>
  <bookViews>
    <workbookView xWindow="13410" yWindow="3675" windowWidth="15390" windowHeight="9090"/>
  </bookViews>
  <sheets>
    <sheet name="Sheet1" sheetId="1" r:id="rId1"/>
    <sheet name="字段说明" sheetId="4" r:id="rId2"/>
    <sheet name="文本格式说明" sheetId="5" r:id="rId3"/>
    <sheet name="Sheet2" sheetId="6" r:id="rId4"/>
  </sheets>
  <definedNames>
    <definedName name="MmExcelLinker_FA1F8535_D8F5_4B54_A31A_A496410B3102">Sheet1!$A$357:$C$602</definedName>
  </definedNames>
  <calcPr calcId="145621"/>
</workbook>
</file>

<file path=xl/calcChain.xml><?xml version="1.0" encoding="utf-8"?>
<calcChain xmlns="http://schemas.openxmlformats.org/spreadsheetml/2006/main">
  <c r="AM1252" i="1" l="1"/>
  <c r="AM1268" i="1"/>
  <c r="AM1269" i="1" l="1"/>
  <c r="AM1253" i="1"/>
  <c r="AF1898" i="1" l="1"/>
  <c r="AW1898" i="1" l="1"/>
  <c r="AV1898" i="1"/>
  <c r="AN1898" i="1"/>
  <c r="AF1445" i="1" l="1"/>
  <c r="AF1443" i="1" l="1"/>
  <c r="AM1341" i="1"/>
  <c r="AM1342" i="1"/>
  <c r="AM1343" i="1"/>
  <c r="AM1344" i="1"/>
  <c r="AM1345" i="1"/>
  <c r="AM1346" i="1"/>
  <c r="AM1347" i="1"/>
  <c r="AM1348" i="1"/>
  <c r="AM1349" i="1"/>
  <c r="AM1350" i="1"/>
  <c r="AM1351" i="1"/>
  <c r="AM1352" i="1"/>
  <c r="AM1353" i="1"/>
  <c r="AM1354" i="1"/>
  <c r="AM1355" i="1"/>
  <c r="AM1356" i="1"/>
  <c r="AM1357" i="1"/>
  <c r="AM1358" i="1"/>
  <c r="AM1359" i="1"/>
  <c r="AM1360" i="1"/>
  <c r="AM1424" i="1"/>
  <c r="AM1423" i="1"/>
  <c r="AM1422" i="1"/>
  <c r="AM1421" i="1"/>
  <c r="AM1420" i="1"/>
  <c r="AM1419" i="1"/>
  <c r="AM1418" i="1"/>
  <c r="AM1417" i="1"/>
  <c r="AM1416" i="1"/>
  <c r="AM1415" i="1"/>
  <c r="AW1422" i="1" l="1"/>
  <c r="AF1426" i="1"/>
  <c r="AF1425" i="1"/>
  <c r="AF1424" i="1"/>
  <c r="AF1423" i="1"/>
  <c r="AF1422" i="1"/>
  <c r="AF1421" i="1"/>
  <c r="AF1420" i="1"/>
  <c r="AF1419" i="1"/>
  <c r="AF1418" i="1"/>
  <c r="AF1417" i="1"/>
  <c r="AF1416" i="1"/>
  <c r="AF1415" i="1"/>
  <c r="AF1582" i="1" l="1"/>
  <c r="AF1581" i="1"/>
  <c r="AF1580" i="1"/>
  <c r="AW1342" i="1" l="1"/>
  <c r="AW1343" i="1"/>
  <c r="AW1344" i="1"/>
  <c r="AW1345" i="1"/>
  <c r="AW1346" i="1"/>
  <c r="AW1347" i="1"/>
  <c r="AW1348" i="1"/>
  <c r="AW1349" i="1"/>
  <c r="AW1350" i="1"/>
  <c r="AW1351" i="1"/>
  <c r="AW1352" i="1"/>
  <c r="AW1353" i="1"/>
  <c r="AW1354" i="1"/>
  <c r="AW1355" i="1"/>
  <c r="AW1356" i="1"/>
  <c r="AW1357" i="1"/>
  <c r="AW1358" i="1"/>
  <c r="AW1359" i="1"/>
  <c r="AW1360" i="1"/>
  <c r="AW1341"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299" i="1"/>
  <c r="AW1253" i="1"/>
  <c r="AW1269" i="1"/>
  <c r="AW1221" i="1"/>
  <c r="AW1222" i="1"/>
  <c r="AW1223" i="1"/>
  <c r="AW1224" i="1"/>
  <c r="AW1225" i="1"/>
  <c r="AW1226" i="1"/>
  <c r="AW1227" i="1"/>
  <c r="AW1228" i="1"/>
  <c r="AW1229" i="1"/>
  <c r="AW1230" i="1"/>
  <c r="AW1231" i="1"/>
  <c r="AW1232" i="1"/>
  <c r="AW1233" i="1"/>
  <c r="AW1234" i="1"/>
  <c r="AW1235" i="1"/>
  <c r="AW1236" i="1"/>
  <c r="AW1237" i="1"/>
  <c r="AW1220" i="1"/>
  <c r="AW1219" i="1"/>
  <c r="AW1218" i="1"/>
  <c r="AF1336" i="1"/>
  <c r="AF1335" i="1"/>
  <c r="AF1334" i="1"/>
  <c r="AF1328" i="1"/>
  <c r="AF1327" i="1"/>
  <c r="AF1326" i="1"/>
  <c r="AF1325" i="1"/>
  <c r="AF1324" i="1"/>
  <c r="AF1323" i="1"/>
  <c r="AF1322" i="1"/>
  <c r="AF1321" i="1"/>
  <c r="AF1320" i="1"/>
  <c r="AF1319" i="1"/>
  <c r="AF1318" i="1"/>
  <c r="AF1344" i="1"/>
  <c r="AF1345" i="1"/>
  <c r="AF1346" i="1"/>
  <c r="AF1347" i="1"/>
  <c r="AF1348" i="1"/>
  <c r="AF1349" i="1"/>
  <c r="AF1350" i="1"/>
  <c r="AF1351" i="1"/>
  <c r="AF1352" i="1"/>
  <c r="AF1353" i="1"/>
  <c r="AF1354" i="1"/>
  <c r="AF1355" i="1"/>
  <c r="AF1356" i="1"/>
  <c r="AF1357" i="1"/>
  <c r="AF1358" i="1"/>
  <c r="AF1359" i="1"/>
  <c r="AF1360" i="1"/>
  <c r="AF1343" i="1"/>
  <c r="AF1342" i="1"/>
  <c r="AF1341" i="1"/>
  <c r="AF1317" i="1"/>
  <c r="AF1316" i="1"/>
  <c r="AF1315" i="1"/>
  <c r="AF1312" i="1"/>
  <c r="AF1311" i="1"/>
  <c r="AF1310" i="1"/>
  <c r="AF1309" i="1"/>
  <c r="AF1308" i="1"/>
  <c r="AF1307" i="1"/>
  <c r="AF1306" i="1"/>
  <c r="AF1305" i="1"/>
  <c r="AF1304" i="1"/>
  <c r="AF1303" i="1"/>
  <c r="AF1302" i="1"/>
  <c r="AF1301" i="1"/>
  <c r="AF1300" i="1"/>
  <c r="AF1299" i="1"/>
  <c r="AF1222" i="1"/>
  <c r="AF1220" i="1"/>
  <c r="AF1221" i="1"/>
  <c r="AF1219" i="1"/>
  <c r="AF1223" i="1"/>
  <c r="AF1224" i="1"/>
  <c r="AF1225" i="1"/>
  <c r="AF1226" i="1"/>
  <c r="AF1227" i="1"/>
  <c r="AF1228" i="1"/>
  <c r="AF1229" i="1"/>
  <c r="AF1230" i="1"/>
  <c r="AF1237" i="1"/>
  <c r="AF1236" i="1"/>
  <c r="AF1235" i="1"/>
  <c r="AV1795" i="1" l="1"/>
  <c r="AF1412" i="1" l="1"/>
  <c r="AF1411" i="1"/>
  <c r="AF1410" i="1"/>
  <c r="AF1409" i="1"/>
  <c r="AF1413" i="1" l="1"/>
  <c r="AW1424" i="1" l="1"/>
  <c r="AV1424" i="1"/>
  <c r="AW1423" i="1"/>
  <c r="AV1423" i="1"/>
  <c r="AF1414" i="1" l="1"/>
  <c r="AW1414" i="1"/>
  <c r="AV1414" i="1"/>
  <c r="AW1413" i="1"/>
  <c r="AV1413" i="1"/>
  <c r="AW1412" i="1"/>
  <c r="AV1412" i="1"/>
  <c r="AW1417" i="1" l="1"/>
  <c r="AV1417" i="1"/>
  <c r="AV1419" i="1"/>
  <c r="AW1419" i="1"/>
  <c r="AW1420" i="1"/>
  <c r="AV1420" i="1"/>
  <c r="AW1418" i="1"/>
  <c r="AV1418" i="1"/>
  <c r="AW1411" i="1" l="1"/>
  <c r="AV1411" i="1"/>
  <c r="AV1794" i="1" l="1"/>
  <c r="AW1426" i="1" l="1"/>
  <c r="AV1426" i="1"/>
  <c r="AW1425" i="1" l="1"/>
  <c r="AW1427" i="1"/>
  <c r="AW1156" i="1"/>
  <c r="AW1429" i="1" l="1"/>
  <c r="AV1425" i="1"/>
  <c r="AW269" i="1" l="1"/>
  <c r="AW1421" i="1"/>
  <c r="AW1408" i="1"/>
  <c r="AV1422" i="1" l="1"/>
  <c r="AV1421" i="1"/>
  <c r="AW1416" i="1"/>
  <c r="AV1416" i="1"/>
  <c r="AW1415" i="1"/>
  <c r="AV1415" i="1"/>
  <c r="AW1410" i="1"/>
  <c r="AV1410" i="1"/>
  <c r="AW1409" i="1"/>
  <c r="AV1409" i="1"/>
  <c r="AW1163" i="1" l="1"/>
  <c r="AV1163" i="1"/>
  <c r="AV1497" i="1" l="1"/>
  <c r="AV1793" i="1" l="1"/>
  <c r="AV1792" i="1" l="1"/>
  <c r="AV1496" i="1" l="1"/>
  <c r="AV1498" i="1"/>
  <c r="AW1498" i="1"/>
  <c r="AW307" i="1" l="1"/>
  <c r="AW353" i="1" l="1"/>
  <c r="AW351" i="1"/>
  <c r="AW349" i="1"/>
  <c r="AW347" i="1"/>
  <c r="AW343" i="1"/>
  <c r="AW341" i="1"/>
  <c r="AW339" i="1"/>
  <c r="AW337" i="1"/>
  <c r="AW333" i="1"/>
  <c r="AW331" i="1"/>
  <c r="AW329" i="1"/>
  <c r="AW327" i="1"/>
  <c r="AW323" i="1"/>
  <c r="AW321" i="1"/>
  <c r="AW319" i="1"/>
  <c r="AW317" i="1"/>
  <c r="AW313" i="1"/>
  <c r="AW311" i="1"/>
  <c r="AW309" i="1"/>
  <c r="AW305" i="1"/>
  <c r="AW303" i="1"/>
  <c r="AW301" i="1"/>
  <c r="AW299" i="1"/>
  <c r="AW297" i="1"/>
  <c r="AW356" i="1"/>
  <c r="AV356" i="1"/>
  <c r="AW355" i="1"/>
  <c r="AV355" i="1"/>
  <c r="AW354" i="1"/>
  <c r="AV354" i="1"/>
  <c r="AV353" i="1"/>
  <c r="AW352" i="1"/>
  <c r="AV352" i="1"/>
  <c r="AV351" i="1"/>
  <c r="AW350" i="1"/>
  <c r="AV350" i="1"/>
  <c r="AV349" i="1"/>
  <c r="AW348" i="1"/>
  <c r="AV348" i="1"/>
  <c r="AV347" i="1"/>
  <c r="AW346" i="1"/>
  <c r="AV346" i="1"/>
  <c r="AW345" i="1"/>
  <c r="AV345" i="1"/>
  <c r="AW344" i="1"/>
  <c r="AV344" i="1"/>
  <c r="AV343" i="1"/>
  <c r="AW342" i="1"/>
  <c r="AV342" i="1"/>
  <c r="AV341" i="1"/>
  <c r="AW340" i="1"/>
  <c r="AV340" i="1"/>
  <c r="AV339" i="1"/>
  <c r="AW338" i="1"/>
  <c r="AV338" i="1"/>
  <c r="AV337" i="1"/>
  <c r="AW336" i="1"/>
  <c r="AV336" i="1"/>
  <c r="AW335" i="1"/>
  <c r="AV335" i="1"/>
  <c r="AW334" i="1"/>
  <c r="AV334" i="1"/>
  <c r="AV333" i="1"/>
  <c r="AW332" i="1"/>
  <c r="AV332" i="1"/>
  <c r="AV331" i="1"/>
  <c r="AW330" i="1"/>
  <c r="AV330" i="1"/>
  <c r="AV329" i="1"/>
  <c r="AW328" i="1"/>
  <c r="AV328" i="1"/>
  <c r="AV327" i="1"/>
  <c r="AW326" i="1"/>
  <c r="AV326" i="1"/>
  <c r="AW325" i="1"/>
  <c r="AV325" i="1"/>
  <c r="AW324" i="1"/>
  <c r="AV324" i="1"/>
  <c r="AV323" i="1"/>
  <c r="AW322" i="1"/>
  <c r="AV322" i="1"/>
  <c r="AV321" i="1"/>
  <c r="AW320" i="1"/>
  <c r="AV320" i="1"/>
  <c r="AV319" i="1"/>
  <c r="AW318" i="1"/>
  <c r="AV318" i="1"/>
  <c r="AV317" i="1"/>
  <c r="AW316" i="1"/>
  <c r="AV316" i="1"/>
  <c r="AW315" i="1"/>
  <c r="AV315" i="1"/>
  <c r="AW314" i="1"/>
  <c r="AV314" i="1"/>
  <c r="AV313" i="1"/>
  <c r="AW312" i="1"/>
  <c r="AV312" i="1"/>
  <c r="AV311" i="1"/>
  <c r="AW310" i="1"/>
  <c r="AV310" i="1"/>
  <c r="AV309" i="1"/>
  <c r="AW308" i="1"/>
  <c r="AV308" i="1"/>
  <c r="AV307" i="1"/>
  <c r="AW306" i="1"/>
  <c r="AV306" i="1"/>
  <c r="AV305" i="1"/>
  <c r="AW304" i="1"/>
  <c r="AV304" i="1"/>
  <c r="AV303" i="1"/>
  <c r="AW302" i="1"/>
  <c r="AV302" i="1"/>
  <c r="AV301" i="1"/>
  <c r="AW300" i="1"/>
  <c r="AV300" i="1"/>
  <c r="AV299" i="1"/>
  <c r="AW298" i="1"/>
  <c r="AV298" i="1"/>
  <c r="AV297" i="1"/>
  <c r="AW296" i="1"/>
  <c r="AV296" i="1"/>
  <c r="AF1432" i="1" l="1"/>
  <c r="AF1431" i="1"/>
  <c r="AF1429" i="1"/>
  <c r="AK1432" i="1"/>
  <c r="AK1431" i="1"/>
  <c r="AK1429" i="1"/>
  <c r="AK1428" i="1"/>
  <c r="AF1428" i="1"/>
  <c r="D92" i="6" l="1"/>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2" i="6"/>
  <c r="AW295" i="1" l="1"/>
  <c r="AV295" i="1"/>
  <c r="AW294" i="1"/>
  <c r="AV294" i="1"/>
  <c r="AW293" i="1"/>
  <c r="AV293" i="1"/>
  <c r="AW292" i="1"/>
  <c r="AV292" i="1"/>
  <c r="AW291" i="1"/>
  <c r="AV291" i="1"/>
  <c r="AW290" i="1"/>
  <c r="AV290" i="1"/>
  <c r="AW289" i="1"/>
  <c r="AV289" i="1"/>
  <c r="AW288" i="1"/>
  <c r="AV288" i="1"/>
  <c r="AW287" i="1"/>
  <c r="AV287" i="1"/>
  <c r="AW286" i="1"/>
  <c r="AV286" i="1"/>
  <c r="AW285" i="1"/>
  <c r="AV285" i="1"/>
  <c r="AW284" i="1"/>
  <c r="AV284" i="1"/>
  <c r="AW283" i="1"/>
  <c r="AV283" i="1"/>
  <c r="AW282" i="1"/>
  <c r="AV282" i="1"/>
  <c r="AW281" i="1"/>
  <c r="AV281" i="1"/>
  <c r="AW280" i="1"/>
  <c r="AV280" i="1"/>
  <c r="AW279" i="1"/>
  <c r="AV279" i="1"/>
  <c r="AW278" i="1"/>
  <c r="AV278" i="1"/>
  <c r="AW277" i="1"/>
  <c r="AV277" i="1"/>
  <c r="AW276" i="1"/>
  <c r="AV276" i="1"/>
  <c r="AW275" i="1"/>
  <c r="AV275" i="1"/>
  <c r="AW274" i="1"/>
  <c r="AV274" i="1"/>
  <c r="AW273" i="1"/>
  <c r="AV273" i="1"/>
  <c r="AW272" i="1"/>
  <c r="AV272" i="1"/>
  <c r="AW271" i="1"/>
  <c r="AV271" i="1"/>
  <c r="AW270" i="1"/>
  <c r="AV270" i="1"/>
  <c r="AV269" i="1"/>
  <c r="AW268" i="1"/>
  <c r="AV268" i="1"/>
  <c r="AW267" i="1"/>
  <c r="AV267" i="1"/>
  <c r="AW266" i="1"/>
  <c r="AV266" i="1"/>
  <c r="AW265" i="1" l="1"/>
  <c r="AV265" i="1"/>
  <c r="AW264" i="1"/>
  <c r="AV264" i="1"/>
  <c r="AW263" i="1"/>
  <c r="AV263" i="1"/>
  <c r="AW262" i="1"/>
  <c r="AV262" i="1"/>
  <c r="AW261" i="1"/>
  <c r="AV261" i="1"/>
  <c r="AW260" i="1"/>
  <c r="AV260" i="1"/>
  <c r="AW259" i="1"/>
  <c r="AV259" i="1"/>
  <c r="AW258" i="1"/>
  <c r="AV258" i="1"/>
  <c r="AW257" i="1"/>
  <c r="AV257" i="1"/>
  <c r="AW256" i="1"/>
  <c r="AV256" i="1"/>
  <c r="AW255" i="1"/>
  <c r="AV255" i="1"/>
  <c r="AW254" i="1"/>
  <c r="AV254" i="1"/>
  <c r="AW253" i="1"/>
  <c r="AV253" i="1"/>
  <c r="AW252" i="1"/>
  <c r="AV252" i="1"/>
  <c r="AW251" i="1"/>
  <c r="AV251" i="1"/>
  <c r="AW250" i="1"/>
  <c r="AV250" i="1"/>
  <c r="AW249" i="1"/>
  <c r="AV249" i="1"/>
  <c r="AW248" i="1"/>
  <c r="AV248" i="1"/>
  <c r="AW247" i="1"/>
  <c r="AV247" i="1"/>
  <c r="AW246" i="1"/>
  <c r="AV246" i="1"/>
  <c r="AW245" i="1"/>
  <c r="AV245" i="1"/>
  <c r="AW244" i="1"/>
  <c r="AV244" i="1"/>
  <c r="AW243" i="1"/>
  <c r="AV243" i="1"/>
  <c r="AW242" i="1"/>
  <c r="AV242" i="1"/>
  <c r="AW241" i="1"/>
  <c r="AV241" i="1"/>
  <c r="AW240" i="1"/>
  <c r="AV240" i="1"/>
  <c r="AW239" i="1"/>
  <c r="AV239" i="1"/>
  <c r="AW238" i="1"/>
  <c r="AV238" i="1"/>
  <c r="AW237" i="1"/>
  <c r="AV237" i="1"/>
  <c r="AW236" i="1"/>
  <c r="AV236" i="1"/>
  <c r="AW235" i="1"/>
  <c r="AV235" i="1"/>
  <c r="AW234" i="1"/>
  <c r="AV234" i="1"/>
  <c r="AW233" i="1" l="1"/>
  <c r="AV233" i="1"/>
  <c r="AW232" i="1"/>
  <c r="AV232" i="1"/>
  <c r="AW231" i="1"/>
  <c r="AV231" i="1"/>
  <c r="AW230" i="1"/>
  <c r="AV230" i="1"/>
  <c r="AW229" i="1"/>
  <c r="AV229" i="1"/>
  <c r="AW228" i="1"/>
  <c r="AV228" i="1"/>
  <c r="AW227" i="1"/>
  <c r="AV227" i="1"/>
  <c r="AW226" i="1"/>
  <c r="AV226" i="1"/>
  <c r="AW225" i="1"/>
  <c r="AV225" i="1"/>
  <c r="AW224" i="1"/>
  <c r="AV224" i="1"/>
  <c r="AW223" i="1"/>
  <c r="AV223" i="1"/>
  <c r="AW222" i="1"/>
  <c r="AV222" i="1"/>
  <c r="AW221" i="1"/>
  <c r="AV221" i="1"/>
  <c r="AW220" i="1"/>
  <c r="AV220" i="1"/>
  <c r="AW219" i="1"/>
  <c r="AV219" i="1"/>
  <c r="AW218" i="1"/>
  <c r="AV218" i="1"/>
  <c r="AW217" i="1"/>
  <c r="AV217" i="1"/>
  <c r="AW216" i="1"/>
  <c r="AV216" i="1"/>
  <c r="AW215" i="1"/>
  <c r="AV215" i="1"/>
  <c r="AW214" i="1"/>
  <c r="AV214" i="1"/>
  <c r="AW213" i="1"/>
  <c r="AV213" i="1"/>
  <c r="AW212" i="1"/>
  <c r="AV212" i="1"/>
  <c r="AW211" i="1"/>
  <c r="AV211" i="1"/>
  <c r="AW210" i="1"/>
  <c r="AV210" i="1"/>
  <c r="AW209" i="1"/>
  <c r="AV209" i="1"/>
  <c r="AW208" i="1"/>
  <c r="AV208" i="1"/>
  <c r="AW207" i="1"/>
  <c r="AV207" i="1"/>
  <c r="AW206" i="1"/>
  <c r="AV206" i="1"/>
  <c r="AV1791" i="1" l="1"/>
  <c r="AV1790" i="1"/>
  <c r="AV1789" i="1"/>
  <c r="AV1788" i="1"/>
  <c r="AV1787" i="1"/>
  <c r="AV1786" i="1"/>
  <c r="AV1785" i="1"/>
  <c r="I42" i="6" l="1"/>
  <c r="I52" i="6"/>
  <c r="I54" i="6"/>
  <c r="I55" i="6"/>
  <c r="I57" i="6"/>
  <c r="I58" i="6"/>
  <c r="AC191" i="1" l="1"/>
  <c r="AC187" i="1"/>
  <c r="AC188" i="1"/>
  <c r="AC189" i="1"/>
  <c r="AC190" i="1"/>
  <c r="AC185" i="1"/>
  <c r="AC186" i="1"/>
  <c r="AC178" i="1"/>
  <c r="AC179" i="1"/>
  <c r="AC180" i="1"/>
  <c r="AC175" i="1"/>
  <c r="AC176" i="1"/>
  <c r="AC177" i="1"/>
  <c r="AC172" i="1"/>
  <c r="AC173" i="1"/>
  <c r="AC174" i="1"/>
  <c r="AC169" i="1"/>
  <c r="AC170" i="1"/>
  <c r="AC171" i="1"/>
  <c r="AC168" i="1"/>
  <c r="AC163" i="1"/>
  <c r="AC164" i="1"/>
  <c r="AC165" i="1"/>
  <c r="AC166" i="1"/>
  <c r="AC126" i="1"/>
  <c r="AC113" i="1"/>
  <c r="AC112" i="1"/>
  <c r="AC110" i="1"/>
  <c r="F42" i="6"/>
  <c r="F52" i="6"/>
  <c r="F54" i="6"/>
  <c r="F55" i="6"/>
  <c r="F57" i="6"/>
  <c r="F58" i="6"/>
  <c r="AF1430" i="1" l="1"/>
  <c r="AV1449" i="1" l="1"/>
  <c r="AF1329" i="1" l="1"/>
  <c r="AV1465" i="1" l="1"/>
  <c r="AW46" i="1" l="1"/>
  <c r="AV46" i="1"/>
  <c r="AW45" i="1"/>
  <c r="AV45" i="1"/>
  <c r="AM1373" i="1" l="1"/>
  <c r="AM1372" i="1"/>
  <c r="AM1371" i="1"/>
  <c r="AM1370" i="1"/>
  <c r="AM1369" i="1"/>
  <c r="AM1368" i="1"/>
  <c r="AM1367" i="1"/>
  <c r="AM1366" i="1"/>
  <c r="AM1365" i="1"/>
  <c r="AM1364" i="1"/>
  <c r="AM1363" i="1"/>
  <c r="AM1362" i="1"/>
  <c r="AM1361" i="1"/>
  <c r="AW177" i="1" l="1"/>
  <c r="AV177" i="1"/>
  <c r="AW176" i="1"/>
  <c r="AV176" i="1"/>
  <c r="AW175" i="1"/>
  <c r="AV175" i="1"/>
  <c r="AW174" i="1"/>
  <c r="AV174" i="1"/>
  <c r="AW173" i="1"/>
  <c r="AV173" i="1"/>
  <c r="AW172" i="1"/>
  <c r="AV172" i="1"/>
  <c r="AV167" i="1"/>
  <c r="AW167" i="1"/>
  <c r="AW140" i="1" l="1"/>
  <c r="AV140" i="1"/>
  <c r="AW204" i="1" l="1"/>
  <c r="AV204" i="1"/>
  <c r="AW203" i="1"/>
  <c r="AV203" i="1"/>
  <c r="AW202" i="1"/>
  <c r="AV202" i="1"/>
  <c r="AW201" i="1" l="1"/>
  <c r="AV201" i="1"/>
  <c r="AW200" i="1"/>
  <c r="AV200" i="1"/>
  <c r="AW166" i="1" l="1"/>
  <c r="AV166" i="1"/>
  <c r="AW107" i="1"/>
  <c r="AV107" i="1"/>
  <c r="AN1408" i="1" l="1"/>
  <c r="AN1407" i="1"/>
  <c r="AN1406" i="1"/>
  <c r="AN1405" i="1"/>
  <c r="AN1404" i="1"/>
  <c r="AN1403" i="1"/>
  <c r="AN1402" i="1"/>
  <c r="AN1401" i="1"/>
  <c r="AN1400" i="1"/>
  <c r="AN1399" i="1"/>
  <c r="AN1398" i="1"/>
  <c r="AN1397" i="1"/>
  <c r="AN1396" i="1"/>
  <c r="AN1395" i="1"/>
  <c r="AN1394" i="1"/>
  <c r="AN1393" i="1"/>
  <c r="AN1392" i="1"/>
  <c r="AN1391" i="1"/>
  <c r="AN1390" i="1"/>
  <c r="AN1389" i="1"/>
  <c r="AN1388" i="1"/>
  <c r="AN1387" i="1"/>
  <c r="AN1386" i="1"/>
  <c r="AN1385" i="1"/>
  <c r="AN1384" i="1"/>
  <c r="AN1383" i="1"/>
  <c r="AN1382" i="1"/>
  <c r="AN1381" i="1"/>
  <c r="AN1380" i="1"/>
  <c r="AN1379" i="1"/>
  <c r="AN1378" i="1"/>
  <c r="AN1377" i="1"/>
  <c r="AN1376" i="1"/>
  <c r="AN1375" i="1"/>
  <c r="AN1374" i="1"/>
  <c r="AN1373" i="1"/>
  <c r="AN1372" i="1"/>
  <c r="AN1371" i="1"/>
  <c r="AN1370" i="1"/>
  <c r="AN1369" i="1"/>
  <c r="AN1368" i="1"/>
  <c r="AN1367" i="1"/>
  <c r="AN1366" i="1"/>
  <c r="AN1365" i="1"/>
  <c r="AN1364" i="1"/>
  <c r="AN1363" i="1"/>
  <c r="AN1362" i="1"/>
  <c r="AN1361" i="1"/>
  <c r="AN1340" i="1"/>
  <c r="AN1339" i="1"/>
  <c r="AN1338" i="1"/>
  <c r="AN1337" i="1"/>
  <c r="AN1285" i="1"/>
  <c r="AN1284" i="1"/>
  <c r="AN1283" i="1"/>
  <c r="AN1282" i="1"/>
  <c r="AN1281" i="1"/>
  <c r="AN1280" i="1"/>
  <c r="AN1279" i="1"/>
  <c r="AN1278" i="1"/>
  <c r="AN1277" i="1"/>
  <c r="AN1276" i="1"/>
  <c r="AN1275" i="1"/>
  <c r="AN1274" i="1"/>
  <c r="AN1273" i="1"/>
  <c r="AN1272" i="1"/>
  <c r="AN1271" i="1"/>
  <c r="AN1270" i="1"/>
  <c r="AM1408" i="1" l="1"/>
  <c r="AM1407" i="1"/>
  <c r="AM1406" i="1"/>
  <c r="AM1405" i="1"/>
  <c r="AM1404" i="1"/>
  <c r="AM1403" i="1"/>
  <c r="AM1402" i="1"/>
  <c r="AM1401" i="1"/>
  <c r="AM1400" i="1"/>
  <c r="AM1399" i="1"/>
  <c r="AM1398" i="1"/>
  <c r="AM1397" i="1"/>
  <c r="AM1396" i="1"/>
  <c r="AM1395" i="1"/>
  <c r="AM1394" i="1"/>
  <c r="AM1393" i="1"/>
  <c r="AM1392" i="1"/>
  <c r="AM1391" i="1"/>
  <c r="AM1390" i="1"/>
  <c r="AM1381" i="1"/>
  <c r="AM1380" i="1"/>
  <c r="AM1379" i="1"/>
  <c r="AM1378" i="1"/>
  <c r="AM1377" i="1"/>
  <c r="AM1376" i="1"/>
  <c r="AM1375" i="1"/>
  <c r="AM1374" i="1"/>
  <c r="AM1270" i="1"/>
  <c r="AM1271" i="1"/>
  <c r="AW104" i="1" l="1"/>
  <c r="AV104" i="1"/>
  <c r="AW103" i="1"/>
  <c r="AV103" i="1"/>
  <c r="AV171" i="1" l="1"/>
  <c r="AV170" i="1"/>
  <c r="AV169" i="1"/>
  <c r="AW199" i="1" l="1"/>
  <c r="AV199" i="1"/>
  <c r="AW171" i="1" l="1"/>
  <c r="AW170" i="1"/>
  <c r="AW169" i="1"/>
  <c r="AW168" i="1" l="1"/>
  <c r="AV168" i="1"/>
  <c r="AW164" i="1" l="1"/>
  <c r="AV164" i="1"/>
  <c r="AW163" i="1"/>
  <c r="AV163" i="1"/>
  <c r="AW133" i="1" l="1"/>
  <c r="AV133" i="1"/>
  <c r="AW102" i="1" l="1"/>
  <c r="AV102" i="1"/>
  <c r="AW97" i="1" l="1"/>
  <c r="AV97" i="1"/>
  <c r="AW77" i="1" l="1"/>
  <c r="AW44" i="1" l="1"/>
  <c r="AV44" i="1" l="1"/>
  <c r="C2" i="6" l="1"/>
  <c r="I2" i="6" l="1"/>
  <c r="F2" i="6"/>
  <c r="AV1511" i="1"/>
  <c r="AV1510" i="1"/>
  <c r="AV1509" i="1"/>
  <c r="AV1508" i="1"/>
  <c r="AV1507" i="1"/>
  <c r="AV1506" i="1"/>
  <c r="AV1505" i="1"/>
  <c r="AV1504" i="1"/>
  <c r="AV1503" i="1"/>
  <c r="AV1502" i="1"/>
  <c r="AV1501" i="1"/>
  <c r="AW1589" i="1"/>
  <c r="AV1589" i="1"/>
  <c r="AW1588" i="1"/>
  <c r="AV1588" i="1"/>
  <c r="AC2" i="1" l="1"/>
  <c r="AC3" i="1"/>
  <c r="AC4" i="1"/>
  <c r="AC5" i="1"/>
  <c r="AC6" i="1"/>
  <c r="AK1430" i="1" l="1"/>
  <c r="AW1432" i="1" l="1"/>
  <c r="AW1431" i="1"/>
  <c r="AW1430" i="1"/>
  <c r="AW1428" i="1"/>
  <c r="AW66" i="1"/>
  <c r="AW1273" i="1"/>
  <c r="AV1432" i="1" l="1"/>
  <c r="AV1431" i="1"/>
  <c r="AV1430" i="1"/>
  <c r="AV1429" i="1"/>
  <c r="AV1428" i="1"/>
  <c r="AF1373" i="1" l="1"/>
  <c r="AF1372" i="1"/>
  <c r="AF1371" i="1"/>
  <c r="AF1370" i="1"/>
  <c r="AF1369" i="1"/>
  <c r="AF1368" i="1"/>
  <c r="AF1367" i="1"/>
  <c r="AF1366" i="1"/>
  <c r="AF1365" i="1"/>
  <c r="AF1364" i="1"/>
  <c r="AF1363" i="1"/>
  <c r="AF1362" i="1"/>
  <c r="AF1361" i="1"/>
  <c r="AF1340" i="1"/>
  <c r="AF1339" i="1"/>
  <c r="AF1338" i="1"/>
  <c r="AF1337" i="1"/>
  <c r="AF1333" i="1"/>
  <c r="AF1332" i="1"/>
  <c r="AF1331" i="1"/>
  <c r="AF1330" i="1"/>
  <c r="AF1314" i="1"/>
  <c r="AF1313" i="1"/>
  <c r="AF1269" i="1"/>
  <c r="AF1253" i="1"/>
  <c r="AF1234" i="1"/>
  <c r="AF1233" i="1"/>
  <c r="AF1232" i="1"/>
  <c r="AF1231" i="1"/>
  <c r="H1242" i="1" l="1"/>
  <c r="AM1242" i="1" s="1"/>
  <c r="AW1242" i="1" l="1"/>
  <c r="AF1242" i="1"/>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C51" i="6"/>
  <c r="C53" i="6"/>
  <c r="C56"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I150" i="6" l="1"/>
  <c r="F150" i="6"/>
  <c r="H150" i="6" s="1"/>
  <c r="I146" i="6"/>
  <c r="F146" i="6"/>
  <c r="H146" i="6" s="1"/>
  <c r="I142" i="6"/>
  <c r="F142" i="6"/>
  <c r="H142" i="6" s="1"/>
  <c r="I138" i="6"/>
  <c r="F138" i="6"/>
  <c r="H138" i="6" s="1"/>
  <c r="I134" i="6"/>
  <c r="F134" i="6"/>
  <c r="H134" i="6" s="1"/>
  <c r="I130" i="6"/>
  <c r="F130" i="6"/>
  <c r="H130" i="6" s="1"/>
  <c r="I126" i="6"/>
  <c r="F126" i="6"/>
  <c r="H126" i="6" s="1"/>
  <c r="I122" i="6"/>
  <c r="F122" i="6"/>
  <c r="H122" i="6" s="1"/>
  <c r="I118" i="6"/>
  <c r="F118" i="6"/>
  <c r="H118" i="6" s="1"/>
  <c r="I114" i="6"/>
  <c r="F114" i="6"/>
  <c r="H114" i="6" s="1"/>
  <c r="I110" i="6"/>
  <c r="F110" i="6"/>
  <c r="H110" i="6" s="1"/>
  <c r="I106" i="6"/>
  <c r="F106" i="6"/>
  <c r="H106" i="6" s="1"/>
  <c r="I102" i="6"/>
  <c r="F102" i="6"/>
  <c r="H102" i="6" s="1"/>
  <c r="I98" i="6"/>
  <c r="F98" i="6"/>
  <c r="H98" i="6" s="1"/>
  <c r="I94" i="6"/>
  <c r="F94" i="6"/>
  <c r="H94" i="6" s="1"/>
  <c r="I90" i="6"/>
  <c r="F90" i="6"/>
  <c r="I86" i="6"/>
  <c r="F86" i="6"/>
  <c r="I82" i="6"/>
  <c r="F82" i="6"/>
  <c r="I78" i="6"/>
  <c r="F78" i="6"/>
  <c r="I74" i="6"/>
  <c r="F74" i="6"/>
  <c r="I70" i="6"/>
  <c r="F70" i="6"/>
  <c r="I66" i="6"/>
  <c r="F66" i="6"/>
  <c r="I62" i="6"/>
  <c r="F62" i="6"/>
  <c r="I56" i="6"/>
  <c r="F56" i="6"/>
  <c r="I49" i="6"/>
  <c r="F49" i="6"/>
  <c r="I45" i="6"/>
  <c r="F45" i="6"/>
  <c r="I40" i="6"/>
  <c r="F40" i="6"/>
  <c r="I36" i="6"/>
  <c r="F36" i="6"/>
  <c r="I32" i="6"/>
  <c r="F32" i="6"/>
  <c r="I28" i="6"/>
  <c r="F28" i="6"/>
  <c r="I24" i="6"/>
  <c r="F24" i="6"/>
  <c r="I20" i="6"/>
  <c r="F20" i="6"/>
  <c r="I16" i="6"/>
  <c r="F16" i="6"/>
  <c r="I12" i="6"/>
  <c r="F12" i="6"/>
  <c r="I8" i="6"/>
  <c r="F8" i="6"/>
  <c r="I4" i="6"/>
  <c r="F4" i="6"/>
  <c r="I149" i="6"/>
  <c r="F149" i="6"/>
  <c r="H149" i="6" s="1"/>
  <c r="I145" i="6"/>
  <c r="F145" i="6"/>
  <c r="H145" i="6" s="1"/>
  <c r="I141" i="6"/>
  <c r="F141" i="6"/>
  <c r="H141" i="6" s="1"/>
  <c r="I137" i="6"/>
  <c r="F137" i="6"/>
  <c r="H137" i="6" s="1"/>
  <c r="I133" i="6"/>
  <c r="F133" i="6"/>
  <c r="H133" i="6" s="1"/>
  <c r="I129" i="6"/>
  <c r="F129" i="6"/>
  <c r="H129" i="6" s="1"/>
  <c r="I125" i="6"/>
  <c r="F125" i="6"/>
  <c r="H125" i="6" s="1"/>
  <c r="I121" i="6"/>
  <c r="F121" i="6"/>
  <c r="H121" i="6" s="1"/>
  <c r="I117" i="6"/>
  <c r="F117" i="6"/>
  <c r="H117" i="6" s="1"/>
  <c r="I113" i="6"/>
  <c r="F113" i="6"/>
  <c r="H113" i="6" s="1"/>
  <c r="I109" i="6"/>
  <c r="F109" i="6"/>
  <c r="H109" i="6" s="1"/>
  <c r="I105" i="6"/>
  <c r="F105" i="6"/>
  <c r="H105" i="6" s="1"/>
  <c r="I101" i="6"/>
  <c r="F101" i="6"/>
  <c r="H101" i="6" s="1"/>
  <c r="I97" i="6"/>
  <c r="F97" i="6"/>
  <c r="H97" i="6" s="1"/>
  <c r="I93" i="6"/>
  <c r="F93" i="6"/>
  <c r="H93" i="6" s="1"/>
  <c r="I89" i="6"/>
  <c r="F89" i="6"/>
  <c r="I85" i="6"/>
  <c r="F85" i="6"/>
  <c r="I81" i="6"/>
  <c r="F81" i="6"/>
  <c r="I77" i="6"/>
  <c r="F77" i="6"/>
  <c r="I73" i="6"/>
  <c r="F73" i="6"/>
  <c r="I69" i="6"/>
  <c r="F69" i="6"/>
  <c r="I65" i="6"/>
  <c r="F65" i="6"/>
  <c r="I61" i="6"/>
  <c r="F61" i="6"/>
  <c r="I53" i="6"/>
  <c r="AC167" i="1" s="1"/>
  <c r="F53" i="6"/>
  <c r="I48" i="6"/>
  <c r="F48" i="6"/>
  <c r="I44" i="6"/>
  <c r="F44" i="6"/>
  <c r="I39" i="6"/>
  <c r="F39" i="6"/>
  <c r="I35" i="6"/>
  <c r="F35" i="6"/>
  <c r="I31" i="6"/>
  <c r="F31" i="6"/>
  <c r="I27" i="6"/>
  <c r="F27" i="6"/>
  <c r="I23" i="6"/>
  <c r="F23" i="6"/>
  <c r="I19" i="6"/>
  <c r="F19" i="6"/>
  <c r="I15" i="6"/>
  <c r="F15" i="6"/>
  <c r="I11" i="6"/>
  <c r="F11" i="6"/>
  <c r="E7" i="6"/>
  <c r="I7" i="6"/>
  <c r="F7" i="6"/>
  <c r="I3" i="6"/>
  <c r="F3" i="6"/>
  <c r="I148" i="6"/>
  <c r="F148" i="6"/>
  <c r="H148" i="6" s="1"/>
  <c r="I144" i="6"/>
  <c r="F144" i="6"/>
  <c r="H144" i="6" s="1"/>
  <c r="I140" i="6"/>
  <c r="F140" i="6"/>
  <c r="H140" i="6" s="1"/>
  <c r="I136" i="6"/>
  <c r="F136" i="6"/>
  <c r="H136" i="6" s="1"/>
  <c r="I132" i="6"/>
  <c r="F132" i="6"/>
  <c r="H132" i="6" s="1"/>
  <c r="I128" i="6"/>
  <c r="F128" i="6"/>
  <c r="H128" i="6" s="1"/>
  <c r="I124" i="6"/>
  <c r="F124" i="6"/>
  <c r="H124" i="6" s="1"/>
  <c r="I120" i="6"/>
  <c r="F120" i="6"/>
  <c r="H120" i="6" s="1"/>
  <c r="I116" i="6"/>
  <c r="F116" i="6"/>
  <c r="H116" i="6" s="1"/>
  <c r="I112" i="6"/>
  <c r="F112" i="6"/>
  <c r="H112" i="6" s="1"/>
  <c r="I108" i="6"/>
  <c r="F108" i="6"/>
  <c r="H108" i="6" s="1"/>
  <c r="I104" i="6"/>
  <c r="F104" i="6"/>
  <c r="H104" i="6" s="1"/>
  <c r="I100" i="6"/>
  <c r="F100" i="6"/>
  <c r="H100" i="6" s="1"/>
  <c r="I96" i="6"/>
  <c r="F96" i="6"/>
  <c r="H96" i="6" s="1"/>
  <c r="I92" i="6"/>
  <c r="AC297" i="1" s="1"/>
  <c r="F92" i="6"/>
  <c r="H92" i="6" s="1"/>
  <c r="Z296" i="1" s="1"/>
  <c r="I88" i="6"/>
  <c r="F88" i="6"/>
  <c r="I84" i="6"/>
  <c r="F84" i="6"/>
  <c r="I80" i="6"/>
  <c r="F80" i="6"/>
  <c r="I76" i="6"/>
  <c r="F76" i="6"/>
  <c r="I72" i="6"/>
  <c r="F72" i="6"/>
  <c r="I68" i="6"/>
  <c r="F68" i="6"/>
  <c r="I64" i="6"/>
  <c r="F64" i="6"/>
  <c r="I60" i="6"/>
  <c r="F60" i="6"/>
  <c r="I51" i="6"/>
  <c r="F51" i="6"/>
  <c r="I47" i="6"/>
  <c r="F47" i="6"/>
  <c r="I43" i="6"/>
  <c r="F43" i="6"/>
  <c r="I38" i="6"/>
  <c r="F38" i="6"/>
  <c r="I34" i="6"/>
  <c r="F34" i="6"/>
  <c r="I30" i="6"/>
  <c r="F30" i="6"/>
  <c r="I26" i="6"/>
  <c r="F26" i="6"/>
  <c r="I22" i="6"/>
  <c r="F22" i="6"/>
  <c r="I18" i="6"/>
  <c r="F18" i="6"/>
  <c r="I14" i="6"/>
  <c r="F14" i="6"/>
  <c r="I10" i="6"/>
  <c r="AC30" i="1" s="1"/>
  <c r="F10" i="6"/>
  <c r="H10" i="6" s="1"/>
  <c r="I6" i="6"/>
  <c r="F6" i="6"/>
  <c r="I151" i="6"/>
  <c r="F151" i="6"/>
  <c r="H151" i="6" s="1"/>
  <c r="I147" i="6"/>
  <c r="F147" i="6"/>
  <c r="H147" i="6" s="1"/>
  <c r="I143" i="6"/>
  <c r="F143" i="6"/>
  <c r="H143" i="6" s="1"/>
  <c r="I139" i="6"/>
  <c r="F139" i="6"/>
  <c r="H139" i="6" s="1"/>
  <c r="I135" i="6"/>
  <c r="F135" i="6"/>
  <c r="H135" i="6" s="1"/>
  <c r="I131" i="6"/>
  <c r="F131" i="6"/>
  <c r="H131" i="6" s="1"/>
  <c r="I127" i="6"/>
  <c r="F127" i="6"/>
  <c r="H127" i="6" s="1"/>
  <c r="I123" i="6"/>
  <c r="F123" i="6"/>
  <c r="H123" i="6" s="1"/>
  <c r="I119" i="6"/>
  <c r="F119" i="6"/>
  <c r="H119" i="6" s="1"/>
  <c r="I115" i="6"/>
  <c r="F115" i="6"/>
  <c r="H115" i="6" s="1"/>
  <c r="I111" i="6"/>
  <c r="F111" i="6"/>
  <c r="H111" i="6" s="1"/>
  <c r="I107" i="6"/>
  <c r="F107" i="6"/>
  <c r="H107" i="6" s="1"/>
  <c r="I103" i="6"/>
  <c r="F103" i="6"/>
  <c r="H103" i="6" s="1"/>
  <c r="I99" i="6"/>
  <c r="F99" i="6"/>
  <c r="H99" i="6" s="1"/>
  <c r="I95" i="6"/>
  <c r="F95" i="6"/>
  <c r="H95" i="6" s="1"/>
  <c r="I91" i="6"/>
  <c r="F91" i="6"/>
  <c r="I87" i="6"/>
  <c r="F87" i="6"/>
  <c r="I83" i="6"/>
  <c r="F83" i="6"/>
  <c r="I79" i="6"/>
  <c r="F79" i="6"/>
  <c r="I75" i="6"/>
  <c r="F75" i="6"/>
  <c r="I71" i="6"/>
  <c r="F71" i="6"/>
  <c r="I67" i="6"/>
  <c r="F67" i="6"/>
  <c r="I63" i="6"/>
  <c r="F63" i="6"/>
  <c r="I59" i="6"/>
  <c r="F59" i="6"/>
  <c r="I50" i="6"/>
  <c r="F50" i="6"/>
  <c r="I46" i="6"/>
  <c r="F46" i="6"/>
  <c r="I41" i="6"/>
  <c r="F41" i="6"/>
  <c r="I37" i="6"/>
  <c r="F37" i="6"/>
  <c r="I33" i="6"/>
  <c r="F33" i="6"/>
  <c r="I29" i="6"/>
  <c r="F29" i="6"/>
  <c r="I25" i="6"/>
  <c r="F25" i="6"/>
  <c r="I21" i="6"/>
  <c r="AC34" i="1" s="1"/>
  <c r="F21" i="6"/>
  <c r="I17" i="6"/>
  <c r="F17" i="6"/>
  <c r="I13" i="6"/>
  <c r="F13" i="6"/>
  <c r="I9" i="6"/>
  <c r="F9" i="6"/>
  <c r="H9" i="6" s="1"/>
  <c r="I5" i="6"/>
  <c r="F5" i="6"/>
  <c r="Z297" i="1" l="1"/>
  <c r="AC319" i="1"/>
  <c r="AC320" i="1"/>
  <c r="AC338" i="1"/>
  <c r="AC337" i="1"/>
  <c r="Z307" i="1"/>
  <c r="Z308" i="1"/>
  <c r="Z356" i="1"/>
  <c r="Z355" i="1"/>
  <c r="Z309" i="1"/>
  <c r="Z310" i="1"/>
  <c r="Z341" i="1"/>
  <c r="Z342" i="1"/>
  <c r="Z312" i="1"/>
  <c r="Z311" i="1"/>
  <c r="Z327" i="1"/>
  <c r="Z328" i="1"/>
  <c r="Z344" i="1"/>
  <c r="Z343" i="1"/>
  <c r="Z313" i="1"/>
  <c r="Z314" i="1"/>
  <c r="Z329" i="1"/>
  <c r="Z330" i="1"/>
  <c r="Z345" i="1"/>
  <c r="Z346" i="1"/>
  <c r="AC307" i="1"/>
  <c r="AC308" i="1"/>
  <c r="AC323" i="1"/>
  <c r="AC324" i="1"/>
  <c r="AC339" i="1"/>
  <c r="AC340" i="1"/>
  <c r="AC355" i="1"/>
  <c r="AC356" i="1"/>
  <c r="AC310" i="1"/>
  <c r="AC309" i="1"/>
  <c r="AC326" i="1"/>
  <c r="AC325" i="1"/>
  <c r="AC342" i="1"/>
  <c r="AC341" i="1"/>
  <c r="AC303" i="1"/>
  <c r="AC304" i="1"/>
  <c r="AC351" i="1"/>
  <c r="AC352" i="1"/>
  <c r="AC322" i="1"/>
  <c r="AC321" i="1"/>
  <c r="Z339" i="1"/>
  <c r="Z340" i="1"/>
  <c r="Z325" i="1"/>
  <c r="Z326" i="1"/>
  <c r="AC311" i="1"/>
  <c r="AC312" i="1"/>
  <c r="AC327" i="1"/>
  <c r="AC328" i="1"/>
  <c r="AC343" i="1"/>
  <c r="AC344" i="1"/>
  <c r="AC314" i="1"/>
  <c r="AC313" i="1"/>
  <c r="AC330" i="1"/>
  <c r="AC329" i="1"/>
  <c r="AC346" i="1"/>
  <c r="AC345" i="1"/>
  <c r="Z298" i="1"/>
  <c r="Z299" i="1"/>
  <c r="Z300" i="1"/>
  <c r="Z315" i="1"/>
  <c r="Z316" i="1"/>
  <c r="Z332" i="1"/>
  <c r="Z331" i="1"/>
  <c r="Z348" i="1"/>
  <c r="Z347" i="1"/>
  <c r="Z301" i="1"/>
  <c r="Z302" i="1"/>
  <c r="Z317" i="1"/>
  <c r="Z318" i="1"/>
  <c r="Z333" i="1"/>
  <c r="Z334" i="1"/>
  <c r="Z349" i="1"/>
  <c r="Z350" i="1"/>
  <c r="AC335" i="1"/>
  <c r="AC336" i="1"/>
  <c r="AC306" i="1"/>
  <c r="AC305" i="1"/>
  <c r="AC354" i="1"/>
  <c r="AC353" i="1"/>
  <c r="Z324" i="1"/>
  <c r="Z323" i="1"/>
  <c r="Z304" i="1"/>
  <c r="Z303" i="1"/>
  <c r="Z320" i="1"/>
  <c r="Z319" i="1"/>
  <c r="Z336" i="1"/>
  <c r="Z335" i="1"/>
  <c r="Z351" i="1"/>
  <c r="Z352" i="1"/>
  <c r="Z305" i="1"/>
  <c r="Z306" i="1"/>
  <c r="Z321" i="1"/>
  <c r="Z322" i="1"/>
  <c r="Z337" i="1"/>
  <c r="Z338" i="1"/>
  <c r="Z353" i="1"/>
  <c r="Z354" i="1"/>
  <c r="AC298" i="1"/>
  <c r="AC299" i="1"/>
  <c r="AC300" i="1"/>
  <c r="AC315" i="1"/>
  <c r="AC316" i="1"/>
  <c r="AC331" i="1"/>
  <c r="AC332" i="1"/>
  <c r="AC347" i="1"/>
  <c r="AC348" i="1"/>
  <c r="AC302" i="1"/>
  <c r="AC301" i="1"/>
  <c r="AC318" i="1"/>
  <c r="AC317" i="1"/>
  <c r="AC334" i="1"/>
  <c r="AC333" i="1"/>
  <c r="AC350" i="1"/>
  <c r="AC349" i="1"/>
  <c r="AC284" i="1"/>
  <c r="AC286" i="1"/>
  <c r="AC285" i="1"/>
  <c r="AC287" i="1"/>
  <c r="AC288" i="1"/>
  <c r="AC266" i="1"/>
  <c r="AC268" i="1"/>
  <c r="AC267" i="1"/>
  <c r="AC291" i="1"/>
  <c r="AC289" i="1"/>
  <c r="AC290" i="1"/>
  <c r="AC269" i="1"/>
  <c r="AC270" i="1"/>
  <c r="AC292" i="1"/>
  <c r="AC293" i="1"/>
  <c r="AC295" i="1"/>
  <c r="AC294" i="1"/>
  <c r="AC275" i="1"/>
  <c r="AC274" i="1"/>
  <c r="AC271" i="1"/>
  <c r="AC272" i="1"/>
  <c r="AC273" i="1"/>
  <c r="AC279" i="1"/>
  <c r="AC277" i="1"/>
  <c r="AC276" i="1"/>
  <c r="AC278" i="1"/>
  <c r="AC283" i="1"/>
  <c r="AC280" i="1"/>
  <c r="AC281" i="1"/>
  <c r="AC282" i="1"/>
  <c r="AC246" i="1"/>
  <c r="AC245" i="1"/>
  <c r="AC210" i="1"/>
  <c r="AC211" i="1"/>
  <c r="AC209" i="1"/>
  <c r="AC234" i="1"/>
  <c r="AC235" i="1"/>
  <c r="AC233" i="1"/>
  <c r="AC261" i="1"/>
  <c r="AC262" i="1"/>
  <c r="AC260" i="1"/>
  <c r="AC213" i="1"/>
  <c r="AC214" i="1"/>
  <c r="AC212" i="1"/>
  <c r="AC238" i="1"/>
  <c r="AC236" i="1"/>
  <c r="AC237" i="1"/>
  <c r="AC265" i="1"/>
  <c r="AC263" i="1"/>
  <c r="AC264" i="1"/>
  <c r="AC217" i="1"/>
  <c r="AC215" i="1"/>
  <c r="AC216" i="1"/>
  <c r="AC239" i="1"/>
  <c r="AC240" i="1"/>
  <c r="AC241" i="1"/>
  <c r="AC218" i="1"/>
  <c r="AC219" i="1"/>
  <c r="AC220" i="1"/>
  <c r="AC221" i="1"/>
  <c r="AC242" i="1"/>
  <c r="AC243" i="1"/>
  <c r="AC244" i="1"/>
  <c r="AC249" i="1"/>
  <c r="AC250" i="1"/>
  <c r="AC247" i="1"/>
  <c r="AC251" i="1"/>
  <c r="AC248" i="1"/>
  <c r="AC252" i="1"/>
  <c r="AC223" i="1"/>
  <c r="AC222" i="1"/>
  <c r="AC224" i="1"/>
  <c r="AC225" i="1"/>
  <c r="AC226" i="1"/>
  <c r="AC228" i="1"/>
  <c r="AC229" i="1"/>
  <c r="AC227" i="1"/>
  <c r="AC253" i="1"/>
  <c r="AC254" i="1"/>
  <c r="AC255" i="1"/>
  <c r="AC256" i="1"/>
  <c r="AC206" i="1"/>
  <c r="AC207" i="1"/>
  <c r="AC208" i="1"/>
  <c r="AC231" i="1"/>
  <c r="AC232" i="1"/>
  <c r="AC230" i="1"/>
  <c r="AC257" i="1"/>
  <c r="AC258" i="1"/>
  <c r="AC259" i="1"/>
  <c r="AC11" i="1"/>
  <c r="AC12" i="1"/>
  <c r="AC62" i="1"/>
  <c r="AC58" i="1"/>
  <c r="AC194" i="1"/>
  <c r="AC195" i="1"/>
  <c r="AC192" i="1"/>
  <c r="AC193" i="1"/>
  <c r="AC63" i="1"/>
  <c r="AC64" i="1"/>
  <c r="AC198" i="1"/>
  <c r="AC196" i="1"/>
  <c r="AC197" i="1"/>
  <c r="AC25" i="1"/>
  <c r="AC21" i="1"/>
  <c r="AC22" i="1"/>
  <c r="AC23" i="1"/>
  <c r="AC24" i="1"/>
  <c r="AC44" i="1"/>
  <c r="AC45" i="1"/>
  <c r="AC46" i="1"/>
  <c r="AC47" i="1"/>
  <c r="AC75" i="1"/>
  <c r="AC74" i="1"/>
  <c r="AC105" i="1"/>
  <c r="AC106" i="1"/>
  <c r="AC107" i="1"/>
  <c r="AC104" i="1"/>
  <c r="AC108" i="1"/>
  <c r="AC146" i="1"/>
  <c r="AC145" i="1"/>
  <c r="AC148" i="1"/>
  <c r="AC28" i="1"/>
  <c r="AC29" i="1"/>
  <c r="AC26" i="1"/>
  <c r="AC27" i="1"/>
  <c r="AC48" i="1"/>
  <c r="AC49" i="1"/>
  <c r="AC76" i="1"/>
  <c r="AC77" i="1"/>
  <c r="AC115" i="1"/>
  <c r="AC114" i="1"/>
  <c r="AC116" i="1"/>
  <c r="AC162" i="1"/>
  <c r="AC159" i="1"/>
  <c r="AC149" i="1"/>
  <c r="AC7" i="1"/>
  <c r="AC8" i="1"/>
  <c r="AC32" i="1"/>
  <c r="AC33" i="1"/>
  <c r="AC51" i="1"/>
  <c r="AC50" i="1"/>
  <c r="AC81" i="1"/>
  <c r="AC78" i="1"/>
  <c r="AC118" i="1"/>
  <c r="AC119" i="1"/>
  <c r="AC117" i="1"/>
  <c r="AC9" i="1"/>
  <c r="AC10" i="1"/>
  <c r="AC56" i="1"/>
  <c r="AC53" i="1"/>
  <c r="AC57" i="1"/>
  <c r="AC54" i="1"/>
  <c r="AC55" i="1"/>
  <c r="AC52" i="1"/>
  <c r="AC85" i="1"/>
  <c r="AC82" i="1"/>
  <c r="AC127" i="1"/>
  <c r="AC125" i="1"/>
  <c r="AC128" i="1"/>
  <c r="AC120" i="1"/>
  <c r="AC182" i="1"/>
  <c r="AC181" i="1"/>
  <c r="AC183" i="1"/>
  <c r="AC184" i="1"/>
  <c r="AC132" i="1"/>
  <c r="AC129" i="1"/>
  <c r="AC130" i="1"/>
  <c r="AC13" i="1"/>
  <c r="AC14" i="1"/>
  <c r="AC133" i="1"/>
  <c r="AC134" i="1"/>
  <c r="AC137" i="1"/>
  <c r="AC15" i="1"/>
  <c r="AC16" i="1"/>
  <c r="AC94" i="1"/>
  <c r="AC95" i="1"/>
  <c r="AC38" i="1"/>
  <c r="AC35" i="1"/>
  <c r="AC36" i="1"/>
  <c r="AC37" i="1"/>
  <c r="AC96" i="1"/>
  <c r="AC97" i="1"/>
  <c r="AC41" i="1"/>
  <c r="AC39" i="1"/>
  <c r="AC40" i="1"/>
  <c r="AC68" i="1"/>
  <c r="AC65" i="1"/>
  <c r="AC98" i="1"/>
  <c r="AC99" i="1"/>
  <c r="AC138" i="1"/>
  <c r="AC139" i="1"/>
  <c r="AC140" i="1"/>
  <c r="AC204" i="1"/>
  <c r="AC199" i="1"/>
  <c r="AC202" i="1"/>
  <c r="AC200" i="1"/>
  <c r="AC203" i="1"/>
  <c r="AC201" i="1"/>
  <c r="AC17" i="1"/>
  <c r="AC18" i="1"/>
  <c r="AC19" i="1"/>
  <c r="AC20" i="1"/>
  <c r="AC42" i="1"/>
  <c r="AC43" i="1"/>
  <c r="AC69" i="1"/>
  <c r="AC70" i="1"/>
  <c r="AC101" i="1"/>
  <c r="AC100" i="1"/>
  <c r="AC102" i="1"/>
  <c r="AC103" i="1"/>
  <c r="AC143" i="1"/>
  <c r="AC142" i="1"/>
  <c r="AC205" i="1"/>
  <c r="H2" i="6"/>
  <c r="AM1340" i="1" l="1"/>
  <c r="AM1339" i="1"/>
  <c r="AM1338" i="1"/>
  <c r="AM1337" i="1"/>
  <c r="Z3" i="1" l="1"/>
  <c r="Z4" i="1"/>
  <c r="Z5" i="1"/>
  <c r="Z6" i="1"/>
  <c r="Z2" i="1"/>
  <c r="H3" i="6"/>
  <c r="Z7" i="1" s="1"/>
  <c r="H4" i="6"/>
  <c r="H5" i="6"/>
  <c r="H6" i="6"/>
  <c r="Z14" i="1" s="1"/>
  <c r="H7" i="6"/>
  <c r="Z16" i="1" s="1"/>
  <c r="H8" i="6"/>
  <c r="Z10" i="1" s="1"/>
  <c r="Z27" i="1"/>
  <c r="H11" i="6"/>
  <c r="H12" i="6"/>
  <c r="H13" i="6"/>
  <c r="H14" i="6"/>
  <c r="H15" i="6"/>
  <c r="H16" i="6"/>
  <c r="H17" i="6"/>
  <c r="H18" i="6"/>
  <c r="H19" i="6"/>
  <c r="H20" i="6"/>
  <c r="H22" i="6"/>
  <c r="H23" i="6"/>
  <c r="H24" i="6"/>
  <c r="H25" i="6"/>
  <c r="H26" i="6"/>
  <c r="H27" i="6"/>
  <c r="H28" i="6"/>
  <c r="H29" i="6"/>
  <c r="H30" i="6"/>
  <c r="H31" i="6"/>
  <c r="H32" i="6"/>
  <c r="H33" i="6"/>
  <c r="H34" i="6"/>
  <c r="H36" i="6"/>
  <c r="H37" i="6"/>
  <c r="H38" i="6"/>
  <c r="H39" i="6"/>
  <c r="Z13" i="1" l="1"/>
  <c r="Z45" i="1"/>
  <c r="Z46" i="1"/>
  <c r="Z20" i="1"/>
  <c r="Z68" i="1"/>
  <c r="Z99" i="1"/>
  <c r="Z74" i="1"/>
  <c r="Z97" i="1"/>
  <c r="Z95" i="1"/>
  <c r="Z82" i="1"/>
  <c r="Z42" i="1"/>
  <c r="Z53" i="1"/>
  <c r="Z47" i="1"/>
  <c r="Z70" i="1"/>
  <c r="Z50" i="1"/>
  <c r="Z39" i="1"/>
  <c r="Z75" i="1"/>
  <c r="Z44" i="1"/>
  <c r="Z62" i="1"/>
  <c r="Z49" i="1"/>
  <c r="Z38" i="1"/>
  <c r="Z17" i="1"/>
  <c r="Z12" i="1"/>
  <c r="Z98" i="1"/>
  <c r="Z85" i="1"/>
  <c r="Z76" i="1"/>
  <c r="Z69" i="1"/>
  <c r="Z64" i="1"/>
  <c r="Z56" i="1"/>
  <c r="Z52" i="1"/>
  <c r="Z48" i="1"/>
  <c r="Z41" i="1"/>
  <c r="Z37" i="1"/>
  <c r="Z23" i="1"/>
  <c r="Z30" i="1"/>
  <c r="Z26" i="1"/>
  <c r="Z11" i="1"/>
  <c r="Z96" i="1"/>
  <c r="Z77" i="1"/>
  <c r="Z63" i="1"/>
  <c r="Z55" i="1"/>
  <c r="Z51" i="1"/>
  <c r="Z40" i="1"/>
  <c r="Z36" i="1"/>
  <c r="Z32" i="1"/>
  <c r="Z22" i="1"/>
  <c r="Z29" i="1"/>
  <c r="Z25" i="1"/>
  <c r="Z19" i="1"/>
  <c r="Z9" i="1"/>
  <c r="Z58" i="1"/>
  <c r="Z54" i="1"/>
  <c r="Z43" i="1"/>
  <c r="Z35" i="1"/>
  <c r="Z21" i="1"/>
  <c r="Z28" i="1"/>
  <c r="Z15" i="1"/>
  <c r="Z18" i="1"/>
  <c r="Z8" i="1"/>
  <c r="Z94" i="1"/>
  <c r="Z57" i="1"/>
  <c r="Z24" i="1"/>
  <c r="AW57" i="1"/>
  <c r="AV57" i="1"/>
  <c r="AW56" i="1"/>
  <c r="AV56" i="1"/>
  <c r="AW55" i="1"/>
  <c r="AV55" i="1"/>
  <c r="AW61" i="1" l="1"/>
  <c r="AV61" i="1"/>
  <c r="AW60" i="1"/>
  <c r="AV60" i="1"/>
  <c r="AV66" i="1" l="1"/>
  <c r="AW19" i="1" l="1"/>
  <c r="AV19" i="1"/>
  <c r="AW18" i="1"/>
  <c r="AV18" i="1"/>
  <c r="AW24" i="1" l="1"/>
  <c r="AV24" i="1"/>
  <c r="AW23" i="1"/>
  <c r="AV23" i="1"/>
  <c r="AW22" i="1"/>
  <c r="AV22" i="1"/>
  <c r="AW29" i="1" l="1"/>
  <c r="AV29" i="1"/>
  <c r="AW28" i="1"/>
  <c r="AV28" i="1"/>
  <c r="AW27" i="1"/>
  <c r="AV27" i="1"/>
  <c r="AM1889" i="1" l="1"/>
  <c r="AM1885" i="1"/>
  <c r="AM1881" i="1"/>
  <c r="AM1783" i="1"/>
  <c r="AM1762" i="1"/>
  <c r="AM1741" i="1"/>
  <c r="AM1721" i="1"/>
  <c r="AM1701" i="1"/>
  <c r="AM1571" i="1"/>
  <c r="AM1560" i="1"/>
  <c r="AM1551" i="1"/>
  <c r="AM1140" i="1"/>
  <c r="AM1138" i="1"/>
  <c r="AM529" i="1"/>
  <c r="AN1897" i="1"/>
  <c r="AN1896" i="1"/>
  <c r="AN1895" i="1"/>
  <c r="AN1894" i="1"/>
  <c r="AN1893" i="1"/>
  <c r="AN1892" i="1"/>
  <c r="AN1891" i="1"/>
  <c r="AN1890" i="1"/>
  <c r="AN1889" i="1"/>
  <c r="AN1888" i="1"/>
  <c r="AN1887" i="1"/>
  <c r="AN1886" i="1"/>
  <c r="AN1885" i="1"/>
  <c r="AN1884" i="1"/>
  <c r="AN1883" i="1"/>
  <c r="AN1882" i="1"/>
  <c r="AN1881" i="1"/>
  <c r="AN1880" i="1"/>
  <c r="AN1879" i="1"/>
  <c r="AN1878" i="1"/>
  <c r="AN1877" i="1"/>
  <c r="AN1876" i="1"/>
  <c r="AN1875" i="1"/>
  <c r="AN1783" i="1"/>
  <c r="AN1781" i="1"/>
  <c r="AN1780" i="1"/>
  <c r="AN1779" i="1"/>
  <c r="AN1778" i="1"/>
  <c r="AN1777" i="1"/>
  <c r="AN1776" i="1"/>
  <c r="AN1775" i="1"/>
  <c r="AN1774" i="1"/>
  <c r="AN1762" i="1"/>
  <c r="AN1760" i="1"/>
  <c r="AN1759" i="1"/>
  <c r="AN1758" i="1"/>
  <c r="AN1757" i="1"/>
  <c r="AN1756" i="1"/>
  <c r="AN1755" i="1"/>
  <c r="AN1754" i="1"/>
  <c r="AN1753" i="1"/>
  <c r="AN1741" i="1"/>
  <c r="AN1739" i="1"/>
  <c r="AN1738" i="1"/>
  <c r="AN1737" i="1"/>
  <c r="AN1736" i="1"/>
  <c r="AN1735" i="1"/>
  <c r="AN1734" i="1"/>
  <c r="AN1733" i="1"/>
  <c r="AN1732" i="1"/>
  <c r="AN1721" i="1"/>
  <c r="AN1719" i="1"/>
  <c r="AN1718" i="1"/>
  <c r="AN1717" i="1"/>
  <c r="AN1716" i="1"/>
  <c r="AN1715" i="1"/>
  <c r="AN1714" i="1"/>
  <c r="AN1713" i="1"/>
  <c r="AN1712" i="1"/>
  <c r="AN1701" i="1"/>
  <c r="AN1699" i="1"/>
  <c r="AN1698" i="1"/>
  <c r="AN1697" i="1"/>
  <c r="AN1696" i="1"/>
  <c r="AN1695" i="1"/>
  <c r="AN1694" i="1"/>
  <c r="AN1693" i="1"/>
  <c r="AN1692" i="1"/>
  <c r="AN1579" i="1"/>
  <c r="AN1578" i="1"/>
  <c r="AN1577" i="1"/>
  <c r="AN1575" i="1"/>
  <c r="AN1574" i="1"/>
  <c r="AN1573" i="1"/>
  <c r="AN1572" i="1"/>
  <c r="AN1571" i="1"/>
  <c r="AN1570" i="1"/>
  <c r="AN1569" i="1"/>
  <c r="AN1568" i="1"/>
  <c r="AN1567" i="1"/>
  <c r="AN1566" i="1"/>
  <c r="AN1565" i="1"/>
  <c r="AN1564" i="1"/>
  <c r="AN1563" i="1"/>
  <c r="AN1562" i="1"/>
  <c r="AN1561" i="1"/>
  <c r="AN1560" i="1"/>
  <c r="AN1559" i="1"/>
  <c r="AN1558" i="1"/>
  <c r="AN1557" i="1"/>
  <c r="AN1556" i="1"/>
  <c r="AN1555" i="1"/>
  <c r="AN1554" i="1"/>
  <c r="AN1553" i="1"/>
  <c r="AN1552" i="1"/>
  <c r="AN1551" i="1"/>
  <c r="AN1550" i="1"/>
  <c r="AN1549" i="1"/>
  <c r="AN1548" i="1"/>
  <c r="AN1547" i="1"/>
  <c r="AN1546" i="1"/>
  <c r="AN1545" i="1"/>
  <c r="AN1544" i="1"/>
  <c r="AN1543" i="1"/>
  <c r="AN1542" i="1"/>
  <c r="AN1541" i="1"/>
  <c r="AN1540" i="1"/>
  <c r="AN1157" i="1"/>
  <c r="AN1155" i="1"/>
  <c r="AN1153" i="1"/>
  <c r="AN1152" i="1"/>
  <c r="AN1148" i="1"/>
  <c r="AN1147" i="1"/>
  <c r="AN1146" i="1"/>
  <c r="AN1145" i="1"/>
  <c r="AN1144" i="1"/>
  <c r="AN1143" i="1"/>
  <c r="AN1140" i="1"/>
  <c r="AN1139" i="1"/>
  <c r="AN1138" i="1"/>
  <c r="AN1136" i="1"/>
  <c r="AN955" i="1"/>
  <c r="AN954" i="1"/>
  <c r="AN953" i="1"/>
  <c r="AN952" i="1"/>
  <c r="AN951" i="1"/>
  <c r="AN950" i="1"/>
  <c r="AN949" i="1"/>
  <c r="AN948" i="1"/>
  <c r="AN947" i="1"/>
  <c r="AN946" i="1"/>
  <c r="AN945" i="1"/>
  <c r="AN944" i="1"/>
  <c r="AN943" i="1"/>
  <c r="AN942" i="1"/>
  <c r="AN941" i="1"/>
  <c r="AN940" i="1"/>
  <c r="AN939" i="1"/>
  <c r="AN938" i="1"/>
  <c r="AN937" i="1"/>
  <c r="AN936" i="1"/>
  <c r="AN935" i="1"/>
  <c r="AN934" i="1"/>
  <c r="AN933" i="1"/>
  <c r="AN932" i="1"/>
  <c r="AN931" i="1"/>
  <c r="AN930" i="1"/>
  <c r="AN929" i="1"/>
  <c r="AN928" i="1"/>
  <c r="AN927" i="1"/>
  <c r="AN926" i="1"/>
  <c r="AN925" i="1"/>
  <c r="AN924" i="1"/>
  <c r="AN923" i="1"/>
  <c r="AN922" i="1"/>
  <c r="AN921" i="1"/>
  <c r="AN920" i="1"/>
  <c r="AN919" i="1"/>
  <c r="AN918" i="1"/>
  <c r="AN917" i="1"/>
  <c r="AN916" i="1"/>
  <c r="AN915" i="1"/>
  <c r="AN914" i="1"/>
  <c r="AN913" i="1"/>
  <c r="AN912" i="1"/>
  <c r="AN911" i="1"/>
  <c r="AN910" i="1"/>
  <c r="AN909" i="1"/>
  <c r="AN908" i="1"/>
  <c r="AN907" i="1"/>
  <c r="AN906" i="1"/>
  <c r="AN905" i="1"/>
  <c r="AN904" i="1"/>
  <c r="AN903" i="1"/>
  <c r="AN902" i="1"/>
  <c r="AN901" i="1"/>
  <c r="AN900" i="1"/>
  <c r="AN899" i="1"/>
  <c r="AN898" i="1"/>
  <c r="AN897" i="1"/>
  <c r="AN896" i="1"/>
  <c r="AN895" i="1"/>
  <c r="AN894" i="1"/>
  <c r="AN893" i="1"/>
  <c r="AN892" i="1"/>
  <c r="AN891" i="1"/>
  <c r="AN890" i="1"/>
  <c r="AN889" i="1"/>
  <c r="AN888" i="1"/>
  <c r="AN887" i="1"/>
  <c r="AN886" i="1"/>
  <c r="AN885" i="1"/>
  <c r="AN884" i="1"/>
  <c r="AN883" i="1"/>
  <c r="AN882" i="1"/>
  <c r="AN881" i="1"/>
  <c r="AN880" i="1"/>
  <c r="AN879" i="1"/>
  <c r="AN878" i="1"/>
  <c r="AN877" i="1"/>
  <c r="AN876" i="1"/>
  <c r="AN875" i="1"/>
  <c r="AN874" i="1"/>
  <c r="AN873" i="1"/>
  <c r="AN872" i="1"/>
  <c r="AN871" i="1"/>
  <c r="AN870" i="1"/>
  <c r="AN869" i="1"/>
  <c r="AN868" i="1"/>
  <c r="AN867" i="1"/>
  <c r="AN866" i="1"/>
  <c r="AN865" i="1"/>
  <c r="AN864" i="1"/>
  <c r="AN863" i="1"/>
  <c r="AN862" i="1"/>
  <c r="AN861" i="1"/>
  <c r="AN860" i="1"/>
  <c r="AN859" i="1"/>
  <c r="AN858" i="1"/>
  <c r="AN857" i="1"/>
  <c r="AN856" i="1"/>
  <c r="AN855" i="1"/>
  <c r="AN854" i="1"/>
  <c r="AN853" i="1"/>
  <c r="AN852" i="1"/>
  <c r="AN851" i="1"/>
  <c r="AN850" i="1"/>
  <c r="AN849" i="1"/>
  <c r="AN848" i="1"/>
  <c r="AN847" i="1"/>
  <c r="AN846" i="1"/>
  <c r="AN845" i="1"/>
  <c r="AN844" i="1"/>
  <c r="AN843" i="1"/>
  <c r="AN842" i="1"/>
  <c r="AN841" i="1"/>
  <c r="AN840" i="1"/>
  <c r="AN839" i="1"/>
  <c r="AN838" i="1"/>
  <c r="AN837" i="1"/>
  <c r="AN836" i="1"/>
  <c r="AN835" i="1"/>
  <c r="AN834" i="1"/>
  <c r="AN833" i="1"/>
  <c r="AN832" i="1"/>
  <c r="AN831" i="1"/>
  <c r="AN830" i="1"/>
  <c r="AN829" i="1"/>
  <c r="AN828" i="1"/>
  <c r="AN827" i="1"/>
  <c r="AN826" i="1"/>
  <c r="AN825" i="1"/>
  <c r="AN824" i="1"/>
  <c r="AN823" i="1"/>
  <c r="AN822" i="1"/>
  <c r="AN821" i="1"/>
  <c r="AN820" i="1"/>
  <c r="AN819" i="1"/>
  <c r="AN818" i="1"/>
  <c r="AN817" i="1"/>
  <c r="AN816" i="1"/>
  <c r="AN815" i="1"/>
  <c r="AN814" i="1"/>
  <c r="AN813" i="1"/>
  <c r="AN812" i="1"/>
  <c r="AN811" i="1"/>
  <c r="AN810" i="1"/>
  <c r="AN809" i="1"/>
  <c r="AN808" i="1"/>
  <c r="AN807" i="1"/>
  <c r="AN806" i="1"/>
  <c r="AN805" i="1"/>
  <c r="AN804" i="1"/>
  <c r="AN803" i="1"/>
  <c r="AN802" i="1"/>
  <c r="AN801" i="1"/>
  <c r="AN800" i="1"/>
  <c r="AN799" i="1"/>
  <c r="AN798" i="1"/>
  <c r="AN797" i="1"/>
  <c r="AN796" i="1"/>
  <c r="AN795" i="1"/>
  <c r="AN794" i="1"/>
  <c r="AN793" i="1"/>
  <c r="AN792" i="1"/>
  <c r="AN791" i="1"/>
  <c r="AN529" i="1"/>
  <c r="AN392" i="1"/>
  <c r="E11" i="6" l="1"/>
  <c r="AW128" i="1" l="1"/>
  <c r="AV128" i="1"/>
  <c r="AW127" i="1"/>
  <c r="AV127" i="1"/>
  <c r="AW93" i="1"/>
  <c r="AV93" i="1"/>
  <c r="AW92" i="1"/>
  <c r="AV92" i="1"/>
  <c r="AW91" i="1"/>
  <c r="AV91" i="1"/>
  <c r="AW38" i="1"/>
  <c r="AV38" i="1"/>
  <c r="AW37" i="1"/>
  <c r="AV37" i="1"/>
  <c r="AW41" i="1" l="1"/>
  <c r="AV41" i="1"/>
  <c r="AW40" i="1"/>
  <c r="AV40" i="1"/>
  <c r="AW34" i="1" l="1"/>
  <c r="AV34" i="1"/>
  <c r="AW6" i="1" l="1"/>
  <c r="AV6" i="1"/>
  <c r="AW5" i="1"/>
  <c r="AV5" i="1"/>
  <c r="AW4" i="1"/>
  <c r="AV4" i="1"/>
  <c r="E3" i="6" l="1"/>
  <c r="E4" i="6"/>
  <c r="E5" i="6"/>
  <c r="E6" i="6"/>
  <c r="E8" i="6"/>
  <c r="E9" i="6"/>
  <c r="E10" i="6"/>
  <c r="E21" i="6"/>
  <c r="E22" i="6"/>
  <c r="E23" i="6"/>
  <c r="E24" i="6"/>
  <c r="E25" i="6"/>
  <c r="E26" i="6"/>
  <c r="E27" i="6"/>
  <c r="E28" i="6"/>
  <c r="E29" i="6"/>
  <c r="E30" i="6"/>
  <c r="E31" i="6"/>
  <c r="E32" i="6"/>
  <c r="E33" i="6"/>
  <c r="E34" i="6"/>
  <c r="E35" i="6"/>
  <c r="E36" i="6"/>
  <c r="E37" i="6"/>
  <c r="E38" i="6"/>
  <c r="E39" i="6"/>
  <c r="E40" i="6"/>
  <c r="H40" i="6" s="1"/>
  <c r="E41" i="6"/>
  <c r="H41" i="6" s="1"/>
  <c r="E42" i="6"/>
  <c r="H42" i="6" s="1"/>
  <c r="E43" i="6"/>
  <c r="H43" i="6" s="1"/>
  <c r="E44" i="6"/>
  <c r="H44" i="6" s="1"/>
  <c r="E45" i="6"/>
  <c r="H45" i="6" s="1"/>
  <c r="E46" i="6"/>
  <c r="H46" i="6" s="1"/>
  <c r="E47" i="6"/>
  <c r="H47" i="6" s="1"/>
  <c r="E48" i="6"/>
  <c r="H48" i="6" s="1"/>
  <c r="E49" i="6"/>
  <c r="H49" i="6" s="1"/>
  <c r="E50" i="6"/>
  <c r="H50" i="6" s="1"/>
  <c r="E51" i="6"/>
  <c r="H51" i="6" s="1"/>
  <c r="E52" i="6"/>
  <c r="H52" i="6" s="1"/>
  <c r="E53" i="6"/>
  <c r="H53" i="6" s="1"/>
  <c r="E54" i="6"/>
  <c r="H54" i="6" s="1"/>
  <c r="E55" i="6"/>
  <c r="H55" i="6" s="1"/>
  <c r="E56" i="6"/>
  <c r="H56" i="6" s="1"/>
  <c r="E57" i="6"/>
  <c r="H57" i="6" s="1"/>
  <c r="E58" i="6"/>
  <c r="H58" i="6" s="1"/>
  <c r="E59" i="6"/>
  <c r="H59" i="6" s="1"/>
  <c r="E60" i="6"/>
  <c r="H60" i="6" s="1"/>
  <c r="E61" i="6"/>
  <c r="H61" i="6" s="1"/>
  <c r="E62" i="6"/>
  <c r="H62" i="6" s="1"/>
  <c r="E63" i="6"/>
  <c r="H63" i="6" s="1"/>
  <c r="E64" i="6"/>
  <c r="H64" i="6" s="1"/>
  <c r="E65" i="6"/>
  <c r="H65" i="6" s="1"/>
  <c r="E66" i="6"/>
  <c r="H66" i="6" s="1"/>
  <c r="E67" i="6"/>
  <c r="H67" i="6" s="1"/>
  <c r="E68" i="6"/>
  <c r="H68" i="6" s="1"/>
  <c r="E69" i="6"/>
  <c r="H69" i="6" s="1"/>
  <c r="E70" i="6"/>
  <c r="H70" i="6" s="1"/>
  <c r="E71" i="6"/>
  <c r="H71" i="6" s="1"/>
  <c r="E72" i="6"/>
  <c r="H72" i="6" s="1"/>
  <c r="E73" i="6"/>
  <c r="H73" i="6" s="1"/>
  <c r="E74" i="6"/>
  <c r="H74" i="6" s="1"/>
  <c r="E75" i="6"/>
  <c r="H75" i="6" s="1"/>
  <c r="E76" i="6"/>
  <c r="H76" i="6" s="1"/>
  <c r="E77" i="6"/>
  <c r="H77" i="6" s="1"/>
  <c r="E78" i="6"/>
  <c r="H78" i="6" s="1"/>
  <c r="E79" i="6"/>
  <c r="H79" i="6" s="1"/>
  <c r="E80" i="6"/>
  <c r="H80" i="6" s="1"/>
  <c r="E81" i="6"/>
  <c r="H81" i="6" s="1"/>
  <c r="E82" i="6"/>
  <c r="H82" i="6" s="1"/>
  <c r="E83" i="6"/>
  <c r="H83" i="6" s="1"/>
  <c r="E84" i="6"/>
  <c r="H84" i="6" s="1"/>
  <c r="E85" i="6"/>
  <c r="H85" i="6" s="1"/>
  <c r="E86" i="6"/>
  <c r="H86" i="6" s="1"/>
  <c r="E87" i="6"/>
  <c r="H87" i="6" s="1"/>
  <c r="E88" i="6"/>
  <c r="H88" i="6" s="1"/>
  <c r="E89" i="6"/>
  <c r="H89" i="6" s="1"/>
  <c r="E90" i="6"/>
  <c r="H90" i="6" s="1"/>
  <c r="E91" i="6"/>
  <c r="H91" i="6" s="1"/>
  <c r="E2" i="6"/>
  <c r="Z290" i="1" l="1"/>
  <c r="Z291" i="1"/>
  <c r="Z289" i="1"/>
  <c r="Z256" i="1"/>
  <c r="Z254" i="1"/>
  <c r="Z253" i="1"/>
  <c r="Z255" i="1"/>
  <c r="Z264" i="1"/>
  <c r="Z263" i="1"/>
  <c r="Z265" i="1"/>
  <c r="Z248" i="1"/>
  <c r="Z249" i="1"/>
  <c r="Z247" i="1"/>
  <c r="Z251" i="1"/>
  <c r="Z252" i="1"/>
  <c r="Z250" i="1"/>
  <c r="Z276" i="1"/>
  <c r="Z277" i="1"/>
  <c r="Z279" i="1"/>
  <c r="Z278" i="1"/>
  <c r="Z240" i="1"/>
  <c r="Z241" i="1"/>
  <c r="Z239" i="1"/>
  <c r="Z275" i="1"/>
  <c r="Z274" i="1"/>
  <c r="Z286" i="1"/>
  <c r="Z284" i="1"/>
  <c r="Z285" i="1"/>
  <c r="Z261" i="1"/>
  <c r="Z260" i="1"/>
  <c r="Z262" i="1"/>
  <c r="Z266" i="1"/>
  <c r="Z267" i="1"/>
  <c r="Z268" i="1"/>
  <c r="Z287" i="1"/>
  <c r="Z288" i="1"/>
  <c r="Z294" i="1"/>
  <c r="Z295" i="1"/>
  <c r="Z272" i="1"/>
  <c r="Z273" i="1"/>
  <c r="Z271" i="1"/>
  <c r="Z245" i="1"/>
  <c r="Z246" i="1"/>
  <c r="Z292" i="1"/>
  <c r="Z293" i="1"/>
  <c r="Z282" i="1"/>
  <c r="Z280" i="1"/>
  <c r="Z283" i="1"/>
  <c r="Z281" i="1"/>
  <c r="Z269" i="1"/>
  <c r="Z270" i="1"/>
  <c r="Z257" i="1"/>
  <c r="Z258" i="1"/>
  <c r="Z259" i="1"/>
  <c r="Z244" i="1"/>
  <c r="Z242" i="1"/>
  <c r="Z243" i="1"/>
  <c r="Z224" i="1"/>
  <c r="Z225" i="1"/>
  <c r="Z226" i="1"/>
  <c r="Z228" i="1"/>
  <c r="Z229" i="1"/>
  <c r="Z227" i="1"/>
  <c r="Z216" i="1"/>
  <c r="Z217" i="1"/>
  <c r="Z215" i="1"/>
  <c r="Z238" i="1"/>
  <c r="Z236" i="1"/>
  <c r="Z237" i="1"/>
  <c r="Z214" i="1"/>
  <c r="Z212" i="1"/>
  <c r="Z213" i="1"/>
  <c r="Z233" i="1"/>
  <c r="Z234" i="1"/>
  <c r="Z235" i="1"/>
  <c r="Z222" i="1"/>
  <c r="Z223" i="1"/>
  <c r="Z209" i="1"/>
  <c r="Z210" i="1"/>
  <c r="Z211" i="1"/>
  <c r="Z230" i="1"/>
  <c r="Z231" i="1"/>
  <c r="Z232" i="1"/>
  <c r="Z219" i="1"/>
  <c r="Z220" i="1"/>
  <c r="Z221" i="1"/>
  <c r="Z218" i="1"/>
  <c r="Z208" i="1"/>
  <c r="Z206" i="1"/>
  <c r="Z207" i="1"/>
  <c r="Z167" i="1"/>
  <c r="Z181" i="1"/>
  <c r="Z180" i="1"/>
  <c r="Z176" i="1"/>
  <c r="Z170" i="1"/>
  <c r="Z174" i="1"/>
  <c r="Z171" i="1"/>
  <c r="Z169" i="1"/>
  <c r="Z177" i="1"/>
  <c r="Z172" i="1"/>
  <c r="Z175" i="1"/>
  <c r="Z173" i="1"/>
  <c r="Z168" i="1"/>
  <c r="Z140" i="1"/>
  <c r="Z188" i="1"/>
  <c r="Z190" i="1"/>
  <c r="Z189" i="1"/>
  <c r="Z191" i="1"/>
  <c r="Z203" i="1"/>
  <c r="Z199" i="1"/>
  <c r="Z204" i="1"/>
  <c r="Z201" i="1"/>
  <c r="Z202" i="1"/>
  <c r="Z200" i="1"/>
  <c r="Z185" i="1"/>
  <c r="Z187" i="1"/>
  <c r="Z186" i="1"/>
  <c r="Z179" i="1"/>
  <c r="Z178" i="1"/>
  <c r="Z104" i="1"/>
  <c r="Z142" i="1"/>
  <c r="Z143" i="1"/>
  <c r="Z125" i="1"/>
  <c r="Z127" i="1"/>
  <c r="Z128" i="1"/>
  <c r="Z120" i="1"/>
  <c r="Z108" i="1"/>
  <c r="Z107" i="1"/>
  <c r="Z106" i="1"/>
  <c r="Z105" i="1"/>
  <c r="Z205" i="1"/>
  <c r="Z196" i="1"/>
  <c r="Z198" i="1"/>
  <c r="Z197" i="1"/>
  <c r="Z184" i="1"/>
  <c r="Z183" i="1"/>
  <c r="Z182" i="1"/>
  <c r="Z166" i="1"/>
  <c r="Z165" i="1"/>
  <c r="Z103" i="1"/>
  <c r="Z138" i="1"/>
  <c r="Z139" i="1"/>
  <c r="Z119" i="1"/>
  <c r="Z118" i="1"/>
  <c r="Z117" i="1"/>
  <c r="Z100" i="1"/>
  <c r="Z102" i="1"/>
  <c r="Z101" i="1"/>
  <c r="Z192" i="1"/>
  <c r="Z195" i="1"/>
  <c r="Z194" i="1"/>
  <c r="Z193" i="1"/>
  <c r="Z163" i="1"/>
  <c r="Z164" i="1"/>
  <c r="Z162" i="1"/>
  <c r="Z149" i="1"/>
  <c r="Z159" i="1"/>
  <c r="Z133" i="1"/>
  <c r="Z137" i="1"/>
  <c r="Z134" i="1"/>
  <c r="Z115" i="1"/>
  <c r="Z114" i="1"/>
  <c r="Z116" i="1"/>
  <c r="Z146" i="1"/>
  <c r="Z145" i="1"/>
  <c r="Z148" i="1"/>
  <c r="Z130" i="1"/>
  <c r="Z129" i="1"/>
  <c r="Z132" i="1"/>
  <c r="Z126" i="1"/>
  <c r="Z110" i="1"/>
  <c r="Z113" i="1"/>
  <c r="Z112" i="1"/>
  <c r="AW50" i="1"/>
  <c r="AW662" i="1"/>
  <c r="AV3" i="1" l="1"/>
  <c r="AV7" i="1"/>
  <c r="AV8" i="1"/>
  <c r="AV9" i="1"/>
  <c r="AV11" i="1"/>
  <c r="AV12" i="1"/>
  <c r="AV13" i="1"/>
  <c r="AV14" i="1"/>
  <c r="AV16" i="1"/>
  <c r="AV17" i="1"/>
  <c r="AV10" i="1"/>
  <c r="AV15" i="1"/>
  <c r="AV25" i="1"/>
  <c r="AV26" i="1"/>
  <c r="AV30" i="1"/>
  <c r="AV20" i="1"/>
  <c r="AV21" i="1"/>
  <c r="AV31" i="1"/>
  <c r="AV32" i="1"/>
  <c r="AV33" i="1"/>
  <c r="AV35" i="1"/>
  <c r="AV36" i="1"/>
  <c r="AV39" i="1"/>
  <c r="AV42" i="1"/>
  <c r="AV43" i="1"/>
  <c r="AV47" i="1"/>
  <c r="AV48" i="1"/>
  <c r="AV49" i="1"/>
  <c r="AV50" i="1"/>
  <c r="AV51" i="1"/>
  <c r="AV52" i="1"/>
  <c r="AV53" i="1"/>
  <c r="AV54" i="1"/>
  <c r="AV58" i="1"/>
  <c r="AV59" i="1"/>
  <c r="AV62" i="1"/>
  <c r="AV63" i="1"/>
  <c r="AV64" i="1"/>
  <c r="AV65" i="1"/>
  <c r="AV67" i="1"/>
  <c r="AV68" i="1"/>
  <c r="AV69" i="1"/>
  <c r="AV70" i="1"/>
  <c r="AV71" i="1"/>
  <c r="AV72" i="1"/>
  <c r="AV73" i="1"/>
  <c r="AV74" i="1"/>
  <c r="AV75" i="1"/>
  <c r="AV77" i="1"/>
  <c r="AV76" i="1"/>
  <c r="AV78" i="1"/>
  <c r="AV79" i="1"/>
  <c r="AV80" i="1"/>
  <c r="AV81" i="1"/>
  <c r="AV82" i="1"/>
  <c r="AV83" i="1"/>
  <c r="AV84" i="1"/>
  <c r="AV85" i="1"/>
  <c r="AV86" i="1"/>
  <c r="AV87" i="1"/>
  <c r="AV88" i="1"/>
  <c r="AV89" i="1"/>
  <c r="AV90" i="1"/>
  <c r="AV94" i="1"/>
  <c r="AV95" i="1"/>
  <c r="AV96" i="1"/>
  <c r="AV98" i="1"/>
  <c r="AV99" i="1"/>
  <c r="AV100" i="1"/>
  <c r="AV101" i="1"/>
  <c r="AV105" i="1"/>
  <c r="AV106" i="1"/>
  <c r="AV112" i="1"/>
  <c r="AV108" i="1"/>
  <c r="AV109" i="1"/>
  <c r="AV110" i="1"/>
  <c r="AV111" i="1"/>
  <c r="AV113" i="1"/>
  <c r="AV114" i="1"/>
  <c r="AV115" i="1"/>
  <c r="AV116" i="1"/>
  <c r="AV117" i="1"/>
  <c r="AV118" i="1"/>
  <c r="AV119" i="1"/>
  <c r="AV120" i="1"/>
  <c r="AV121" i="1"/>
  <c r="AV122" i="1"/>
  <c r="AV123" i="1"/>
  <c r="AV124" i="1"/>
  <c r="AV125" i="1"/>
  <c r="AV126" i="1"/>
  <c r="AV129" i="1"/>
  <c r="AV130" i="1"/>
  <c r="AV131" i="1"/>
  <c r="AV132" i="1"/>
  <c r="AV134" i="1"/>
  <c r="AV135" i="1"/>
  <c r="AV136" i="1"/>
  <c r="AV137" i="1"/>
  <c r="AV138" i="1"/>
  <c r="AV139" i="1"/>
  <c r="AV141" i="1"/>
  <c r="AV142" i="1"/>
  <c r="AV143" i="1"/>
  <c r="AV144" i="1"/>
  <c r="AV145" i="1"/>
  <c r="AV146" i="1"/>
  <c r="AV147" i="1"/>
  <c r="AV148" i="1"/>
  <c r="AV149" i="1"/>
  <c r="AV150" i="1"/>
  <c r="AV151" i="1"/>
  <c r="AV152" i="1"/>
  <c r="AV153" i="1"/>
  <c r="AV154" i="1"/>
  <c r="AV155" i="1"/>
  <c r="AV156" i="1"/>
  <c r="AV157" i="1"/>
  <c r="AV158" i="1"/>
  <c r="AV159" i="1"/>
  <c r="AV160" i="1"/>
  <c r="AV161" i="1"/>
  <c r="AV162" i="1"/>
  <c r="AV165" i="1"/>
  <c r="AV178" i="1"/>
  <c r="AV179" i="1"/>
  <c r="AV180" i="1"/>
  <c r="AV181" i="1"/>
  <c r="AV182" i="1"/>
  <c r="AV183" i="1"/>
  <c r="AV184" i="1"/>
  <c r="AV185" i="1"/>
  <c r="AV186" i="1"/>
  <c r="AV187" i="1"/>
  <c r="AV188" i="1"/>
  <c r="AV189" i="1"/>
  <c r="AV190" i="1"/>
  <c r="AV191" i="1"/>
  <c r="AV192" i="1"/>
  <c r="AV193" i="1"/>
  <c r="AV194" i="1"/>
  <c r="AV195" i="1"/>
  <c r="AV196" i="1"/>
  <c r="AV197" i="1"/>
  <c r="AV198" i="1"/>
  <c r="AV205"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27" i="1"/>
  <c r="AV1433" i="1"/>
  <c r="AV1434" i="1"/>
  <c r="AV1435" i="1"/>
  <c r="AV1436" i="1"/>
  <c r="AV1437" i="1"/>
  <c r="AV1438" i="1"/>
  <c r="AV1439" i="1"/>
  <c r="AV1440" i="1"/>
  <c r="AV1441" i="1"/>
  <c r="AV1442" i="1"/>
  <c r="AV1443" i="1"/>
  <c r="AV1444" i="1"/>
  <c r="AV1445" i="1"/>
  <c r="AV1446" i="1"/>
  <c r="AV1447" i="1"/>
  <c r="AV1448" i="1"/>
  <c r="AV1450" i="1"/>
  <c r="AV1451" i="1"/>
  <c r="AV1452" i="1"/>
  <c r="AV1453" i="1"/>
  <c r="AV1454" i="1"/>
  <c r="AV1455" i="1"/>
  <c r="AV1456" i="1"/>
  <c r="AV1457" i="1"/>
  <c r="AV1458" i="1"/>
  <c r="AV1459" i="1"/>
  <c r="AV1460" i="1"/>
  <c r="AV1461" i="1"/>
  <c r="AV1462" i="1"/>
  <c r="AV1463" i="1"/>
  <c r="AV1464"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9" i="1"/>
  <c r="AV1500"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2" i="1"/>
  <c r="AW195" i="1" l="1"/>
  <c r="AW98" i="1"/>
  <c r="AW196" i="1" l="1"/>
  <c r="AW193" i="1"/>
  <c r="AW184" i="1"/>
  <c r="AW180" i="1"/>
  <c r="AW178" i="1"/>
  <c r="AW151" i="1"/>
  <c r="AW149" i="1"/>
  <c r="AW143" i="1"/>
  <c r="AW205" i="1"/>
  <c r="AW198" i="1"/>
  <c r="AW197" i="1"/>
  <c r="AW194" i="1"/>
  <c r="AW192" i="1"/>
  <c r="AW191" i="1"/>
  <c r="AW190" i="1"/>
  <c r="AW189" i="1"/>
  <c r="AW188" i="1"/>
  <c r="AW187" i="1"/>
  <c r="AW186" i="1"/>
  <c r="AW185" i="1"/>
  <c r="AW183" i="1"/>
  <c r="AW182" i="1"/>
  <c r="AW181" i="1"/>
  <c r="AW179" i="1"/>
  <c r="AW165" i="1"/>
  <c r="AW162" i="1" l="1"/>
  <c r="AW161" i="1"/>
  <c r="AW160" i="1"/>
  <c r="AW159" i="1"/>
  <c r="AW158" i="1"/>
  <c r="AW157" i="1"/>
  <c r="AW156" i="1"/>
  <c r="AW155" i="1"/>
  <c r="AW154" i="1" l="1"/>
  <c r="AW153" i="1"/>
  <c r="AW152" i="1"/>
  <c r="AW150" i="1"/>
  <c r="AW148" i="1"/>
  <c r="AW147" i="1"/>
  <c r="AW146" i="1"/>
  <c r="AW145" i="1"/>
  <c r="AW144" i="1"/>
  <c r="AW142" i="1"/>
  <c r="AW141" i="1"/>
  <c r="AW139" i="1"/>
  <c r="AW138" i="1"/>
  <c r="AW137" i="1"/>
  <c r="AW136" i="1"/>
  <c r="AW135" i="1"/>
  <c r="AW134" i="1"/>
  <c r="AW126" i="1" l="1"/>
  <c r="AW124" i="1"/>
  <c r="AW119" i="1"/>
  <c r="AW110" i="1"/>
  <c r="AW106" i="1"/>
  <c r="AW132" i="1"/>
  <c r="AW131" i="1"/>
  <c r="AW130" i="1"/>
  <c r="AW129" i="1"/>
  <c r="AW125" i="1"/>
  <c r="AW123" i="1"/>
  <c r="AW122" i="1"/>
  <c r="AW121" i="1"/>
  <c r="AW120" i="1"/>
  <c r="AW118" i="1"/>
  <c r="AW117" i="1"/>
  <c r="AW116" i="1"/>
  <c r="AW115" i="1"/>
  <c r="AW114" i="1"/>
  <c r="AW113" i="1"/>
  <c r="AW111" i="1"/>
  <c r="AW109" i="1"/>
  <c r="AW108" i="1"/>
  <c r="AW112" i="1"/>
  <c r="AW100" i="1" l="1"/>
  <c r="AW95" i="1"/>
  <c r="AW85" i="1"/>
  <c r="AW105" i="1"/>
  <c r="AW101" i="1"/>
  <c r="AW99" i="1"/>
  <c r="AW96" i="1"/>
  <c r="AW94" i="1"/>
  <c r="AW90" i="1"/>
  <c r="AW89" i="1"/>
  <c r="AW88" i="1"/>
  <c r="AW87" i="1"/>
  <c r="AW86" i="1"/>
  <c r="AW84" i="1"/>
  <c r="AW83" i="1"/>
  <c r="AW82" i="1"/>
  <c r="AW81" i="1"/>
  <c r="AW80" i="1"/>
  <c r="AW78" i="1" l="1"/>
  <c r="AW74" i="1"/>
  <c r="AW79" i="1"/>
  <c r="AW76" i="1"/>
  <c r="AW75" i="1"/>
  <c r="AW73" i="1"/>
  <c r="AW72" i="1"/>
  <c r="AW71" i="1"/>
  <c r="AW70" i="1"/>
  <c r="AW69" i="1"/>
  <c r="AW68" i="1"/>
  <c r="AW59" i="1"/>
  <c r="AW51" i="1"/>
  <c r="AW63" i="1"/>
  <c r="AW67" i="1"/>
  <c r="AW65" i="1"/>
  <c r="AW64" i="1"/>
  <c r="AW62" i="1"/>
  <c r="AW58" i="1"/>
  <c r="AW54" i="1"/>
  <c r="AW53" i="1"/>
  <c r="AW42" i="1"/>
  <c r="AW35" i="1"/>
  <c r="AW30" i="1"/>
  <c r="AW17" i="1"/>
  <c r="AW12" i="1"/>
  <c r="AW8" i="1"/>
  <c r="AW52" i="1" l="1"/>
  <c r="AW49" i="1"/>
  <c r="AW48" i="1"/>
  <c r="AW47" i="1"/>
  <c r="AW43" i="1"/>
  <c r="AW39" i="1"/>
  <c r="AW36" i="1"/>
  <c r="AW33" i="1" l="1"/>
  <c r="AW32" i="1"/>
  <c r="AW31" i="1"/>
  <c r="AW21" i="1"/>
  <c r="AW20" i="1"/>
  <c r="AW26" i="1"/>
  <c r="AW25" i="1"/>
  <c r="AW15" i="1"/>
  <c r="AW10" i="1"/>
  <c r="AW16" i="1"/>
  <c r="AW14" i="1"/>
  <c r="AW13" i="1"/>
  <c r="AW11" i="1" l="1"/>
  <c r="AW9" i="1"/>
  <c r="AW7" i="1"/>
  <c r="AW3" i="1"/>
  <c r="AW2" i="1"/>
  <c r="AK1781" i="1" l="1"/>
  <c r="AK1780" i="1"/>
  <c r="AK1760" i="1"/>
  <c r="AK1759" i="1"/>
  <c r="AK1739" i="1"/>
  <c r="AK1738" i="1"/>
  <c r="AK1719" i="1"/>
  <c r="AK1718" i="1"/>
  <c r="AK1699" i="1"/>
  <c r="AK1698" i="1"/>
  <c r="AF1547" i="1"/>
  <c r="AM1147" i="1"/>
  <c r="AF1147" i="1"/>
  <c r="AM1570" i="1"/>
  <c r="AM1559" i="1"/>
  <c r="AM1880" i="1"/>
  <c r="AM1879" i="1"/>
  <c r="AM1897" i="1"/>
  <c r="AM1893" i="1"/>
  <c r="AM1894" i="1"/>
  <c r="AF1408" i="1"/>
  <c r="AF1407" i="1"/>
  <c r="AF1406" i="1"/>
  <c r="AF1405" i="1"/>
  <c r="AF1404" i="1"/>
  <c r="AF1403" i="1"/>
  <c r="AF1402" i="1"/>
  <c r="AF1401" i="1"/>
  <c r="AF1400" i="1"/>
  <c r="AF1399" i="1"/>
  <c r="AF1398" i="1"/>
  <c r="AF1397" i="1"/>
  <c r="AF1396" i="1"/>
  <c r="AF1395" i="1"/>
  <c r="AF1394" i="1"/>
  <c r="AF1393" i="1"/>
  <c r="AF1392" i="1"/>
  <c r="AF1391" i="1"/>
  <c r="AF1390" i="1"/>
  <c r="AF1389" i="1"/>
  <c r="AF1388" i="1"/>
  <c r="AF1387" i="1"/>
  <c r="AF1386" i="1"/>
  <c r="AF1385" i="1"/>
  <c r="AF1384" i="1"/>
  <c r="AF1383" i="1"/>
  <c r="AF1382" i="1"/>
  <c r="AF1381" i="1"/>
  <c r="AF1380" i="1"/>
  <c r="AF1379" i="1"/>
  <c r="AF1378" i="1"/>
  <c r="AF1377" i="1"/>
  <c r="AF1376" i="1"/>
  <c r="AF1375" i="1"/>
  <c r="AF1374" i="1"/>
  <c r="AF1298" i="1"/>
  <c r="AF1297" i="1"/>
  <c r="AF1296" i="1"/>
  <c r="AF1295" i="1"/>
  <c r="AF1294" i="1"/>
  <c r="AF1293" i="1"/>
  <c r="AF1292" i="1"/>
  <c r="AF1291" i="1"/>
  <c r="AF1290" i="1"/>
  <c r="AF1289" i="1"/>
  <c r="AF1288" i="1"/>
  <c r="AF1287" i="1"/>
  <c r="AF1286" i="1"/>
  <c r="AF1285" i="1"/>
  <c r="AF1284" i="1"/>
  <c r="AF1283" i="1"/>
  <c r="AF1282" i="1"/>
  <c r="AF1281" i="1"/>
  <c r="AF1280" i="1"/>
  <c r="AF1279" i="1"/>
  <c r="AF1278" i="1"/>
  <c r="AF1277" i="1"/>
  <c r="AF1276" i="1"/>
  <c r="AF1275" i="1"/>
  <c r="AF1274" i="1"/>
  <c r="AF1273" i="1"/>
  <c r="AF1272" i="1"/>
  <c r="AF1271" i="1"/>
  <c r="AF1270" i="1"/>
  <c r="AF1885" i="1"/>
  <c r="AF1781" i="1"/>
  <c r="AF1780" i="1"/>
  <c r="AF1777" i="1"/>
  <c r="AF1776" i="1"/>
  <c r="AF1760" i="1"/>
  <c r="AF1759" i="1"/>
  <c r="AF1756" i="1"/>
  <c r="AF1755" i="1"/>
  <c r="AF1739" i="1"/>
  <c r="AF1738" i="1"/>
  <c r="AF1735" i="1"/>
  <c r="AF1734" i="1"/>
  <c r="AF1719" i="1"/>
  <c r="AF1718" i="1"/>
  <c r="AF1715" i="1"/>
  <c r="AF1714" i="1"/>
  <c r="AF1699" i="1"/>
  <c r="AF1698" i="1"/>
  <c r="AF1695" i="1"/>
  <c r="AF1694" i="1"/>
  <c r="AF1546" i="1"/>
  <c r="AF1136" i="1"/>
  <c r="AF1127" i="1"/>
  <c r="AF1779" i="1"/>
  <c r="AF1778" i="1"/>
  <c r="AF1775" i="1"/>
  <c r="AF1774" i="1"/>
  <c r="AF1758" i="1"/>
  <c r="AF1757" i="1"/>
  <c r="AF1754" i="1"/>
  <c r="AF1753" i="1"/>
  <c r="AF1737" i="1"/>
  <c r="AF1736" i="1"/>
  <c r="AF1733" i="1"/>
  <c r="AF1732" i="1"/>
  <c r="AF1717" i="1"/>
  <c r="AF1716" i="1"/>
  <c r="AF1713" i="1"/>
  <c r="AF1712" i="1"/>
  <c r="AF1697" i="1"/>
  <c r="AF1696" i="1"/>
  <c r="AF1693" i="1"/>
  <c r="AF1692" i="1"/>
  <c r="AF955" i="1"/>
  <c r="AF954" i="1"/>
  <c r="AF953" i="1"/>
  <c r="AF952" i="1"/>
  <c r="AF951" i="1"/>
  <c r="AF950" i="1"/>
  <c r="AF949" i="1"/>
  <c r="AF948" i="1"/>
  <c r="AF947" i="1"/>
  <c r="AF946" i="1"/>
  <c r="AF945" i="1"/>
  <c r="AF944" i="1"/>
  <c r="AF943" i="1"/>
  <c r="AF942" i="1"/>
  <c r="AF941" i="1"/>
  <c r="AF940" i="1"/>
  <c r="AF939" i="1"/>
  <c r="AF938" i="1"/>
  <c r="AF937" i="1"/>
  <c r="AF936" i="1"/>
  <c r="AF935" i="1"/>
  <c r="AF934" i="1"/>
  <c r="AF933" i="1"/>
  <c r="AF932" i="1"/>
  <c r="AF931" i="1"/>
  <c r="AF930" i="1"/>
  <c r="AF929" i="1"/>
  <c r="AF928" i="1"/>
  <c r="AF927" i="1"/>
  <c r="AF926" i="1"/>
  <c r="AF925" i="1"/>
  <c r="AF924" i="1"/>
  <c r="AF923" i="1"/>
  <c r="AF922" i="1"/>
  <c r="AF921" i="1"/>
  <c r="AF920" i="1"/>
  <c r="AF919" i="1"/>
  <c r="AF918" i="1"/>
  <c r="AF917" i="1"/>
  <c r="AF916" i="1"/>
  <c r="AF915" i="1"/>
  <c r="AF914" i="1"/>
  <c r="AF913" i="1"/>
  <c r="AF912" i="1"/>
  <c r="AF911" i="1"/>
  <c r="AF910" i="1"/>
  <c r="AF909" i="1"/>
  <c r="AF908" i="1"/>
  <c r="AF907" i="1"/>
  <c r="AF906" i="1"/>
  <c r="AF905" i="1"/>
  <c r="AF904" i="1"/>
  <c r="AF903" i="1"/>
  <c r="AF902" i="1"/>
  <c r="AF1888" i="1"/>
  <c r="AF901" i="1"/>
  <c r="AF900" i="1"/>
  <c r="AF899" i="1"/>
  <c r="AF898" i="1"/>
  <c r="AF897" i="1"/>
  <c r="AF896" i="1"/>
  <c r="AF895" i="1"/>
  <c r="AF894" i="1"/>
  <c r="AF893" i="1"/>
  <c r="AF892" i="1"/>
  <c r="AF891" i="1"/>
  <c r="AF890" i="1"/>
  <c r="AF889" i="1"/>
  <c r="AF888" i="1"/>
  <c r="AF887" i="1"/>
  <c r="AF886" i="1"/>
  <c r="AF885" i="1"/>
  <c r="AF884" i="1"/>
  <c r="AF883" i="1"/>
  <c r="AF882" i="1"/>
  <c r="AF881" i="1"/>
  <c r="AF880" i="1"/>
  <c r="AF879" i="1"/>
  <c r="AF878" i="1"/>
  <c r="AF877" i="1"/>
  <c r="AF876" i="1"/>
  <c r="AF875" i="1"/>
  <c r="AF874" i="1"/>
  <c r="AF873" i="1"/>
  <c r="AF872" i="1"/>
  <c r="AF871" i="1"/>
  <c r="AF870" i="1"/>
  <c r="AF869" i="1"/>
  <c r="AF868" i="1"/>
  <c r="AF867" i="1"/>
  <c r="AF866" i="1"/>
  <c r="AF865" i="1"/>
  <c r="AF864" i="1"/>
  <c r="AF863" i="1"/>
  <c r="AF862" i="1"/>
  <c r="AF861" i="1"/>
  <c r="AF860" i="1"/>
  <c r="AF859" i="1"/>
  <c r="AF858" i="1"/>
  <c r="AF857" i="1"/>
  <c r="AF856" i="1"/>
  <c r="AF855" i="1"/>
  <c r="AF854" i="1"/>
  <c r="AF853" i="1"/>
  <c r="AF852" i="1"/>
  <c r="AF851" i="1"/>
  <c r="AF850" i="1"/>
  <c r="AF849" i="1"/>
  <c r="AF848" i="1"/>
  <c r="AM392" i="1"/>
  <c r="AM1577" i="1" l="1"/>
  <c r="AM1550" i="1"/>
  <c r="AM1574" i="1"/>
  <c r="AM1563" i="1"/>
  <c r="AM1155" i="1"/>
  <c r="AF1155" i="1"/>
  <c r="AF1153" i="1"/>
  <c r="AM1575" i="1"/>
  <c r="AM1564" i="1"/>
  <c r="AF1152" i="1"/>
  <c r="AM1896" i="1"/>
  <c r="AM1895" i="1"/>
  <c r="AM1892" i="1"/>
  <c r="AM1573" i="1"/>
  <c r="AM1562" i="1"/>
  <c r="AF529" i="1" l="1"/>
  <c r="AW1113" i="1" l="1"/>
  <c r="AW471" i="1" l="1"/>
  <c r="AM796" i="1" l="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792" i="1"/>
  <c r="AM793" i="1"/>
  <c r="AM794" i="1"/>
  <c r="AM795" i="1"/>
  <c r="AM791" i="1"/>
  <c r="AF847" i="1" l="1"/>
  <c r="AF846" i="1"/>
  <c r="AF845" i="1"/>
  <c r="AF844" i="1"/>
  <c r="AF843" i="1"/>
  <c r="AF842" i="1"/>
  <c r="AF841" i="1"/>
  <c r="AF840" i="1"/>
  <c r="AF839" i="1"/>
  <c r="AF838" i="1"/>
  <c r="AF837" i="1"/>
  <c r="AF836" i="1"/>
  <c r="AF835" i="1"/>
  <c r="AF834" i="1"/>
  <c r="AF833" i="1"/>
  <c r="AF832" i="1"/>
  <c r="AF831" i="1"/>
  <c r="AF830" i="1"/>
  <c r="AF829" i="1"/>
  <c r="AF828" i="1"/>
  <c r="AF827" i="1"/>
  <c r="AF826" i="1"/>
  <c r="AF825" i="1"/>
  <c r="AF824" i="1"/>
  <c r="AF823" i="1"/>
  <c r="AF822" i="1"/>
  <c r="AF821" i="1"/>
  <c r="AF820" i="1"/>
  <c r="AF819" i="1"/>
  <c r="AF818" i="1"/>
  <c r="AF811" i="1"/>
  <c r="AF810" i="1"/>
  <c r="AF809" i="1"/>
  <c r="AF808" i="1"/>
  <c r="AF807" i="1"/>
  <c r="AF806" i="1"/>
  <c r="AF805" i="1"/>
  <c r="AF804" i="1"/>
  <c r="AF803" i="1"/>
  <c r="AF802" i="1"/>
  <c r="AF801" i="1"/>
  <c r="AF800" i="1"/>
  <c r="AF799" i="1"/>
  <c r="AF798" i="1"/>
  <c r="AF797" i="1"/>
  <c r="AF796" i="1"/>
  <c r="AF795" i="1"/>
  <c r="AF794" i="1"/>
  <c r="AW395" i="1" l="1"/>
  <c r="AM1890" i="1" l="1"/>
  <c r="AM1891" i="1"/>
  <c r="AM1888" i="1" l="1"/>
  <c r="AM1884" i="1" l="1"/>
  <c r="AW1890" i="1"/>
  <c r="AW1889" i="1" l="1"/>
  <c r="AW1888" i="1"/>
  <c r="AW1887" i="1"/>
  <c r="AF1887" i="1"/>
  <c r="AF1886" i="1"/>
  <c r="AW1897" i="1"/>
  <c r="AW1896" i="1"/>
  <c r="AW1895" i="1"/>
  <c r="AW1894" i="1"/>
  <c r="AW1893" i="1"/>
  <c r="AW1892" i="1"/>
  <c r="AW1891" i="1"/>
  <c r="AW1149" i="1" l="1"/>
  <c r="AN1149" i="1" l="1"/>
  <c r="AM1148" i="1"/>
  <c r="AF1149" i="1"/>
  <c r="AW1146" i="1" l="1"/>
  <c r="AF1146" i="1"/>
  <c r="AM1146" i="1"/>
  <c r="AW1158" i="1" l="1"/>
  <c r="AW1587" i="1" l="1"/>
  <c r="AW1586" i="1"/>
  <c r="AW1585" i="1"/>
  <c r="AW1584" i="1"/>
  <c r="AF1148" i="1" l="1"/>
  <c r="AM1548" i="1" l="1"/>
  <c r="AW1148" i="1" l="1"/>
  <c r="AW1147" i="1"/>
  <c r="AW1157" i="1" l="1"/>
  <c r="AM1883" i="1" l="1"/>
  <c r="AM1882" i="1"/>
  <c r="AW1886" i="1" l="1"/>
  <c r="AW1879" i="1" l="1"/>
  <c r="AW1884" i="1"/>
  <c r="AM1886" i="1" l="1"/>
  <c r="AW1885" i="1"/>
  <c r="AW1883" i="1"/>
  <c r="AW1882" i="1"/>
  <c r="AW1881" i="1"/>
  <c r="AW1880" i="1"/>
  <c r="AW1878" i="1"/>
  <c r="AM1878" i="1"/>
  <c r="AW1877" i="1"/>
  <c r="AM1877" i="1"/>
  <c r="AW1876" i="1"/>
  <c r="AM1876" i="1"/>
  <c r="AW1875" i="1"/>
  <c r="AM1875" i="1"/>
  <c r="AW1583" i="1" l="1"/>
  <c r="AM1143" i="1" l="1"/>
  <c r="AM1144" i="1" l="1"/>
  <c r="AF1143" i="1" l="1"/>
  <c r="AM1145" i="1" l="1"/>
  <c r="AW1145" i="1" l="1"/>
  <c r="AW1144" i="1"/>
  <c r="AF1145" i="1"/>
  <c r="AW1143" i="1"/>
  <c r="AF1578" i="1" l="1"/>
  <c r="AW1155" i="1" l="1"/>
  <c r="AM1579" i="1" l="1"/>
  <c r="AW1579" i="1"/>
  <c r="AW1578" i="1" l="1"/>
  <c r="AM1578" i="1"/>
  <c r="AW1577" i="1"/>
  <c r="AW1576" i="1" l="1"/>
  <c r="AW1142" i="1" l="1"/>
  <c r="AM1553" i="1" l="1"/>
  <c r="AW1553" i="1" l="1"/>
  <c r="AW1575" i="1"/>
  <c r="AW1574" i="1"/>
  <c r="AW1573" i="1"/>
  <c r="AW1572" i="1"/>
  <c r="AM1572" i="1"/>
  <c r="AW1571" i="1"/>
  <c r="AW1570" i="1"/>
  <c r="AW1569" i="1"/>
  <c r="AM1569" i="1"/>
  <c r="AW1568" i="1"/>
  <c r="AM1568" i="1"/>
  <c r="AW1567" i="1"/>
  <c r="AM1567" i="1"/>
  <c r="AW1566" i="1"/>
  <c r="AM1566" i="1"/>
  <c r="AW1565" i="1"/>
  <c r="AM1565" i="1"/>
  <c r="AM1277" i="1" l="1"/>
  <c r="AM1276" i="1"/>
  <c r="AM1275" i="1"/>
  <c r="AM1274" i="1"/>
  <c r="AM1273" i="1"/>
  <c r="AM1272" i="1"/>
  <c r="AW1154" i="1" l="1"/>
  <c r="AF1783" i="1" l="1"/>
  <c r="AF1762" i="1"/>
  <c r="AF1741" i="1"/>
  <c r="AF1721" i="1"/>
  <c r="AF1701" i="1"/>
  <c r="AW1582" i="1" l="1"/>
  <c r="AW1783" i="1" l="1"/>
  <c r="AK1783" i="1"/>
  <c r="AW1782" i="1"/>
  <c r="AW1762" i="1"/>
  <c r="AK1762" i="1"/>
  <c r="AW1761" i="1"/>
  <c r="AW1741" i="1"/>
  <c r="AK1741" i="1"/>
  <c r="AW1740" i="1"/>
  <c r="AW1721" i="1"/>
  <c r="AK1721" i="1"/>
  <c r="AW1720" i="1"/>
  <c r="AW1581" i="1" l="1"/>
  <c r="AK1701" i="1" l="1"/>
  <c r="AW1701" i="1"/>
  <c r="AW1700" i="1" l="1"/>
  <c r="AW1580" i="1" l="1"/>
  <c r="AW1390" i="1"/>
  <c r="AF1138" i="1" l="1"/>
  <c r="AW529" i="1" l="1"/>
  <c r="AW1141" i="1"/>
  <c r="AN1137" i="1" l="1"/>
  <c r="AF1135" i="1" l="1"/>
  <c r="AF1140" i="1" l="1"/>
  <c r="AW1140" i="1"/>
  <c r="AM1139" i="1"/>
  <c r="AF1137" i="1" l="1"/>
  <c r="AW1137" i="1"/>
  <c r="AF1139" i="1" l="1"/>
  <c r="AW1139" i="1"/>
  <c r="AW1138" i="1"/>
  <c r="AM1137" i="1"/>
  <c r="AM1136" i="1"/>
  <c r="AW1135" i="1"/>
  <c r="AF1150" i="1"/>
  <c r="AW1150" i="1"/>
  <c r="AW1136" i="1"/>
  <c r="AN1135" i="1"/>
  <c r="AM1135" i="1"/>
  <c r="AM1558" i="1" l="1"/>
  <c r="AM1557" i="1"/>
  <c r="AM1561" i="1" l="1"/>
  <c r="AM1556" i="1"/>
  <c r="AM1555" i="1"/>
  <c r="AW1552" i="1" l="1"/>
  <c r="AM1552" i="1"/>
  <c r="AF1551" i="1" l="1"/>
  <c r="AW1556" i="1" l="1"/>
  <c r="AW1557" i="1"/>
  <c r="AW1558" i="1"/>
  <c r="AW1559" i="1"/>
  <c r="AW1560" i="1"/>
  <c r="AW1561" i="1"/>
  <c r="AW1562" i="1"/>
  <c r="AW1563" i="1"/>
  <c r="AW1564" i="1"/>
  <c r="AW1555" i="1"/>
  <c r="AW1554" i="1"/>
  <c r="AM1554" i="1"/>
  <c r="AM1546" i="1" l="1"/>
  <c r="AW1551" i="1"/>
  <c r="AW1550" i="1"/>
  <c r="AM1549" i="1"/>
  <c r="AW1549" i="1"/>
  <c r="AW1548" i="1"/>
  <c r="AW1546" i="1"/>
  <c r="AW1547" i="1"/>
  <c r="AM1547" i="1"/>
  <c r="AW1134" i="1"/>
  <c r="AM1545" i="1"/>
  <c r="AW1545" i="1"/>
  <c r="AF1133" i="1"/>
  <c r="AW1133" i="1"/>
  <c r="AF1131" i="1"/>
  <c r="AF1128" i="1"/>
  <c r="AF1132" i="1"/>
  <c r="AW1132" i="1"/>
  <c r="AW1131" i="1"/>
  <c r="AF1130" i="1"/>
  <c r="AW1130" i="1"/>
  <c r="AW428" i="1"/>
  <c r="AF1129" i="1"/>
  <c r="AW1129" i="1"/>
  <c r="AW1128" i="1"/>
  <c r="AW1127" i="1"/>
  <c r="AF1126" i="1"/>
  <c r="AW1126" i="1"/>
  <c r="AW1064" i="1"/>
  <c r="AW1063" i="1"/>
  <c r="AW1528" i="1"/>
  <c r="AW1527" i="1"/>
  <c r="AW1526" i="1"/>
  <c r="AW1525" i="1"/>
  <c r="AW1123" i="1"/>
  <c r="AW1122" i="1"/>
  <c r="AW1121" i="1"/>
  <c r="AW1120" i="1"/>
  <c r="AW1043" i="1"/>
  <c r="AW1042" i="1"/>
  <c r="AM1692" i="1"/>
  <c r="AW1153" i="1"/>
  <c r="AM1153" i="1"/>
  <c r="AW1152" i="1"/>
  <c r="AM1152" i="1"/>
  <c r="AW1532" i="1"/>
  <c r="AW1151" i="1"/>
  <c r="AM1543" i="1"/>
  <c r="AM1544" i="1"/>
  <c r="AM1542" i="1"/>
  <c r="AM1541" i="1"/>
  <c r="AW1544" i="1"/>
  <c r="AW1543" i="1"/>
  <c r="AW1125" i="1"/>
  <c r="AN1539" i="1"/>
  <c r="AM1539" i="1"/>
  <c r="AW1542" i="1"/>
  <c r="AW1541" i="1"/>
  <c r="AM1540" i="1"/>
  <c r="AW1539" i="1"/>
  <c r="AW1540" i="1"/>
  <c r="AM1284" i="1"/>
  <c r="AM1285" i="1"/>
  <c r="AM1283" i="1"/>
  <c r="AM1279" i="1"/>
  <c r="AM1280" i="1"/>
  <c r="AM1281" i="1"/>
  <c r="AM1282" i="1"/>
  <c r="AM1278" i="1"/>
  <c r="AM1694" i="1"/>
  <c r="AM1695" i="1"/>
  <c r="AM1698" i="1"/>
  <c r="AM1699" i="1"/>
  <c r="AM1714" i="1"/>
  <c r="AM1715" i="1"/>
  <c r="AM1718" i="1"/>
  <c r="AM1719" i="1"/>
  <c r="AM1734" i="1"/>
  <c r="AM1735" i="1"/>
  <c r="AM1738" i="1"/>
  <c r="AM1739" i="1"/>
  <c r="AM1755" i="1"/>
  <c r="AM1756" i="1"/>
  <c r="AM1759" i="1"/>
  <c r="AM1760" i="1"/>
  <c r="AM1776" i="1"/>
  <c r="AM1777" i="1"/>
  <c r="AM1780" i="1"/>
  <c r="AM1781" i="1"/>
  <c r="AM1779" i="1"/>
  <c r="AM1778" i="1"/>
  <c r="AM1758" i="1"/>
  <c r="AM1757" i="1"/>
  <c r="AM1737" i="1"/>
  <c r="AM1736" i="1"/>
  <c r="AM1717" i="1"/>
  <c r="AM1716" i="1"/>
  <c r="AM1697" i="1"/>
  <c r="AM1696" i="1"/>
  <c r="AW1781" i="1"/>
  <c r="AW1780" i="1"/>
  <c r="AW1779" i="1"/>
  <c r="AK1779" i="1"/>
  <c r="AW1778" i="1"/>
  <c r="AK1778" i="1"/>
  <c r="AW1760" i="1"/>
  <c r="AW1759" i="1"/>
  <c r="AW1758" i="1"/>
  <c r="AK1758" i="1"/>
  <c r="AW1757" i="1"/>
  <c r="AK1757" i="1"/>
  <c r="AW1739" i="1"/>
  <c r="AW1738" i="1"/>
  <c r="AW1737" i="1"/>
  <c r="AK1737" i="1"/>
  <c r="AW1736" i="1"/>
  <c r="AK1736" i="1"/>
  <c r="AW1719" i="1"/>
  <c r="AW1718" i="1"/>
  <c r="AW1717" i="1"/>
  <c r="AK1717" i="1"/>
  <c r="AW1716" i="1"/>
  <c r="AK1716" i="1"/>
  <c r="AW1699" i="1"/>
  <c r="AK1697" i="1"/>
  <c r="AK1696" i="1"/>
  <c r="AW1698" i="1"/>
  <c r="AW1697" i="1"/>
  <c r="AW1696" i="1"/>
  <c r="AW1777" i="1"/>
  <c r="AK1777" i="1"/>
  <c r="AW1776" i="1"/>
  <c r="AK1776" i="1"/>
  <c r="AW1775" i="1"/>
  <c r="AM1775" i="1"/>
  <c r="AK1775" i="1"/>
  <c r="AW1756" i="1"/>
  <c r="AK1756" i="1"/>
  <c r="AW1755" i="1"/>
  <c r="AK1755" i="1"/>
  <c r="AW1754" i="1"/>
  <c r="AM1754" i="1"/>
  <c r="AK1754" i="1"/>
  <c r="AW1735" i="1"/>
  <c r="AK1735" i="1"/>
  <c r="AW1734" i="1"/>
  <c r="AK1734" i="1"/>
  <c r="AW1733" i="1"/>
  <c r="AM1733" i="1"/>
  <c r="AK1733" i="1"/>
  <c r="AW1715" i="1"/>
  <c r="AK1715" i="1"/>
  <c r="AW1714" i="1"/>
  <c r="AK1714" i="1"/>
  <c r="AW1713" i="1"/>
  <c r="AM1713" i="1"/>
  <c r="AK1713" i="1"/>
  <c r="AK1695" i="1"/>
  <c r="AW1695" i="1"/>
  <c r="AK1694" i="1"/>
  <c r="AW1694" i="1"/>
  <c r="AW1693" i="1"/>
  <c r="AM1693" i="1"/>
  <c r="AK1693" i="1"/>
  <c r="AW1692" i="1"/>
  <c r="AK1692" i="1"/>
  <c r="AW1774" i="1"/>
  <c r="AM1774" i="1"/>
  <c r="AK1774" i="1"/>
  <c r="AW1753" i="1"/>
  <c r="AM1753" i="1"/>
  <c r="AK1753" i="1"/>
  <c r="AW1732" i="1"/>
  <c r="AM1732" i="1"/>
  <c r="AK1732" i="1"/>
  <c r="AM1712" i="1"/>
  <c r="AW1712" i="1"/>
  <c r="AK1712" i="1"/>
  <c r="AW1702" i="1"/>
  <c r="AW1682" i="1"/>
  <c r="AW1722" i="1"/>
  <c r="AW1742" i="1"/>
  <c r="AW1743" i="1"/>
  <c r="AW1763" i="1"/>
  <c r="AW1764" i="1"/>
  <c r="AW515" i="1"/>
  <c r="AW1773" i="1"/>
  <c r="AW1772" i="1"/>
  <c r="AW1771" i="1"/>
  <c r="AW1770" i="1"/>
  <c r="AW1769" i="1"/>
  <c r="AW1768" i="1"/>
  <c r="AW1767" i="1"/>
  <c r="AW1766" i="1"/>
  <c r="AW1752" i="1"/>
  <c r="AW1751" i="1"/>
  <c r="AW1750" i="1"/>
  <c r="AW1749" i="1"/>
  <c r="AW1748" i="1"/>
  <c r="AW1747" i="1"/>
  <c r="AW1746" i="1"/>
  <c r="AW1745" i="1"/>
  <c r="AW1731" i="1"/>
  <c r="AW1730" i="1"/>
  <c r="AW1729" i="1"/>
  <c r="AW1728" i="1"/>
  <c r="AW1727" i="1"/>
  <c r="AW1726" i="1"/>
  <c r="AW1725" i="1"/>
  <c r="AW1724" i="1"/>
  <c r="AW1711" i="1"/>
  <c r="AW1710" i="1"/>
  <c r="AW1709" i="1"/>
  <c r="AW1708" i="1"/>
  <c r="AW1707" i="1"/>
  <c r="AW1706" i="1"/>
  <c r="AW1705" i="1"/>
  <c r="AW1704" i="1"/>
  <c r="AW1684" i="1"/>
  <c r="AW1685" i="1"/>
  <c r="AW1686" i="1"/>
  <c r="AW1687" i="1"/>
  <c r="AW1688" i="1"/>
  <c r="AW1689" i="1"/>
  <c r="AW1690" i="1"/>
  <c r="AW1691" i="1"/>
  <c r="AW1765" i="1"/>
  <c r="AW1744" i="1"/>
  <c r="AW1723" i="1"/>
  <c r="AW1703" i="1"/>
  <c r="AW1683" i="1"/>
  <c r="AW1538" i="1"/>
  <c r="AW1044" i="1"/>
  <c r="AW1124" i="1"/>
  <c r="AW963" i="1"/>
  <c r="AF1151" i="1"/>
  <c r="AW1038" i="1"/>
  <c r="AW1537" i="1"/>
  <c r="AW1535" i="1"/>
  <c r="AW1536" i="1"/>
  <c r="AW1534" i="1"/>
  <c r="AW1533" i="1"/>
  <c r="AW1032" i="1"/>
  <c r="AW1436" i="1"/>
  <c r="AW1395" i="1"/>
  <c r="AG1277" i="1"/>
  <c r="AG1276" i="1"/>
  <c r="AG1275" i="1"/>
  <c r="AG1274" i="1"/>
  <c r="AG1273" i="1"/>
  <c r="AG1272" i="1"/>
  <c r="AG1271" i="1"/>
  <c r="AG1270" i="1"/>
  <c r="AK1383" i="1"/>
  <c r="AM1383" i="1" s="1"/>
  <c r="AK1384" i="1"/>
  <c r="AM1384" i="1" s="1"/>
  <c r="AK1385" i="1"/>
  <c r="AM1385" i="1" s="1"/>
  <c r="AK1386" i="1"/>
  <c r="AM1386" i="1" s="1"/>
  <c r="AK1387" i="1"/>
  <c r="AM1387" i="1" s="1"/>
  <c r="AK1388" i="1"/>
  <c r="AM1388" i="1" s="1"/>
  <c r="AK1389" i="1"/>
  <c r="AM1389" i="1" s="1"/>
  <c r="AK1382" i="1"/>
  <c r="AM1382" i="1" s="1"/>
  <c r="AK1375" i="1"/>
  <c r="AK1376" i="1"/>
  <c r="AK1377" i="1"/>
  <c r="AK1378" i="1"/>
  <c r="AK1379" i="1"/>
  <c r="AK1380" i="1"/>
  <c r="AK1381" i="1"/>
  <c r="AK1374" i="1"/>
  <c r="AW543" i="1"/>
  <c r="Z795" i="1"/>
  <c r="Z796" i="1"/>
  <c r="Z797" i="1"/>
  <c r="Z798" i="1"/>
  <c r="Z799" i="1"/>
  <c r="Z801" i="1"/>
  <c r="Z802" i="1"/>
  <c r="Z803" i="1"/>
  <c r="Z804" i="1"/>
  <c r="Z805" i="1"/>
  <c r="Z807" i="1"/>
  <c r="Z808" i="1"/>
  <c r="Z809" i="1"/>
  <c r="Z810" i="1"/>
  <c r="Z811" i="1"/>
  <c r="Z813" i="1"/>
  <c r="Z814" i="1"/>
  <c r="Z815" i="1"/>
  <c r="Z816" i="1"/>
  <c r="Z817" i="1"/>
  <c r="Z819" i="1"/>
  <c r="Z820" i="1"/>
  <c r="Z821" i="1"/>
  <c r="Z822" i="1"/>
  <c r="Z823" i="1"/>
  <c r="Z825" i="1"/>
  <c r="Z826" i="1"/>
  <c r="Z827" i="1"/>
  <c r="Z828" i="1"/>
  <c r="Z829" i="1"/>
  <c r="Z831" i="1"/>
  <c r="Z832" i="1"/>
  <c r="Z833" i="1"/>
  <c r="Z834" i="1"/>
  <c r="Z835" i="1"/>
  <c r="Z837" i="1"/>
  <c r="Z838" i="1"/>
  <c r="Z839" i="1"/>
  <c r="Z840" i="1"/>
  <c r="Z841" i="1"/>
  <c r="Z843" i="1"/>
  <c r="Z844" i="1"/>
  <c r="Z845" i="1"/>
  <c r="Z846" i="1"/>
  <c r="Z847" i="1"/>
  <c r="Z849" i="1"/>
  <c r="Z850" i="1"/>
  <c r="Z851" i="1"/>
  <c r="Z852" i="1"/>
  <c r="Z853" i="1"/>
  <c r="Z855" i="1"/>
  <c r="Z856" i="1"/>
  <c r="Z857" i="1"/>
  <c r="Z858" i="1"/>
  <c r="Z859" i="1"/>
  <c r="Z861" i="1"/>
  <c r="Z862" i="1"/>
  <c r="Z863" i="1"/>
  <c r="Z864" i="1"/>
  <c r="Z865" i="1"/>
  <c r="Z867" i="1"/>
  <c r="Z868" i="1"/>
  <c r="Z869" i="1"/>
  <c r="Z870" i="1"/>
  <c r="Z871" i="1"/>
  <c r="Z873" i="1"/>
  <c r="Z874" i="1"/>
  <c r="Z875" i="1"/>
  <c r="Z876" i="1"/>
  <c r="Z877" i="1"/>
  <c r="Z879" i="1"/>
  <c r="Z880" i="1"/>
  <c r="Z881" i="1"/>
  <c r="Z882" i="1"/>
  <c r="Z883" i="1"/>
  <c r="Z885" i="1"/>
  <c r="Z886" i="1"/>
  <c r="Z887" i="1"/>
  <c r="Z888" i="1"/>
  <c r="Z889" i="1"/>
  <c r="Z891" i="1"/>
  <c r="Z892" i="1"/>
  <c r="Z893" i="1"/>
  <c r="Z894" i="1"/>
  <c r="Z895" i="1"/>
  <c r="Z897" i="1"/>
  <c r="Z898" i="1"/>
  <c r="Z899" i="1"/>
  <c r="Z900" i="1"/>
  <c r="Z901" i="1"/>
  <c r="Z903" i="1"/>
  <c r="Z904" i="1"/>
  <c r="Z905" i="1"/>
  <c r="Z906" i="1"/>
  <c r="Z907" i="1"/>
  <c r="Z909" i="1"/>
  <c r="Z910" i="1"/>
  <c r="Z911" i="1"/>
  <c r="Z912" i="1"/>
  <c r="Z913" i="1"/>
  <c r="Z915" i="1"/>
  <c r="Z916" i="1"/>
  <c r="Z917" i="1"/>
  <c r="Z918" i="1"/>
  <c r="Z919" i="1"/>
  <c r="Z921" i="1"/>
  <c r="Z922" i="1"/>
  <c r="Z923" i="1"/>
  <c r="Z924" i="1"/>
  <c r="Z925" i="1"/>
  <c r="Z927" i="1"/>
  <c r="Z928" i="1"/>
  <c r="Z929" i="1"/>
  <c r="Z930" i="1"/>
  <c r="Z931" i="1"/>
  <c r="Z933" i="1"/>
  <c r="Z934" i="1"/>
  <c r="Z935" i="1"/>
  <c r="Z936" i="1"/>
  <c r="Z937" i="1"/>
  <c r="Z939" i="1"/>
  <c r="Z940" i="1"/>
  <c r="Z941" i="1"/>
  <c r="Z942" i="1"/>
  <c r="Z943" i="1"/>
  <c r="Z945" i="1"/>
  <c r="Z946" i="1"/>
  <c r="Z947" i="1"/>
  <c r="Z948" i="1"/>
  <c r="Z949" i="1"/>
  <c r="Z951" i="1"/>
  <c r="Z952" i="1"/>
  <c r="Z953" i="1"/>
  <c r="Z954" i="1"/>
  <c r="Z955" i="1"/>
  <c r="AW542" i="1"/>
  <c r="AW661" i="1"/>
  <c r="AW754" i="1"/>
  <c r="AW1021" i="1"/>
  <c r="AW541" i="1"/>
  <c r="AW530" i="1"/>
  <c r="AW495" i="1"/>
  <c r="AW511" i="1"/>
  <c r="AW517" i="1"/>
  <c r="AW516" i="1"/>
  <c r="AW509" i="1"/>
  <c r="AW513" i="1"/>
  <c r="AW357" i="1"/>
  <c r="AW358" i="1"/>
  <c r="AW359" i="1"/>
  <c r="AW360" i="1"/>
  <c r="AW361" i="1"/>
  <c r="AW362" i="1"/>
  <c r="AW363" i="1"/>
  <c r="AW364" i="1"/>
  <c r="AW365" i="1"/>
  <c r="AW366" i="1"/>
  <c r="AW367" i="1"/>
  <c r="AW368" i="1"/>
  <c r="AW369" i="1"/>
  <c r="AW370" i="1"/>
  <c r="AW371" i="1"/>
  <c r="AW372" i="1"/>
  <c r="AW373" i="1"/>
  <c r="AW374" i="1"/>
  <c r="AW375" i="1"/>
  <c r="AW376" i="1"/>
  <c r="AW377" i="1"/>
  <c r="AF378" i="1"/>
  <c r="AI378" i="1"/>
  <c r="AW378" i="1"/>
  <c r="AF379" i="1"/>
  <c r="AI379" i="1"/>
  <c r="AW379" i="1"/>
  <c r="AF380" i="1"/>
  <c r="AI380" i="1"/>
  <c r="AW380" i="1"/>
  <c r="AF381" i="1"/>
  <c r="AI381" i="1"/>
  <c r="AW381" i="1"/>
  <c r="AF382" i="1"/>
  <c r="AI382" i="1"/>
  <c r="AW382" i="1"/>
  <c r="AF383" i="1"/>
  <c r="AI383" i="1"/>
  <c r="AW383" i="1"/>
  <c r="AW384" i="1"/>
  <c r="AW385" i="1"/>
  <c r="AW386" i="1"/>
  <c r="AW387" i="1"/>
  <c r="AW388" i="1"/>
  <c r="AW389" i="1"/>
  <c r="AW390" i="1"/>
  <c r="AW391" i="1"/>
  <c r="AW392" i="1"/>
  <c r="AW393" i="1"/>
  <c r="AW394"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6" i="1"/>
  <c r="AW497" i="1"/>
  <c r="AW498" i="1"/>
  <c r="AW499" i="1"/>
  <c r="AW500" i="1"/>
  <c r="AW501" i="1"/>
  <c r="AW502" i="1"/>
  <c r="AW503" i="1"/>
  <c r="AW504" i="1"/>
  <c r="AW505" i="1"/>
  <c r="AW506" i="1"/>
  <c r="AW507" i="1"/>
  <c r="AW508" i="1"/>
  <c r="AW510" i="1"/>
  <c r="AW512" i="1"/>
  <c r="AW514" i="1"/>
  <c r="AW518" i="1"/>
  <c r="AW519" i="1"/>
  <c r="AW520" i="1"/>
  <c r="AW521" i="1"/>
  <c r="AW522" i="1"/>
  <c r="AW523" i="1"/>
  <c r="AW524" i="1"/>
  <c r="AW525" i="1"/>
  <c r="AW526" i="1"/>
  <c r="AW527" i="1"/>
  <c r="AW528" i="1"/>
  <c r="AW531" i="1"/>
  <c r="AW532" i="1"/>
  <c r="AW533" i="1"/>
  <c r="AW534" i="1"/>
  <c r="AW535" i="1"/>
  <c r="AW536" i="1"/>
  <c r="AW537" i="1"/>
  <c r="AW538" i="1"/>
  <c r="AW539" i="1"/>
  <c r="AW540"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50" i="1"/>
  <c r="AW651" i="1"/>
  <c r="AW652" i="1"/>
  <c r="AW653" i="1"/>
  <c r="AW654" i="1"/>
  <c r="AW655" i="1"/>
  <c r="AW656" i="1"/>
  <c r="AW657" i="1"/>
  <c r="AW658" i="1"/>
  <c r="AW659" i="1"/>
  <c r="AW660"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Q701" i="1"/>
  <c r="S701"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F812" i="1"/>
  <c r="AW812" i="1"/>
  <c r="AF813" i="1"/>
  <c r="AW813" i="1"/>
  <c r="AF814" i="1"/>
  <c r="AW814" i="1"/>
  <c r="AF815" i="1"/>
  <c r="AW815" i="1"/>
  <c r="AF816" i="1"/>
  <c r="AW816" i="1"/>
  <c r="AF817"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2" i="1"/>
  <c r="AW1023" i="1"/>
  <c r="AW1024" i="1"/>
  <c r="AW1025" i="1"/>
  <c r="AW1026" i="1"/>
  <c r="AW1027" i="1"/>
  <c r="AW1028" i="1"/>
  <c r="AW1029" i="1"/>
  <c r="AW1030" i="1"/>
  <c r="AW1031" i="1"/>
  <c r="AW1033" i="1"/>
  <c r="AW1034" i="1"/>
  <c r="AW1035" i="1"/>
  <c r="AW1036" i="1"/>
  <c r="AW1037" i="1"/>
  <c r="AW1039" i="1"/>
  <c r="AW1040" i="1"/>
  <c r="AW1041" i="1"/>
  <c r="AW1045" i="1"/>
  <c r="AW1046" i="1"/>
  <c r="AW1047" i="1"/>
  <c r="AW1048" i="1"/>
  <c r="AW1049" i="1"/>
  <c r="AW1050" i="1"/>
  <c r="AW1051" i="1"/>
  <c r="AW1052" i="1"/>
  <c r="AW1053" i="1"/>
  <c r="AW1054" i="1"/>
  <c r="AW1055" i="1"/>
  <c r="AW1056" i="1"/>
  <c r="AW1057" i="1"/>
  <c r="AW1058" i="1"/>
  <c r="AW1059" i="1"/>
  <c r="AW1060" i="1"/>
  <c r="AW1061" i="1"/>
  <c r="AW1062"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4" i="1"/>
  <c r="AW1115" i="1"/>
  <c r="AW1116" i="1"/>
  <c r="AW1117" i="1"/>
  <c r="AW1118" i="1"/>
  <c r="AW1119" i="1"/>
  <c r="AW1159" i="1"/>
  <c r="AW1160" i="1"/>
  <c r="AW1161" i="1"/>
  <c r="AW1162"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H1238" i="1"/>
  <c r="AM1238" i="1" s="1"/>
  <c r="H1239" i="1"/>
  <c r="AM1239" i="1" s="1"/>
  <c r="H1240" i="1"/>
  <c r="AM1240" i="1" s="1"/>
  <c r="H1241" i="1"/>
  <c r="AM1241" i="1" s="1"/>
  <c r="H1243" i="1"/>
  <c r="AM1243" i="1" s="1"/>
  <c r="H1244" i="1"/>
  <c r="AM1244" i="1" s="1"/>
  <c r="H1245" i="1"/>
  <c r="AM1245" i="1" s="1"/>
  <c r="H1246" i="1"/>
  <c r="AM1246" i="1" s="1"/>
  <c r="H1247" i="1"/>
  <c r="AM1247" i="1" s="1"/>
  <c r="H1248" i="1"/>
  <c r="AM1248" i="1" s="1"/>
  <c r="H1249" i="1"/>
  <c r="AM1249" i="1" s="1"/>
  <c r="H1250" i="1"/>
  <c r="AM1250" i="1" s="1"/>
  <c r="H1251" i="1"/>
  <c r="AM1251" i="1" s="1"/>
  <c r="H1254" i="1"/>
  <c r="AM1254" i="1" s="1"/>
  <c r="H1255" i="1"/>
  <c r="AM1255" i="1" s="1"/>
  <c r="H1256" i="1"/>
  <c r="AM1256" i="1" s="1"/>
  <c r="H1257" i="1"/>
  <c r="AM1257" i="1" s="1"/>
  <c r="H1258" i="1"/>
  <c r="AM1258" i="1" s="1"/>
  <c r="H1259" i="1"/>
  <c r="AM1259" i="1" s="1"/>
  <c r="H1260" i="1"/>
  <c r="AM1260" i="1" s="1"/>
  <c r="H1261" i="1"/>
  <c r="AM1261" i="1" s="1"/>
  <c r="H1262" i="1"/>
  <c r="AM1262" i="1" s="1"/>
  <c r="H1263" i="1"/>
  <c r="AM1263" i="1" s="1"/>
  <c r="H1264" i="1"/>
  <c r="AM1264" i="1" s="1"/>
  <c r="H1265" i="1"/>
  <c r="AM1265" i="1" s="1"/>
  <c r="H1266" i="1"/>
  <c r="AM1266" i="1" s="1"/>
  <c r="AM1267" i="1"/>
  <c r="AW1270" i="1"/>
  <c r="AW1271" i="1"/>
  <c r="AW1272" i="1"/>
  <c r="AW1274" i="1"/>
  <c r="AW1275" i="1"/>
  <c r="AW1276" i="1"/>
  <c r="AW1277" i="1"/>
  <c r="AG1278" i="1"/>
  <c r="AW1278" i="1"/>
  <c r="AG1279" i="1"/>
  <c r="AW1279" i="1"/>
  <c r="AG1280" i="1"/>
  <c r="AW1280" i="1"/>
  <c r="AG1281" i="1"/>
  <c r="AW1281" i="1"/>
  <c r="AG1282" i="1"/>
  <c r="AW1282" i="1"/>
  <c r="AG1283" i="1"/>
  <c r="AW1283" i="1"/>
  <c r="AG1284" i="1"/>
  <c r="AW1284" i="1"/>
  <c r="AG1285" i="1"/>
  <c r="AW1285" i="1"/>
  <c r="AW1286" i="1"/>
  <c r="AW1287" i="1"/>
  <c r="AW1288" i="1"/>
  <c r="AW1289" i="1"/>
  <c r="AW1290" i="1"/>
  <c r="AW1291" i="1"/>
  <c r="AW1292" i="1"/>
  <c r="AW1293" i="1"/>
  <c r="AW1294" i="1"/>
  <c r="AW1295" i="1"/>
  <c r="AW1296" i="1"/>
  <c r="AW1297" i="1"/>
  <c r="AW1298" i="1"/>
  <c r="AW1337" i="1"/>
  <c r="AW1338" i="1"/>
  <c r="AW1339" i="1"/>
  <c r="AW134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K1390" i="1"/>
  <c r="AK1391" i="1"/>
  <c r="AW1391" i="1"/>
  <c r="AK1392" i="1"/>
  <c r="AW1392" i="1"/>
  <c r="AK1393" i="1"/>
  <c r="AW1393" i="1"/>
  <c r="AK1394" i="1"/>
  <c r="AW1394" i="1"/>
  <c r="AK1395" i="1"/>
  <c r="AW1396" i="1"/>
  <c r="AW1397" i="1"/>
  <c r="AW1398" i="1"/>
  <c r="AW1399" i="1"/>
  <c r="AW1400" i="1"/>
  <c r="AW1401" i="1"/>
  <c r="AW1402" i="1"/>
  <c r="AW1403" i="1"/>
  <c r="AW1404" i="1"/>
  <c r="AW1405" i="1"/>
  <c r="AW1406" i="1"/>
  <c r="AW1407" i="1"/>
  <c r="AW1433" i="1"/>
  <c r="AW1434" i="1"/>
  <c r="AW1435" i="1"/>
  <c r="AW1437" i="1"/>
  <c r="AW1438" i="1"/>
  <c r="AW1439" i="1"/>
  <c r="AW1440" i="1"/>
  <c r="AW1441" i="1"/>
  <c r="AW1442" i="1"/>
  <c r="AW1443" i="1"/>
  <c r="AW1444" i="1"/>
  <c r="AW1445" i="1"/>
  <c r="AW1446" i="1"/>
  <c r="AW1447" i="1"/>
  <c r="AW1460" i="1"/>
  <c r="AW1461" i="1"/>
  <c r="AW1462" i="1"/>
  <c r="AW1463" i="1"/>
  <c r="AW1464" i="1"/>
  <c r="AW1499" i="1"/>
  <c r="AW1500" i="1"/>
  <c r="AW1512" i="1"/>
  <c r="AW1513" i="1"/>
  <c r="AW1514" i="1"/>
  <c r="AW1515" i="1"/>
  <c r="AW1516" i="1"/>
  <c r="AW1517" i="1"/>
  <c r="AW1518" i="1"/>
  <c r="AW1519" i="1"/>
  <c r="AW1520" i="1"/>
  <c r="AW1521" i="1"/>
  <c r="AW1522" i="1"/>
  <c r="AW1523" i="1"/>
  <c r="AW1524" i="1"/>
  <c r="AW1529" i="1"/>
  <c r="AW1530" i="1"/>
  <c r="AW1531" i="1"/>
  <c r="AW1264" i="1" l="1"/>
  <c r="AW1251" i="1"/>
  <c r="AW1266" i="1"/>
  <c r="AW1262" i="1"/>
  <c r="AW1258" i="1"/>
  <c r="AW1254" i="1"/>
  <c r="AW1249" i="1"/>
  <c r="AW1245" i="1"/>
  <c r="AW1240" i="1"/>
  <c r="AW1265" i="1"/>
  <c r="AW1261" i="1"/>
  <c r="AW1257" i="1"/>
  <c r="AW1252" i="1"/>
  <c r="AW1248" i="1"/>
  <c r="AW1244" i="1"/>
  <c r="AW1239" i="1"/>
  <c r="AW1268" i="1"/>
  <c r="AW1260" i="1"/>
  <c r="AW1256" i="1"/>
  <c r="AW1247" i="1"/>
  <c r="AW1243" i="1"/>
  <c r="AW1238" i="1"/>
  <c r="AW1267" i="1"/>
  <c r="AW1263" i="1"/>
  <c r="AW1259" i="1"/>
  <c r="AW1255" i="1"/>
  <c r="AW1250" i="1"/>
  <c r="AW1246" i="1"/>
  <c r="AW1241" i="1"/>
  <c r="AF1268" i="1"/>
  <c r="AF1266" i="1"/>
  <c r="AF1264" i="1"/>
  <c r="AF1262" i="1"/>
  <c r="AF1260" i="1"/>
  <c r="AF1258" i="1"/>
  <c r="AF1256" i="1"/>
  <c r="AF1254" i="1"/>
  <c r="AF1249" i="1"/>
  <c r="AF1245" i="1"/>
  <c r="AF1240" i="1"/>
  <c r="AF1252" i="1"/>
  <c r="AF1248" i="1"/>
  <c r="AF1244" i="1"/>
  <c r="AF1239" i="1"/>
  <c r="AF1267" i="1"/>
  <c r="AF1265" i="1"/>
  <c r="AF1263" i="1"/>
  <c r="AF1261" i="1"/>
  <c r="AF1259" i="1"/>
  <c r="AF1257" i="1"/>
  <c r="AF1255" i="1"/>
  <c r="AF1251" i="1"/>
  <c r="AF1247" i="1"/>
  <c r="AF1243" i="1"/>
  <c r="AF1238" i="1"/>
  <c r="AF1250" i="1"/>
  <c r="AF1246" i="1"/>
  <c r="AF1241" i="1"/>
  <c r="Z65" i="1" l="1"/>
  <c r="H21" i="6"/>
  <c r="Z34" i="1" l="1"/>
  <c r="Z33" i="1"/>
  <c r="H35" i="6"/>
  <c r="Z81" i="1" s="1"/>
  <c r="Z78" i="1" l="1"/>
</calcChain>
</file>

<file path=xl/comments1.xml><?xml version="1.0" encoding="utf-8"?>
<comments xmlns="http://schemas.openxmlformats.org/spreadsheetml/2006/main">
  <authors>
    <author>作者</author>
  </authors>
  <commentList>
    <comment ref="E1" authorId="0">
      <text>
        <r>
          <rPr>
            <b/>
            <sz val="9"/>
            <color indexed="81"/>
            <rFont val="宋体"/>
            <family val="3"/>
            <charset val="134"/>
          </rPr>
          <t>不是实际使用，是设定参考经验</t>
        </r>
      </text>
    </comment>
  </commentList>
</comments>
</file>

<file path=xl/sharedStrings.xml><?xml version="1.0" encoding="utf-8"?>
<sst xmlns="http://schemas.openxmlformats.org/spreadsheetml/2006/main" count="15417" uniqueCount="9050">
  <si>
    <t>{{31168,0,1,0,"1-1"}}</t>
  </si>
  <si>
    <t>body(space()space()space()player()，好久不见！blankline()   你身上这种芯片的加密格式我曾经在铁甲虫公司的内部资料中看到过，解密应该只是时间问题。blankline()   在解密芯片的这段时间里，我想拜托player()你替我收集两份燃烧平原上特有的矿物hot(地精岩髓)，我对它们很感兴趣。)</t>
    <phoneticPr fontId="9" type="noConversion"/>
  </si>
  <si>
    <t>body(   密码已经解开了，不过依旧只是某个战斗系统的一小部分。如果能够找到这个系统的其他部分，也许能够恢复部分效用也说不定。)</t>
    <phoneticPr fontId="9" type="noConversion"/>
  </si>
  <si>
    <t>{{31169,0,1,0,"1-1"}}</t>
  </si>
  <si>
    <t>"31081-0-25"</t>
    <phoneticPr fontId="6" type="noConversion"/>
  </si>
  <si>
    <t>title(（60级）诡异的沙漠)
body(hotyellow_3(任务进程:)newline()
   消灭55只goto(10095,7),去找goto(60087,7)。
blankline()hotyellow_3(任务描述:)newline() 
   这片被辐射后的黄沙充满了诡异的色彩，那些死掉的尸体，只要在黄沙中掩埋一段时间，就会变成弱智的狼神。所以，player()，你需要再杀死它们一次。)</t>
    <phoneticPr fontId="6" type="noConversion"/>
  </si>
  <si>
    <t>"31112-0-42"</t>
    <phoneticPr fontId="6" type="noConversion"/>
  </si>
  <si>
    <t>"我需要42个沙漠铜蜥。"</t>
    <phoneticPr fontId="6" type="noConversion"/>
  </si>
  <si>
    <t>title(（70级）剿灭盗墓贼)
body(hotyellow_3(任务进程:)newline()
   消灭60个goto(10105,7)，去找goto(60088,7)。
blankline()hotyellow_3(任务描述:)newline() 
   你杀60个，剩下归我。)</t>
    <phoneticPr fontId="6" type="noConversion"/>
  </si>
  <si>
    <t>body(   找到目标。blankline()   摧毁目标。blankline()   你杀60个，剩下的归我。)</t>
    <phoneticPr fontId="6" type="noConversion"/>
  </si>
  <si>
    <t>60070箱子
60071肚子熊</t>
    <phoneticPr fontId="9" type="noConversion"/>
  </si>
  <si>
    <t>body(   箱子里躲着一只肚子熊。)</t>
    <phoneticPr fontId="9" type="noConversion"/>
  </si>
  <si>
    <t>"我竟然会犯下这么可怕的错误，该怎么办呢。"</t>
    <phoneticPr fontId="9" type="noConversion"/>
  </si>
  <si>
    <t>body(   密码已经解开了，不过好像只是某个战斗系统的一小部分。如果能够找到这个系统的其他部分，也许能够恢复部分效用也说不定。)</t>
    <phoneticPr fontId="9" type="noConversion"/>
  </si>
  <si>
    <t/>
  </si>
  <si>
    <t>&lt;p&gt;
&lt;n&gt;本团击杀一只蓝色以上的农场守望者&lt;/n&gt;
&lt;/p&gt;</t>
  </si>
  <si>
    <t>&lt;p&gt;
&lt;n&gt;团繁荣度达到150&lt;/n&gt;
&lt;/p&gt;</t>
  </si>
  <si>
    <t>&lt;p&gt;
&lt;n&gt;团升到二级&lt;/n&gt;
&lt;/p&gt;</t>
  </si>
  <si>
    <t>&lt;p&gt;
&lt;n&gt;团升到三级&lt;/n&gt;
&lt;/p&gt;</t>
  </si>
  <si>
    <t>&lt;p&gt;
&lt;n&gt;团升到四级&lt;/n&gt;
&lt;/p&gt;</t>
  </si>
  <si>
    <t>&lt;p&gt;
&lt;n&gt;团升到五级&lt;/n&gt;
&lt;/p&gt;</t>
  </si>
  <si>
    <t>&lt;p&gt;
&lt;n&gt;团升到六级&lt;/n&gt;
&lt;/p&gt;</t>
  </si>
  <si>
    <t>&lt;p&gt;
&lt;n&gt;团升到七级&lt;/n&gt;
&lt;/p&gt;</t>
  </si>
  <si>
    <t>&lt;p&gt;
&lt;n&gt;团升到九级&lt;/n&gt;
&lt;/p&gt;</t>
  </si>
  <si>
    <t>&lt;p&gt;
&lt;n&gt;团升到十级&lt;/n&gt;
&lt;/p&gt;</t>
  </si>
  <si>
    <t>title(（47级）求援)
body(hotyellow_3(任务进程:)newline()
   去找goto(60093,6)。
blankline()hotyellow_3(任务描述:)newline() 
   现在光靠我们的力量已经无法阻止重装巨熊的泛滥，我们需要向指挥官卡玛请求援助。)</t>
  </si>
  <si>
    <t>title(（51级）虫子首领)
body(hotyellow_3(任务进程:)newline()
   消灭goto(10161,6)，向goto(60158,6)回复。
blankline()hotyellow_3(任务描述:)newline() 
   只有除掉虫群的首领才能有效的阻止虫群的进化，player()拜托你了。)</t>
  </si>
  <si>
    <t>title(（52级）擒贼擒王)
body(hotyellow_3(任务进程:)newline()
   消灭goto(10162,6)，向goto(60158,6)回复。
blankline()hotyellow_3(任务描述:)newline() 
   擒贼先擒王，我们必须要杀死精英唤醒者，不然从前的一切努力都会化为乌有。)</t>
  </si>
  <si>
    <t>title(（54级）清理甲虫)
body(hotyellow_3(任务进程:)newline()
   消灭50只goto(10089,7)，去找goto(60088,7)。
blankline()hotyellow_3(任务描述:)newline() 
   每次在沙漠中潜伏的时候，最倒霉的事情就是那些巨型甲虫了，它们不仅会在你的身上吐口水，还会在你身上排泄，甚至把你当成食物…blankline()   那些制式的沙漠迷彩根本挡不住巨型甲虫锋利的牙齿，有一次执行任务，我的左腿差点就被那些虫子啃光了。)</t>
  </si>
  <si>
    <t>title(（55级）等待)
body(hotyellow_3(任务进程:)newline()
   去找goto(60088,7)。
blankline()hotyellow_3(任务描述:)newline() 
   请你转告托奇，如果他在沙漠中碰见我的恋人沙奥萨，请务必转告他，我在这个沙漠前哨等他。)</t>
  </si>
  <si>
    <t>title(（57级）密信)
body(hotyellow_3(任务进程:)newline()
   将密信交给goto(60089,7)。
blankline()hotyellow_3(任务描述:)newline() 
   请将这封信交给典狱长威格尔。)</t>
  </si>
  <si>
    <t>title(（59级）汇报)
body(hotyellow_3(任务进程:)newline()
   去找goto(60087,7)。
blankline()hotyellow_3(任务描述:)newline() 
   将剿灭沙漠猎人的事向指挥官拉奥汇报一下。)</t>
  </si>
  <si>
    <t>title(（64级）捷报)
body(hotyellow_3(任务进程:)newline()
   去找goto(60087,7)。
blankline()hotyellow_3(任务描述:)newline() 
   请告诉hot(拉奥)指挥官，那些沙漠走私犯，已经完蛋了。)</t>
  </si>
  <si>
    <t>title(（65级）投桃报李)
body(hotyellow_3(任务进程:)newline()
   去找goto(60086,7)。
blankline()hotyellow_3(任务描述:)newline() 
   既然赏金猎人雷伊这次帮助了我们，我们也该有所回报。blankline()   请告诉雷伊，我们允许他们水鸟赏金团狩猎沙漠上的稀有动物。)</t>
  </si>
  <si>
    <t>title(（66级）默许)
body(hotyellow_3(任务进程:)newline()
   去找goto(60086,7)。
blankline()hotyellow_3(任务描述:)newline() 
   请hot(赏金猎人)保重身体，以后还有更多的沙漠中的亡命之徒要拜托他干掉呢。)</t>
  </si>
  <si>
    <t>title(（67级）新的情况)
body(hotyellow_3(任务进程:)newline()
   去找goto(60086,7)。
blankline()hotyellow_3(任务描述:)newline() 
   告诉hot(赏金猎人雷伊)，在新的情况察清楚前，不要轻举妄动。)</t>
  </si>
  <si>
    <t>title(（68级）使命的召唤)
body(hotyellow_3(任务进程:)newline()
   去找goto(60087,7)。
blankline()hotyellow_3(任务描述:)newline() 
hot(   指挥官拉奥)刚才来找过你，好像什么重要的事情。)</t>
  </si>
  <si>
    <t>title(（70级）凶残手段)
body(hotyellow_3(任务进程:)newline()
   去找goto(60087,7)。
blankline()hotyellow_3(任务描述:)newline() 
   我发现那些盗墓贼的尸体有一部分被巨力撕扯的四分五裂，手段凶残的可怕。我想应该不会是player()你干的…所以应该还有一种可怕的怪物参与了剿灭盗墓贼的行动。这件事，还是要问一下hot(指挥官拉奥)。)</t>
  </si>
  <si>
    <t>title(（71级）巨型木乃伊)
body(hotyellow_3(任务进程:)newline()
   去找goto(60088,7)。
blankline()hotyellow_3(任务描述:)newline() 
   沙漠中出现了一批体型巨大的木乃伊，它们抓住人类就会毫不犹豫的将他们撕成两半。blankline()   这些怪物极度危险，要剿灭它们只有靠player()你和那个比怪物更危险的hot(狙击手托奇)。)</t>
  </si>
  <si>
    <t xml:space="preserve">  "哦，你还不够强大啊…继续奋战吧少年。"</t>
    <phoneticPr fontId="6" type="noConversion"/>
  </si>
  <si>
    <t>{{31140,0,1,0,"1-1"}}</t>
  </si>
  <si>
    <t>{{31141,0,1,0,"1-1"}}</t>
  </si>
  <si>
    <t>{{27102,0,4,0,"1-1"}}</t>
  </si>
  <si>
    <t>body(   尤利娅不明白，战争从来就没有停止过。blankline()
   只有战斗，才是佣兵生活的全部。离开了战争，我们根本无法生存。)</t>
  </si>
  <si>
    <t>body(  我们的确打算消灭沙漠妖姬，不过不是小沙漠妖姬，而是那些体型巨大擅长在沙漠下开辟临时通道的hot(铁甲木乃伊)。blankline()
   我能感觉到hot(雷伊)想要表达的善意，不过他需要表现出更大的诚意来。player()，请将这个消息告诉雷伊，他知道该怎么做。)</t>
  </si>
  <si>
    <t>"失去了铁甲木乃伊，他们就是暴露在沙漠中的靶子，一个个杀掉就可以了。"</t>
  </si>
  <si>
    <t>body(   沙漠中有一种受到辐射而产生变异的沙漠妖姬，它们比铁甲木乃伊更加的凶猛。但是同时它们分泌的变异沙漠妖姬粘液每一克拉都可以卖到天价。blankline()   钱，更多的钱，多多益善的钱，不正是我们所需要的吗？)</t>
  </si>
  <si>
    <t>"不要担心变异沙漠妖姬死光，有些东西正是越少越值钱。"</t>
  </si>
  <si>
    <t>body(   真不知道这片沙漠以后还会蹦出什么样的怪物。不过，最危险的始终还是人类。)</t>
    <phoneticPr fontId="6" type="noConversion"/>
  </si>
  <si>
    <t>"这些该死的木乃伊到底是从哪儿蹦出来的！"</t>
    <phoneticPr fontId="6" type="noConversion"/>
  </si>
  <si>
    <t>body(   沙漠中出现了一批训练有素的盗墓贼，那些沙漠犀牛和木乃伊一定都是他们搞的鬼。blankline()   我们要让他们的尸体和那些古代狼神永远的留在沙漠地下。具体的行动细节，player()，你可以去问hot(狙击手托奇)。)</t>
  </si>
  <si>
    <t>body(   嘿，player()，好久不见，还以为你死在沙漠中了呢。)</t>
    <phoneticPr fontId="6" type="noConversion"/>
  </si>
  <si>
    <t>body(   合作愉快。)</t>
    <phoneticPr fontId="6" type="noConversion"/>
  </si>
  <si>
    <t>"他们是一群训练有素的匪徒，最好在他们发现你之前干掉他们。"</t>
    <phoneticPr fontId="6" type="noConversion"/>
  </si>
  <si>
    <t>body(   有些盗墓贼的尸体散得的七零八落，不像是被炮弹炸过的，更像是手撕的…手段真是太凶残了。应该还有一种怪物或者什么新的武器参与了围剿盗墓贼。blankline()   这件事最好还是找hot(指挥官拉奥)确认一下。)</t>
  </si>
  <si>
    <t>body(   那些被撕的七零八落的尸体是那些最近在沙漠中出现的巨型木乃伊造成的。blankline()   这些怪物极度危险，要剿灭它们，只有依靠player()你和hot(狙击手托奇)了。)</t>
    <phoneticPr fontId="6" type="noConversion"/>
  </si>
  <si>
    <t>body(   看来除非准确命中他们的眉心，不然很难杀死它们。)</t>
    <phoneticPr fontId="6" type="noConversion"/>
  </si>
  <si>
    <t>"对付这些低智商的怪物一点乐趣都没有。"</t>
    <phoneticPr fontId="6" type="noConversion"/>
  </si>
  <si>
    <t>body(   制作工艺非常完美，player()，我看好你成为下一个制作大师。)</t>
  </si>
  <si>
    <t>空</t>
    <phoneticPr fontId="6" type="noConversion"/>
  </si>
  <si>
    <t>title(（28级）制作大师)
body(hotyellow_3(任务进程:)newline()
   去找goto(114,2)。)</t>
  </si>
  <si>
    <t>title(（28级）精炼药材)
body(hotyellow_3(任务进程:)newline()
   去找goto(114,2)。blankline()
   在生活技能制作商人处进行hot(材料合成)，合成一个hot(二等药材)。)</t>
  </si>
  <si>
    <t>title(（28级）精炼矿石)
body(hotyellow_3(任务进程:)newline()
   去找goto(114,2)。blankline()
   在生活技能制作商人处进行hot(材料合成)，合成一个hot(二等矿)。)</t>
  </si>
  <si>
    <t>body(   )</t>
  </si>
  <si>
    <t>body(   提供最专业的探险开采设备，急缺最专业的探险人才。blankline()   不保证您的生命安全，但保证您的绝对收益，这是为勇者准备的机会。)</t>
  </si>
  <si>
    <t>"31186-0-5"</t>
    <phoneticPr fontId="6" type="noConversion"/>
  </si>
  <si>
    <t>"要是让那些毒蜘蛛蛰上一口，恐怕你就得永远睡在丛林里了。"</t>
  </si>
  <si>
    <t>body(   因为过敏反应的事，很多计划中的事都搁置了，现在得抓紧了。blankline()   最新的伤亡统计表示，在大力巨钳蝎附近失踪的士兵与猎人非常的多，看来已经到了不得不除掉它的时候了。player()，我们需要你的帮助。)</t>
  </si>
  <si>
    <t>body(   我也知道那一群被称作hot(剧毒虫王)的生物，只是想不到它们已经发展到这种地步了。)</t>
  </si>
  <si>
    <t>"必须要杀死精英唤醒者"</t>
  </si>
  <si>
    <t>"就算是敌人的鲜血喷入你的眼睛，你也不能将它们闭上。你要做的是将眼睛努力的瞪大，防止敌人反扑！"</t>
    <phoneticPr fontId="6" type="noConversion"/>
  </si>
  <si>
    <t>body(   那些留在沙漠中的尸体看来还需要进行一些后期处理才行。)</t>
    <phoneticPr fontId="6" type="noConversion"/>
  </si>
  <si>
    <t>body(   也许托奇忘了告诉你，每杀死一个人，都要在他们的眉心补上一枪，彻底破坏他们的大脑中枢神经。否则，只要经过一段时间的掩埋，他们就会变成恶心的hot(沙漠狼神)。blankline()   这片沙漠充满着诡异的力量，player()，看来你得再次杀死那群狼神一次了。)</t>
  </si>
  <si>
    <t>body(   这样，就不用担心这些狼神出来作祟了。)</t>
  </si>
  <si>
    <t>"这片沙漠充斥着一股神秘的力量。"</t>
    <phoneticPr fontId="6" type="noConversion"/>
  </si>
  <si>
    <t>body(   真是辛苦你了， player()，如果你能加入我们水鸟赏金团就太好了。)</t>
    <phoneticPr fontId="6" type="noConversion"/>
  </si>
  <si>
    <t>title(（15级）另一个幸存者)
body(hotyellow_3(任务进程:)newline()
   去找goto(60038,2)。
blankline()hotyellow_3(任务描述:)newline() 
   我朦胧中好像记得碰到过失业的工程师佐拉。当时他衣衫褴褛，身上多处擦伤，好像被什么怪物袭击过。不过他也什么都不记得了。blankline()space()space()space()player()，如果你对这件事有兴趣的话，可以去找他问问。)</t>
  </si>
  <si>
    <t>title(（12级）失踪的镇民)
body(hotyellow_3(任务进程:)newline()
   去找goto(60016,2)。
blankline()hotyellow_3(任务描述:)newline() 
   小镇最近很多镇民无故失踪，在他们居住的地方并没有发现猛兽侵袭的痕迹。虽然最近加强了小镇巡逻的力量，但镇民仍然不断失踪。事态严重，有必要和镇长商量一下。)</t>
  </si>
  <si>
    <t>{{26115,0,1,0,"1-1"}}</t>
  </si>
  <si>
    <t xml:space="preserve">
</t>
    <phoneticPr fontId="6" type="noConversion"/>
  </si>
  <si>
    <t>任务编号</t>
    <phoneticPr fontId="7" type="noConversion"/>
  </si>
  <si>
    <t>策划调试信息</t>
    <phoneticPr fontId="7" type="noConversion"/>
  </si>
  <si>
    <t>类型</t>
    <phoneticPr fontId="7" type="noConversion"/>
  </si>
  <si>
    <t>地图</t>
    <phoneticPr fontId="7" type="noConversion"/>
  </si>
  <si>
    <t>最高等级</t>
    <phoneticPr fontId="7" type="noConversion"/>
  </si>
  <si>
    <t>前置任务</t>
    <phoneticPr fontId="7" type="noConversion"/>
  </si>
  <si>
    <t>每日次数</t>
    <phoneticPr fontId="7" type="noConversion"/>
  </si>
  <si>
    <t>接任务NPC</t>
    <phoneticPr fontId="7" type="noConversion"/>
  </si>
  <si>
    <t>步骤总数</t>
    <phoneticPr fontId="7" type="noConversion"/>
  </si>
  <si>
    <t>初始步骤数量</t>
    <phoneticPr fontId="7" type="noConversion"/>
  </si>
  <si>
    <t>成长勋章</t>
    <phoneticPr fontId="7" type="noConversion"/>
  </si>
  <si>
    <t>历练勋章</t>
    <phoneticPr fontId="7" type="noConversion"/>
  </si>
  <si>
    <t>战争勋章</t>
    <phoneticPr fontId="7" type="noConversion"/>
  </si>
  <si>
    <t>奖励赠点</t>
    <phoneticPr fontId="7" type="noConversion"/>
  </si>
  <si>
    <t>奖励硬币</t>
    <phoneticPr fontId="7" type="noConversion"/>
  </si>
  <si>
    <t>奖励道具</t>
    <phoneticPr fontId="7" type="noConversion"/>
  </si>
  <si>
    <t>任务道具</t>
    <phoneticPr fontId="7" type="noConversion"/>
  </si>
  <si>
    <t>任务描述</t>
    <phoneticPr fontId="7" type="noConversion"/>
  </si>
  <si>
    <t>接任务文本</t>
    <phoneticPr fontId="7" type="noConversion"/>
  </si>
  <si>
    <t>不可交任务文本</t>
    <phoneticPr fontId="7" type="noConversion"/>
  </si>
  <si>
    <t>备注</t>
    <phoneticPr fontId="7" type="noConversion"/>
  </si>
  <si>
    <t>军团任务类型</t>
    <phoneticPr fontId="7" type="noConversion"/>
  </si>
  <si>
    <t>任务追踪完成</t>
    <phoneticPr fontId="7" type="noConversion"/>
  </si>
  <si>
    <t>收集材料</t>
    <phoneticPr fontId="7" type="noConversion"/>
  </si>
  <si>
    <t>是否检索</t>
    <phoneticPr fontId="7" type="noConversion"/>
  </si>
  <si>
    <t>快捷交付</t>
    <phoneticPr fontId="7" type="noConversion"/>
  </si>
  <si>
    <t>狩猎任务</t>
    <phoneticPr fontId="7" type="noConversion"/>
  </si>
  <si>
    <t xml:space="preserve"> </t>
    <phoneticPr fontId="7" type="noConversion"/>
  </si>
  <si>
    <t>body(space()space()space()player()，已经准备好了吗？现在反悔可来不及了，不过还是有点时间和朋友们告别的。)</t>
  </si>
  <si>
    <t>""</t>
    <phoneticPr fontId="6" type="noConversion"/>
  </si>
  <si>
    <t>"你的任务还没有完成呢！"</t>
    <phoneticPr fontId="6" type="noConversion"/>
  </si>
  <si>
    <t>跑商任务</t>
  </si>
  <si>
    <t>找人A</t>
    <phoneticPr fontId="6" type="noConversion"/>
  </si>
  <si>
    <t>body(   寻找指定NPC)</t>
    <phoneticPr fontId="6" type="noConversion"/>
  </si>
  <si>
    <t>body(   辛苦了,这件事情对我们来说非常的重要。)</t>
    <phoneticPr fontId="6" type="noConversion"/>
  </si>
  <si>
    <t>寻找指定NPC</t>
    <phoneticPr fontId="6" type="noConversion"/>
  </si>
  <si>
    <t>打怪A</t>
    <phoneticPr fontId="6" type="noConversion"/>
  </si>
  <si>
    <t>body(   击杀指定数量的怪物)</t>
    <phoneticPr fontId="6" type="noConversion"/>
  </si>
  <si>
    <t>去找士官长NPC</t>
    <phoneticPr fontId="6" type="noConversion"/>
  </si>
  <si>
    <t>收集装备</t>
    <phoneticPr fontId="6" type="noConversion"/>
  </si>
  <si>
    <t>body(   寻找装备)</t>
  </si>
  <si>
    <t>收集武器</t>
    <phoneticPr fontId="6" type="noConversion"/>
  </si>
  <si>
    <t>body(   进行护送任务)</t>
  </si>
  <si>
    <t>送信</t>
    <phoneticPr fontId="6" type="noConversion"/>
  </si>
  <si>
    <t>body(   送信NPC)</t>
    <phoneticPr fontId="6" type="noConversion"/>
  </si>
  <si>
    <t>取物</t>
    <phoneticPr fontId="6" type="noConversion"/>
  </si>
  <si>
    <t>body(   找NPC取物)</t>
    <phoneticPr fontId="6" type="noConversion"/>
  </si>
  <si>
    <t>对NPC使用道具</t>
    <phoneticPr fontId="6" type="noConversion"/>
  </si>
  <si>
    <t>body(   指定NPC使用道具)</t>
    <phoneticPr fontId="6" type="noConversion"/>
  </si>
  <si>
    <t>杀怪取物</t>
    <phoneticPr fontId="6" type="noConversion"/>
  </si>
  <si>
    <t>body(   取回被夺取的货物)</t>
    <phoneticPr fontId="6" type="noConversion"/>
  </si>
  <si>
    <t>勘探</t>
    <phoneticPr fontId="6" type="noConversion"/>
  </si>
  <si>
    <t>body(   完成勘探任务)</t>
  </si>
  <si>
    <t>收集生活材料A</t>
    <phoneticPr fontId="6" type="noConversion"/>
  </si>
  <si>
    <t>body(   收集指定的材料)</t>
    <phoneticPr fontId="6" type="noConversion"/>
  </si>
  <si>
    <t>收集生活材料B</t>
    <phoneticPr fontId="6" type="noConversion"/>
  </si>
  <si>
    <t>body(    收集指定的材料)</t>
    <phoneticPr fontId="6" type="noConversion"/>
  </si>
  <si>
    <t>收集日常道具</t>
    <phoneticPr fontId="6" type="noConversion"/>
  </si>
  <si>
    <t>body(   收集指定的道具)</t>
    <phoneticPr fontId="6" type="noConversion"/>
  </si>
  <si>
    <t>收集生活产出</t>
    <phoneticPr fontId="6" type="noConversion"/>
  </si>
  <si>
    <t>收集怪物掉落</t>
    <phoneticPr fontId="6" type="noConversion"/>
  </si>
  <si>
    <t>"呜呜~~"</t>
    <phoneticPr fontId="6" type="noConversion"/>
  </si>
  <si>
    <t>玩家宠物表中拥有一只非更随状态下的娜娜兔才可以交付任务 ，交付后娜娜兔消失。</t>
    <phoneticPr fontId="6" type="noConversion"/>
  </si>
  <si>
    <t>击杀精英怪</t>
    <phoneticPr fontId="6" type="noConversion"/>
  </si>
  <si>
    <t>body(   击杀指定的精英怪)</t>
    <phoneticPr fontId="6" type="noConversion"/>
  </si>
  <si>
    <t>找人1</t>
    <phoneticPr fontId="6" type="noConversion"/>
  </si>
  <si>
    <t>找人2</t>
  </si>
  <si>
    <t>body(   破坏对方生物装置)</t>
  </si>
  <si>
    <t>找人3</t>
  </si>
  <si>
    <t>body(   破坏对方指挥所)</t>
  </si>
  <si>
    <t>找人4</t>
  </si>
  <si>
    <t>body(   安装窃听器)</t>
  </si>
  <si>
    <t>科技升级</t>
  </si>
  <si>
    <t>title(团成就任务：)
body(hotyellow_3(任务进程:)newline()
  团科技馆升到1级
   blankline()
blankline()
   hot(任务完成后,自动获得奖励))</t>
  </si>
  <si>
    <t>后勤升级</t>
  </si>
  <si>
    <t>title(团成就任务：)
body(hotyellow_3(任务进程:)newline()
  团后勤部升到1级
   blankline()
blankline()
   hot(任务完成后,自动获得奖励))</t>
  </si>
  <si>
    <t>团至三级</t>
  </si>
  <si>
    <t>团至四级</t>
  </si>
  <si>
    <t>团至五级</t>
  </si>
  <si>
    <t>团至六级</t>
  </si>
  <si>
    <t>团至七级</t>
  </si>
  <si>
    <t>团至八级</t>
  </si>
  <si>
    <t>团至九级</t>
  </si>
  <si>
    <t>title(团成就任务-团至九级：)
body(hotyellow_3(任务进程:)newline()
目标:团升到九级blankline()
说明:在经历了腥风血雨的考验之后，你们站到了这里，这里是少有人能够到达的地方，距离至尊只有一步之遥了，加油吧！
blankline()
   hot(任务完成后,自动获得奖励))</t>
  </si>
  <si>
    <t>body(   收集)</t>
  </si>
  <si>
    <t>title(鉴定达人（循环）)
body(hotyellow_3(任务进程:)newline()
   成功鉴定$NUM件装备后，去找神秘人米迦勒。
   blankline()
   这是您的第$N次挑战。
blankline()
   hot2(使用鉴定石或者幸运宝石成功鉴定一件装备，计数加一。)
blankline()
   hot3(每次完成任务所获得的经验奖励都与人物的等级有关。)
blankline()
   hot2(装备等级要求为$MINLEVEL级以上。))</t>
  </si>
  <si>
    <t>body(   鉴定装备可是一件技术活。稍有不慎甚至会损坏到装备本身。这并不是一项简单的工作，传说古代贤者们曾经利用这项活动选拔继承人，player()，有兴趣尝试一下吗？)</t>
  </si>
  <si>
    <t>body(space()space()space()player()，你拥有极好的天赋，请不要浪费它。)</t>
  </si>
  <si>
    <t>"敌国那些蠢蠢欲动的家伙还是没有认清形势，正打算进攻我们呢。"</t>
    <phoneticPr fontId="6" type="noConversion"/>
  </si>
  <si>
    <t>body(   哈哈，今天收集到的材料品质非常高么。)</t>
    <phoneticPr fontId="6" type="noConversion"/>
  </si>
  <si>
    <t>body(   你会成为一名伟大的战士的，我能从你身上感觉的到那股只属于强者的气息。)</t>
    <phoneticPr fontId="6" type="noConversion"/>
  </si>
  <si>
    <t xml:space="preserve"> </t>
    <phoneticPr fontId="6" type="noConversion"/>
  </si>
  <si>
    <t>{{29050,0,3,0,"1-1"}}</t>
    <phoneticPr fontId="6" type="noConversion"/>
  </si>
  <si>
    <t>{{29005,0,1,0,"1-1"}}</t>
    <phoneticPr fontId="6" type="noConversion"/>
  </si>
  <si>
    <t>body(   要想在这个世界活下去，只有在敌人战胜你之前先战胜现在的你！只有不断的向前，才能最终将世界踩在脚下！blankline()   去磨砺成长吧！一毫升的汗水将拯救一公升的鲜血！blankline()   对于现在的你，击杀xx个xxx正合适。)</t>
    <phoneticPr fontId="6" type="noConversion"/>
  </si>
  <si>
    <t>系统自动</t>
    <phoneticPr fontId="6" type="noConversion"/>
  </si>
  <si>
    <t>罗恩</t>
    <phoneticPr fontId="6" type="noConversion"/>
  </si>
  <si>
    <t>梅丽</t>
    <phoneticPr fontId="6" type="noConversion"/>
  </si>
  <si>
    <t>辛达</t>
    <phoneticPr fontId="6" type="noConversion"/>
  </si>
  <si>
    <t>鲍比</t>
  </si>
  <si>
    <t>马卡兰</t>
  </si>
  <si>
    <t>盖亚</t>
  </si>
  <si>
    <t>盖亚</t>
    <phoneticPr fontId="6" type="noConversion"/>
  </si>
  <si>
    <t>鲍文</t>
  </si>
  <si>
    <t>鲍文</t>
    <phoneticPr fontId="6" type="noConversion"/>
  </si>
  <si>
    <t>希尔</t>
  </si>
  <si>
    <t>玛娜</t>
  </si>
  <si>
    <t>肚子熊前辈</t>
  </si>
  <si>
    <t>佐拉</t>
  </si>
  <si>
    <t>艾伦</t>
  </si>
  <si>
    <t>拉尔夫</t>
  </si>
  <si>
    <t>仓库机器</t>
  </si>
  <si>
    <t>卡尔</t>
  </si>
  <si>
    <t>杰克</t>
  </si>
  <si>
    <t>米迦勒</t>
  </si>
  <si>
    <t>达尔文</t>
  </si>
  <si>
    <t>泰莎</t>
  </si>
  <si>
    <t>西瓦</t>
  </si>
  <si>
    <t>火焰小女孩</t>
  </si>
  <si>
    <t>装备改造商人</t>
  </si>
  <si>
    <t>比尔</t>
  </si>
  <si>
    <t>可可</t>
  </si>
  <si>
    <t>费多</t>
  </si>
  <si>
    <t>矿洞探险者</t>
  </si>
  <si>
    <t>生活技能制作商人</t>
  </si>
  <si>
    <t>生活技能制作商人</t>
    <phoneticPr fontId="6" type="noConversion"/>
  </si>
  <si>
    <t>卡尔</t>
    <phoneticPr fontId="6" type="noConversion"/>
  </si>
  <si>
    <t>艾伦</t>
    <phoneticPr fontId="6" type="noConversion"/>
  </si>
  <si>
    <t>老泰山</t>
  </si>
  <si>
    <t>昆卡</t>
  </si>
  <si>
    <t>妮可</t>
  </si>
  <si>
    <t>赛特</t>
  </si>
  <si>
    <t>佐洛</t>
  </si>
  <si>
    <t>韦德</t>
  </si>
  <si>
    <t>索罗斯</t>
  </si>
  <si>
    <t>坎比</t>
  </si>
  <si>
    <t>罗杰斯</t>
  </si>
  <si>
    <t>罗斯福</t>
  </si>
  <si>
    <t>波仕</t>
  </si>
  <si>
    <t xml:space="preserve">凯恩斯 </t>
  </si>
  <si>
    <t>卡玛</t>
  </si>
  <si>
    <t>冒险副本传送员</t>
  </si>
  <si>
    <t xml:space="preserve">乔布斯 </t>
  </si>
  <si>
    <t xml:space="preserve">麦凯恩 </t>
  </si>
  <si>
    <t>杰弗森</t>
  </si>
  <si>
    <t>麦尔斯</t>
  </si>
  <si>
    <t xml:space="preserve">克鲁兹 </t>
  </si>
  <si>
    <t>阿伦</t>
  </si>
  <si>
    <t>拉奥</t>
  </si>
  <si>
    <t>托奇</t>
  </si>
  <si>
    <t>威格尔</t>
  </si>
  <si>
    <t>尤利娅</t>
  </si>
  <si>
    <t>雷伊</t>
  </si>
  <si>
    <t>豪斯</t>
  </si>
  <si>
    <t>寻找儿子的狄尔</t>
  </si>
  <si>
    <t>若山</t>
  </si>
  <si>
    <t>安迪</t>
  </si>
  <si>
    <t>萨克斯</t>
    <phoneticPr fontId="6" type="noConversion"/>
  </si>
  <si>
    <t>罗恩</t>
  </si>
  <si>
    <t>""</t>
  </si>
  <si>
    <t>艾尔莎</t>
    <phoneticPr fontId="9" type="noConversion"/>
  </si>
  <si>
    <t>大箱子</t>
    <phoneticPr fontId="9" type="noConversion"/>
  </si>
  <si>
    <t>body(   我犯下了一个严重的错误。今天早上我发现封存在罐子里的蜂蜜少了不少，我一度怀疑我的肚子熊偷吃了它。blankline()   后来我才想起来是我昨天晚上我觉得肚子饿，半夜吃掉的。虽然我已经道过歉了，但是肚子熊就是不肯原谅我，躲在箱子里不肯出来。blankline()space()space()space()player()，你能帮我用肚子熊最喜欢的hot(蜂蜜)逗它出来吗？)</t>
    <phoneticPr fontId="9" type="noConversion"/>
  </si>
  <si>
    <t>body(   真是麻烦你了，player()。多亏有你，不然我真不知道该怎么办。)</t>
    <phoneticPr fontId="9" type="noConversion"/>
  </si>
  <si>
    <t>body(   真期待您的成长。)</t>
    <phoneticPr fontId="6" type="noConversion"/>
  </si>
  <si>
    <t>装备改造商人</t>
    <phoneticPr fontId="9" type="noConversion"/>
  </si>
  <si>
    <t>body(   已经完成了^_^，记得来照顾我生意哦。)</t>
    <phoneticPr fontId="9" type="noConversion"/>
  </si>
  <si>
    <t>寻找儿子的狄尔</t>
    <phoneticPr fontId="6" type="noConversion"/>
  </si>
  <si>
    <t>赛特</t>
    <phoneticPr fontId="6" type="noConversion"/>
  </si>
  <si>
    <t>"萨尔可机灵了，他一定躲在丛林的某个地方，等着我去救他"</t>
    <phoneticPr fontId="6" type="noConversion"/>
  </si>
  <si>
    <t>"这些冷血的家伙，除了财宝他们什么都看不到"</t>
    <phoneticPr fontId="6" type="noConversion"/>
  </si>
  <si>
    <t>"拜托您了"</t>
    <phoneticPr fontId="6" type="noConversion"/>
  </si>
  <si>
    <t>body(   今天我看见狄尔，他两眼通红已经和野兽差不多了。我真怕有一天他会支持不下去。blankline()   其实我觉得萨尔应该还活着，并且和另一个少年从烈焰赤甲蝎的手中逃脱了。请将我的推理告诉狄尔吧，希望这会让他好受点。)</t>
    <phoneticPr fontId="6" type="noConversion"/>
  </si>
  <si>
    <t>body(   那些只会说漂亮话的人，他们什么都不知道！我不需要任何人的同情，我要靠自己找回我的萨尔！)</t>
    <phoneticPr fontId="6" type="noConversion"/>
  </si>
  <si>
    <t>&lt;p&gt;
&lt;n&gt;  将线索交给寻找儿子的狄尔&lt;/n&gt;
&lt;/p&gt;</t>
    <phoneticPr fontId="6" type="noConversion"/>
  </si>
  <si>
    <t>低矮的灌木丛</t>
    <phoneticPr fontId="6" type="noConversion"/>
  </si>
  <si>
    <t>"一个普通的灌木丛"</t>
    <phoneticPr fontId="6" type="noConversion"/>
  </si>
  <si>
    <t>title(（43级）佐洛的儿子)
body(hotyellow_3(任务进程:)newline()
   将佐洛的儿子交给goto(60154,3)。
blankline()hotyellow_3(任务描述:)newline() 
   也不知道佐洛这个父亲是怎么当的，儿子丢了都不操心。)</t>
    <phoneticPr fontId="6" type="noConversion"/>
  </si>
  <si>
    <t>body(   我叫格姆，我爸爸是赏金猎人佐洛。我偷偷流出营地玩耍的时候被一只长着很大眼睛的怪物叼走了…blankline()   萨尔哥哥带我溜了出来，然后我们在森林里被各种怪物追…blankline()   刚才萨尔哥哥说他发现了地下宝藏的入口，丢下我跑了…如果你愿意送我会我父亲那里，我就从灌木丛里出来。)</t>
    <phoneticPr fontId="6" type="noConversion"/>
  </si>
  <si>
    <t>"最近收益很不错啊，格姆那小子又跑哪儿玩去了"</t>
    <phoneticPr fontId="6" type="noConversion"/>
  </si>
  <si>
    <t>卡尔</t>
    <phoneticPr fontId="6" type="noConversion"/>
  </si>
  <si>
    <t>{{27112,0,15,0,"1-1,2-1"}}</t>
    <phoneticPr fontId="6" type="noConversion"/>
  </si>
  <si>
    <t>body(   很久没有发现幸存者了，辛苦你了，player()。)</t>
    <phoneticPr fontId="9" type="noConversion"/>
  </si>
  <si>
    <t>"很久没有发现幸存者了"</t>
    <phoneticPr fontId="9" type="noConversion"/>
  </si>
  <si>
    <t>比尔</t>
    <phoneticPr fontId="6" type="noConversion"/>
  </si>
  <si>
    <t>body(   这么说…blankline()   小镇失踪的那些镇民与吸血鬼无关……)</t>
  </si>
  <si>
    <t>body(   一想起那些零零碎碎的记忆，脑袋就会非常疼。player()，请摘一些野生的清凉果给我，那些果子会让我好受一点……)</t>
  </si>
  <si>
    <t>body(   我好像明白一点了……)</t>
  </si>
  <si>
    <t>body(   都已经阵亡了么……)</t>
  </si>
  <si>
    <t>body(   现在感觉好多了……)</t>
  </si>
  <si>
    <t>body(  那些硕大的狂暴犀牛倒是让我想起了一件事……)</t>
  </si>
  <si>
    <t>body(   长官还是这么严厉啊……)</t>
  </si>
  <si>
    <t>body(   真是辛苦您了……)</t>
  </si>
  <si>
    <t>body(    这确实是一种恐怖的疫病……)</t>
  </si>
  <si>
    <t>body(   我说怎么最近浑身乏力……)</t>
  </si>
  <si>
    <t>body(   我也想撤啊……)</t>
  </si>
  <si>
    <t>body(   这次我们麻烦大了……)</t>
  </si>
  <si>
    <t>body(   看来事态已经发展到失控的边缘了……)</t>
  </si>
  <si>
    <t>"求财之路漫漫啊……"</t>
  </si>
  <si>
    <t>body(   原来他们打算清剿的是铁甲木乃伊。blankline()   真是白忙活一场……)</t>
  </si>
  <si>
    <t>body(   差点被木乃伊撕掉一只手，如果那样的话我就可以退役了……)</t>
  </si>
  <si>
    <t>body(space()space()space()player()，你怎么会知道这里闹过岩浆傀儡呢。blankline()   不过他们似乎没有什么恶意，轻松就驱赶了，还逮住了一个……)</t>
  </si>
  <si>
    <t>body(   嘿，你好，我是囧rz·阿布。其实原本我是很帅的，变成现在这样我也感到压力很大……)</t>
  </si>
  <si>
    <t>body(   英雄…你的意思我已经彻底明白了，我知道该怎么做了……)</t>
  </si>
  <si>
    <t>body(   灌木丛林里好像有什么东西……)</t>
  </si>
  <si>
    <t>"这点材料还不够，我需要更多……"</t>
  </si>
  <si>
    <t>body(   很久没玩牌啦，真是久违的感觉啊！)</t>
  </si>
  <si>
    <t>body(   果然名不虚传啊！)</t>
  </si>
  <si>
    <t>body(   是啊，现在生意越来越不好做了啊！)</t>
  </si>
  <si>
    <t>"没有永恒的盟友，只有永恒的利益，这句话真犀利啊！"</t>
  </si>
  <si>
    <t>body(   有这种事？我毫不知情啊！)</t>
  </si>
  <si>
    <t>body(   这么快就完成了任务，player()你的实力真让人刮目相看啊！)</t>
  </si>
  <si>
    <t>"还没有完成委托人的任务，要加油啊！"</t>
  </si>
  <si>
    <t>body(   真是不幸的人啊！blankline()   如果就这样移交上去肯定会被枪决的，该怎么办呢…)</t>
  </si>
  <si>
    <t>body(   那么轻易被干掉就不是佐洛的儿子了。blankline()   这小家伙和他老爹一样命大啊！)</t>
  </si>
  <si>
    <t>&lt;p&gt;
&lt;n&gt;团升到3级&lt;/n&gt;
&lt;/p&gt;</t>
  </si>
  <si>
    <t xml:space="preserve"> {{23037,0,10,0,"1-1"},{23041,0,10,0,"1-1"}}</t>
    <phoneticPr fontId="6" type="noConversion"/>
  </si>
  <si>
    <t>任务类型</t>
    <phoneticPr fontId="6" type="noConversion"/>
  </si>
  <si>
    <t>白装格式（1001，0，1，0，“4-1”）judge为1必须分配6-x,7-x否则程序随机生成</t>
    <phoneticPr fontId="6" type="noConversion"/>
  </si>
  <si>
    <t>{{id,scene,num,judge,"attr"},{1001,0,1,1,"6-4,7-3"},...}</t>
    <phoneticPr fontId="6" type="noConversion"/>
  </si>
  <si>
    <t>道具格式</t>
    <phoneticPr fontId="6" type="noConversion"/>
  </si>
  <si>
    <t>任务描述</t>
    <phoneticPr fontId="6" type="noConversion"/>
  </si>
  <si>
    <t>对话</t>
    <phoneticPr fontId="6" type="noConversion"/>
  </si>
  <si>
    <t>blankline() 加一个空行 须在body()内嵌套</t>
    <phoneticPr fontId="6" type="noConversion"/>
  </si>
  <si>
    <t>hot3(xxx) 对内容xxx颜色高亮显示(蓝色) 须在body()内嵌套</t>
    <phoneticPr fontId="6" type="noConversion"/>
  </si>
  <si>
    <t>pos(x,y,mapid) 指定坐标显示,须在body()内</t>
    <phoneticPr fontId="6" type="noConversion"/>
  </si>
  <si>
    <t>var(taskid,varid) 显示任务变量数字，须在body()内嵌套</t>
    <phoneticPr fontId="6" type="noConversion"/>
  </si>
  <si>
    <t>newline() 换行 须在body()内嵌套</t>
    <phoneticPr fontId="6" type="noConversion"/>
  </si>
  <si>
    <t>hot2(xxx) 对内容xxx颜色高亮显示(黄色) 须在body()内嵌套</t>
    <phoneticPr fontId="6" type="noConversion"/>
  </si>
  <si>
    <t>player() 玩家姓名</t>
    <phoneticPr fontId="6" type="noConversion"/>
  </si>
  <si>
    <t>goto(npcid,mapid) 超链接显示，须在body()内嵌套</t>
    <phoneticPr fontId="6" type="noConversion"/>
  </si>
  <si>
    <t>body()内容主体，除了title()其他标签都应包含在其中，内容为普通白色</t>
    <phoneticPr fontId="6" type="noConversion"/>
  </si>
  <si>
    <t>title()标题，会彩色字体稍大</t>
    <phoneticPr fontId="6" type="noConversion"/>
  </si>
  <si>
    <t>&lt;dialog text="点击打开包裹" hotkeyid="2" /&gt;</t>
  </si>
  <si>
    <t>打开游戏内界面</t>
    <phoneticPr fontId="10" type="noConversion"/>
  </si>
  <si>
    <t>judge=1表示走鉴定流程，judge=2表示走鉴定流程（附加属性不产生为阉割装）</t>
    <phoneticPr fontId="10" type="noConversion"/>
  </si>
  <si>
    <t>白装不走鉴定流程，需要加4-1。除白装外其他装备需要走鉴定流程。</t>
    <phoneticPr fontId="10" type="noConversion"/>
  </si>
  <si>
    <t>body(    我有些关于宠物的问题想问问你哦。)</t>
  </si>
  <si>
    <t>"我有些关于宠物的问题想问问你哦。"</t>
  </si>
  <si>
    <t>body(   有了战斗型宠物，就可以进行合体战斗了。)</t>
  </si>
  <si>
    <t>驯化宠物</t>
  </si>
  <si>
    <t>body(   驯化一个宠物)</t>
  </si>
  <si>
    <t>body(   驯化一只宠物)</t>
  </si>
  <si>
    <t xml:space="preserve">title(驯化达人（循环）)
body(hotyellow_3(任务进程:)newline()
   成功驯化$NUM个宠物后，去找神秘人米迦勒。
   blankline()
   这是您的第$N次挑战。
blankline()
   hot2(使用驯化技能成功驯化一个宠物，计数加一。)
blankline()   hot3(在宠物的发源地地球，拥有着充足的宠物资源，去驯化它们吧！)
blankline()
   hot3(每次完成任务所获得的经验奖励都与人物的等级有关。))
</t>
  </si>
  <si>
    <t>body(   宠物只会跟随心地纯正的人。不同的宠物拥有不同个性，驯化他们需要很大的耐心和技巧。player()，有兴趣接受挑战吗？)</t>
  </si>
  <si>
    <t>辛达</t>
    <phoneticPr fontId="6" type="noConversion"/>
  </si>
  <si>
    <t>辛达</t>
    <phoneticPr fontId="6" type="noConversion"/>
  </si>
  <si>
    <t>罗恩</t>
    <phoneticPr fontId="6" type="noConversion"/>
  </si>
  <si>
    <t>需要两个任务做前置</t>
    <phoneticPr fontId="7" type="noConversion"/>
  </si>
  <si>
    <t>罗恩</t>
    <phoneticPr fontId="6" type="noConversion"/>
  </si>
  <si>
    <t xml:space="preserve"> 
</t>
    <phoneticPr fontId="7" type="noConversion"/>
  </si>
  <si>
    <t>罗恩</t>
    <phoneticPr fontId="6" type="noConversion"/>
  </si>
  <si>
    <t>{{26101,0,5,0,"1-1"}}</t>
    <phoneticPr fontId="7" type="noConversion"/>
  </si>
  <si>
    <t>罗恩</t>
    <phoneticPr fontId="6" type="noConversion"/>
  </si>
  <si>
    <t>防具商人(111)处领取武器"{{15100,0,1,"iv=4（一）"}}"
"{{15200,0,1,"iv=4（一）"}}"
去补给品商人(107)领取药品"{{23037,0,3,""}}"
"{{23041,0,3,""}}"。
然后会士官长罗恩处报道</t>
    <phoneticPr fontId="6" type="noConversion"/>
  </si>
  <si>
    <t>补给品商人</t>
    <phoneticPr fontId="6" type="noConversion"/>
  </si>
  <si>
    <t>防具商人</t>
    <phoneticPr fontId="6" type="noConversion"/>
  </si>
  <si>
    <t>{{31028,0,1,0,"1-1"}}</t>
    <phoneticPr fontId="6" type="noConversion"/>
  </si>
  <si>
    <t>赫肯</t>
    <phoneticPr fontId="6" type="noConversion"/>
  </si>
  <si>
    <t xml:space="preserve"> </t>
    <phoneticPr fontId="7" type="noConversion"/>
  </si>
  <si>
    <t>帕蒂</t>
    <phoneticPr fontId="6" type="noConversion"/>
  </si>
  <si>
    <t>鲍比</t>
    <phoneticPr fontId="6" type="noConversion"/>
  </si>
  <si>
    <t>昏迷的士兵</t>
    <phoneticPr fontId="6" type="noConversion"/>
  </si>
  <si>
    <t>npc为一堆躺下的士兵</t>
    <phoneticPr fontId="6" type="noConversion"/>
  </si>
  <si>
    <t xml:space="preserve"> </t>
    <phoneticPr fontId="6" type="noConversion"/>
  </si>
  <si>
    <t>护送任务、新npc士兵为镖车</t>
    <phoneticPr fontId="6" type="noConversion"/>
  </si>
  <si>
    <t>罗恩</t>
    <phoneticPr fontId="6" type="noConversion"/>
  </si>
  <si>
    <t>马卡兰</t>
    <phoneticPr fontId="6" type="noConversion"/>
  </si>
  <si>
    <t>霍利克</t>
    <phoneticPr fontId="6" type="noConversion"/>
  </si>
  <si>
    <t>霍利克</t>
    <phoneticPr fontId="6" type="noConversion"/>
  </si>
  <si>
    <t>霍利克</t>
    <phoneticPr fontId="6" type="noConversion"/>
  </si>
  <si>
    <t>盖亚</t>
    <phoneticPr fontId="6" type="noConversion"/>
  </si>
  <si>
    <t>""</t>
    <phoneticPr fontId="6" type="noConversion"/>
  </si>
  <si>
    <t>{{26101,0,5,0,"1-1"}}</t>
    <phoneticPr fontId="6" type="noConversion"/>
  </si>
  <si>
    <t>佐拉</t>
    <phoneticPr fontId="6" type="noConversion"/>
  </si>
  <si>
    <t>{{43002,0,5,0,"1-1"}}</t>
    <phoneticPr fontId="6" type="noConversion"/>
  </si>
  <si>
    <t>萨克斯</t>
    <phoneticPr fontId="6" type="noConversion"/>
  </si>
  <si>
    <t xml:space="preserve"> 
</t>
    <phoneticPr fontId="6" type="noConversion"/>
  </si>
  <si>
    <t>"31033-0-1"</t>
    <phoneticPr fontId="6" type="noConversion"/>
  </si>
  <si>
    <t>{{31029,0,1,0,"1-1"}}</t>
    <phoneticPr fontId="6" type="noConversion"/>
  </si>
  <si>
    <t>"31079-0-25"</t>
    <phoneticPr fontId="6" type="noConversion"/>
  </si>
  <si>
    <t>"31080-0-25"</t>
    <phoneticPr fontId="6" type="noConversion"/>
  </si>
  <si>
    <t>"31082-0-25"</t>
    <phoneticPr fontId="6" type="noConversion"/>
  </si>
  <si>
    <t>"31083-0-28"</t>
    <phoneticPr fontId="6" type="noConversion"/>
  </si>
  <si>
    <t>"31084-0-28"</t>
    <phoneticPr fontId="6" type="noConversion"/>
  </si>
  <si>
    <t>杰弗森</t>
    <phoneticPr fontId="6" type="noConversion"/>
  </si>
  <si>
    <t>body(   只有除掉虫群的首领才能有效的阻止虫群的进化，player()拜托你了。)</t>
    <phoneticPr fontId="6" type="noConversion"/>
  </si>
  <si>
    <t>body(   历史正在前进，我们都是其中的参与者。)</t>
    <phoneticPr fontId="6" type="noConversion"/>
  </si>
  <si>
    <t>"我们还能坚持多久？"</t>
    <phoneticPr fontId="6" type="noConversion"/>
  </si>
  <si>
    <t>body(   情况我已经了解了，丛林中出现了一种新的生物，在18年前的战争中，它们被称为hot(唤醒者)。)</t>
    <phoneticPr fontId="6" type="noConversion"/>
  </si>
  <si>
    <t>"科学是否应该有一个不能触及的禁区？"</t>
    <phoneticPr fontId="6" type="noConversion"/>
  </si>
  <si>
    <t>body(   擒贼先擒王，我们必须要杀死精英唤醒者，不然从前的一切努力都会化为乌有。)</t>
    <phoneticPr fontId="6" type="noConversion"/>
  </si>
  <si>
    <t>body(   生化武器这种东西，就不该被开发出来。)</t>
    <phoneticPr fontId="6" type="noConversion"/>
  </si>
  <si>
    <t>body(   形势确实发生了根本性的变化。)</t>
    <phoneticPr fontId="6" type="noConversion"/>
  </si>
  <si>
    <t>title(（53级）最后的变数)
body(hotyellow_3(任务进程:)newline()
   消灭50只goto(10128,6)，向goto(60157,6)回复。
blankline()hotyellow_3(任务描述:)newline() 
   刚猪是一种处于食物链顶端的生物，它们的食谱无比复杂。从动物到植物，从昆虫到矿物，它们几乎无所不吃。它们的一生中50%的时间在进食，另外50%的时间在寻找食物。)</t>
    <phoneticPr fontId="6" type="noConversion"/>
  </si>
  <si>
    <t>body(   这下丛林应该可以安定一段日子了。)</t>
    <phoneticPr fontId="6" type="noConversion"/>
  </si>
  <si>
    <t>"我不喜欢那些刚猪，他们吃东西的声音真刺耳。"</t>
    <phoneticPr fontId="6" type="noConversion"/>
  </si>
  <si>
    <t>body(   隐匿者之森安定下来真是太好了，这样我就可以全力应付那些来自hot(沙漠)的敌人。)</t>
    <phoneticPr fontId="6" type="noConversion"/>
  </si>
  <si>
    <t>body(   为了对未来更复杂的形势，player()你需要熟悉更为高端的装备改造技术，比如在装备上镶嵌宝石。blankline()   关于这方面的知识我已经替你打点好了，去找装备改造商人，他会教你的。)</t>
    <phoneticPr fontId="6" type="noConversion"/>
  </si>
  <si>
    <t>body(   呦，我们又见面了。)</t>
    <phoneticPr fontId="6" type="noConversion"/>
  </si>
  <si>
    <t>body(   将宝石镶嵌在装备的孔洞中可以获得额外的属性。)</t>
    <phoneticPr fontId="6" type="noConversion"/>
  </si>
  <si>
    <t>body(   你就是卡尔推荐来的新人，看起来挺讨人喜欢的。blankline()   衷心的希望你可以活的久一点。)</t>
    <phoneticPr fontId="6" type="noConversion"/>
  </si>
  <si>
    <t>body(   你好啊，新人。blankline()   沙漠可是很美的，有机会带你见识一下。)</t>
    <phoneticPr fontId="6" type="noConversion"/>
  </si>
  <si>
    <t>body(space()space()space()player()，听说你在隐匿者之森杀掉了不少虫子，正好帮我一个忙。替我除掉沙漠中那些恶心的巨型甲虫。blankline()    作为一个狙击手，我敢保证，当你在沙漠中潜伏的时候，你永远不想遇见这些家伙。)</t>
    <phoneticPr fontId="6" type="noConversion"/>
  </si>
  <si>
    <t>body(   能在沙漠中活下来的，都不是什么和善的家伙，包括人类。blankline()   时间久一点你就会明白的，当然前提条件是你还活着。)</t>
    <phoneticPr fontId="6" type="noConversion"/>
  </si>
  <si>
    <t>"要是上次被我狙杀的家伙再晚一点暴露，我的左腿可就那些甲虫啃的渣都不剩了。"</t>
    <phoneticPr fontId="6" type="noConversion"/>
  </si>
  <si>
    <t>title(（55级）战时必需品)
body(hotyellow_3(任务进程:)newline()
   获得35个goto(10090,7)的矾石交给goto(60088,7)。
blankline()hotyellow_3(任务描述:)newline() 
   埋藏在沙漠中执行狙杀任务时，即使是最细微的饮水动作都会将你的身体暴露给对手。对于狙击手来说，被发现便意味着死亡。blankline()
   所以在将自己埋入沙粒之前，我会将矾石含在口中。这样可以缓解脱水带来的不适，使我的呼吸保持平稳。)</t>
    <phoneticPr fontId="6" type="noConversion"/>
  </si>
  <si>
    <t>body(   收获还可以，看来你找到了与那些亡命之徒沟通的正确方法了。)</t>
    <phoneticPr fontId="6" type="noConversion"/>
  </si>
  <si>
    <t>"我只对高难度的狩猎感兴趣。"</t>
    <phoneticPr fontId="6" type="noConversion"/>
  </si>
  <si>
    <t>"31110-0-35"</t>
    <phoneticPr fontId="6" type="noConversion"/>
  </si>
  <si>
    <t>body(   新面孔，是太空回来的战士吧，欢迎，欢迎。blankline()
   不知道从太空回来的人生理构造和地球人有什么不同…有兴趣我们可以探讨下。)</t>
    <phoneticPr fontId="6" type="noConversion"/>
  </si>
  <si>
    <t>body(   你好，player()，听说你和托奇很熟。能拜托你一件事吗？)</t>
    <phoneticPr fontId="6" type="noConversion"/>
  </si>
  <si>
    <t>title(（56级）致命的蝎)
body(hotyellow_3(任务进程:)newline()
   消灭55只goto(10091,7),去找goto(60088,7)。
blankline()hotyellow_3(任务描述:)newline() 
   在我来到沙漠前哨之前，在这里担任狙击手的是我最崇拜的偶像瓦西里前辈。做为一个狙击手，十分遗憾他没能死在对手的枪下，而是在潜伏的过程中被沙漠红蝎蛰中。
blankline()   沙漠红蝎的毒素并不剧烈，只会使人昏睡。但当我们在沙子中挖出瓦西里前辈时，他已经被风干成木乃伊了。)</t>
    <phoneticPr fontId="6" type="noConversion"/>
  </si>
  <si>
    <t>body(space()space()space()player()，你知道狙击手最可悲的事情是什么吗？并非死于枪下，而是死于一些可笑的小动物。blankline()   所以定期清理那些会在潜伏中给我们造成致命伤害的动物是非常必要的，比如清理(沙漠红蝎)。)</t>
    <phoneticPr fontId="6" type="noConversion"/>
  </si>
  <si>
    <t>body(   我可不想在潜伏的时候被这些小东西蛰一下，然后昏过去，接着活活在沙子里被烤成人干。)</t>
    <phoneticPr fontId="6" type="noConversion"/>
  </si>
  <si>
    <t>"拼尽全力，结果还是技不如人的死掉是件多么痛快的事情，我已经成全了很多狙击手了。"</t>
    <phoneticPr fontId="6" type="noConversion"/>
  </si>
  <si>
    <t>body(   现在像你这样有实力的年轻人不多了，大部分年轻人在拥有你这样的实力前都死在了沙漠中。blankline()   我留意你很久了，很高兴你愿意为我们赏金团工作。)</t>
    <phoneticPr fontId="6" type="noConversion"/>
  </si>
  <si>
    <t>"那些生物公司可没安什么好心，生化武器可比药品好卖多了。"</t>
    <phoneticPr fontId="6" type="noConversion"/>
  </si>
  <si>
    <t>body(   再帮我一个忙吧，将我把这封信交给hot(典狱长威格尔)。)</t>
    <phoneticPr fontId="6" type="noConversion"/>
  </si>
  <si>
    <t>body(   雷伊这个家伙想干什么，我已经很容忍他了，别以为我不知道他的底细。)</t>
    <phoneticPr fontId="6" type="noConversion"/>
  </si>
  <si>
    <t>body(   那些沙漠偷袭者总是将自己隐藏在沙漠的阴影处。当一切正常时，你永远找不到他们。一旦你筋疲力尽，奄奄一息，他们就会从沙漠中窜出，杀掉你，拿走你的财物，扒光你的衣服。blankline()   有一名从佣兵时期就与我并肩作战的猎人就死在了这帮龌龊的小丑的枪下，毫无尊严可言。blankline()space()space()space()player()，我要报仇！)</t>
    <phoneticPr fontId="6" type="noConversion"/>
  </si>
  <si>
    <t>body(   这次算是我私人的事，不过赏金我还是会照给的。)</t>
    <phoneticPr fontId="6" type="noConversion"/>
  </si>
  <si>
    <t>"战士最可悲的结局就是毫无尊严的死在一帮宵小之手。"</t>
    <phoneticPr fontId="6" type="noConversion"/>
  </si>
  <si>
    <t>body(space()space()space()player()，你要知道杀人和杀变异生物的感觉是截然不同的。blankline()
   我想你最好尽快掌握有关杀人所必须的心理素质，比如保持心跳的平稳…这对让你在沙漠中活下去意义重大。blankline()   关于这方面，我想hot(狙击手托奇)是最好的老师。)</t>
    <phoneticPr fontId="6" type="noConversion"/>
  </si>
  <si>
    <t>body(   要想真正的强大起来，除了钱以外，我们还需要身经百战的猎人。blankline()
   尤利娅就是这样的高手，她曾经在神之刺客佣兵团服役，又是沙奥萨的恋人，我想请她加入我们。)</t>
    <phoneticPr fontId="6" type="noConversion"/>
  </si>
  <si>
    <t>body(   战争已经结束了，我只想找到沙奥萨，然后过平静的日子。)</t>
    <phoneticPr fontId="6" type="noConversion"/>
  </si>
  <si>
    <t>body(  我知道雷伊怎么想，但是，战争已经结束了。佣兵的时代也结束了。blankline()   我已经厌倦了战斗，只想等沙奥萨回来，然后安安静静的活下去。)</t>
    <phoneticPr fontId="6" type="noConversion"/>
  </si>
  <si>
    <t>"佣兵想要生存下去，只有依附于强大的势力才行。"</t>
    <phoneticPr fontId="6" type="noConversion"/>
  </si>
  <si>
    <t>body(   赏金猎人雷伊搜集情报的能力果然强大。)</t>
    <phoneticPr fontId="6" type="noConversion"/>
  </si>
  <si>
    <t>title(（63级）雷伊的诚意)
body(hotyellow_3(任务进程:)newline()
   杀死60只goto(10099,7)后去找goto(60086,7)。
blankline()hotyellow_3(任务描述:)newline() 
   既然指挥官拉奥给了我一个结盟的机会，我就要让他感受到我的诚意。不就是一些铁甲木乃伊嘛…blankline()
space()space()space()player()，只要我们两个联手，这些虫子一定可以在三天之内搞定的。)</t>
    <phoneticPr fontId="6" type="noConversion"/>
  </si>
  <si>
    <t>"这样一来，那些走私者真是上天无路，入地无门了。"</t>
    <phoneticPr fontId="6" type="noConversion"/>
  </si>
  <si>
    <t>body(   雷伊是个可怕的家伙，一下在就猜到了我的目的。blankline()
   虽然我们现在与他暂时是盟友的关系，但是player()你还是不要和他走的太近才好。我们之间，早晚会有一战。)</t>
    <phoneticPr fontId="6" type="noConversion"/>
  </si>
  <si>
    <t>title(（64级）剿灭沙漠走私犯)
body(hotyellow_3(任务进程:)newline()
   杀死60个goto(10098,7)，去找goto(60088,7)。
blankline()hotyellow_3(任务描述:)newline() 
   很多敌国的特种兵，会伪装成走私犯混进我们国家。消灭了这些走私犯，我的任务也会轻松一点。)</t>
    <phoneticPr fontId="6" type="noConversion"/>
  </si>
  <si>
    <t>body(   找到走私犯，杀掉他们。blankline()   一个都不要放过，这次的任务就是这样。)</t>
    <phoneticPr fontId="6" type="noConversion"/>
  </si>
  <si>
    <t>body(   干的不错，干掉这些走私犯，以后我的任务会轻松很多了。)</t>
    <phoneticPr fontId="6" type="noConversion"/>
  </si>
  <si>
    <t>body(   我要一步一步肃清整片沙漠，这只是一个开始。)</t>
    <phoneticPr fontId="6" type="noConversion"/>
  </si>
  <si>
    <t>body(   我们知道做事的准则，既然这次雷伊帮助了我们，我也会有所回报。blankline()
   请告诉hot(赏金猎人雷伊)，我们将允许他们水鸟赏金团在沙漠中狩猎稀有动物。)</t>
    <phoneticPr fontId="6" type="noConversion"/>
  </si>
  <si>
    <t>body(   哼，一个空头支票。不过我们就不用再偷猎了。)</t>
    <phoneticPr fontId="6" type="noConversion"/>
  </si>
  <si>
    <t>title(（65级）狩猎白色蜘蛛)
body(hotyellow_3(任务进程:)newline()
   获取42个goto(10100,7)的标本，去找goto(60086,7)。
blankline()hotyellow_3(任务描述:)newline() 
   既然我们可以光明正大的狩猎沙漠中的稀有动物，那就不要浪费这个权利。blankline()   很多人认为那些白色沙漠蜘蛛有着神秘的力量，将他们的标本放在家中可以镇压一切邪魔。它们在黑市上的价格比黄金还要贵重。)</t>
    <phoneticPr fontId="6" type="noConversion"/>
  </si>
  <si>
    <t>body(   既然我们可以光明正大狩猎稀有动物，那么就要狠狠的捞一笔。blankline()   这次我们要把沙漠中的hot(白色蜘蛛)全部收入囊中。)</t>
    <phoneticPr fontId="6" type="noConversion"/>
  </si>
  <si>
    <t>body(   光靠这一笔，我们就能赚很多钱。上面有人，感觉果然不一样。)</t>
    <phoneticPr fontId="6" type="noConversion"/>
  </si>
  <si>
    <t>"如果我们不表现的肆无忌惮一点，其他偷猎的猎人就会认为我们和他们一样。"</t>
    <phoneticPr fontId="6" type="noConversion"/>
  </si>
  <si>
    <t>"31113-0-42"</t>
    <phoneticPr fontId="6" type="noConversion"/>
  </si>
  <si>
    <t>title(（66级）狩猎变异沙漠妖姬)
body(hotyellow_3(任务进程:)newline()
   获取42个goto(10101,7)的腺体，并把它们交给goto(60086,7)。
blankline()hotyellow_3(任务描述:)newline() 
   沙漠中有极少的一部分沙漠妖姬，由于受到辐射而产生变异。除了比一般的沙漠妖姬更加的凶猛外，他们还会分泌一种神奇的液体。这种液体拥有快速的溶解坏死细胞，而不损伤健康细胞的能力。)</t>
    <phoneticPr fontId="6" type="noConversion"/>
  </si>
  <si>
    <t>body(   如果看到其他猎人和我们抢钱，就毫不犹豫的打爆他的头。)</t>
    <phoneticPr fontId="6" type="noConversion"/>
  </si>
  <si>
    <t>"31114-0-42"</t>
    <phoneticPr fontId="6" type="noConversion"/>
  </si>
  <si>
    <t>title(（67级）剿灭偷猎者)
body(hotyellow_3(任务进程:)newline()
   消灭60个goto(10102,7)，去找goto(60086,7)。
blankline()hotyellow_3(任务描述:)newline() 
   那些偷猎者都是亡命之徒，其实我们也是…不过我们比他们更正规，我们是得到官方许可的。)</t>
    <phoneticPr fontId="6" type="noConversion"/>
  </si>
  <si>
    <t>body(   可以着手消灭那些偷猎者了… blankline()
   那些偷猎者可都是亡命之徒，player()，千万不要心慈手软，不然倒在黄沙中的会是你。)</t>
    <phoneticPr fontId="6" type="noConversion"/>
  </si>
  <si>
    <t>body(   人为财死…这些偷猎者就是这样的。blankline()
   我想死得更有意义一点。)</t>
    <phoneticPr fontId="6" type="noConversion"/>
  </si>
  <si>
    <t>"我们和这些偷猎者是一样的，只是我们更加强大而已。"</t>
    <phoneticPr fontId="6" type="noConversion"/>
  </si>
  <si>
    <t>body(   不要轻举妄动？开什么玩笑，真把我当他的属下了？)</t>
    <phoneticPr fontId="6" type="noConversion"/>
  </si>
  <si>
    <t>body(   这件事是瞒不过拉奥的，不过他也不能把我们怎么样。)</t>
    <phoneticPr fontId="6" type="noConversion"/>
  </si>
  <si>
    <t>"31115-0-42"</t>
    <phoneticPr fontId="6" type="noConversion"/>
  </si>
  <si>
    <t>""</t>
    <phoneticPr fontId="7" type="noConversion"/>
  </si>
  <si>
    <t>*</t>
    <phoneticPr fontId="6" type="noConversion"/>
  </si>
  <si>
    <t>卡玛</t>
    <phoneticPr fontId="6" type="noConversion"/>
  </si>
  <si>
    <t>&lt;p&gt;
&lt;n&gt;  将岩浆傀儡移交：&lt;/n&gt;
 &lt;n&gt; &lt;/n&gt;&lt;goto id="60093" mapid="6" flagpoint="1" taskid="11963"/&gt;&lt;/p&gt;</t>
    <phoneticPr fontId="6" type="noConversion"/>
  </si>
  <si>
    <t>body(   谢谢你，player()。blankline()   莉莲的死就是一个根本不该发生的悲剧。每天晚上闭上眼睛，我都会梦见那一幕。梦见艾斯弗格那惨烈的一击，以及莉莲胸口爆散开的血花。)</t>
    <phoneticPr fontId="6" type="noConversion"/>
  </si>
  <si>
    <t>"31138-0-1"</t>
    <phoneticPr fontId="6" type="noConversion"/>
  </si>
  <si>
    <t>卡尔</t>
    <phoneticPr fontId="6" type="noConversion"/>
  </si>
  <si>
    <t>"缺少任何一个人，都不是完整的“狼群”。"</t>
    <phoneticPr fontId="9" type="noConversion"/>
  </si>
  <si>
    <t>"31078-0-5"</t>
    <phoneticPr fontId="6" type="noConversion"/>
  </si>
  <si>
    <t>"那些跟钻石一样贵的鱼子酱，快刀生前可是论斤吃的。"</t>
    <phoneticPr fontId="6" type="noConversion"/>
  </si>
  <si>
    <t>"如果我始终无法忘记这件事，也许我该选择退役。"</t>
    <phoneticPr fontId="6" type="noConversion"/>
  </si>
  <si>
    <t xml:space="preserve"> </t>
    <phoneticPr fontId="6" type="noConversion"/>
  </si>
  <si>
    <t>""</t>
    <phoneticPr fontId="6" type="noConversion"/>
  </si>
  <si>
    <t xml:space="preserve"> </t>
    <phoneticPr fontId="6" type="noConversion"/>
  </si>
  <si>
    <t xml:space="preserve">  "还有什么想知道的么？"</t>
    <phoneticPr fontId="6" type="noConversion"/>
  </si>
  <si>
    <t>"如此宝物你想空手而取么"</t>
    <phoneticPr fontId="9" type="noConversion"/>
  </si>
  <si>
    <t>""</t>
    <phoneticPr fontId="6" type="noConversion"/>
  </si>
  <si>
    <t>{{29020,0,1,0,"1-1"}}</t>
    <phoneticPr fontId="6" type="noConversion"/>
  </si>
  <si>
    <t>"你的任务还没有完成呢！"</t>
    <phoneticPr fontId="6" type="noConversion"/>
  </si>
  <si>
    <t>去找士官长NPC</t>
    <phoneticPr fontId="6" type="noConversion"/>
  </si>
  <si>
    <t>""</t>
    <phoneticPr fontId="6" type="noConversion"/>
  </si>
  <si>
    <t>{{29020,0,1,0,"1-1"}}</t>
    <phoneticPr fontId="6" type="noConversion"/>
  </si>
  <si>
    <t>"你的任务还没有完成呢！"</t>
    <phoneticPr fontId="6" type="noConversion"/>
  </si>
  <si>
    <t>去找士官长NPC</t>
    <phoneticPr fontId="6" type="noConversion"/>
  </si>
  <si>
    <t>""</t>
    <phoneticPr fontId="6" type="noConversion"/>
  </si>
  <si>
    <t>{{29017,0,1,0,"1-1"}}</t>
    <phoneticPr fontId="6" type="noConversion"/>
  </si>
  <si>
    <t>"你的任务还没有完成呢！"</t>
    <phoneticPr fontId="6" type="noConversion"/>
  </si>
  <si>
    <t>去找士官长NPC</t>
    <phoneticPr fontId="6" type="noConversion"/>
  </si>
  <si>
    <t>召唤怪物</t>
    <phoneticPr fontId="6" type="noConversion"/>
  </si>
  <si>
    <t>{{29018,0,1,0,"1-1"}}</t>
    <phoneticPr fontId="6" type="noConversion"/>
  </si>
  <si>
    <t>body(   召唤怪物)</t>
    <phoneticPr fontId="6" type="noConversion"/>
  </si>
  <si>
    <t>找人A</t>
    <phoneticPr fontId="6" type="noConversion"/>
  </si>
  <si>
    <t>body(   寻找指定NPC)</t>
    <phoneticPr fontId="6" type="noConversion"/>
  </si>
  <si>
    <t>body(   辛苦了,这件事情对我们来说非常的重要。)</t>
    <phoneticPr fontId="6" type="noConversion"/>
  </si>
  <si>
    <t>寻找指定NPC</t>
    <phoneticPr fontId="6" type="noConversion"/>
  </si>
  <si>
    <t>打怪A</t>
    <phoneticPr fontId="6" type="noConversion"/>
  </si>
  <si>
    <t>body(   击杀怪物)</t>
    <phoneticPr fontId="6" type="noConversion"/>
  </si>
  <si>
    <t>收集装备</t>
    <phoneticPr fontId="6" type="noConversion"/>
  </si>
  <si>
    <t>收集武器</t>
    <phoneticPr fontId="6" type="noConversion"/>
  </si>
  <si>
    <t>护送</t>
    <phoneticPr fontId="6" type="noConversion"/>
  </si>
  <si>
    <t>body(   进行护送任务)</t>
    <phoneticPr fontId="6" type="noConversion"/>
  </si>
  <si>
    <t>收集生活材料A</t>
    <phoneticPr fontId="6" type="noConversion"/>
  </si>
  <si>
    <t>跑商任务</t>
    <phoneticPr fontId="6" type="noConversion"/>
  </si>
  <si>
    <t>body(   收集指定的材料)</t>
    <phoneticPr fontId="6" type="noConversion"/>
  </si>
  <si>
    <t>收集生活材料B</t>
    <phoneticPr fontId="6" type="noConversion"/>
  </si>
  <si>
    <t>body(    收集指定的材料)</t>
    <phoneticPr fontId="6" type="noConversion"/>
  </si>
  <si>
    <t>收集日常道具</t>
    <phoneticPr fontId="6" type="noConversion"/>
  </si>
  <si>
    <t>body(   收集指定的道具)</t>
    <phoneticPr fontId="6" type="noConversion"/>
  </si>
  <si>
    <t>收集生活产出</t>
    <phoneticPr fontId="6" type="noConversion"/>
  </si>
  <si>
    <t>body(   收集10个机械零件)</t>
    <phoneticPr fontId="6" type="noConversion"/>
  </si>
  <si>
    <t>收集怪物掉落</t>
    <phoneticPr fontId="6" type="noConversion"/>
  </si>
  <si>
    <t>"呜呜~~"</t>
    <phoneticPr fontId="6" type="noConversion"/>
  </si>
  <si>
    <t>玩家宠物表中拥有一只非更随状态下的娜娜兔才可以交付任务 ，交付后娜娜兔消失。</t>
    <phoneticPr fontId="6" type="noConversion"/>
  </si>
  <si>
    <t>击杀精英怪</t>
    <phoneticPr fontId="6" type="noConversion"/>
  </si>
  <si>
    <t>body(   击杀指定的精英怪)</t>
    <phoneticPr fontId="6" type="noConversion"/>
  </si>
  <si>
    <t>团成就任务</t>
    <phoneticPr fontId="6" type="noConversion"/>
  </si>
  <si>
    <t>志同道合</t>
    <phoneticPr fontId="6" type="noConversion"/>
  </si>
  <si>
    <t>科技优势</t>
    <phoneticPr fontId="6" type="noConversion"/>
  </si>
  <si>
    <t>后勤补给</t>
    <phoneticPr fontId="6" type="noConversion"/>
  </si>
  <si>
    <t>完美养成</t>
    <phoneticPr fontId="6" type="noConversion"/>
  </si>
  <si>
    <t>&lt;p&gt;
&lt;n&gt;本团击杀一只蓝色以上的农场守望者&lt;/n&gt;
&lt;/p&gt;</t>
    <phoneticPr fontId="6" type="noConversion"/>
  </si>
  <si>
    <t>奋勇杀敌</t>
    <phoneticPr fontId="6" type="noConversion"/>
  </si>
  <si>
    <t>茁壮成长</t>
    <phoneticPr fontId="6" type="noConversion"/>
  </si>
  <si>
    <t>&lt;p&gt;
&lt;n&gt;团繁荣度达到150&lt;/n&gt;
&lt;/p&gt;</t>
    <phoneticPr fontId="6" type="noConversion"/>
  </si>
  <si>
    <t>团至二级</t>
    <phoneticPr fontId="6" type="noConversion"/>
  </si>
  <si>
    <t>&lt;p&gt;
&lt;n&gt;团升到二级&lt;/n&gt;
&lt;/p&gt;</t>
    <phoneticPr fontId="6" type="noConversion"/>
  </si>
  <si>
    <t>&lt;p&gt;
&lt;n&gt;团升到四级&lt;/n&gt;
&lt;/p&gt;</t>
    <phoneticPr fontId="6" type="noConversion"/>
  </si>
  <si>
    <t>&lt;p&gt;
&lt;n&gt;团升到五级&lt;/n&gt;
&lt;/p&gt;</t>
    <phoneticPr fontId="6" type="noConversion"/>
  </si>
  <si>
    <t>&lt;p&gt;
&lt;n&gt;团升到六级&lt;/n&gt;
&lt;/p&gt;</t>
    <phoneticPr fontId="6" type="noConversion"/>
  </si>
  <si>
    <t>&lt;p&gt;
&lt;n&gt;团升到七级&lt;/n&gt;
&lt;/p&gt;</t>
    <phoneticPr fontId="6" type="noConversion"/>
  </si>
  <si>
    <t>&lt;p&gt;
&lt;n&gt;团升到八级&lt;/n&gt;
&lt;/p&gt;</t>
    <phoneticPr fontId="6" type="noConversion"/>
  </si>
  <si>
    <t>&lt;p&gt;
&lt;n&gt;团升到九级&lt;/n&gt;
&lt;/p&gt;</t>
    <phoneticPr fontId="6" type="noConversion"/>
  </si>
  <si>
    <t>&lt;p&gt;
&lt;n&gt;团升到十级&lt;/n&gt;
&lt;/p&gt;</t>
    <phoneticPr fontId="6" type="noConversion"/>
  </si>
  <si>
    <t>收集</t>
    <phoneticPr fontId="6" type="noConversion"/>
  </si>
  <si>
    <t>&lt;p&gt;
&lt;n&gt;  收集10个荆棘迷雾之花给&lt;/n&gt;
 &lt;n&gt; &lt;/n&gt;&lt;goto id="60015" mapid="2" flagpoint="1" taskid="30006"/&gt;&lt;/p&gt;</t>
    <phoneticPr fontId="6" type="noConversion"/>
  </si>
  <si>
    <t>"虽然我认为你很强，但你还是必须拿出成果来。"</t>
    <phoneticPr fontId="6" type="noConversion"/>
  </si>
  <si>
    <t xml:space="preserve"> 每次成功鉴定一件装备任务计数加一。</t>
    <phoneticPr fontId="6" type="noConversion"/>
  </si>
  <si>
    <t>"虽然我认为你很强，但你还是需要证明你自己。"</t>
    <phoneticPr fontId="6" type="noConversion"/>
  </si>
  <si>
    <t>浓缩炸药29015
卷轴 47006</t>
    <phoneticPr fontId="6" type="noConversion"/>
  </si>
  <si>
    <t>浓缩炸药</t>
    <phoneticPr fontId="6" type="noConversion"/>
  </si>
  <si>
    <t>&lt;p&gt;
&lt;n&gt;  收集10个地雷交给&lt;/n&gt;
 &lt;n&gt; &lt;/n&gt;&lt;goto id="60096" mapid="7" flagpoint="1" taskid="30021"/&gt;&lt;/p&gt;</t>
    <phoneticPr fontId="6" type="noConversion"/>
  </si>
  <si>
    <t>西瓦</t>
    <phoneticPr fontId="6" type="noConversion"/>
  </si>
  <si>
    <t>body(space()space()space()player()，看来你已经做好准备了，赶快去找hot(士官长罗恩)报到吧！)</t>
  </si>
  <si>
    <t>title(（14级）忧虑的马卡兰)
body(hotyellow_3(任务进程:)newline()
   去找goto(60019,2)。
   blankline()hotyellow_3(任务描述:)newline()   养蜂人希尔看起来很焦虑的样子，他曾经来我这找过你，你还是去看看出了什么事吧！)</t>
  </si>
  <si>
    <t>title(（18级）牧师的委托)
body(hotyellow_3(任务进程:)newline()
   去找goto(60037,2)。
blankline()hotyellow_3(任务描述:)newline() 
   小镇牧师拉尔夫曾经来我这里询问过你的消息，似乎有一些很重要的事想拜托给你。blankline()space()space()space()player()，你去他那里看看吧！)</t>
  </si>
  <si>
    <t>body(   那么，让我们一起为生存下去而战斗吧！)</t>
  </si>
  <si>
    <t>body(   如今通过正常的采集流程已经很难收获足够的物资了，很多时候我们不得不从矿洞探险者那里高价收购。player()，拜托你到矿洞探险者那里打探一下详情吧！)</t>
  </si>
  <si>
    <t>title(（28级）探险者招募-矿石)
body(hotyellow_3(任务进程:)newline()
    goto(60049,2)正在招募探险者，去看看吧！
blankline()hotyellow_3(任务描述:)newline() 
   hot3(采集所需的一切物品都可以在生活技能制作商人处买到。))</t>
  </si>
  <si>
    <t>body(space()space()space()player()，最近压力好大，陪我玩一把牌消遣一下吧！)</t>
  </si>
  <si>
    <t>body(   看到幻象，都是些小问题。把安定剂给他服下，让他安分一会儿就应该没事了。blankline()   不过这种紧俏的物资player()你想空手而取么。听说你身手不错，请替我完成一笔高难度的委托单吧！)</t>
  </si>
  <si>
    <t>title(（40级）比大小)
body(hotyellow_3(任务进程:)newline()
    和goto(60064,3)玩一次比大小。
blankline()hotyellow_3(任务描述:)newline() 
    稀客啊，稀客啊，player()见到你真高兴，先陪我玩一把牌吧！)</t>
  </si>
  <si>
    <t>body(   稀客啊，稀客啊，player()见到你真高兴，先陪我玩一把牌吧！)</t>
  </si>
  <si>
    <t>title(（44级）比大小)
body(hotyellow_3(任务进程:)newline()
    和goto(60093,3)玩一次比大小。
blankline()hotyellow_3(任务描述:)newline() 
space()space()space()player()见到你真高兴，先陪我玩一把牌吧！)</t>
  </si>
  <si>
    <t>body(space()space()space()player()，先陪我玩一把牌吧！佐洛已经告诉我了，他说你很强。)</t>
  </si>
  <si>
    <t>body(   装备重绑可以改变装备的绑定属性，攻装可以改变特伤类型，防装可以改变特防类型。blankline()   试试吧！)</t>
  </si>
  <si>
    <t>body(   手艺还可以吧！)</t>
  </si>
  <si>
    <t>body(   这样，短时间内它们就不会对营地发起袭击了吧！)</t>
  </si>
  <si>
    <t>title(（52级）比大小)
body(hotyellow_3(任务进程:)newline()
   和goto(60158,6)玩一把比大小。
blankline()hotyellow_3(任务描述:)newline() 
   杀死了精英唤醒者，总算可以松一口气了。blankline()space()space()space()player()，听说你牌技精湛，陪我玩一把吧！)</t>
  </si>
  <si>
    <t>body(   杀死了精英唤醒者，总算可以松一口气了。blankline()space()space()space()player()，听说你牌技精湛，陪我玩一把吧！)</t>
  </si>
  <si>
    <t>"陪我玩一把吧！"</t>
  </si>
  <si>
    <t>title(（52级）明了的形势)
body(hotyellow_3(任务进程:)newline()
   去找goto(60157,6)回复。
blankline()hotyellow_3(任务描述:)newline() 
   总算在险恶的丛林外围杀出了一条血路啊，player()真是多亏有您的帮助。请通知赏金猎人克鲁兹进行善后的工作吧！)</t>
  </si>
  <si>
    <t>body(   总算在险恶的丛林外围杀出了一条血路啊，player()真是多亏有您的帮助。请通知赏金猎人克鲁兹进行善后的工作吧！)</t>
  </si>
  <si>
    <t>body(   清除了唤醒者，重装巨熊的数量已经开始回落了。我想用不了多久，数量就会维系在一个低威胁的范围内。blankline()   现在唯一可能破坏这种平衡的生物只有处于整个隐匿者之森食物链最顶端的hot(刚猪)了，为保险起见，还是除掉它们吧！)</t>
  </si>
  <si>
    <t>body(   使用金刚钻可以在装备上打孔，试试吧！)</t>
  </si>
  <si>
    <t>title(（54级）老兵托奇)
body(hotyellow_3(任务进程:)newline()
   去找goto(60088,7)。
blankline()hotyellow_3(任务描述:)newline() 
   说到如何在沙漠中生存，我觉得最好还是去请教狙击手托奇吧！在这沙漠营地的上一任指挥官被敌国的特种部队干掉前他就已经在这个营地了，他会教你怎样在这个沙漠里活下来。)</t>
  </si>
  <si>
    <t>body(   沙漠中那些亡命之徒手中总有些好东西。blankline()space()space()space()player()，你肯定还不知道，那些hot(沙漠掠夺者)手中的矾石是我们狙击手在沙漠中潜伏的必需品。它可以使我们缓解脱水症状，并保证呼吸的平稳。blankline()   不过他们可不会乖乖的将矾石交给我们，这次就由player()你来执行这次的矾石收集任务吧！)</t>
  </si>
  <si>
    <t>body(space()space()space()player()，什么时候有机会我们联手干掉这个混蛋吧！)</t>
  </si>
  <si>
    <t>body(space()space()space()player()既然是你完成了剿灭沙漠猎人的任务，那么这次就由你向hot(指挥官拉奥)汇报吧！)</t>
  </si>
  <si>
    <t>title(（63级）再次示好)
body(hotyellow_3(任务进程:)newline()
   去找goto(60087,7)。
blankline()hotyellow_3(任务描述:)newline() 
   总算是在三天内清剿了那些该死的铁甲木乃伊，指挥官拉奥那家伙该满意了吧！)</t>
  </si>
  <si>
    <t>body(space()space()space()player()，多亏了你的帮助，我们总算是在三天内剿灭了铁甲木乃伊。blankline()   告诉hot(指挥官拉奥)，那些铁甲木乃伊已经被我们干掉了，就请他放开手脚做他想做的事情吧！)</t>
  </si>
  <si>
    <t>body(   哟，好久不见。blankline()   最近过的怎么样？跟着雷伊赚了不少钱吧！)</t>
  </si>
  <si>
    <t>body(   剿灭沙漠走私犯的任务结束了，去向hot(拉奥指挥官)汇报一下吧！)</t>
  </si>
  <si>
    <t>body(space()space()space()player()，最近雷伊赚了很多钱吧！但是我知道，这远远不能满足他。因为人类这种物种就从来不知道什么叫做知足。)</t>
  </si>
  <si>
    <t>title(（69级）盗墓贼)
body(hotyellow_3(任务进程:)newline()
   去找goto(60088,7)。
blankline()hotyellow_3(任务描述:)newline() 
   沙漠中出现了一帮训练有素的盗墓贼，相信他们已经找到了古墓的入口。最近在沙漠中出现的犀牛与木乃伊都与他们有关，我们打算歼灭他们。blankline()   具体行动的细节，你还是去问hot(狙击手托奇)吧！)</t>
  </si>
  <si>
    <t>title(（71级）剿灭巨型木乃伊)
body(hotyellow_3(任务进程:)newline()
   消灭60只goto(10106,7)，去找goto(60088,7)。
blankline()hotyellow_3(任务描述:)newline() 
   这次的任务相当危险，尽力而为吧！)</t>
  </si>
  <si>
    <t>body(   这是我在沙漠中接到的最危险的任务。我们尽量而为吧！)</t>
  </si>
  <si>
    <t>body(   囧rz？我好像听说过这个奇怪的姓氏。大破灭到来时，那些无法登上太空船的人类都避难进入地下掩体，依靠沉睡来度过地球漫长的核冬季。blankline()   我们的镇民也是一年前才刚刚苏醒，重返地面。还有一大批幸存者也许还陷入在沉睡之中吧！)</t>
  </si>
  <si>
    <t>body(   友情是人类间最美好的感情，也是人类不断进化不断变强的动力之一。player()，去寻找属于你的友情吧！blankline()hot(   当等级达到整10级时，如果得到好友的祝福，将会得到大量的金钱。同时，祝福你的好友也将获得大量的经验。))</t>
  </si>
  <si>
    <t>body(   珍惜手中的友情吧！)</t>
  </si>
  <si>
    <t>body(   英雄，您请回吧！你的意思我已经彻底了解了，拖欠改造商人的钱我会立刻转给他的……)</t>
  </si>
  <si>
    <t>"这点训练量还远远不是你的极限，继续奋战吧！"</t>
  </si>
  <si>
    <t>body(   我知道的，也只有这么多啦！)</t>
  </si>
  <si>
    <t>{{27101,0,5,0,"1-1"}}</t>
    <phoneticPr fontId="9" type="noConversion"/>
  </si>
  <si>
    <t>医生卡西</t>
    <phoneticPr fontId="6" type="noConversion"/>
  </si>
  <si>
    <t>"给我寻找一瓶生命药（小）"</t>
    <phoneticPr fontId="6" type="noConversion"/>
  </si>
  <si>
    <t>"23037-0-1"</t>
    <phoneticPr fontId="9" type="noConversion"/>
  </si>
  <si>
    <t>"23041-0-1"</t>
    <phoneticPr fontId="9" type="noConversion"/>
  </si>
  <si>
    <t>艾伦</t>
    <phoneticPr fontId="6" type="noConversion"/>
  </si>
  <si>
    <t>title(（15级）基础急救知识)
body(hotyellow_3(任务进程:)newline()
   回答goto(60018,2)关于基础急救知识相关的问答。
blankline()hotyellow_3(任务描述:)newline() 
   了解了使用药品恢复的规则，回答医生卡西的问题。)</t>
    <phoneticPr fontId="6" type="noConversion"/>
  </si>
  <si>
    <t>body(   嗯，勋章的兑换方式就是这样啦！)</t>
  </si>
  <si>
    <t>"23038-0-1"</t>
    <phoneticPr fontId="9" type="noConversion"/>
  </si>
  <si>
    <t>"23042-0-1"</t>
    <phoneticPr fontId="9" type="noConversion"/>
  </si>
  <si>
    <t>"尝试回答医生卡西的问题"</t>
    <phoneticPr fontId="6" type="noConversion"/>
  </si>
  <si>
    <t>body(   看来我已经没有什么可以教你的了。在危险的世界里，一定要保证自己的安全。)</t>
    <phoneticPr fontId="6" type="noConversion"/>
  </si>
  <si>
    <t>body(   小声地告诉你哦！如果你想提升自己的实力，除了装备之外，还可以使用增益类道具来获得短时的能力提升。我这里有两瓶可以暂时提升你生命上限的药物。只要你能够回答我的问题，我就送给你。)</t>
    <phoneticPr fontId="6" type="noConversion"/>
  </si>
  <si>
    <t>波仕</t>
    <phoneticPr fontId="6" type="noConversion"/>
  </si>
  <si>
    <t>"尝试回答波仕的问题"</t>
    <phoneticPr fontId="6" type="noConversion"/>
  </si>
  <si>
    <t>title(（41级）提升实力的药品)
body(hotyellow_3(任务进程:)newline()
   回答goto(60152,3)关于BUFF药品知识相关的问答。
blankline()hotyellow_3(任务描述:)newline() 
   了解了使用增益药品的使用规则。)</t>
    <phoneticPr fontId="6" type="noConversion"/>
  </si>
  <si>
    <t>采集NPC</t>
    <phoneticPr fontId="6" type="noConversion"/>
  </si>
  <si>
    <t>body(   嗯，player()你可以通过背包中的随身商店，或者前往场景中的杂货商人购买hot(生命药（小）)哦！)</t>
    <phoneticPr fontId="6" type="noConversion"/>
  </si>
  <si>
    <t>title(（15级）生命药（小）)
body(hotyellow_3(任务进程:)newline()
   帮助迷雾废墟的goto(60018,2)寻找hot(生命药（小）)1瓶。
blankline()hotyellow_3(任务描述:)newline() 
   医生卡西，将会给你讲解急救相关的知识。)</t>
    <phoneticPr fontId="6" type="noConversion"/>
  </si>
  <si>
    <t>{{23037,0,20,0,"1-1"}}</t>
    <phoneticPr fontId="6" type="noConversion"/>
  </si>
  <si>
    <t>{{23041,0,20,0,"1-1"}}</t>
    <phoneticPr fontId="6" type="noConversion"/>
  </si>
  <si>
    <t>body(   哈哈，干得好。未来的天下是属于你的。神秘药在关键时候使用，会有奇效！)</t>
    <phoneticPr fontId="6" type="noConversion"/>
  </si>
  <si>
    <t>body(   所谓权利，本质上都是源自武力。能收回欠款真是太好了。blankline()   该怎样报答你好呢？)</t>
    <phoneticPr fontId="9" type="noConversion"/>
  </si>
  <si>
    <t>body(   嗯，目前你可以使用生命药（小）来恢复生命值。blankline()  当你的等级达到31级时，可以使用生命药（中）。)</t>
    <phoneticPr fontId="9" type="noConversion"/>
  </si>
  <si>
    <t>body(   player()！看来你已经了解了药品的使用方式和获取方式。回答我的一些问题，我将会给你奖励哦！)</t>
    <phoneticPr fontId="6" type="noConversion"/>
  </si>
  <si>
    <t>body(   每一个不同的职业都拥有相对应的职业套装。blankline()space()space()space()player()，我这里还有一些战后剩余的套装，有适合你的。不过现在的你还需要经过一点点的磨砺，55级的时候去找我吧！)</t>
    <phoneticPr fontId="6" type="noConversion"/>
  </si>
  <si>
    <t>body(   去战斗吧，player()。荣耀与你同在。)</t>
    <phoneticPr fontId="6" type="noConversion"/>
  </si>
  <si>
    <t>"你经历的磨砺还不够，55级以后再来找我吧！"</t>
    <phoneticPr fontId="6" type="noConversion"/>
  </si>
  <si>
    <t>任务地图</t>
    <phoneticPr fontId="10" type="noConversion"/>
  </si>
  <si>
    <t>0-在多个地图可接；1-太空堡垒；2-迷雾废墟；3-光明城；4-燃烧平原；6-隐匿者丛林；7-遗忘沙漠</t>
    <phoneticPr fontId="10" type="noConversion"/>
  </si>
  <si>
    <t>任务类型1</t>
    <phoneticPr fontId="10" type="noConversion"/>
  </si>
  <si>
    <t>任务类型2</t>
    <phoneticPr fontId="10" type="noConversion"/>
  </si>
  <si>
    <t>任务类型决定NPC头顶叹号的显示</t>
    <phoneticPr fontId="10" type="noConversion"/>
  </si>
  <si>
    <t>任务类型3</t>
    <phoneticPr fontId="10" type="noConversion"/>
  </si>
  <si>
    <t>赛特</t>
    <phoneticPr fontId="6" type="noConversion"/>
  </si>
  <si>
    <t>&lt;p&gt;
&lt;n&gt;  消灭50只&lt;/n&gt;
 &lt;n&gt; &lt;/n&gt;&lt;goto id="10089" mapid="7" flagpoint="1" taskid="1791" /&gt;
&lt;/p&gt;</t>
    <phoneticPr fontId="6" type="noConversion"/>
  </si>
  <si>
    <t>&lt;p&gt;
&lt;n&gt;  获得35个&lt;/n&gt;
 &lt;n&gt; &lt;/n&gt;&lt;goto id="10090" mapid="7" flagpoint="1" taskid="1801" /&gt;
&lt;n&gt;的矾石&lt;/n&gt;
&lt;/p&gt;</t>
    <phoneticPr fontId="6" type="noConversion"/>
  </si>
  <si>
    <t>&lt;p&gt;
&lt;n&gt;  消灭55只&lt;/n&gt;
 &lt;n&gt; &lt;/n&gt;&lt;goto id="10091" mapid="7" flagpoint="1" taskid="1841" /&gt;
&lt;/p&gt;</t>
    <phoneticPr fontId="6" type="noConversion"/>
  </si>
  <si>
    <t>&lt;p&gt;
&lt;n&gt;  获取42个&lt;/n&gt;
 &lt;n&gt; &lt;/n&gt;&lt;goto id="10096" mapid="7" flagpoint="1" taskid="1951" /&gt;
&lt;/p&gt;</t>
    <phoneticPr fontId="6" type="noConversion"/>
  </si>
  <si>
    <t>&lt;p&gt;
&lt;n&gt;  消灭60只&lt;/n&gt;
 &lt;n&gt; &lt;/n&gt;&lt;goto id="10097" mapid="7" flagpoint="1" taskid="1981" /&gt;
&lt;/p&gt;</t>
    <phoneticPr fontId="6" type="noConversion"/>
  </si>
  <si>
    <t>&lt;p&gt;
&lt;n&gt;  获取42个&lt;/n&gt;
 &lt;n&gt; &lt;/n&gt;&lt;goto id="10100" mapid="7" flagpoint="1" taskid="2071" /&gt;
&lt;n&gt;的标本&lt;/n&gt;
&lt;/p&gt;</t>
    <phoneticPr fontId="6" type="noConversion"/>
  </si>
  <si>
    <t>&lt;p&gt;
&lt;n&gt;  获取42个&lt;/n&gt;
 &lt;n&gt; &lt;/n&gt;&lt;goto id="10101" mapid="7" flagpoint="1" taskid="2081" /&gt;
&lt;n&gt;的腺体&lt;/n&gt;
&lt;/p&gt;</t>
    <phoneticPr fontId="6" type="noConversion"/>
  </si>
  <si>
    <t>&lt;p&gt;
&lt;n&gt;  获取42个&lt;/n&gt;
 &lt;n&gt; &lt;/n&gt;&lt;goto id="10103" mapid="7" flagpoint="1" taskid="2141" /&gt;
&lt;n&gt;的佩玉&lt;/n&gt;
&lt;/p&gt;</t>
    <phoneticPr fontId="6" type="noConversion"/>
  </si>
  <si>
    <t>&lt;p&gt;
&lt;n&gt;  消灭60只&lt;/n&gt;
 &lt;n&gt; &lt;/n&gt;&lt;goto id="10104" mapid="7" flagpoint="1" taskid="2161" /&gt;
&lt;/p&gt;</t>
    <phoneticPr fontId="6" type="noConversion"/>
  </si>
  <si>
    <t>&lt;p&gt;
&lt;n&gt;  消灭60个&lt;/n&gt;
 &lt;n&gt; &lt;/n&gt;&lt;goto id="10105" mapid="7" flagpoint="1" taskid="2181" /&gt;
&lt;/p&gt;</t>
    <phoneticPr fontId="6" type="noConversion"/>
  </si>
  <si>
    <t>&lt;p&gt;
&lt;n&gt;  消灭60只&lt;/n&gt;
 &lt;n&gt; &lt;/n&gt;&lt;goto id="10106" mapid="7" flagpoint="1" taskid="2211" /&gt;
&lt;/p&gt;</t>
    <phoneticPr fontId="6" type="noConversion"/>
  </si>
  <si>
    <t>&lt;p&gt;
&lt;n&gt;  增加1名新的好友&lt;/n&gt;
&lt;newline/&gt;
&lt;n&gt;  &lt;/n&gt;&lt;dialog taskid="10325" text="在当前频道征募好友" hotkeyid="49" /&gt;
&lt;/p&gt;</t>
    <phoneticPr fontId="9" type="noConversion"/>
  </si>
  <si>
    <t>&lt;p&gt;
&lt;n&gt;  找到肚子熊躲藏的&lt;/n&gt;
 &lt;n&gt; &lt;/n&gt;&lt;goto id="60070" mapid="3" flagpoint="1" taskid="10731" /&gt;
&lt;/p&gt;</t>
    <phoneticPr fontId="6" type="noConversion"/>
  </si>
  <si>
    <t>&lt;p&gt;
&lt;n&gt;  将佐洛的儿子交给&lt;/n&gt;
 &lt;n&gt; &lt;/n&gt;&lt;goto id="60154" mapid="3" flagpoint="1" taskid="10767" /&gt;
&lt;/p&gt;</t>
    <phoneticPr fontId="6" type="noConversion"/>
  </si>
  <si>
    <t>&lt;p&gt;
&lt;n&gt;  获得2个POM-1防步兵跳雷&lt;/n&gt;
&lt;/p&gt;</t>
    <phoneticPr fontId="9" type="noConversion"/>
  </si>
  <si>
    <t>&lt;p&gt;
&lt;n&gt;  回答： &lt;/n&gt;
 &lt;n&gt; &lt;/n&gt;&lt;goto id="60018" mapid="2" flagpoint="1" taskid="13020" /&gt;&lt;n&gt;的提问&lt;/n&gt;
&lt;/p&gt;</t>
    <phoneticPr fontId="6" type="noConversion"/>
  </si>
  <si>
    <t>&lt;p&gt;
&lt;n&gt;  回答： &lt;/n&gt;
 &lt;n&gt; &lt;/n&gt;&lt;goto id="60152" mapid="3" flagpoint="1" taskid="13060" /&gt;&lt;n&gt;的问题&lt;/n&gt;
&lt;/p&gt;</t>
    <phoneticPr fontId="6" type="noConversion"/>
  </si>
  <si>
    <t>&lt;p&gt;
&lt;n&gt;  将佐洛的儿子还给&lt;/n&gt;
 &lt;n&gt; &lt;/n&gt;&lt;goto id="60154" mapid="3" flagpoint="1" flagdrawrect="1" taskid="10767"/&gt;
&lt;/p&gt;</t>
    <phoneticPr fontId="6" type="noConversion"/>
  </si>
  <si>
    <t>&lt;p&gt;
&lt;n&gt;  获得2朵彼岸花&lt;/n&gt;
 &lt;newline/&gt;
&lt;n&gt;  交给&lt;/n&gt;
 &lt;n&gt; &lt;/n&gt;&lt;goto id="60064" mapid="3" flagpoint="1" flagdrawrect="1" taskid="10768"/&gt;
&lt;/p&gt;</t>
    <phoneticPr fontId="6" type="noConversion"/>
  </si>
  <si>
    <t>&lt;p&gt;
&lt;n&gt;  交给&lt;/n&gt;
 &lt;n&gt; &lt;/n&gt;&lt;goto id="60064" mapid="3" flagpoint="1" flagdrawrect="1" taskid="11971"/&gt;
&lt;/p&gt;</t>
    <phoneticPr fontId="6" type="noConversion"/>
  </si>
  <si>
    <t>&lt;p&gt;
&lt;n&gt;  破坏&lt;/n&gt;
 &lt;n&gt; &lt;/n&gt;&lt;goto id="45008" mapid="101"  pos="100,170" shownpcname="1" flagpoint="1" taskid="20200" /&gt;
&lt;/p&gt;</t>
    <phoneticPr fontId="6" type="noConversion"/>
  </si>
  <si>
    <t>&lt;p&gt;
&lt;n&gt;  破坏&lt;/n&gt;
 &lt;n&gt; &lt;/n&gt;&lt;goto id="45007" mapid="101" pos="107,177" shownpcname="1" flagpoint="1" taskid="20201" /&gt;
&lt;/p&gt;</t>
    <phoneticPr fontId="6" type="noConversion"/>
  </si>
  <si>
    <t>&lt;p&gt;
&lt;n&gt;  破坏&lt;/n&gt;
 &lt;n&gt; &lt;/n&gt;&lt;goto id="45001" mapid="101" pos="125,142" shownpcname="1" flagpoint="1" taskid="20202" /&gt;
&lt;/p&gt;</t>
    <phoneticPr fontId="6" type="noConversion"/>
  </si>
  <si>
    <t>&lt;p&gt;
&lt;n&gt;  监视&lt;/n&gt;
 &lt;n&gt; &lt;/n&gt;&lt;goto id="45002" mapid="101" pos="154,148" shownpcname="1" flagpoint="1" taskid="20203" /&gt;
 &lt;/p&gt;</t>
    <phoneticPr fontId="6" type="noConversion"/>
  </si>
  <si>
    <t>&lt;p&gt;
&lt;n&gt;  收集10个荆棘迷雾之花给&lt;/n&gt;
 &lt;n&gt; &lt;/n&gt;&lt;goto id="60015" mapid="2" flagpoint="1" taskid="30006" /&gt;
&lt;/p&gt;</t>
    <phoneticPr fontId="6" type="noConversion"/>
  </si>
  <si>
    <t>&lt;p&gt;
&lt;n&gt;  收集10个地精岩髓给&lt;/n&gt;
 &lt;n&gt; &lt;/n&gt;&lt;goto id="60062" mapid="4" flagpoint="1" taskid="30016" /&gt;
&lt;/p&gt;</t>
    <phoneticPr fontId="6" type="noConversion"/>
  </si>
  <si>
    <t>&lt;p&gt;
&lt;n&gt;  收集10个地雷交给&lt;/n&gt;
 &lt;n&gt; &lt;/n&gt;&lt;goto id="60096" mapid="7" flagpoint="1" taskid="30021" /&gt;
&lt;/p&gt;</t>
    <phoneticPr fontId="6" type="noConversion"/>
  </si>
  <si>
    <t>&lt;p&gt;
&lt;n&gt;  收集10个地精岩髓给&lt;/n&gt;
 &lt;n&gt; &lt;/n&gt;&lt;goto id="60062" mapid="4" flagpoint="1" taskid="30016"/&gt;&lt;/p&gt;</t>
    <phoneticPr fontId="6" type="noConversion"/>
  </si>
  <si>
    <t>&lt;p&gt;
&lt;n&gt;  收集10朵彼岸花交给&lt;/n&gt;
 &lt;n&gt; &lt;/n&gt;&lt;goto id="60074" mapid="3" flagpoint="1" taskid="30027" /&gt;
&lt;/p&gt;</t>
    <phoneticPr fontId="6" type="noConversion"/>
  </si>
  <si>
    <t>&lt;p&gt;
&lt;n&gt;  收集10朵彼岸花交给&lt;/n&gt;
 &lt;n&gt; &lt;/n&gt;&lt;goto id="60074" mapid="3" flagpoint="1" taskid="30027"/&gt;&lt;/p&gt;</t>
    <phoneticPr fontId="6" type="noConversion"/>
  </si>
  <si>
    <t>&lt;p&gt;
&lt;n&gt;  收集10个荆棘果，交给&lt;/n&gt;
 &lt;n&gt; &lt;/n&gt;&lt;goto id="60099" mapid="6" flagpoint="1" taskid="30041"/&gt;
&lt;/p&gt;</t>
    <phoneticPr fontId="6" type="noConversion"/>
  </si>
  <si>
    <t>&lt;p&gt;
&lt;n&gt;  获得2朵彼岸花&lt;/n&gt;
 &lt;newline/&gt;
&lt;n&gt;  交给：&lt;/n&gt;
 &lt;n&gt; &lt;/n&gt;&lt;goto id="60064" mapid="3" flagpoint="1" taskid="10768" /&gt;
&lt;/p&gt;</t>
    <phoneticPr fontId="6" type="noConversion"/>
  </si>
  <si>
    <t>&lt;p&gt;
&lt;n&gt;  制作一个龙护腿&lt;/n&gt;
&lt;/p&gt;</t>
  </si>
  <si>
    <t>&lt;p&gt;
&lt;n&gt;  制作一个生命瞬回药（小）&lt;/n&gt;
&lt;/p&gt;</t>
  </si>
  <si>
    <t>body(   嗯，很不错。blankline()   可以开始制作hot(龙护腿)了。)</t>
  </si>
  <si>
    <t xml:space="preserve"> </t>
    <phoneticPr fontId="6" type="noConversion"/>
  </si>
  <si>
    <t>去找艾薇儿NPC,交付任务失去任务物品迈克写给艾薇儿的情书（31038）</t>
    <phoneticPr fontId="6" type="noConversion"/>
  </si>
  <si>
    <t>title(（24级）“赫肯的守护”（五）)
body(hotyellow_3(任务进程:)newline()
   收集两枚地雷交给goto(60038,2)。
blankline()hotyellow_3(任务描述:)newline() 
   解密这块芯片需要一点时间。blankline()   由于缺乏大型机械，矿产开采举步维艰。我听说在死亡沙漠之中存在着很多防步兵雷，我想拿两个来进行研究，看是否有可能用于矿石的开采。)</t>
    <phoneticPr fontId="6" type="noConversion"/>
  </si>
  <si>
    <t>前往传送NPC处前往迷雾废墟</t>
    <phoneticPr fontId="6" type="noConversion"/>
  </si>
  <si>
    <t>探索前方，和小镇卫兵对话(60015)</t>
    <phoneticPr fontId="6" type="noConversion"/>
  </si>
  <si>
    <t>鲍比</t>
    <phoneticPr fontId="6" type="noConversion"/>
  </si>
  <si>
    <t>&lt;p&gt;
&lt;n&gt;  &lt;/n&gt;&lt;dialog taskid="3471" text="打开宠物界面" hotkeyid="4" /&gt; &lt;n&gt;  召唤宠物&lt;/n&gt;
&lt;/p&gt;</t>
    <phoneticPr fontId="6" type="noConversion"/>
  </si>
  <si>
    <t>穆里尼</t>
  </si>
  <si>
    <t>光明女祭司</t>
  </si>
  <si>
    <t>&lt;p&gt;
&lt;n&gt;  用蜂蜜将肚子熊哄回光明女祭司那里&lt;/n&gt;
&lt;/p&gt;</t>
  </si>
  <si>
    <t>安全区复活</t>
    <phoneticPr fontId="6" type="noConversion"/>
  </si>
  <si>
    <t>零号</t>
  </si>
  <si>
    <t>title(（29级）回复零号)
body(hotyellow_3(任务进程:)newline()
    去找goto(60052,4)。blankline()hotyellow_3(任务描述:)newline()space()space()space()player()，请告诉零号，再坚持一下，我们很快就会将新的补给运抵燃烧平原营地。)</t>
  </si>
  <si>
    <t>body(   最近我在燃烧平原闲逛猎杀岩浆生物的时候意外的拯救了一个幸存者。blankline()   但是照顾幸存者真是件麻烦的事，虽然可以杀掉他，但是我实在不习惯对平民下手…所以，player()，还请你替我将他护送到情报官零号那里去吧！)</t>
  </si>
  <si>
    <t>title(（31级）熔岩战士卡米乔)
body(hotyellow_3(任务进程:)newline()
   去找goto(60164,4)。
blankline()hotyellow_3(任务描述:)newline() 
   我已经退休了。在这个该死的区域，猎杀岩浆生物不过是我打发时间度过后半生的兴趣。具体负责这片区域安全的是光明骑士团。他们的负责人是熔岩战士卡米乔，我觉得你该见他一面。)</t>
  </si>
  <si>
    <t>卡米乔</t>
  </si>
  <si>
    <t>body(   嗯，我知道的也就这么多啦！)</t>
  </si>
  <si>
    <t>body(   嗯，player()。你在游戏中通过完成任务获得的勋章，都可以在此处兑换稀有的道具，甚至是极品武器！勋章商店将会是你未来前进道路上很好的助手哦！)</t>
  </si>
  <si>
    <t>body(   嗯，就是这样……)</t>
  </si>
  <si>
    <t>body(   嗯，情况就是这样。)</t>
  </si>
  <si>
    <t>body(   嗯，学的非常快么。)</t>
  </si>
  <si>
    <t>body(   嗯，我确定那些家伙可以感受到我们的善意。当然，他们心中一定还有一点小小的畏惧。)</t>
  </si>
  <si>
    <t>body(   那个寻找儿子的冒险家么？我听说过他，说到线索…嗯，让我好好想想……)</t>
  </si>
  <si>
    <t>body(   你好，我是上尉赛特。)</t>
  </si>
  <si>
    <t>尼古拉</t>
  </si>
  <si>
    <t>body(   放心吧，我有很多种方法让尼古拉那家伙清醒下来！)</t>
  </si>
  <si>
    <t>body(   不要管尼古拉那个废物了，player()陪我玩一把比大小吧，我知道你很在行的。)</t>
  </si>
  <si>
    <t>body(   您好，我是冒险者坎比。)</t>
  </si>
  <si>
    <t>body(   您好，我是巨象之原的冒险者波仕。)</t>
  </si>
  <si>
    <t>body(   我已经退役了，在这个该死的区域猎杀岩浆生物不过是我打发时间度过后半生的兴趣罢了。具体负责这片区域安全是还是光明骑士团，他们的负责人是熔岩战士卡米乔，我觉得你该见他一面。)</t>
  </si>
  <si>
    <t>body(   在沙漠里当指挥官真是件又辛苦又危险的事。player()，听说你在隐匿者森林里干掉了很多强大的爬虫，这么强大的战斗力我可没什么好教你的。blankline()   不过说到怎样在沙漠中活下来，hot(狙击手托奇)可比谁都知道的多，因为光明骑士团在这片沙漠中的狙击手，就剩下他一个了。)</t>
  </si>
  <si>
    <t>body(   要是我们水鸟赏金团实力再弱一点，早就被光明骑士团干掉了。)</t>
  </si>
  <si>
    <t>title(（61级）沙漠铜蜥)
body(hotyellow_3(任务进程:)newline()
   获取42个goto(10096,7)，去找goto(60086,7)。
blankline()hotyellow_3(任务描述:)newline() 
   先不管这些烦心事了，只要光明骑士团不动我们，我们就继续赚钱。只要钱再多一点，猎人再多一点，与光明骑士团谈判的筹码就会更多多一点，那我们活下去的希望就会更大。)</t>
  </si>
  <si>
    <t>body(   先不用管那些烦心的事，现在想和光明骑士团谈判是不现实，首先我们要有很多的钱招募更多的猎人才行。blankline()
   沙漠铜蜥可是只有沙漠中才出产的美食，在市场上可是天价。有了这些，我们就能好好捞一笔。)</t>
  </si>
  <si>
    <t>body(  我只是不想让我的战友死掉而已，特别是不能落在威格尔那个变态手中。blankline()   不过就目前的情况来看，还是很有必要拍一拍光明骑士团那群杂种的马屁。blankline()space()space()space()player()，请你协助我清理一些沙漠的沙漠妖姬吧，我知道这方面你挺在行的。)</t>
  </si>
  <si>
    <t>title(（62级）示好)
body(hotyellow_3(任务进程:)newline()
   去找goto(60087,7)。
blankline()hotyellow_3(任务描述:)newline() 
   想向别人示好，除了需要一点实力外，还需要一点技术。blankline()   这次替光明骑士团干掉了沙漠妖姬，他们就应该知趣的和我们猎人联手了吧！)</t>
  </si>
  <si>
    <t>body(  原来光明骑士团要对付的是铁甲木乃伊…这么来说，他们是打算动手了…blankline()
   不过那些走私者的死活可和我们无关，我们只要在三天内替光明骑士团清剿完hot(铁甲木乃伊)就行。我们两个联手，应该可以很快搞定的。)</t>
  </si>
  <si>
    <t>body(   真是辛苦你了，不过我想光明骑士团很快就会有新的行动，到时候player()你也必将参与其中。)</t>
  </si>
  <si>
    <t>body(   这些沙漠中的走私犯，一直依赖那些铁甲木乃伊在沙漠地底开辟临时通道的能力和我们光明骑士团打游击。现在铁甲木乃伊被剿灭了，看他们这次往哪里跑？blankline()space()space()space()player()，hot(狙击手托奇)会为你安排具体的战斗任务的。)</t>
  </si>
  <si>
    <t>title(（66级）沙漠的法则)
body(hotyellow_3(任务进程:)newline()
   去找goto(60087,7)。
blankline()hotyellow_3(任务描述:)newline() 
   我要开始着手清理那些沙漠中的偷猎者了，他们严重威胁到了我们的利益。我想拉奥也希望肃清那些偷猎者，也许他一开始就是抱着这个目的才将狩猎沙漠稀有动物的权利交给我的吧！blankline()
   不管怎么说，这里终究是光明骑士团的地盘，在别人的地盘上动手还是要预先和主人打个招呼的。)</t>
  </si>
  <si>
    <t>body(   要是我们和那些偷猎者拼得两败俱伤，拉奥会毫不犹豫的把我们一锅端了吧！怎么可能让他如愿。blankline()   不过，目前还不是和光明骑士团翻脸的时候。)</t>
  </si>
  <si>
    <t>body(   哈哈，我可不是和光明骑士团关系好，只是他们出的价钱比魔族高罢了。)</t>
  </si>
  <si>
    <t>"在魔族游荡者眼里，猎人们只是一批填饱肚子用的生物。"</t>
  </si>
  <si>
    <t>title(（55级）典狱长)
body(hotyellow_3(任务进程:)newline()
   去找goto(60089,7)。
blankline()hotyellow_3(任务描述:)newline() 
   典狱长在战时是一个专门负责对战俘逼供的家伙，那家伙可没什么人性。我如果哪天没来得及自杀落到他手上，我会果断的把我知道的一切告诉他，求他给我一个痛快的了断。blankline()
   他来沙漠是为了那些逃入沙漠的魔族，不管怎么样，player()你还是向他报个道吧，免得被当成魔族给抓起来。)</t>
  </si>
  <si>
    <t>body(   差点忘了一件很重要的事。player()，你刚来到沙漠，最好到hot(典狱长)那里报个道，免得哪天被当成魔族抓起来。blankline()   要是落在他的手里你绝对会后悔你妈把你生下来的。)</t>
  </si>
  <si>
    <t>title(（55级）沙漠里的花朵)
body(hotyellow_3(任务进程:)newline()
   去找goto(60085,7)。
blankline()hotyellow_3(任务描述:)newline() 
   茫茫沙漠里如果开着一朵娇艳的花朵，怎么都会觉得很奇怪吧！同样，在这该死的沙漠里有个漂亮女人就更加可疑了。blankline()space()space()space()player()，正好你是新来的，替我去打探一下那个女人的底细，如果她确实与魔族有所牵连，就立刻告诉我。blankline()
   好久没有折磨过女人了……)</t>
  </si>
  <si>
    <t>body(space()space()space()player()，你没觉得沙漠里竟然有个女人，而且还是美女,是件很奇怪的事情吗？blankline()
   我一直怀疑那个叫hot(尤利娅)的女子和魔族有牵连，上次想让hot(风牙)、hot(雷牙)把她带回了，结果被她打成重伤。player()，你是新来的，正好可以替我监视她。)</t>
  </si>
  <si>
    <t>title(（64级）沙漠走私犯)
body(hotyellow_3(任务进程:)newline()
   去找goto(60088,7)。
blankline()hotyellow_3(任务描述:)newline() 
   那些沙漠走私犯严重影响了我们光明骑士团的经济利益，而且有证据表明他们一直是沙漠中流亡魔族的幕后支持者。blankline()
   这一次行动，除恶务尽，一个都别放过！blankline()
   具体的任务，hot(狙击手托奇)会告诉你的。)</t>
  </si>
  <si>
    <t>安德森</t>
  </si>
  <si>
    <t>body(space()space()space()player()，我们需要额外的战斗力。blankline()    猎人们正在被迫撤离隐匿者之森，他们一定很不甘心吧！只要有共同的利益，那就有联盟的可能。blankline()space()space()space()player()，请将我们联盟的意愿转达给hot(赏金猎人安德森)。他是隐匿者之森中赏金猎人的首领。)</t>
  </si>
  <si>
    <t>body(   我没有任何把握，可以控制住重装巨熊的数量。但是，只要还有一丝希望，我都不会放弃。blankline()space()space()space()player()，你还是替我问问hot(麦尔斯参谋长)与hot(赏金猎人安德森)的意见吧！)</t>
  </si>
  <si>
    <t>body(   我……我……我不想去送死！)</t>
  </si>
  <si>
    <t>body(   是时候说再见了，老伙计！)</t>
  </si>
  <si>
    <t>body(   失去了勇气的人也许并不应该受到责备，但拾起勇气的人却是让人尊重的。为你的勇气而骄傲吧，士兵！你即将踏上危险的征程，谁也不知道奥丁大陆变成什么样了。)</t>
  </si>
  <si>
    <t>body(space()space()space()player()，我很欣赏你的勇气。在你做最后的决定前，我认为你有权利知道更多的事情。blankline()   你有什么疑惑吗？如果是我知道的，我会统统告诉你的。)</t>
  </si>
  <si>
    <t>还有什么想知道的吗？</t>
  </si>
  <si>
    <t>body(   看来你懂得也不少啊！)</t>
  </si>
  <si>
    <t>"请完成装备鉴定问答"</t>
  </si>
  <si>
    <t>title( （4级）整装待发（二）)
body(hotyellow_3(任务进程:)newline()
   去找goto(111,1)。
blankline()hotyellow_3(任务描述:)newline() 
   除了补给品，装备防具也是非常重要的。player()，你可以去防具商人那里看看有没有需要的道具。)</t>
  </si>
  <si>
    <t>body(   除了补给品，装备防具也是非常重要的。player()，你可以去防具商人那里看看有没有中意的道具。)</t>
  </si>
  <si>
    <t>body(   你好，player()，我是防具商人。)</t>
  </si>
  <si>
    <t>body(space()space()space()player()当你不知道自己所面临的困境时，成长助手可以帮到你。)</t>
  </si>
  <si>
    <t>对于没有上过战场的人，战争是令人感到兴奋的，不过你很很快就会感受到战争的另一面。</t>
  </si>
  <si>
    <t>title(（5级）问答)
body(hotyellow_3(任务进程:)newline()
   回答goto(60045,1)的提问。
blankline()hotyellow_3(任务描述:)newline() 
   回答大贤者赫肯对你的提问，这能够确保你能够坚强地生存下去。)</t>
  </si>
  <si>
    <t>body(space()space()space()player()，你是我们的希望所在，我也不会让没有准备充分的士兵轻率地踏上征程。blankline()space()space()space()player()，回答我的问题，让我知道你已经有所准备！)</t>
  </si>
  <si>
    <t>body(   看来你对在这个世界如何生存已经有所觉悟，虽然这还远远不够，但还是祝你好运。)</t>
  </si>
  <si>
    <t>title(（5级）出发)
body(hotyellow_3(任务进程:)newline()
   去找goto(121,1)。
blankline()hotyellow_3(任务描述:)newline() 
   孩子，你即将面对的，可能是完全无法理解的强大势力与敌人。你可以选择平凡，但我更相信你会选择辉煌。我会安排多尼，利用空间魔法将你传送至任务地点。
blankline()
   hot(   装备可以通过击杀怪物，完成任务获得。若想要更好的，可通过合成功能合成！))</t>
  </si>
  <si>
    <t>body(   做好准备，马上出发！你即将到达的是迷雾废墟，那片被诅咒的森林！)</t>
  </si>
  <si>
    <t>body(   你到底是什么人，怎么会在这里？)</t>
  </si>
  <si>
    <t>body(   有一个还有呼吸，不过已经丧失意识了。得想办法赶快进行救治。)</t>
  </si>
  <si>
    <t>如果不解决这些烦人的植物，后续的救治就麻烦了。</t>
  </si>
  <si>
    <t>body(   看起来有点效果！)</t>
  </si>
  <si>
    <t>他的情况看起来很糟糕。</t>
  </si>
  <si>
    <t>title(（6级）求援)
body(hotyellow_3(任务进程:)newline()
   去找goto(60015,2)。blankline()hotyellow_3(任务描述:)newline() 
   虽然无名药草起到了一定的效果，但是依旧没有办法使伤员脱离危险区域，看来得向迷雾废墟的当地人求援了。)</t>
  </si>
  <si>
    <t>body(space()space()space()player()，我的头好痛，根本站不起来……blankline()   据说迷雾废墟有一个叫做荆棘镇的地方，在那里有人类存在！你可以尝试向其他人求援。)</t>
  </si>
  <si>
    <t>没有什么比拯救队友于危难之中更值得表彰的了！</t>
  </si>
  <si>
    <t>body(   很高兴见到你，命运的挑战者，未来的英雄。我是小镇镇长，我叫马卡兰。)</t>
  </si>
  <si>
    <t>body(   感谢你对我们的支持。我们会逐渐适应，并且慢慢改变迷雾废墟的。)</t>
  </si>
  <si>
    <t>title(（8级）食物危机)
body(hotyellow_3(任务进程:)newline()
   去找goto(60017,2)。
blankline()
   为了严格控制小镇食物的消耗，也是为了避难暴乱的发生，小镇所有的食物资源都由hot(农夫霍利克)统一发放。最近霍利克老是唉声叹气的，只怕小镇的食物储备并不乐观啊！)</t>
  </si>
  <si>
    <t>body(   怎么看着这么眼生，你不是小镇的居民吧，不要企图骗过我的眼睛，冒领食物是行不通的。)</t>
  </si>
  <si>
    <t>title(（8级）比大小)
body(hotyellow_3(任务进程:)newline()
   和goto(60017,2)玩扑克，比大小。
blankline()hotyellow_3(任务描述:)newline() 
   goto(60017,2)最近被吸血鬼的事闹得头痛万分，陪他玩一把扑克放松下吧，赢了或许还能分到些好东西。)</t>
  </si>
  <si>
    <t>body(   脑子不够用啦…blankline()space()space()space()player()，陪我玩一把扑克吧，赢了给你好东西。)</t>
  </si>
  <si>
    <t>body(   我已经完全清醒了，该工作了。)</t>
  </si>
  <si>
    <t>"陪我玩一把吧"</t>
  </si>
  <si>
    <t>title(（8级）神秘的齿痕)
body(hotyellow_3(任务进程:)newline()
   去找goto(60042,2)。
blankline()hotyellow_3(任务描述:)newline() 
   老者盖亚的孙子在野外被一种神秘的生物咬伤了，昏迷不醒，高烧不退。齿痕深可见骨，伤口附近的皮肉溃烂得十分恐怖。blankline()
   如果你有办法，就请你帮帮那个可怜的老人吧！)</t>
  </si>
  <si>
    <t>title(（9级）吸血鬼传说)
body(hotyellow_3(任务进程:)newline()
   去找goto(60034,2)询问有关吸血鬼的事。
   blankline()hotyellow_3(任务描述:)newline() 
   老者盖亚的孙子在野外被一种奇特的生物咬伤昏迷不醒。很多人都怀疑是被吸血鬼咬伤的，不敢接近盖亚的孙子。去找热衷于研究奇异生物的生物学家穆里尼询问有关吸血鬼的事吧！Newline()
   据老者盖亚所说，小镇野外存在着吸血鬼。所有被吸血鬼咬过的人也会变成吸血鬼。他也不记得是听谁说的，反正整个小镇都流传着吸血鬼的传闻。)</t>
  </si>
  <si>
    <t>body(   吸血鬼？我确实听说过，但是没有进行过研究我也不能告诉你它是什么。)</t>
  </si>
  <si>
    <t>body(   哈哈，非常非常完美的样本。接下来就让我这个天才揭开吸血鬼的狰狞面纱吧！)</t>
  </si>
  <si>
    <t>"要想得到，就需要付出，这是世界的法则。"</t>
  </si>
  <si>
    <t>我需要样本进行分析。</t>
  </si>
  <si>
    <t>title(（9级）论断)
body(hotyellow_3(任务进程:)newline()
   去找goto(60035,2)。
blankline()hotyellow_3(任务描述:)newline() 
   没有什么吸血鬼。blankline()   只是些谣言罢了，我对这种无聊的传闻没什么兴趣了。blankline()   我只是个生物学家，对医学方面的事没有能力也没有兴趣，需要帮忙的话那就去找鲍文吧！不要来烦我了！)</t>
  </si>
  <si>
    <t>body(   连穆里尼都不知道的话，会是什么生物呢？)</t>
  </si>
  <si>
    <t>body(   希望可以起到一定的效果……)</t>
  </si>
  <si>
    <t>古老民族的智慧，希望能够拯救这个可怜的孩子</t>
  </si>
  <si>
    <t>title(（10级）询问)
body(hotyellow_3(任务进程:)newline()
   去找goto(60034,2)。
blankline()hotyellow_3(任务描述:)newline() 
   虽然我对吸血鬼的事一筹莫展，但是也许穆里尼会有些办法…blankline()   他对自己的研究可是绝对不会半途而废的，以他的天才也许已经发现了事情的真相。)</t>
  </si>
  <si>
    <t>body(   虽然我对吸血鬼的事一筹莫展，但是也许穆里尼会有些办法……blankline()   他对自己的研究可是绝对不会半途而废的，以他的天才也许已经发现了事情的真相。)</t>
  </si>
  <si>
    <t>body(   哦？你说吸血鬼那件事啊……这么简单的问题都来问我，鲍文在生物学上没什么天赋。)</t>
  </si>
  <si>
    <t>title(（10级）朋友的意义)
body(hotyellow_3(任务进程:)newline()
   回答goto(60034,2)有关友情的提问。
blankline()hotyellow_3(任务描述:)newline() 
   你非常热心地帮助未曾相识的人，这点让我很感动。这难道就是友情？blankline()hot2(   右键点击玩家头像，选择“加为好友”即可完成操作。))</t>
  </si>
  <si>
    <t>body(   虽然我对吸血鬼已经没什么兴趣了，不过player()，你的热心让我感动。blankline()   我本身没什么朋友，所以一直想知道朋友的意义。blankline()hot2(   回答穆里尼关于朋友的问题即可完成。))</t>
  </si>
  <si>
    <t>body(   “朋友”这事听起来还有点意思……既能解除孤独，还能提高打怪经验，这确实是个不错的事儿！)</t>
  </si>
  <si>
    <t>告诉我答案，年轻人</t>
  </si>
  <si>
    <t>title(（11级）吸血鬼真容)
body(hotyellow_3(任务进程:)newline()
   将吸血鬼的真相告诉 goto(60035,2)。
blankline()hotyellow_3(任务描述:)newline() 
   鲍文这么久都没有意识到么，为了不剥夺他研究的乐趣我还特意没告诉他。其实传说中的吸血鬼根本不是什么蝙蝠。根据我多天的研究，我已经完全了解到，咬伤盖亚孙子的吸血鬼其实应该是那些剧毒的红背蜘蛛……)</t>
  </si>
  <si>
    <t>收集毒腺的时候你也要小心啊，那些蜘蛛是很危险的。</t>
  </si>
  <si>
    <t>title(（11级）治愈)
body(hotyellow_3(任务进程:)newline()
    将盖亚的小孙子平安的消息告诉goto(60042,2)吧！)</t>
  </si>
  <si>
    <t>body(space()space()space()player()，你和鲍文救了我的小孙子，也就是救了我。太感谢你们了！)</t>
  </si>
  <si>
    <t>title(（11级）关切的鲍比)
body(hotyellow_3(任务进程:)newline()
   去找goto(60015,2)吧！blankline()hotyellow_3(任务描述:)newline() 
   小镇守卫鲍比似乎对我的小孙子被吸血鬼袭击的谣言非常关注，已经来询问过几次了。blankline()   我非常感谢鲍比的关心，player()请将这件完美解决的事情告诉鲍比，并转达我的谢意。)</t>
  </si>
  <si>
    <t>body(   这些树桩怪真恶心，老是围着我，不让我去寻找我的那些宝贝蜜蜂。)</t>
  </si>
  <si>
    <t>好多树桩怪啊……</t>
  </si>
  <si>
    <t>body(   哇，你真的抓到了一只宠物哦！按hot(“G”)键可以看到你的宠物，你可别小看它，它的作用很大的。你可要好好照顾它)</t>
  </si>
  <si>
    <t>你还没有驯化宠物吗？加油啊，这些小家伙可调皮了。</t>
  </si>
  <si>
    <t>按"G"键可打开宠物界面，召唤宠物。</t>
  </si>
  <si>
    <t>body(   宠物将会是你很好的朋友！)</t>
  </si>
  <si>
    <t>你的宠物还没有长大啊！</t>
  </si>
  <si>
    <t>title(（13级）宠物问答)
body(hotyellow_3(任务进程:)newline()
   回答goto(60011,1)有关宠物的提问。
   blankline()hotyellow_3(任务描述:)newline()   回答玛娜有关宠物的提问。)</t>
  </si>
  <si>
    <t>body(   看来你已经都了解啦！)</t>
  </si>
  <si>
    <t>body(    养蜂人希尔看起来很焦虑的样子，他曾经来我这找过你，你还是去看看出了什么事吧！)</t>
  </si>
  <si>
    <t>body(space()space()space()player()，见到你真是太好了。)</t>
  </si>
  <si>
    <t>body(   脑海中那些若有若无的歌声终于消散了……)</t>
  </si>
  <si>
    <t>好美的歌声……</t>
  </si>
  <si>
    <t>body(   未来的种子，深埋于过去之中。)</t>
  </si>
  <si>
    <t>希望它们还能够茁壮成长……</t>
  </si>
  <si>
    <t>title(（14级）有关装备的困惑)
body(hotyellow_3(任务进程:)newline()
   解开goto(60019,2)的困惑。
blankline()hotyellow_3(任务描述:)newline() 
   有很多事比失去的记忆更加困扰我，player()你能替我找到答案吗？)</t>
  </si>
  <si>
    <t>body(space()space()space()player()，有很多很多的事，比失去的那段记忆更让我感到困惑。blankline()space()space()space()player()，你能告诉我答案吗？)</t>
  </si>
  <si>
    <t>body(   我好像明白一点了。blankline()   这是我制作的hot(捕兽夹)。放置于怪物经过的地点，当怪物路过时可以hot3(瞬间杀死)一般的变异生物。请您收下，希望可以帮到您。)</t>
  </si>
  <si>
    <t>看来只有消灭这些羽翼女妖才是我取回记忆的唯一方法，就拜托您了。</t>
  </si>
  <si>
    <t>body(   都死了，那些与我同行的镇民都死了……我侥幸被树桩怪围住才没有遇难。)</t>
  </si>
  <si>
    <t>body(   就像是做了一场噩梦，每当回想起来心里就充满恐惧。可是我偏偏又想不起来究竟发生了什么事，记忆很模糊啊！)</t>
  </si>
  <si>
    <t>title(（15级）勇者的勋章)
body(hotyellow_3(任务进程:)newline()
   询问goto(60038,2)有关勋章商店的事。
blankline()hotyellow_3(任务描述:)newline() 
   space()space()space()player()，你身上有不少勋章么，那可都是些好东西。blankline()   有关勋章商店的事，我多少也知道一点啦，你有什么想问我的么？)</t>
  </si>
  <si>
    <t>body(space()space()space()player()，你身上有不少勋章么，那可都是些好东西。blankline()   有关勋章商店的事，我多少也知道一点啦，你有什么想问我的么？)</t>
  </si>
  <si>
    <t>回答关于勋章商店的问题</t>
  </si>
  <si>
    <t>"野狼的数量越来越多了。"</t>
  </si>
  <si>
    <t>body(   这种植物总能让人头脑清醒。)</t>
  </si>
  <si>
    <t>"脑袋好疼。"</t>
  </si>
  <si>
    <t>title(（16级）比大小)
body(hotyellow_3(任务进程:)newline()
   和goto(60038,2)玩扑克，比大小。
blankline()hotyellow_3(任务描述:)newline() 
   被吸血鬼的事闹的头痛，player()陪我玩一把扑克放松下吧，赢了给你好东西。)</t>
  </si>
  <si>
    <t>body(   头有点晕…blankline()space()space()space()player()，陪我玩一把扑克吧，赢了给你好东西。)</t>
  </si>
  <si>
    <t>title(（16级）严重失忆)
body(hotyellow_3(任务进程:)newline()
   去找goto(60019,2)。
blankline()hotyellow_3(任务描述:)newline() 
   抱歉，还是什么都想不起来。这种情况以前也出现过，在我的妻子与女儿被杀死之后，我过来1年多才想起来有关他们的事。blankline()   我想，我短期内是不会想起什么有用的信息了，player()，你还是去养蜂人希尔那里看看有没有什么新的进展吧！)</t>
  </si>
  <si>
    <t>body(   我确实又想起了一些事情。)</t>
  </si>
  <si>
    <t>我是光明教会在迷雾废墟的指挥官圣骑士艾伦。</t>
  </si>
  <si>
    <t>title(（17级）真理兄弟会)
body(hotyellow_3(任务进程:)newline()
   去找goto(60028,2)。blankline()hotyellow_3(任务描述:)newline() 
   虽然僵尸暴徒很让人头疼，但只要杀掉他们就好。倒是那些整天来我这里宣扬爱与和平，放弃武力的真理兄弟会成员让我非常头大。blankline()space()space()space()player()，我想拜托你去劝劝他们不要再来我这里了，我还有很多事情要做呢。)</t>
  </si>
  <si>
    <t>body(   只有放下武力，我们才能找到解决问题的根本之道。)</t>
  </si>
  <si>
    <t>body(   你好，player()，我是小镇牧师拉尔夫。)</t>
  </si>
  <si>
    <t>title(（18级）纠结)
body(hotyellow_3(任务进程:)newline()
   回答goto(60037,2)的疑问。
)</t>
  </si>
  <si>
    <t>人生果然是各种烦恼缠绕，真是烦恼啊！</t>
  </si>
  <si>
    <t>body(space()space()space()player()，你做了应该做的事，我也只能祷告死者得到安息。)</t>
  </si>
  <si>
    <t>复仇这种事，是对还是错呢？</t>
  </si>
  <si>
    <t>什么事？</t>
  </si>
  <si>
    <t>body(space()space()space()player()，昨天我路经密林的时候，一只大树桩怪用棍子狠狠的敲了我脑袋一下……blankline()   要不是我勉强支撑，一定已经被洗劫了。那样的怪物存在这个世界上真是太危险了！)</t>
  </si>
  <si>
    <t>body(   是吗？player()，你真的做到了？太好了……blankline()   以后要是有什么不方便携带的东西就放在我这里好了！您尽管放心吧！)</t>
  </si>
  <si>
    <t>我真的不想再提起那天的事情……</t>
  </si>
  <si>
    <t>body(space()space()space()player()，我正有事想拜托你呢。)</t>
  </si>
  <si>
    <t>小镇牧师拉尔夫正在等着你，快去找他吧！</t>
  </si>
  <si>
    <t>请结束地宫中咕噜兵的痛苦吧！</t>
  </si>
  <si>
    <t>title(（19级）装备合成)
body(hotyellow_3(任务进程:)newline()
   将5件蓝色的装备合成一件黄色的装备后去找goto(60028,2)。
blankline()hotyellow_3(任务描述:)newline() 
   过多的装备携带是一件麻烦事。但是，只要凑足5件相同品质的装备，就可以将其中一件提升到hot(更高的品质)。blankline()space()space()space()player()，你可以尝试将一件蓝色品质的装备提升到黄色品质。)</t>
  </si>
  <si>
    <t>body(   装备颜色由低至高，依次为白色、蓝色、黄色、绿色和完美绿色！装备颜色品质越高，装备的属性越强！)</t>
  </si>
  <si>
    <t>请将5件蓝色品质的装备合成为黄色品质</t>
  </si>
  <si>
    <t>title(（19级）“赫肯的守护”（二）)
body(hotyellow_3(任务进程:)newline()
   圣骑士艾伦口中被goto(10134,2)夺走的hot(神秘芯片)。这些会不会和魔导器“赫肯的守护”有关呢？替goto(60028,2)寻回被夺走的芯片。
blankline()hotyellow_3(任务描述:)newline() 
   圣骑士艾伦也不记得是哪个狂暴僵尸抢走了他的神秘芯片，这些家伙看起来都一样。)</t>
  </si>
  <si>
    <t>body(   你竟然找回了这块芯片。blankline()   我对这种半成品没有兴趣了，你拿去好了。)</t>
  </si>
  <si>
    <t>目前战事吃紧，暂时放那些僵尸一马。</t>
  </si>
  <si>
    <t>body(   我将会解答你关于魔导器的问题。)</t>
  </si>
  <si>
    <t>你已经完全了解魔导器的使用了吗？</t>
  </si>
  <si>
    <t>body(   干得好！)</t>
  </si>
  <si>
    <t>魔族一直以来信奉黑暗之神，他们嗜血残暴，需要小心。</t>
  </si>
  <si>
    <t>body(   现在感觉好多了。谢谢你，player()。blankline()   我碰上了剧毒猎杀者，这次总算捡回了一条命。)</t>
  </si>
  <si>
    <t>剧毒猎杀者破坏力依旧惊人，需要小心谨慎。如果能够找到一起战斗的伙伴，会更加轻松完成。</t>
  </si>
  <si>
    <t>title(（21级）比大小)
body(hotyellow_3(任务进程:)newline()
   和goto(60028,2)玩把纸牌。)</t>
  </si>
  <si>
    <t>body(space()space()space()player()，听说你赌术精湛，我们来切磋一把吧！blankline()   如果你能赢我，就给你好东西。)</t>
  </si>
  <si>
    <t>我们来玩一把吧！</t>
  </si>
  <si>
    <t>光明虽然强大，但是黑暗更加邪恶。勇者需要更强的力量，来守卫这份和平，以及宁静。</t>
  </si>
  <si>
    <t>body(space()space()space()player()，您好，我是商人杰克。)</t>
  </si>
  <si>
    <t>body(   完成一次我这里的收集装备的任务吧！收集装备很简单哦！)</t>
  </si>
  <si>
    <t>完成一次收集装备的日常任务</t>
  </si>
  <si>
    <t>body(   你好，player()。我是米迦勒，在我这里可以完成鉴定达人、驯化达人的循环任务。完成任务不但可以获得丰富的经验奖励，还可以在排行榜上占据一个排名哦！)</t>
  </si>
  <si>
    <t>title(（22级）生物学家达尔文)
body(hotyellow_3(任务进程:)newline()
   拜访goto(60036,4)。
blankline()hotyellow_3(任务描述:)newline() 
   我信仰光明之神，我也相信科学的力量。在神所创造的世界里，很多奇妙的法则不由其他意志所转移，比如这风、这天空、这大地。而我们的研究，是对于神之法则的补充。)</t>
  </si>
  <si>
    <t>body(   各种变异生物充斥在这片土地。光明教会的牧师们说，这是恶魔的杰作。但这些怪物，却还攻击魔族。我觉得很奇怪，希望能够通过自己的研究来揭开这个秘密。科学家，也许就该如此。)</t>
  </si>
  <si>
    <t>body(   我只是一个普通的生物学家，研究变异生物只是我的爱好而已，这些生物真是充满了秘密。)</t>
  </si>
  <si>
    <t>body(   我需要一批利爪裂纹豹的骨爪样本，才能进行进一步的研究。)</t>
  </si>
  <si>
    <t>已经有很多证据表明燃烧平原的利爪裂纹豹是富有攻击性和极端危险的生物。</t>
  </si>
  <si>
    <t>body(   达尔文这家伙活腻了啊！气死老娘了！竟然还不能回去！)</t>
  </si>
  <si>
    <t>body(space()space()space()player()，我觉得你有权知道有关燃烧平原的事情，燃烧平原上的很多事，我都要仰仗您的帮助。)</t>
  </si>
  <si>
    <t>body(   这次真是麻烦你了，我得马上进行研究，应该马上就会有结果了。)</t>
  </si>
  <si>
    <t>真希望你收集的样本可以否定我的设想。</t>
  </si>
  <si>
    <t>body(   试试看吧！其实我没抱太大的希望。)</t>
  </si>
  <si>
    <t>title(（24级）灼伤)
body(hotyellow_3(任务进程:)newline()
    询问goto(60051,4)有关他们被烧伤的事。
blankline()hotyellow_3(任务描述:)newline() 
    我最近听说一个事情。有几名在燃烧平原上负责监视魔族动态的战士受到了很严重的灼伤。player()，请你去询问下他们的具体情况，并告诉牧师长西瓦，生物学家达尔文也会愿意提供帮助的。)</t>
  </si>
  <si>
    <t xml:space="preserve"> 前些天有些叔叔老想带我走，惹怒了那些想陪在我身边的小火球。</t>
  </si>
  <si>
    <t>title(（24级）被感染的人们)
body(hotyellow_3(任务进程:)newline()
   询问goto(60056,4)有关地下幸存者的事。
blankline()hotyellow_3(任务描述:)newline() 
space()space()space()player()我知道你是一个好人，可不可以请那些搜救队的叔叔不要再来找我，我可以告诉你一些有关我们的事。)</t>
  </si>
  <si>
    <t>body(space()space()space()player()，我知道你是一个好人。可不可以请那些总是喊着“光明啊，神啊”的叔叔不要再来找我。我可以告诉你一些有关我们的事。)</t>
  </si>
  <si>
    <t>还有什么想知道的么？</t>
  </si>
  <si>
    <t>title(（24级）无奈的谎言)
body(hotyellow_3(任务进程:)newline()
   去找goto(60051,4)。
blankline()hotyellow_3(任务描述:)newline() 
   这些火元素对于我们，就像天生的朋友一样，请你们不要欺负它们。我的爸爸妈妈和一些叔叔阿姨在这里经常会碰到一些光明教会的人。能不能请他们不要来啊？我们不喜欢他们。)</t>
  </si>
  <si>
    <t>body(   真是帮大忙了，这样我们就可以继续救援了。)</t>
  </si>
  <si>
    <t>您就安心的去吧！我们随时支援你。</t>
  </si>
  <si>
    <t>body(   我们光明骑士团的成员在燃烧平原上损失惨重！很多人感染了一些奇怪的病毒。这是我搞到的解毒草的种子。player()请替我在燃烧平原上种植，希望能够有所帮助。)</t>
  </si>
  <si>
    <t>body(   希望可以起到些作用。)</t>
  </si>
  <si>
    <t>要在燃烧平原上种植一点解毒草</t>
  </si>
  <si>
    <t>body(   像他们这样的人，是我们所需要保障的。他们的努力，应该会给我们带来希望。)</t>
  </si>
  <si>
    <t>body(   所有来到这里的人，你们已经进入了命运安排的河流之中。如果说你们曾经是命运的小溪，如今汇聚在一起便会成为一条大河！blankline()   要慎重hot(选择)或hot(创建)团！你的每一次选择都将影响你们未来的命运！)</t>
  </si>
  <si>
    <t>body(   看来你已经有所了解了。)</t>
  </si>
  <si>
    <t>body(   改造手头现有的装备也是提高战斗力的一种方法。具体的，可以去装备改造商人那里看看。)</t>
  </si>
  <si>
    <t>body(   您好，player()。您可以在我这里进行装备的升星操作。)</t>
  </si>
  <si>
    <t>去找装备改造商人</t>
  </si>
  <si>
    <t>body(   欢迎下次再来。)</t>
  </si>
  <si>
    <t>body(   你好，player()，我是燃烧平原光明骑士团的负责人，我叫比尔。)</t>
  </si>
  <si>
    <t>body(   你好，player()，我是金刚兽可可。)</t>
  </si>
  <si>
    <t>body(   泰莎告诉我，她需要更多样的被熔岩病毒感染的样本与傀儡身上的进行比对。也许这样就会有办法治愈那些感染者，或者，消灭他们……blankline()space()space()space()player()，那些火焰蝴蝶实在太过强大。这种采样的工作我们有心无力，还是请您接手比较合适。)</t>
  </si>
  <si>
    <t>我需要火焰蝴蝶的样本。</t>
  </si>
  <si>
    <t>body(   主的光芒将会照耀这片被腐蚀的土地，我希望火焰少校比尔能够战胜邪恶。只是邪恶在这里过于强大，我对此深感担忧。blankline()   有可能的话，player()，你还去帮帮他吧！)</t>
  </si>
  <si>
    <t>body(   看到您真是太好了，我正在为调查的事苦恼呢！)</t>
  </si>
  <si>
    <t>body(space()space()space()player()，多亏了你上次的蝴蝶样本，达尔文告诉我，他和泰莎的研究取得了突破性的进展。blankline()   现在，他们需要些原生的硅链生物做最后的比对。这次又要麻烦你辛苦一趟，去采集一些hot(坚毅火石怪的样本)。)</t>
  </si>
  <si>
    <t>body(   希望达尔文他们能够得出最后的结论。)</t>
  </si>
  <si>
    <t>"需要坚毅火石怪的样本进行最后的比对。"</t>
  </si>
  <si>
    <t>title(（27级）不能说的秘密)
body(hotyellow_3(任务进程:)newline()
   去找goto(60057,4)。
blankline()hotyellow_3(任务描述:)newline() 
   魔族将充满暴虐的邪恶种子注入动物，原本温顺的动物因此变得凶残而恐怖。这种情况不但出现在燃烧平原的动物中，当我们深入调查了岩浆傀儡后，我们非常遗憾地发现，部分人类也因此被感染！)</t>
  </si>
  <si>
    <t>body(   这种亵渎光明神的事情。我真不愿意看到！)</t>
  </si>
  <si>
    <t>title(（27级）乱世求生)
body(hotyellow_3(任务进程:)newline()
   回答goto(60057,4)的提问。
blankline()hotyellow_3(任务描述:)newline() 
space()space()space()player()，在这个世界活下去真不容易。我有很多事想通过您了解呢！)</t>
  </si>
  <si>
    <t>body(space()space()space()player()，在这个世界活下去真不容易。我有很多事想通过您了解呢！)</t>
  </si>
  <si>
    <t>body(   总算是了解一些了。)</t>
  </si>
  <si>
    <t>我有很多事想通过您了解！</t>
  </si>
  <si>
    <t>title(（27级）零号的求助)
body(hotyellow_3(任务进程:)newline()
    goto(60052,4)正在到处找你。不知道他这次有什么事。)</t>
  </si>
  <si>
    <t>body(space()space()space()player()，光明裁判所的hot(情报官零号)曾经来我这儿找过你。他让我转告你，他有很重要的事找你。)</t>
  </si>
  <si>
    <t>body(   总算等到你来了！)</t>
  </si>
  <si>
    <t>body(   嗯，物资匮乏是目前我们人类普遍面临的困境。)</t>
  </si>
  <si>
    <t>title(（28级）矿洞探险者)
body(hotyellow_3(任务进程:)newline()
    去找goto(60049,3)。blankline()hotyellow_3(任务描述:)newline()   如今通过正常的采集流程已经很难收获足够的物资了，很多时候我们不得不从矿洞探险者那里高价收购。player()，拜托你到矿洞探险者那里打探一下详情吧！)</t>
  </si>
  <si>
    <t>title(（28级）探险者招募-药材)
body(hotyellow_3(任务进程:)newline()
    goto(60049,2)正在招募探险者，去看看吧！
blankline()hotyellow_3(任务描述:)newline() 
   hot3(采集所需的一切物品都可以在生活技能制作商人处买到。))</t>
  </si>
  <si>
    <t>body(   跟你合作真是太愉快了！不过这些药材你先留着，相信我，你会用的着的。)</t>
  </si>
  <si>
    <t>body(   年轻人，看你一表人才相当有天赋的样子，有没有兴趣去学一学药剂生产？blankline()hot(   生活技能制作商人)和我很熟的，你去找他吧！说是我介绍的。)</t>
  </si>
  <si>
    <t>body(   哦？年轻人，仪表端庄，举止得体。将来一定是个了不起的人物。blankline()   我们交个朋友吧！)</t>
  </si>
  <si>
    <t>body(   我这里的材料合成器可以去除药材中的杂质，使药材的品质提升一个等级。)</t>
  </si>
  <si>
    <t>药材的等级还不够</t>
  </si>
  <si>
    <t>body(   年轻人，看你一表人才相当有天赋的样子，有没有兴趣去学一学仪器制作？blankline()hot(   生活技能制作商人)和我很熟的，你去找他吧！说是我介绍的。)</t>
  </si>
  <si>
    <t>body(   我这里的材料合成器可以去除药矿石中的杂质，使矿石的品质提升一个等级。)</t>
  </si>
  <si>
    <t>矿石等级还不够</t>
  </si>
  <si>
    <t>title(（28级）龙护腿)
body(hotyellow_3(任务进程:)newline()
    成功制造一个hot(龙护腿)，goto(114,2)会给你额外的奖励。blankline()hotyellow_3(任务描述:)newline()  打开生产界面，选择炼金秘术（1级）。如果你拥有足够的矿石与精力，即可完成龙护腿道具的制作。矿石可通过矿洞探险者，进入神秘矿洞采集。精力每天自然回复。
blankline()
   hot3(任务相关NPC：)goto(60049,2)、goto(114,2)。)</t>
  </si>
  <si>
    <t>body(   现在肯钻研仪器制作的年轻人越来越少了，player()，如果你能够制作出hot(龙护腿)，我会考虑给你继续在炼金秘术上进行深造的机会。)</t>
  </si>
  <si>
    <t>你还没有制作出指定道具。</t>
  </si>
  <si>
    <t>title(（28级）生命瞬回药（小）)
body(hotyellow_3(任务进程:)newline()
    成功制造一个hot(生命瞬回药（小）)，goto(114,2)会给你额外的奖励。blankline()hotyellow_3(任务描述:)newline()  打开生产界面，选择药剂配制（1级）。如果你拥有足够的药材与精力，即可完成生命瞬回药（小）的制作。药材可通过矿洞探险者，进入神秘矿洞采集。精力每天自然回复。
blankline()
   hot3(任务相关NPC：)goto(60049,2)、goto(114,2)。)</t>
  </si>
  <si>
    <t>body(   现在肯钻研药剂配制的年轻人越来越少了，player()，如果你能够制作出hot(生命瞬回药（小）)，我会考虑给你继续在药剂配制上进行深造的机会。)</t>
  </si>
  <si>
    <t>body(   这些技术对我们太重要了。)</t>
  </si>
  <si>
    <t>body(space()space()space()player()，请告诉零号，再坚持一下！我们很快就会将新的补给，运抵燃烧平原营地。)</t>
  </si>
  <si>
    <t>body(   那好，那我们就再支撑一段时间好了。)</t>
  </si>
  <si>
    <t>您就安心的去吧！我们随时准备支援你。</t>
  </si>
  <si>
    <t>body(   你要知道有时候未战斗过的人，在战场上比敌人更恐怖……blankline()space()space()space()player()，如果你对燃烧平原上光明骑士团的战斗力有什么不清楚的地方，可以问我。)</t>
  </si>
  <si>
    <t>body(space()space()space()player()，你的赌技已经在人类中成为传说了！很荣幸今天可以和你再玩一把。)</t>
  </si>
  <si>
    <t>body(   果然名不虚传。)</t>
  </si>
  <si>
    <t>还是杀掉周围的火焰震荡者再仔细查看吧！</t>
  </si>
  <si>
    <t>body(   我已经不行了……在人生的最后时刻能够见到传说的中player()老天也算待我不薄……blankline()space()space()space()player()，请与我玩人生的最后一把牌吧……)</t>
  </si>
  <si>
    <t>body(   这也算是我悲剧的人生中一点点小小的满足吧！blankline()   其他的队友就比较凄惨啦……)</t>
  </si>
  <si>
    <t>满足我最后的愿望吧！</t>
  </si>
  <si>
    <t>body(   你来了啊，英勇的player()。)</t>
  </si>
  <si>
    <t>body(   如果player()你能够在我这里，完成一次收集材料的日常任务，我会觉得很开心的。)</t>
  </si>
  <si>
    <t>完成一次收集材料的任务</t>
  </si>
  <si>
    <t>body(   好！真是辛苦你了，player()。)</t>
  </si>
  <si>
    <t>body(space()space()space()player()，想必你已经对于团有一定的了解。那么就请你回答我关于团的问题吧！)</t>
  </si>
  <si>
    <t>body(   我刚刚收到了生物学家达尔文的最新研究成果，他们已经确定了在燃烧平原上瘟疫的来源。而且，就在我负责的这片区域。)</t>
  </si>
  <si>
    <t>title(（31级）疫源)
body(hotyellow_3(任务进程:)newline()
   消灭goto(10035,4)，阻止疫病蔓延，完成后去找goto(60164,4)。
blankline()hotyellow_3(任务描述:)newline() 
   魔族利用瘟疫使人类成为岩浆傀儡。传播这种瘟疫的是一种称之为疯狂萤火虫的怪物。消灭这些萤火虫，应该可以有效抑制住这种疫病的传播。)</t>
  </si>
  <si>
    <t>body(space()space()space()player()，根据达尔文夫妇发来的最新研究报告。魔族利用瘟疫使人类成为岩浆傀儡。传播这种瘟疫的是一种称之为疯狂萤火虫的怪物。消灭这些萤火虫，应该可以有效抑制住这种疫病的传播。)</t>
  </si>
  <si>
    <t>只要将疯狂萤火虫的数量控制在一定范围，就可以阻止疫病的蔓延。</t>
  </si>
  <si>
    <t>title(（31级）节制行动)
body(hotyellow_3(任务进程:)newline()
   去找goto(60163,4)。
blankline()hotyellow_3(任务描述:)newline() 
   在疫情被彻底清除前，还是请光明骑士团在燃烧平原上开展行动，以免造成更大的伤亡。)</t>
  </si>
  <si>
    <t>body(   我尽力吧！可是，那些猎人都是些认钱不认命的家伙啊！)</t>
  </si>
  <si>
    <t>title(（31级）高额委托单)
body(hotyellow_3(任务进程:)newline()
   消灭goto(10141,4)去找goto(60163,4)。
blankline()hotyellow_3(任务描述:)newline()  
   远离萤火虫吗？不、不，这可不行！最近我们接到了击杀萤火虫母虫的高额委托单！除非player()你能替我们完成这笔委托。不然我们不能停止在萤火虫附近的行动。)</t>
  </si>
  <si>
    <t>body(   不替那些猎人完成掉那些委托单，他们是不会离开这里的。就算杀了他们也不行。这是猎人的本性，也算是操守吧……blankline()   所以，player()看来只好由你来帮助他们完成任务了。)</t>
  </si>
  <si>
    <t>body(   嗯，真是辛苦了。这下他们可以心甘情愿地离开这里了吧！)</t>
  </si>
  <si>
    <t>谁挡猎人们的财路谁就是他们的敌人</t>
  </si>
  <si>
    <t>title(（32级）承诺)
body(hotyellow_3(任务进程:)newline()
   去找goto(60164,4)。
blankline()hotyellow_3(任务描述:)newline()  
   请告诉熔岩战士卡米乔，我会监督猎人们离开那些可能被感染的区域。毕竟谁都不想变成怪物……)</t>
  </si>
  <si>
    <t>body(   请告诉熔岩战士卡米乔，我会监督猎人们离开那些可能被感染的区域。毕竟谁都不想变成怪物……)</t>
  </si>
  <si>
    <t>body(   干得漂亮，这样我就放心了。)</t>
  </si>
  <si>
    <t>我们一直在追求正义。</t>
  </si>
  <si>
    <t>body(   我对防御魔族诅咒有一定的经验。但是对于燃烧平原上这种奇怪的瘟疫嘛……)</t>
  </si>
  <si>
    <t>准备好就前往秘密基地捕捉战斗型宠物吧！</t>
  </si>
  <si>
    <t>title(（33级）捕捉战斗宠物)
body(hotyellow_3(任务进程:)newline()
   去找goto(60036,4)。 )</t>
  </si>
  <si>
    <t>body(   你好，player()，很早就听过你在燃烧平原上的大名了！能够认识你很高兴。)</t>
  </si>
  <si>
    <t>body(   幼虫的繁衍规模以及战斗力我大概心里有数了，真是麻烦您了。)</t>
  </si>
  <si>
    <t>安全第一，安全第一。</t>
  </si>
  <si>
    <t>title(（33级）比大小)
body(hotyellow_3(任务进程:)newline()
   陪goto(60165,4)玩一把牌。
blankline()hotyellow_3(任务描述:)newline() 
   最近压力好大……player()，陪我玩一把牌吧！)</t>
  </si>
  <si>
    <t>有压力，有压力……</t>
  </si>
  <si>
    <t>body(   嗯，我知道的也就这么多了。)</t>
  </si>
  <si>
    <t>你有什么想知道的么？</t>
  </si>
  <si>
    <t>title(（34级）最后一击)
body(hotyellow_3(任务进程:)newline()
   干掉30个goto(10037,4)，然后向goto(60165,4)回复。
blankline()hotyellow_3(任务描述:)newline() 
   在剿灭幼虫的行动中，我的队伍遭遇了计划外的抵抗。blankline()   这些爆裂火焰守卫不彻底打垮他们实在不能安心啊！player()，我们还得努力一些，将他们送回地狱！)</t>
  </si>
  <si>
    <t>body(   在剿灭幼虫的行动中，我的队伍遭遇了计划外的抵抗。blankline()   这些爆裂火焰守卫不彻底打垮他们实在不能安心啊！player()，我们还得努力一些，将他们送回地狱！)</t>
  </si>
  <si>
    <t>body(   干的漂亮！燃烧平原这下应该就太平了。)</t>
  </si>
  <si>
    <t>您安心的去吧，不用担心我们。</t>
  </si>
  <si>
    <t>title(（34级）剪除首恶)
body(hotyellow_3(任务进程:)newline()
   干掉goto(10148,4)，然后向goto(60165,4)回复。
blankline()hotyellow_3(任务描述:)newline() 
   我们干掉了大量的爆裂火焰守卫！这一行动，几乎让我们看到了胜利的希望。但那些爆裂火焰守卫的侍卫长，依旧活跃在燃烧平原深处。player()，如果我们不消灭它，我们前期所有的努力都有可能化为泡影。)</t>
  </si>
  <si>
    <t>body(   我们干掉了大量的爆裂火焰守卫！这一行动，几乎让我们看到了胜利的希望。但那些爆裂火焰守卫的侍卫长，依旧活跃在燃烧平原深处。player()，如果我们不消灭它，我们前期所有的努力都有可能化为泡影。)</t>
  </si>
  <si>
    <t>body(    这么多年在燃烧平原上的战斗，总算看到一点终结的希望！)</t>
  </si>
  <si>
    <t>我们要系统的消灭敌人，连根带叶</t>
  </si>
  <si>
    <t>title(（35级）上尉赛特)
body(hotyellow_3(任务进程:)newline()
   去找goto(60073,3)。
blankline()hotyellow_3(任务描述:)newline() 
   虽然我是这里的指挥官，但是对于在丛林作战方面的事一直是我的上尉赛特负责的……具体的情况，player()你还是去问下赛特吧！)</t>
  </si>
  <si>
    <t>body(   虽然我是这里的指挥官，但是对于在丛林作战方面的事一直是我的上尉赛特负责的……blankline()   具体的情况，player()你还是去问赛特吧！)</t>
  </si>
  <si>
    <t>body(   这种成群结队的巨大怪兽，奔跑起来就像雷鸣一般。他们出现的时机很奇怪，我不得不做最坏的预测。)</t>
  </si>
  <si>
    <t>那些异角龙经常在半夜成群结队的冲进营地。</t>
  </si>
  <si>
    <t>body(   疯狂的尖角暴龙，是异角龙的头领。消灭它，异角龙就会逐渐平静下来。)</t>
  </si>
  <si>
    <t>body(   这种实力强的怪兽，到底是哪里来的？谁能给我个明确的解释。)</t>
  </si>
  <si>
    <t>尖角暴龙具有一定智慧，是异角龙的头领，需要优先除去！</t>
  </si>
  <si>
    <t>title(（36级）搬走的佐洛)
body(hotyellow_3(任务进程:)newline()
   询问goto(60074,3)有关他搬出营地的原因。blankline()hotyellow_3(任务描述:)newline()  
   佐洛那家伙曾经是一名赏金猎人，他总是神出鬼没。我甚至不知道佐洛是否真的就是他的本名！所以他的行为值得我们揣摩。blankline()   我总觉得佐洛前几天hot(搬到营地外围去住)是有原因的，player()就拜托你替我询问一下他吧！)</t>
  </si>
  <si>
    <t>body(   佐洛那家伙曾经是一名赏金猎人，他总是神出鬼没。我甚至不知道佐洛是否真的就是他的本名！所以他的行为值得我们揣摩。blankline()   我总觉得佐洛前几天hot(搬到营地外围去住)是有原因的，player()就拜托你替我询问一下他吧！)</t>
  </si>
  <si>
    <t>body(   其实也没什么，只是营地的锈蚀速度远远超出正常水平。这样我也无法确定营地倒塌的准确时间，所以还是乘早搬出去较为妥当。)</t>
  </si>
  <si>
    <t>body(   金属这种东西最难揣摩了。谁都无法确定它们要锈蚀到什么程度才会造成危险，所以还是离房屋远点好。我可不想睡觉的时候被活埋。blankline()
   我想营地房屋锈蚀如此严重并不是气候潮湿那么简单。player()，你采集一些营地旁生长的hot(芒萁)交给赛特，他应该知道的。)</t>
  </si>
  <si>
    <t>body(   这些芒萁通常只会生长在强酸性的土地上，怎么会出现在营地四周？)</t>
  </si>
  <si>
    <t>不知道佐洛为什么会离开营地……</t>
  </si>
  <si>
    <t>title(（36级）冒险者韦德)
body(hotyellow_3(任务进程:)newline()
   去找goto(60148,3)。
blankline()hotyellow_3(任务描述:)newline() 
   space()space()space()player()，我们营地被腐蚀的程度已经远远超出了预想的情况。用不了多久，我们就只能露营了。我想，这一切都是那hot(疾走龙)搞的鬼。这种喜欢拿舌头到处乱舔的怪物，真让人恶心。blankline()space()space()space()player()，在我们屋子垮掉之前，我们必须到我们在疾走龙附近的冒险者韦德处搞清楚状况。)</t>
  </si>
  <si>
    <t>body( space()space()space()player()，我们营地被腐蚀的程度已经远远超出了预想的情况。用不了多久，我们就只能露营了。我想，这一切都是那hot(疾走龙)搞的鬼。这种喜欢拿舌头到处乱舔的怪物，真让人恶心。blankline()space()space()space()player()，在我们屋子垮掉之前，我们必须到我们在疾走龙附近的冒险者韦德处搞清楚状况。)</t>
  </si>
  <si>
    <t>body(   你好，我是冒险者韦德。我喜欢冒险，但也热爱生命。你看这美丽的风景，要是不用提防随时跳出的怪物，倒还真是享受。)</t>
  </si>
  <si>
    <t>title(（36级）疾走龙危机)
body(hotyellow_3(任务进程:)newline()
   消灭35个goto(10058,3)，完成后去找goto(60148,3)。
blankline()hotyellow_3(任务描述:)newline() 
   确实如你看到的那样，疾走龙正在飞速的繁殖，导致附近的环境被酸化腐蚀得非常严重。这些数据我已经写在最新的报告之中了…blankline()   因为我只是一名冒险者，没有强大的战斗力。所以剿灭疾走龙任务，看来也只能麻烦player()你了。)</t>
  </si>
  <si>
    <t>body(   确实如你看到的那样，疾走龙正在飞速的繁殖，导致附近的环境被酸化腐蚀得非常严重。这些数据我已经写在最新的报告之中了…blankline()   因为我只是一名冒险者，没有强大的战斗力。所以剿灭疾走龙任务，看来也只能麻烦player()你了。)</t>
  </si>
  <si>
    <t>这事刻不容缓，希望你能够尽快帮助我们度过眼前的难关。</t>
  </si>
  <si>
    <t>title(（36级）比大小)
body(hotyellow_3(任务进程:)newline()
   陪goto(60148,3)玩一把牌。
blankline()hotyellow_3(任务描述:)newline() 
   最近压力好大……player()，陪我玩一把牌吧！)</t>
  </si>
  <si>
    <t>body(   不管输赢，我们都将是朋友。)</t>
  </si>
  <si>
    <t>title(（37级）可疑的怪人)
body(hotyellow_3(任务进程:)newline()
   打探一下goto(60075,3)那个奇怪的家伙的底细。
blankline()hotyellow_3(任务描述:)newline() 
   今天早上起来，那个叫hot(尼古拉)的家伙竟然在烧烤异角龙！那股味道真是恶心……blankline()   真不知道那个家伙是干什么的！既不是赏金猎人也不是冒险家。player()，可以请你帮我调查一下他吗？)</t>
  </si>
  <si>
    <t>body(   今天早上起来，那个叫hot(尼古拉)的家伙竟然在烧烤异角龙！那股味道真是恶心……blankline()   真不知道那个家伙是干什么的！既不是赏金猎人也不是冒险家。player()，可以请你帮我调查一下他吗？)</t>
  </si>
  <si>
    <t>body(   我并不想找你麻烦。说真的，其实我是个艺术家…或者说的更准确一点，我是个hot(美食家)。)</t>
  </si>
  <si>
    <t>title(（37级）另类的美食)
body(hotyellow_3(任务进程:)newline()
   打败goto(10059,3)，并将获取25块hot(翼龙的肉)交给goto(60075,3)。
blankline()hotyellow_3(任务描述:)newline() 
   按照我的经验，越是美丽的生物味道越平淡，反倒是丑陋的生物能够烹调出诱人的口感。上次在野外遇见一只翼龙，我口水都快流下来了。blankline()   可是那种动物不是我可以解决的，所以只好找player()你这种勇士帮忙了。)</t>
  </si>
  <si>
    <t>body(   我来到这里只有一个目的，那就是hot(吃)！blankline()   世界上最美的景色往往在那些人迹罕至的险处，而世间上最美味的食物常常是那些常人不敢尝试的东西。按照我的经验，越是美丽的生物味道越平淡，反倒是丑陋的生物能够烹调出诱人的口感。上次在野外遇见一只翼龙，我口水都快流下来了。blankline()   可是那种动物不是我可以解决的，所以只好找player()你这种勇士帮忙了。blankline()space()space()space()player()求求你帮我弄点hot(翼龙的肉)回来吧，我会考虑和你分享的。)</t>
  </si>
  <si>
    <t>body(   一般小动物我会考虑油炸，像翼龙这样的大家伙果然还是烧烤更合适啊！)</t>
  </si>
  <si>
    <t>我等地肚子都饿了，口水都干了……</t>
  </si>
  <si>
    <t>title(（37级）幻觉)
body(hotyellow_3(任务进程:)newline()
   美食家尼古拉好像产生幻觉了，去找goto(60149,3)问问该怎么办吧！
blankline()hotyellow_3(任务描述:)newline() 
   我看到很多蒜苔肉丝、水煮肉片、韭菜炒大熊猫在天上飞……该死，我一定是中毒了，player()，快去找赏金猎人佐洛，他应该有办法……)</t>
  </si>
  <si>
    <t>body(   尼古拉那个疯子又中毒了？他早晚有一天要被他那张贪吃的嘴害死！)</t>
  </si>
  <si>
    <t>去找赏金猎人佐洛</t>
  </si>
  <si>
    <t>"我可不是什么好人，只接受交换"</t>
  </si>
  <si>
    <t>陪我玩一把吧</t>
  </si>
  <si>
    <t>body(   动作很利索嘛，看来你也不是第一次干这种事情了。)</t>
  </si>
  <si>
    <t>body(   最近的丛林确实出现了一些动荡，而我们光明骑士团的观察站正是为了应对这些动荡而存在的！)</t>
  </si>
  <si>
    <t>title(（38级）最直接的威胁)
body(hotyellow_3(任务进程:)newline()
   杀死goto(10150,3)向goto(60148,3)回复。
blankline()hotyellow_3(任务描述:)newline() 
   确实有很多我们的伙伴惨遭不测！他们都被一只巨大的噬魂蜘蛛吃掉了……player()，在进一步展开调查之前，我们要先除掉这个最直接的威胁。)</t>
  </si>
  <si>
    <t>body(   确实有很多我们的伙伴惨遭不测，他们都是被一只巨大的噬魂蜘蛛吃掉的。player()，在进一步展开调查前，我们要先除掉这个最直接的威胁。)</t>
  </si>
  <si>
    <t>body(   当前最直接的威胁总算是解决了。)</t>
  </si>
  <si>
    <t>我们很多伙伴都被噬魂蜘蛛吃掉了</t>
  </si>
  <si>
    <t>body(   有了这些解毒草也算有所准备。)</t>
  </si>
  <si>
    <t>"我们需要一些解毒草"</t>
  </si>
  <si>
    <t>title(（38级）冒险者坎比)
body(hotyellow_3(任务进程:)newline()
   去找goto(60150,3)。
blankline()hotyellow_3(任务描述:)newline() 
   我的朋友坎比，就在这儿不远处。他在暴走小径监测附近的生物情况。那里的情况比较危险。player()，如果有空的话，希望您能够传达一下我的担忧。)</t>
  </si>
  <si>
    <t>body(   我的朋友坎比，就在这儿不远处。他在暴走小径监测附近的生物情况。那里的情况比较危险。player()，如果有空的话，希望您能够传达一下我的担忧。)</t>
  </si>
  <si>
    <t>body(   干得很漂亮，你的实力让人赞叹！)</t>
  </si>
  <si>
    <t>没有足够的样本数量，我们很难想到如何对付这些大块头笨犀牛。</t>
  </si>
  <si>
    <t>title(（39级）记仇的人)
body(hotyellow_3(任务进程:)newline()
   杀死goto(10151,3)后去找goto(60151,3)。
blankline()hotyellow_3(任务描述:)newline() 
   刚成为赏金猎人的时候，有一次我意外惹恼了一只庞大的肥多犀牛。它一直追着我，我只得拼命地逃跑，直到最后跳进水塘中……要知道，那可是冬天！player()，你要替我报仇啊！替我消灭那只可恶的犀牛！)</t>
  </si>
  <si>
    <t>body(   刚成为赏金猎人的时候，有一次我意外惹恼了一只庞大的肥多犀牛。它一直追着我，我只得拼命地逃跑，直到最后跳进水塘中……要知道，那可是冬天！player()，你要替我报仇啊！替我消灭那只可恶的犀牛！)</t>
  </si>
  <si>
    <t>body(   总算报仇了……哇哈哈哈哈哈……)</t>
  </si>
  <si>
    <t>我要报仇，我要报仇，我要报仇！那只可恶的肥多犀牛！</t>
  </si>
  <si>
    <t>body(space()space()space()player()，你怎么回来了，出什么问题了吗？)</t>
  </si>
  <si>
    <t>title(（40级）咨询)
body(hotyellow_3(任务进程:)newline()
    咨询goto(60064,3)有关犀牛减少的事。
blankline()hotyellow_3(任务描述:)newline() 
    光明教会拥有不少致力于怪物学研究的专家。但他们如今都不在这里。我们需要一个了解各种奇怪生物的人。也许铁甲虫财团的领袖——拉斐尔，可以给我们一些意见。)</t>
  </si>
  <si>
    <t>body(   光明教会拥有不少致力于怪物学研究的专家。但他们如今都不在这里。我们需要一个了解各种奇怪生物的人。也许铁甲虫财团的领袖——拉斐尔，可以给我们一些意见。)</t>
  </si>
  <si>
    <t>body(   为全人类服务，这是我的荣幸！我一定知无不言言无不尽，鞠躬尽瘁死而后已。)</t>
  </si>
  <si>
    <t>title(（40级）指示)
body(hotyellow_3(任务进程:)newline()
    去找goto(60154,3)。
blankline()hotyellow_3(任务描述:)newline() 
    让冒险者坎比与士兵罗斯福一定要想办法减少赤甲蝎的数量。这是命令！只许成功！不许失败！)</t>
  </si>
  <si>
    <t>body(   让冒险者坎比与士兵罗斯福一定要想办法减少赤甲蝎的数量。这是命令！只许成功！不许失败！)</t>
  </si>
  <si>
    <t>title(（40级）鳞片)
body(hotyellow_3(任务进程:)newline()
    获取25个goto(10062,3)的hot(鳞片)交给goto(60154,3)。
blankline()hotyellow_3(任务描述:)newline() 
    先收集一些赤甲蝎的鳞片，也算是对hot(卡尔)有了交代。免得他觉得我们消极备战，又来催促……)</t>
  </si>
  <si>
    <t>哎，早晚死在这里。</t>
  </si>
  <si>
    <t>body(   我只是个冒险者，能活着就不错了，可别指望我……)</t>
  </si>
  <si>
    <t>body(   果然，事实并不比想象更乐观。blankline()   如果可以除掉一些强大的变异生物。我们的士兵的活动范围就会大很多，比如hot(红莲赤甲蝎)？)</t>
  </si>
  <si>
    <t>必须先除掉一批强大的变异生物才行</t>
  </si>
  <si>
    <t>title(（41级）瘟疫蔓延)
body(hotyellow_3(任务进程:)newline()blankline()
   去找goto(60151,3)。
blankline()hotyellow_3(任务描述:)newline() 
    一种来自赤甲蝎的疫病正在丛林中的冒险者之间蔓延。一些重症患者，我们已经解决了，还有一些轻度感染者需要治疗。blankline()space()space()space()player()，请询问下赏金猎人罗杰斯是否有解决的办法？)</t>
  </si>
  <si>
    <t>body(   一种来自赤甲蝎的疫病正在丛林中的冒险者之间蔓延。一些重症患者，我们已经解决了，还有一些轻度感染者需要治疗。blankline()space()space()space()player()，请询问下赏金猎人罗杰斯是否有解决的办法？)</t>
  </si>
  <si>
    <t>title(（41级）安魂花)
body(hotyellow_3(任务进程:)newline()
   获取28朵寄生于goto(10063,3)巨钳中的安魂花，交给goto(60150,3)。
blankline()hotyellow_3(任务描述:)newline() 
   据我所知，寄生于巨钳蝎巨钳中的安魂花对这种疫病有很明显的疗效。用这些安魂花，治愈一些轻度的患者应该没有问题。收集一些安魂花，交给坎比，应该会有所帮助。)</t>
  </si>
  <si>
    <t>body(   据我所知，寄生于巨钳蝎巨钳中的安魂花对这种疫病有很明显的疗效。用这些安魂花，治愈一些轻度的患者应该没有问题。收集一些安魂花，交给坎比，应该会有所帮助。)</t>
  </si>
  <si>
    <t>body(   有了这些安魂花就不用采取极端的方法了。)</t>
  </si>
  <si>
    <t>那些感染疫病的冒险家真让人头疼</t>
  </si>
  <si>
    <t>title(（41级）大力巨钳蝎)
body(hotyellow_3(任务进程:)newline()
   消灭goto(10153,3)向goto(60150,3)回复。
blankline()hotyellow_3(任务描述:)newline() 
   因为过敏反应的事，很多计划中的事都搁置了，现在得抓紧了。blankline()   最新的伤亡统计表示，在大力巨钳蝎附近失踪的士兵与猎人非常的多，看来已经到了不得不除掉它的时候了。player()，我们需要你的帮助。)</t>
  </si>
  <si>
    <t xml:space="preserve"> "怎么就突然过敏了？"</t>
  </si>
  <si>
    <t>title(（42级）绝密实验)
body(hotyellow_3(任务进程:)newline()
   从goto(10064,3)那里收集28个螳螂幼虫交给goto(60152,3)。
blankline()hotyellow_3(任务描述:)newline() 
   铁甲虫财团正在进行一项绝密的实验。如果成功的话，这些张牙舞爪的螳螂后很有可能被驯化为无坚不摧的极品战宠！而我，则负责为他们收集一些螳螂幼虫用于实验。反正与我的本职工作并不冲突，何乐而不为呢？blankline()space()space()space()player()，请你帮助我！ )</t>
  </si>
  <si>
    <t>body(   铁甲虫财团正在进行一项绝密的实验，如果成功的话，这些张牙舞爪的螳螂后很有可能被驯化为无坚不摧的极品战宠！而我，则负责为他们收集一些螳螂幼虫用于实验。反正与我的本职工作并不冲突，何乐而不为呢？blankline()space()space()space()player()，请你帮助我！)</t>
  </si>
  <si>
    <t>body(   真是太好了，有了足够的钱，我就可以退役了。)</t>
  </si>
  <si>
    <t>需要很多螳螂幼虫进行实验啊！</t>
  </si>
  <si>
    <t>title(（42级）接头)
body(hotyellow_3(任务进程:)newline()
   去找goto(60153,3)。
blankline()hotyellow_3(任务描述:)newline() 
   赏金猎人凯恩斯是我和铁甲虫公司之间的中间人，请将捕获螳螂幼虫的消息告诉他，麻烦你了，player()。 )</t>
  </si>
  <si>
    <t>body(   赏金猎人凯恩斯是我和铁甲虫公司之间的中间人，请将捕获螳螂幼虫的消息告诉他，麻烦你了，player()。)</t>
  </si>
  <si>
    <t>body(   那些螳螂幼虫是您帮他抓的吧，以波仕那个废物的身手，一辈子别想搞到螳螂幼虫。)</t>
  </si>
  <si>
    <t>title(（42级）毒妇飞螳)
body(hotyellow_3(任务进程:)newline()
   消灭goto(10138,3)去找goto(60153,3)。
blankline()hotyellow_3(任务描述:)newline() 
   最近我们接到一份报酬非常丰厚的委托单，一个富豪全家都被毒妇飞螳杀死了，因此委托我们进行复仇。不过想来想去，我们也没有人有能力执行该项委托，所以只好拜托player()您了…… )</t>
  </si>
  <si>
    <t>body(   最近我们接到一份报酬非常丰厚的委托单，一个富豪全家都被毒妇飞螳杀死了，因此委托我们进行复仇。不过想来想去，我们也没有人有能力执行该项委托，所以只好拜托player()您了……)</t>
  </si>
  <si>
    <t>body(   辛苦您了。)</t>
  </si>
  <si>
    <t>全家被杀之后就算花钱复仇又有什么意义呢……</t>
  </si>
  <si>
    <t>body(   那些螳螂幼虫虽然没有攻击力，但是本是却会散布一种慢性的毒素。如果不及时解毒的话，下半辈子就只能在轮椅上度过了。blankline()space()space()space()player()，摘一些解毒草交给波仕吧！)</t>
  </si>
  <si>
    <t>没有力气啊……</t>
  </si>
  <si>
    <t>body(   原来你是波仕的好朋友啊！来来来，那家伙有说我坏话吗？好久没见了，这小子还没死啊？)</t>
  </si>
  <si>
    <t>body(   那就让我们进行一次属性精炼吧！)</t>
  </si>
  <si>
    <t>body(   我的朋友，手艺还可以吧！)</t>
  </si>
  <si>
    <t>需要完成一次属性精炼</t>
  </si>
  <si>
    <t>body(   事实确实如波仕所说的那样……情况已经失控，铁甲虫财团已经打算放弃对这块领域的开发了。)</t>
  </si>
  <si>
    <t>body(   在找到问题的根源之前也就只能如此了。)</t>
  </si>
  <si>
    <t>不知道危机什么时候爆发……</t>
  </si>
  <si>
    <t>title(（43级）准备撤离)
body(hotyellow_3(任务进程:)newline()
   去找goto(60152,3)。
blankline()hotyellow_3(任务描述:)newline() 
space()space()space()player()，请告诉冒险者波仕。我们赏金猎人打算撤出巨象之原，请他好自为之！)</t>
  </si>
  <si>
    <t>body(space()space()space()player()，请告诉冒险者波仕。我们赏金猎人打算撤出巨象之原，请他好自为之！)</t>
  </si>
  <si>
    <t>body(   我注意到赏金猎人正在从hot(隐匿者之森)大批撤回。能让这些贪财如命的猎人撤离，隐匿者之森的情况只怕不容乐观。blankline()   现在燃烧平原的战局进入了最关键阶段，hot(敌国)又在沙漠一线蠢蠢欲动，所以在腾出兵力之前，只能拜托player()你，请务必帮助我们控制住hot(隐匿者之森)的形势。blankline()   具体的情况hot(指挥官卡玛)会告诉你的。)</t>
  </si>
  <si>
    <t>陪我玩一把牌吧？英勇的战士！</t>
  </si>
  <si>
    <t>body(   唉，形势总是那么危急。)</t>
  </si>
  <si>
    <t>title(（45级）联盟)
body(hotyellow_3(任务进程:)newline()
   去找goto(60099,6)。
blankline()hotyellow_3(任务描述:)newline() 
   我们光明教会在这里没有战斗编制。所以，制衡魔族与变异生物还得依赖于赏金猎人们的力量。blankline()space()space()space()player()，请你告诉高级赏金猎人佐洛。我们愿意与赏金猎人们联手，对付隐匿者森林中日益增多的危险生物和魔族。他们也不甘心就这样撤离隐匿者吧？这一个大金库吧！)</t>
  </si>
  <si>
    <t>body(   联盟？当然没有问题！只要你们能为我们提供实实在在的利益。)</t>
  </si>
  <si>
    <t>title(（45级）猎人乔布斯)
body(hotyellow_3(任务进程:)newline()
   去找goto(60155,6)。
blankline()hotyellow_3(任务描述:)newline() 
   我们猎人对任何有利于我们的联盟都表示欢迎。在这个时期与光明骑士团联盟当然是非常明智的决定。blankline()   我完全同意联盟的要求，player()请将我的决定告诉赏金猎人乔布斯，其实在很久之前，他就一直负责处理剿灭魔族的委托单，向来与光明骑士团走的最近。)</t>
  </si>
  <si>
    <t>body(   我们猎人对任何有利于我们的联盟都表示欢迎。在这个时期与光明骑士团联盟当然是非常明智的决定。blankline()   我完全同意联盟的要求，player()请将我的决定告诉赏金猎人乔布斯，其实在很久之前，他就一直负责处理剿灭魔族的委托单，向来与光明骑士团走的最近。)</t>
  </si>
  <si>
    <t>title(（45级）危险的魔族)
body(hotyellow_3(任务进程:)newline()
   消灭40个goto(10077,6)，去找goto(60155,6)。
blankline()hotyellow_3(任务描述:)newline() 
   光明骑士团那群指挥官的心思我完全了解，他们害怕那些柔弱的魔族甚于狂暴的变异生物。人类，就算是变异后的人类，也是比野兽要危险得多的。blankline()   所以，player()，我们要做的的第一步就是，剿灭那些魔族游荡者。)</t>
  </si>
  <si>
    <t>body(   光明骑士团那群指挥官的心思我完全了解，他们害怕那些柔弱的魔族甚于狂暴的变异生物。人类，就算是变异后的人类，也是比野兽要危险得多的。blankline()   所以，player()，我们要做的的第一步就是，剿灭那些魔族游荡者。)</t>
  </si>
  <si>
    <t>body(   辛苦了，盟友。)</t>
  </si>
  <si>
    <t>body(   总算是解决了一大困扰。)</t>
  </si>
  <si>
    <t>body(   去和灭魔者麦凯恩打个招呼吧！他是光明骑士团在这片区域的伙伴。他是个不错的家伙！)</t>
  </si>
  <si>
    <t>body(   您好，我是光明骑士团的麦凯恩。)</t>
  </si>
  <si>
    <t>title(（46级）升温的丛林)
body(hotyellow_3(任务进程:)newline()
   去找goto(60159,6)。
blankline()hotyellow_3(任务描述:)newline() 
space()space()space()player()，感觉到没有？丛林的温度在升高。那些冷血的变异生物要比以往活跃很多。blankline()
   这想必又是魔族玩的花招！)</t>
  </si>
  <si>
    <t>body(space()space()space()player()，感觉到没有？丛林的温度在升高。那些冷血的变异生物要比以往活跃很多。blankline()
   这想必又是魔族玩的花招！)</t>
  </si>
  <si>
    <t>body(   面对野兽异常活跃的问题，我真的不知所措。)</t>
  </si>
  <si>
    <t>body(   魔族一日不消失，奥丁大陆的光明就一日不会降临！)</t>
  </si>
  <si>
    <t>魔族的存在，对我们来说是非常可怕的。光明永远不能被泯灭，所以我们需要的，便是战斗！</t>
  </si>
  <si>
    <t>body(   很悲哀的是，魔族夺魂者的首领曾经是我们的伙伴。如今他背弃光明堕入黑暗，所以我们必须捍卫光明神的荣耀，将他净化！)</t>
  </si>
  <si>
    <t>body(   也许我们曾经是伙伴，也曾并肩血战。但如今作为敌人，我便绝不让他一步！)</t>
  </si>
  <si>
    <t>净化他的灵魂，对他坎坷的命运来说，也许是件好事！</t>
  </si>
  <si>
    <t>body(space()space()space()player()，我感觉这次碰到大麻烦了。)</t>
  </si>
  <si>
    <t>title(（47级）午夜的咆哮)
body(hotyellow_3(任务进程:)newline()
   去找goto(60155,6)。
blankline()hotyellow_3(任务描述:)newline() 
   最近几天，每到深夜之时，丛林中总会传来一波又一波恐怖的咆哮声……blankline()   我不敢深入丛林，你去问问赏金猎人乔布斯吧，他一直活跃于丛林之中，也许知道些情况。)</t>
  </si>
  <si>
    <t>body(   最近几天，每到深夜之时，丛林中总会传来一波又一波恐怖的咆哮声……blankline()   我不敢深入丛林，你去问问赏金猎人乔布斯吧，他一直活跃于丛林之中，也许知道些情况。)</t>
  </si>
  <si>
    <t>title(（47级）苏醒的熊)
body(hotyellow_3(任务进程:)newline()
   去找goto(60159,6)。
blankline()hotyellow_3(任务描述:)newline() 
   听声音来判断，这些生物恐怕就是17年前臭名昭著的魔族怪兽“hot(重装巨熊)”。丛林里日益升高的气温使它们苏醒。把这件事告诉光明骑士杰弗森，对付魔族，还是光明骑士团有经验。)</t>
  </si>
  <si>
    <t>body(space()space()space()player()，听声音来判断，这些生物恐怕就是17年前臭名昭著的魔族怪兽“hot(重装巨熊)”。丛林里日益升高的气温使它们苏醒。把这件事告诉光明骑士杰弗森，对付魔族，还是光明骑士团有经验。)</t>
  </si>
  <si>
    <t>body(   这些恶心的家伙还没死绝啊！看来数量还是很多……这回麻烦大了。)</t>
  </si>
  <si>
    <t>title(（47级）立威)
body(hotyellow_3(任务进程:)newline()
   杀死45只goto(10079,6)，向goto(60159,6)回复。
blankline()hotyellow_3(任务描述:)newline() 
   hot(重装巨熊)虽然是魔族生物，但是他们也有自己的智慧。只要能够消灭足够数量的的重装巨熊，他们就会畏惧。)</t>
  </si>
  <si>
    <t>body(   hot(重装巨熊)虽然是魔族生物，但是他们也有自己的智慧。只要能够消灭足够数量的的重装巨熊，他们就会畏惧。)</t>
  </si>
  <si>
    <t>body(   虽然暂时恢复了宁静，但是魔族的陆续出现，不得不让我们考虑更多关于防御的问题。)</t>
  </si>
  <si>
    <t>"进攻才是最好的防御。"</t>
  </si>
  <si>
    <t>title(（47级）斩首)
body(hotyellow_3(任务进程:)newline()
   杀死goto(10157,6)，向goto(60159,6)回复。
blankline()hotyellow_3(任务描述:)newline() 
   我们要消灭重装巨熊的首领，让它们心怀恐惧。)</t>
  </si>
  <si>
    <t>body(   我们要消灭重装巨熊的首领，让它们心怀恐惧。)</t>
  </si>
  <si>
    <t>"要杀死它们的首领才行。"</t>
  </si>
  <si>
    <t>body(   现在光靠我们的力量已经无法阻止重装巨熊的泛滥，我们需要向指挥官卡玛请求援助。)</t>
  </si>
  <si>
    <t>title(（48级）全面战役)
body(hotyellow_3(任务进程:)newline()
   去找goto(60098,6)。
blankline()hotyellow_3(任务描述:)newline() 
   这件事我没有头绪，看来只有麦尔斯有办法。blankline()
   你就告诉他，这件事都由他负责好了。)</t>
  </si>
  <si>
    <t>body(   这件事我没有头绪，看来只有麦尔斯有办法。blankline()
   你就告诉他，这件事都由他负责好了。)</t>
  </si>
  <si>
    <t>body(   做为一个参谋长我感觉压力很大。)</t>
  </si>
  <si>
    <t>title(（48级）准备)
body(hotyellow_3(任务进程:)newline()
   消灭45个goto(10080,6)，去找goto(60098,6)。
blankline()hotyellow_3(任务描述:)newline() 
   魔力转换需要涉及到各种怪物，我们需要确定他们的魔法属性，之后才能使用光明神的神术，使他们的魔力失效。)</t>
  </si>
  <si>
    <t>body(   魔力转换需要涉及到各种怪物，我们需要确定他们的魔法属性，之后才能使用光明神的神术，使他们的魔力失效。)</t>
  </si>
  <si>
    <t>尽力而为，希望这个方法有效。</t>
  </si>
  <si>
    <t>title(（48级）叛乱猎杀者)
body(hotyellow_3(任务进程:)newline()
   消灭goto(10158,6)，去找goto(60098,6)。
blankline()hotyellow_3(任务描述:)newline() 
   要彻底消灭魔族，尤其不能够放过他们的首领！)</t>
  </si>
  <si>
    <t>body(   要彻底消灭魔族，尤其不能够放过他们的首领！)</t>
  </si>
  <si>
    <t>body(   准备工作做得差不多了。)</t>
  </si>
  <si>
    <t>"不能放过他们的首领。"</t>
  </si>
  <si>
    <t>title(（49级）同盟)
body(hotyellow_3(任务进程:)newline()
   去找goto(60099,6)。
blankline()hotyellow_3(任务描述:)newline() 
   告诉安德森，如果他愿意帮助我们光明骑士团，我们将会认可赏金猎人的存在，并予以光明教会的赐福。)</t>
  </si>
  <si>
    <t>body(   告诉安德森，如果他愿意帮助我们光明骑士团，我们将会认可赏金猎人的存在，并予以光明教会的赐福。)</t>
  </si>
  <si>
    <t>body(   哈哈，我是不是也可以赏个祭祀、主教来做做？这个提议很不错，很好！)</t>
  </si>
  <si>
    <t>title(（49级）嗜血猎杀者)
body(hotyellow_3(任务进程:)newline()
   杀死45个goto(10081,6)，去找goto(60099,6)。
blankline()hotyellow_3(任务描述:)newline() 
   请麦尔斯参谋长记住他的承诺。blankline()
   丛林中的大部分嗜血猎杀者将由我们猎人消灭，你们消灭45个就可以了。)</t>
  </si>
  <si>
    <t>body(   好，我答应你们的条件。丛林中大部分的嗜血猎杀者将由我们负责。你们杀死45个嗜血猎杀者就行。)</t>
  </si>
  <si>
    <t>body(   不用谢我，只是笔交易而已。)</t>
  </si>
  <si>
    <t>嗯，越是危险，就越是充满机会！</t>
  </si>
  <si>
    <t>title(（49级）嗜血恶鬼)
body(hotyellow_3(任务进程:)newline()
   杀死goto(10159,6)，去找goto(60099,6)。
blankline()hotyellow_3(任务描述:)newline() 
   丛林中的嗜血恶鬼让我们损失惨重。看来，还得求助于player()你。)</t>
  </si>
  <si>
    <t>body(   丛林中的嗜血恶鬼让我们损失惨重。看来，还得求助于player()你。)</t>
  </si>
  <si>
    <t>body(   真是太感谢了。)</t>
  </si>
  <si>
    <t>亏了亏了，损失惨重啊……</t>
  </si>
  <si>
    <t>title(（50级）斩草除根)
body(hotyellow_3(任务进程:)newline()
   杀死45个goto(10088,6)，去找goto(60099,6)。
blankline()hotyellow_3(任务描述:)newline() 
   丛林食尸者喜欢吞食各种尸体，长大之后又会成为重装巨熊的食物。不消灭这些碍事的家伙，重装巨熊估计一辈子都杀不干净。)</t>
  </si>
  <si>
    <t>body(   丛林食尸者喜欢吞食各种尸体，长大之后又会成为重装巨熊的食物。不消灭这些碍事的家伙，重装巨熊估计一辈子都杀不干净。)</t>
  </si>
  <si>
    <t>body(   隐匿者之森将来可是我们的后花园，要好好打扫一番才行。)</t>
  </si>
  <si>
    <t>title(（50级）腐食先知)
body(hotyellow_3(任务进程:)newline()
   杀死goto(10160,6)，去找goto(60099,6)。
blankline()hotyellow_3(任务描述:)newline() 
   丛林食尸者中有一种名叫腐食先知的强大生物。消灭他们有些麻烦，看来还是得拜托player()你啊！)</t>
  </si>
  <si>
    <t>body(   丛林食尸者中有一种名叫腐食先知的强大生物，消灭他们有些麻烦，看来还是得拜托player()你啊！)</t>
  </si>
  <si>
    <t>body(   消灭隐匿者森林的魔族果然是件艰难的工作啊！)</t>
  </si>
  <si>
    <t>title(（50级）恶劣的外围)
body(hotyellow_3(任务进程:)newline()
   去找goto(60157,6)。
blankline()hotyellow_3(任务描述:)newline() 
   丛林基地附近的局势算是勉强维持下来了，但是最为危险的外围丛林依旧处于水深火热之中。blankline()space()space()space()player()，我们在外围的猎人需要得到您的帮助。请去帮助我们被困在丛林外围的赏金猎人克鲁兹吧！)</t>
  </si>
  <si>
    <t>body(   丛林基地附近的局势算是勉强维持下来了，但是最为危险的外围丛林依旧处于水深火热之中。blankline()space()space()space()player()，我们在外围的猎人需要得到您的帮助。请去帮助我们被困在丛林外围的赏金猎人克鲁兹吧！)</t>
  </si>
  <si>
    <t>title(（51级）虫群)
body(hotyellow_3(任务进程:)newline()
   去找goto(60158,6)。
blankline()hotyellow_3(任务描述:)newline() 
   动物在群体规模突破一个临界点时，整个动物群体就会发生一个天翻地覆的变化。blankline()   这种集体智慧对于大多数群居动物都适宜，包括我们人类的祖先，因此同样也适用于变异生物。)</t>
  </si>
  <si>
    <t>title(（51级）剧毒虫王)
body(hotyellow_3(任务进程:)newline()
   消灭30只goto(10126,6)，向goto(60158,6)回复。
blankline()hotyellow_3(任务描述:)newline() 
   只要有效地将剧毒虫王的数量控制在产生集体智慧的临界点以下，就可以有效阻止它们的智慧发生进化。)</t>
  </si>
  <si>
    <t>body(   当这些剧毒虫王只是一个单独的个体时，它们也许只是一个比较聪明的生物。blankline()   但当它们成为族群，并且开始交流时，它们产生的智慧甚至可以诞生出“文明”，就像人类当年那样。blankline()   当然，我们必须要削减它们的数量，绝不能让这种事情发生！)</t>
  </si>
  <si>
    <t>body(   也许有一天，我们人类灭亡了，它们会成为地球上新一代的霸主。blankline()   但是，现在不行！)</t>
  </si>
  <si>
    <t>"如果没有人类，它们也许会就这样不断的进化，进而产生文明。不过现在，这些都是不可能的了。"</t>
  </si>
  <si>
    <t>body(   小镇牧师拉尔夫曾经来我这里询问过你的消息，似乎有一些很重要的事想拜托给你。blankline()space()space()space()player()，你去他那里看看吧！)</t>
    <phoneticPr fontId="6" type="noConversion"/>
  </si>
  <si>
    <t>body(   人类文明的地基，正是由无数这样的无名勇士所铺就。blankline()   感谢你将地宫中的情况告诉我，这些情报对我们来说很重要。)</t>
    <phoneticPr fontId="6" type="noConversion"/>
  </si>
  <si>
    <t>body(   我曾经在hot(旧的机甲)身上找到过一枚hot(神秘芯片)，可惜后来在与僵尸作战的时候，一不小心被狂暴僵尸夺走了。blankline()space()space()space()player()，如果你有空的话，请去帮我抢回来吧！)</t>
    <phoneticPr fontId="6" type="noConversion"/>
  </si>
  <si>
    <t>body(   过多的装备携带的确是一件麻烦事。但是，只要凑足5件相同品质相近等级的装备，就可以将其中一件提升到hot(更高的品质)。blankline()space()space()space()player()，你可以尝试将一件蓝色品质的装备提升到黄色品质。)</t>
    <phoneticPr fontId="6" type="noConversion"/>
  </si>
  <si>
    <t>body(    亲爱的player()，你的到来将会开启一个新的时代。这座伟大的城市，需要如同你一般充满希望的青年，才能焕发出更加璀璨的光芒。建议你去与城市中的人们聊聊。)</t>
    <phoneticPr fontId="6" type="noConversion"/>
  </si>
  <si>
    <t>body(   看来你已经适应了这里的节奏。)</t>
    <phoneticPr fontId="6" type="noConversion"/>
  </si>
  <si>
    <t>还有一些人，你需要和他们聊聊哦！</t>
    <phoneticPr fontId="6" type="noConversion"/>
  </si>
  <si>
    <t>title(（22级）收集装备)
body(hotyellow_3(任务进程:)newline()
   完成一次收集装备的日常任务，去找goto(60065,3)。如收集不到，可以去goto(102,3)处购买。
blankline()hotyellow_3(任务描述:)newline() 
   完成一次我这里的收集装备的任务吧！)</t>
    <phoneticPr fontId="6" type="noConversion"/>
  </si>
  <si>
    <t>拉奥</t>
    <phoneticPr fontId="6" type="noConversion"/>
  </si>
  <si>
    <t>&lt;p&gt;
&lt;n&gt; 前往：&lt;/n&gt;
 &lt;n&gt; &lt;/n&gt;&lt;goto id="70004" mapid="7" flagpoint="1" taskid="1992" /&gt;
&lt;/p&gt;</t>
    <phoneticPr fontId="6" type="noConversion"/>
  </si>
  <si>
    <t>body(space()space()space()player()，偷猎者的陷阱不但会伤害到动物，更会伤害到普通人。希望你能够帮我们排除陷阱。我们会记住你所做的一切。)</t>
    <phoneticPr fontId="6" type="noConversion"/>
  </si>
  <si>
    <t>body(space()space()space()player()非常感谢你对于我们的帮助。没有了陷阱，普通人也可以正常行走于此了。尽管战争还在蔓延，但是生活还需要继续。)</t>
    <phoneticPr fontId="6" type="noConversion"/>
  </si>
  <si>
    <t>&lt;p&gt;
&lt;n&gt; 排除10个：&lt;/n&gt;
 &lt;n&gt; &lt;/n&gt;&lt;goto id="70004" mapid="7" flagpoint="1" taskid="2142" /&gt;
&lt;/p&gt;</t>
    <phoneticPr fontId="6" type="noConversion"/>
  </si>
  <si>
    <t>&lt;p&gt;
&lt;n&gt;  回答： &lt;/n&gt;
 &lt;n&gt; &lt;/n&gt;&lt;goto id="60073" mapid="3" flagpoint="1" taskid="13500" /&gt;&lt;n&gt;的问题&lt;/n&gt;
&lt;/p&gt;</t>
    <phoneticPr fontId="6" type="noConversion"/>
  </si>
  <si>
    <t>body(   我看到了星空轨迹的变化。Player()，你将会面临的是四伏的危机和充满光辉的旅途。blankline()   星空告知了我，关于你的一切。“在光与暗之间，在天与地之间，在人与魔之间，在现在与未来之间。你的选择，将会改变一切。”我只能告诉你这些。)</t>
    <phoneticPr fontId="6" type="noConversion"/>
  </si>
  <si>
    <t>去迷雾废墟时与镇长马卡兰联系</t>
    <phoneticPr fontId="6" type="noConversion"/>
  </si>
  <si>
    <t>赫肯</t>
    <phoneticPr fontId="6" type="noConversion"/>
  </si>
  <si>
    <t>马卡兰</t>
    <phoneticPr fontId="6" type="noConversion"/>
  </si>
  <si>
    <t>赫肯</t>
    <phoneticPr fontId="6" type="noConversion"/>
  </si>
  <si>
    <t>title(（5级）命运的轨迹)
body(hotyellow_3(任务进程:)newline()
   hot(大贤者赫肯)解读了星空对于你的改变。你将带着贤者的箴言，去寻找属于自己的将来。第一站，你将需要找到goto(60016,2)。
blankline()hotyellow_3(任务描述:)newline() 
   hot3(   你降临之时，大贤者从星辰间得到暗示。“在光与暗之间，在天与地之间，在人与魔之间，在现在与未来之间。你的选择，将会改变一切。”你将会用自己的行动，去寻找即将发生的事。))</t>
    <phoneticPr fontId="6" type="noConversion"/>
  </si>
  <si>
    <t xml:space="preserve">  也许你的内心足够强大，但你的外在却告诉我，你还没准备好。（等级提升至7级再与马卡兰对话。）</t>
    <phoneticPr fontId="6" type="noConversion"/>
  </si>
  <si>
    <t>body(   我能知道的只有这些，希望能够对你产生一定的帮助。)</t>
    <phoneticPr fontId="6" type="noConversion"/>
  </si>
  <si>
    <t>与迷雾废墟的镇长马卡兰对话</t>
    <phoneticPr fontId="6" type="noConversion"/>
  </si>
  <si>
    <t>title(（7级）命运的轨迹)
body(hotyellow_3(任务进程:)newline()
   与goto(60017,2)对话，了解整个世界的秘辛。blankline()hotyellow_3(任务描述:)newline() 
   有什么要问马卡兰的吗？))</t>
    <phoneticPr fontId="6" type="noConversion"/>
  </si>
  <si>
    <t>body(   我最关心的是小镇的安危。很久以前，也研究过一些占卜、神秘学的知识。你有什么疑问，可以问我。)</t>
    <phoneticPr fontId="6" type="noConversion"/>
  </si>
  <si>
    <t>body(   我和你说的，也许并不是隐藏历史背后的真相。但至少代表了历史的一张脸谱。我希望你能够通过自身实力的增长去解开更多的秘密，将等级提升至11级吧！)</t>
    <phoneticPr fontId="6" type="noConversion"/>
  </si>
  <si>
    <t>body(   看到你的渐渐成长。我想，也许人类也能够有主宰自己命运的那一天！)</t>
    <phoneticPr fontId="6" type="noConversion"/>
  </si>
  <si>
    <t xml:space="preserve">  也许你的内心还没有准备好。</t>
    <phoneticPr fontId="6" type="noConversion"/>
  </si>
  <si>
    <t>title(（11级）命运的轨迹)
body(hotyellow_3(任务进程:)newline()
   提升自身等级至15级，与goto(60028,2)对话。blankline()hotyellow_3(任务描述:)newline() 
   hot3(   你降临之时，大贤者从星辰间得到暗示。“在光与暗之间，在天与地之间，在人与魔之间，在现在与未来之间。你的选择，将会改变一切。”你将会用自己的行动，去寻找即将发生的事。))</t>
    <phoneticPr fontId="6" type="noConversion"/>
  </si>
  <si>
    <t>body(   我无法再给予你更多的帮助了。你可以去寻找光明，也许你能够在极致的光明中找到道路。也或许，你会渐渐失去方向。但尝试，才能够了解，也才能够进行改变。)</t>
    <phoneticPr fontId="6" type="noConversion"/>
  </si>
  <si>
    <t>body(   你好，我是光明骑士团的成员。我叫艾伦，很高兴见到你。)</t>
    <phoneticPr fontId="6" type="noConversion"/>
  </si>
  <si>
    <t>与镇长马卡兰对话</t>
    <phoneticPr fontId="6" type="noConversion"/>
  </si>
  <si>
    <t>等级达到15级与圣骑士艾伦对话</t>
    <phoneticPr fontId="6" type="noConversion"/>
  </si>
  <si>
    <t>等级达到11级与老者盖亚对话</t>
    <phoneticPr fontId="6" type="noConversion"/>
  </si>
  <si>
    <t xml:space="preserve">  也许你的内心足够强大，但你的外在却告诉我，你还没准备好。（等级提升至11级再与老者盖亚对话。）</t>
    <phoneticPr fontId="6" type="noConversion"/>
  </si>
  <si>
    <t>&lt;p&gt;
&lt;n&gt;  询问：&lt;/n&gt;
 &lt;n&gt; &lt;/n&gt;&lt;goto id="60042" mapid="2" flagpoint="1" taskid="10025"/&gt;
&lt;/p&gt;</t>
    <phoneticPr fontId="6" type="noConversion"/>
  </si>
  <si>
    <t>body(space()space()space()player()，这里曾经是个高大雄伟的城池。在诅咒之后，渐渐变成了如今的景象。我对这里很熟悉，因为是祖祖辈辈生活过的地方。)</t>
    <phoneticPr fontId="6" type="noConversion"/>
  </si>
  <si>
    <t>body(space()space()space()player()，光明点亮了我的双眸，让我用眼睛洞察黑暗。我将会捍卫光明的未来，不管过去的黑暗如何浓厚。)</t>
    <phoneticPr fontId="6" type="noConversion"/>
  </si>
  <si>
    <t>body(   我要将神的福音传播！)</t>
    <phoneticPr fontId="6" type="noConversion"/>
  </si>
  <si>
    <t xml:space="preserve">  还有什么想知道的吗？</t>
    <phoneticPr fontId="6" type="noConversion"/>
  </si>
  <si>
    <t>询问圣骑士艾伦</t>
    <phoneticPr fontId="6" type="noConversion"/>
  </si>
  <si>
    <t>&lt;p&gt;
&lt;n&gt;  询问：&lt;/n&gt;
 &lt;n&gt; &lt;/n&gt;&lt;goto id="60028" mapid="2" flagpoint="1" taskid="10026"/&gt;
&lt;/p&gt;</t>
    <phoneticPr fontId="6" type="noConversion"/>
  </si>
  <si>
    <t>title(（15级）命运的轨迹)
body(hotyellow_3(任务进程:)newline()
   提升自身等级至20级，与goto(60000,3)对话。blankline()hotyellow_3(任务描述:)newline() 
   hot3(   你降临之时，大贤者从星辰间得到暗示。“在光与暗之间，在天与地之间，在人与魔之间，在现在与未来之间。你的选择，将会改变一切。”你将会用自己的行动，去寻找即将发生的事。))</t>
    <phoneticPr fontId="6" type="noConversion"/>
  </si>
  <si>
    <t>body(   这个世界上没有绝对的黑暗，但是有绝对的光明。幸福的生活、安定的环境、可以成长的孩子，可以生活的家庭。我们将会致力于推进整个大陆的价值改变。你，也许能看得到最终的那一天。)</t>
    <phoneticPr fontId="6" type="noConversion"/>
  </si>
  <si>
    <t>body(space()space()space()player()，神赋予我穿透历史的双眸。我看到你浴血奋战，灭魔弑神的身影，只是光暗难辨。你会坚持自己的内心，让正义和光辉传递；还是会堕落入深渊，以仇恨与血液缔造历史？我很希望能够看到未来的影子。如果你哪天阻碍了光明，我会亲手抹杀你。如果你哪天为光明而死，我会亲手埋葬你。孩子，往前走吧！那就是未来。)</t>
    <phoneticPr fontId="6" type="noConversion"/>
  </si>
  <si>
    <t>body(   光明神泰克瑞斯的光辉，与你我同在。)</t>
    <phoneticPr fontId="6" type="noConversion"/>
  </si>
  <si>
    <t>还有什么想知道的吗？</t>
    <phoneticPr fontId="6" type="noConversion"/>
  </si>
  <si>
    <t>&lt;p&gt;
&lt;n&gt;  询问&lt;/n&gt;
 &lt;n&gt; &lt;/n&gt;&lt;goto id="60000" mapid="2" flagpoint="1" taskid="10102"/&gt;
&lt;/p&gt;</t>
    <phoneticPr fontId="6" type="noConversion"/>
  </si>
  <si>
    <t>body(   如果你希望了解世界，我建议你先了解那些苦难的人们。看看他们需要什么，看看你能给予什么。在这个苦难的世界里，你能够帮助很多人。这就是光，这就是希望。)</t>
    <phoneticPr fontId="6" type="noConversion"/>
  </si>
  <si>
    <t>body(   我是这里的居民，很高兴能够见到你。我想，这是命运的安排。)</t>
    <phoneticPr fontId="6" type="noConversion"/>
  </si>
  <si>
    <t>也许你的内心还没有准备好。</t>
    <phoneticPr fontId="6" type="noConversion"/>
  </si>
  <si>
    <t>我能理解你，在这个无比纷乱的年代，希望能够了解到真相的渴望。</t>
    <phoneticPr fontId="6" type="noConversion"/>
  </si>
  <si>
    <t>title(（25级）命运的轨迹)
body(hotyellow_3(任务进程:)newline()
   询问goto(60055,3)。blankline()hotyellow_3(任务描述:)newline() 
   有什么要问幸存者安迪的吗？))</t>
    <phoneticPr fontId="6" type="noConversion"/>
  </si>
  <si>
    <t>body(space()space()space()player()，魔族毁了我的事业，焚烧了我的家乡，杀害了我的亲人。在绝望之中，是光明教会使我重新找回了希望。我参加了很多次援助工作，也帮助了很多人。为了让更多的人能够幸福，我们必须要消灭黑暗。)</t>
    <phoneticPr fontId="6" type="noConversion"/>
  </si>
  <si>
    <t>body(   我虔诚地匍匐在光明神泰克瑞斯光辉之下，希望神无所不能的光芒能够点亮更多没有了希望的人。)</t>
    <phoneticPr fontId="6" type="noConversion"/>
  </si>
  <si>
    <t>询问幸存者安迪</t>
    <phoneticPr fontId="6" type="noConversion"/>
  </si>
  <si>
    <t>等级达到25级与幸存者安迪对话</t>
    <phoneticPr fontId="6" type="noConversion"/>
  </si>
  <si>
    <t>&lt;p&gt;
&lt;n&gt;  询问&lt;/n&gt;
 &lt;n&gt; &lt;/n&gt;&lt;goto id="60055" mapid="3" flagpoint="1" taskid="10106"/&gt;
&lt;/p&gt;</t>
    <phoneticPr fontId="6" type="noConversion"/>
  </si>
  <si>
    <t>赏金猎人豪斯</t>
    <phoneticPr fontId="6" type="noConversion"/>
  </si>
  <si>
    <t>body(   我不久前刚从燃烧平原回来，那里真是……我不知道如何形容。苦难也许有很多，但我真不愿意去面对燃烧平原的那些悲剧。很多行走在光与暗之间的人，在那里。他们的名称是赏金猎人，你可以去与他们聊聊。或许有不一样的体会。)</t>
    <phoneticPr fontId="6" type="noConversion"/>
  </si>
  <si>
    <t>body(   我喜欢钱，喜欢很多很多的钱。当然，我也喜欢看到魔族蓝色的血液喷洒在我的周围。这是我选择做赏金猎人的原因。)</t>
    <phoneticPr fontId="6" type="noConversion"/>
  </si>
  <si>
    <t>我能理解你，在这个无比纷乱的年代，希望能够了解到真相的渴望。但，你还需要更加强大些。</t>
    <phoneticPr fontId="6" type="noConversion"/>
  </si>
  <si>
    <t>你有足够的勇气，这很好。但你还不具备足够的实力！</t>
    <phoneticPr fontId="6" type="noConversion"/>
  </si>
  <si>
    <t>等级达到30级与赏金猎人豪斯对话</t>
    <phoneticPr fontId="6" type="noConversion"/>
  </si>
  <si>
    <t>赏金猎人豪斯</t>
    <phoneticPr fontId="6" type="noConversion"/>
  </si>
  <si>
    <t>title(（25级）命运的轨迹)
body(hotyellow_3(任务进程:)newline()
   提升自身等级至30级，与goto(60062,4)对话。blankline()hotyellow_3(任务描述:)newline() 
   hot3(   你降临之时，大贤者从星辰间得到暗示。“在光与暗之间，在天与地之间，在人与魔之间，在现在与未来之间。你的选择，将会改变一切。”你将会用自己的行动，去寻找即将发生的事。))</t>
    <phoneticPr fontId="6" type="noConversion"/>
  </si>
  <si>
    <t>title(（20级）命运的轨迹)
body(hotyellow_3(任务进程:)newline()
   提升自身等级至25级，与goto(60055,3)对话。blankline()hotyellow_3(任务描述:)newline() 
   hot3(   你降临之时，大贤者从星辰间得到暗示。“在光与暗之间，在天与地之间，在人与魔之间，在现在与未来之间。你的选择，将会改变一切。”你将会用自己的行动，去寻找即将发生的事。))</t>
    <phoneticPr fontId="6" type="noConversion"/>
  </si>
  <si>
    <t>body(space()space()space()player()，很多人都害怕我们。说我们为了钱，什么都肯做。他们并没有错，只是有些事情钱已经无法来衡量了。至少我，无法为魔族做事。因为我是人类。)</t>
    <phoneticPr fontId="6" type="noConversion"/>
  </si>
  <si>
    <t>body(   谈钱伤感情，谈感情伤钱。所以我没啥感情，不怕谈钱，也不会伤钱。)</t>
    <phoneticPr fontId="6" type="noConversion"/>
  </si>
  <si>
    <t>询问赏金猎人豪斯</t>
    <phoneticPr fontId="6" type="noConversion"/>
  </si>
  <si>
    <t>妮可</t>
    <phoneticPr fontId="6" type="noConversion"/>
  </si>
  <si>
    <t>妮可</t>
    <phoneticPr fontId="6" type="noConversion"/>
  </si>
  <si>
    <t>title(（30级）命运的轨迹)
body(hotyellow_3(任务进程:)newline()
   询问goto(60062,3)。blankline()hotyellow_3(任务描述:)newline() 
   有什么要问赏金猎人豪斯的吗？))</t>
    <phoneticPr fontId="6" type="noConversion"/>
  </si>
  <si>
    <t>title(（30级）命运的轨迹)
body(hotyellow_3(任务进程:)newline()
   提升自身等级至35级，与goto(60072,3)对话。blankline()hotyellow_3(任务描述:)newline() 
   hot3(   你降临之时，大贤者从星辰间得到暗示。“在光与暗之间，在天与地之间，在人与魔之间，在现在与未来之间。你的选择，将会改变一切。”你将会用自己的行动，去寻找即将发生的事。))</t>
    <phoneticPr fontId="6" type="noConversion"/>
  </si>
  <si>
    <t>body(   豪斯？我似乎不认识这个人。因为父亲的缘故，我很少和赏金猎人打交道。很高兴认识你，player()。我父亲经常提起你。)</t>
    <phoneticPr fontId="6" type="noConversion"/>
  </si>
  <si>
    <t>你还不具备足够的实力！也许更多的磨练能够改变你，当你磨砺好了，可以来找我。</t>
    <phoneticPr fontId="6" type="noConversion"/>
  </si>
  <si>
    <t>询问指挥官妮可</t>
    <phoneticPr fontId="6" type="noConversion"/>
  </si>
  <si>
    <t>title(（35级）命运的轨迹)
body(hotyellow_3(任务进程:)newline()
   询问goto(60072,3)。blankline()hotyellow_3(任务描述:)newline() 
   有什么要问指挥官妮可的吗？))</t>
    <phoneticPr fontId="6" type="noConversion"/>
  </si>
  <si>
    <t>body(   与命运战斗的过程，会让你发现自己有多伟大。堕落于命运给你安排的故事，会让你无法正视自己的卑微。你会不会成为伟大的战士，我不关心。但我希望你能够改变。)</t>
    <phoneticPr fontId="6" type="noConversion"/>
  </si>
  <si>
    <t>尼古拉</t>
    <phoneticPr fontId="6" type="noConversion"/>
  </si>
  <si>
    <t>title(（35级）命运的轨迹)
body(hotyellow_3(任务进程:)newline()
   提升自身等级至40级，与goto(60075,3)对话。blankline()hotyellow_3(任务描述:)newline() 
   hot3(   你降临之时，大贤者从星辰间得到暗示。“在光与暗之间，在天与地之间，在人与魔之间，在现在与未来之间。你的选择，将会改变一切。”你将会用自己的行动，去寻找即将发生的事。))</t>
    <phoneticPr fontId="6" type="noConversion"/>
  </si>
  <si>
    <t>body(   我不相信命运，也不相信所谓的光明，但是我相信自己所做的是好事，这就够了。我便要这么一直一直地做下去。直到正义不需要包裹外衣。也许我很偏激，但我相信自己是对的。当然，这个世界还有很多醉生梦死的人，比如那个叫尼古拉的美食家。你可以问问他，真正的生命真谛是什么。)</t>
    <phoneticPr fontId="6" type="noConversion"/>
  </si>
  <si>
    <t>body(   啊，亲爱的player()。看到你我就好像看到了巨大的火鸡，哦，不好意思，我实在是恶坏了。要来点加勒比风情烤暴龙屁股吗？)</t>
    <phoneticPr fontId="6" type="noConversion"/>
  </si>
  <si>
    <t>我饿了，我好久没吃东西了。你看起来比我还饿……真不可思议。</t>
    <phoneticPr fontId="6" type="noConversion"/>
  </si>
  <si>
    <t>等级达到35级与指挥官妮可对话</t>
    <phoneticPr fontId="6" type="noConversion"/>
  </si>
  <si>
    <t>&lt;p&gt;
&lt;n&gt;  询问&lt;/n&gt;
 &lt;n&gt; &lt;/n&gt;&lt;goto id="60062" mapid="3" flagpoint="1" taskid="10108"/&gt;
&lt;/p&gt;</t>
    <phoneticPr fontId="6" type="noConversion"/>
  </si>
  <si>
    <t>&lt;p&gt;
&lt;n&gt;  询问&lt;/n&gt;
 &lt;n&gt; &lt;/n&gt;&lt;goto id="60072" mapid="3" flagpoint="1" taskid="10110"/&gt;
&lt;/p&gt;</t>
    <phoneticPr fontId="6" type="noConversion"/>
  </si>
  <si>
    <t>情报部长</t>
    <phoneticPr fontId="6" type="noConversion"/>
  </si>
  <si>
    <t>title(（40级）命运的轨迹)
body(hotyellow_3(任务进程:)newline()
   询问goto(60075,3)。blankline()hotyellow_3(任务描述:)newline() 
   有什么要问美食家尼古拉的吗？))</t>
    <phoneticPr fontId="6" type="noConversion"/>
  </si>
  <si>
    <t>body(space()space()space()player()，我喜欢淋漓的香味在舌尖游泳的感觉，也喜欢清凉的酒汁滑过喉间，更喜欢那爆炸般的辣点燃我的灵魂。美食就是我的生命，我喜欢这每天都有的，却每天都不一样的生活。)</t>
    <phoneticPr fontId="6" type="noConversion"/>
  </si>
  <si>
    <t>body(   你要不要来一块蜜汁胡椒烤龙肉？味道挺不错的。)</t>
    <phoneticPr fontId="6" type="noConversion"/>
  </si>
  <si>
    <t>询问美食家尼古拉</t>
    <phoneticPr fontId="6" type="noConversion"/>
  </si>
  <si>
    <t>&lt;p&gt;
&lt;n&gt;  询问&lt;/n&gt;
 &lt;n&gt; &lt;/n&gt;&lt;goto id="60075" mapid="3" flagpoint="1" taskid="10112"/&gt;
&lt;/p&gt;</t>
    <phoneticPr fontId="6" type="noConversion"/>
  </si>
  <si>
    <t>body(   你见过了豪斯，他是追逐金钱的赏金猎人。而我，更喜欢追逐极限突破的那种感觉。我希望成为更强的。也许有一天，我也可以成为神。哈哈！)</t>
    <phoneticPr fontId="6" type="noConversion"/>
  </si>
  <si>
    <t>如果实力还不够，你还是离开这里的好。别把生命不当回事，只有活着你才能变得更强。</t>
    <phoneticPr fontId="6" type="noConversion"/>
  </si>
  <si>
    <t>等级达到40级与美食家尼古拉对话</t>
    <phoneticPr fontId="6" type="noConversion"/>
  </si>
  <si>
    <t>title(（50级）命运的轨迹)
body(hotyellow_3(任务进程:)newline()
   询问goto(60099,6)。blankline()hotyellow_3(任务描述:)newline() 
   有什么要问赏金猎人安德森的吗？))</t>
    <phoneticPr fontId="6" type="noConversion"/>
  </si>
  <si>
    <t>body(space()space()space()player()，你觉得魔族强大吗？也许是，但我们并未输。也许不是，可我们还未赢。其实魔族是否强大，甚至黑暗神是否强大与我们的关系并不大。只要我们足够强，那一切都将按照我们的步伐前进。)</t>
    <phoneticPr fontId="6" type="noConversion"/>
  </si>
  <si>
    <t>body(   故事只是故事，战斗才是提升你实力的最强手段。战士应当不怕死，但是也不能死。只有不死的战士，才能成为最终的战神。)</t>
    <phoneticPr fontId="6" type="noConversion"/>
  </si>
  <si>
    <t>询问赏金猎人安德森</t>
    <phoneticPr fontId="6" type="noConversion"/>
  </si>
  <si>
    <t>&lt;p&gt;
&lt;n&gt;  询问&lt;/n&gt;
 &lt;n&gt; &lt;/n&gt;&lt;goto id="60099" mapid="6" flagpoint="1" taskid="10114"/&gt;
&lt;/p&gt;</t>
    <phoneticPr fontId="6" type="noConversion"/>
  </si>
  <si>
    <t>body(   你寻找的东西，也许很多人并不知道，但是我清楚。你如果能找到情报部长，也许能知道更多的事情。)</t>
    <phoneticPr fontId="6" type="noConversion"/>
  </si>
  <si>
    <t>body(   我是这里的居民，很高兴能够见到你。我想，这是命运的安排。)</t>
    <phoneticPr fontId="6" type="noConversion"/>
  </si>
  <si>
    <t>body(space()space()space()player()，你想知道的是关于自己的命运。而我所掌握的预言，你将是挑战命运之神的人。你遇见我，说明世界命运的轨迹已经开始啊发生变化。在迎接新时代之前，你有什么需要知道的吗？)</t>
    <phoneticPr fontId="6" type="noConversion"/>
  </si>
  <si>
    <t>body(   你将会改变一切，而这里，将是改变的起点。)</t>
    <phoneticPr fontId="6" type="noConversion"/>
  </si>
  <si>
    <t>询问情报部长</t>
    <phoneticPr fontId="6" type="noConversion"/>
  </si>
  <si>
    <t>等级达到60级与情报部长对话</t>
    <phoneticPr fontId="6" type="noConversion"/>
  </si>
  <si>
    <t>朋友越多，好处越多。你目前的朋友还不够多。没有几个朋友怎么闯荡世界喃？</t>
    <phoneticPr fontId="6" type="noConversion"/>
  </si>
  <si>
    <t>矿洞探险者</t>
    <phoneticPr fontId="6" type="noConversion"/>
  </si>
  <si>
    <t>请帮我寻找5枚矿石碎片</t>
    <phoneticPr fontId="6" type="noConversion"/>
  </si>
  <si>
    <t>请帮我寻找5枚矿石（1级）</t>
    <phoneticPr fontId="6" type="noConversion"/>
  </si>
  <si>
    <t>请帮我寻找5枚矿石（2级）</t>
    <phoneticPr fontId="6" type="noConversion"/>
  </si>
  <si>
    <t>body(   矿石是稀缺资源，是生产魔导器不可或缺的材料，整个世界只有神秘矿洞才有产出。如果你能帮我获取hot(5枚矿石碎片)，我将会感谢你的。)</t>
    <phoneticPr fontId="6" type="noConversion"/>
  </si>
  <si>
    <t>body(   普通的采集过程中，容易产生矿石碎片。你的采集等级越高，获取高等级矿石的几率会越高。)</t>
    <phoneticPr fontId="6" type="noConversion"/>
  </si>
  <si>
    <t>我需要5枚矿石碎片，目前你拥有的还不够。</t>
    <phoneticPr fontId="6" type="noConversion"/>
  </si>
  <si>
    <t>body(   矿石是稀缺资源，是生产魔导器不可或缺的材料，整个世界只有神秘矿洞才有产出。如果你能帮我获取hot(5枚矿石（1级）)，我将会感谢你的。)</t>
    <phoneticPr fontId="6" type="noConversion"/>
  </si>
  <si>
    <t>我需要5枚矿石（1级），目前你拥有的还不够。</t>
    <phoneticPr fontId="6" type="noConversion"/>
  </si>
  <si>
    <t>body(   矿石是稀缺资源，是生产魔导器不可或缺的材料，整个世界只有神秘矿洞才有产出。如果你能帮我获取hot(5枚矿石（2级）)，我将会感谢你的。)</t>
    <phoneticPr fontId="6" type="noConversion"/>
  </si>
  <si>
    <t>我需要5枚矿石（2级），目前你拥有的还不够。</t>
    <phoneticPr fontId="6" type="noConversion"/>
  </si>
  <si>
    <t>请帮我寻找5枚药材（1级）</t>
  </si>
  <si>
    <t>我需要5枚药材（2级），目前你拥有的还不够。</t>
  </si>
  <si>
    <t>请帮我寻找5枚药材（2级）</t>
  </si>
  <si>
    <t>body(   药材是生产药剂不可或缺的材料，整个世界只有神秘矿洞才有产出。如果你能帮我获取hot(5枚药材（1级）)，我将会感谢你的。)</t>
    <phoneticPr fontId="6" type="noConversion"/>
  </si>
  <si>
    <t>body(   药材是生产药剂不可或缺的材料，整个世界只有神秘矿洞才有产出。如果你能帮我获取hot(5枚药材（2级）)，我将会感谢你的。)</t>
    <phoneticPr fontId="6" type="noConversion"/>
  </si>
  <si>
    <t>body(   矿石（1级）可在神秘矿洞直接采集获得，或将矿石碎片合成获得。你的采集等级越高，获取高等级矿石的几率会越高。)</t>
    <phoneticPr fontId="6" type="noConversion"/>
  </si>
  <si>
    <t>body(   矿石（2级）可在神秘矿洞直接采集获得，或将矿石（1级）合成获得。你的采集等级越高，获取高等级矿石的几率会越高。)</t>
    <phoneticPr fontId="6" type="noConversion"/>
  </si>
  <si>
    <t>body(   药材（2级）可在神秘矿洞直接采集获得，或将药材（1级）合成获得。你的采集等级越高，获取高等级药材的几率会越高。)</t>
  </si>
  <si>
    <t>我需要5枚药材（1级），目前你拥有的还不够。</t>
    <phoneticPr fontId="6" type="noConversion"/>
  </si>
  <si>
    <t>神秘矿洞守卫</t>
    <phoneticPr fontId="6" type="noConversion"/>
  </si>
  <si>
    <t>body(   哈哈，探险者那家伙最近过得好吗？这年头，所有人都忘了他的名字。在这个幽深的矿洞里，也就只有他能和我说说话了。)</t>
    <phoneticPr fontId="6" type="noConversion"/>
  </si>
  <si>
    <t>神秘矿洞守卫雷诺就在矿洞一层的最深处。你可以通过自动寻路找到他，也可以通过大地图查看他的位置。</t>
    <phoneticPr fontId="6" type="noConversion"/>
  </si>
  <si>
    <t>找到神秘矿洞一层深处的神秘矿洞守护雷诺</t>
    <phoneticPr fontId="6" type="noConversion"/>
  </si>
  <si>
    <t>body(space()space()space()player()，很高兴你能够来到这里，与我说说话。在这个幽暗的洞穴里，我呆了太久了。blankline()space()space()space()这里是通往神秘矿洞二层的入口。神秘矿洞一层是个非常安全的地方，而二层则完全不同。那里你可能会遇到外国人，也可能会遇到神秘的野兽。当然，越是危险的地方，利益越大。在神秘矿洞二层，你将会看到漫山漫野的矿石与药材。)</t>
    <phoneticPr fontId="6" type="noConversion"/>
  </si>
  <si>
    <t>body(   你已经了解到了危险和收获。也许你可以尝试进去看看，不过后果我可不负责。)</t>
    <phoneticPr fontId="6" type="noConversion"/>
  </si>
  <si>
    <t>你确定你已经了解了神秘矿洞的危险和利益吗？</t>
    <phoneticPr fontId="6" type="noConversion"/>
  </si>
  <si>
    <t>body(space()space()space()player()，和我的老朋友矿洞探险者说声。就说我等着他来陪我喝酒。)</t>
    <phoneticPr fontId="6" type="noConversion"/>
  </si>
  <si>
    <t>body(   哈哈，雷诺那家伙还是老脾气。神秘矿洞二层你去过了吗？那可不是个安全的地方，不过我很怀念那里hot(无边无垠的矿石与药材)。)</t>
    <phoneticPr fontId="6" type="noConversion"/>
  </si>
  <si>
    <t>与矿洞探险者对话，告知神秘矿洞的情况。</t>
    <phoneticPr fontId="6" type="noConversion"/>
  </si>
  <si>
    <t>快去找矿洞探险者吧！要不那家伙看你老不回去，也会担心的。这里可不是安全的地方。</t>
    <phoneticPr fontId="6" type="noConversion"/>
  </si>
  <si>
    <t>&lt;p&gt;
&lt;n&gt;  询问&lt;/n&gt;
 &lt;n&gt; &lt;/n&gt;&lt;goto id="60551" mapid="103" flagpoint="1" taskid="14002"/&gt;
&lt;/p&gt;</t>
    <phoneticPr fontId="6" type="noConversion"/>
  </si>
  <si>
    <t>废弃</t>
    <phoneticPr fontId="6" type="noConversion"/>
  </si>
  <si>
    <t>亚塔尼斯</t>
    <phoneticPr fontId="6" type="noConversion"/>
  </si>
  <si>
    <t>给我寻找一枚霸狮封印碎片</t>
    <phoneticPr fontId="6" type="noConversion"/>
  </si>
  <si>
    <t>"31194-0-1"</t>
    <phoneticPr fontId="9" type="noConversion"/>
  </si>
  <si>
    <t>body(   药材是生产药剂不可或缺的材料，整个世界只有神秘矿洞才有产出。如果你能帮我获取hot(5枚药材叶子)，我将会感谢你的。)</t>
  </si>
  <si>
    <t>我需要5枚药材叶子，目前你拥有的还不够。</t>
  </si>
  <si>
    <t>请帮我寻找5枚药材叶子</t>
  </si>
  <si>
    <t>&lt;p&gt;
&lt;n&gt;  寻找5枚药材叶子&lt;/n&gt;
&lt;newline/&gt;
&lt;n&gt;  回复： &lt;/n&gt;
 &lt;n&gt; &lt;/n&gt;&lt;goto id="60049" mapid="3" flagpoint="1" taskid="11950" /&gt;
&lt;/p&gt;</t>
  </si>
  <si>
    <t>body(   你真的做到了！)</t>
    <phoneticPr fontId="6" type="noConversion"/>
  </si>
  <si>
    <t>怜悯不是猎人的原则。</t>
    <phoneticPr fontId="6" type="noConversion"/>
  </si>
  <si>
    <t>body(   你真的做到了！)</t>
    <phoneticPr fontId="6" type="noConversion"/>
  </si>
  <si>
    <t>成为王者的道路注定是曲折的，只有最强的那位才能存活到最后。</t>
    <phoneticPr fontId="6" type="noConversion"/>
  </si>
  <si>
    <t>坚持是胜利的基本要素，而实力是胜利的重要条件。你两者中是不是缺少了部分喃？</t>
    <phoneticPr fontId="6" type="noConversion"/>
  </si>
  <si>
    <t>body(   在传说中，只有能够征服巨象的人，才能够在这片光荣的土地上传承最强的战斗本能。如今当年的草原族群已经凋零。但如果你能够征服足够多的巨象，你将能够得到我的友谊。)</t>
    <phoneticPr fontId="6" type="noConversion"/>
  </si>
  <si>
    <t>只有毅力坚定，并且手腕强大的人，才能征服世界。</t>
    <phoneticPr fontId="6" type="noConversion"/>
  </si>
  <si>
    <t>&lt;p&gt;
&lt;n&gt;  收集100个地精岩髓给&lt;/n&gt;
 &lt;n&gt; &lt;/n&gt;&lt;goto id="60062" mapid="4" flagpoint="1" taskid="15051" /&gt;
&lt;/p&gt;</t>
    <phoneticPr fontId="6" type="noConversion"/>
  </si>
  <si>
    <t>&lt;p&gt;
&lt;n&gt;  收集100个地精岩髓给&lt;/n&gt;
 &lt;n&gt; &lt;/n&gt;&lt;goto id="60062" mapid="4" flagpoint="1" taskid="15051"/&gt;&lt;/p&gt;</t>
    <phoneticPr fontId="6" type="noConversion"/>
  </si>
  <si>
    <t>body(   我最近正在收集大量的地精岩髓。如果你能收集到100个地精岩髓交给豪斯，会获得不菲的奖励。)</t>
    <phoneticPr fontId="6" type="noConversion"/>
  </si>
  <si>
    <t>title(（35级）疯狂的岩髓（难）)
body(hotyellow_3(任务进程:)newline()
   采集或收集100个hot(地精岩髓)交给goto(60062,4)。
blankline()hotyellow_3(任务描述:)newline() 
   赏金猎人豪斯最近正在收集大量的地精岩髓。如果你能收集到100个地精岩髓交给豪斯，会获得豪斯的感激。)</t>
    <phoneticPr fontId="6" type="noConversion"/>
  </si>
  <si>
    <t>body(   我最近正在收集大量的彼岸花。如果你能收集到100个彼岸花交给佐洛，会获得不菲的奖励。)</t>
    <phoneticPr fontId="6" type="noConversion"/>
  </si>
  <si>
    <t>收集100朵彼岸花</t>
    <phoneticPr fontId="6" type="noConversion"/>
  </si>
  <si>
    <t>&lt;p&gt;
&lt;n&gt;  收集100朵彼岸花交给&lt;/n&gt;
 &lt;n&gt; &lt;/n&gt;&lt;goto id="60074" mapid="3" flagpoint="1" taskid="15052" /&gt;
&lt;/p&gt;</t>
    <phoneticPr fontId="6" type="noConversion"/>
  </si>
  <si>
    <t>&lt;p&gt;
&lt;n&gt;  收集100朵彼岸花交给&lt;/n&gt;
 &lt;n&gt; &lt;/n&gt;&lt;goto id="60074" mapid="3" flagpoint="1" taskid="15052"/&gt;&lt;/p&gt;</t>
    <phoneticPr fontId="6" type="noConversion"/>
  </si>
  <si>
    <t>title(（45级）疯狂的荆棘果（难）)
body(hotyellow_3(任务进程:)newline()
   采集或收集100枚hot(荆棘果)交给goto(60099,3)。
blankline()hotyellow_3(任务描述:)newline() 
   赏金猎人安德森最近正在收集大量的荆棘果。如果你能收集到100枚荆棘果交给安德森，会获得安德森的感激。)</t>
    <phoneticPr fontId="6" type="noConversion"/>
  </si>
  <si>
    <t>title(（45级）疯狂的彼岸花（难）)
body(hotyellow_3(任务进程:)newline()
   采集或收集100朵hot(彼岸花)交给goto(60074,3)。
blankline()hotyellow_3(任务描述:)newline() 
   赏金猎人佐洛最近正在收集大量的彼岸花。如果你能收集到100朵彼岸花交给佐洛，会获得佐洛的感激。)</t>
    <phoneticPr fontId="6" type="noConversion"/>
  </si>
  <si>
    <t>body(   我最近正在收集大量的荆棘果。如果你能收集到100枚荆棘果交给安德森，会获得不菲的奖励。)</t>
    <phoneticPr fontId="6" type="noConversion"/>
  </si>
  <si>
    <t>收集100枚荆棘果</t>
  </si>
  <si>
    <t>&lt;p&gt;
&lt;n&gt;  收集100枚荆棘果交给&lt;/n&gt;
 &lt;n&gt; &lt;/n&gt;&lt;goto id="60074" mapid="3" flagpoint="1" taskid="15052" /&gt;
&lt;/p&gt;</t>
  </si>
  <si>
    <t>&lt;p&gt;
&lt;n&gt;  收集100枚荆棘果交给&lt;/n&gt;
 &lt;n&gt; &lt;/n&gt;&lt;goto id="60074" mapid="3" flagpoint="1" taskid="15052"/&gt;&lt;/p&gt;</t>
  </si>
  <si>
    <t>收集100枚地雷</t>
  </si>
  <si>
    <t>title(（70级）疯狂的地雷（难）)
body(hotyellow_3(任务进程:)newline()
   采集或收集100枚hot(地雷)交给goto(60099,3)。
blankline()hotyellow_3(任务描述:)newline() 
   真理兄弟会的霍夫曼最近正在收集大量的地雷。如果你能收集到100枚地雷交给霍夫曼，会获得霍夫曼的感激。)</t>
    <phoneticPr fontId="6" type="noConversion"/>
  </si>
  <si>
    <t>&lt;p&gt;
&lt;n&gt;  收集100枚地雷交给&lt;/n&gt;
 &lt;n&gt; &lt;/n&gt;&lt;goto id="60096" mapid="7" flagpoint="1" taskid="15053" /&gt;
&lt;/p&gt;</t>
    <phoneticPr fontId="6" type="noConversion"/>
  </si>
  <si>
    <t>&lt;p&gt;
&lt;n&gt;  收集100枚地雷交给&lt;/n&gt;
 &lt;n&gt; &lt;/n&gt;&lt;goto id="60096" mapid="7" flagpoint="1" taskid="15053"/&gt;&lt;/p&gt;</t>
    <phoneticPr fontId="6" type="noConversion"/>
  </si>
  <si>
    <t>卡尔</t>
    <phoneticPr fontId="6" type="noConversion"/>
  </si>
  <si>
    <t>title(（45级）神秘矿洞守卫)
body(hotyellow_3(任务进程:)newline()
   进入神秘矿洞一层，找到位于神秘矿洞二层入口处的goto(60551,103)。blankline()hotyellow_3(任务描述:)newline() 
   神秘矿洞是所有矿石与药材的产出地。在矿洞的深处，有二层入口。神秘矿洞二层将会通向一个所有国家都能到达的地方。)</t>
    <phoneticPr fontId="6" type="noConversion"/>
  </si>
  <si>
    <t>body(   很好，这一趟辛苦你了。)</t>
    <phoneticPr fontId="6" type="noConversion"/>
  </si>
  <si>
    <t>{{50011,0,1,1,"1-1"}}</t>
    <phoneticPr fontId="6" type="noConversion"/>
  </si>
  <si>
    <t>&lt;p&gt;
&lt;n&gt;  增加3名新的好友&lt;/n&gt;
&lt;newline/&gt;
&lt;n&gt;  &lt;/n&gt;&lt;dialog taskid="10326" text="在当前频道征募好友" hotkeyid="49" /&gt;
&lt;/p&gt;</t>
    <phoneticPr fontId="9" type="noConversion"/>
  </si>
  <si>
    <t>&lt;p&gt;
&lt;n&gt;  增加5名新的好友&lt;/n&gt;
&lt;newline/&gt;
&lt;n&gt;  &lt;/n&gt;&lt;dialog taskid="10327" text="在当前频道征募好友" hotkeyid="49" /&gt;
&lt;/p&gt;</t>
    <phoneticPr fontId="9" type="noConversion"/>
  </si>
  <si>
    <t>&lt;p&gt;
&lt;n&gt;  增加10名新的好友&lt;/n&gt;
&lt;newline/&gt;
&lt;n&gt;  &lt;/n&gt;&lt;dialog taskid="10328" text="在当前频道征募好友" hotkeyid="49" /&gt;
&lt;/p&gt;</t>
    <phoneticPr fontId="9" type="noConversion"/>
  </si>
  <si>
    <t>朋友越多，好处越多。你目前的朋友还不够多。没有几个朋友怎么闯荡世界喃？（增加3名新的好友）</t>
    <phoneticPr fontId="6" type="noConversion"/>
  </si>
  <si>
    <t>朋友越多，好处越多。你目前的朋友还不够多。没有几个朋友怎么闯荡世界喃？（增加5名新的好友）</t>
    <phoneticPr fontId="6" type="noConversion"/>
  </si>
  <si>
    <t>朋友越多，好处越多。你目前的朋友还不够多。没有几个朋友怎么闯荡世界喃？（增加10名新的好友）</t>
    <phoneticPr fontId="6" type="noConversion"/>
  </si>
  <si>
    <t>title(（21级）增加1位好友)
body(hotyellow_3(任务进程:)newline()
   为自己添加一个新的好友。任务完成之后，可goto(60061,3)领取奖励。
blankline()hotyellow_3(任务描述:)newline() 
   当等级达到整10级时，如果得到好友的祝福，将会得到大量的金钱。同时，祝福你的好友也将获得大量的经验。)</t>
    <phoneticPr fontId="9" type="noConversion"/>
  </si>
  <si>
    <t>title(（15级）魔力药（小）)
body(hotyellow_3(任务进程:)newline()
   帮助迷雾废墟的goto(60018,2)寻找hot(魔力药（小）)1瓶。
blankline()hotyellow_3(任务描述:)newline() 
   医生卡西，将会给你讲解急救相关的知识。)</t>
  </si>
  <si>
    <t>body(   嗯，player()你可以通过背包中的随身商店，或者前往场景中的杂货商人购买hot(魔力药（小）)哦！)</t>
  </si>
  <si>
    <t>body(   嗯，目前你可以使用魔力药（小）来恢复魔力值。blankline()  当你的等级达到31级时，可以使用魔力药（中）。)</t>
  </si>
  <si>
    <t>"给我寻找一瓶魔力药（小）"</t>
  </si>
  <si>
    <t>body(   对其他很多人来说，有个厉害的父亲是件值得骄傲的事情。可对我女儿来说，他却总是逃避着是我女儿这件事。我从不对她有过多的要求，可她总是要争取最好、最强的那一位。作为父亲我为他骄傲，也觉得内心有点歉疚。其实，我更希望他是一个乖巧幸福的女孩，仅此而已。)</t>
    <phoneticPr fontId="6" type="noConversion"/>
  </si>
  <si>
    <t>body(   信我已经看过了，谢谢你的帮助。我希望你能将我的信传递给我父亲。谢谢你了。)</t>
    <phoneticPr fontId="6" type="noConversion"/>
  </si>
  <si>
    <t>&lt;p&gt;
&lt;n&gt;  将卡尔的信交给：&lt;/n&gt;
 &lt;n&gt; &lt;/n&gt;&lt;goto id="60072" mapid="3" flagpoint="1" taskid="12500" /&gt;
&lt;/p&gt;</t>
    <phoneticPr fontId="6" type="noConversion"/>
  </si>
  <si>
    <t>&lt;p&gt;
&lt;n&gt;  将卡尔的信交给：&lt;/n&gt;
 &lt;n&gt; &lt;/n&gt;&lt;goto id="60072" mapid="3" flagpoint="1" taskid="12500"/&gt;&lt;/p&gt;</t>
    <phoneticPr fontId="6" type="noConversion"/>
  </si>
  <si>
    <t>卡尔</t>
    <phoneticPr fontId="6" type="noConversion"/>
  </si>
  <si>
    <t>title(（35级）任性的女儿)
body(hotyellow_3(任务进程:)newline()
   指挥官妮可有一封信希望你能够送到goto(60000,3)手中。
blankline()hotyellow_3(任务描述:)newline() 
   我不喜欢别人总拿我与我的父亲做对比。我是个骄傲的人。我会有不一样的成就。哪怕为此牺牲再多，我也会将自己的理想和梦想延续下去。谢谢你，这是封给我父亲的信。希望你能够帮我转交给他。)</t>
    <phoneticPr fontId="6" type="noConversion"/>
  </si>
  <si>
    <t>body(   我不喜欢别人总拿我与我的父亲做对比。我是个骄傲的人。我会有不一样的成就。哪怕为此牺牲再多，我也会将自己的理想和梦想延续下去。谢谢你，这是封给我父亲的信。希望你能够帮我转交给他。)</t>
    <phoneticPr fontId="6" type="noConversion"/>
  </si>
  <si>
    <t>body(   女儿已经长大了啊！)</t>
    <phoneticPr fontId="6" type="noConversion"/>
  </si>
  <si>
    <t>我的父亲是卡尔，就是那个整天站在广场中间的将领。我想你一定认识他。</t>
    <phoneticPr fontId="6" type="noConversion"/>
  </si>
  <si>
    <t>&lt;p&gt;
&lt;n&gt;  将妮可的信交给：&lt;/n&gt;
 &lt;n&gt; &lt;/n&gt;&lt;goto id="60000" mapid="3" flagpoint="1" taskid="12501" /&gt;
&lt;/p&gt;</t>
    <phoneticPr fontId="6" type="noConversion"/>
  </si>
  <si>
    <t>body(   女儿总是要嫁人，但是我不希望我的女儿嫁给一个痞子、流氓或者混蛋！既然想要追求我的女儿，一定要是最出类拔萃的！)</t>
    <phoneticPr fontId="6" type="noConversion"/>
  </si>
  <si>
    <t>赛特就在妮可附近，就是那个白白瘦瘦的，印象中非常文弱的一个人。</t>
    <phoneticPr fontId="6" type="noConversion"/>
  </si>
  <si>
    <t>&lt;p&gt;
&lt;n&gt;  将妮可的信交给：&lt;/n&gt;
 &lt;n&gt; &lt;/n&gt;&lt;goto id="60073" mapid="3" flagpoint="1" taskid="12502" /&gt;
&lt;/p&gt;</t>
    <phoneticPr fontId="6" type="noConversion"/>
  </si>
  <si>
    <t>团联络官</t>
  </si>
  <si>
    <t>body(space()space()space()player()，沙漠现在的危险来自资源的不足，外敌的入侵与怪兽的变异。我们英勇的战士将可以消灭狡猾的敌人与凶恶的怪兽，却无法变出食物来。希望你能够将具体的现状告知卡尔。)</t>
    <phoneticPr fontId="6" type="noConversion"/>
  </si>
  <si>
    <t>如果没有支援，也许我们最多只能坚持3个星期了。</t>
    <phoneticPr fontId="6" type="noConversion"/>
  </si>
  <si>
    <t>body(   虽然资源并不太多，但至少缓解了眼前的危机。)</t>
    <phoneticPr fontId="6" type="noConversion"/>
  </si>
  <si>
    <t>body(   你为国家所做的一切，国家和人民是不会忘记你的！)</t>
    <phoneticPr fontId="6" type="noConversion"/>
  </si>
  <si>
    <t>你还需要进行更多的战斗，守卫和平的责任将是你前行的动力。</t>
    <phoneticPr fontId="6" type="noConversion"/>
  </si>
  <si>
    <t>title(（3级）懦弱的士兵)
body(hotyellow_3(任务进程:)newline()
   去goto(60006,1)处报名返回奥丁大陆。
blankline()hotyellow_3(任务描述:)newline() 
   当无法战胜内心的恐惧时，也许放弃才是最好的选择。否则不仅是对自己残忍，更是对队友不负责任。player()，我不知道自己是否能够完成赫肯大人的嘱托，但是我相信你可以！Blankline()
   我衷心祝愿你，远离一切恐惧懦弱，找到生死相托的战友，为了光荣与梦想去尽情战斗吧！)</t>
    <phoneticPr fontId="6" type="noConversion"/>
  </si>
  <si>
    <t xml:space="preserve"> &lt;p&gt;
&lt;n&gt;  将2块地精岩髓&lt;/n&gt;
&lt;newline/&gt;
 &lt;n&gt;  交给：&lt;/n&gt;&lt;goto id="60057" mapid="4" flagpoint="1" flagdrawrect="1" taskid="10442"/&gt;
&lt;/p&gt;</t>
    <phoneticPr fontId="9" type="noConversion"/>
  </si>
  <si>
    <t xml:space="preserve"> &lt;p&gt;
&lt;n&gt;  将2块地精岩髓&lt;/n&gt;
&lt;newline/&gt;
 &lt;n&gt;  交给：&lt;/n&gt;&lt;goto id="60057" mapid="4" flagpoint="1" flagdrawrect="1" taskid="10442"/&gt;
&lt;/p&gt;</t>
    <phoneticPr fontId="9" type="noConversion"/>
  </si>
  <si>
    <t>拉斐尔</t>
  </si>
  <si>
    <t>凯丽</t>
    <phoneticPr fontId="6" type="noConversion"/>
  </si>
  <si>
    <t>body(   继续补充了一些物资，这样能够给予沙漠更多的支持。)</t>
    <phoneticPr fontId="6" type="noConversion"/>
  </si>
  <si>
    <t>title(（56级）护送补给车)
body(hotyellow_3(任务进程:)newline()
   请务必将物资车运送至goto(60088,7)处。
blankline()hotyellow_3(任务描述:)newline() 
   你需要护送补给车前往沙漠。路上也许会有各种危险等着你。但我相信你能够解决！)</t>
    <phoneticPr fontId="6" type="noConversion"/>
  </si>
  <si>
    <t>body(space()space()space()player()，你需要护送补给车前往沙漠。路上也许会有各种危险等着你。但我相信你能够解决！)</t>
    <phoneticPr fontId="6" type="noConversion"/>
  </si>
  <si>
    <t>title(团突袭任务：)
body(hotyellow_3(任务进程:)newline()
   目标团最近针对本团有新的战术安排，必须在最短的时间内将其$NPCINFO炸毁。去找goto(45111,101)，他会给你分发炸弹,并帮助你秘密潜入敌方基地。blankline()hot2(目标:)newline()炸毁目标团的$NPCINFO blankline()  点击指定目标即可释放炸弹！炸弹会对目标造成特定的伤害,目标建筑生命降为0即可完成任务blankline() hot2(团突袭任务完成后,将自动获得奖励))</t>
  </si>
  <si>
    <t>团突袭任务</t>
  </si>
  <si>
    <t>&lt;p&gt;
&lt;n&gt;本团通过完成团训练任务,达到50点营养指数&lt;/n&gt;
&lt;/p&gt;</t>
  </si>
  <si>
    <t>团训练任务</t>
    <phoneticPr fontId="6" type="noConversion"/>
  </si>
  <si>
    <t>body(space()space()space()player()，我相信你会逐渐成长为越来越强大自信的战士！)</t>
    <phoneticPr fontId="6" type="noConversion"/>
  </si>
  <si>
    <t>团训练任务</t>
  </si>
  <si>
    <t>title(（52级）唤醒者)
body(hotyellow_3(任务进程:)newline()
   消灭50只goto(10127,6)，向goto(60158,6)回复。
blankline()hotyellow_3(任务描述:)newline() 
   为了对抗重装巨熊这种恐怖的魔族生物，我们曾经使用过声波对它们进行集体催眠。但很快，唤醒者的出现使得这一方法完全失效。blanklie()   短短一个月内，某大型城市在唤醒者的催化下竟化为人间炼狱，重装巨熊的乐土。)</t>
    <phoneticPr fontId="6" type="noConversion"/>
  </si>
  <si>
    <t>麦尔斯</t>
    <phoneticPr fontId="6" type="noConversion"/>
  </si>
  <si>
    <t>title(（51级）新的指示)
body(hotyellow_3(任务进程:)newline()
   与goto(60098,6)对话，了解新的任务。
blankline()hotyellow_3(任务描述:)newline() 
   在对抗虫群的战斗中，你取得了辉煌的成果。但是潜藏在这片森林深处的，并不仅仅是那些虫子。参谋长麦尔斯需要你，请你务必尽快找到他。)</t>
    <phoneticPr fontId="6" type="noConversion"/>
  </si>
  <si>
    <t>body(   在对抗虫群的战斗中，你取得了辉煌的成果。但是潜藏在这片森林深处的，并不仅仅是那些虫子。参谋长麦尔斯需要你，请你务必尽快找到他。)</t>
    <phoneticPr fontId="6" type="noConversion"/>
  </si>
  <si>
    <t>body(   很感激你帮助我们所做的一切。但是很抱歉，马上又要有新的任务分派给你。)</t>
    <phoneticPr fontId="6" type="noConversion"/>
  </si>
  <si>
    <t>"参谋长麦尔斯正在等着你，快去找他吧！"</t>
    <phoneticPr fontId="6" type="noConversion"/>
  </si>
  <si>
    <t>body(   干得好！现在我们可以进行下一步战斗了！)</t>
    <phoneticPr fontId="6" type="noConversion"/>
  </si>
  <si>
    <t>title(（52级）运送战备)
body(hotyellow_3(任务进程:)newline()
   运送物资前往goto(60158,6)处。
blankline()hotyellow_3(任务描述:)newline() 
   为了对抗重装巨熊这种恐怖的魔族生物，我们曾经使用过声波对它们进行集体催眠。但很快，唤醒者的出现使得这一方法完全失效。为了能够消灭这种魔族生物，我们准备了大量的战备物资。希望你能帮忙运送到观察员阿伦处。)</t>
  </si>
  <si>
    <t>body(   为了对抗重装巨熊这种恐怖的魔族生物，我们曾经使用过声波对它们进行集体催眠。但很快，唤醒者的出现使得这一方法完全失效。为了能够消灭这种魔族生物，我们准备了大量的战备物资。希望你能帮忙运送到观察员阿伦处。)</t>
  </si>
  <si>
    <t>"物资车还没有送到，是不是在路上走失了？"</t>
    <phoneticPr fontId="6" type="noConversion"/>
  </si>
  <si>
    <t>&lt;p&gt;
&lt;n&gt;  回复： &lt;/n&gt;
 &lt;n&gt; &lt;/n&gt;&lt;goto id="60088" mapid="7" flagpoint="1" taskid="1781" /&gt;
&lt;/p&gt;</t>
  </si>
  <si>
    <t>&lt;p&gt;
&lt;n&gt;  回复： &lt;/n&gt;
 &lt;n&gt; &lt;/n&gt;&lt;goto id="60089" mapid="7" flagpoint="1" taskid="1811" /&gt;
&lt;/p&gt;</t>
  </si>
  <si>
    <t>&lt;p&gt;
&lt;n&gt;  回复： &lt;/n&gt;
 &lt;n&gt; &lt;/n&gt;&lt;goto id="60085" mapid="7" flagpoint="1" taskid="1821" /&gt;
&lt;/p&gt;</t>
  </si>
  <si>
    <t>&lt;p&gt;
&lt;n&gt;  回复： &lt;/n&gt;
 &lt;n&gt; &lt;/n&gt;&lt;goto id="60088" mapid="7" flagpoint="1" taskid="1831" /&gt;
&lt;/p&gt;</t>
  </si>
  <si>
    <t>&lt;p&gt;
&lt;n&gt;  回复：&lt;/n&gt;
 &lt;n&gt; &lt;/n&gt;&lt;goto id="60000" mapid="3" flagpoint="1" taskid="1842" /&gt;
&lt;/p&gt;</t>
  </si>
  <si>
    <t>&lt;p&gt;
&lt;n&gt;  回复：&lt;/n&gt;
 &lt;n&gt; &lt;/n&gt;&lt;goto id="60000" mapid="7" flagpoint="1" taskid="1843"/&gt;&lt;/p&gt;</t>
  </si>
  <si>
    <t>&lt;p&gt;
&lt;n&gt;  回复：&lt;/n&gt;
 &lt;n&gt; &lt;/n&gt;&lt;goto id="167" mapid="6" flagpoint="1" taskid="1844"/&gt;&lt;/p&gt;</t>
  </si>
  <si>
    <t>&lt;p&gt;
&lt;n&gt;  回复： &lt;/n&gt;
 &lt;n&gt; &lt;/n&gt;&lt;goto id="60086" mapid="7" flagpoint="1" taskid="1851" /&gt;
&lt;/p&gt;</t>
  </si>
  <si>
    <t>&lt;p&gt;
&lt;n&gt;  回复： &lt;/n&gt; 
 &lt;n&gt; &lt;/n&gt;&lt;goto id="60089" mapid="7" flagpoint="1" taskid="1871" /&gt;
&lt;/p&gt;</t>
  </si>
  <si>
    <t>&lt;p&gt;
&lt;n&gt;  回复： &lt;/n&gt; 
 &lt;n&gt; &lt;/n&gt;&lt;goto id="60086" mapid="7" flagpoint="1" taskid="1881" /&gt;
&lt;/p&gt;</t>
  </si>
  <si>
    <t>&lt;p&gt;
&lt;n&gt;  回复： &lt;/n&gt; 
 &lt;n&gt; &lt;/n&gt;&lt;goto id="60088" mapid="7" flagpoint="1" taskid="1901" /&gt;
&lt;/p&gt;</t>
  </si>
  <si>
    <t>&lt;p&gt;
&lt;n&gt;  回复： &lt;/n&gt; 
 &lt;n&gt; &lt;/n&gt;&lt;goto id="60087" mapid="7" flagpoint="1" taskid="1921" /&gt;
&lt;/p&gt;</t>
  </si>
  <si>
    <t>&lt;p&gt;
&lt;n&gt;  回复： &lt;/n&gt; 
 &lt;n&gt; &lt;/n&gt;&lt;goto id="60086" mapid="7" flagpoint="1" taskid="1941" /&gt;
&lt;/p&gt;</t>
  </si>
  <si>
    <t>&lt;p&gt;
&lt;n&gt;  回复： &lt;/n&gt; 
 &lt;n&gt; &lt;/n&gt;&lt;goto id="60085" mapid="7" flagpoint="1" taskid="1961" /&gt;
&lt;/p&gt;</t>
  </si>
  <si>
    <t>&lt;p&gt;
&lt;n&gt;  回复： &lt;/n&gt; 
 &lt;n&gt; &lt;/n&gt;&lt;goto id="60086" mapid="7" flagpoint="1" taskid="1971" /&gt;
&lt;/p&gt;</t>
  </si>
  <si>
    <t>&lt;p&gt;
&lt;n&gt;  回复： &lt;/n&gt; 
 &lt;n&gt; &lt;/n&gt;&lt;goto id="60087" mapid="7" flagpoint="1" taskid="1991" /&gt;
&lt;/p&gt;</t>
  </si>
  <si>
    <t>&lt;p&gt;
&lt;n&gt;  回复： &lt;/n&gt; 
 &lt;n&gt; &lt;/n&gt;&lt;goto id="60086" mapid="7" flagpoint="1" taskid="2001" /&gt;
&lt;/p&gt;</t>
  </si>
  <si>
    <t>&lt;p&gt;
&lt;n&gt;  回复： &lt;/n&gt; 
 &lt;n&gt; &lt;/n&gt;&lt;goto id="60087" mapid="7" flagpoint="1" taskid="2021" /&gt;
&lt;/p&gt;</t>
  </si>
  <si>
    <t>&lt;p&gt;
&lt;n&gt;  回复： &lt;/n&gt; 
 &lt;n&gt; &lt;/n&gt;&lt;goto id="60088" mapid="7" flagpoint="1" taskid="2031" /&gt;
&lt;/p&gt;</t>
  </si>
  <si>
    <t>&lt;p&gt;
&lt;n&gt;  回复： &lt;/n&gt; 
 &lt;n&gt; &lt;/n&gt;&lt;goto id="60087" mapid="7" flagpoint="1" taskid="2051" /&gt;
&lt;/p&gt;</t>
  </si>
  <si>
    <t>&lt;p&gt;
&lt;n&gt;  回复： &lt;/n&gt; 
 &lt;n&gt; &lt;/n&gt;&lt;goto id="60086" mapid="7" flagpoint="1" taskid="2061" /&gt;
&lt;/p&gt;</t>
  </si>
  <si>
    <t>&lt;p&gt;
&lt;n&gt;  回复： &lt;/n&gt; 
 &lt;n&gt; &lt;/n&gt;&lt;goto id="60087" mapid="7" flagpoint="1" taskid="2091" /&gt;
&lt;/p&gt;</t>
  </si>
  <si>
    <t>&lt;p&gt;
&lt;n&gt;  回复： &lt;/n&gt; 
 &lt;n&gt; &lt;/n&gt;&lt;goto id="60086" mapid="7" flagpoint="1" taskid="2101" /&gt;
&lt;/p&gt;</t>
  </si>
  <si>
    <t>&lt;p&gt;
&lt;n&gt;  回复： &lt;/n&gt; 
 &lt;n&gt; &lt;/n&gt;&lt;goto id="60087" mapid="7" flagpoint="1" taskid="2121" /&gt;
&lt;/p&gt;</t>
  </si>
  <si>
    <t>&lt;p&gt;
&lt;n&gt;  回复： &lt;/n&gt; 
 &lt;n&gt; &lt;/n&gt;&lt;goto id="60086" mapid="7" flagpoint="1" taskid="2131" /&gt;
&lt;/p&gt;</t>
  </si>
  <si>
    <t>&lt;p&gt;
&lt;n&gt;  回复： &lt;/n&gt; 
 &lt;n&gt; &lt;/n&gt;&lt;goto id="60087" mapid="7" flagpoint="1" taskid="2151" /&gt;
&lt;/p&gt;</t>
  </si>
  <si>
    <t>&lt;p&gt;
&lt;n&gt;  回复： &lt;/n&gt; 
 &lt;n&gt; &lt;/n&gt;&lt;goto id="60088" mapid="7" flagpoint="1" taskid="2171" /&gt;
&lt;/p&gt;</t>
  </si>
  <si>
    <t>&lt;p&gt;
&lt;n&gt;  回复： &lt;/n&gt; 
 &lt;n&gt; &lt;/n&gt;&lt;goto id="60087" mapid="7" flagpoint="1" taskid="2191" /&gt;
&lt;/p&gt;</t>
  </si>
  <si>
    <t>&lt;p&gt;
&lt;n&gt;  回复： &lt;/n&gt; 
 &lt;n&gt; &lt;/n&gt;&lt;goto id="60088" mapid="7" flagpoint="1" taskid="2201" /&gt;
&lt;/p&gt;</t>
  </si>
  <si>
    <t>&lt;p&gt;
&lt;n&gt;  回复： &lt;/n&gt;
 &lt;n&gt; &lt;/n&gt;&lt;goto id="60016" mapid="2" flagpoint="1" taskid="10023"/&gt;
&lt;/p&gt;</t>
  </si>
  <si>
    <t>&lt;p&gt;
&lt;n&gt;  回复： &lt;/n&gt;
 &lt;n&gt; &lt;/n&gt;&lt;goto id="113" mapid="3" flagpoint="1" taskid="10713" /&gt;
&lt;/p&gt;</t>
  </si>
  <si>
    <t>&lt;p&gt;
&lt;n&gt;  回复： &lt;/n&gt;
 &lt;n&gt; &lt;/n&gt;&lt;goto id="113" mapid="3" flagpoint="1" taskid="10712" /&gt;
&lt;/p&gt;</t>
  </si>
  <si>
    <t>&lt;p&gt;
&lt;n&gt;  回复： &lt;/n&gt;
 &lt;n&gt; &lt;/n&gt;&lt;goto id="60073" mapid="3" flagpoint="1" taskid="10761" /&gt;
&lt;/p&gt;</t>
  </si>
  <si>
    <t>&lt;p&gt;
&lt;n&gt;  回复： &lt;/n&gt;
 &lt;n&gt; &lt;/n&gt;&lt;goto id="60000" mapid="3" flagpoint="1" taskid="11831" /&gt;
&lt;/p&gt;</t>
  </si>
  <si>
    <t>&lt;p&gt;
&lt;n&gt;  回复： &lt;/n&gt;
 &lt;n&gt; &lt;/n&gt;&lt;goto id="135" mapid="3" flagpoint="1" taskid="11832" /&gt;
&lt;/p&gt;</t>
  </si>
  <si>
    <t>&lt;p&gt;
&lt;n&gt;  回复： &lt;/n&gt;
 &lt;n&gt; &lt;/n&gt;&lt;goto id="135" mapid="3" flagpoint="1" taskid="11833" /&gt;
&lt;/p&gt;</t>
  </si>
  <si>
    <t>&lt;p&gt;
&lt;n&gt;  寻找5枚矿石碎片&lt;/n&gt;
&lt;newline/&gt;
&lt;n&gt;  回复： &lt;/n&gt;
 &lt;n&gt; &lt;/n&gt;&lt;goto id="60049" mapid="3" flagpoint="1" taskid="11900" /&gt;
&lt;/p&gt;</t>
  </si>
  <si>
    <t>&lt;p&gt;
&lt;n&gt;  寻找5枚矿石（1级）&lt;/n&gt;
&lt;newline/&gt;
&lt;n&gt;  回复： &lt;/n&gt;
 &lt;n&gt; &lt;/n&gt;&lt;goto id="60049" mapid="3" flagpoint="1" taskid="11901" /&gt;
&lt;/p&gt;</t>
  </si>
  <si>
    <t>&lt;p&gt;
&lt;n&gt;  寻找5枚矿石（2级）&lt;/n&gt;
&lt;newline/&gt;
&lt;n&gt;  回复： &lt;/n&gt;
 &lt;n&gt; &lt;/n&gt;&lt;goto id="60049" mapid="3" flagpoint="1" taskid="11902" /&gt;
&lt;/p&gt;</t>
  </si>
  <si>
    <t>&lt;p&gt;
&lt;n&gt;  寻找5枚药材（1级）&lt;/n&gt;
&lt;newline/&gt;
&lt;n&gt;  回复： &lt;/n&gt;
 &lt;n&gt; &lt;/n&gt;&lt;goto id="60049" mapid="3" flagpoint="1" taskid="11951" /&gt;
&lt;/p&gt;</t>
  </si>
  <si>
    <t>&lt;p&gt;
&lt;n&gt;  寻找5枚药材（2级）&lt;/n&gt;
&lt;newline/&gt;
&lt;n&gt;  回复： &lt;/n&gt;
 &lt;n&gt; &lt;/n&gt;&lt;goto id="60049" mapid="3" flagpoint="1" taskid="11952" /&gt;
&lt;/p&gt;</t>
  </si>
  <si>
    <t>&lt;p&gt;
&lt;n&gt;  回复：&lt;/n&gt;
 &lt;n&gt; &lt;/n&gt;&lt;goto id="60551" mapid="103" flagpoint="1" taskid="14000"/&gt;&lt;/p&gt;</t>
  </si>
  <si>
    <t>&lt;p&gt;
&lt;n&gt;  回复：&lt;/n&gt;
 &lt;n&gt; &lt;/n&gt;&lt;goto id="60551" mapid="103" flagpoint="1" taskid="14003"/&gt;&lt;/p&gt;</t>
  </si>
  <si>
    <t>&lt;p&gt;
&lt;n&gt;  回复： &lt;/n&gt;
 &lt;n&gt; &lt;/n&gt;&lt;goto id="122" mapid="101" flagpoint="1" taskid="12000" /&gt;
&lt;/p&gt;</t>
  </si>
  <si>
    <t>&lt;p&gt;
&lt;n&gt;  回复：&lt;/n&gt;
 &lt;n&gt; &lt;/n&gt;&lt;goto id="60552" mapid="132" flagpoint="1" taskid="12020"/&gt;&lt;/p&gt;</t>
  </si>
  <si>
    <t>&lt;p&gt;
&lt;n&gt;  回复：&lt;/n&gt;
 &lt;n&gt; &lt;/n&gt;&lt;goto id="60000" mapid="3" flagpoint="1" taskid="12021"/&gt;&lt;/p&gt;</t>
  </si>
  <si>
    <t>&lt;p&gt;
&lt;n&gt;  寻找1瓶生命药（小）&lt;/n&gt;
&lt;newline/&gt;
&lt;n&gt;  回复： &lt;/n&gt;
 &lt;n&gt; &lt;/n&gt;&lt;goto id="60018" mapid="2" flagpoint="1" taskid="13000" /&gt;
&lt;/p&gt;</t>
  </si>
  <si>
    <t>&lt;p&gt;
&lt;n&gt;  寻找1瓶魔力药（小）&lt;/n&gt;
&lt;newline/&gt;
&lt;n&gt;  回复： &lt;/n&gt;
 &lt;n&gt; &lt;/n&gt;&lt;goto id="60018" mapid="2" flagpoint="1" taskid="13010" /&gt;
&lt;/p&gt;</t>
  </si>
  <si>
    <t>&lt;p&gt;
&lt;n&gt;  回复： &lt;/n&gt;
 &lt;n&gt; &lt;/n&gt;&lt;goto id="60066" mapid="3" flagpoint="1" taskid="30007" /&gt;
&lt;/p&gt;</t>
  </si>
  <si>
    <t>&lt;p&gt;
&lt;n&gt;  回复： &lt;/n&gt;
 &lt;n&gt; &lt;/n&gt;&lt;goto id="60066" mapid="3" flagpoint="1" taskid="30008" /&gt;
&lt;/p&gt;</t>
  </si>
  <si>
    <t>&lt;p&gt;
&lt;n&gt;  回复NPC：&lt;/n&gt;
 &lt;n&gt; &lt;/n&gt;&lt;goto id="129" mapid="118" flagpoint="1" taskid="30028" /&gt;
&lt;/p&gt;</t>
  </si>
  <si>
    <t>&lt;p&gt;
&lt;n&gt;  回复NPC：&lt;/n&gt;
 &lt;n&gt; &lt;/n&gt;&lt;goto id="60107" mapid="2" flagpoint="1" taskid="30032" /&gt;
&lt;/p&gt;</t>
  </si>
  <si>
    <t>&lt;p&gt;
&lt;n&gt;  回复NPC：&lt;/n&gt;
 &lt;n&gt; &lt;/n&gt;&lt;goto id="164" mapid="118" flagpoint="1" taskid="30033" /&gt;
&lt;/p&gt;</t>
  </si>
  <si>
    <t>&lt;p&gt;
&lt;n&gt;  回复NPC：&lt;/n&gt;
 &lt;n&gt; &lt;/n&gt;&lt;goto id="154" mapid="118" flagpoint="1" taskid="30034" /&gt;
&lt;/p&gt;</t>
  </si>
  <si>
    <t>&lt;p&gt;
&lt;n&gt;  回复NPC：&lt;/n&gt;
 &lt;n&gt; &lt;/n&gt;&lt;goto id="155" mapid="118" flagpoint="1" taskid="30035" /&gt;
&lt;/p&gt;</t>
  </si>
  <si>
    <t>&lt;p&gt;
&lt;n&gt;  回复NPC：&lt;/n&gt;
 &lt;n&gt; &lt;/n&gt;&lt;goto id="129" mapid="118" flagpoint="1" taskid="30036" /&gt;
&lt;/p&gt;</t>
  </si>
  <si>
    <t>&lt;p&gt;
&lt;n&gt;  回复NPC：&lt;/n&gt;
 &lt;n&gt; &lt;/n&gt;&lt;goto id="134" mapid="3" flagpoint="1" taskid="30037" /&gt;
&lt;/p&gt;</t>
  </si>
  <si>
    <t>&lt;p&gt;
&lt;n&gt;  回复NPC：&lt;/n&gt;
 &lt;n&gt; &lt;/n&gt;&lt;goto id="134" mapid="3" flagpoint="1" taskid="30038" /&gt;
&lt;/p&gt;</t>
  </si>
  <si>
    <t>&lt;p&gt;
&lt;n&gt;  回复NPC：&lt;/n&gt;
 &lt;n&gt; &lt;/n&gt;&lt;goto id="134" mapid="3" flagpoint="1" taskid="30039" /&gt;
&lt;/p&gt;</t>
  </si>
  <si>
    <t>&lt;p&gt;
&lt;n&gt;  回复NPC：&lt;/n&gt;
 &lt;n&gt; &lt;/n&gt;&lt;goto id="134" mapid="3" flagpoint="1" taskid="30040" /&gt;
&lt;/p&gt;</t>
  </si>
  <si>
    <t>任务追踪接取</t>
    <phoneticPr fontId="6" type="noConversion"/>
  </si>
  <si>
    <t>战斗宠物可可</t>
    <phoneticPr fontId="6" type="noConversion"/>
  </si>
  <si>
    <t>body(   我在“迷雾废墟”发现了一种叫清凉果的奇异果实。blankline()   我的老朋友可可很喜欢这种果子，你可以采集5枚去找他。他会帮助你的。)</t>
    <phoneticPr fontId="6" type="noConversion"/>
  </si>
  <si>
    <t>body(   太好了，我最喜欢这种清凉果。)</t>
    <phoneticPr fontId="6" type="noConversion"/>
  </si>
  <si>
    <t>不不不！我要的是清凉果。我最喜欢吃的清凉果！</t>
    <phoneticPr fontId="6" type="noConversion"/>
  </si>
  <si>
    <t>body(space()space()space()player()，你送来的清凉果对于我很重要。感谢你为我们所做的一切，我决定破例对你开放培育战斗宠物的神秘空间。)</t>
    <phoneticPr fontId="6" type="noConversion"/>
  </si>
  <si>
    <t>准备好了吗？我们这就离开秘密基地，返回燃烧平原吧！</t>
    <phoneticPr fontId="6" type="noConversion"/>
  </si>
  <si>
    <t>body(   有了战斗型宠物，就可以进行合体战斗了。)</t>
    <phoneticPr fontId="6" type="noConversion"/>
  </si>
  <si>
    <t>body(space()space()space()player()好好善待你的新伙伴，他将会给予你力量！我这就送你回燃烧平原，可可那家伙怕是等得不耐烦了。哈哈！)</t>
    <phoneticPr fontId="6" type="noConversion"/>
  </si>
  <si>
    <t>body(   现在的形式已经不可控制了，我们时间不多。最坏的情况下，需要使用禁咒来进行。blankline()   player()，请让生物学家达尔文务必抓紧！)</t>
    <phoneticPr fontId="6" type="noConversion"/>
  </si>
  <si>
    <t>body(   你好，我全名叫士官长罗恩，是这里的卫兵。blankline()   十七年前，我还是个小孩子。是核打击前最后一批被撤离到太空的幸存者。在撤离行动中，我和家人失散了。但我坚信我的家人依旧存活在地球的某个地方。blankline()space()space()space()player(),如果你回到地球，请你替我打听下他们的消息好吗？我的父母和妹妹一定还活着，我能感觉得到。blankline()   当年和我们一家在一起的还有一名中年农夫，找到他也许就能知道我的家人的情况了。)</t>
    <phoneticPr fontId="6" type="noConversion"/>
  </si>
  <si>
    <t>title(猎命师手札)
body(
   杀死30只$LEVEL级以上的变异生物。
blankline()hotyellow_3(任务描述:)newline()  如果有人看到这封手札，说明我又一次失败了。我什么都无法阻止，一切都未曾改变。blankline()   我将所知的一切写在这本手札上，以在我失败之后，后来人能得知我所知道的一切，以及这场灾难的起源。这封手札的内容如果让弱者得知，不过是平添无谓的牺牲。blankline()   所以我把手札分成册，并做了一些手脚。如果你能看到这份手札，你将担负起拯救人类的重任，上帝也将为你祝福。blankline()   杀死30只$LEVEL级以上的变异生物，你得到的将比你付出的更多。)</t>
    <phoneticPr fontId="6" type="noConversion"/>
  </si>
  <si>
    <t>{{31165,0,1,0,"1-1"}}</t>
  </si>
  <si>
    <t>body(space()space()space()player()，地宫中一些魔族自称是绿灯侠。我也不明白他们为啥要叫这名字。总之你去教训他们一下，让他们知道地宫是谁的天下！)</t>
    <phoneticPr fontId="6" type="noConversion"/>
  </si>
  <si>
    <t>body(   果然厉害！)</t>
    <phoneticPr fontId="6" type="noConversion"/>
  </si>
  <si>
    <t>通过“M键”打开大地图，你就可以看到那些奇怪的魔族怪物了。</t>
    <phoneticPr fontId="6" type="noConversion"/>
  </si>
  <si>
    <t>击杀50个绿灯侠</t>
    <phoneticPr fontId="6" type="noConversion"/>
  </si>
  <si>
    <t>&lt;p&gt;
&lt;n&gt;  击杀50个：&lt;/n&gt;
 &lt;n&gt; &lt;/n&gt;&lt;goto id="16008" mapid="132" flagpoint="1" taskid="12022"/&gt;&lt;/p&gt;</t>
    <phoneticPr fontId="6" type="noConversion"/>
  </si>
  <si>
    <t>{{23011,0,1,0,"1-1"}}</t>
    <phoneticPr fontId="6" type="noConversion"/>
  </si>
  <si>
    <t>{{27101,0,4,0,"1-1"}}</t>
    <phoneticPr fontId="6" type="noConversion"/>
  </si>
  <si>
    <t>{{22031,0,1,0,"1-1"}}</t>
    <phoneticPr fontId="6" type="noConversion"/>
  </si>
  <si>
    <t>{{26113,0,1,0,"1-1"}}</t>
    <phoneticPr fontId="6" type="noConversion"/>
  </si>
  <si>
    <t>{{29026,0,10,0,"1-1"}}</t>
    <phoneticPr fontId="6" type="noConversion"/>
  </si>
  <si>
    <t>{{23001,0,1,0,"1-1"}}</t>
    <phoneticPr fontId="6" type="noConversion"/>
  </si>
  <si>
    <t>{{29009,0,1,0,"1-1"} }</t>
    <phoneticPr fontId="6" type="noConversion"/>
  </si>
  <si>
    <t>{{27113,0,15,0,"1-1,2-1"}}</t>
    <phoneticPr fontId="6" type="noConversion"/>
  </si>
  <si>
    <t>佩恩</t>
    <phoneticPr fontId="6" type="noConversion"/>
  </si>
  <si>
    <t>body(   现在前线要塞的形势确实非常危急啊，player()，如果你能够帮助我们就更好了。)</t>
    <phoneticPr fontId="6" type="noConversion"/>
  </si>
  <si>
    <t>body(   干得好！我会立即安排战士们前去支援的！)</t>
    <phoneticPr fontId="6" type="noConversion"/>
  </si>
  <si>
    <t>&lt;p&gt;
&lt;n&gt;  等级提升至7级&lt;/n&gt;
&lt;newline/&gt;
&lt;n&gt;  找迷雾废墟的小镇镇长马卡兰&lt;/n&gt;
&lt;newline/&gt;
&lt;/p&gt;</t>
    <phoneticPr fontId="6" type="noConversion"/>
  </si>
  <si>
    <t>&lt;p&gt;
&lt;n&gt;  等级提升至11级&lt;/n&gt;
&lt;newline/&gt;
&lt;n&gt;  找迷雾废墟的老者盖亚&lt;/n&gt;
&lt;newline/&gt;
&lt;/p&gt;</t>
    <phoneticPr fontId="6" type="noConversion"/>
  </si>
  <si>
    <t>&lt;p&gt;
&lt;n&gt;  等级提升至15级&lt;/n&gt;
&lt;newline/&gt;
&lt;n&gt;  找迷雾废墟圣骑士艾伦&lt;/n&gt;
&lt;newline/&gt;
&lt;dialog taskid="10024" text="勋章商店可兑换极品装备" hotkeyid="14" /&gt;
&lt;/p&gt;</t>
    <phoneticPr fontId="6" type="noConversion"/>
  </si>
  <si>
    <t>title(（25级）进入团)
body(hotyellow_3(任务进程:)newline()
   去找goto(60000,3)。
blankline()hotyellow_3(任务描述:)newline() 
   我和达尔文在燃烧平原研究变异生物。我们没有多少崇高的目的。只是觉得如果不这么做，那么危机真正来临时，生还的机会非常小。blankline()   我们这些人类从来没被保障过。)</t>
    <phoneticPr fontId="6" type="noConversion"/>
  </si>
  <si>
    <t>&lt;p&gt;
&lt;n&gt;  询问&lt;/n&gt;
 &lt;n&gt; &lt;/n&gt;&lt;goto id="165" mapid="7" flagpoint="1" taskid="10116"/&gt;
&lt;/p&gt;</t>
    <phoneticPr fontId="6" type="noConversion"/>
  </si>
  <si>
    <t>body(space()space()space()player()，有空记得来这里逛逛！我可是什么生意都做的！)</t>
    <phoneticPr fontId="6" type="noConversion"/>
  </si>
  <si>
    <t>尚未完成一次收集装备的任务</t>
    <phoneticPr fontId="6" type="noConversion"/>
  </si>
  <si>
    <t>&lt;p&gt;
&lt;n&gt;  完成一次收集材料日常任务&lt;/n&gt;
&lt;newline/&gt;
&lt;n&gt;  回复NPC：&lt;/n&gt;
 &lt;n&gt; &lt;/n&gt;&lt;goto id="60049" mapid="4" flagpoint="1" taskid="10001" /&gt;
&lt;/p&gt;</t>
    <phoneticPr fontId="6" type="noConversion"/>
  </si>
  <si>
    <t>&lt;p&gt;
&lt;n&gt;  完成一次收集材料日常任务&lt;/n&gt;
&lt;newline/&gt;
&lt;n&gt;  回复NPC：&lt;/n&gt;
 &lt;n&gt; &lt;/n&gt;&lt;goto id="60049" mapid="4" flagpoint="1" taskid="10002" /&gt;
&lt;/p&gt;</t>
    <phoneticPr fontId="6" type="noConversion"/>
  </si>
  <si>
    <t>body(   嗯，记得经常来我这里完成收集材料的任务啊！)</t>
    <phoneticPr fontId="6" type="noConversion"/>
  </si>
  <si>
    <t>在我这里完成一次收集材料的任务吧！</t>
    <phoneticPr fontId="6" type="noConversion"/>
  </si>
  <si>
    <t>title(（28级）收集材料)
body(hotyellow_3(任务进程:)newline()
   完成一次收集材料的日常，去找goto(60049,4)。   完成任务所需材料，可通过goto(60049,4)进入神秘矿洞采集获得。
blankline()hotyellow_3(任务描述:)newline() 
   如果player()你能够在我这里，完成一次收集材料的日常任务，我会觉得很开心的。当然，你必须学会如何收集材料。)</t>
    <phoneticPr fontId="6" type="noConversion"/>
  </si>
  <si>
    <t>title(（28级）收集材料)
body(hotyellow_3(任务进程:)newline()
   完成一次收集材料的日常，去找goto(60049,4)。完成任务所需材料，可通过goto(60049,4)进入神秘矿洞采集获得。
blankline()hotyellow_3(任务描述:)newline() 
   如果player()你能够在我这里，完成一次收集材料的日常任务，我会觉得很开心的。当然，你必须学会如何收集材料。)</t>
    <phoneticPr fontId="6" type="noConversion"/>
  </si>
  <si>
    <t>神秘人米迦勒</t>
    <phoneticPr fontId="9" type="noConversion"/>
  </si>
  <si>
    <t>body(   通过合成操作，你将会逐渐变得强大！)</t>
    <phoneticPr fontId="6" type="noConversion"/>
  </si>
  <si>
    <t>将5件白色装备合成为蓝色品质</t>
    <phoneticPr fontId="9" type="noConversion"/>
  </si>
  <si>
    <t>将5件蓝色装备合成为黄色品质</t>
    <phoneticPr fontId="9" type="noConversion"/>
  </si>
  <si>
    <t>将5件黄色装备合成为绿色品质</t>
    <phoneticPr fontId="9" type="noConversion"/>
  </si>
  <si>
    <t>将5件绿色装备合成为完美绿色品质</t>
    <phoneticPr fontId="9" type="noConversion"/>
  </si>
  <si>
    <t>&lt;p&gt;
&lt;n&gt;  将5件白色品质装备&lt;/n&gt;
&lt;newline/&gt;
&lt;n&gt;  合成1件蓝色品质装备&lt;/n&gt;
&lt;newline/&gt;
&lt;n&gt;  &lt;/n&gt;&lt;dialog taskid="10200" text="打开合成界面" hotkeyid="12" /&gt;
&lt;/p&gt;</t>
    <phoneticPr fontId="9" type="noConversion"/>
  </si>
  <si>
    <t>&lt;p&gt;
&lt;n&gt;  将5件蓝色品质装备&lt;/n&gt;
&lt;newline/&gt;
&lt;n&gt;  合成1件黄色品质装备&lt;/n&gt;
&lt;newline/&gt;
&lt;n&gt;  &lt;/n&gt;&lt;dialog taskid="10201" text="打开合成界面" hotkeyid="12" /&gt;
&lt;/p&gt;</t>
    <phoneticPr fontId="9" type="noConversion"/>
  </si>
  <si>
    <t>{{26117,0,1,0,"1-1"}}</t>
    <phoneticPr fontId="6" type="noConversion"/>
  </si>
  <si>
    <t>&lt;p&gt;
&lt;n&gt;  将5件绿色品质装备&lt;/n&gt;
&lt;newline/&gt;
&lt;n&gt;  合成1件完美绿色品质装备&lt;/n&gt;
&lt;newline/&gt;
&lt;n&gt;  &lt;/n&gt;&lt;dialog taskid="10203" text="打开合成界面" hotkeyid="12" /&gt;
&lt;/p&gt;</t>
    <phoneticPr fontId="9" type="noConversion"/>
  </si>
  <si>
    <t>&lt;p&gt;
&lt;n&gt;  将5件黄色品质装备&lt;/n&gt;
&lt;newline/&gt;
&lt;n&gt;  合成1件绿色品质装备&lt;/n&gt;
&lt;newline/&gt;
&lt;n&gt;  &lt;/n&gt;&lt;dialog taskid="10202" text="打开合成界面" hotkeyid="12" /&gt;
&lt;/p&gt;</t>
    <phoneticPr fontId="9" type="noConversion"/>
  </si>
  <si>
    <t>"31111-0-55"</t>
    <phoneticPr fontId="6" type="noConversion"/>
  </si>
  <si>
    <t>&lt;p&gt;
&lt;n&gt;  获取55个&lt;/n&gt;
 &lt;n&gt; &lt;/n&gt;&lt;goto id="10092" mapid="7" flagpoint="1" taskid="1861" /&gt;
&lt;n&gt;的基因样本&lt;/n&gt;
&lt;/p&gt;</t>
  </si>
  <si>
    <t>当你拥有5件或5件以上装备时才可进行合成操作。点击屏幕左下方的合成按钮，可打开合成界面。</t>
    <phoneticPr fontId="6" type="noConversion"/>
  </si>
  <si>
    <t>当你拥有5件或5件以上装备时才可进行合成操作。点击屏幕左下方的合成按钮，可打开合成界面。</t>
    <phoneticPr fontId="6" type="noConversion"/>
  </si>
  <si>
    <t>title(浓缩炸药)
body(hotyellow_3(任务进程:)newline()
     浓缩炸药的制作需要：blankline()
     打败goto(10015,2)，收集4个精炼火药。blankline()
     打败goto(10045,2)，收集1个汽油桶。))</t>
    <phoneticPr fontId="6" type="noConversion"/>
  </si>
  <si>
    <t>title(（15级）命运的轨迹)
body(hotyellow_3(任务进程:)newline()
   询问goto(60028,2)。blankline()hotyellow_3(任务描述:)newline() 
   有什么要问圣骑士艾伦吗？))</t>
    <phoneticPr fontId="6" type="noConversion"/>
  </si>
  <si>
    <t>body(   萨尔一定就在hot(巨钳蝎)或者hot(赤甲蝎)的领地里面，我知道的，他一定就在那两块领地之间。blankline()space()space()space()player()，请一定要救出我的儿子。)</t>
    <phoneticPr fontId="6" type="noConversion"/>
  </si>
  <si>
    <t>body(   player()，真是太感谢你了。)</t>
    <phoneticPr fontId="6" type="noConversion"/>
  </si>
  <si>
    <t>零号</t>
    <phoneticPr fontId="6" type="noConversion"/>
  </si>
  <si>
    <t>title(（24级）受委屈的肚子熊)
body(hotyellow_3(任务进程:)newline()
   护送肚子熊至goto(135,3)处吧！blankline()
blankline()hotyellow_3(任务描述:)newline() 
   光明女祭司的肚子熊由于被怀疑偷吃蜂蜜负气躲进了箱子里不肯出来。虽然最后肚子熊的冤屈得以昭雪，光明女祭司殿下也道过歉了，但是肚子熊就是躲在箱子里不吭声。)</t>
    <phoneticPr fontId="6" type="noConversion"/>
  </si>
  <si>
    <t>body(   肚子熊把头探出了箱子…很谨慎的样子…)</t>
    <phoneticPr fontId="9" type="noConversion"/>
  </si>
  <si>
    <t>{{50011,0,1,1,"1-1"}}</t>
  </si>
  <si>
    <t>body(   已经夺回那些零件了么，player()，真是太感谢你了。)</t>
  </si>
  <si>
    <t>"31191-0-1;31192-0-1;31193-0-1"</t>
  </si>
  <si>
    <t>{{22021,0,1,0,"1-1"}}</t>
    <phoneticPr fontId="6" type="noConversion"/>
  </si>
  <si>
    <t>body(   铁甲虫集团的CEO在魔族入侵前，就一直拖欠着大笔改善武器的经费……blankline()space()space()space()player()，请替我和拉斐尔好好沟通下，告诉他其实我也不是什么好人，有钱就尽早还了吧？作为报酬，我可以替你将一件装备hot(强化至5星)！)</t>
    <phoneticPr fontId="6" type="noConversion"/>
  </si>
  <si>
    <t>body(   我查阅了一下观察站里的记录，最近一段时间曾经在观察站附近出现的变异生物只有那群被称为hot(疾走龙)的恶心家伙。blankline()   如果要说狄尔儿子失踪这件事的话，最有可能就是和这家伙有关。)</t>
    <phoneticPr fontId="6" type="noConversion"/>
  </si>
  <si>
    <t>body(   他一定还在丛林的某个地方等着我去救他。blankline()   萨尔很聪明，这一定是他留下的线索。)</t>
    <phoneticPr fontId="6" type="noConversion"/>
  </si>
  <si>
    <t>body(   萨尔到底在那里喃？)</t>
    <phoneticPr fontId="6" type="noConversion"/>
  </si>
  <si>
    <t>&lt;p&gt;
&lt;n&gt;  调查&lt;/n&gt;
 &lt;n&gt; &lt;/n&gt;&lt;goto id="60080" mapid="3" flagpoint="1" flagdrawrect="1" taskid="10766"/&gt;
&lt;/p&gt;</t>
    <phoneticPr fontId="6" type="noConversion"/>
  </si>
  <si>
    <t>body(   我接到冒险者的汇报，有人在丛林中看到两个小孩子被震地象追赶，目前营地里可以降伏震地象的只有player()你了。请赶快去解救那两个小孩子吧！)</t>
    <phoneticPr fontId="6" type="noConversion"/>
  </si>
  <si>
    <t>title(（7级）小镇镇长)
body(hotyellow_3(任务进程:)newline()
   去找goto(60016,2)。
blankline()hotyellow_3(任务描述:)newline() 
   迷雾废墟是个受诅咒的地方，到处是稀奇古怪的怪物和变成僵尸的死人。但是荆棘镇却很安全。真是奇怪的事情。blankline()   player()，我觉得你有必要见一见迷雾废墟荆棘镇的最高负责人---镇长马卡兰。他可能会教你一些生存的方法。)</t>
    <phoneticPr fontId="6" type="noConversion"/>
  </si>
  <si>
    <t>高级杂货商人</t>
    <phoneticPr fontId="6" type="noConversion"/>
  </si>
  <si>
    <t>body(   player()。荣耀与你同在，伴你征战。)</t>
    <phoneticPr fontId="6" type="noConversion"/>
  </si>
  <si>
    <t>&lt;p&gt;
&lt;n&gt;  回复： &lt;/n&gt;
 &lt;n&gt; &lt;/n&gt;&lt;goto id="120" mapid="3" flagpoint="1" taskid="11830" /&gt;
&lt;/p&gt;</t>
    <phoneticPr fontId="6" type="noConversion"/>
  </si>
  <si>
    <t>{{26112,0,1,0,"1-1"}}</t>
    <phoneticPr fontId="6" type="noConversion"/>
  </si>
  <si>
    <t>title(（59级）杀人的心跳)
body(hotyellow_3(任务进程:)newline()
   去找goto(60088,7)。
blankline()hotyellow_3(任务描述:)newline() 
   并不是掌握了所有的战斗技巧就可以成为一名优秀的战士，杀人时保持绝对的冷静，避免肾上腺素过度分泌，心跳过速是最基本的要求。blankline()    关于这方面的事我想你还是问问hot(狙击手托奇)吧，我估计这家伙也不记得自己杀了多少人了吧！)</t>
    <phoneticPr fontId="6" type="noConversion"/>
  </si>
  <si>
    <t>title(（58级）狩猎偷袭者)
body(hotyellow_3(任务进程:)newline()
   消灭55只goto(10093,7),去找goto(60086,7)。
blankline()hotyellow_3(任务描述:)newline() 
   沙漠偷袭者就和那些秃鹫一样，属于恶心的腐食动物。他们从不正面作战，总是等一方浴血奋战精疲力尽之时展开偷袭。我们团中一些最优秀的猎人竟然被这么一帮家伙干掉了，我要杀光这群混蛋。)</t>
    <phoneticPr fontId="6" type="noConversion"/>
  </si>
  <si>
    <t>title(（59级）屠戮之刃)
body(hotyellow_3(任务进程:)newline()
   杀死55个goto(10094,7)，去找goto(60088,7)。
blankline()hotyellow_3(任务描述:)newline() 
   杀人有什么好说的，习惯了就好。)</t>
    <phoneticPr fontId="6" type="noConversion"/>
  </si>
  <si>
    <t>寻人启事</t>
    <phoneticPr fontId="6" type="noConversion"/>
  </si>
  <si>
    <t>机密护送</t>
    <phoneticPr fontId="6" type="noConversion"/>
  </si>
  <si>
    <t>秘密信使</t>
    <phoneticPr fontId="6" type="noConversion"/>
  </si>
  <si>
    <t>秘密快递</t>
    <phoneticPr fontId="6" type="noConversion"/>
  </si>
  <si>
    <t>雷达充能</t>
    <phoneticPr fontId="6" type="noConversion"/>
  </si>
  <si>
    <t>物资夺还</t>
    <phoneticPr fontId="6" type="noConversion"/>
  </si>
  <si>
    <t>遗址勘探</t>
    <phoneticPr fontId="6" type="noConversion"/>
  </si>
  <si>
    <t>装备征收</t>
    <phoneticPr fontId="6" type="noConversion"/>
  </si>
  <si>
    <t>武器征收</t>
    <phoneticPr fontId="6" type="noConversion"/>
  </si>
  <si>
    <t>歼灭指令I</t>
    <phoneticPr fontId="6" type="noConversion"/>
  </si>
  <si>
    <t>歼灭指令II</t>
    <phoneticPr fontId="6" type="noConversion"/>
  </si>
  <si>
    <t>地域收集</t>
    <phoneticPr fontId="6" type="noConversion"/>
  </si>
  <si>
    <t>生活制造</t>
    <phoneticPr fontId="6" type="noConversion"/>
  </si>
  <si>
    <t>怪物掉落</t>
    <phoneticPr fontId="6" type="noConversion"/>
  </si>
  <si>
    <t>宠物捕获</t>
    <phoneticPr fontId="6" type="noConversion"/>
  </si>
  <si>
    <t>扫清障碍</t>
    <phoneticPr fontId="6" type="noConversion"/>
  </si>
  <si>
    <t>&lt;p&gt;
&lt;n&gt;  将等级提升至30级&lt;/n&gt;
&lt;newline/&gt;
&lt;n&gt;  找燃烧平原赏金猎人豪斯&lt;/n&gt;
&lt;newline/&gt;
&lt;dialog taskid="10107" text="勋章商店可兑换极品装备" hotkeyid="14" /&gt;
&lt;/p&gt;</t>
    <phoneticPr fontId="6" type="noConversion"/>
  </si>
  <si>
    <t>title(（43级）震地象的秘密)
body(hotyellow_3(任务进程:)newline()
   击杀45只goto(10065,3)，并寻找到goto(60080,3)。
blankline()hotyellow_3(任务描述:)newline() 
   有人在丛林中看到两个小孩子被震地象追赶，目前营地里可以降伏震地象的只有player()你了。请赶快去解救那两个小孩子吧！
blankline()
   hot3(丛林中低矮的灌木，是绝好的藏身点。))</t>
    <phoneticPr fontId="6" type="noConversion"/>
  </si>
  <si>
    <t>边境防卫官</t>
    <phoneticPr fontId="6" type="noConversion"/>
  </si>
  <si>
    <t>"你也许还没有准备好，那么等你准备好的时候，就来找我把！"</t>
    <phoneticPr fontId="6" type="noConversion"/>
  </si>
  <si>
    <t>&lt;p&gt;
&lt;n&gt;  回复： &lt;/n&gt;
 &lt;n&gt; &lt;/n&gt;&lt;goto id="126" mapid="7" flagpoint="1" taskid="12300" /&gt;
&lt;/p&gt;</t>
    <phoneticPr fontId="6" type="noConversion"/>
  </si>
  <si>
    <t>body(   开始一段新的战斗吧！完成任务，你将会取消头顶“新手”的显示。)</t>
    <phoneticPr fontId="6" type="noConversion"/>
  </si>
  <si>
    <t>title(（41级）告别新手期)
body(hotyellow_3(任务进程:)newline()
   与goto(126,7)对话，解除新手状态。解除后，将正式脱离新手系统保护。
blankline()hotyellow_3(任务描述:)newline() 
   嗯，player()。你总算成长为一位有担当的战士了。脱离了新手期，你将会看到更为广阔的天空。)</t>
    <phoneticPr fontId="6" type="noConversion"/>
  </si>
  <si>
    <t>资源征收I</t>
    <phoneticPr fontId="6" type="noConversion"/>
  </si>
  <si>
    <t>资源征收II</t>
    <phoneticPr fontId="6" type="noConversion"/>
  </si>
  <si>
    <t>body(   药材（1级）可在神秘矿洞直接采集获得，或将药材叶子合成获得。你的采集等级越高，获取高等级药材的几率会越高。)</t>
    <phoneticPr fontId="6" type="noConversion"/>
  </si>
  <si>
    <t>body(   普通的采集过程中，容易产生药材叶子。你的采集等级越高，获取高等级药材的几率会越高。)</t>
    <phoneticPr fontId="6" type="noConversion"/>
  </si>
  <si>
    <t>title(（18级）第一个仓库)
body(hotyellow_3(任务进程:)newline()
   杀死goto(10175,2)，去找goto(116,2)。
blankline()hotyellow_3(任务描述:)newline() 
space()space()space()player()，鉴于你英武的表现，我可以为你提供一个存贮私人物品的专属空间。blankline()   只要有hot(仓库集齐)的地方，就能够进行存储操作。)</t>
    <phoneticPr fontId="6" type="noConversion"/>
  </si>
  <si>
    <t>君士坦丁</t>
    <phoneticPr fontId="6" type="noConversion"/>
  </si>
  <si>
    <t>body(   喜欢这座城市吗？神可以有神迹，但是人类却能创造比神迹更为伟大的场面。)</t>
    <phoneticPr fontId="6" type="noConversion"/>
  </si>
  <si>
    <t>神斧战将-迪特里斯</t>
    <phoneticPr fontId="6" type="noConversion"/>
  </si>
  <si>
    <t>body(   呵呵，君士坦丁那老头……当年他可不是今天这么好说话。blankline()   好吧，既然你找到我，那说说看你是来干啥的？)</t>
    <phoneticPr fontId="6" type="noConversion"/>
  </si>
  <si>
    <t>body(   不错，很久没看到具备这么强潜力的年轻人了。也许你很快就能够超越我，谁说不是喃？我就和你说说关于我们的故事吧！)</t>
    <phoneticPr fontId="6" type="noConversion"/>
  </si>
  <si>
    <t>&lt;p&gt;
&lt;n&gt;  消灭65只&lt;/n&gt;
 &lt;n&gt; &lt;/n&gt;&lt;goto id="10201" mapid="5" flagpoint="1" taskid="4501" /&gt;
&lt;/p&gt;</t>
    <phoneticPr fontId="6" type="noConversion"/>
  </si>
  <si>
    <t>body(   有了补给，看来我们能够坚持更久了。愿光明神祝福君士坦丁议长。)</t>
    <phoneticPr fontId="6" type="noConversion"/>
  </si>
  <si>
    <t>"与大议长君士坦丁对话"</t>
    <phoneticPr fontId="6" type="noConversion"/>
  </si>
  <si>
    <t>body(   现在距离第二个考验还有一段时间，与我来玩一把翻牌游戏吧！)</t>
    <phoneticPr fontId="6" type="noConversion"/>
  </si>
  <si>
    <t>body(   哈哈，很久没有玩，已经手生了。真想念行伍中的弟兄们。)</t>
    <phoneticPr fontId="6" type="noConversion"/>
  </si>
  <si>
    <t>body(   烈日当头，正是一日温度最高的时刻。那便开始第二个考验吧！需要你击杀70只“钢齿鹰龙”。)</t>
    <phoneticPr fontId="6" type="noConversion"/>
  </si>
  <si>
    <t>body(   不错，你很顺利地完成了第二个考验。)</t>
    <phoneticPr fontId="6" type="noConversion"/>
  </si>
  <si>
    <t>body(   哈哈，你果然完成了考验。小家伙，有天赋、有毅力、有恒心，是个好苗子！)</t>
    <phoneticPr fontId="6" type="noConversion"/>
  </si>
  <si>
    <t>body(   干得好，有了嗜血妖花和狂狼之牙，我就可以配置安魂药剂。)</t>
    <phoneticPr fontId="6" type="noConversion"/>
  </si>
  <si>
    <t>body(   除了狂狼之牙，我们还需要嗜血妖花。你去采集20朵嗜血妖花给我。)</t>
    <phoneticPr fontId="6" type="noConversion"/>
  </si>
  <si>
    <t>body(   好好，看来马上就可以完成了！)</t>
    <phoneticPr fontId="6" type="noConversion"/>
  </si>
  <si>
    <t>神枪战将-特洛雷西</t>
    <phoneticPr fontId="6" type="noConversion"/>
  </si>
  <si>
    <t>大议长君士坦丁</t>
    <phoneticPr fontId="6" type="noConversion"/>
  </si>
  <si>
    <t>body(   老混蛋君士坦丁不是什么好东西，他说的话迪特里斯会信，可我不会。曾经我也将他看做是帝国柱石，国家栋梁。结果，王不在的时候，居然直接用议会压迫我们解散！
blankline()   难道他不知道，没有了我们，教权就将会用各种手段削弱王权？
blankline()   王回来的那一天，我们这些无法护佑国土的老兵，该如何面对？
blankline()   你去告诉君士坦丁，这事情到我为止。)</t>
    <phoneticPr fontId="6" type="noConversion"/>
  </si>
  <si>
    <t>body(   哦？你居然见到了特洛雷西。呵呵，他如何说我不重要，重要的是你见到他了。)</t>
    <phoneticPr fontId="6" type="noConversion"/>
  </si>
  <si>
    <t>body(   对错之争，是非之争，道义之争，几百年之后自然有结果。可是我们却没有时间。
blankline()   我需要你将这份关于帝国目前危机的文件转递给特洛雷西。我想他会明白孰轻孰重。)</t>
    <phoneticPr fontId="6" type="noConversion"/>
  </si>
  <si>
    <t>body(   知道了历史，又如何能够改变历史？)</t>
    <phoneticPr fontId="6" type="noConversion"/>
  </si>
  <si>
    <t>body(   小子，提升你的实力吧！等你实力增长到69级，我将会指派你去做一件危险的事情。)</t>
    <phoneticPr fontId="6" type="noConversion"/>
  </si>
  <si>
    <t>"提升自身等级至69级"</t>
    <phoneticPr fontId="6" type="noConversion"/>
  </si>
  <si>
    <t>大贤者赫肯</t>
    <phoneticPr fontId="6" type="noConversion"/>
  </si>
  <si>
    <t>body(   多年了，人类的希望到底在什么地方。没有人知道答案……也没有人想知道答案……)</t>
    <phoneticPr fontId="6" type="noConversion"/>
  </si>
  <si>
    <t>body(   只有无畏的人，才能承担起改变世界的责任。你还不够勇敢，却在变得无畏。)</t>
    <phoneticPr fontId="6" type="noConversion"/>
  </si>
  <si>
    <t>body(   大贤者赫肯是一个值得尊重的老者，与君士坦丁那种政客完全不是一类人。这东西，已经在他那儿寄存了10多个年头，如今……)</t>
    <phoneticPr fontId="6" type="noConversion"/>
  </si>
  <si>
    <t>body(   真是颗美丽的石头，只是……
blankline()   （一声脆响，宝石被特洛雷西给捏碎了！）
blankline()   这是假的宝石，真的宝石应该在塔克百夫长身上！)</t>
    <phoneticPr fontId="6" type="noConversion"/>
  </si>
  <si>
    <t>"前往塔克族战士的营地，寻找失落之心"</t>
    <phoneticPr fontId="6" type="noConversion"/>
  </si>
  <si>
    <t>body(   很多人见过“失落之心”，想必他们短时间不会把宝石送回山间。如果塔克族战士没有，那也许在“塔克族百夫长”身上！去找到“失落之心”吧！)</t>
    <phoneticPr fontId="6" type="noConversion"/>
  </si>
  <si>
    <t>body(   黯淡的光芒，却有着无与伦比的硬度。这就是“失落之心”，已经很多年没见到了。)</t>
    <phoneticPr fontId="6" type="noConversion"/>
  </si>
  <si>
    <t>body(   好。你已经准备充分了，那就启程吧！)</t>
    <phoneticPr fontId="6" type="noConversion"/>
  </si>
  <si>
    <t>"击败塔克族百夫长寻找真的失落之心"</t>
    <phoneticPr fontId="6" type="noConversion"/>
  </si>
  <si>
    <t>body(   时空的力量太过可怕，吸引了周围无数的妖兽前来冲击。
blankline()   那种头顶长着蘑菇，四肢章鱼一般的乌龟就是冲着时空能量而来。我需要用很长的时间去进行祷告。希望你能够在此期间，守护我完成这个祷告。)</t>
    <phoneticPr fontId="6" type="noConversion"/>
  </si>
  <si>
    <t>body(   我们会在这里呆很长一段时间，暂时无法离开这个区域。你看看是否可以让神斧战将迪特里斯为我们准备一些补给？)</t>
    <phoneticPr fontId="6" type="noConversion"/>
  </si>
  <si>
    <t>body(   好的，没问题。短短数日不见，没想啊你们已经取得了如此长足的进展。补给的事，你可以去找君士坦丁。让那老家伙准备补给，他一定会很乐意。)</t>
    <phoneticPr fontId="6" type="noConversion"/>
  </si>
  <si>
    <t>body(   你可以直接去寻找君士坦丁，他会给你准备充足的补给。)</t>
    <phoneticPr fontId="6" type="noConversion"/>
  </si>
  <si>
    <t>body(   好，做得好。补给没问题。)</t>
    <phoneticPr fontId="6" type="noConversion"/>
  </si>
  <si>
    <t>"前往大议长君士坦丁处寻求帮助"</t>
    <phoneticPr fontId="6" type="noConversion"/>
  </si>
  <si>
    <t>body(   大人在冥想之前，曾经嘱咐我们，需要提醒你努力增长实力。你是王师重组的关键，也是未来帝国的希望。努力提升等级至72级吧！)</t>
    <phoneticPr fontId="6" type="noConversion"/>
  </si>
  <si>
    <t>body(   干得好！真是惊人的天赋。)</t>
    <phoneticPr fontId="6" type="noConversion"/>
  </si>
  <si>
    <t>"击杀70只暗影毒蜂"</t>
    <phoneticPr fontId="6" type="noConversion"/>
  </si>
  <si>
    <t>"击杀暗影蜂王"</t>
    <phoneticPr fontId="6" type="noConversion"/>
  </si>
  <si>
    <t>body(   看来大人已经完成了祷告！)</t>
    <phoneticPr fontId="6" type="noConversion"/>
  </si>
  <si>
    <t>"与神枪战将特洛雷西对话"</t>
    <phoneticPr fontId="6" type="noConversion"/>
  </si>
  <si>
    <t>body(   哈哈，英雄出少年啊！能办到这一步，老头子我也没有想到。至于结果，之后肯定是会有的。)</t>
    <phoneticPr fontId="6" type="noConversion"/>
  </si>
  <si>
    <t>body(   你就是那位被君士坦丁议长挂在嘴边的少年英雄？果然与众不同。)</t>
    <phoneticPr fontId="6" type="noConversion"/>
  </si>
  <si>
    <t>"击杀深渊巨龟"</t>
    <phoneticPr fontId="6" type="noConversion"/>
  </si>
  <si>
    <t>"与迪奥执法官对话"</t>
    <phoneticPr fontId="6" type="noConversion"/>
  </si>
  <si>
    <t>迪奥执法官</t>
    <phoneticPr fontId="6" type="noConversion"/>
  </si>
  <si>
    <t>"击杀70只六足速龙"</t>
    <phoneticPr fontId="6" type="noConversion"/>
  </si>
  <si>
    <t>body(   你的实力隐隐又有提升的趋势，你将等级提升至76级再来帮忙吧！)</t>
    <phoneticPr fontId="6" type="noConversion"/>
  </si>
  <si>
    <t>body(   看你两眼精芒内敛，四周元素流转，实力更是提升不少！)</t>
    <phoneticPr fontId="6" type="noConversion"/>
  </si>
  <si>
    <t>"提升等级至76级"</t>
    <phoneticPr fontId="6" type="noConversion"/>
  </si>
  <si>
    <t>body(   帝国不会忘了你们所做的努力。你们是帝国的英雄。)</t>
    <phoneticPr fontId="6" type="noConversion"/>
  </si>
  <si>
    <t>body(   这下六足速龙的危机已经解除，并且我们还将获得大量速龙皮。那可是制作防御性皮甲的好东西。你将这车六足速龙的皮送至君士坦丁处。)</t>
    <phoneticPr fontId="6" type="noConversion"/>
  </si>
  <si>
    <t>body(   目前帝国正处在危难时刻，我没法亲临前线给予慰问。你可以将我的口头褒奖送至，希望迪奥能够理解我的良苦用心。)</t>
    <phoneticPr fontId="6" type="noConversion"/>
  </si>
  <si>
    <t>body(   为了帝国的荣耀！)</t>
    <phoneticPr fontId="6" type="noConversion"/>
  </si>
  <si>
    <t>"护送补给车前往大议长君士坦丁处"</t>
    <phoneticPr fontId="6" type="noConversion"/>
  </si>
  <si>
    <t>"对迪奥执行官进行褒奖"</t>
    <phoneticPr fontId="6" type="noConversion"/>
  </si>
  <si>
    <t>body(   越是风平浪静的日子，越是暗流涌动。也不知道哪天，就会突然离开这个世界。哈哈，是我伤感了。来来，我们来玩把牌吧！生命并不总是流于伤感的。)</t>
    <phoneticPr fontId="6" type="noConversion"/>
  </si>
  <si>
    <t>body(   哈哈，人生没有输赢，只看是否精彩。)</t>
    <phoneticPr fontId="6" type="noConversion"/>
  </si>
  <si>
    <t>"与迪奥玩一把牌"</t>
    <phoneticPr fontId="6" type="noConversion"/>
  </si>
  <si>
    <t>"获取40块野生莫牛肉"</t>
    <phoneticPr fontId="6" type="noConversion"/>
  </si>
  <si>
    <t>&lt;p&gt;
&lt;n&gt;  击杀 &lt;/n&gt;
 &lt;n&gt; &lt;/n&gt;&lt;goto id="10209" mapid="5" flagpoint="1" taskid="4981" /&gt;
&lt;newline/&gt;
&lt;n&gt;  获取40块野生魔牛肉 &lt;/n&gt;
&lt;/p&gt;</t>
    <phoneticPr fontId="6" type="noConversion"/>
  </si>
  <si>
    <t>body(   哈哈，这下鲜嫩可口的野生魔牛排就做好了，来尝尝？)</t>
    <phoneticPr fontId="6" type="noConversion"/>
  </si>
  <si>
    <t>body(   平静的生活总是很容易让人丧失斗志。只是我宁愿这辈子都能生活在平静和谐的世界里，也不希望斗志燃烧直至战斗结束。)</t>
    <phoneticPr fontId="6" type="noConversion"/>
  </si>
  <si>
    <t>body(   你是个有实力的人，为今天的牛排干杯，为明天的和平干杯，为了人类的生存干杯！)</t>
    <phoneticPr fontId="6" type="noConversion"/>
  </si>
  <si>
    <t>body(   来来来，好久没有玩牌了。我们来一把比大小吧！老规矩，谁的牌大谁赢。)</t>
    <phoneticPr fontId="6" type="noConversion"/>
  </si>
  <si>
    <t>body(   哈哈，有趣有趣。)</t>
    <phoneticPr fontId="6" type="noConversion"/>
  </si>
  <si>
    <t>body(   糟糕了，我们上回吃的牛，是属于魔牛统领的。那可不是一般的魔牛，而是真正的魔兽了！看来这回事情弄大了。)</t>
    <phoneticPr fontId="6" type="noConversion"/>
  </si>
  <si>
    <t>body(   那也只能如此了。)</t>
    <phoneticPr fontId="6" type="noConversion"/>
  </si>
  <si>
    <t>body(   好日子看来马上要结束了，我们前方的斥候发回了消息。魔族邪豹统领带领着上千的魔族邪豹前来偷袭。此次情报可靠，你需要好好准备一下，将等级提升至79级。)</t>
    <phoneticPr fontId="6" type="noConversion"/>
  </si>
  <si>
    <t>body(   我们联手，大杀四方，让那些狰狞的魔族异类知道侵犯帝国的下场！)</t>
    <phoneticPr fontId="6" type="noConversion"/>
  </si>
  <si>
    <t>&lt;p&gt;
&lt;n&gt;  击杀70只 &lt;/n&gt;
 &lt;n&gt; &lt;/n&gt;&lt;goto id="10210" mapid="5" flagpoint="1" taskid="5051" /&gt;
&lt;/p&gt;</t>
    <phoneticPr fontId="6" type="noConversion"/>
  </si>
  <si>
    <t>&lt;p&gt;
&lt;n&gt;  击杀70只 &lt;/n&gt;
 &lt;n&gt; &lt;/n&gt;&lt;goto id="10210" mapid="5" flagpoint="1" taskid="5061" /&gt;
&lt;/p&gt;</t>
    <phoneticPr fontId="6" type="noConversion"/>
  </si>
  <si>
    <t>body(   击杀邪豹统领，解除魔族的进攻！)</t>
    <phoneticPr fontId="6" type="noConversion"/>
  </si>
  <si>
    <t>body(   活下来的感觉……真好……)</t>
    <phoneticPr fontId="6" type="noConversion"/>
  </si>
  <si>
    <t>&lt;p&gt;
&lt;n&gt;  击杀 &lt;/n&gt;
 &lt;n&gt; &lt;/n&gt;&lt;goto id="10309" mapid="5" flagpoint="1" taskid="5071" /&gt;
&lt;/p&gt;</t>
    <phoneticPr fontId="6" type="noConversion"/>
  </si>
  <si>
    <t>body(   干得不错，只是不知为何内心总有一些担忧！)</t>
    <phoneticPr fontId="6" type="noConversion"/>
  </si>
  <si>
    <t>佩林执法官</t>
    <phoneticPr fontId="12" type="noConversion"/>
  </si>
  <si>
    <t>body(   王者的天下，是不论对错的。在生存面前，对与错也不是那么重要。)</t>
    <phoneticPr fontId="12" type="noConversion"/>
  </si>
  <si>
    <t>&lt;p&gt;
&lt;n&gt;  击杀70只 &lt;/n&gt;
 &lt;n&gt; &lt;/n&gt;&lt;goto id="10212" mapid="5" flagpoint="1" taskid="5111" /&gt;
&lt;/p&gt;</t>
    <phoneticPr fontId="11" type="noConversion"/>
  </si>
  <si>
    <t>body(   勇者是值得尊重的，哪怕他们是敌人。)</t>
    <phoneticPr fontId="12" type="noConversion"/>
  </si>
  <si>
    <t>&lt;p&gt;
&lt;n&gt;  击杀1只 &lt;/n&gt;
 &lt;n&gt; &lt;/n&gt;&lt;goto id="10311" mapid="5" flagpoint="1" taskid="5121" /&gt;
&lt;/p&gt;</t>
    <phoneticPr fontId="11" type="noConversion"/>
  </si>
  <si>
    <t>title(（85级）土魔邪狮)
body(hotyellow_3(任务进程:)newline()
   击杀70只goto(10213,5)，并告知goto(60556,5)。
blankline()hotyellow_3(任务描述:)newline() 
   从来都没有见过这样的狮子。具备充足土元素所构成的护甲，具备了邪狮的狂野与战斗力！)</t>
  </si>
  <si>
    <t>body(   从来都没有见过这样的狮子。具备充足土元素所构成的护甲，具备了邪狮的狂野与战斗力！)</t>
    <phoneticPr fontId="12" type="noConversion"/>
  </si>
  <si>
    <t>body(   狮子是何等高贵而骄傲的王者，堕落后的灵魂却如此卑微。)</t>
    <phoneticPr fontId="12" type="noConversion"/>
  </si>
  <si>
    <t>&lt;p&gt;
&lt;n&gt;  击杀70只 &lt;/n&gt;
 &lt;n&gt; &lt;/n&gt;&lt;goto id="10213" mapid="5" flagpoint="1" taskid="5131" /&gt;
&lt;/p&gt;</t>
    <phoneticPr fontId="11" type="noConversion"/>
  </si>
  <si>
    <t>佩林执法官</t>
    <phoneticPr fontId="12" type="noConversion"/>
  </si>
  <si>
    <t>title(（86级）邪狮王)
body(hotyellow_3(任务进程:)newline()
   击杀1只goto(10312,5)，并告知goto(60556,5)。
blankline()hotyellow_3(任务描述:)newline() 
   只有击杀了邪狮王，才能使得邪狮安抚下来。邪狮王属于魔物，本就不应该存在于人间，是上古邪魔通过秘法制造出来的怪物。具有摄人心魄，控制魔兽的邪异能力。)</t>
  </si>
  <si>
    <t>body(   只有击杀了邪狮王，才能使得邪狮安抚下来。邪狮王属于魔物，本就不应该存在于人间，是上古邪魔通过秘法制造出来的怪物。具有摄人心魄，控制魔兽的邪异能力。)</t>
    <phoneticPr fontId="12" type="noConversion"/>
  </si>
  <si>
    <t>body(   肉体的净化，或许才能让他的灵魂得到安息吧！)</t>
    <phoneticPr fontId="12" type="noConversion"/>
  </si>
  <si>
    <t>&lt;p&gt;
&lt;n&gt;  击杀1只 &lt;/n&gt;
 &lt;n&gt; &lt;/n&gt;&lt;goto id="10312" mapid="5" flagpoint="1" taskid="5141" /&gt;
&lt;/p&gt;</t>
    <phoneticPr fontId="11" type="noConversion"/>
  </si>
  <si>
    <t>title(（87级）飓风鹰龙)
body(hotyellow_3(任务进程:)newline()
   击杀70只goto(10214,5)，并告知goto(60556,5)。
blankline()hotyellow_3(任务描述:)newline() 
   在极东之洋，有一群随风而生的鹰龙。他们是亚龙的一种，具备龙与鹰的血脉。他们被称之为“海殇”，因为海上见到他们，便意味着灾难。谁也不知道，这种本应出现在神话中的怪物，为何会出现在这里！)</t>
  </si>
  <si>
    <t>body(   在极东之洋，有一群随风而生的鹰龙。他们是亚龙的一种，具备龙与鹰的血脉。他们被称之为“海殇”，因为海上见到他们，便意味着灾难。谁也不知道，这种本应出现在神话中的怪物，为何会出现在这里！)</t>
    <phoneticPr fontId="12" type="noConversion"/>
  </si>
  <si>
    <t>body(   从哪里来，回哪里去。在我们的土地上，不容许一点嚣张。)</t>
    <phoneticPr fontId="12" type="noConversion"/>
  </si>
  <si>
    <t>&lt;p&gt;
&lt;n&gt;  击杀70只 &lt;/n&gt;
 &lt;n&gt; &lt;/n&gt;&lt;goto id="10214" mapid="5" flagpoint="1" taskid="5151" /&gt;
&lt;/p&gt;</t>
    <phoneticPr fontId="11" type="noConversion"/>
  </si>
  <si>
    <t>title(（88级）爆风鹰龙)
body(hotyellow_3(任务进程:)newline()
   击杀1只goto(10313,5)，并告知goto(60556,5)。
blankline()hotyellow_3(任务描述:)newline() 
   没有人见过这种怪物，之前的书籍中也没有记载过。但是看飓风鹰龙对于他的态度，很显然这种怪物是被称之为王的生物。)</t>
  </si>
  <si>
    <t>body(   没有人见过这种怪物，之前的书籍中也没有记载过。但是看飓风鹰龙对于他的态度，很显然这种怪物是被称之为王的生物。)</t>
    <phoneticPr fontId="12" type="noConversion"/>
  </si>
  <si>
    <t>body(   是龙也得给我趴着，是鹰也得给我伏着。总之，这片土地，是属于人类的！)</t>
    <phoneticPr fontId="12" type="noConversion"/>
  </si>
  <si>
    <t>&lt;p&gt;
&lt;n&gt;  击杀1只 &lt;/n&gt;
 &lt;n&gt; &lt;/n&gt;&lt;goto id="10313" mapid="5" flagpoint="1" taskid="5161" /&gt;
&lt;/p&gt;</t>
    <phoneticPr fontId="11" type="noConversion"/>
  </si>
  <si>
    <t>title(（89级）贪婪异狼)
body(hotyellow_3(任务进程:)newline()
   击杀70只goto(10215,5)，并告知goto(60556,5)。
blankline()hotyellow_3(任务描述:)newline() 
   狼本是种普通的动物。一万头狼中，会有一头成为异狼。具备强大的实力和聪明的头脑。
而异狼往往聪明，并不会去袭击人类。依靠智慧便可生存很久，是种无害的魔兽。
而当一千头异狼中会有那么一头，丧失智慧充满欲望。那便是“贪婪异狼”。
那么多的贪婪异狼，不知道是谁培育的，真是大手笔。)</t>
  </si>
  <si>
    <t>body(   狼本是种普通的动物。一万头狼中，会有一头成为异狼。具备强大的实力和聪明的头脑。
而异狼往往聪明，并不会去袭击人类。依靠智慧便可生存很久，是种无害的魔兽。
而当一千头异狼中会有那么一头，丧失智慧充满欲望。那便是“贪婪异狼”。
那么多的贪婪异狼，不知道是谁培育的，真是大手笔。)</t>
    <phoneticPr fontId="12" type="noConversion"/>
  </si>
  <si>
    <t>body(   进化，本该是件值得欣喜的事情。当进化变成了一种罪恶，是该怀疑神，还是该怀疑自己。)</t>
    <phoneticPr fontId="12" type="noConversion"/>
  </si>
  <si>
    <t>&lt;p&gt;
&lt;n&gt;  击杀70只 &lt;/n&gt;
 &lt;n&gt; &lt;/n&gt;&lt;goto id="10215" mapid="5" flagpoint="1" taskid="5171" /&gt;
&lt;/p&gt;</t>
    <phoneticPr fontId="11" type="noConversion"/>
  </si>
  <si>
    <t>title(（90级）异狼将)
body(hotyellow_3(任务进程:)newline()
   击杀1只goto(10314,5)，并告知goto(60556,5)。
blankline()hotyellow_3(任务描述:)newline() 
   五百头贪婪异狼中，才会出一头异狼将。那是充满杀戮的机器。你甚至已经无法将它作为魔兽来看待。当异狼将出现，即便是在魔族，也可以被称之为贵族。)</t>
  </si>
  <si>
    <t>body(   五百头贪婪异狼中，才会出一头异狼将。那是充满杀戮的机器。你甚至已经无法将它作为魔兽来看待。当异狼将出现，即便是在魔族，也可以被称之为贵族。)</t>
    <phoneticPr fontId="12" type="noConversion"/>
  </si>
  <si>
    <t>body(   战争，没有胜利者，只有坚持的人，才能走到最后。)</t>
    <phoneticPr fontId="12" type="noConversion"/>
  </si>
  <si>
    <t>&lt;p&gt;
&lt;n&gt;  击杀1只 &lt;/n&gt;
 &lt;n&gt; &lt;/n&gt;&lt;goto id="10314" mapid="5" flagpoint="1" taskid="5181" /&gt;
&lt;/p&gt;</t>
    <phoneticPr fontId="11" type="noConversion"/>
  </si>
  <si>
    <t>title(（91级）剧毒紫蜂)
body(hotyellow_3(任务进程:)newline()
   击杀70只goto(10216,5)，并告知goto(60556,5)。
blankline()hotyellow_3(任务描述:)newline() 
   常见的蜜蜂是白色的，而当蜜蜂带毒便成了蓝色、黄色、绿色，甚至紫色。蜜蜂的毒素越高，颜色越深。紫色，是当前可见最毒的蜂种了。剧毒紫蜂成群结伙，危害巨大。一个人恐怕是难以抵挡的。)</t>
  </si>
  <si>
    <t>body(   常见的蜜蜂是白色的，而当蜜蜂带毒便成了蓝色、黄色、绿色，甚至紫色。蜜蜂的毒素越高，颜色越深。紫色，是当前可见最毒的蜂种了。剧毒紫蜂成群结伙，危害巨大。一个人恐怕是难以抵挡的。)</t>
    <phoneticPr fontId="12" type="noConversion"/>
  </si>
  <si>
    <t>body(   物种延续，法则超然。既然存在，就要有湮灭的准备。剧毒紫蜂如此，人类……也当如此……)</t>
    <phoneticPr fontId="12" type="noConversion"/>
  </si>
  <si>
    <t>&lt;p&gt;
&lt;n&gt;  击杀70只 &lt;/n&gt;
 &lt;n&gt; &lt;/n&gt;&lt;goto id="10216" mapid="5" flagpoint="1" taskid="5191" /&gt;
&lt;/p&gt;</t>
    <phoneticPr fontId="11" type="noConversion"/>
  </si>
  <si>
    <t>title(（92级）剧毒紫蜂后)
body(hotyellow_3(任务进程:)newline()
   击杀1只goto(10315,5)，并告知goto(60556,5)。
blankline()hotyellow_3(任务描述:)newline() 
   最毒的是紫蜂，而比紫蜂更慑人的是剧毒紫蜂后。那是紫蜂中的王者。也许见到紫蜂还能够躲避，但若是见到了剧毒紫蜂后，那就是不死不休的一个结局。)</t>
  </si>
  <si>
    <t>body(   最毒的是紫蜂，而比紫蜂更慑人的是剧毒紫蜂后。那是紫蜂中的王者。也许见到紫蜂还能够躲避，但若是见到了剧毒紫蜂后，那就是不死不休的一个结局。)</t>
    <phoneticPr fontId="12" type="noConversion"/>
  </si>
  <si>
    <t>body(   毒不可怕，可怕的是驾驭这些毒物的幕后黑手。他们的野心和目的，才是我们最为害怕的。)</t>
    <phoneticPr fontId="12" type="noConversion"/>
  </si>
  <si>
    <t>&lt;p&gt;
&lt;n&gt;  击杀1只 &lt;/n&gt;
 &lt;n&gt; &lt;/n&gt;&lt;goto id="10315" mapid="5" flagpoint="1" taskid="5201" /&gt;
&lt;/p&gt;</t>
    <phoneticPr fontId="11" type="noConversion"/>
  </si>
  <si>
    <t>佩林执法官</t>
    <phoneticPr fontId="12" type="noConversion"/>
  </si>
  <si>
    <t>title(（93级）塞拉匹斯)
body(hotyellow_3(任务进程:)newline()
   击杀70只goto(10217,5)，并告知goto(60556,5)。
blankline()hotyellow_3(任务描述:)newline() 
   从深渊而来，古旧的书籍中，只记载着那是一种异变的元素体，充斥着暴虐和力量。)</t>
  </si>
  <si>
    <t>body(   从深渊而来，古旧的书籍中，只记载着那是一种异变的元素体，充斥着暴虐和力量。)</t>
    <phoneticPr fontId="12" type="noConversion"/>
  </si>
  <si>
    <t>body(   在历史的尘埃中渐渐被人遗忘的上古，到底发生了什么？存在什么奇怪的事情？)</t>
    <phoneticPr fontId="12" type="noConversion"/>
  </si>
  <si>
    <t>&lt;p&gt;
&lt;n&gt;  击杀70只 &lt;/n&gt;
 &lt;n&gt; &lt;/n&gt;&lt;goto id="10217" mapid="5" flagpoint="1" taskid="5211" /&gt;
&lt;/p&gt;</t>
    <phoneticPr fontId="11" type="noConversion"/>
  </si>
  <si>
    <t>title(（94级）圣塞拉匹斯)
body(hotyellow_3(任务进程:)newline()
   击杀1只goto(10316,5)，并告知goto(60556,5)。
blankline()hotyellow_3(任务描述:)newline() 
   塞拉匹斯中的祭司，击杀了他，整个塞拉匹斯就会变得容易处理。)</t>
  </si>
  <si>
    <t>body(   塞拉匹斯中的祭司，击杀了他，整个塞拉匹斯就会变得容易处理。)</t>
    <phoneticPr fontId="12" type="noConversion"/>
  </si>
  <si>
    <t>body(   圣塞拉匹斯也许就是我们需要突破的关键点。击败他们，我们离胜利应该也就不远了。)</t>
    <phoneticPr fontId="12" type="noConversion"/>
  </si>
  <si>
    <t>&lt;p&gt;
&lt;n&gt;  击杀1只 &lt;/n&gt;
 &lt;n&gt; &lt;/n&gt;&lt;goto id="10316" mapid="5" flagpoint="1" taskid="5221" /&gt;
&lt;/p&gt;</t>
    <phoneticPr fontId="11" type="noConversion"/>
  </si>
  <si>
    <t>title(（95级）魔甲龙战士)
body(hotyellow_3(任务进程:)newline()
   击杀70只goto(10218,5)，并告知goto(60556,5)。
blankline()hotyellow_3(任务描述:)newline() 
   你曾经见过地狱守护吗？地狱守护的同族便是魔甲龙战士。
他们越过深渊，从地底深处迈向人间。在他们的欲望中，吞噬与杀戮便是最终的目标。
当他们吞噬了足够的灵魂，便会进化。而地狱守护并不是他们进化的终点……)</t>
  </si>
  <si>
    <t>body(   你曾经见过地狱守护吗？地狱守护的同族便是魔甲龙战士。
他们越过深渊，从地底深处迈向人间。在他们的欲望中，吞噬与杀戮便是最终的目标。
当他们吞噬了足够的灵魂，便会进化。而地狱守护并不是他们进化的终点……)</t>
    <phoneticPr fontId="12" type="noConversion"/>
  </si>
  <si>
    <t>body(   从地狱而来的战士，不是被地狱所遗忘，便是想要遗忘地狱。)</t>
    <phoneticPr fontId="12" type="noConversion"/>
  </si>
  <si>
    <t>&lt;p&gt;
&lt;n&gt;  击杀70只 &lt;/n&gt;
 &lt;n&gt; &lt;/n&gt;&lt;goto id="10218" mapid="5" flagpoint="1" taskid="5231" /&gt;
&lt;/p&gt;</t>
    <phoneticPr fontId="11" type="noConversion"/>
  </si>
  <si>
    <t>佩林执法官</t>
    <phoneticPr fontId="12" type="noConversion"/>
  </si>
  <si>
    <t>title(（96级）魔甲龙战将)
body(hotyellow_3(任务进程:)newline()
   击杀1只goto(10317,5)，并告知goto(60556,5)。
blankline()hotyellow_3(任务描述:)newline() 
   魔甲龙战将骑士并不是龙战士强多少，只是他们的灵魂力量要远远超过普通的魔甲龙战士。不死不灭的灵魂火焰时刻刺痛着他们，使他们坚定地在嗜血杀戮之道上前进。)</t>
  </si>
  <si>
    <t>body(   魔甲龙战将骑士并不是龙战士强多少，只是他们的灵魂力量要远远超过普通的魔甲龙战士。不死不灭的灵魂火焰时刻刺痛着他们，使他们坚定地在嗜血杀戮之道上前进。)</t>
    <phoneticPr fontId="12" type="noConversion"/>
  </si>
  <si>
    <t>body(   我想你是不会给他机会变得更强的。)</t>
    <phoneticPr fontId="12" type="noConversion"/>
  </si>
  <si>
    <t>&lt;p&gt;
&lt;n&gt;  击杀1只 &lt;/n&gt;
 &lt;n&gt; &lt;/n&gt;&lt;goto id="10317" mapid="5" flagpoint="1" taskid="5241" /&gt;
&lt;/p&gt;</t>
    <phoneticPr fontId="11" type="noConversion"/>
  </si>
  <si>
    <t>body(   不管他们从哪里来，要做什么。冒犯帝国威严的人都得死！)</t>
    <phoneticPr fontId="12" type="noConversion"/>
  </si>
  <si>
    <t>&lt;p&gt;
&lt;n&gt;  击杀70只 &lt;/n&gt;
 &lt;n&gt; &lt;/n&gt;&lt;goto id="10219" mapid="5" flagpoint="1" taskid="5251" /&gt;
&lt;/p&gt;</t>
    <phoneticPr fontId="11" type="noConversion"/>
  </si>
  <si>
    <t>title(（98级）噜噜族猛士)
body(hotyellow_3(任务进程:)newline()
   击杀1只goto(10318,5)，并告知goto(60556,5)。
blankline()hotyellow_3(任务描述:)newline() 
   噜噜族最大的野猪，最高的战士，才能被称之为猛士。尽管他们最高的战士，也许只有你膝盖那么高。可任何小看他的人类，都已经付出过代价。
对于生命已经淡漠到了无所谓的生物，应该猜是最可怕的。)</t>
  </si>
  <si>
    <t>body(   噜噜族最大的野猪，最高的战士，才能被称之为猛士。尽管他们最高的战士，也许只有你膝盖那么高。可任何小看他的人类，都已经付出过代价。
对于生命已经淡漠到了无所谓的生物，应该猜是最可怕的。)</t>
    <phoneticPr fontId="12" type="noConversion"/>
  </si>
  <si>
    <t>&lt;p&gt;
&lt;n&gt;  击杀1只 &lt;/n&gt;
 &lt;n&gt; &lt;/n&gt;&lt;goto id="10318" mapid="5" flagpoint="1" taskid="5261" /&gt;
&lt;/p&gt;</t>
    <phoneticPr fontId="11" type="noConversion"/>
  </si>
  <si>
    <t>title(（99级）黑皇后蜘蛛)
body(hotyellow_3(任务进程:)newline()
   击杀70只goto(10220,5)，并告知goto(60556,5)。
blankline()hotyellow_3(任务描述:)newline() 
   这已经是魔族中绝对的贵族了。他们高傲、敏感、嗜血、恶毒。所有负面的形容词，对于他们来说都是赞美。
总之，黑皇后蜘蛛比你能够想象的坏蛋，还要坏一百倍就对了。)</t>
  </si>
  <si>
    <t>body(   这已经是魔族中绝对的贵族了。他们高傲、敏感、嗜血、恶毒。所有负面的形容词，对于他们来说都是赞美。
总之，黑皇后蜘蛛比你能够想象的坏蛋，还要坏一百倍就对了。)</t>
    <phoneticPr fontId="12" type="noConversion"/>
  </si>
  <si>
    <t>body(   幽冥中而来的敌人，一点机会都不会给的。)</t>
    <phoneticPr fontId="12" type="noConversion"/>
  </si>
  <si>
    <t>&lt;p&gt;
&lt;n&gt;  击杀70只 &lt;/n&gt;
 &lt;n&gt; &lt;/n&gt;&lt;goto id="10220" mapid="5" flagpoint="1" taskid="5271" /&gt;
&lt;/p&gt;</t>
    <phoneticPr fontId="11" type="noConversion"/>
  </si>
  <si>
    <t>佩林执法官</t>
    <phoneticPr fontId="12" type="noConversion"/>
  </si>
  <si>
    <t>title(（100级）黑皇后巨蛛)
body(hotyellow_3(任务进程:)newline()
   击杀1只goto(10319,5)，并告知goto(60556,5)。
blankline()hotyellow_3(任务描述:)newline() 
   黑皇后巨蛛是他们族群中的坏蛋，比之其他的蜘蛛要坏上许多。如果你觉得他们总是铺网躲在阴暗的地方，一口一口咬掉生物的四肢，而那口器中的麻醉剂，能让人只剩下大脑与心脏的情况下依然活着。不能不说，这是一种很可怕，也让人很绝望的生物。)</t>
  </si>
  <si>
    <t>body(   黑皇后巨蛛是他们族群中的坏蛋，比之其他的蜘蛛要坏上许多。如果你觉得他们总是铺网躲在阴暗的地方，一口一口咬掉生物的四肢，而那口器中的麻醉剂，能让人只剩下大脑与心脏的情况下依然活着。不能不说，这是一种很可怕，也让人很绝望的生物。)</t>
    <phoneticPr fontId="12" type="noConversion"/>
  </si>
  <si>
    <t>body(   哪怕是黑皇帝巨蝎，也必须被战胜。)</t>
    <phoneticPr fontId="12" type="noConversion"/>
  </si>
  <si>
    <t>&lt;p&gt;
&lt;n&gt;  击杀1只 &lt;/n&gt;
 &lt;n&gt; &lt;/n&gt;&lt;goto id="10319" mapid="5" flagpoint="1" taskid="5281" /&gt;
&lt;/p&gt;</t>
    <phoneticPr fontId="11" type="noConversion"/>
  </si>
  <si>
    <t>body(   不错，那就准备下一个考验吧！)</t>
    <phoneticPr fontId="6" type="noConversion"/>
  </si>
  <si>
    <t>神斧战将-迪特里斯</t>
    <phoneticPr fontId="6" type="noConversion"/>
  </si>
  <si>
    <t>神枪战将-特洛雷西</t>
    <phoneticPr fontId="6" type="noConversion"/>
  </si>
  <si>
    <t>body(   “失落之心”与“时空之泪”已经准备妥当，我会着手准备进行祷告。希望得到关于伟大的英雄王赛博利亚的踪迹。
blankline()   我希望在此期间，你能够提升自身的实力至71级。)</t>
    <phoneticPr fontId="6" type="noConversion"/>
  </si>
  <si>
    <t>body(   最近，在这附近的动物越来越少，不知道为何消失。一次偶然的机会，我们看到了硕大的暗影毒蜂。那是一种群居的昆虫，剧毒，每每出现的时候，都是铺天盖地。更可怕的是他们的首领，暗影蜂王。
blankline()   必须得依赖你去消灭那70只暗影毒蜂了！)</t>
    <phoneticPr fontId="6" type="noConversion"/>
  </si>
  <si>
    <t>body(   铺天盖地的怪兽，只能说明大人的冥想马上就要完成了！)</t>
    <phoneticPr fontId="6" type="noConversion"/>
  </si>
  <si>
    <t>body(   暗影毒蜂越来越多了！不知道后面还会遇到什么怪物！看来得想办法尽快击杀暗影蜂王。那样才能阻止越来越多的暗影毒蜂！)</t>
    <phoneticPr fontId="6" type="noConversion"/>
  </si>
  <si>
    <t>body(   总算可以喘口气了，这回要不是你，我们可就没脸见大人了。)</t>
    <phoneticPr fontId="6" type="noConversion"/>
  </si>
  <si>
    <t>迪奥执法官</t>
    <phoneticPr fontId="6" type="noConversion"/>
  </si>
  <si>
    <t>body(  好！解决了六足速龙，总算可以舒口气了。)</t>
    <phoneticPr fontId="6" type="noConversion"/>
  </si>
  <si>
    <t>body(   前不久刚解决的六足速龙数量又大幅提升。我们怀疑在六足速龙中隐藏着速龙头领。只要他们在，速龙就会络绎不绝从各处赶来。
这些禽兽为何来到这里？前去击杀了速龙头领吧！)</t>
    <phoneticPr fontId="6" type="noConversion"/>
  </si>
  <si>
    <t>body(   （迪奥执法官长舒了一口气）
blankline()   目前的危机已经解除，只是他们为何来到这里？又是谁驱使他们的？这实在是个让人深感恐惧的问题。)</t>
    <phoneticPr fontId="6" type="noConversion"/>
  </si>
  <si>
    <t>body(   他要战，我们便战吧！击杀了魔牛统领，我们可以吃一顿更加鲜美的牛肉。)</t>
    <phoneticPr fontId="6" type="noConversion"/>
  </si>
  <si>
    <t>body(   哈哈，干得好！)</t>
    <phoneticPr fontId="6" type="noConversion"/>
  </si>
  <si>
    <t>body(   第一波的冲击已经结束，马上就要到来第二波的冲击！)</t>
    <phoneticPr fontId="6" type="noConversion"/>
  </si>
  <si>
    <t>body(   第二波的魔族邪豹也将杀至，击败他们，不要让帝国的旗帜蒙羞！)</t>
    <phoneticPr fontId="6" type="noConversion"/>
  </si>
  <si>
    <t>body(   干得好，痛快。)</t>
    <phoneticPr fontId="6" type="noConversion"/>
  </si>
  <si>
    <t>佩林执法官</t>
    <phoneticPr fontId="6" type="noConversion"/>
  </si>
  <si>
    <t>title(（81级）默克菲斯)
body(hotyellow_3(任务进程:)newline()
   击杀70只goto(10211,5)，并告知goto(60556,5)。
blankline()hotyellow_3(任务描述:)newline() 
   默克菲斯是魔族从沙漠召唤的邪恶异族。他们遵从法老的旨意，与魔族一起侵犯人类。他们是死而复生的战士，所以拥有更加强悍的躯体与不死不休的意志。如果要击溃他们，就得彻底消灭的他们的躯干以及灵魂！)</t>
    <phoneticPr fontId="6" type="noConversion"/>
  </si>
  <si>
    <t>body(   默克菲斯是魔族从沙漠召唤的邪恶异族。他们遵从法老的旨意，与魔族一起侵犯人类。他们是死而复生的战士，所以拥有更加强悍的躯体与不死不休的意志。如果要击溃他们，就得彻底消灭的他们的躯干以及灵魂！)</t>
    <phoneticPr fontId="6" type="noConversion"/>
  </si>
  <si>
    <t>body(   杀戮是为了活着。不为别人，就为自己，你也得不停地杀戮下去。)</t>
    <phoneticPr fontId="6" type="noConversion"/>
  </si>
  <si>
    <t>&lt;p&gt;
&lt;n&gt;  击杀70只 &lt;/n&gt;
 &lt;n&gt; &lt;/n&gt;&lt;goto id="10211" mapid="5" flagpoint="1" taskid="5091" /&gt;
&lt;/p&gt;</t>
    <phoneticPr fontId="6" type="noConversion"/>
  </si>
  <si>
    <t>title(（82级）圣默克菲斯)
body(hotyellow_3(任务进程:)newline()
   击杀1只goto(10310,5)，并告知goto(60556,5)。
blankline()hotyellow_3(任务描述:)newline() 
   五百个默克菲斯中，会有一个默克菲斯具备了生前的记忆。他们忠君，信仰邪神。他们具备默克菲斯的战力，也具备人的头脑。他们被尊称为圣默克菲斯，如同恶魔之眼一般在远处窥探着人类的繁华。)</t>
    <phoneticPr fontId="6" type="noConversion"/>
  </si>
  <si>
    <t>body(   五百个默克菲斯中，会有一个默克菲斯具备了生前的记忆。他们忠君，信仰邪神。他们具备默克菲斯的战力，也具备人的头脑。他们被尊称为圣默克菲斯，如同恶魔之眼一般在远处窥探着人类的繁华。)</t>
    <phoneticPr fontId="6" type="noConversion"/>
  </si>
  <si>
    <t>body(   也许有一天你的心会疲惫，也许由一天你的刀会崩裂，也许有一天你会厌倦这一切。可并不是所有人都如同你一般，对于他们来说，活着便是一种奢侈了。)</t>
    <phoneticPr fontId="6" type="noConversion"/>
  </si>
  <si>
    <t>&lt;p&gt;
&lt;n&gt;  击杀1只 &lt;/n&gt;
 &lt;n&gt; &lt;/n&gt;&lt;goto id="10310" mapid="5" flagpoint="1" taskid="5101" /&gt;
&lt;/p&gt;</t>
    <phoneticPr fontId="6" type="noConversion"/>
  </si>
  <si>
    <t>body(   刚才hot(指挥官拉奥)来找过你，似乎有什么重要的事情。blankline()space()space()space()player()，如果你觉得拉奥那家伙太烦，不想听他唠叨，我们水鸟赏金团永远欢迎你。)</t>
    <phoneticPr fontId="6" type="noConversion"/>
  </si>
  <si>
    <t>body(   呵呵，可如今你看。每个人都是神的子民，我们所在的是神的土地，甚至天空、海洋、星辰都成了神所掌握的！)</t>
    <phoneticPr fontId="6" type="noConversion"/>
  </si>
  <si>
    <t>body(   我想我是老了，只有老了的人才会多愁善感，才会回想过去的事情。)</t>
    <phoneticPr fontId="6" type="noConversion"/>
  </si>
  <si>
    <t>君士坦丁</t>
    <phoneticPr fontId="6" type="noConversion"/>
  </si>
  <si>
    <t>body(   迪特里斯那混蛋。如果当年不是我在王离开的日子卧薪尝胆，那如何会有今天双城的局面，那如何还能保留下这个国家！算了，都七老八十，我也不计较了。)</t>
    <phoneticPr fontId="6" type="noConversion"/>
  </si>
  <si>
    <t>body(   光明骑士团有能力守卫国家，现在的魔族我们会尽快剿灭的。至于为何现在人手不停有抽调，希望君士坦丁议长不要介入教会的事情，这不是他应该去了解的！)</t>
    <phoneticPr fontId="6" type="noConversion"/>
  </si>
  <si>
    <t>body(   希望你传递口信，让议长大人放心，并且给我们准备好足够的补给。)</t>
    <phoneticPr fontId="6" type="noConversion"/>
  </si>
  <si>
    <t>君士坦丁</t>
    <phoneticPr fontId="6" type="noConversion"/>
  </si>
  <si>
    <t>拉奥</t>
    <phoneticPr fontId="6" type="noConversion"/>
  </si>
  <si>
    <t>body(   光明终将会战胜邪恶，不论是来自深渊还是来自于人的内心。请转达我们对于君士坦丁议长的敬意，也希望君士坦丁议长能够认真考虑大祭司亚塔尼斯的建议。)</t>
    <phoneticPr fontId="6" type="noConversion"/>
  </si>
  <si>
    <t>body(   亚塔尼斯的建议？这帮人还真是得寸进尺！)</t>
    <phoneticPr fontId="6" type="noConversion"/>
  </si>
  <si>
    <t>body(   属于王的？呵呵，老狐狸真能说，可是谁相信喃？王都不在了，我为谁而战？)</t>
    <phoneticPr fontId="6" type="noConversion"/>
  </si>
  <si>
    <t>body(   虽然我已经开始有点欣赏你了，可是既然说好，就得有下一个考验。你准备好了吗？)</t>
    <phoneticPr fontId="6" type="noConversion"/>
  </si>
  <si>
    <t>body(   第三个考验，需要你击杀1只“钢齿鹰龙”。)</t>
    <phoneticPr fontId="6" type="noConversion"/>
  </si>
  <si>
    <t>body(   呵呵，你很少听到人们谈起我们伟大的王吧？不是因为他不伟大，而是因为他的光芒曾经令神都黯然失色。
blankline()   他剿灭了凡间的魔族，灭杀了深渊的来客，甚至击败了虚空而至的神灵。当然，如今甚至未来的历史，也许永远不会记录他。只是他的赫赫威名，已无需历史去书写。)</t>
    <phoneticPr fontId="6" type="noConversion"/>
  </si>
  <si>
    <t>body(   哈哈，很久没有玩，已经手生了。真想念行伍中的弟兄们。)</t>
    <phoneticPr fontId="6" type="noConversion"/>
  </si>
  <si>
    <t>body(   不错，有了狂狼之牙，我们就可以进行下一步操作了。)</t>
    <phoneticPr fontId="6" type="noConversion"/>
  </si>
  <si>
    <t>body(   我要开始炼制安魂药剂了，需要一些时间你再来取。不过这个时间你也别闲着，消灭了那么多“战血狂狼”，他们的头肯定会想办法报复。这个时候就需要斩草除根了，你去斩杀“战血狂狼”。等你回来的时候，我的药品恐怕就炼制好了。)</t>
    <phoneticPr fontId="6" type="noConversion"/>
  </si>
  <si>
    <t>body(   小家伙，那么快……我东西还没配置好，那“战血狂狼”就被你消灭了？真是令人震惊。)</t>
    <phoneticPr fontId="6" type="noConversion"/>
  </si>
  <si>
    <t>title(（40级）红莲赤甲蝎)
body(hotyellow_3(任务进程:)newline()
   杀死goto(10152,3)去找goto(60150,3)。
blankline()hotyellow_3(任务描述:)newline() 
   果然，事实并不比想象更乐观。blankline()   如果可以除掉一些强大的变异生物。我们的士兵的活动范围就会大很多，比如hot(红莲赤甲蝎)？)</t>
    <phoneticPr fontId="6" type="noConversion"/>
  </si>
  <si>
    <t>"31204-0-40"</t>
    <phoneticPr fontId="6" type="noConversion"/>
  </si>
  <si>
    <t>"31097-0-1;31098-0-1;31099-0-1;31100-0-1;31101-0-1"</t>
    <phoneticPr fontId="9" type="noConversion"/>
  </si>
  <si>
    <t>body(   看来炼制的时候出现了一些麻烦。好久没有动手炼制这玩意儿了。如果想要炼制顺利完成，你必须去帮我收集一片“林妖之叶”以及一枚“林妖之晶”。你击杀“苍蓝林妖”可获得“林妖之叶”。击杀“苍炎林妖”可获得“林妖之晶”。)</t>
    <phoneticPr fontId="6" type="noConversion"/>
  </si>
  <si>
    <t>"你还有什么问题想知道的吗？"</t>
    <phoneticPr fontId="6" type="noConversion"/>
  </si>
  <si>
    <t>"击杀足够数量的魔化狂狮再来找我吧！"</t>
    <phoneticPr fontId="6" type="noConversion"/>
  </si>
  <si>
    <t>"你还想知道些什么？"</t>
    <phoneticPr fontId="6" type="noConversion"/>
  </si>
  <si>
    <t>"这是个考验，你必须完成！"</t>
    <phoneticPr fontId="6" type="noConversion"/>
  </si>
  <si>
    <t>"击杀狂狼之牙，只是我们的第一步"</t>
    <phoneticPr fontId="6" type="noConversion"/>
  </si>
  <si>
    <t>"嗜血妖花是必不可少的原料。"</t>
    <phoneticPr fontId="6" type="noConversion"/>
  </si>
  <si>
    <t>"他们虽然长得很丑，而且也不和善。但身上确实有很多宝贝。"</t>
    <phoneticPr fontId="6" type="noConversion"/>
  </si>
  <si>
    <t>"实力，才是一个男人最重要的魅力。"</t>
    <phoneticPr fontId="6" type="noConversion"/>
  </si>
  <si>
    <t>"31205-0-40"</t>
    <phoneticPr fontId="6" type="noConversion"/>
  </si>
  <si>
    <t>测试奖励大使</t>
    <phoneticPr fontId="6" type="noConversion"/>
  </si>
  <si>
    <t>body(   我最近正在收集大量的地雷。如果你能收集到100枚地雷交给霍夫曼，会获得不菲的奖励。)</t>
    <phoneticPr fontId="6" type="noConversion"/>
  </si>
  <si>
    <t>"您的包裹是否有充足的格子喃？"</t>
    <phoneticPr fontId="6" type="noConversion"/>
  </si>
  <si>
    <t>&lt;p&gt;
&lt;n&gt;  回复：&lt;/n&gt;
 &lt;n&gt; &lt;/n&gt;&lt;goto id="191" mapid="3" flagpoint="1" taskid="15055" /&gt;
&lt;/p&gt;</t>
  </si>
  <si>
    <t>&lt;p&gt;
&lt;n&gt;  回复：&lt;/n&gt;
 &lt;n&gt; &lt;/n&gt;&lt;goto id="191" mapid="3" flagpoint="1" taskid="15056" /&gt;
&lt;/p&gt;</t>
    <phoneticPr fontId="6" type="noConversion"/>
  </si>
  <si>
    <t>&lt;p&gt;
&lt;n&gt;  回复：&lt;/n&gt;
 &lt;n&gt; &lt;/n&gt;&lt;goto id="191" mapid="3" flagpoint="1" taskid="15057" /&gt;
&lt;/p&gt;</t>
    <phoneticPr fontId="6" type="noConversion"/>
  </si>
  <si>
    <t>&lt;p&gt;
&lt;n&gt;  回复：&lt;/n&gt;
 &lt;n&gt; &lt;/n&gt;&lt;goto id="191" mapid="3" flagpoint="1" taskid="15058" /&gt;
&lt;/p&gt;</t>
    <phoneticPr fontId="6" type="noConversion"/>
  </si>
  <si>
    <t>&lt;p&gt;
&lt;n&gt;  回复：&lt;/n&gt;
 &lt;n&gt; &lt;/n&gt;&lt;goto id="191" mapid="3" flagpoint="1" taskid="15059" /&gt;
&lt;/p&gt;</t>
    <phoneticPr fontId="6" type="noConversion"/>
  </si>
  <si>
    <t>&lt;p&gt;
&lt;n&gt;  回复：&lt;/n&gt;
 &lt;n&gt; &lt;/n&gt;&lt;goto id="191" mapid="3" flagpoint="1" taskid="15060" /&gt;
&lt;/p&gt;</t>
    <phoneticPr fontId="6" type="noConversion"/>
  </si>
  <si>
    <t>&lt;p&gt;
&lt;n&gt;  回复：&lt;/n&gt;
 &lt;n&gt; &lt;/n&gt;&lt;goto id="191" mapid="3" flagpoint="1" taskid="15061" /&gt;
&lt;/p&gt;</t>
    <phoneticPr fontId="6" type="noConversion"/>
  </si>
  <si>
    <t>&lt;p&gt;
&lt;n&gt;  回复：&lt;/n&gt;
 &lt;n&gt; &lt;/n&gt;&lt;goto id="191" mapid="3" flagpoint="1" taskid="15062" /&gt;
&lt;/p&gt;</t>
    <phoneticPr fontId="6" type="noConversion"/>
  </si>
  <si>
    <t>&lt;p&gt;
&lt;n&gt;  回复：&lt;/n&gt;
 &lt;n&gt; &lt;/n&gt;&lt;goto id="191" mapid="3" flagpoint="1" taskid="15063" /&gt;
&lt;/p&gt;</t>
    <phoneticPr fontId="6" type="noConversion"/>
  </si>
  <si>
    <t>&lt;p&gt;
&lt;n&gt;  回复：&lt;/n&gt;
 &lt;n&gt; &lt;/n&gt;&lt;goto id="191" mapid="3" flagpoint="1" taskid="15064" /&gt;
&lt;/p&gt;</t>
    <phoneticPr fontId="6" type="noConversion"/>
  </si>
  <si>
    <t>"31206-0-1;31207-0-1"</t>
    <phoneticPr fontId="6" type="noConversion"/>
  </si>
  <si>
    <t>光明骑士团卡尔</t>
    <phoneticPr fontId="6" type="noConversion"/>
  </si>
  <si>
    <t>body(   哈哈，之后的前线补给将会通过我们来提供。)</t>
    <phoneticPr fontId="6" type="noConversion"/>
  </si>
  <si>
    <t>&lt;p&gt;
&lt;n&gt;  回复： &lt;/n&gt;
 &lt;n&gt; &lt;/n&gt;&lt;goto id="60559" mapid="5" flagpoint="1" taskid="13501" /&gt;
&lt;/p&gt;</t>
    <phoneticPr fontId="6" type="noConversion"/>
  </si>
  <si>
    <t>&lt;p&gt;
&lt;n&gt;  收集10个妖莲魔芋，交给&lt;/n&gt;
 &lt;n&gt; &lt;/n&gt;&lt;goto id="60559" mapid="5" flagpoint="1" taskid="30044"/&gt;
&lt;/p&gt;</t>
    <phoneticPr fontId="6" type="noConversion"/>
  </si>
  <si>
    <t>body(   我在丛林中遇到一个相识的冒险家，他告诉我他曾经看见hot(毒蜘蛛)抓走了一个小孩子。那个混蛋竟然因为害怕，就这样看着我可怜的萨尔被抓走。blankline()   我已经狠狠揍了那个家伙一顿，player()，你一定要救救我的萨尔。)</t>
    <phoneticPr fontId="6" type="noConversion"/>
  </si>
  <si>
    <t>"您确定背包中有“卡片：中”、“卡片：秋”各一张吗？"</t>
    <phoneticPr fontId="6" type="noConversion"/>
  </si>
  <si>
    <t>"您确定背包中有“卡片：快”、“卡片：乐”各一张吗？"</t>
    <phoneticPr fontId="6" type="noConversion"/>
  </si>
  <si>
    <t>"31088-0-1;31089-0-1"</t>
    <phoneticPr fontId="6" type="noConversion"/>
  </si>
  <si>
    <t>"31210-0-1;31211-0-1"</t>
    <phoneticPr fontId="6" type="noConversion"/>
  </si>
  <si>
    <t>"31212-0-1;31213-0-1"</t>
    <phoneticPr fontId="6" type="noConversion"/>
  </si>
  <si>
    <t>"31210-0-1;31211-0-1;31212-0-1;31213-0-1"</t>
    <phoneticPr fontId="6" type="noConversion"/>
  </si>
  <si>
    <t>中秋奖励活动大使</t>
    <phoneticPr fontId="6" type="noConversion"/>
  </si>
  <si>
    <t>body(   所有等级达到60级的玩家，通过完成日常任务获取“卡片：中”“卡片：秋”“卡片：快”“卡片：乐”即可到中秋奖励活动大使处兑换hot(月饼1份)（右键打开后可获得 升级宝石（中级）、镶嵌宝石 等装备强化道具！当日兑换上限20次）。)</t>
    <phoneticPr fontId="6" type="noConversion"/>
  </si>
  <si>
    <t>body(   所有等级达到60级的玩家，通过完成日常任务获取“卡片：快”“卡片：乐”即可到中秋奖励活动大使处兑换hot(月饼1份)（右键打开后可获得 升级宝石（中级）、镶嵌宝石 等装备强化道具！当日兑换上限20次）。)</t>
    <phoneticPr fontId="6" type="noConversion"/>
  </si>
  <si>
    <t>body(   所有等级达到60级的玩家，通过完成日常任务获取“卡片：中”“卡片：秋”即可到中秋奖励活动大使处兑换hot(月饼1份)（右键打开后可获得 升级宝石（中级）、镶嵌宝石 等装备强化道具！当日兑换上限20次）。)</t>
    <phoneticPr fontId="6" type="noConversion"/>
  </si>
  <si>
    <t>&lt;p&gt;
&lt;n&gt;  回复：&lt;/n&gt;
 &lt;n&gt; &lt;/n&gt;&lt;goto id="193" mapid="3" flagpoint="1" taskid="15065" /&gt;
&lt;/p&gt;</t>
    <phoneticPr fontId="6" type="noConversion"/>
  </si>
  <si>
    <t>&lt;p&gt;
&lt;n&gt;  回复：&lt;/n&gt;
 &lt;n&gt; &lt;/n&gt;&lt;goto id="193" mapid="3" flagpoint="1" taskid="15066" /&gt;
&lt;/p&gt;</t>
    <phoneticPr fontId="6" type="noConversion"/>
  </si>
  <si>
    <t>&lt;p&gt;
&lt;n&gt;  回复：&lt;/n&gt;
 &lt;n&gt; &lt;/n&gt;&lt;goto id="193" mapid="3" flagpoint="1" taskid="15067" /&gt;
&lt;/p&gt;</t>
    <phoneticPr fontId="6" type="noConversion"/>
  </si>
  <si>
    <t>中秋奖励活动大使</t>
    <phoneticPr fontId="6" type="noConversion"/>
  </si>
  <si>
    <t>&lt;p&gt;
&lt;n&gt;  击杀1只：&lt;/n&gt;
 &lt;n&gt; &lt;/n&gt;&lt;goto id="10308" mapid="5" flagpoint="1" taskid="5031" /&gt;
&lt;/p&gt;</t>
    <phoneticPr fontId="6" type="noConversion"/>
  </si>
  <si>
    <t>钓鱼管理员</t>
    <phoneticPr fontId="6" type="noConversion"/>
  </si>
  <si>
    <t>body(   钓鱼是个休闲的玩法。你需要达到hot(61级)，学习了hot(生存技能中的钓鱼技能)，并且hot(装备钓鱼竿)，才能进行。释放钓鱼技能后，且使用钓鱼卡，将可获得经验或者道具奖励。)</t>
    <phoneticPr fontId="6" type="noConversion"/>
  </si>
  <si>
    <t>body(   你了解了吗？如果有不懂的，可以尝试一下。)</t>
    <phoneticPr fontId="6" type="noConversion"/>
  </si>
  <si>
    <t>"尝试回答钓鱼管理员的问题"</t>
    <phoneticPr fontId="6" type="noConversion"/>
  </si>
  <si>
    <t>title(（61级）钓鱼知识问答)
body(hotyellow_3(任务进程:)newline()
   回答goto(194,5)对于钓鱼知识的提问。
blankline()hotyellow_3(任务描述:)newline() 
   了解钓鱼功能后，回答钓鱼功能的提问。)</t>
    <phoneticPr fontId="6" type="noConversion"/>
  </si>
  <si>
    <t>"与钓鱼管理员对话，了解钓鱼功能"</t>
    <phoneticPr fontId="6" type="noConversion"/>
  </si>
  <si>
    <t>&lt;p&gt;
&lt;n&gt;  回答： &lt;/n&gt;
 &lt;n&gt; &lt;/n&gt;&lt;goto id="194" mapid="5" flagpoint="1" taskid="13080" /&gt;&lt;n&gt;的问题&lt;/n&gt;
&lt;/p&gt;</t>
    <phoneticPr fontId="6" type="noConversion"/>
  </si>
  <si>
    <t>&lt;p&gt;
&lt;n&gt;  与： &lt;/n&gt;
 &lt;n&gt; &lt;/n&gt;&lt;goto id="194" mapid="5" flagpoint="1" taskid="13070" /&gt;&lt;n&gt;对话&lt;/n&gt;
&lt;/p&gt;</t>
    <phoneticPr fontId="6" type="noConversion"/>
  </si>
  <si>
    <t>{{29061,0,1,0,"1-1"}}</t>
    <phoneticPr fontId="6" type="noConversion"/>
  </si>
  <si>
    <t>body(   你真的做到了！)</t>
    <phoneticPr fontId="6" type="noConversion"/>
  </si>
  <si>
    <t>收集100个地精岩髓</t>
    <phoneticPr fontId="6" type="noConversion"/>
  </si>
  <si>
    <t>{{24001,0,1,0,"1-1"}}</t>
    <phoneticPr fontId="6" type="noConversion"/>
  </si>
  <si>
    <t>{{24002,0,1,0,"1-1"}}</t>
    <phoneticPr fontId="6" type="noConversion"/>
  </si>
  <si>
    <t>{{24003,0,1,0,"1-1"}}</t>
    <phoneticPr fontId="6" type="noConversion"/>
  </si>
  <si>
    <t>{{24000,0,1,0,"1-1"}}</t>
    <phoneticPr fontId="6" type="noConversion"/>
  </si>
  <si>
    <t>title(（61级）鱼人的遗物)
body(hotyellow_3(任务进程:)newline()
   完成钓鱼操作goto(194,5)，获取一份鱼人的遗物交给钓鱼管理员。
blankline()hotyellow_3(任务描述:)newline() 
   尝试钓鱼操作，获取一份鱼人的遗物交给钓鱼管理员。)</t>
    <phoneticPr fontId="6" type="noConversion"/>
  </si>
  <si>
    <t>body(   你通过钓鱼可获得鱼人的遗物、碧水樱花鱼、水晶皇后鱼。传说中的黄金鲤鱼王将会通过活动获取。)</t>
    <phoneticPr fontId="6" type="noConversion"/>
  </si>
  <si>
    <t>"获取一份鱼人的遗物交给钓鱼管理员"</t>
    <phoneticPr fontId="6" type="noConversion"/>
  </si>
  <si>
    <t>&lt;p&gt;
&lt;n&gt;  获取1份鱼人的遗物交给： &lt;/n&gt;
 &lt;n&gt; &lt;/n&gt;&lt;goto id="194" mapid="5" flagpoint="1" taskid="13090" /&gt;
&lt;/p&gt;</t>
    <phoneticPr fontId="6" type="noConversion"/>
  </si>
  <si>
    <t>title(（61级）钓鱼大师)
body(hotyellow_3(任务进程:)newline()
   完成钓鱼操作goto(194,5)，获取100份鱼人的遗物交给钓鱼管理员。可获得钓鱼大师称号奖励。
blankline()hotyellow_3(任务描述:)newline() 
   尝试钓到100份鱼人的遗物，交给钓鱼管理员。)</t>
    <phoneticPr fontId="6" type="noConversion"/>
  </si>
  <si>
    <t>body(   你已经了解了钓鱼的过程。如果你能够给我带来100份鱼人的遗物。我可以承认你钓鱼大师的身份！)</t>
    <phoneticPr fontId="6" type="noConversion"/>
  </si>
  <si>
    <t>"获取100份鱼人的遗物交给钓鱼管理员"</t>
    <phoneticPr fontId="6" type="noConversion"/>
  </si>
  <si>
    <t>&lt;p&gt;
&lt;n&gt;  获取100份鱼人的遗物交给： &lt;/n&gt;
 &lt;n&gt; &lt;/n&gt;&lt;goto id="194" mapid="5" flagpoint="1" taskid="15070" /&gt;
&lt;/p&gt;</t>
    <phoneticPr fontId="6" type="noConversion"/>
  </si>
  <si>
    <t>{{29061,0,1,0,"1-1,7-1"}}</t>
    <phoneticPr fontId="6" type="noConversion"/>
  </si>
  <si>
    <t>{{24004,0,1,0,"1-1"}}</t>
    <phoneticPr fontId="6" type="noConversion"/>
  </si>
  <si>
    <t>"31218-0-1"</t>
    <phoneticPr fontId="6" type="noConversion"/>
  </si>
  <si>
    <t>"31219-0-1"</t>
    <phoneticPr fontId="6" type="noConversion"/>
  </si>
  <si>
    <t>title(（6级）迷雾废墟)
body(hotyellow_3(任务进程:)newline()
   现在你到达了危险征程的新起点，这是一片被诅咒的森林。探索前方，找到迷雾废墟本地的守卫，他是goto(60015,2)。
   blankline()hotyellow_3(任务描述:)newline() 
   嘿，新人，欢迎来到诅咒之森迷雾废墟！这里充满了危险。一路小心，祝你好运。嘿嘿……)</t>
    <phoneticPr fontId="6" type="noConversion"/>
  </si>
  <si>
    <t>"    你需要找的人都找到了吗？"</t>
    <phoneticPr fontId="6" type="noConversion"/>
  </si>
  <si>
    <t>title(（19级）芯片合成)
body(hotyellow_3(任务进程:)newline()
   与goto(60028,2)对话，了解魔导器的基本知识。
blankline()hotyellow_3(任务描述:)newline() 
   与圣骑士艾伦对话，了解魔导器的功能以及获得途径。)</t>
    <phoneticPr fontId="6" type="noConversion"/>
  </si>
  <si>
    <t>title(（26级）牧师长西瓦)
body(hotyellow_3(任务进程:)newline()
    去找goto(60051,4)。
blankline()hotyellow_3(任务描述:)newline() 
    主的光芒将会照耀这片被腐蚀的土地，我希望火焰少校比尔能够战胜邪恶。只是邪恶在这里过于强大，我对此深感担忧。blankline()   有可能的话，player()，你还去帮帮他吧！)</t>
    <phoneticPr fontId="6" type="noConversion"/>
  </si>
  <si>
    <t>title(（29级）比大小)
body(hotyellow_3(任务进程:)newline()
   和goto(60052,4)玩一把扑克。
blankline()hotyellow_3(任务描述:)newline() 
   和情报官零号玩一把扑克比大小。)</t>
    <phoneticPr fontId="6" type="noConversion"/>
  </si>
  <si>
    <t>title(（30级）最后一把牌)
body(hotyellow_3(任务进程:)newline()
   陪goto(60053,4)玩他人生的最后一把牌吧！
blankline()hotyellow_3(任务描述:)newline() 
   我已经不行了……在人生的最后时刻能够见到传说的中player()老天也算待我不薄……blankline()space()space()space()player()，请与我玩人生的最后一把牌吧……)</t>
    <phoneticPr fontId="6" type="noConversion"/>
  </si>
  <si>
    <t>title(（32级）老泰山的教导)
body(hotyellow_3(任务进程:)newline()
   goto(60166,102)对话。离开场景，可去找goto(60000,3)重新进入。
blankline()hotyellow_3(任务描述:)newline() 
space()space()space()player()所谓宠物，是亲近人类的奇异生物。你可以不曾知道，但不能不去拥有。宠物处于跟随状态，可大幅提升玩家的战斗能力。但是你必须保证宠物的快乐度，否则实力将会大降！切记切记！)</t>
    <phoneticPr fontId="6" type="noConversion"/>
  </si>
  <si>
    <t>title(（32级）清凉果)
body(hotyellow_3(任务进程:)newline()
   采集5个goto(60144,4)，交给goto(60166,3)。
blankline()hotyellow_3(任务描述:)newline() 
   我在“迷雾废墟”发现了一种叫清凉果的奇异果实。blankline()   我的老朋友可可很喜欢这种果子，你可以采集5枚去找他。他会帮助你的。)</t>
    <phoneticPr fontId="6" type="noConversion"/>
  </si>
  <si>
    <t>title(（32级）野生金刚兽)
body(hotyellow_3(任务进程:)newline()
   捕捉一只战斗宠物后去找goto(60171,3)。
blankline()hotyellow_3(任务描述:)newline() 
space()space()space()player()，你送来的清凉果对于我很重要。感谢你为我们所做的一切，我决定破例对你开放培育战斗宠物的神秘空间。)</t>
    <phoneticPr fontId="6" type="noConversion"/>
  </si>
  <si>
    <t>title(（35级）尖角暴龙)
body(hotyellow_3(任务进程:)newline()
   杀死1只goto(10137,3)，完成后告知goto(60073,3)。
blankline()hotyellow_3(任务描述:)newline() 
   疯狂的尖角暴龙，是异角龙的头领。消灭它，异角龙就会逐渐平静下来。)</t>
    <phoneticPr fontId="6" type="noConversion"/>
  </si>
  <si>
    <t xml:space="preserve">title(（13级）宠物升级啦)
body(hotyellow_3(任务进程:)newline()
   杀死一些生物，使你的宠物升级。完成后告知goto(60011,2)。
   blankline()hotyellow_3(任务描述:)newline()
   杀死一些变异生物，使你的宠物升到2级。)
   </t>
    <phoneticPr fontId="6" type="noConversion"/>
  </si>
  <si>
    <t>title(（46级）叛乱刺客)
body(hotyellow_3(任务进程:)newline()
   杀死goto(10156,6)，去找goto(60159,6)。
blankline()hotyellow_3(任务描述:)newline() 
   很悲哀的是，魔族夺魂者的首领曾经是我们的伙伴。如今他背弃光明堕入黑暗，所以我们必须捍卫光明神的荣耀，将他净化！)</t>
    <phoneticPr fontId="6" type="noConversion"/>
  </si>
  <si>
    <t>title(（45级）灭魔者麦凯恩)
body(hotyellow_3(任务进程:)newline()
   去找goto(60156,6)。
blankline()hotyellow_3(任务描述:)newline() 
   去和灭魔者麦凯恩打个招呼吧！他是光明骑士团在这片区域的伙伴。他是个不错的家伙！)</t>
  </si>
  <si>
    <t>title(（46级）新的危机)
body(hotyellow_3(任务进程:)newline()
   去找goto(60156,6)。
blankline()hotyellow_3(任务描述:)newline() 
   这片隐匿者之森中出现了新的危机。虽然我也略知一二，但是具体情况，player()你还是去找灭魔者麦凯恩吧！他拥有第一手的资料。)</t>
  </si>
  <si>
    <t>body(   这片隐匿者之森中出现了新的危机。虽然我也略知一二，但是具体情况，player()你还是去找灭魔者麦凯恩吧！他拥有第一手的资料。)</t>
  </si>
  <si>
    <t>body(   我们在剿灭丛林食尸者的战斗中遭遇了一群凶猛的昆虫。它们的身材在变异生物中远远算不上高大，也没有突出的捕食技能，但它们拥有可以媲美人类智慧的捕食的策略。我们的人差点在它们的手上吃了大亏，这件事还请告诉观察员阿伦，请他留心。)</t>
  </si>
  <si>
    <t>title(（57级）提取基因)
body(hotyellow_3(任务进程:)newline()
   获取55个goto(10092,7)的基因样本，交给goto(60086,7)。
blankline()hotyellow_3(任务描述:)newline() 
   听说你擅长对付虫子，你就把那些呆呆的嗜血魔族当成人形的虫子好了。)</t>
  </si>
  <si>
    <t>body(   我手头上正好有一份关于收集嗜血魔族的基因样本的工作。blankline()   这些嗜血魔族好像很有价值的样子，不少生物公司都委托我替他们采集嗜血魔族的基因样本。)</t>
  </si>
  <si>
    <t>body(   我猜这些嗜血魔族生前很可能是负责在边境巡逻的士兵，要不怎么会死后还跑个不停呢。)</t>
  </si>
  <si>
    <t>title(（33级）试水)
body(hotyellow_3(任务进程:)newline()
   杀死30只goto(10041,4)，向goto(60165,4)报告幼虫的情况。
blankline()hotyellow_3(任务描述:)newline() 
   虽然剿灭蜘蛛幼虫的时间比较紧，但是我实在不习惯参与毫不知情的战斗。比起立刻参加战斗，我还是觉得情报先行，安全第一。blankline()space()space()space()player(),请试着除掉30只hot(火焰蝴蝶的幼虫)，并将他们的规模告诉我。)</t>
  </si>
  <si>
    <t>body(   虽然剿灭蜘蛛幼虫的时间比较紧，但是我实在不习惯参与毫不知情的战斗。比起立刻参加战斗，我还是觉得情报先行，安全第一。blankline()space()space()space()player(),请试着除掉30只hot(火焰蝴蝶的幼虫)，并将他们的规模告诉我。)</t>
  </si>
  <si>
    <t>title(（28级）赫肯的守护（三）)
body(hotyellow_3(任务进程:)newline()
   收集两块地精岩髓交给goto(60057,4)。
blankline()hotyellow_3(任务描述:)newline() 
   解密这块芯片需要一点时间。作为交换，我想拜托player()你替我收集两份燃烧平原上特有的矿物——hot(地精岩髓)。)</t>
    <phoneticPr fontId="6" type="noConversion"/>
  </si>
  <si>
    <t>title(（30级）增加3位好友)
body(hotyellow_3(任务进程:)newline()
   为自己好友数量增加3人。任务完成之后，可goto(60061,3)领取奖励。
blankline()hotyellow_3(任务描述:)newline() 
   当等级达到整10级时，如果得到好友的祝福，将会得到大量的金钱。同时，祝福你的好友也将获得大量的经验。)</t>
    <phoneticPr fontId="9" type="noConversion"/>
  </si>
  <si>
    <t>title(（33级）护送幸存者)
body(hotyellow_3(任务进程:)newline()
   将幸存者护送到goto(60052,4)那里。
blankline()hotyellow_3(任务描述:)newline()  
   最近我在燃烧平原闲逛猎杀岩浆生物的时候意外的拯救了一个幸存者。blankline()   但是照顾幸存者真是件麻烦的事，虽然可以杀掉他，但是我实在不习惯对平民下手…所以，player()，还请你替我将他护送到情报官零号那里去吧！)</t>
    <phoneticPr fontId="6" type="noConversion"/>
  </si>
  <si>
    <t>title(（39级）禁地)
body(hotyellow_3(任务进程:)newline()
   替寻找儿子的狄尔清理掉goto(10062,3)与goto(10063,3)。找到后，交给goto(60076,3)。blankline()
   孩子的吊坠      var(10764,110)/1newline()
   孩子的护符      var(10764,111)/1newline()
blankline()hotyellow_3(任务描述:)newline() 
   我几乎找遍了丛林的每一个角落，还要担心那些恶心的生物，我觉得我快要崩溃了。这片丛林还有两个地方是我无法探查的，那就是巨钳蝎和赤甲蝎的领地。这两种生物拥有异常灵敏的嗅觉，我也不敢过于靠近它们。这两块区域是我最后的希望。)</t>
    <phoneticPr fontId="6" type="noConversion"/>
  </si>
  <si>
    <t>title(（40级）赛特的推理)
body(hotyellow_3(任务进程:)newline()
   请你将我的推测告诉goto(60076,3)，希望这样可以让这个可怜的人好受点。
blankline()hotyellow_3(任务描述:)newline() 
    今天我右看的了那个可怜的狄尔，我真怕有一天他会疯掉。player()，根据你描述的情况，我觉得萨尔还是可能活着的。他应该和另一个少年在一起，并且成功的从烈焰赤甲蝎的手上逃脱。至今为止并没有找到他们死亡的证据。)</t>
    <phoneticPr fontId="6" type="noConversion"/>
  </si>
  <si>
    <t>title(（45级）增加5位好友)
body(hotyellow_3(任务进程:)newline()
   为自己好友数量增加5人。任务完成之后，可goto(60061,3)领取奖励。
blankline()hotyellow_3(任务描述:)newline() 
   当等级达到整10级时，如果得到好友的祝福，将会得到大量的金钱。同时，祝福你的好友也将获得大量的经验。)</t>
    <phoneticPr fontId="9" type="noConversion"/>
  </si>
  <si>
    <t>title(（60级）增加10位好友)
body(hotyellow_3(任务进程:)newline()
   为自己好友数量增加10人。任务完成之后，可goto(60061,3)领取奖励。
blankline()hotyellow_3(任务描述:)newline() 
   当等级达到整10级时，如果得到好友的祝福，将会得到大量的金钱。同时，祝福你的好友也将获得大量的经验。)</t>
    <phoneticPr fontId="9" type="noConversion"/>
  </si>
  <si>
    <t>&lt;p&gt;
&lt;n&gt;  去&lt;/n&gt;
 &lt;n&gt; &lt;/n&gt;&lt;goto id="165" mapid="7" flagpoint="1" taskid="30099" /&gt;
&lt;n&gt;完成一次情报任务&lt;/n&gt; 
&lt;/p&gt;</t>
    <phoneticPr fontId="6" type="noConversion"/>
  </si>
  <si>
    <t>{{31194,0,1,0,"1-1"}}</t>
    <phoneticPr fontId="6" type="noConversion"/>
  </si>
  <si>
    <t>body(   看来你已经具备了强悍的实力。等待着你集齐10枚霸狮封印碎片，来我处领取奖励日子。)</t>
    <phoneticPr fontId="6" type="noConversion"/>
  </si>
  <si>
    <t>body(   神的信徒player()，如果你能够找到1片霸狮封印碎片，我将会给予你神的祝福。如果你能够找到10片霸狮封印碎片，我将会赠予你圣洁的帝皇战狮王。)</t>
    <phoneticPr fontId="6" type="noConversion"/>
  </si>
  <si>
    <t>霸狮封印碎片可以通过击杀55-60级的精英怪获取。当然，你还需要一点耐心。</t>
    <phoneticPr fontId="6" type="noConversion"/>
  </si>
  <si>
    <t>&lt;p&gt;
&lt;n&gt;  寻找1枚霸狮封印碎片&lt;/n&gt;
&lt;newline/&gt;
&lt;n&gt;  55-60级精英怪有几率掉落&lt;/n&gt;
&lt;/p&gt;</t>
    <phoneticPr fontId="6" type="noConversion"/>
  </si>
  <si>
    <t>body(   （生命水晶散发出一阵耀眼的光明后，渐渐沉寂）blankline()   强大的力量会遭到歹徒的惦记，只有强大的人才能捍卫国家的荣耀，国家的生命水晶！)</t>
    <phoneticPr fontId="6" type="noConversion"/>
  </si>
  <si>
    <t>body(   我们是个强大的国家，需要捍卫国家的利益。过去是属于我们的，未来是属于你的，但是现在，请与我们一起，捍卫所有的荣耀吧！)</t>
    <phoneticPr fontId="6" type="noConversion"/>
  </si>
  <si>
    <t>"你再想想，是不是记错了喃？"</t>
    <phoneticPr fontId="6" type="noConversion"/>
  </si>
  <si>
    <t>body(   大议长君士坦丁正在等待着你。)</t>
    <phoneticPr fontId="6" type="noConversion"/>
  </si>
  <si>
    <t>body(   伟大国度需要很多如同你一般的人来努力构建。)</t>
    <phoneticPr fontId="6" type="noConversion"/>
  </si>
  <si>
    <t>"还在等什么喃？大议长君士坦丁正在等待你。"</t>
    <phoneticPr fontId="6" type="noConversion"/>
  </si>
  <si>
    <t>斩将夺关德罗尼</t>
    <phoneticPr fontId="6" type="noConversion"/>
  </si>
  <si>
    <t>&lt;p&gt;
&lt;n&gt;  找到： &lt;/n&gt;
 &lt;n&gt; &lt;/n&gt;&lt;goto id="196" mapid="7" flagpoint="1" taskid="13061" /&gt;
&lt;/p&gt;</t>
    <phoneticPr fontId="6" type="noConversion"/>
  </si>
  <si>
    <t>title(（18级）兄弟会的救赎)
body(hotyellow_3(任务进程:)newline()
   将真理兄弟会的组员护送到goto(60028,2)那里。
blankline()hotyellow_3(任务描述:)newline() 
   求求你帮帮我，我们并不想伤害任何人，只是想拯救人类。麻烦你将我们的组员护送到圣骑士艾伦那里。
blankline()
   hot3(   真理兄弟会，一个几乎湮没于历史长河的联盟。主张大家彼此相爱，反对一切形式的战乱。))</t>
    <phoneticPr fontId="6" type="noConversion"/>
  </si>
  <si>
    <t>title(（50级）漫长的边境线)
body(hotyellow_3(任务进程:)newline()
   与goto(196,7)对话，了解边境战神相关的功能。
blankline()hotyellow_3(任务描述:)newline() 
   你想知道边境战神的事情吗？与德罗尼聊聊吧？)</t>
    <phoneticPr fontId="6" type="noConversion"/>
  </si>
  <si>
    <t>body(   你想知道关于边境战神的什么事情喃？)</t>
    <phoneticPr fontId="6" type="noConversion"/>
  </si>
  <si>
    <t>body(   边境战神是国家的屏障！)</t>
    <phoneticPr fontId="6" type="noConversion"/>
  </si>
  <si>
    <t>"你还想知道什么喃？"</t>
    <phoneticPr fontId="6" type="noConversion"/>
  </si>
  <si>
    <t>&lt;p&gt;
&lt;n&gt;  回复： &lt;/n&gt;
 &lt;n&gt; &lt;/n&gt;&lt;goto id="196" mapid="7" flagpoint="1" taskid="13062" /&gt;
&lt;/p&gt;</t>
    <phoneticPr fontId="6" type="noConversion"/>
  </si>
  <si>
    <t>"31198-0-1"</t>
    <phoneticPr fontId="6" type="noConversion"/>
  </si>
  <si>
    <t>回城点莉亚娜</t>
  </si>
  <si>
    <t>"你经历的磨砺还不够，51级以后再来找我吧！"</t>
    <phoneticPr fontId="6" type="noConversion"/>
  </si>
  <si>
    <t>&lt;p&gt;
&lt;n&gt;  收集10个鸣凤草，交给&lt;/n&gt;
 &lt;n&gt; &lt;/n&gt;&lt;goto id="60560" mapid="8" flagpoint="1" taskid="30046"/&gt;
&lt;/p&gt;</t>
    <phoneticPr fontId="6" type="noConversion"/>
  </si>
  <si>
    <t>大议长君士坦丁</t>
    <phoneticPr fontId="6" type="noConversion"/>
  </si>
  <si>
    <t>"在中立区帝都查看女武神像"</t>
    <phoneticPr fontId="6" type="noConversion"/>
  </si>
  <si>
    <t>{{31256,0,1,0,"1-1"}}</t>
    <phoneticPr fontId="6" type="noConversion"/>
  </si>
  <si>
    <t>body(   你果然是个实力强横的战士？要不要再尝试一次？)</t>
    <phoneticPr fontId="6" type="noConversion"/>
  </si>
  <si>
    <t>击杀孽龙的看护后，可完成任务</t>
    <phoneticPr fontId="6" type="noConversion"/>
  </si>
  <si>
    <t>{{31257,0,1,0,"1-1"}}</t>
    <phoneticPr fontId="6" type="noConversion"/>
  </si>
  <si>
    <t>&lt;p&gt;
&lt;n&gt;  击杀&lt;/n&gt;
 &lt;n&gt; &lt;/n&gt;&lt;goto id="10172" mapid="5" flagpoint="1" taskid="30200" /&gt;
&lt;/p&gt;</t>
    <phoneticPr fontId="6" type="noConversion"/>
  </si>
  <si>
    <t>&lt;p&gt;
&lt;n&gt;  去&lt;/n&gt;
 &lt;n&gt; &lt;/n&gt;&lt;goto id="165" mapid="7" flagpoint="1" taskid="30100" /&gt;
&lt;n&gt;完成一次情报任务&lt;/n&gt; 
&lt;/p&gt;</t>
    <phoneticPr fontId="6" type="noConversion"/>
  </si>
  <si>
    <t>{{31256,0,1,0,"1-0"}}</t>
    <phoneticPr fontId="6" type="noConversion"/>
  </si>
  <si>
    <t>&lt;p&gt;
&lt;n&gt;  去&lt;/n&gt;
 &lt;n&gt; &lt;/n&gt;&lt;goto id="165" mapid="7" flagpoint="1" taskid="30101" /&gt;
&lt;n&gt;完成一次情报任务&lt;/n&gt; 
&lt;/p&gt;</t>
    <phoneticPr fontId="6" type="noConversion"/>
  </si>
  <si>
    <t>title(（12级）养蜂人希尔)
body(hotyellow_3(任务进程:)newline()
   消灭goto(10009,2)或goto(10010,2)，找到goto(60019,2)。
blankline()hotyellow_3(任务描述:)newline() 
   自从荆棘镇变成现在的样子，养蜂人希尔就一直闷闷不乐。他是个很不错的人，希望不要出什么事才好。据说有人在迷雾废墟的西部方向见过他。那儿经常有树桩怪出没，希望养蜂人希尔不要被困住。树桩怪是种奇特的怪物，像是被赋予了生命的树，却异常暴躁。他们经常会攻击路过的旅人。你如果去，一定要小心。)</t>
    <phoneticPr fontId="6" type="noConversion"/>
  </si>
  <si>
    <t>{{29031,0,1,1,"1-1"}}</t>
    <phoneticPr fontId="6" type="noConversion"/>
  </si>
  <si>
    <t>title(（50级）命运的轨迹)
body(hotyellow_3(任务进程:)newline()
   提升自身等级至61级，与goto(165,7)对话。blankline()hotyellow_3(任务描述:)newline() 
   hot3(   你降临之时，大贤者从星辰间得到暗示。“在光与暗之间，在天与地之间，在人与魔之间，在现在与未来之间。你的选择，将会改变一切。”你将会用自己的行动，去寻找即将发生的事。))</t>
    <phoneticPr fontId="6" type="noConversion"/>
  </si>
  <si>
    <t>title(（61级）命运的轨迹)
body(hotyellow_3(任务进程:)newline()
   询问goto(165,7)。blankline()hotyellow_3(任务描述:)newline() 
   有什么要问情报部长的吗？))</t>
    <phoneticPr fontId="6" type="noConversion"/>
  </si>
  <si>
    <t>你还没有将你的恋人抱到此地</t>
    <phoneticPr fontId="6" type="noConversion"/>
  </si>
  <si>
    <t>&lt;p&gt;
&lt;n&gt;  与你的恋人一起依偎5分钟&lt;/n&gt;
&lt;/p&gt;</t>
    <phoneticPr fontId="6" type="noConversion"/>
  </si>
  <si>
    <t>&lt;p&gt;
&lt;n&gt;  完成任务后，前往&lt;/n&gt;
 &lt;n&gt; &lt;/n&gt;&lt;goto id="200" mapid="156" flagpoint="1" taskid="30047"/&gt;
&lt;/p&gt;</t>
    <phoneticPr fontId="6" type="noConversion"/>
  </si>
  <si>
    <t>body(   player()，接取任务后，与你的恋人依偎（目标头像右键，选择交互动作中的抱起）在一起5分钟以上，即可完成任务。)</t>
    <phoneticPr fontId="6" type="noConversion"/>
  </si>
  <si>
    <t>body(   很高兴看到你们如此幸福甜蜜。)</t>
    <phoneticPr fontId="6" type="noConversion"/>
  </si>
  <si>
    <t>护送（1-60）</t>
    <phoneticPr fontId="6" type="noConversion"/>
  </si>
  <si>
    <t>护送（61以上）</t>
    <phoneticPr fontId="6" type="noConversion"/>
  </si>
  <si>
    <t>"年轻人，有些人是不能惹的，有些钱是不能要的，少多管闲事。"</t>
    <phoneticPr fontId="9" type="noConversion"/>
  </si>
  <si>
    <t>&lt;p&gt;
&lt;n&gt;  和&lt;/n&gt;
 &lt;n&gt; &lt;/n&gt;&lt;goto id="60064" mapid="3" flagpoint="1" flagdrawrect="1" taskid="10711"/&gt;
&lt;n&gt;沟通一下&lt;/n&gt;
&lt;/p&gt;</t>
    <phoneticPr fontId="9" type="noConversion"/>
  </si>
  <si>
    <t>&lt;p&gt;
&lt;n&gt;  和&lt;/n&gt;
 &lt;n&gt; &lt;/n&gt;&lt;goto id="60064" mapid="3" flagpoint="1" flagdrawrect="1" taskid="10711"/&gt;
&lt;n&gt;沟通一下&lt;/n&gt;
&lt;/p&gt;</t>
    <phoneticPr fontId="6" type="noConversion"/>
  </si>
  <si>
    <t>{{29031,0,2,1,"1-1"}}</t>
    <phoneticPr fontId="6" type="noConversion"/>
  </si>
  <si>
    <t>{{29031,0,3,1,"1-1"}}</t>
    <phoneticPr fontId="6" type="noConversion"/>
  </si>
  <si>
    <t>{{29031,0,4,1,"1-1"}}</t>
    <phoneticPr fontId="6" type="noConversion"/>
  </si>
  <si>
    <t>body(   进行护送任务)</t>
    <phoneticPr fontId="6" type="noConversion"/>
  </si>
  <si>
    <t>title(（36级）疾走龙的秘密)
body(hotyellow_3(任务进程:)newline()
   去干掉45只goto(10058,3)，并告知goto(60076,3)。
blankline()hotyellow_3(任务描述:)newline() 
   那些冒险家虽然不喜欢与我们为伍，总是神神秘秘的，好像在寻找什么宝藏。但他们一般也会在营地附近休整，寻求庇护。最近一段时间有记录在营地附近出没的怪物只有疾走龙了。)</t>
    <phoneticPr fontId="6" type="noConversion"/>
  </si>
  <si>
    <t>title(（38级）毒蜘蛛的秘密)
body(hotyellow_3(任务进程:)newline()hot2(任务描述:)newline()
   去干掉45只goto(10060,3)，并告知goto(60076,3)。
blankline()
   那些眼里只有财宝的冒险家，都是冷血的禽兽。当初我怎么会与他们为伍！有人告诉我，他曾经看见毒蜘蛛抓走了一个小孩子。但是那个畜生竟然因为害怕眼睁睁的看着我可怜的萨尔被抓走。player()，现在只有你能帮我了，我求求你一定要帮助我。)</t>
    <phoneticPr fontId="6" type="noConversion"/>
  </si>
  <si>
    <t>圣诞老人</t>
    <phoneticPr fontId="6" type="noConversion"/>
  </si>
  <si>
    <t>body(   Merry Christmas！我是来自北极的超级好男人！好男人就是我，我就是圣诞老帅哥！喊一声帅哥，我就给你一个神秘的东东。哈哈！)</t>
    <phoneticPr fontId="6" type="noConversion"/>
  </si>
  <si>
    <t>"哈哈，你一定是忘了什么？"</t>
    <phoneticPr fontId="6" type="noConversion"/>
  </si>
  <si>
    <t>&lt;p&gt;
&lt;n&gt;  回复：&lt;/n&gt;
 &lt;n&gt; &lt;/n&gt;&lt;goto id="206" mapid="3" flagpoint="1" taskid="15067" /&gt;
&lt;/p&gt;</t>
    <phoneticPr fontId="6" type="noConversion"/>
  </si>
  <si>
    <t>需要和你的恋人依偎1分钟以上哦</t>
    <phoneticPr fontId="6" type="noConversion"/>
  </si>
  <si>
    <t>&lt;p&gt;
&lt;n&gt;  抱起你的恋人，并前往&lt;/n&gt;
 &lt;n&gt; &lt;/n&gt;&lt;goto id="203" mapid="156" flagpoint="1" taskid="30047"/&gt;
&lt;/p&gt;</t>
    <phoneticPr fontId="6" type="noConversion"/>
  </si>
  <si>
    <t>&lt;p&gt;
&lt;n&gt;  完成任务后，前往&lt;/n&gt;
 &lt;n&gt; &lt;/n&gt;&lt;goto id="204" mapid="156" flagpoint="1" taskid="30048"/&gt;
&lt;/p&gt;</t>
    <phoneticPr fontId="6" type="noConversion"/>
  </si>
  <si>
    <t>&lt;p&gt;
&lt;n&gt;  抱起你的恋人1分钟&lt;/n&gt;
&lt;newline/&gt;
 &lt;n&gt; &lt;/n&gt;&lt;goto id="203" mapid="156" flagpoint="1" taskid="30047"/&gt;
&lt;/p&gt;</t>
    <phoneticPr fontId="6" type="noConversion"/>
  </si>
  <si>
    <t>需要抱起你的恋人1分钟</t>
    <phoneticPr fontId="6" type="noConversion"/>
  </si>
  <si>
    <t>body(   嗯，player()。你总算成长为一位有担当的战士了。脱离了新手期，你将会不再受系统保护。)</t>
    <phoneticPr fontId="6" type="noConversion"/>
  </si>
  <si>
    <t>title(（41级）卧薪尝胆)
body(hotyellow_3(任务进程:)newline()
   与goto(126,7)对话，重新开启新手状态。开启后，将重新受到新手系统保护。
blankline()hotyellow_3(任务描述:)newline() 
   嗯，player()。这个世界充满了危险的气息，我知道你是一个伟大的战士，但是现在还不是出手的时候。奥丁神会再次给予你庇护，等你积蓄好力量后，再来找我。)</t>
    <phoneticPr fontId="6" type="noConversion"/>
  </si>
  <si>
    <t>body(   嗯，player()。这个世界充满了危险的气息，我知道你是一个伟大的战士，但是现在还不是出手的时候。奥丁神会再次给予你庇护，你将再次拥有hot(新手保护)，等你积蓄好力量后，再来找我。)</t>
    <phoneticPr fontId="6" type="noConversion"/>
  </si>
  <si>
    <t>body(   这个世界需要你，请你尽快成长起来。)</t>
    <phoneticPr fontId="6" type="noConversion"/>
  </si>
  <si>
    <t>"你随时可以改变主意，等你想好了，再来找我。"</t>
    <phoneticPr fontId="6" type="noConversion"/>
  </si>
  <si>
    <t>&lt;p&gt;
&lt;n&gt;  回复： &lt;/n&gt;
 &lt;n&gt; &lt;/n&gt;&lt;goto id="126" mapid="7" flagpoint="1" taskid="12310" /&gt;
&lt;/p&gt;</t>
    <phoneticPr fontId="6" type="noConversion"/>
  </si>
  <si>
    <t>title(（41级）再别新手期)
body(hotyellow_3(任务进程:)newline()
   与goto(126,7)对话，解除新手状态。解除后，将正式脱离新手系统保护。
blankline()hotyellow_3(任务描述:)newline() 
   嗯，player()。你终于来了，当你站在这里时，我无法言说我心中的激动之情，你是王的荣耀！国家需要你，伟大的勇者，拿起你手中的武器，为国家而战！)</t>
    <phoneticPr fontId="6" type="noConversion"/>
  </si>
  <si>
    <t>body(   嗯，player()。你终于来了，当你站在这里时，我无法言说我心中的激动之情，你是王的荣耀！国家需要你，伟大的勇者，拿起你手中的武器，为国家而战！你将结束新手保护，并且不能再重新回到新手状态，你决定好了么？)</t>
    <phoneticPr fontId="6" type="noConversion"/>
  </si>
  <si>
    <t>body(   你是伟大的战士，为国家而战！看到你的成长，我十分欣慰。)</t>
    <phoneticPr fontId="6" type="noConversion"/>
  </si>
  <si>
    <t>"也许你还没有考虑好，我随时欢迎你。"</t>
    <phoneticPr fontId="6" type="noConversion"/>
  </si>
  <si>
    <t>&lt;p&gt;
&lt;n&gt;  回复： &lt;/n&gt;
 &lt;n&gt; &lt;/n&gt;&lt;goto id="126" mapid="7" flagpoint="1" taskid="12320" /&gt;
&lt;/p&gt;</t>
    <phoneticPr fontId="6" type="noConversion"/>
  </si>
  <si>
    <t>body(   player()，接取任务后，将你的恋人抱起1分钟（目标头像右键，选择交互动作中的抱起）后。即可前往hot(罗密欧)处完成任务。)</t>
    <phoneticPr fontId="6" type="noConversion"/>
  </si>
  <si>
    <t>body(   player()，接取任务后，与你的恋人依偎（目标头像右键，选择交互动作中的依偎）在一起1分钟以上，即可完成任务。)</t>
    <phoneticPr fontId="6" type="noConversion"/>
  </si>
  <si>
    <t>{{31178,0,1,0,"1-1"}}</t>
    <phoneticPr fontId="6" type="noConversion"/>
  </si>
  <si>
    <t>{{26018,0,3,0,"1-1,3-172800"}}</t>
    <phoneticPr fontId="6" type="noConversion"/>
  </si>
  <si>
    <t>采矿魔甲</t>
    <phoneticPr fontId="6" type="noConversion"/>
  </si>
  <si>
    <t>采矿魔甲</t>
    <phoneticPr fontId="6" type="noConversion"/>
  </si>
  <si>
    <t>body(   哦！player()，多亏了你的信息，我们已经准备好了，放心，我们不会再让他们得逞的。)</t>
    <phoneticPr fontId="6" type="noConversion"/>
  </si>
  <si>
    <t>你还没有获得足够的情报！</t>
    <phoneticPr fontId="6" type="noConversion"/>
  </si>
  <si>
    <t>body(    你竟然是人类，可恶，我的计划被打乱了。)</t>
    <phoneticPr fontId="6" type="noConversion"/>
  </si>
  <si>
    <t>{{31257,0,1,0,"1-0"}}</t>
    <phoneticPr fontId="6" type="noConversion"/>
  </si>
  <si>
    <t>击杀暗影卡哈拉后，可完成任务</t>
    <phoneticPr fontId="6" type="noConversion"/>
  </si>
  <si>
    <t>&lt;p&gt;
&lt;n&gt;  击杀&lt;/n&gt;
 &lt;n&gt; &lt;/n&gt;&lt;goto id="20012" mapid="8" flagpoint="1" taskid="30201" /&gt;
&lt;/p&gt;</t>
    <phoneticPr fontId="6" type="noConversion"/>
  </si>
  <si>
    <t>title(（20级）重要的情报)
body(hotyellow_3(任务进程:)newline()
   获取情报后去找goto(60028,2)。
blankline()hotyellow_3(任务描述:)newline() 
   将爆破野蛮人的进攻信息及时传达给艾伦。)</t>
    <phoneticPr fontId="6" type="noConversion"/>
  </si>
  <si>
    <t>body(   你将你的声音留下，听到的人将记住你的名字。)</t>
    <phoneticPr fontId="6" type="noConversion"/>
  </si>
  <si>
    <t>使用一次轻聊发言</t>
    <phoneticPr fontId="6" type="noConversion"/>
  </si>
  <si>
    <t>卡尔</t>
    <phoneticPr fontId="6" type="noConversion"/>
  </si>
  <si>
    <t>body(   勇士，用你的武器劈开前方的荆棘，本国的人民将记住你的名字。)</t>
    <phoneticPr fontId="6" type="noConversion"/>
  </si>
  <si>
    <t>使用一次国聊发言</t>
    <phoneticPr fontId="6" type="noConversion"/>
  </si>
  <si>
    <t>body(   勇士，你将让人民见证你的武力，让敌国知道你的存在！全世界的人将记住你的名字。)</t>
    <phoneticPr fontId="6" type="noConversion"/>
  </si>
  <si>
    <t>使用一次世界聊天发言</t>
    <phoneticPr fontId="6" type="noConversion"/>
  </si>
  <si>
    <t>body(   K歌之王，这个世界是属于你的世界。)</t>
    <phoneticPr fontId="6" type="noConversion"/>
  </si>
  <si>
    <t>使用一次麦克风聊天发言</t>
    <phoneticPr fontId="6" type="noConversion"/>
  </si>
  <si>
    <t>body(   player(),你成为了国家中重要的一员，你要让全国人民都认识你。
blankline()
   1.尝试打开聊天窗口，敲击键盘上的hot(回车键“Enter”)打开游戏左下角的聊天窗口。newline() 
   2.在文字输入框左边使用鼠标选择hot(国聊)，并输入任意一段文字。newline()
   3.文字输入完成后，再次敲击键盘上的hot(回车键“Enter”)将文字内容发送出去，本国的玩家将看到你的发言。)</t>
    <phoneticPr fontId="6" type="noConversion"/>
  </si>
  <si>
    <t>title(（21级）国家勇士的登场)
body(hotyellow_3(任务进程:)newline()
   你成为了国家中重要的一员，你要让全国人民都认识你。
blankline()hotyellow_3(任务描述:)newline() 
   1.尝试打开聊天窗口，敲击键盘上的hot(回车键“Enter”)打开游戏左下角的聊天窗口。newline() 
   2.在文字输入框左边使用鼠标选择hot(国聊)，并输入任意一段文字。newline()
   3.文字输入完成后，再次敲击键盘上的hot(回车键“Enter”)将文字内容发送出去，本国的玩家将看到你的发言。)</t>
    <phoneticPr fontId="6" type="noConversion"/>
  </si>
  <si>
    <t xml:space="preserve">  你要向世界证明你的存在。（发送一次世界聊天再与我对话）</t>
    <phoneticPr fontId="6" type="noConversion"/>
  </si>
  <si>
    <t xml:space="preserve">  你要让世界的人记住你的名字。（发送一次世界聊天再与我对话）</t>
    <phoneticPr fontId="6" type="noConversion"/>
  </si>
  <si>
    <t xml:space="preserve">  本国的玩家需要你。（发送一次国聊再与我对话）</t>
    <phoneticPr fontId="6" type="noConversion"/>
  </si>
  <si>
    <t xml:space="preserve">  不必害羞，想说什么就大声说出来。（发送一次轻聊再与我对话）</t>
    <phoneticPr fontId="6" type="noConversion"/>
  </si>
  <si>
    <t>&lt;p&gt;
&lt;n&gt;  选择轻聊，输入文字后按“回车Enter”发送&lt;/n&gt;&lt;newline/&gt;
&lt;dialog taskid="15100" text="开启聊天" hotkeyid="40" /&gt;
&lt;/p&gt;</t>
    <phoneticPr fontId="6" type="noConversion"/>
  </si>
  <si>
    <t>&lt;p&gt;
&lt;n&gt;  选择国聊，输入文字后按“回车Enter”发送&lt;/n&gt;&lt;newline/&gt;
&lt;dialog taskid="15110" text="开启聊天" hotkeyid="40" /&gt;
&lt;/p&gt;</t>
    <phoneticPr fontId="6" type="noConversion"/>
  </si>
  <si>
    <t>高级猎命</t>
    <phoneticPr fontId="6" type="noConversion"/>
  </si>
  <si>
    <t>body(space()space()space()player()，你也许已经发现。在神秘矿洞一层的深处，有神秘矿洞二层的入口。我的好朋友hot(神秘矿洞守卫雷诺)就驻守在那里。我希望你能找到他，他将会指引你更多前行的道路。)</t>
    <phoneticPr fontId="6" type="noConversion"/>
  </si>
  <si>
    <t>&lt;p&gt;
&lt;n&gt;  到达&lt;/n&gt;
 &lt;goto pos="376,355" mapid="3"  flagpoint="1" /&gt;
&lt;n&gt;的舞池&lt;/n&gt;
&lt;newline/&gt;
&lt;n&gt;  &lt;/n&gt;&lt;dialog taskid="4011" text="使用跳舞技能" hotkeyid="5" tabid="2-1"/&gt;&lt;n&gt;舞蹈一分钟&lt;/n&gt;
&lt;newline/&gt;
&lt;n&gt;  使用舞票可得高额经验&lt;/n&gt;
&lt;/p&gt;</t>
    <phoneticPr fontId="6" type="noConversion"/>
  </si>
  <si>
    <t>梅林</t>
    <phoneticPr fontId="6" type="noConversion"/>
  </si>
  <si>
    <t>body(   没想到我也能收到玫瑰花啊，哈哈，亲爱的梅林，我已收到了你的丘比特之剑。player()，为了感谢你，这是我送给你的一点心意，请务必收下。)</t>
    <phoneticPr fontId="6" type="noConversion"/>
  </si>
  <si>
    <t xml:space="preserve">  我想念我的恋人。</t>
    <phoneticPr fontId="6" type="noConversion"/>
  </si>
  <si>
    <t>塞巴斯蒂安</t>
    <phoneticPr fontId="6" type="noConversion"/>
  </si>
  <si>
    <t>body(   我的天呐！这是真的么！亲爱的塞巴斯蒂安，我觉得我是世界上最幸福的女人了。player()，为了感谢你，这是我送给你的一点心意，请务必收下。)</t>
    <phoneticPr fontId="6" type="noConversion"/>
  </si>
  <si>
    <t>收集9朵红玫瑰给梅林，红玫瑰可在商城的杂货中购买。</t>
    <phoneticPr fontId="6" type="noConversion"/>
  </si>
  <si>
    <t>收集9朵红玫瑰给塞巴斯蒂安，红玫瑰可在商城的杂货中购买。</t>
    <phoneticPr fontId="6" type="noConversion"/>
  </si>
  <si>
    <t>&lt;p&gt;
&lt;n&gt;  商城杂货中购买9朵红玫瑰&lt;/n&gt;&lt;dialog taskid="15150" text="购买玫瑰" hotkeyid="16"/&gt;
&lt;/p&gt;</t>
    <phoneticPr fontId="6" type="noConversion"/>
  </si>
  <si>
    <t>&lt;p&gt;
&lt;n&gt;  商城杂货中购买9朵红玫瑰&lt;/n&gt;&lt;dialog taskid="15160" text="购买玫瑰" hotkeyid="16"/&gt;
&lt;/p&gt;</t>
    <phoneticPr fontId="6" type="noConversion"/>
  </si>
  <si>
    <t>body(space()space()space()player(),爱之神hot(丘比特)来了哦，据说它可以满足情侣的愿望哦，相爱的人可以在丘比特处结为情侣。
 )</t>
    <phoneticPr fontId="6" type="noConversion"/>
  </si>
  <si>
    <t>body(   有情人可以在我这里成为恋人，我将以爱神的名义祝福你们。)</t>
    <phoneticPr fontId="6" type="noConversion"/>
  </si>
  <si>
    <t xml:space="preserve">  你找我做什么。</t>
    <phoneticPr fontId="6" type="noConversion"/>
  </si>
  <si>
    <t>去找丘比特了解恋人</t>
    <phoneticPr fontId="6" type="noConversion"/>
  </si>
  <si>
    <t>body(space()space()space()player(),婚姻是爱情的天堂，你愿意与你的爱人一起步入婚礼的殿堂吗？如果你想的话，就去找hot(婚礼殿堂)的hot(维纳斯)见证你们的爱情吧。
 )</t>
    <phoneticPr fontId="6" type="noConversion"/>
  </si>
  <si>
    <t>body(   我以神的名义，赐予你们爱的福音。)</t>
    <phoneticPr fontId="6" type="noConversion"/>
  </si>
  <si>
    <t>去找维纳斯了解结婚</t>
    <phoneticPr fontId="6" type="noConversion"/>
  </si>
  <si>
    <t>[1级]奥丁大陆</t>
  </si>
  <si>
    <t>[1级]迈克的烦恼</t>
  </si>
  <si>
    <t>[3级]尚未报到的战士</t>
  </si>
  <si>
    <t>[3级]归还装备</t>
  </si>
  <si>
    <t>[3级]懦弱的士兵</t>
  </si>
  <si>
    <t>[3级]疑问</t>
  </si>
  <si>
    <t>[3级]鉴定装备</t>
  </si>
  <si>
    <t>[4级]整装待发[二]</t>
  </si>
  <si>
    <t>[4级]整装待发[三]</t>
  </si>
  <si>
    <t>[5级]出发前的训话</t>
  </si>
  <si>
    <t>[5级]问答</t>
  </si>
  <si>
    <t>[5级]出发</t>
  </si>
  <si>
    <t>[6级]迷雾废墟</t>
  </si>
  <si>
    <t>[6级]失踪的士兵</t>
  </si>
  <si>
    <t>[6级]求援</t>
  </si>
  <si>
    <t>[7级]小镇镇长</t>
  </si>
  <si>
    <t>[7级]小镇居民</t>
  </si>
  <si>
    <t>[8级]神秘的齿痕</t>
  </si>
  <si>
    <t>[9级]吸血鬼传说</t>
  </si>
  <si>
    <t>[9级]神秘矿石</t>
  </si>
  <si>
    <t>[9级]吸血鬼研究</t>
  </si>
  <si>
    <t>[9级]论断</t>
  </si>
  <si>
    <t>[10级]询问</t>
  </si>
  <si>
    <t>[10级]朋友的意义</t>
  </si>
  <si>
    <t>[11级]吸血鬼真容</t>
  </si>
  <si>
    <t>[11级]解毒</t>
  </si>
  <si>
    <t>[11级]治愈</t>
  </si>
  <si>
    <t>[11级]关切的鲍比</t>
  </si>
  <si>
    <t>[12级]失踪的镇民</t>
  </si>
  <si>
    <t>[12级]养蜂人希尔</t>
  </si>
  <si>
    <t>[12级]第一个额外背包</t>
  </si>
  <si>
    <t>[12级]小女孩玛娜</t>
  </si>
  <si>
    <t>[13级]宠物召唤</t>
  </si>
  <si>
    <t>[13级]宠物问答</t>
  </si>
  <si>
    <t>[14级]忧虑的养蜂人</t>
  </si>
  <si>
    <t>[14级]女妖的蛊惑</t>
  </si>
  <si>
    <t>[14级]有关装备的困惑</t>
  </si>
  <si>
    <t>[15级]失忆的养蜂人</t>
  </si>
  <si>
    <t>[15级]另一个幸存者</t>
  </si>
  <si>
    <t>[15级]勇者的勋章</t>
  </si>
  <si>
    <t>[16级]痛苦的回忆</t>
  </si>
  <si>
    <t>[16级]清凉果</t>
  </si>
  <si>
    <t>[16级]比大小</t>
  </si>
  <si>
    <t>[16级]严重失忆</t>
  </si>
  <si>
    <t>[17级]真理兄弟会</t>
  </si>
  <si>
    <t>[17级]小镇的牧师</t>
  </si>
  <si>
    <t>[17级]纠结</t>
  </si>
  <si>
    <t>[18级]复仇</t>
  </si>
  <si>
    <t>[18级]牧师的委托</t>
  </si>
  <si>
    <t>[19级]尚未安息的灵魂</t>
  </si>
  <si>
    <t>[19级]芯片合成</t>
  </si>
  <si>
    <t>[20级]魔甲</t>
  </si>
  <si>
    <t>[20级]采矿魔甲的秘密</t>
  </si>
  <si>
    <t>[20级]重要的情报</t>
  </si>
  <si>
    <t>[21级]比大小</t>
  </si>
  <si>
    <t>[21级]艾伦的推荐信</t>
  </si>
  <si>
    <t>[21级]成为士官</t>
  </si>
  <si>
    <t>[21级]设置复活点</t>
  </si>
  <si>
    <t>[22级]商人杰克</t>
  </si>
  <si>
    <t>[22级]神秘人米迦勒</t>
  </si>
  <si>
    <t>[22级]生物学家达尔文</t>
  </si>
  <si>
    <t>[22级]采样</t>
  </si>
  <si>
    <t>[23级]口信</t>
  </si>
  <si>
    <t>[23级]当前形势</t>
  </si>
  <si>
    <t>[23级]傀儡</t>
  </si>
  <si>
    <t>[23级]解毒草</t>
  </si>
  <si>
    <t>[24级]灼伤</t>
  </si>
  <si>
    <t>[24级]被拒的援手</t>
  </si>
  <si>
    <t>[24级]被感染的人们</t>
  </si>
  <si>
    <t>[24级]无奈的谎言</t>
  </si>
  <si>
    <t>[25级]深渊毁灭者</t>
  </si>
  <si>
    <t>[25级]解毒草的种子</t>
  </si>
  <si>
    <t>[25级]进入团</t>
  </si>
  <si>
    <t>[25级]骑士之团</t>
  </si>
  <si>
    <t>[26级]舞蹈的力量</t>
  </si>
  <si>
    <t>[26级]金刚兽</t>
  </si>
  <si>
    <t>[26级]火焰蝴蝶</t>
  </si>
  <si>
    <t>[26级]牧师长西瓦</t>
  </si>
  <si>
    <t>[27级]不能说的秘密</t>
  </si>
  <si>
    <t>[27级]乱世求生</t>
  </si>
  <si>
    <t>[27级]零号的求助</t>
  </si>
  <si>
    <t>[28级]物资匮乏</t>
  </si>
  <si>
    <t>[28级]矿洞探险者</t>
  </si>
  <si>
    <t>[28级]探险者招募-药材</t>
  </si>
  <si>
    <t>[28级]药材收集</t>
  </si>
  <si>
    <t>[28级]制作大师</t>
  </si>
  <si>
    <t>[28级]精炼药材</t>
  </si>
  <si>
    <t>[28级]探险者招募-矿石</t>
  </si>
  <si>
    <t xml:space="preserve">[28级]矿石收集 </t>
  </si>
  <si>
    <t>[28级]精炼矿石</t>
  </si>
  <si>
    <t>[28级]龙护腿</t>
  </si>
  <si>
    <t>[28级]生命瞬回药[小]</t>
  </si>
  <si>
    <t>[28级]技术习得</t>
  </si>
  <si>
    <t>[29级]回复零号</t>
  </si>
  <si>
    <t>[29级]炮灰向前冲</t>
  </si>
  <si>
    <t>[29级]比大小</t>
  </si>
  <si>
    <t>[30级]最后一把牌</t>
  </si>
  <si>
    <t>[30级]遗言</t>
  </si>
  <si>
    <t>[30级]危急时刻</t>
  </si>
  <si>
    <t>[30级]准备完成</t>
  </si>
  <si>
    <t>[31级]熔岩战士卡米乔</t>
  </si>
  <si>
    <t>[31级]疫源</t>
  </si>
  <si>
    <t>[31级]节制行动</t>
  </si>
  <si>
    <t>[31级]高额委托单</t>
  </si>
  <si>
    <t>[32级]承诺</t>
  </si>
  <si>
    <t>[32级]地狱食火者</t>
  </si>
  <si>
    <t>[32级]措施</t>
  </si>
  <si>
    <t>[32级]清凉果</t>
  </si>
  <si>
    <t>[32级]野生金刚兽</t>
  </si>
  <si>
    <t>[32级]老泰山的教导</t>
  </si>
  <si>
    <t>[33级]捕捉战斗宠物</t>
  </si>
  <si>
    <t>[33级]刺客昆卡</t>
  </si>
  <si>
    <t>[33级]试水</t>
  </si>
  <si>
    <t>[33级]比大小</t>
  </si>
  <si>
    <t>[33级]战斗宠物问答</t>
  </si>
  <si>
    <t>[34级]最后一击</t>
  </si>
  <si>
    <t>[34级]剪除首恶</t>
  </si>
  <si>
    <t>[34级]新的召唤</t>
  </si>
  <si>
    <t>[35级]任性的女儿</t>
  </si>
  <si>
    <t>[35级]上尉赛特</t>
  </si>
  <si>
    <t>[35级]异角龙</t>
  </si>
  <si>
    <t>[35级]尖角暴龙</t>
  </si>
  <si>
    <t>[36级]搬走的佐洛</t>
  </si>
  <si>
    <t>[36级]锈蚀的营房</t>
  </si>
  <si>
    <t>[36级]冒险者韦德</t>
  </si>
  <si>
    <t>[36级]比大小</t>
  </si>
  <si>
    <t>[37级]可疑的怪人</t>
  </si>
  <si>
    <t>[37级]另类的美食</t>
  </si>
  <si>
    <t>[37级]幻觉</t>
  </si>
  <si>
    <t>[37级]安定剂</t>
  </si>
  <si>
    <t>[37级]比大小</t>
  </si>
  <si>
    <t>[38级]麻醉剂收集</t>
  </si>
  <si>
    <t>[38级]日益危险的丛林</t>
  </si>
  <si>
    <t>[38级]最直接的威胁</t>
  </si>
  <si>
    <t>[38级]收集解毒草</t>
  </si>
  <si>
    <t>[38级]冒险者坎比</t>
  </si>
  <si>
    <t>[39级]监测</t>
  </si>
  <si>
    <t>[39级]报告</t>
  </si>
  <si>
    <t>[39级]记仇的人</t>
  </si>
  <si>
    <t>[39级]失踪的犀牛</t>
  </si>
  <si>
    <t>[40级]咨询</t>
  </si>
  <si>
    <t>[40级]比大小</t>
  </si>
  <si>
    <t>[40级]危机蔓延</t>
  </si>
  <si>
    <t>[40级]指示</t>
  </si>
  <si>
    <t>[40级]告知</t>
  </si>
  <si>
    <t>[40级]红莲赤甲蝎</t>
  </si>
  <si>
    <t>[40级]汇报</t>
  </si>
  <si>
    <t>[41级]瘟疫蔓延</t>
  </si>
  <si>
    <t>[41级]安魂花</t>
  </si>
  <si>
    <t>[41级]大力巨钳蝎</t>
  </si>
  <si>
    <t>[41级]冒险者波仕</t>
  </si>
  <si>
    <t>[42级]绝密实验</t>
  </si>
  <si>
    <t>[42级]接头</t>
  </si>
  <si>
    <t>[42级]毒妇飞螳</t>
  </si>
  <si>
    <t>[42级]解毒草</t>
  </si>
  <si>
    <t>[42级]属性精炼</t>
  </si>
  <si>
    <t>[43级]震地象</t>
  </si>
  <si>
    <t>[43级]后续行动</t>
  </si>
  <si>
    <t>[43级]狂暴猛犸</t>
  </si>
  <si>
    <t>[43级]准备撤离</t>
  </si>
  <si>
    <t>[44级]卡尔的口信</t>
  </si>
  <si>
    <t>[44级]期望</t>
  </si>
  <si>
    <t>[44级]比大小</t>
  </si>
  <si>
    <t>[44级]前线告急</t>
  </si>
  <si>
    <t>[45级]联盟</t>
  </si>
  <si>
    <t>[45级]猎人乔布斯</t>
  </si>
  <si>
    <t>[45级]危险的魔族</t>
  </si>
  <si>
    <t>[45级]灭魔者麦凯恩</t>
  </si>
  <si>
    <t>[46级]升温的丛林</t>
  </si>
  <si>
    <t>[46级]叛乱刺客</t>
  </si>
  <si>
    <t>[46级]装备改造商人</t>
  </si>
  <si>
    <t>[46级]装备重绑</t>
  </si>
  <si>
    <t>[46级]新的危机</t>
  </si>
  <si>
    <t>[47级]午夜的咆哮</t>
  </si>
  <si>
    <t>[47级]苏醒的熊</t>
  </si>
  <si>
    <t>[47级]立威</t>
  </si>
  <si>
    <t>[47级]斩首</t>
  </si>
  <si>
    <t>[47级]求援</t>
  </si>
  <si>
    <t>[48级]抉择时刻</t>
  </si>
  <si>
    <t>[48级]全面战役</t>
  </si>
  <si>
    <t>[48级]准备</t>
  </si>
  <si>
    <t>[48级]叛乱猎杀者</t>
  </si>
  <si>
    <t>[49级]同盟</t>
  </si>
  <si>
    <t>[49级]嗜血猎杀者</t>
  </si>
  <si>
    <t>[49级]嗜血恶鬼</t>
  </si>
  <si>
    <t>[50级]斩草除根</t>
  </si>
  <si>
    <t>[50级]腐食先知</t>
  </si>
  <si>
    <t>[50级]恶劣的外围</t>
  </si>
  <si>
    <t>[51级]虫群</t>
  </si>
  <si>
    <t>[51级]剧毒虫王</t>
  </si>
  <si>
    <t>[51级]虫子的首领</t>
  </si>
  <si>
    <t>[51级]新的指示</t>
  </si>
  <si>
    <t>[52级]运送战备</t>
  </si>
  <si>
    <t>[52级]唤醒者</t>
  </si>
  <si>
    <t>[52级]擒贼擒王</t>
  </si>
  <si>
    <t>[52级]比大小</t>
  </si>
  <si>
    <t>[52级]明了的形势</t>
  </si>
  <si>
    <t>[53级]最后的变数</t>
  </si>
  <si>
    <t>[53级]平息的丛林</t>
  </si>
  <si>
    <t>[53级]打孔镶嵌</t>
  </si>
  <si>
    <t>[53级]装备打孔</t>
  </si>
  <si>
    <t>[53级]装备镶嵌</t>
  </si>
  <si>
    <t>[54级]死亡沙漠</t>
  </si>
  <si>
    <t>[54级]老兵托奇</t>
  </si>
  <si>
    <t>[54级]清理甲虫</t>
  </si>
  <si>
    <t>[55级]战时必需品</t>
  </si>
  <si>
    <t>[55级]典狱长</t>
  </si>
  <si>
    <t>[55级]沙漠里的花朵</t>
  </si>
  <si>
    <t>[55级]等待</t>
  </si>
  <si>
    <t>[56级]致命的蝎</t>
  </si>
  <si>
    <t>[56级]危险的沙漠</t>
  </si>
  <si>
    <t>[56级]装填物资</t>
  </si>
  <si>
    <t>[56级]护送补给车</t>
  </si>
  <si>
    <t>[56级]水鸟赏金团</t>
  </si>
  <si>
    <t>[57级]提取基因</t>
  </si>
  <si>
    <t>[57级]密信</t>
  </si>
  <si>
    <t>[58级]狩猎偷袭者</t>
  </si>
  <si>
    <t>[59级]杀人的心跳</t>
  </si>
  <si>
    <t>[59级]屠戮之刃</t>
  </si>
  <si>
    <t>[59级]汇报</t>
  </si>
  <si>
    <t>[60级]诡异的沙漠</t>
  </si>
  <si>
    <t>[60级]怨结</t>
  </si>
  <si>
    <t>[61级]沙漠铜蜥</t>
  </si>
  <si>
    <t>[61级]更多的猎人</t>
  </si>
  <si>
    <t>[61级]终结的时代</t>
  </si>
  <si>
    <t>[62级]新的战略</t>
  </si>
  <si>
    <t>[62级]示好</t>
  </si>
  <si>
    <t>[62级]信息传递</t>
  </si>
  <si>
    <t>[63级]偏差的情报</t>
  </si>
  <si>
    <t>[63级]雷伊的诚意</t>
  </si>
  <si>
    <t>[63级]再次示好</t>
  </si>
  <si>
    <t>[64级]沙漠走私犯</t>
  </si>
  <si>
    <t>[64级]剿灭沙漠走私犯</t>
  </si>
  <si>
    <t>[64级]捷报</t>
  </si>
  <si>
    <t>[65级]投桃报李</t>
  </si>
  <si>
    <t>[65级]狩猎白色蜘蛛</t>
  </si>
  <si>
    <t>[66级]狩猎变异沙漠妖姬</t>
  </si>
  <si>
    <t>[66级]沙漠的法则</t>
  </si>
  <si>
    <t>[66级]默许</t>
  </si>
  <si>
    <t>[67级]剿灭偷猎者</t>
  </si>
  <si>
    <t>[67级]新的情况</t>
  </si>
  <si>
    <t>[68级]偷猎</t>
  </si>
  <si>
    <t>[68级]排除陷阱</t>
  </si>
  <si>
    <t>[68级]使命的召唤</t>
  </si>
  <si>
    <t>[69级]木乃伊归来</t>
  </si>
  <si>
    <t>[69级]盗墓贼</t>
  </si>
  <si>
    <t>[70级]剿灭盗墓贼</t>
  </si>
  <si>
    <t>[70级]凶残手段</t>
  </si>
  <si>
    <t>[71级]巨型木乃伊</t>
  </si>
  <si>
    <t>[71级]剿灭巨型木乃伊</t>
  </si>
  <si>
    <t>[61级]了解水晶</t>
  </si>
  <si>
    <t>[61级]回复君士坦丁</t>
  </si>
  <si>
    <t>[61级]议长的考验</t>
  </si>
  <si>
    <t>[62级]伤感的战士</t>
  </si>
  <si>
    <t>[62级]匹夫与文臣</t>
  </si>
  <si>
    <t>[62级]与光明对话</t>
  </si>
  <si>
    <t>[62级]与帝国对话</t>
  </si>
  <si>
    <t>[62级]帝国补给</t>
  </si>
  <si>
    <t>[62级]敬意或警告</t>
  </si>
  <si>
    <t>[62级]重建的必然性</t>
  </si>
  <si>
    <t>[62级]第一个考验</t>
  </si>
  <si>
    <t>[63级]玩牌</t>
  </si>
  <si>
    <t>[63级]第二个考验</t>
  </si>
  <si>
    <t>[64级]第三个考验</t>
  </si>
  <si>
    <t>[65级]王的传说</t>
  </si>
  <si>
    <t>[65级]狂狼之牙</t>
  </si>
  <si>
    <t>[65级]嗜血妖花</t>
  </si>
  <si>
    <t>[66级]安魂药剂</t>
  </si>
  <si>
    <t>[67级]林妖的末日</t>
  </si>
  <si>
    <t>[67级]获取安魂药剂</t>
  </si>
  <si>
    <t>[67级]神枪战将</t>
  </si>
  <si>
    <t>[68级]争理</t>
  </si>
  <si>
    <t>[68级]被遗忘的历史</t>
  </si>
  <si>
    <t>[68级]提升实力</t>
  </si>
  <si>
    <t>[69级]取回物品</t>
  </si>
  <si>
    <t>[69级]大贤者的祝福</t>
  </si>
  <si>
    <t>[70级]失落之心</t>
  </si>
  <si>
    <t>[70级]真·失落之心</t>
  </si>
  <si>
    <t>[70级]呼唤祷告</t>
  </si>
  <si>
    <t>[71级]仪式守护</t>
  </si>
  <si>
    <t>[71级]必须的补给</t>
  </si>
  <si>
    <t>[71级]议长的帮助</t>
  </si>
  <si>
    <t>[71级]护送物资</t>
  </si>
  <si>
    <t>[71级]提升等级</t>
  </si>
  <si>
    <t>[72级]噪音制造者</t>
  </si>
  <si>
    <t>[73级]暗影毒蜂</t>
  </si>
  <si>
    <t>[74级]暗影蜂王</t>
  </si>
  <si>
    <t>[74级]祷告完成</t>
  </si>
  <si>
    <t>[75级]戛然而止</t>
  </si>
  <si>
    <t>[75级]迪奥执法官</t>
  </si>
  <si>
    <t>[75级]六足速龙</t>
  </si>
  <si>
    <t>[75级]实力提升</t>
  </si>
  <si>
    <t>[76级]再次出击</t>
  </si>
  <si>
    <t>[76级]意外收获</t>
  </si>
  <si>
    <t>[76级]口头褒奖</t>
  </si>
  <si>
    <t>[77级]难得的休息</t>
  </si>
  <si>
    <t>[77级]美食的诱惑</t>
  </si>
  <si>
    <t>[77级]烹饪的调料</t>
  </si>
  <si>
    <t>[77级]平静的生活</t>
  </si>
  <si>
    <t>[77级]比大小</t>
  </si>
  <si>
    <t>[78级]美食惹的祸</t>
  </si>
  <si>
    <t>[78级]魔牛统领</t>
  </si>
  <si>
    <t>[78级]提升等级</t>
  </si>
  <si>
    <t>[79级]魔族邪豹</t>
  </si>
  <si>
    <t>[79级]第二波袭击</t>
  </si>
  <si>
    <t>[80级]邪豹统领</t>
  </si>
  <si>
    <t>[80级]汇报情况</t>
  </si>
  <si>
    <t>[81级]默克菲斯</t>
  </si>
  <si>
    <t>[82级]圣默克菲斯</t>
  </si>
  <si>
    <t>[83级]条顿魔将</t>
  </si>
  <si>
    <t>[85级]土魔邪狮</t>
  </si>
  <si>
    <t>[86级]邪狮王</t>
  </si>
  <si>
    <t>[87级]飓风鹰龙</t>
  </si>
  <si>
    <t>[88级]爆风鹰龙</t>
  </si>
  <si>
    <t>[89级]贪婪异狼</t>
  </si>
  <si>
    <t>[90级]异狼将</t>
  </si>
  <si>
    <t>[91级]剧毒紫蜂</t>
  </si>
  <si>
    <t>[92级]剧毒紫蜂后</t>
  </si>
  <si>
    <t>[93级]塞拉匹斯</t>
  </si>
  <si>
    <t>[94级]圣塞拉匹斯</t>
  </si>
  <si>
    <t>[95级]魔甲龙战士</t>
  </si>
  <si>
    <t>[96级]魔甲龙战将</t>
  </si>
  <si>
    <t>[97级]噜噜族勇士</t>
  </si>
  <si>
    <t>[98级]噜噜族猛士</t>
  </si>
  <si>
    <t>[99级]黑皇后蜘蛛</t>
  </si>
  <si>
    <t>[100级]黑皇后巨蛛</t>
  </si>
  <si>
    <t>[22级]收集装备</t>
  </si>
  <si>
    <t>[22级]狩猎裂纹豹</t>
  </si>
  <si>
    <t>[23级]狩猎岩浆傀儡</t>
  </si>
  <si>
    <t>[24级]狩猎火元素</t>
  </si>
  <si>
    <t>[26级]狩猎火焰蝴蝶</t>
  </si>
  <si>
    <t>[27级]狩猎火石怪</t>
  </si>
  <si>
    <t>[29级]狩猎火翼鸟</t>
  </si>
  <si>
    <t>[30级]狩猎震荡者</t>
  </si>
  <si>
    <t>[31级]狩猎萤火虫</t>
  </si>
  <si>
    <t>[32级]狩猎食火者</t>
  </si>
  <si>
    <t>[35级]狩猎异角龙</t>
  </si>
  <si>
    <t>[36级]狩猎疾走龙</t>
  </si>
  <si>
    <t>[37级]狩猎翼龙</t>
  </si>
  <si>
    <t>[38级]狩猎毒蜘蛛</t>
  </si>
  <si>
    <t>[39级]狩猎狂暴犀牛</t>
  </si>
  <si>
    <t>[40级]狩猎赤甲蝎</t>
  </si>
  <si>
    <t>[41级]狩猎巨钳蝎</t>
  </si>
  <si>
    <t>[42级]狩猎螳螂后</t>
  </si>
  <si>
    <t>[43级]狩猎震地象</t>
  </si>
  <si>
    <t>[45级]狩猎游荡者</t>
  </si>
  <si>
    <t>[46级]魔族夺魂者</t>
  </si>
  <si>
    <t>[49级]狩猎猎杀者</t>
  </si>
  <si>
    <t>[50级]狩猎食尸者</t>
  </si>
  <si>
    <t>[51级]狩猎剧毒虫王</t>
  </si>
  <si>
    <t>[52级]狩猎唤醒者</t>
  </si>
  <si>
    <t>[53级]狩猎刚猪</t>
  </si>
  <si>
    <t>[41级]第一只战斗坐骑</t>
  </si>
  <si>
    <t>[41级]失落的斗狮子</t>
  </si>
  <si>
    <t>[25级]命运的轨迹</t>
  </si>
  <si>
    <t>[39级]命运的轨迹</t>
  </si>
  <si>
    <t>[31级]移交</t>
  </si>
  <si>
    <t>[41级]命运的轨迹</t>
  </si>
  <si>
    <t>[往事]另一个戒指</t>
  </si>
  <si>
    <t>[往事]无妄之灾</t>
  </si>
  <si>
    <t>[往事]另一个版本</t>
  </si>
  <si>
    <t>[往事]另一个参与者</t>
  </si>
  <si>
    <t>[往事]燃烧的平原</t>
  </si>
  <si>
    <t>[往事]美丽回忆</t>
  </si>
  <si>
    <t>[35级]逝去的佣兵</t>
  </si>
  <si>
    <t>[35级]艾斯弗格的铭牌</t>
  </si>
  <si>
    <t>[祭奠]献给屠夫的花</t>
  </si>
  <si>
    <t>[祭奠]爱做菜的快刀</t>
  </si>
  <si>
    <t>[祭奠]刺客的墓地</t>
  </si>
  <si>
    <t>[祭奠]刑天的照片[一]</t>
  </si>
  <si>
    <t>[祭奠]刑天的照片[二]</t>
  </si>
  <si>
    <t>[祭奠]刑天的照片[三]</t>
  </si>
  <si>
    <t>[祭奠]小猫的照片[一]</t>
  </si>
  <si>
    <t>[祭奠]小猫的照片[二]</t>
  </si>
  <si>
    <t>[往事]被丢弃的勋章</t>
  </si>
  <si>
    <t>[往事]情绪低落的托奇</t>
  </si>
  <si>
    <t>[往事]狩猎天使的人</t>
  </si>
  <si>
    <t>[往事]冲动的代价</t>
  </si>
  <si>
    <t>[往事]三个人的兵团</t>
  </si>
  <si>
    <t>[往事]误会</t>
  </si>
  <si>
    <t>[往事]解释</t>
  </si>
  <si>
    <t>[往事]怨念</t>
  </si>
  <si>
    <t>[往事]妮可的道歉信</t>
  </si>
  <si>
    <t>[往事]冰释</t>
  </si>
  <si>
    <t>[5级]命运的轨迹[1]</t>
  </si>
  <si>
    <t>[7级]命运的轨迹[2]</t>
  </si>
  <si>
    <t>[7级]命运的轨迹[3]</t>
  </si>
  <si>
    <t>[11级]命运的轨迹[4]</t>
  </si>
  <si>
    <t>[11级]命运的轨迹[5]</t>
  </si>
  <si>
    <t>[15级]合成蓝色装备</t>
  </si>
  <si>
    <t>[25级]合成黄色装备</t>
  </si>
  <si>
    <t>[35级]合成绿色装备</t>
  </si>
  <si>
    <t>[45级]合成完美绿色装备</t>
  </si>
  <si>
    <t>[21级]增加1位好友</t>
  </si>
  <si>
    <t>[30级]增加3位好友</t>
  </si>
  <si>
    <t>[45级]增加5位好友</t>
  </si>
  <si>
    <t>[60级]增加10位好友</t>
  </si>
  <si>
    <t>[24级]委屈的肚子熊</t>
  </si>
  <si>
    <t>[27级]加入团</t>
  </si>
  <si>
    <t>[40级]遗落的装甲</t>
  </si>
  <si>
    <t>[33级]护送幸存者</t>
  </si>
  <si>
    <t>[36级]自责的冒险家</t>
  </si>
  <si>
    <t>[36级]疾走龙的秘密</t>
  </si>
  <si>
    <t>[38级]毒蜘蛛的秘密</t>
  </si>
  <si>
    <t>[39级]禁地</t>
  </si>
  <si>
    <t>[40级]赛特的推理</t>
  </si>
  <si>
    <t>[43级]震地象的秘密</t>
  </si>
  <si>
    <t>[43级]佐洛的儿子</t>
  </si>
  <si>
    <t>[28级]赫肯的守护[三]</t>
  </si>
  <si>
    <t>[28级]芯片合成</t>
  </si>
  <si>
    <t>[41级]赫肯的守护[四]</t>
  </si>
  <si>
    <t>[41级]芯片合成</t>
  </si>
  <si>
    <t>[68级]赫肯的守护[五]</t>
  </si>
  <si>
    <t>[68级]芯片合成</t>
  </si>
  <si>
    <t>[55级]职业套装</t>
  </si>
  <si>
    <t>[51级]成为尉官</t>
  </si>
  <si>
    <t>[81级]成为校官</t>
  </si>
  <si>
    <t>[30级]获取矿石碎片</t>
  </si>
  <si>
    <t>[30级]获取1级矿石</t>
  </si>
  <si>
    <t>[30级]获取2级矿石</t>
  </si>
  <si>
    <t>[30级]获取药材叶子</t>
  </si>
  <si>
    <t>[30级]获取1级药材</t>
  </si>
  <si>
    <t>[30级]获取2级药材</t>
  </si>
  <si>
    <t>[45级]神秘矿洞守卫</t>
  </si>
  <si>
    <t>[45级]神秘矿洞二层</t>
  </si>
  <si>
    <t>[45级]回复</t>
  </si>
  <si>
    <t>[33级]无聊的绿灯侠</t>
  </si>
  <si>
    <t>[33级]一切稳定</t>
  </si>
  <si>
    <t>[32级]冒险者的建议</t>
  </si>
  <si>
    <t>[41级]告别新手期</t>
  </si>
  <si>
    <t>[41级]卧薪尝胆</t>
  </si>
  <si>
    <t>[41级]再别新手期</t>
  </si>
  <si>
    <t>[35级]给女儿的信</t>
  </si>
  <si>
    <t>[35级]给父亲的信</t>
  </si>
  <si>
    <t>[35级]被关注的赛特</t>
  </si>
  <si>
    <t>[15级]生命药[小]</t>
  </si>
  <si>
    <t>[15级]魔力药[小]</t>
  </si>
  <si>
    <t>[15级]基础急救知识</t>
  </si>
  <si>
    <t>[31级]生命药[中]</t>
  </si>
  <si>
    <t>[31级]魔力药[中]</t>
  </si>
  <si>
    <t>[31级]中级急救知识</t>
  </si>
  <si>
    <t>[41级]提升实力的药品</t>
  </si>
  <si>
    <t>[50级]边境战神</t>
  </si>
  <si>
    <t>[50级]漫长的边境线</t>
  </si>
  <si>
    <t>[61级]钓鱼管理员</t>
  </si>
  <si>
    <t>[61级]钓鱼知识问答</t>
  </si>
  <si>
    <t>[61级]鱼人的遗物</t>
  </si>
  <si>
    <t>[36级]宠物合体</t>
  </si>
  <si>
    <t>[71级]寻找帝都</t>
  </si>
  <si>
    <t>[60级]霸狮封印[困难]</t>
  </si>
  <si>
    <t>[47级]猎熊者[难]</t>
  </si>
  <si>
    <t>[56级]蝎子王[难]</t>
  </si>
  <si>
    <t>[59级]猎人王[难]</t>
  </si>
  <si>
    <t>[43级]征服巨象[难]</t>
  </si>
  <si>
    <t>[35级]疯狂的岩髓[难]</t>
  </si>
  <si>
    <t>[45级]疯狂的彼岸花[难]</t>
  </si>
  <si>
    <t>[53级]疯狂的荆棘果[难]</t>
  </si>
  <si>
    <t>[70级]疯狂的地雷[难]</t>
  </si>
  <si>
    <t>[61级]钓鱼大师[难]</t>
  </si>
  <si>
    <t>[60级]武器领取</t>
  </si>
  <si>
    <t>[60级]护腕领取</t>
  </si>
  <si>
    <t>[60级]护甲领取</t>
  </si>
  <si>
    <t>[60级]勋章领取</t>
  </si>
  <si>
    <t>[60级]戒指领取</t>
  </si>
  <si>
    <t>[60级]腰带领取</t>
  </si>
  <si>
    <t>[60级]鞋子领取</t>
  </si>
  <si>
    <t>[60级]项链领取</t>
  </si>
  <si>
    <t>[60级]衬衣领取</t>
  </si>
  <si>
    <t>[60级]头盔领取</t>
  </si>
  <si>
    <t>[40级]“中秋”领奖</t>
  </si>
  <si>
    <t>[40级]“快乐”领奖</t>
  </si>
  <si>
    <t>[40级]“中秋快乐”领奖</t>
  </si>
  <si>
    <t>[31级]圣诞节的祝福</t>
  </si>
  <si>
    <t>[5级]沟通的艺术</t>
  </si>
  <si>
    <t>[21级]国家勇士的登场</t>
  </si>
  <si>
    <t>[31级]世界的宣言</t>
  </si>
  <si>
    <t>[41级]K歌之王</t>
  </si>
  <si>
    <t>[21级]思念的速递员[女]</t>
  </si>
  <si>
    <t>[21级]思念的速递员[男]</t>
  </si>
  <si>
    <t>[30级]恋爱吧，少男少女！</t>
  </si>
  <si>
    <t>[日常]收集装备</t>
  </si>
  <si>
    <t>[日常]收集荆棘迷雾之花</t>
  </si>
  <si>
    <t>[日常]鉴定达人[循环]</t>
  </si>
  <si>
    <t>[日常]驯化达人[循环]</t>
  </si>
  <si>
    <t>[日常]地精岩髓</t>
  </si>
  <si>
    <t>[日常]收集地雷</t>
  </si>
  <si>
    <t>[日常]收集彼岸花</t>
  </si>
  <si>
    <t>[副本]要塞守卫战</t>
  </si>
  <si>
    <t>[战争]城市争夺战</t>
  </si>
  <si>
    <t>[日常]收集荆棘果</t>
  </si>
  <si>
    <t>[日常]收集材料</t>
  </si>
  <si>
    <t>[日常]收集妖莲魔芋</t>
  </si>
  <si>
    <t>[日常]霸狮封印碎片</t>
  </si>
  <si>
    <t>[日常]孽龙封印碎片</t>
  </si>
  <si>
    <t>[日常]击杀孽龙守护</t>
  </si>
  <si>
    <t>[日常]击杀暗影卡哈拉</t>
  </si>
  <si>
    <t>[日常]收集鸣凤草</t>
  </si>
  <si>
    <t>[爱情]小幸福</t>
  </si>
  <si>
    <t>[爱情]小甜蜜</t>
  </si>
  <si>
    <t>[循环]收集宠物</t>
  </si>
  <si>
    <t>交任务文本</t>
    <phoneticPr fontId="7" type="noConversion"/>
  </si>
  <si>
    <t>&lt;p&gt;&lt;n&gt;    大家都是男人，你懂的…我的心被一个女孩牵走了，我有满满的爱意想向她表达！&lt;/n&gt;&lt;newline/&gt;&lt;n&gt;我的恋人名叫梅林，我希望用玫瑰花传达我对她的爱意，但是我跑了很多商店都没能买到红玫瑰，你可以帮我找到&lt;/n&gt;&lt;n color='GXColorGreen'&gt;9朵红玫瑰&lt;/n&gt;&lt;n&gt;并送给我的恋人么？ &lt;/n&gt;&lt;newline/&gt;&lt;object id='20199' num='1' parameter='quality=0,3-86400'/&gt;&lt;newline/&gt;&lt;object id='24026' num='1' quality='0'/&gt;&lt;newline/&gt;&lt;object id='30004' num='1' quality='0'/&gt;&lt;/p&gt;</t>
    <phoneticPr fontId="6" type="noConversion"/>
  </si>
  <si>
    <t>&lt;p&gt;
&lt;n&gt;  去&lt;/n&gt;
 &lt;goto pos="102,190" mapid="4"  flagpoint="1" /&gt;
&lt;n&gt;种植1枚解毒草&lt;/n&gt;
&lt;newline/&gt;
&lt;n&gt;  到达地点&lt;/n&gt;&lt;dialog taskid="3951" text="打开包裹" hotkeyid="2" /&gt;&lt;n&gt;播撒种子&lt;/n&gt;
&lt;/p&gt;</t>
    <phoneticPr fontId="6" type="noConversion"/>
  </si>
  <si>
    <t>[国战]积极备战（一）</t>
    <phoneticPr fontId="6" type="noConversion"/>
  </si>
  <si>
    <t>边境防卫官</t>
    <phoneticPr fontId="6" type="noConversion"/>
  </si>
  <si>
    <t>克鲁尼</t>
    <phoneticPr fontId="6" type="noConversion"/>
  </si>
  <si>
    <t>"国家还需要很多的备战物资"</t>
    <phoneticPr fontId="9" type="noConversion"/>
  </si>
  <si>
    <t>[国战]积极备战（二）</t>
    <phoneticPr fontId="6" type="noConversion"/>
  </si>
  <si>
    <t>"国战准备的怎么样了？"</t>
    <phoneticPr fontId="9" type="noConversion"/>
  </si>
  <si>
    <t>&lt;p&gt;
&lt;n&gt;  回复：&lt;/n&gt;
 &lt;n&gt; &lt;/n&gt;&lt;goto id="126" mapid="7" flagpoint="1" taskid="30220"/&gt;
&lt;/p&gt;</t>
    <phoneticPr fontId="6" type="noConversion"/>
  </si>
  <si>
    <t>[国战]积极备战（三）</t>
    <phoneticPr fontId="6" type="noConversion"/>
  </si>
  <si>
    <t>title(（国战）积极备战（三）)
body(hotyellow_3(任务进程:)newline()
   杀死hot(20个)goto(10147,7)后回复goto(126,7)。newline()   hot(任务完成时间12:00-20:00)
blankline()hotyellow_3(任务描述:)newline()  
   player()，敌国已经截获我们备战的情报，派出了亡灵士兵干扰我们运送，麻烦你前去阻击他们吧。)</t>
    <phoneticPr fontId="6" type="noConversion"/>
  </si>
  <si>
    <t>title(（国战）积极备战（二）)
body(hotyellow_3(任务进程:)newline()
   向goto(126,7)传递备战信息。newline()   hot(任务完成时间12:00-20:00)
blankline()hotyellow_3(任务描述:)newline()  
   player()，我已经收到了越来越多的物资，请你转告防卫官大人，我一定完成任务！)</t>
    <phoneticPr fontId="6" type="noConversion"/>
  </si>
  <si>
    <t>title(（国战）积极备战（一）)
body(hotyellow_3(任务进程:)newline()
   将物资护送到goto(127,6)那里。newline()   hot(任务完成时间12:00-20:00)
blankline()hotyellow_3(任务描述:)newline()  
   国家已经吹响了战斗的号角！为了夺取战争的胜利，我们需要紧急运送一批物资发放给我们的战士…所以，player()，还请你替我将物资护送到老兵克鲁尼那里去吧！)</t>
    <phoneticPr fontId="6" type="noConversion"/>
  </si>
  <si>
    <t>&lt;p&gt;&lt;n&gt;    敌国已经截获我们备战的情报，派出了亡灵士兵干扰我们运送，麻烦你前去阻击他们吧。&lt;/n&gt;&lt;newline/&gt;&lt;n color='GXColorGreen'&gt;任务完成时间12:00-20:00&lt;/n&gt;&lt;newline/&gt;&lt;object id='26020' num='1' parameter='quality=0,3-43200'/&gt;&lt;/p&gt;</t>
    <phoneticPr fontId="6" type="noConversion"/>
  </si>
  <si>
    <t>&lt;p&gt;&lt;n&gt;    我已经收到了越来越多的物资，请你转告防卫官大人，我一定完成任务！&lt;/n&gt;&lt;newline/&gt;&lt;n color='GXColorGreen'&gt;任务完成时间12:00-20:00&lt;/n&gt;&lt;newline/&gt;&lt;object id='26020' num='1' parameter='quality=0,3-43200'/&gt;&lt;/p&gt;</t>
    <phoneticPr fontId="6" type="noConversion"/>
  </si>
  <si>
    <t>&lt;p&gt;&lt;n&gt;    国家已经吹响了战斗的号角！为了夺取战争的胜利，我们需要紧急运送一批物资发放给我们的战士…所以，还请你替我将物资护送到老兵克鲁尼那里去吧！&lt;/n&gt;&lt;newline/&gt;&lt;n color='GXColorGreen'&gt;任务完成时间12:00-20:00&lt;/n&gt;&lt;newline/&gt;&lt;object id='26020' num='1' parameter='quality=0,3-43200'/&gt;&lt;/p&gt;</t>
    <phoneticPr fontId="6" type="noConversion"/>
  </si>
  <si>
    <t>&lt;p&gt;&lt;n&gt;    为了国家的荣誉，辛苦你了！&lt;/n&gt;&lt;newline/&gt;&lt;object id='26020' num='1' parameter='quality=0,3-43200'/&gt;&lt;/p&gt;</t>
    <phoneticPr fontId="6" type="noConversion"/>
  </si>
  <si>
    <t>&lt;p&gt;&lt;n&gt;    hello,真高兴可以看到你，在最近的日子里，越来越多甜蜜的幸福走到了一起，我也越来越想念我的小塞了，（*^__^*） 嘻嘻……&lt;/n&gt;&lt;newline/&gt;&lt;n&gt;    小塞是我的恋人，我希望他能看到我送给他的玫瑰花，但是最近玫瑰实在是太热销了，你可以帮我找到&lt;/n&gt;&lt;n color='GXColorGreen'&gt;9朵红玫瑰&lt;/n&gt;&lt;n&gt;并送给我的恋人么？ &lt;/n&gt;&lt;newline/&gt;&lt;object id='20194' num='1' parameter='quality=0,3-86400'/&gt;&lt;newline/&gt;&lt;object id='24026' num='1' quality='0'/&gt;&lt;newline/&gt;&lt;object id='30004' num='1' quality='0'/&gt;&lt;/p&gt;</t>
    <phoneticPr fontId="6" type="noConversion"/>
  </si>
  <si>
    <t>hot4(xxx) 对内容xxx颜色高亮显示(红色) 须在body()内嵌套</t>
    <phoneticPr fontId="6" type="noConversion"/>
  </si>
  <si>
    <t>body(   一切才刚刚开始，我希望你能做好足够的准备。)</t>
    <phoneticPr fontId="6" type="noConversion"/>
  </si>
  <si>
    <t>body(space()space()space()player()，哎呀呀，是你啊！我丢失了一张古老的卷轴，那是我奶奶的奶奶留下来的。你能帮我找回来么？)</t>
    <phoneticPr fontId="6" type="noConversion"/>
  </si>
  <si>
    <t>看到乱糟糟的东西，我就懒得去找。</t>
    <phoneticPr fontId="6" type="noConversion"/>
  </si>
  <si>
    <t>body(   罗恩大人正在找你，应该有新的任务需要你去进行吧？总之，先找罗恩大人吧！)</t>
    <phoneticPr fontId="6" type="noConversion"/>
  </si>
  <si>
    <t>在罗恩处接受击败(10103)诱惑之塞壬。完成任务条件：获得智能芯片(31016)</t>
    <phoneticPr fontId="7" type="noConversion"/>
  </si>
  <si>
    <t>title( （3级）尚未报到的战士)
body(hotyellow_3(任务进程:)newline()
   与goto(60031,1)对话，了解情况。
blankline()hotyellow_3(任务描述:)newline() 
   我们很快就可以完成物资装载，前往迷雾废墟了。但是这次同行名单上的战士辛达，却迟迟没有来我这里报道。blankline()space()space()space()player()，你能帮我去辛达那里了解下情况吗？)</t>
    <phoneticPr fontId="6" type="noConversion"/>
  </si>
  <si>
    <t>"击败塞壬，获取诱惑之歌谱！"</t>
    <phoneticPr fontId="6" type="noConversion"/>
  </si>
  <si>
    <t>你还没有击败足够数量的贪婪之妖精</t>
    <phoneticPr fontId="6" type="noConversion"/>
  </si>
  <si>
    <t>title(（3级）鉴定装备)
body(hotyellow_3(任务进程:)newline()
   回答装备鉴定的问答后，去找goto(60006,1)。
blankline()hotyellow_3(任务描述:)newline() 
   我们经常会获得一些未经辨识的装备道具，它们需要我们使用hot(鉴定石)或者hot(幸运宝石)对其进行鉴定，在确定其品质后才能装备使用。)</t>
    <phoneticPr fontId="6" type="noConversion"/>
  </si>
  <si>
    <t>body(   我们经常会获得一些未经辨识的装备道具，它们需要我们使用hot(鉴定石)或者hot(幸运宝石)对其进行鉴定，确定其品质后才能装备使用。)</t>
    <phoneticPr fontId="6" type="noConversion"/>
  </si>
  <si>
    <t>title( （4级）整装待发（一）)
body(hotyellow_3(任务进程:)newline()
   去goto(107,1)处购买1个生命药并领取补给。
blankline()hotyellow_3(任务描述:)newline() 
   在进行战斗之前，每个人必须要做好充分的准备 。也可以把战斗中获得的各种战利品出售给商人。)</t>
    <phoneticPr fontId="6" type="noConversion"/>
  </si>
  <si>
    <t>[4级]祷告</t>
    <phoneticPr fontId="6" type="noConversion"/>
  </si>
  <si>
    <t>body(space()space()space()player()，你已经战胜了各种诱惑，经历了我们的考验！)</t>
    <phoneticPr fontId="6" type="noConversion"/>
  </si>
  <si>
    <t>body(   太好了，player()。晚上酱爆，还是铁板呢？这是个问题！)</t>
    <phoneticPr fontId="6" type="noConversion"/>
  </si>
  <si>
    <t>"虽然酱爆虎肉很好吃，但总不能一辈子都吃这玩意吧！"</t>
    <phoneticPr fontId="6" type="noConversion"/>
  </si>
  <si>
    <t>"49236-0-1"</t>
    <phoneticPr fontId="7" type="noConversion"/>
  </si>
  <si>
    <t>"49235-0-1"</t>
    <phoneticPr fontId="7" type="noConversion"/>
  </si>
  <si>
    <t>body(space()space()space()player()，马上就要前往奥丁大陆了，前行的道路也许会非常曲折。前往命运女神像处，进行祷告。hot(完善自己的资料，是件非常必要的工作。因为这样做，可以让繁忙的神知道你在哪里。))</t>
    <phoneticPr fontId="6" type="noConversion"/>
  </si>
  <si>
    <t>title( （2级）试炼·塞壬)
body(hotyellow_3(任务进程:)newline()
   从goto(10103,1)身上，找到hot(1本诱惑之歌谱)并交给goto(60031,1)。
blankline()hotyellow_3(任务描述:)newline() 
   塞壬来自于极西之洋，他们用歌声诱惑行走于大洋之上的人类。在伟大的航海时代，无数出色的航海者都葬身在他们的利爪之下。也正因此，人们历经多年依然无法寻找到“伟大航道。”
blankline()
   使用hot("B")键可以查看包裹，使用右键可以装备或使用包裹里的物品。)</t>
    <phoneticPr fontId="6" type="noConversion"/>
  </si>
  <si>
    <t>title(（4级）祷告)
body(hotyellow_3(任务进程:)newline()
   准备完毕后去goto(60172,1)处进行祷告，祷告完毕后去goto(60006,1)处报到。
blankline()hotyellow_3(任务描述:)newline() 
    马上就要前往奥丁大陆了，前行的道路也许会非常曲折。前往命运女神像处，进行祷告。hot(完善自己的资料，是件非常必要的工作。因为这样做，可以让繁忙的神知道你在哪里。))</t>
    <phoneticPr fontId="6" type="noConversion"/>
  </si>
  <si>
    <t>[2级]心愿</t>
    <phoneticPr fontId="6" type="noConversion"/>
  </si>
  <si>
    <t>[2级]荣耀骑士罗恩</t>
    <phoneticPr fontId="6" type="noConversion"/>
  </si>
  <si>
    <t>[3级]任务达成</t>
    <phoneticPr fontId="6" type="noConversion"/>
  </si>
  <si>
    <t>title( （3级）任务达成)
body(hotyellow_3(任务进程:)newline()
   梅丽告诉你，罗恩正在找你。与goto(60006,1)对话，了解后续的任务吧！
blankline()hotyellow_3(任务描述:)newline() 
   罗恩大人正在找你，应该有新的任务需要你去进行吧？总之，先找罗恩大人吧！)</t>
    <phoneticPr fontId="6" type="noConversion"/>
  </si>
  <si>
    <t>爱丽丝</t>
    <phoneticPr fontId="6" type="noConversion"/>
  </si>
  <si>
    <t>埃尔加</t>
    <phoneticPr fontId="6" type="noConversion"/>
  </si>
  <si>
    <t>{{30008,0,2,0,"1-1"}}</t>
    <phoneticPr fontId="6" type="noConversion"/>
  </si>
  <si>
    <t xml:space="preserve">  我觉得我是个不合格的音乐家。</t>
    <phoneticPr fontId="6" type="noConversion"/>
  </si>
  <si>
    <t>去找埃尔加吧</t>
    <phoneticPr fontId="6" type="noConversion"/>
  </si>
  <si>
    <t>{{30006,0,2,0,"1-1"}}</t>
    <phoneticPr fontId="6" type="noConversion"/>
  </si>
  <si>
    <t xml:space="preserve">  我要做一个好妻子。</t>
    <phoneticPr fontId="6" type="noConversion"/>
  </si>
  <si>
    <t>去找爱丽丝吧</t>
    <phoneticPr fontId="6" type="noConversion"/>
  </si>
  <si>
    <t>{{31377,0,1,0,"1-1"}}</t>
    <phoneticPr fontId="6" type="noConversion"/>
  </si>
  <si>
    <t>{{31376,0,1,0,"1-1"}}</t>
    <phoneticPr fontId="6" type="noConversion"/>
  </si>
  <si>
    <t>&lt;p&gt;
&lt;n&gt;  回复：&lt;/n&gt;
 &lt;n&gt; &lt;/n&gt;&lt;goto id="214" mapid="3" flagpoint="1" taskid="30240"/&gt;
&lt;/p&gt;</t>
    <phoneticPr fontId="6" type="noConversion"/>
  </si>
  <si>
    <t>[节日]爱的恋曲（可重复）</t>
    <phoneticPr fontId="6" type="noConversion"/>
  </si>
  <si>
    <t>{{31379,0,1,0,""}}</t>
    <phoneticPr fontId="6" type="noConversion"/>
  </si>
  <si>
    <t>[节日]爱的曲奇（可重复）</t>
    <phoneticPr fontId="6" type="noConversion"/>
  </si>
  <si>
    <t>&lt;p&gt;
&lt;n&gt;  回复：&lt;/n&gt;
 &lt;n&gt; &lt;/n&gt;&lt;goto id="213" mapid="3" flagpoint="1" taskid="30241"/&gt;
&lt;/p&gt;</t>
    <phoneticPr fontId="6" type="noConversion"/>
  </si>
  <si>
    <t>[节日]曲奇的美味（每日3次）</t>
    <phoneticPr fontId="6" type="noConversion"/>
  </si>
  <si>
    <t>{{31380,0,1,0,"1-1"}}</t>
    <phoneticPr fontId="6" type="noConversion"/>
  </si>
  <si>
    <t>&lt;p&gt;
&lt;n&gt;  回复：&lt;/n&gt;
 &lt;n&gt; &lt;/n&gt;&lt;goto id="214" mapid="3" flagpoint="1" taskid="30242"/&gt;
&lt;/p&gt;</t>
    <phoneticPr fontId="6" type="noConversion"/>
  </si>
  <si>
    <t>[节日]乐曲的陶醉（每日3次）</t>
    <phoneticPr fontId="6" type="noConversion"/>
  </si>
  <si>
    <t>&lt;p&gt;
&lt;n&gt;  回复：&lt;/n&gt;
 &lt;n&gt; &lt;/n&gt;&lt;goto id="213" mapid="3" flagpoint="1" taskid="30243"/&gt;
&lt;/p&gt;</t>
    <phoneticPr fontId="6" type="noConversion"/>
  </si>
  <si>
    <t>"27241-0-1"</t>
    <phoneticPr fontId="6" type="noConversion"/>
  </si>
  <si>
    <t>"27211-0-1"</t>
    <phoneticPr fontId="6" type="noConversion"/>
  </si>
  <si>
    <t>"我想吃饼干啊，请向女性玩家寻找曲奇给我吧~~~"</t>
    <phoneticPr fontId="9" type="noConversion"/>
  </si>
  <si>
    <t>title(（节日）曲奇的美味（每日3次）)
body(hotyellow_3(任务进程:)newline()
   找到一份“爱的恋曲”曲奇，回复goto(214,3)。newline()   hot(“爱的恋曲”曲奇是女性玩家节日任务获得道具，可向女性玩家索取)
blankline()hotyellow_3(任务描述:)newline()  
   player()，我又想吃曲奇了，你能不能去给我找到一份“爱的恋曲”曲奇来。（向女性玩家索取）)</t>
    <phoneticPr fontId="6" type="noConversion"/>
  </si>
  <si>
    <t>title(（节日）乐曲的陶醉（每日3次）)
body(hotyellow_3(任务进程:)newline()
   找到一份《爱的礼赞》歌曲，回复goto(213,3)。newline()   hot(《爱的礼赞》歌曲是男性玩家节日任务获得道具，可向男性玩家索取)
blankline()hotyellow_3(任务描述:)newline()  
   player()，我又想听歌了，你可以给我找一本《爱的礼赞》来么。（向男性玩家索取）)</t>
    <phoneticPr fontId="6" type="noConversion"/>
  </si>
  <si>
    <t>"31378-0-1"</t>
    <phoneticPr fontId="6" type="noConversion"/>
  </si>
  <si>
    <t>body(space()space()space()player(),十分感谢，这是我的乐曲，千万不要打开哦~~~
 )</t>
    <phoneticPr fontId="6" type="noConversion"/>
  </si>
  <si>
    <t>body(space()space()space()player(),十分感谢，这是我的曲奇，千万不要偷吃哦~~~
 )</t>
    <phoneticPr fontId="6" type="noConversion"/>
  </si>
  <si>
    <t>"我想听曲啊，请向男性玩家索取乐曲给我吧。"</t>
    <phoneticPr fontId="9" type="noConversion"/>
  </si>
  <si>
    <t>"你还要再多努力一点才能完成。"</t>
    <phoneticPr fontId="6" type="noConversion"/>
  </si>
  <si>
    <t>body(   1.矿洞探险家的收集委托任务将会提供大量的升级经验，每天可完成3次，完成次数越多，获取的经验越高。blankline()   2.任务等级分白、蓝、黄、绿、紫五种状态，奖励随颜色的不同大幅提升。blankline()   3.可以用幸运符刷新任务颜色。)</t>
    <phoneticPr fontId="6" type="noConversion"/>
  </si>
  <si>
    <t>body(   合作愉快。
blankline()   hot2(每天最多可完成3次，完成次数越多，获取的经验越高。))</t>
    <phoneticPr fontId="6" type="noConversion"/>
  </si>
  <si>
    <t>body(space()space()space()player()，白色情人节到了，我想收集hot(1颗紫宝石(1级))给爱丽丝制作一个紫钻手链，如果你能给我一颗紫宝石的话，我愿意作曲作为回赠。)</t>
  </si>
  <si>
    <t>body(space()space()space()player(),白色情人节到了，我想收集hot(1颗蓝宝石(1级))给埃尔加制作一个蓝钻胸章，如果你能给我一颗蓝宝石的话，我愿意把曲奇作为回赠。
 )</t>
  </si>
  <si>
    <t>"这是我小小的要求，请给我一颗紫宝石(1级)。"</t>
    <phoneticPr fontId="9" type="noConversion"/>
  </si>
  <si>
    <t>"这是我小小的要求，请给我一颗蓝宝石(1级)。"</t>
    <phoneticPr fontId="9" type="noConversion"/>
  </si>
  <si>
    <t>title(（日常）霸狮封印碎片)
body(
hotyellow_3
(任务进程:)
newline()   goto(135,3)委托你去完成情报任务，完成后到他处可获取1份霸狮封印碎片。（该任务每天可完成1次）
newline()   接取情报任务需前往goto(165,7)处。
newline()   完成任务找goto(135,3)交付。
blankline()
hotyellow_3(任务描述:)
newline() space()space()space()player()，你想要60级坐骑的hot(帝皇战狮王)吗？需要10枚hot(霸狮封印碎片)可到坐骑商人处兑换1头。
newline()霸狮封印碎片除了可以通过击杀精英怪掉落获取，还可以完成我的任务获取哦！
)</t>
    <phoneticPr fontId="6" type="noConversion"/>
  </si>
  <si>
    <t>title(（日常）孽龙封印碎片)
body(
hotyellow_3
(任务进程:)
newline()   大议长君士坦丁委托你去goto(165,7)处完成情报任务，完成后到他处可获取1份孽龙封印碎片。（该任务每天可完成1次）
newline()   接取情报任务需前往goto(165,7)处。
newline()   完成任务找goto(60559,5)交付。
blankline()
hotyellow_3(任务描述:)
newline() space()space()space()player()，你想要70级坐骑的hot(地狱孽龙)吗？需要20枚hot(孽龙封印碎片)可到坐骑商人处兑换1头。
)</t>
    <phoneticPr fontId="6" type="noConversion"/>
  </si>
  <si>
    <t>title(（日常）击杀孽龙守护)
body(
hotyellow_3
(任务进程:)
newline()   大议长君士坦丁委托你前去击杀goto(10172,5)，该boss每小时刷新1次。完成任务后可获得hot(1份不绑定的孽龙封印碎片。)newline()   （该任务每天可完成3次，组队击杀所有队员可完成任务）
newline()   完成任务找goto(60559,5)交付。
blankline()
hotyellow_3(任务描述:)
newline() space()space()space()player()，你想要70级坐骑的hot(地狱孽龙)吗？需要20枚hot(孽龙封印碎片)才可到坐骑商人兑换1头。
)</t>
    <phoneticPr fontId="6" type="noConversion"/>
  </si>
  <si>
    <t>body(   player()，你若是想获取孽龙封印碎片，必须击杀孽龙的看护。集齐20枚，就可以到坐骑商人兑换70级战斗坐骑了！)</t>
    <phoneticPr fontId="6" type="noConversion"/>
  </si>
  <si>
    <t>目标怪物</t>
    <phoneticPr fontId="6" type="noConversion"/>
  </si>
  <si>
    <t>任务内容</t>
    <phoneticPr fontId="6" type="noConversion"/>
  </si>
  <si>
    <t>你还没拿到妒忌之书吧，那就快去教训妒忌之魅魔吧！</t>
    <phoneticPr fontId="6" type="noConversion"/>
  </si>
  <si>
    <t>罗恩</t>
    <phoneticPr fontId="6" type="noConversion"/>
  </si>
  <si>
    <t xml:space="preserve"> </t>
    <phoneticPr fontId="6" type="noConversion"/>
  </si>
  <si>
    <t>title(（5级）出发前的训话)
body(hotyellow_3(任务进程:)newline()
   去见自己的职业导师goto(9999,1)，然后找goto(60045,1)。
blankline()space()space()space()player()我知道，总有一天你会成为你所在职业中的翘楚，远远超越曾经所有的传说。blankline()   但是，在这之前，学习一点前辈们传授的经验，对你会有好处。)</t>
    <phoneticPr fontId="6" type="noConversion"/>
  </si>
  <si>
    <t>[5级]战士的训话</t>
    <phoneticPr fontId="6" type="noConversion"/>
  </si>
  <si>
    <t>罗恩</t>
    <phoneticPr fontId="6" type="noConversion"/>
  </si>
  <si>
    <t>[5级]魔刃的训话</t>
    <phoneticPr fontId="6" type="noConversion"/>
  </si>
  <si>
    <t xml:space="preserve"> </t>
    <phoneticPr fontId="6" type="noConversion"/>
  </si>
  <si>
    <t>[5级]枪手的训话</t>
    <phoneticPr fontId="6" type="noConversion"/>
  </si>
  <si>
    <t>罗恩</t>
    <phoneticPr fontId="6" type="noConversion"/>
  </si>
  <si>
    <t xml:space="preserve"> </t>
    <phoneticPr fontId="6" type="noConversion"/>
  </si>
  <si>
    <t>[5级]术士的训话</t>
    <phoneticPr fontId="6" type="noConversion"/>
  </si>
  <si>
    <t>罗恩</t>
    <phoneticPr fontId="6" type="noConversion"/>
  </si>
  <si>
    <t xml:space="preserve"> </t>
    <phoneticPr fontId="6" type="noConversion"/>
  </si>
  <si>
    <t>[5级]牧师的训话</t>
    <phoneticPr fontId="6" type="noConversion"/>
  </si>
  <si>
    <t>罗恩</t>
    <phoneticPr fontId="6" type="noConversion"/>
  </si>
  <si>
    <t xml:space="preserve"> </t>
    <phoneticPr fontId="6" type="noConversion"/>
  </si>
  <si>
    <t>body(  你将会成为一名优秀的战士！)</t>
    <phoneticPr fontId="6" type="noConversion"/>
  </si>
  <si>
    <t>body(  你将会成为一名优秀的魔刃！)</t>
    <phoneticPr fontId="6" type="noConversion"/>
  </si>
  <si>
    <t>body(  你将会成为一名优秀的枪手！)</t>
    <phoneticPr fontId="6" type="noConversion"/>
  </si>
  <si>
    <t>body(  你将会成为一名优秀的术士！)</t>
    <phoneticPr fontId="6" type="noConversion"/>
  </si>
  <si>
    <t>body(  你将会成为一名优秀的牧师！)</t>
    <phoneticPr fontId="6" type="noConversion"/>
  </si>
  <si>
    <t>[5级]魔炮的训话</t>
    <phoneticPr fontId="6" type="noConversion"/>
  </si>
  <si>
    <t>body(提升宠物等级其实很简单的，带着它去打怪就好了。当宠物等级提升之后，可能会领悟出各种强力的技能，对玩家进行属性加成。)</t>
    <phoneticPr fontId="6" type="noConversion"/>
  </si>
  <si>
    <t>去宠物房间成功抓一只宠物。</t>
    <phoneticPr fontId="6" type="noConversion"/>
  </si>
  <si>
    <t>{{23055,0,1,0,"1-1"}}</t>
    <phoneticPr fontId="6" type="noConversion"/>
  </si>
  <si>
    <t>去找补给品商人那里购买 43001 宠物饼干</t>
    <phoneticPr fontId="6" type="noConversion"/>
  </si>
  <si>
    <t xml:space="preserve">去击杀怪物10002 或 其他怪物 使自身的宠物等级升到2级
任务奖励：
17100 
17200
可选
宠物学会了自动寻路技能。
</t>
    <phoneticPr fontId="6" type="noConversion"/>
  </si>
  <si>
    <t>护送npc</t>
    <phoneticPr fontId="6" type="noConversion"/>
  </si>
  <si>
    <t>[20级]解毒草</t>
    <phoneticPr fontId="6" type="noConversion"/>
  </si>
  <si>
    <t>[25级]狩猎毁灭者</t>
    <phoneticPr fontId="6" type="noConversion"/>
  </si>
  <si>
    <t>[47级]狩猎重装巨熊</t>
    <phoneticPr fontId="6" type="noConversion"/>
  </si>
  <si>
    <t>[48级]狩猎掠夺者</t>
    <phoneticPr fontId="6" type="noConversion"/>
  </si>
  <si>
    <t>[日常]狼帝封印碎片</t>
  </si>
  <si>
    <t>title(（日常）狼帝封印碎片)
body(
hotyellow_3
(任务进程:)
newline()   大议长君士坦丁委托你去goto(165,7)处完成情报任务，完成后到他处可获取1份狼帝封印碎片。（该任务每天可完成1次）
newline()   接取情报任务需前往goto(165,7)处。
newline()   完成任务找goto(60559,5)交付。
blankline()
hotyellow_3(任务描述:)
newline() space()space()space()player()，你想要80级坐骑的hot(苍穹狼帝)吗？需要20枚hot(狼帝封印碎片)才可到坐骑商人兑换1头。
)</t>
  </si>
  <si>
    <t>body(   player()，你若是想获取狼帝封印碎片，必须击杀hot(暗影卡哈拉)。集齐20枚，就可以到坐骑商人兑换80级战斗坐骑了！)</t>
  </si>
  <si>
    <t>团科技官</t>
    <phoneticPr fontId="6" type="noConversion"/>
  </si>
  <si>
    <t>目标地图</t>
    <phoneticPr fontId="6" type="noConversion"/>
  </si>
  <si>
    <t>body(   寻找指定NPC。)</t>
    <phoneticPr fontId="6" type="noConversion"/>
  </si>
  <si>
    <t>将信送至指定NPC处</t>
    <phoneticPr fontId="6" type="noConversion"/>
  </si>
  <si>
    <t>body(   将物品带回来给我吧！)</t>
    <phoneticPr fontId="6" type="noConversion"/>
  </si>
  <si>
    <t>至指定NPC处取回物品</t>
    <phoneticPr fontId="6" type="noConversion"/>
  </si>
  <si>
    <t>击杀指定怪物</t>
    <phoneticPr fontId="6" type="noConversion"/>
  </si>
  <si>
    <t>body(   击杀指定的怪物！)</t>
    <phoneticPr fontId="6" type="noConversion"/>
  </si>
  <si>
    <t>body(   护送NPC至指定地点。)</t>
    <phoneticPr fontId="6" type="noConversion"/>
  </si>
  <si>
    <t>body(   击杀指定怪物，夺回被他们抢走的重要道具！)</t>
    <phoneticPr fontId="6" type="noConversion"/>
  </si>
  <si>
    <t>body(   收集指定的生活技能所需材料！)</t>
    <phoneticPr fontId="6" type="noConversion"/>
  </si>
  <si>
    <t>护送NPC至指定处</t>
    <phoneticPr fontId="6" type="noConversion"/>
  </si>
  <si>
    <t>至指定NPC处取回物品</t>
    <phoneticPr fontId="6" type="noConversion"/>
  </si>
  <si>
    <t>击杀指定怪物夺回道具</t>
    <phoneticPr fontId="6" type="noConversion"/>
  </si>
  <si>
    <t>title([2级]试炼·魅魔)
body(hotyellow_3(任务进程:)newline()
   从goto(10104,1)身上，找到hot(1本妒忌之书)并交给goto(60007,1)。
blankline()hotyellow_3(任务描述:)newline() 
   魅魔和是奥丁大陆负面情绪的凝结，他们往往因为妒忌而生，因为仇恨而强大。你需要战胜他们，hot(获取他们的妒忌之书)，了解负面情绪，从而更好地改变自己！
blankline()
   使用hot("B")键可以查看包裹，使用右键可以装备或使用包裹里的物品。)</t>
  </si>
  <si>
    <t>title(团任务：)
body(hotyellow_3(任务进程:)newline()
   $ECORPS团竟然在暗地启动核试验，必须在最短的时间内使用$ITEM炸毁其gotopos(45008,101,100,170,1,0)。blankline()去找goto(45111,101)，他会帮助你秘密潜入敌方基地。
blankline()
   对指定目标使用hot(纽扣炸弹)即可进行爆破！hot4(请注意：爆破有几率失败，启爆失败时需要重新爆破！)
blankline()
   hot2(任务完成后,千万不要忘记向goto(45111,101)汇报哦！))</t>
  </si>
  <si>
    <t>title(团任务：)
body(hotyellow_3(任务进程:)newline()
   $ECORPS团最近有新的战术安排，必须在最短的时间内在其gotopos(45002,101,154,148,1,0)安装$ITEM监视他们的行动。blankline()去找goto(45111,101)，他会帮助你秘密潜入敌方基地。
blankline()
   在指定目标上使用hot(窃听器)即可！hot4(请注意：安装有几率失败，安装失败时需要重新安装！)
blankline()
   hot2(任务完成后,千万不要忘记向goto(45111,101)汇报哦！))</t>
  </si>
  <si>
    <t>body(   收集指定的！)</t>
    <phoneticPr fontId="6" type="noConversion"/>
  </si>
  <si>
    <t>body(   收集指定的生活技能产出道具！)</t>
    <phoneticPr fontId="6" type="noConversion"/>
  </si>
  <si>
    <t>至指定NPC处取回物品</t>
    <phoneticPr fontId="6" type="noConversion"/>
  </si>
  <si>
    <t>收集道具</t>
    <phoneticPr fontId="6" type="noConversion"/>
  </si>
  <si>
    <t>妖莲魔芋</t>
    <phoneticPr fontId="6" type="noConversion"/>
  </si>
  <si>
    <t>地精岩髓</t>
    <phoneticPr fontId="6" type="noConversion"/>
  </si>
  <si>
    <t>彼岸花</t>
    <phoneticPr fontId="6" type="noConversion"/>
  </si>
  <si>
    <t>荆棘果</t>
    <phoneticPr fontId="6" type="noConversion"/>
  </si>
  <si>
    <t>地雷</t>
    <phoneticPr fontId="6" type="noConversion"/>
  </si>
  <si>
    <t>[25级]狩猎毁灭者[白]</t>
  </si>
  <si>
    <t>[26级]狩猎火焰蝴蝶[白]</t>
  </si>
  <si>
    <t>[27级]狩猎火石怪[白]</t>
  </si>
  <si>
    <t>[29级]狩猎火翼鸟[白]</t>
  </si>
  <si>
    <t>[30级]狩猎震荡者[白]</t>
  </si>
  <si>
    <t>[31级]狩猎萤火虫[白]</t>
  </si>
  <si>
    <t>[32级]狩猎食火者[白]</t>
  </si>
  <si>
    <t>[35级]狩猎异角龙[白]</t>
  </si>
  <si>
    <t>[36级]狩猎疾走龙[白]</t>
  </si>
  <si>
    <t>[37级]狩猎翼龙[白]</t>
  </si>
  <si>
    <t>[38级]狩猎毒蜘蛛[白]</t>
  </si>
  <si>
    <t>[39级]狩猎狂暴犀牛[白]</t>
  </si>
  <si>
    <t>[40级]狩猎赤甲蝎[白]</t>
  </si>
  <si>
    <t>[41级]狩猎巨钳蝎[白]</t>
  </si>
  <si>
    <t>[42级]狩猎螳螂后[白]</t>
  </si>
  <si>
    <t>[43级]狩猎震地象[白]</t>
  </si>
  <si>
    <t>[45级]狩猎游荡者[白]</t>
  </si>
  <si>
    <t>[46级]魔族夺魂者[白]</t>
  </si>
  <si>
    <t>[47级]狩猎重装巨熊[白]</t>
  </si>
  <si>
    <t>[48级]狩猎掠夺者[白]</t>
  </si>
  <si>
    <t>[49级]狩猎猎杀者[白]</t>
  </si>
  <si>
    <t>[50级]狩猎食尸者[白]</t>
  </si>
  <si>
    <t>[51级]狩猎剧毒虫王[白]</t>
  </si>
  <si>
    <t>[52级]狩猎唤醒者[白]</t>
  </si>
  <si>
    <t>[53级]狩猎刚猪[白]</t>
  </si>
  <si>
    <t>[25级]狩猎毁灭者[蓝]</t>
  </si>
  <si>
    <t>[26级]狩猎火焰蝴蝶[蓝]</t>
  </si>
  <si>
    <t>[27级]狩猎火石怪[蓝]</t>
  </si>
  <si>
    <t>[29级]狩猎火翼鸟[蓝]</t>
  </si>
  <si>
    <t>[30级]狩猎震荡者[蓝]</t>
  </si>
  <si>
    <t>[31级]狩猎萤火虫[蓝]</t>
  </si>
  <si>
    <t>[32级]狩猎食火者[蓝]</t>
  </si>
  <si>
    <t>[35级]狩猎异角龙[蓝]</t>
  </si>
  <si>
    <t>[36级]狩猎疾走龙[蓝]</t>
  </si>
  <si>
    <t>[37级]狩猎翼龙[蓝]</t>
  </si>
  <si>
    <t>[38级]狩猎毒蜘蛛[蓝]</t>
  </si>
  <si>
    <t>[39级]狩猎狂暴犀牛[蓝]</t>
  </si>
  <si>
    <t>[40级]狩猎赤甲蝎[蓝]</t>
  </si>
  <si>
    <t>[41级]狩猎巨钳蝎[蓝]</t>
  </si>
  <si>
    <t>[42级]狩猎螳螂后[蓝]</t>
  </si>
  <si>
    <t>[43级]狩猎震地象[蓝]</t>
  </si>
  <si>
    <t>[45级]狩猎游荡者[蓝]</t>
  </si>
  <si>
    <t>[46级]魔族夺魂者[蓝]</t>
  </si>
  <si>
    <t>[47级]狩猎重装巨熊[蓝]</t>
  </si>
  <si>
    <t>[48级]狩猎掠夺者[蓝]</t>
  </si>
  <si>
    <t>[49级]狩猎猎杀者[蓝]</t>
  </si>
  <si>
    <t>[50级]狩猎食尸者[蓝]</t>
  </si>
  <si>
    <t>[51级]狩猎剧毒虫王[蓝]</t>
  </si>
  <si>
    <t>[52级]狩猎唤醒者[蓝]</t>
  </si>
  <si>
    <t>[53级]狩猎刚猪[蓝]</t>
  </si>
  <si>
    <t>[25级]狩猎毁灭者[黄]</t>
  </si>
  <si>
    <t>[26级]狩猎火焰蝴蝶[黄]</t>
  </si>
  <si>
    <t>[27级]狩猎火石怪[黄]</t>
  </si>
  <si>
    <t>[29级]狩猎火翼鸟[黄]</t>
  </si>
  <si>
    <t>[30级]狩猎震荡者[黄]</t>
  </si>
  <si>
    <t>[31级]狩猎萤火虫[黄]</t>
  </si>
  <si>
    <t>[32级]狩猎食火者[黄]</t>
  </si>
  <si>
    <t>[35级]狩猎异角龙[黄]</t>
  </si>
  <si>
    <t>[36级]狩猎疾走龙[黄]</t>
  </si>
  <si>
    <t>[37级]狩猎翼龙[黄]</t>
  </si>
  <si>
    <t>[38级]狩猎毒蜘蛛[黄]</t>
  </si>
  <si>
    <t>[39级]狩猎狂暴犀牛[黄]</t>
  </si>
  <si>
    <t>[40级]狩猎赤甲蝎[黄]</t>
  </si>
  <si>
    <t>[41级]狩猎巨钳蝎[黄]</t>
  </si>
  <si>
    <t>[42级]狩猎螳螂后[黄]</t>
  </si>
  <si>
    <t>[43级]狩猎震地象[黄]</t>
  </si>
  <si>
    <t>[45级]狩猎游荡者[黄]</t>
  </si>
  <si>
    <t>[46级]魔族夺魂者[黄]</t>
  </si>
  <si>
    <t>[47级]狩猎重装巨熊[黄]</t>
  </si>
  <si>
    <t>[48级]狩猎掠夺者[黄]</t>
  </si>
  <si>
    <t>[49级]狩猎猎杀者[黄]</t>
  </si>
  <si>
    <t>[50级]狩猎食尸者[黄]</t>
  </si>
  <si>
    <t>[51级]狩猎剧毒虫王[黄]</t>
  </si>
  <si>
    <t>[52级]狩猎唤醒者[黄]</t>
  </si>
  <si>
    <t>[53级]狩猎刚猪[黄]</t>
  </si>
  <si>
    <t>[25级]狩猎毁灭者[绿]</t>
  </si>
  <si>
    <t>[26级]狩猎火焰蝴蝶[绿]</t>
  </si>
  <si>
    <t>[27级]狩猎火石怪[绿]</t>
  </si>
  <si>
    <t>[29级]狩猎火翼鸟[绿]</t>
  </si>
  <si>
    <t>[30级]狩猎震荡者[绿]</t>
  </si>
  <si>
    <t>[31级]狩猎萤火虫[绿]</t>
  </si>
  <si>
    <t>[32级]狩猎食火者[绿]</t>
  </si>
  <si>
    <t>[35级]狩猎异角龙[绿]</t>
  </si>
  <si>
    <t>[36级]狩猎疾走龙[绿]</t>
  </si>
  <si>
    <t>[37级]狩猎翼龙[绿]</t>
  </si>
  <si>
    <t>[38级]狩猎毒蜘蛛[绿]</t>
  </si>
  <si>
    <t>[39级]狩猎狂暴犀牛[绿]</t>
  </si>
  <si>
    <t>[40级]狩猎赤甲蝎[绿]</t>
  </si>
  <si>
    <t>[41级]狩猎巨钳蝎[绿]</t>
  </si>
  <si>
    <t>[42级]狩猎螳螂后[绿]</t>
  </si>
  <si>
    <t>[43级]狩猎震地象[绿]</t>
  </si>
  <si>
    <t>[45级]狩猎游荡者[绿]</t>
  </si>
  <si>
    <t>[46级]魔族夺魂者[绿]</t>
  </si>
  <si>
    <t>[47级]狩猎重装巨熊[绿]</t>
  </si>
  <si>
    <t>[48级]狩猎掠夺者[绿]</t>
  </si>
  <si>
    <t>[49级]狩猎猎杀者[绿]</t>
  </si>
  <si>
    <t>[50级]狩猎食尸者[绿]</t>
  </si>
  <si>
    <t>[51级]狩猎剧毒虫王[绿]</t>
  </si>
  <si>
    <t>[52级]狩猎唤醒者[绿]</t>
  </si>
  <si>
    <t>[53级]狩猎刚猪[绿]</t>
  </si>
  <si>
    <t>[25级]狩猎毁灭者[紫]</t>
  </si>
  <si>
    <t>[26级]狩猎火焰蝴蝶[紫]</t>
  </si>
  <si>
    <t>[27级]狩猎火石怪[紫]</t>
  </si>
  <si>
    <t>[29级]狩猎火翼鸟[紫]</t>
  </si>
  <si>
    <t>[30级]狩猎震荡者[紫]</t>
  </si>
  <si>
    <t>[31级]狩猎萤火虫[紫]</t>
  </si>
  <si>
    <t>[32级]狩猎食火者[紫]</t>
  </si>
  <si>
    <t>[35级]狩猎异角龙[紫]</t>
  </si>
  <si>
    <t>[36级]狩猎疾走龙[紫]</t>
  </si>
  <si>
    <t>[37级]狩猎翼龙[紫]</t>
  </si>
  <si>
    <t>[38级]狩猎毒蜘蛛[紫]</t>
  </si>
  <si>
    <t>[39级]狩猎狂暴犀牛[紫]</t>
  </si>
  <si>
    <t>[40级]狩猎赤甲蝎[紫]</t>
  </si>
  <si>
    <t>[41级]狩猎巨钳蝎[紫]</t>
  </si>
  <si>
    <t>[42级]狩猎螳螂后[紫]</t>
  </si>
  <si>
    <t>[43级]狩猎震地象[紫]</t>
  </si>
  <si>
    <t>[45级]狩猎游荡者[紫]</t>
  </si>
  <si>
    <t>[46级]魔族夺魂者[紫]</t>
  </si>
  <si>
    <t>[47级]狩猎重装巨熊[紫]</t>
  </si>
  <si>
    <t>[48级]狩猎掠夺者[紫]</t>
  </si>
  <si>
    <t>[49级]狩猎猎杀者[紫]</t>
  </si>
  <si>
    <t>[50级]狩猎食尸者[紫]</t>
  </si>
  <si>
    <t>[51级]狩猎剧毒虫王[紫]</t>
  </si>
  <si>
    <t>[52级]狩猎唤醒者[紫]</t>
  </si>
  <si>
    <t>[53级]狩猎刚猪[紫]</t>
  </si>
  <si>
    <t>title(（4级）命运的轨迹)
body(hotyellow_3(任务进程:)newline()
   都已经十七年了，hot(士官长罗恩)的家人真的幸存下来了吗？回到地球请替士官长罗恩打听他的家人的消息。
blankline()hotyellow_3(任务描述:)newline() 
   hot3(   核冬季：当核弹爆炸时强大的冲击波可以将扬起的粉尘送到大气层对流层以上的高度。这些粉尘在大气层中终年不散，并阻挡了大部分的太阳辐射，它们使地球陷入了漫长的而寒冷的冬季。))</t>
    <phoneticPr fontId="6" type="noConversion"/>
  </si>
  <si>
    <t xml:space="preserve">  "哦，你还不够强大啊…继续奋战吧少年。"</t>
    <phoneticPr fontId="6" type="noConversion"/>
  </si>
  <si>
    <t>&lt;p&gt;
&lt;n&gt;  回到地球将等级提升至7级&lt;/n&gt;
&lt;newline/&gt;
&lt;n&gt;  寻找当年的农夫打探消息&lt;/n&gt;
&lt;/p&gt;</t>
    <phoneticPr fontId="6" type="noConversion"/>
  </si>
  <si>
    <t>title(（31级）移交)
body(hotyellow_3(任务进程:)newline()  
   将岩浆傀儡移交到goto(60093,6)。
blankline()hotyellow_3(任务描述:)newline() 
   上次在丛林中与岩浆傀儡相遇，他们中有一只跑的太慢被我们猎人逮住了…blankline()   他们似乎不是什么凶恶的怪物，只是一些被感染的可怜人，我真不知道怎么办。player()，请你帮我把他移交给指挥官卡玛那里去吧，这件事还是由她处理比较好。)</t>
    <phoneticPr fontId="6" type="noConversion"/>
  </si>
  <si>
    <t>body(   上次在丛林中与岩浆傀儡遭遇，他们中有一只跑的太慢被我们猎人逮住了…blankline()   不过这只岩浆傀儡除了换不到钱以外而且也不是什么凶恶的怪物，只是一个被感染的可怜人，我真不知道怎么办。player()，请你帮我把他移交给指挥官卡玛那里去吧，这件事还是由她处理比较好。)</t>
    <phoneticPr fontId="6" type="noConversion"/>
  </si>
  <si>
    <t>&lt;p&gt;
&lt;n&gt;  将岩浆傀儡移交：&lt;/n&gt;
 &lt;n&gt; &lt;/n&gt;&lt;goto id="60093" mapid="6" flagpoint="1" taskid="11963" /&gt;
&lt;/p&gt;</t>
    <phoneticPr fontId="6" type="noConversion"/>
  </si>
  <si>
    <t>熔岩傀儡阿布</t>
    <phoneticPr fontId="6" type="noConversion"/>
  </si>
  <si>
    <t>title(（31级）命运的轨迹)
body(hotyellow_3(任务进程:)newline()  
   去hot(死亡沙漠)打探囧rz·莲父亲的消息。
blankline()hotyellow_3(任务描述:)newline() 
   根据岩浆傀儡的描述，囧rz·莲的父亲囧rz·阿布带领着岩浆傀儡们计划穿过隐匿者森林，前往气候较为干热的hot(死亡沙漠)寻找新的家园。blankline()   去那里打探下囧rz·莲父亲的消息吧！)</t>
    <phoneticPr fontId="6" type="noConversion"/>
  </si>
  <si>
    <t>body(   我已经询问清楚了，那些岩浆傀儡计划在死亡沙漠寻找新的家园，他们现在应该到达死亡沙漠了吧…如果没有死在半路的话。blankline()   我会找个合适的时间将这个岩浆傀儡送到死亡沙漠去，我能做的也只有这么多了。blankline()space()space()space()player()，你要找的人，应该也在那边。)</t>
    <phoneticPr fontId="6" type="noConversion"/>
  </si>
  <si>
    <t>&lt;p&gt;
&lt;n&gt;  去死亡沙漠寻找囧rz·莲的父亲&lt;/n&gt;
 &lt;/p&gt;</t>
    <phoneticPr fontId="6" type="noConversion"/>
  </si>
  <si>
    <t>&lt;p&gt;
&lt;n&gt;  去死亡沙漠寻找囧rz·莲的父亲&lt;/n&gt;
 &lt;/p&gt;</t>
    <phoneticPr fontId="6" type="noConversion"/>
  </si>
  <si>
    <t>麦尔斯</t>
    <phoneticPr fontId="6" type="noConversion"/>
  </si>
  <si>
    <t>title(（往事）另一个戒指)
body(hotyellow_3(任务进程:)newline()
   找到另个一个丢失在丛林中的戒指交给goto(60098,6)。
blankline()hotyellow_3(任务描述:)newline() 
   这是我送给莉莲的戒指，它们本有一对，上面分别刻有“麦尔斯”与“莉莲”的名字。在莉莲死的时候，我将这两枚戒指与她的尸体一起埋葬了。blankline()space()space()space()player()，如果你在丛林中找到另外一颗刻有“莉莲”名字的戒指，请将它交给我。blankline()space()space()space()goto(10080,3)hot(有着收集闪亮物体的习惯。))</t>
    <phoneticPr fontId="6" type="noConversion"/>
  </si>
  <si>
    <t>body(   这枚戒指是莉莲死后，我留在莉莲陪伴她的。不过后来埋葬莉莲的地方遭到了敌国炮火地毯式的轰炸，我以为再也找不到它们了…blankline()space()space()space()player()，如果你在丛林中找到另外一枚刻有“莉莲”的戒指，请将它交给我，这是莉莲唯一留下来的东西了。)</t>
    <phoneticPr fontId="6" type="noConversion"/>
  </si>
  <si>
    <t>"那是一场大悲剧。"</t>
    <phoneticPr fontId="6" type="noConversion"/>
  </si>
  <si>
    <t>&lt;p&gt;
&lt;n&gt;  回复： &lt;/n&gt;
 &lt;n&gt; &lt;/n&gt;&lt;goto id="60098" mapid="6" flagpoint="1" taskid="11571" /&gt; 
&lt;/p&gt;</t>
    <phoneticPr fontId="6" type="noConversion"/>
  </si>
  <si>
    <t>赛特</t>
    <phoneticPr fontId="6" type="noConversion"/>
  </si>
  <si>
    <t>title(（往事）无妄之灾)
body(hotyellow_3(任务进程:)newline()
   去找goto(60073,3)询问有关那场战斗的详情。
blankline()hotyellow_3(任务描述:)newline() 
   那一场交火本是可以避免的。我率领着一个精锐小队正在执行日常的巡视，我们在半路遇见了莉莲。紧接着，我们就遭遇了艾斯弗格追剿敌国特种部队的小分队。blankline()   由于电磁风暴摧毁了所有的敌我辨识系统，而敌国的特种部队经常使用我们的迷彩进行活动，艾斯弗格的小队误会我们是敌国的特种部队，向我们发起了猛烈的攻击，而我们也不得不被迫还击。blankline()   莉莲冲出掩体，试图阻止这次错误的交火，她做到了。她用她的死结束了这场战斗，挽救了我们整个小队。)</t>
    <phoneticPr fontId="6" type="noConversion"/>
  </si>
  <si>
    <t>&lt;p&gt;
&lt;n&gt;  回复： &lt;/n&gt;
 &lt;n&gt; &lt;/n&gt;&lt;goto id="60073" mapid="3" flagpoint="1" taskid="11581" /&gt; 
&lt;/p&gt;</t>
    <phoneticPr fontId="6" type="noConversion"/>
  </si>
  <si>
    <t>佐洛</t>
    <phoneticPr fontId="6" type="noConversion"/>
  </si>
  <si>
    <t>title(（往事）另一个版本)
body(hotyellow_3(任务进程:)newline()
   询问goto(60074,3)有关那场战斗的事情。
blankline()hotyellow_3(任务描述:)newline() 
   当年的事情，回想起来总觉得有些不对劲，但我也说不上来哪里不对劲。据说当年发生交火的时候，hot(佐洛)率领的狼群佣兵团也在那一带活动，并见证了从交火到结束战斗的整个过程…blankline()   身为局外人他也许知道更清楚一些。)</t>
    <phoneticPr fontId="6" type="noConversion"/>
  </si>
  <si>
    <t>&lt;p&gt;
&lt;n&gt;  回复： &lt;/n&gt;
 &lt;n&gt; &lt;/n&gt;&lt;goto id="60074" mapid="3" flagpoint="1" taskid="11591" /&gt; 
&lt;/p&gt;</t>
    <phoneticPr fontId="6" type="noConversion"/>
  </si>
  <si>
    <t>若山</t>
    <phoneticPr fontId="6" type="noConversion"/>
  </si>
  <si>
    <t>title(（往事）另一个参与者)
body(hotyellow_3(任务进程:)newline()
   询问goto(60078,3)有关那场战斗的事情。
blankline()hotyellow_3(任务描述:)newline() 
   那场战斗的真相和目的，恐怕只有艾斯弗格自己才明白。不过那个家伙多半已经死掉了吧，就算没有，我也会干掉他的。blankline()
   不过艾斯弗格所使用的战宠依旧还活着，你可以去问问它。)</t>
    <phoneticPr fontId="6" type="noConversion"/>
  </si>
  <si>
    <t>body(   那场战斗的真相恐怕已经随着艾斯弗格永远的消失了吧！blankline()   如果你想知道真相的话，可以去试着向艾斯弗格的战宠hot(若山)打探一下。)</t>
    <phoneticPr fontId="6" type="noConversion"/>
  </si>
  <si>
    <t>body(   我依然记得那场战斗，她不是我们遇到过的最强大的间谍，却是最狡猾的一个。blankline()    我们收到线报，一批潜伏在我国很久的间谍在各大地下避难所的关键点埋设了混合炸药。那种炸药只需火柴盒大小的剂量就可以将一栋20层楼炸飞…blankline()   由于情报泄露，大量的间谍被我们击毙，但是在清剿燃烧平原的避难所里面的间谍时，走漏了一个间谍……)</t>
    <phoneticPr fontId="6" type="noConversion"/>
  </si>
  <si>
    <t>&lt;p&gt;
&lt;n&gt;  回复： &lt;/n&gt;
 &lt;n&gt; &lt;/n&gt;&lt;goto id="60078" mapid="3" flagpoint="1" taskid="11601" /&gt; 
&lt;/p&gt;</t>
    <phoneticPr fontId="6" type="noConversion"/>
  </si>
  <si>
    <t>卡尔</t>
    <phoneticPr fontId="6" type="noConversion"/>
  </si>
  <si>
    <t>body(   17年前，那些潜入的间谍在地下避难所中安放了大量的混合炸药，将引爆时间设置为3年。企图在所有人进入人工冬眠后将其引爆，兵不血刃的将这一国灭绝。blankline()   幸亏我们的间谍拼死将消息送出，我们现在才得以保全。没错，莉莲就是潜伏在我国最杰出的间谍，她埋藏在燃烧平原地下避难所的炸药，我们始终没有找到……)</t>
    <phoneticPr fontId="6" type="noConversion"/>
  </si>
  <si>
    <t>&lt;p&gt;
&lt;n&gt;  回复： &lt;/n&gt;
 &lt;n&gt; &lt;/n&gt;&lt;goto id="60000" mapid="3" flagpoint="1" taskid="11611" /&gt; 
&lt;/p&gt;</t>
    <phoneticPr fontId="6" type="noConversion"/>
  </si>
  <si>
    <t>title(（往事）美丽回忆)
body(hotyellow_3(任务进程:)newline()
   请goto(60078,3)务必保守秘密。
blankline()hotyellow_3(任务描述:)newline() 
   这件事请若山大哥务必不要对任何人提及，不然艾斯弗格的隐瞒就没有意义了。)</t>
    <phoneticPr fontId="6" type="noConversion"/>
  </si>
  <si>
    <t>body(   这件事就请忘掉它吧，这个时代不能给人留下多少美丽的回忆，麦尔斯那段有关莉莲美丽的回忆哪怕是虚假的，也是值得保护的。blankline()   这也是艾斯弗格的意思，所以麦尔斯打他的时候，他没有做任何解释。player()，也请你转告若山，这件事，请他以后不要向任何人提起。)</t>
    <phoneticPr fontId="6" type="noConversion"/>
  </si>
  <si>
    <t>body(   我知道了，这也是我主人的意思。)</t>
    <phoneticPr fontId="6" type="noConversion"/>
  </si>
  <si>
    <t>&lt;p&gt;
&lt;n&gt;  回复： &lt;/n&gt;
 &lt;n&gt; &lt;/n&gt;&lt;goto id="60078" mapid="3" flagpoint="1" taskid="11621" /&gt; 
&lt;/p&gt;</t>
    <phoneticPr fontId="6" type="noConversion"/>
  </si>
  <si>
    <t>佐洛</t>
    <phoneticPr fontId="6" type="noConversion"/>
  </si>
  <si>
    <t>body(   我的兄弟们，战争已经结束了…但是我们的战斗还没结束，总有一天我把那些伏击我们的家伙送到地狱里给你们蹂躏。blankline()
   兄弟们，你们就在地狱里祝福我吧！)</t>
    <phoneticPr fontId="6" type="noConversion"/>
  </si>
  <si>
    <t>&lt;p&gt;
&lt;n&gt;  回复： &lt;/n&gt;
 &lt;n&gt; &lt;/n&gt;&lt;goto id="60074" mapid="3" flagpoint="1" taskid="11031" /&gt; 
&lt;/p&gt;</t>
    <phoneticPr fontId="6" type="noConversion"/>
  </si>
  <si>
    <t>赛特</t>
    <phoneticPr fontId="6" type="noConversion"/>
  </si>
  <si>
    <t>body(   这块铭牌你是从哪里得来的？是我的主人艾斯弗格的铭牌没有错，我的主人一定还活着。他就在这片丛林之中。blankline()space()space()space()player()，你去替我询问一下hot(参谋官赛特)，这块铭牌大概在丛林里呆了多久了。)</t>
    <phoneticPr fontId="6" type="noConversion"/>
  </si>
  <si>
    <t>body(   这块铭牌你是在哪里捡到的？艾斯弗格长官难得还活着？真是太不可思议了。)</t>
    <phoneticPr fontId="6" type="noConversion"/>
  </si>
  <si>
    <t>&lt;p&gt;
&lt;n&gt;  回复： &lt;/n&gt;
 &lt;n&gt; &lt;/n&gt;&lt;goto id="60073" mapid="3" flagpoint="1" taskid="11041" /&gt; 
&lt;/p&gt;</t>
    <phoneticPr fontId="6" type="noConversion"/>
  </si>
  <si>
    <t>佐洛</t>
    <phoneticPr fontId="6" type="noConversion"/>
  </si>
  <si>
    <t>body(   安息吧，屠夫。来生投胎做个女人，当个画家什么的吧，放过那些战俘吧！)</t>
    <phoneticPr fontId="6" type="noConversion"/>
  </si>
  <si>
    <t>&lt;p&gt;
&lt;n&gt;  回复： &lt;/n&gt;
 &lt;n&gt; &lt;/n&gt;&lt;goto id="60074" mapid="3" flagpoint="1" taskid="11631" /&gt; 
&lt;/p&gt;</t>
    <phoneticPr fontId="6" type="noConversion"/>
  </si>
  <si>
    <t>body(   快刀原本是打算拿刀做菜的，后来发生了一些变故，让他改行开始拿刀剁人…blankline()   不过这家伙依旧是食物的狂热爱好者，去向美食家歉一要一点好吃的给这家伙吧！)</t>
    <phoneticPr fontId="6" type="noConversion"/>
  </si>
  <si>
    <t>body(   这种东西也能吃…无所谓了，反正这家伙肠胃好。)</t>
    <phoneticPr fontId="6" type="noConversion"/>
  </si>
  <si>
    <t>&lt;p&gt;
&lt;n&gt;  去美食家尼古拉那里要点吃的&lt;/n&gt;
&lt;newline/&gt;
&lt;n&gt;  回复： &lt;/n&gt;
 &lt;n&gt; &lt;/n&gt;&lt;goto id="60074" mapid="3" flagpoint="1" taskid="11641" /&gt;
&lt;/p&gt;</t>
    <phoneticPr fontId="6" type="noConversion"/>
  </si>
  <si>
    <t>佐洛</t>
    <phoneticPr fontId="6" type="noConversion"/>
  </si>
  <si>
    <t>title(（祭奠）刺客的墓地)
body(hotyellow_3(任务进程:)newline()
   杀死10只异角龙，向goto(60074,3)回复。
blankline()hotyellow_3(任务描述:)newline() 
   刺客就和他的外号一样，是个称职的杀手。被他盯上的猎物总是死的很低调，就像他的为人一样低调。他不喜欢热闹，最烦人多的地方，不用为这家伙准备什么东西，他最怕麻烦。blankline()   最近在原本埋葬他的地方出现了很多异角龙，他一定很烦吧，帮他清理一下墓地就好。)</t>
    <phoneticPr fontId="6" type="noConversion"/>
  </si>
  <si>
    <t>body(   刺客杀人总是不择手段，为了杀死一个目标他可以将很多无辜一起干掉。blankline()   不过在生活中，他是一个很低调而且有点害羞的家伙。替他清理一下墓地周围异角龙就好，他不喜欢被打扰。)</t>
    <phoneticPr fontId="6" type="noConversion"/>
  </si>
  <si>
    <t>body(   很多国家首脑都是刺客干掉的，只是他做事不仅利索而且低调，所以几乎没有人知道他的存在。)</t>
    <phoneticPr fontId="6" type="noConversion"/>
  </si>
  <si>
    <t>"光明女祭司的父母其实就是刺客干掉的，直到今天他们都认为下手的是敌国的特种部队，真是帮蠢货。"</t>
    <phoneticPr fontId="6" type="noConversion"/>
  </si>
  <si>
    <t>卡尔</t>
    <phoneticPr fontId="6" type="noConversion"/>
  </si>
  <si>
    <t>body(   刑天是我有史以来碰到过的最可怕的战士，他的绰号叫“食尸鬼”。他曾经在战场上活活咬住一个人的脖子，一直啃到颈椎露出来。)</t>
    <phoneticPr fontId="6" type="noConversion"/>
  </si>
  <si>
    <t>&lt;p&gt;
&lt;n&gt;  回复： &lt;/n&gt;
 &lt;n&gt; &lt;/n&gt;&lt;goto id="60000" mapid="3" flagpoint="1" taskid="11661" /&gt; 
&lt;/p&gt;</t>
    <phoneticPr fontId="6" type="noConversion"/>
  </si>
  <si>
    <t>卡尔</t>
    <phoneticPr fontId="6" type="noConversion"/>
  </si>
  <si>
    <t>title(（祭奠）刑天的照片（二）)
body(hotyellow_3(任务进程:)newline()
   消灭20只goto(10058,3)，去找goto(60000,3)。
blankline()hotyellow_3(任务描述:)newline() 
   这样吧，请先帮我消灭20只隐匿者之森中的疾走龙吧！)</t>
    <phoneticPr fontId="6" type="noConversion"/>
  </si>
  <si>
    <t>body(   人都已经死了，给他一张照片也不是什么大事。blankline()space()space()space()player()，最近隐匿者的形势非常紧张，请帮助我们消灭20只疾走龙吧！)</t>
    <phoneticPr fontId="6" type="noConversion"/>
  </si>
  <si>
    <t>body(   这是刑天的照片，他死的时候，其实和你差不多大。)</t>
    <phoneticPr fontId="6" type="noConversion"/>
  </si>
  <si>
    <t>"刑天是最优秀的战士，优秀到他无法与普通人一起生活，普通人在他眼中就如同待宰的羔羊一样脆弱、可笑、难以理解。"</t>
    <phoneticPr fontId="6" type="noConversion"/>
  </si>
  <si>
    <t>佐洛</t>
    <phoneticPr fontId="6" type="noConversion"/>
  </si>
  <si>
    <t>title(（祭奠）刑天的照片（三）)
body(hotyellow_3(任务进程:)newline()
   去找goto(60074,3)。
blankline()hotyellow_3(任务描述:)newline() 
   将照片交给赏金猎人佐洛。)</t>
    <phoneticPr fontId="6" type="noConversion"/>
  </si>
  <si>
    <t>body(   请转告hot(赏金猎人佐洛)，变异生物才是我们全人类的共同敌人，我们应该放下仇恨，共同抵御外敌。)</t>
    <phoneticPr fontId="6" type="noConversion"/>
  </si>
  <si>
    <t>body(   如果卡尔手头兵员充足，第一件事就是干掉我。blankline()   总有一天我要用他的脑袋来祭奠我那些死去的兄弟战友。)</t>
    <phoneticPr fontId="6" type="noConversion"/>
  </si>
  <si>
    <t>&lt;p&gt;
&lt;n&gt;  回复： &lt;/n&gt;
 &lt;n&gt; &lt;/n&gt;&lt;goto id="60074" mapid="3" flagpoint="1" taskid="11681" /&gt; 
&lt;/p&gt;</t>
    <phoneticPr fontId="6" type="noConversion"/>
  </si>
  <si>
    <t>尤利娅</t>
    <phoneticPr fontId="6" type="noConversion"/>
  </si>
  <si>
    <t>body(   狼人这头猪，如果他还活着，我绝对不会原谅他。小猫一直在等他……)</t>
    <phoneticPr fontId="6" type="noConversion"/>
  </si>
  <si>
    <t>&lt;p&gt;
&lt;n&gt;  回复： &lt;/n&gt;
 &lt;n&gt; &lt;/n&gt;&lt;goto id="60085" mapid="7" flagpoint="1" taskid="11691" /&gt; 
&lt;/p&gt;</t>
    <phoneticPr fontId="6" type="noConversion"/>
  </si>
  <si>
    <t>佐洛</t>
    <phoneticPr fontId="6" type="noConversion"/>
  </si>
  <si>
    <t>title(（祭奠）小猫的照片（二）)
body(hotyellow_3(任务进程:)newline()
   将照片交给goto(60074,3)。
blankline()hotyellow_3(任务描述:)newline() 
   这又有什么用……)</t>
    <phoneticPr fontId="6" type="noConversion"/>
  </si>
  <si>
    <t>body(   你把照片带给佐洛吧，等待是一种折磨，我比谁清楚。blankline()   狼人对不起小猫。)</t>
    <phoneticPr fontId="6" type="noConversion"/>
  </si>
  <si>
    <t>body(   狼人，如果你和小猫在黄泉相会了，记得要表白啊！)</t>
    <phoneticPr fontId="6" type="noConversion"/>
  </si>
  <si>
    <t>&lt;p&gt;
&lt;n&gt;  回复： &lt;/n&gt;
 &lt;n&gt; &lt;/n&gt;&lt;goto id="60074" mapid="3" flagpoint="1" taskid="11701" /&gt; 
&lt;/p&gt;</t>
    <phoneticPr fontId="6" type="noConversion"/>
  </si>
  <si>
    <t>托奇</t>
    <phoneticPr fontId="6" type="noConversion"/>
  </si>
  <si>
    <t>title(（往事）被丢弃的勋章)
body(hotyellow_3(任务进程:)newline()
   询问goto(60088,7)有关神射手勋章的事。
blankline()hotyellow_3(任务描述:)newline() 
   托奇是一个很严谨的人，勋章这样的东西他是不会随便丢弃的。但是如果这不是托奇的勋章，那又会是谁的呢？)</t>
    <phoneticPr fontId="6" type="noConversion"/>
  </si>
  <si>
    <t>body(   这枚勋章……)</t>
    <phoneticPr fontId="6" type="noConversion"/>
  </si>
  <si>
    <t>&lt;p&gt;
&lt;n&gt;  回复： &lt;/n&gt;
 &lt;n&gt; &lt;/n&gt;&lt;goto id="60088" mapid="7" flagpoint="1" taskid="11731" /&gt; 
&lt;/p&gt;</t>
    <phoneticPr fontId="6" type="noConversion"/>
  </si>
  <si>
    <t>托奇</t>
    <phoneticPr fontId="6" type="noConversion"/>
  </si>
  <si>
    <t>title(（往事）情绪低落的托奇)
body(hotyellow_3(任务进程:)newline()
   替托奇完成今天的任务，消灭20个goto(10095,7)。
blankline()hotyellow_3(任务描述:)newline() 
   那枚勋章究竟隐藏着什么样的秘密，竟然可以动摇一名优秀狙击手的心智？)</t>
    <phoneticPr fontId="6" type="noConversion"/>
  </si>
  <si>
    <t>body(   我一直试图忘记这枚勋章，虽然他是我扔的。但是每次看到它，我的心就会很乱。blankline()   我想是该找个人倾诉一下了，如果心中念头有所阻碍，枪口也会有所偏差。这对一名狙击手而言，就意味着死亡。blankline()space()space()space()player()，我现在的心理状态不适合执行任务，那些hot(沙漠狼神)请你替我剿灭它们吧！)</t>
    <phoneticPr fontId="6" type="noConversion"/>
  </si>
  <si>
    <t>body(   我一直在努力让自己成为一个精准的射击机器，但这并不容易。)</t>
    <phoneticPr fontId="6" type="noConversion"/>
  </si>
  <si>
    <t>title(（往事）狩猎天使的人)
body(hotyellow_3(任务进程:)newline()
   听托奇讲过去的事。
blankline()hotyellow_3(任务描述:)newline() 
   “围尸打援”是战争中最常用的狙击战术，因为敌我双方都不愿意放弃战友的尸体，前来抢夺队友尸体的人就是狙击手最好的靶子。)</t>
    <phoneticPr fontId="6" type="noConversion"/>
  </si>
  <si>
    <t>body(   那是一场在山区丛林间的战斗，我的队友都死了而我要为他们报仇。blankline()   一个身穿白色护士服的少女卫生员走进了我的瞄准镜，她猫着腰带着水壶，走向不远处的小溪。也许她冒死来汲水，只不过是想给那些濒死的士兵清洗伤口。透过瞄准镜，她的容貌美的动人心魄，仿佛散发着圣洁的光。blankline()   但是，我需要她。准确的说，我需要一具在我射程之内的尸体。)</t>
    <phoneticPr fontId="6" type="noConversion"/>
  </si>
  <si>
    <t>&lt;p&gt;
&lt;n&gt;  回复： &lt;/n&gt;
 &lt;n&gt; &lt;/n&gt;&lt;goto id="60088" mapid="7" flagpoint="1" taskid="11751" /&gt; 
&lt;/p&gt;</t>
    <phoneticPr fontId="6" type="noConversion"/>
  </si>
  <si>
    <t>拉奥</t>
    <phoneticPr fontId="6" type="noConversion"/>
  </si>
  <si>
    <t>title(（往事）冲动的代价)
body(hotyellow_3(任务进程:)newline()
   我已经想明白了，请goto(60087,7)不用担心。
blankline()hotyellow_3(任务描述:)newline() 
   如果再来一次的话，我依旧会这么做。blankline()   我只是做了我应该做的事，如果像敌方那个愚蠢的指挥官一时冲动让整个炮兵团陪葬才是可笑的。blankline()   战争中的男人、女人、老人、小孩、美丽的、平凡的，他们在瞄准镜下并没有什么不同。)</t>
    <phoneticPr fontId="6" type="noConversion"/>
  </si>
  <si>
    <t>body(   也许那名是指挥官的未婚妻，情人，新时代的南丁格尔或者什么的，反正那个指挥官是疯了。他竟然为了抢回一具尸体动用了隐藏着的炮兵部队。blankline()   这些本该在战场中收到奇效的炮兵部队就这样憋屈的在我方火箭炮的齐射下变成了一堆散发着烤肉气味的铁水。blankline()space()space()space()player()这件事说出来后，我才真正的明白，战争中任何的怜悯与冲动所毁灭的不止是自身，还有更多一起战斗的队友。请告诉hot(指挥官拉奥)，我已经想通了。)</t>
    <phoneticPr fontId="6" type="noConversion"/>
  </si>
  <si>
    <t>body(   托奇也有纠结的时候啊，我一直以来都觉得他只是个很淡定的狙击机器。)</t>
    <phoneticPr fontId="6" type="noConversion"/>
  </si>
  <si>
    <t>&lt;p&gt;
&lt;n&gt;  回复： &lt;/n&gt;
 &lt;n&gt; &lt;/n&gt;&lt;goto id="60087" mapid="7" flagpoint="1" taskid="11761" /&gt; 
&lt;/p&gt;</t>
    <phoneticPr fontId="6" type="noConversion"/>
  </si>
  <si>
    <t>赛特</t>
    <phoneticPr fontId="6" type="noConversion"/>
  </si>
  <si>
    <t>title(（往事）三个人的兵团)
body(hotyellow_3(任务进程:)newline()
   还是去问问goto(60073,3)，看他知道点什么。
blankline()hotyellow_3(任务描述:)newline() 
   另外两个看不清的名字，会不会就是“妮可”与“赛特”呢。)</t>
    <phoneticPr fontId="6" type="noConversion"/>
  </si>
  <si>
    <t>body(   这枚团徽确实是我的，谢谢。blankline()
hot3(（卡玛看着团徽心情很不好的样子，究竟是怎么回事呢……）))</t>
    <phoneticPr fontId="6" type="noConversion"/>
  </si>
  <si>
    <t>body(   那种团徽啊…是很久以前的事了，那时候我、妮可、卡玛还是小孩子的时候学着大人的样子成立了一个兵团。当时我们缠着卡尔大人好久，他才为我们一人制作了一批团徽，那是很久以前的事了。)</t>
    <phoneticPr fontId="6" type="noConversion"/>
  </si>
  <si>
    <t>&lt;p&gt;
&lt;n&gt;  回复： &lt;/n&gt;
 &lt;n&gt; &lt;/n&gt;&lt;goto id="60073" mapid="3" flagpoint="1" taskid="11771" /&gt; 
&lt;/p&gt;</t>
    <phoneticPr fontId="6" type="noConversion"/>
  </si>
  <si>
    <t>妮可</t>
    <phoneticPr fontId="6" type="noConversion"/>
  </si>
  <si>
    <t>body(   战争太危险了，我只是不想让卡玛面临危险……)</t>
    <phoneticPr fontId="6" type="noConversion"/>
  </si>
  <si>
    <t>&lt;p&gt;
&lt;n&gt;  回复： &lt;/n&gt;
 &lt;n&gt; &lt;/n&gt;&lt;goto id="60072" mapid="3" flagpoint="1" taskid="11781" /&gt; 
&lt;/p&gt;</t>
    <phoneticPr fontId="6" type="noConversion"/>
  </si>
  <si>
    <t>卡玛</t>
    <phoneticPr fontId="6" type="noConversion"/>
  </si>
  <si>
    <t>title(（往事）解释)
body(hotyellow_3(任务进程:)newline()
   去向goto(60093,6)解释妮可当时的想法。
blankline()hotyellow_3(任务描述:)newline() 
   这么多年来，我一直没有合适的机会向卡玛解释。我是由于担心她遇到危险才阻挠父亲任命卡玛为前线指挥官的，我并没有有过任何一丝阻止卡玛取得成就的念头……)</t>
    <phoneticPr fontId="6" type="noConversion"/>
  </si>
  <si>
    <t>body(   其实我并没有任何一丝阻止卡玛升迁的意思，只是前线指挥官实在太危险了…我不想失去她。blankline()   如果一定要算的，这件事已经过去18年了，算上睡觉的时间。player()，我想是时候将我的想法告诉卡玛，希望她能理解我。)</t>
    <phoneticPr fontId="6" type="noConversion"/>
  </si>
  <si>
    <t>body(   你以为我不知道妮可怎么想吗？她以为我误会她了？其实真正误会的人是她……)</t>
    <phoneticPr fontId="6" type="noConversion"/>
  </si>
  <si>
    <t>&lt;p&gt;
&lt;n&gt;  回复： &lt;/n&gt;
 &lt;n&gt; &lt;/n&gt;&lt;goto id="60093" mapid="6" flagpoint="1" taskid="11791" /&gt; 
&lt;/p&gt;</t>
    <phoneticPr fontId="6" type="noConversion"/>
  </si>
  <si>
    <t>妮可</t>
    <phoneticPr fontId="6" type="noConversion"/>
  </si>
  <si>
    <t>title(（往事）怨念)
body(hotyellow_3(任务进程:)newline()
   将卡玛的话告诉goto(60072,3)。
blankline()hotyellow_3(任务描述:)newline() 
   我知道妮可是担心我的安全，但她一点都无法理解我的感受。我是卡玛，并不止是她的一个好朋友，更是一个活生生独立的人。我的梦想是去最危险的地方作战，报答卡尔大人。名正言顺的成为地位与妮可相符的朋友…blankline()   由于害怕朋友遇到危险而阻碍朋友实现自己的理想是一种非常自私的行为。)</t>
    <phoneticPr fontId="6" type="noConversion"/>
  </si>
  <si>
    <t>body(   我和她不同，我只是卡尔大人的养女，妮可始终没有意识到这一点。blankline()   如果我们的友谊想要长久的保持下去，我需要建立卓越的战功来达到与她相当的地位，否则我过不了自己这一关。同时成为一个战功卓著的指挥官也是我的梦想，妮可怎么可以因为仅仅是担心我的安全而阻挠我完成梦想呢？)</t>
    <phoneticPr fontId="6" type="noConversion"/>
  </si>
  <si>
    <t>body(   啊，我一直不知道是这样。难道我真的太任性了……)</t>
    <phoneticPr fontId="6" type="noConversion"/>
  </si>
  <si>
    <t>&lt;p&gt;
&lt;n&gt;  回复： &lt;/n&gt;
 &lt;n&gt; &lt;/n&gt;&lt;goto id="60072" mapid="3" flagpoint="1" taskid="11801" /&gt; 
&lt;/p&gt;</t>
    <phoneticPr fontId="6" type="noConversion"/>
  </si>
  <si>
    <t>卡玛</t>
    <phoneticPr fontId="6" type="noConversion"/>
  </si>
  <si>
    <t>title(（往事）妮可的道歉信)
body(hotyellow_3(任务进程:)newline()
   将妮可的道歉信交给goto(60093,6)。
blankline()hotyellow_3(任务描述:)newline() 
   对不起，我知道错了。请将这封信交给卡玛好吗，希望她能够原谅我……)</t>
    <phoneticPr fontId="6" type="noConversion"/>
  </si>
  <si>
    <t>body(   真想当面向卡玛道歉，不过身为指挥官我不能离开这片营地…player()，请你将这封道歉信交给卡玛好吗，希望她能原谅我。)</t>
    <phoneticPr fontId="6" type="noConversion"/>
  </si>
  <si>
    <t>body(   这封信……)</t>
    <phoneticPr fontId="6" type="noConversion"/>
  </si>
  <si>
    <t>&lt;p&gt;
&lt;n&gt;  回复： &lt;/n&gt;
 &lt;n&gt; &lt;/n&gt;&lt;goto id="60093" mapid="6" flagpoint="1" taskid="11811" /&gt; 
&lt;/p&gt;</t>
    <phoneticPr fontId="6" type="noConversion"/>
  </si>
  <si>
    <t>title(（往事）冰释)
body(hotyellow_3(任务进程:)newline()
   去找goto(60072,3)。
blankline()hotyellow_3(任务描述:)newline() 
   事情已经过去了，只是心里有些遗憾。已经不怪她了，毕竟妮可的初衷还是担心我的安全…blankline()
   请转告妮可，我已经原谅她了。如果有一天，赛特被我抢走了，也请她要原谅我哈。)</t>
    <phoneticPr fontId="6" type="noConversion"/>
  </si>
  <si>
    <t>body(   事情过都过去了，其实我并没有怨恨过她，只是有点遗憾。blankline()   这次我就原谅她了，也请她在赛特被我抢走的时候务必要原谅我哈。)</t>
    <phoneticPr fontId="6" type="noConversion"/>
  </si>
  <si>
    <t>body(   赛特什么的，才不会让她抢走呢。)</t>
    <phoneticPr fontId="6" type="noConversion"/>
  </si>
  <si>
    <t>&lt;p&gt;
&lt;n&gt;  回复： &lt;/n&gt;
 &lt;n&gt; &lt;/n&gt;&lt;goto id="60072" mapid="3" flagpoint="1" taskid="11821" /&gt; 
&lt;/p&gt;</t>
    <phoneticPr fontId="6" type="noConversion"/>
  </si>
  <si>
    <t>title(（24级）委屈的肚子熊)
body(hotyellow_3(任务进程:)newline()
   找到肚子熊躲藏的hot(箱子)。
blankline()hotyellow_3(任务描述:)newline() 
   肚子熊究竟躲在哪个箱子里呢。blankline()
hot(   木箱就在城内的某个角落。))</t>
    <phoneticPr fontId="9" type="noConversion"/>
  </si>
  <si>
    <t>艾伦</t>
    <phoneticPr fontId="9" type="noConversion"/>
  </si>
  <si>
    <t>body(   太感谢你了，这样就不用整天提心吊胆啦！)</t>
    <phoneticPr fontId="9" type="noConversion"/>
  </si>
  <si>
    <t>"那些半死不活的机器人真的很危险。"</t>
    <phoneticPr fontId="9" type="noConversion"/>
  </si>
  <si>
    <t>费多</t>
    <phoneticPr fontId="9" type="noConversion"/>
  </si>
  <si>
    <t>body(   最初步的分析，这块应该属于武器的防御系统，不过它并不完整。blankline()   如果能找到可以与之相配合的其他芯片，我想我能让整个系统的功能再上一个台阶。)</t>
    <phoneticPr fontId="9" type="noConversion"/>
  </si>
  <si>
    <t>拉斐尔</t>
    <phoneticPr fontId="9" type="noConversion"/>
  </si>
  <si>
    <t>body(space()space()space()player()，我又找到了一块芯片设计图。blankline()   由于缺乏大型机械，矿产开采举步维艰。我听说在死亡沙漠之中存在着很多防步兵雷，我想拿两个来进行研究，看是否有可能用于矿石的开采。)</t>
    <phoneticPr fontId="9" type="noConversion"/>
  </si>
  <si>
    <t>亚塔尼斯</t>
    <phoneticPr fontId="6" type="noConversion"/>
  </si>
  <si>
    <t xml:space="preserve">  你还没有完成一次兑换。</t>
    <phoneticPr fontId="6" type="noConversion"/>
  </si>
  <si>
    <t>"还没有完成委托人的任务，要加油啊！"</t>
    <phoneticPr fontId="6" type="noConversion"/>
  </si>
  <si>
    <t>{s_taskCustom,{0,0,0,0}}</t>
  </si>
  <si>
    <t>title(（3级）疑问)
body(hotyellow_3(任务进程:)newline()
   可以问goto(60006,1)4个问题。
blankline()hotyellow_3(任务描述:)newline() 
space()space()space()player()，我很欣赏你的勇气。在你做最后的决定前，我认为你有权利知道更多的事情。blankline()   你有什么疑惑吗？如果是我知道的，我会统统告诉你的。)</t>
    <phoneticPr fontId="6" type="noConversion"/>
  </si>
  <si>
    <t>{{27112,0,5,0,"1-1,2-2"}}</t>
    <phoneticPr fontId="6" type="noConversion"/>
  </si>
  <si>
    <t>{{27113,0,5,0,"1-1,2-2"}}</t>
    <phoneticPr fontId="6" type="noConversion"/>
  </si>
  <si>
    <t>经验系数</t>
    <phoneticPr fontId="6" type="noConversion"/>
  </si>
  <si>
    <t>阶段系数</t>
    <phoneticPr fontId="6" type="noConversion"/>
  </si>
  <si>
    <t>title(团任务：)
body(hotyellow_3(任务进程:)newline()
   $ECORPS团研究的新物种取得突破性进展，必须在最短的时间内使用$ITEM炸毁其gotopos(45007,101,107,177,1,0)。blankline()去找goto(45111,101)，他会帮助你秘密潜入敌方基地。
blankline()
   对指定目标使用hot(纽扣炸弹)即可进行爆破！hot4(请注意：爆破有几率失败，启爆失败时需要重新爆破！)
blankline()
   hot2(任务完成后,千万不要忘记向goto(45111,101)汇报哦！))</t>
    <phoneticPr fontId="6" type="noConversion"/>
  </si>
  <si>
    <t>收集指定条件的白色装备，护甲、头盔、鞋子、护腕、衬衣和腰带都符合要求。</t>
    <phoneticPr fontId="6" type="noConversion"/>
  </si>
  <si>
    <t>收集指定条件的白色武器。</t>
    <phoneticPr fontId="6" type="noConversion"/>
  </si>
  <si>
    <t>收集指定条件的蓝色武器。</t>
    <phoneticPr fontId="6" type="noConversion"/>
  </si>
  <si>
    <t xml:space="preserve">title(收集装备)
body(hotyellow_3(任务进程:)newline()   收集$NAME,然后找goto(60065,2)兑换经验。blankline()   装备等级要求为$MINLEVEL级以上。hot(每天最多可完成3次，完成次数越多，获取的经验越高。))
</t>
  </si>
  <si>
    <t xml:space="preserve">title(收集材料)
body(hotyellow_3(任务进程:)newline()
   收集xx个xxx交给goto(60049,3)。
blankline()hotyellow_3(任务描述:)newline() 
   矿洞探险者正在大量收集各种药材与矿石。blankline()   勇敢的冒险者啊，财富与荣耀正在那阴冷幽森的矿洞中向你们招手！hot(该任务每天可完成。每天最多可完成3次，完成次数越多，获取的经验越高。))
</t>
  </si>
  <si>
    <t>title(（爱情）小幸福)
body(
hotyellow_3
(任务进程:)
newline()  需身为恋人或夫妻的两人组队才可接取。接取任务后，hot(由男方抱起女方，右键目标头像选择交互动作中的抱起)1分钟以上，即可完成任务。至goto(203,156)处，即可完成任务。hot(抱起状态下，男方可移动，女方不可移动)newline()   （该任务每天可完成2次，完成任务后可增加双方好友度5点）
blankline()
hotyellow_3(任务描述:)
newline() space()space()space()player()，与恋人每天完成爱情任务，一起打怪，赠送玫瑰花均可提升两者间的好友度。hot(好友度达到1999时，恋人可成为夫妻。))</t>
  </si>
  <si>
    <t>title(（爱情）小甜蜜)
body(
hotyellow_3
(任务进程:)
newline()  需身为恋人或夫妻的两人组队才可接取。接取任务后，hot(男女双方依偎（目标头像右键，选择交互动作中的依偎）)在一起1分钟以上，即可完成任务。hot(依偎状态下，男女双方均不可移动)newline()   交任务需前往goto(204,156)newline()   （该任务每天可完成2次，完成任务后可增加双方好友度5点）
blankline()
hotyellow_3(任务描述:)
newline() space()space()space()player()，与恋人每天完成爱情任务，一起打怪，赠送玫瑰花均可提升两者间的好友度。hot(好友度达到1999时，恋人可成为夫妻。))</t>
  </si>
  <si>
    <t>title(（爱情）小幸福)
body(
hotyellow_3
(任务进程:)
newline() 帮我去找一只$LEVEL级的$QUALITY$DEMON newline()   （该任务每天可完成3次）
blankline()
hotyellow_3(任务描述:)
newline() space()space()space()player()，与恋人每天完成爱情任务，一起打怪，赠送玫瑰花均可提升两者间的好友度。hot(好友度达到1999时，恋人可成为夫妻。))</t>
  </si>
  <si>
    <t xml:space="preserve">   hello，你需要点击“购买补给品”选项，购买一瓶“生命药( 小)”给我，才能完成任务哦！</t>
    <phoneticPr fontId="6" type="noConversion"/>
  </si>
  <si>
    <t xml:space="preserve">   hello，你如果需要购买任何防具，都可以在我这里购买哦！</t>
    <phoneticPr fontId="6" type="noConversion"/>
  </si>
  <si>
    <t xml:space="preserve">   补给车再不到，就不得不撤离这里了。</t>
    <phoneticPr fontId="6" type="noConversion"/>
  </si>
  <si>
    <t>塔布里斯</t>
    <phoneticPr fontId="6" type="noConversion"/>
  </si>
  <si>
    <t>"一定要回答错才行"</t>
    <phoneticPr fontId="6" type="noConversion"/>
  </si>
  <si>
    <t>&lt;p&gt;
&lt;n&gt;  答错：&lt;/n&gt;&lt;goto id="216" mapid="3" flagpoint="1" taskid="30271"/&gt;
&lt;n&gt;的问题&lt;/n&gt;
&lt;/p&gt;</t>
    <phoneticPr fontId="6" type="noConversion"/>
  </si>
  <si>
    <t>body(   今天就算你赢了，明天小丑们一定藏的更好，有本事再来比试。)</t>
    <phoneticPr fontId="6" type="noConversion"/>
  </si>
  <si>
    <t>"你找到8只小丑了么？"</t>
    <phoneticPr fontId="6" type="noConversion"/>
  </si>
  <si>
    <t>body(   解开一个不算什么，塔布里斯吹嘘他曾经一天都解开过10个呢，有得是难解的魔方，再接受挑战吧！)</t>
    <phoneticPr fontId="6" type="noConversion"/>
  </si>
  <si>
    <t>"转动魔方直到解开魔方，解开魔方后可获取大量经验奖励！"</t>
    <phoneticPr fontId="6" type="noConversion"/>
  </si>
  <si>
    <t>body(   看来你懂得也不少啊！)</t>
    <phoneticPr fontId="6" type="noConversion"/>
  </si>
  <si>
    <t>body(   很高兴你完成了这个挑战，这是你奖励，以后也要常来找我玩啊！)</t>
    <phoneticPr fontId="6" type="noConversion"/>
  </si>
  <si>
    <t>[清明]安魂升天</t>
    <phoneticPr fontId="6" type="noConversion"/>
  </si>
  <si>
    <t>&lt;p&gt;
&lt;n&gt;  将&lt;/n&gt;
&lt;dialog taskid="30272" text="背包" hotkeyid="2"/&gt;
&lt;n&gt; 中的魔方解开&lt;/n&gt;
&lt;/p&gt;</t>
    <phoneticPr fontId="6" type="noConversion"/>
  </si>
  <si>
    <t>&lt;p&gt;
&lt;n&gt;  与你的恋人一起依偎1分钟&lt;/n&gt;
&lt;newline/&gt;
 &lt;n&gt; &lt;/n&gt;&lt;goto id="204" mapid="156" flagpoint="1" taskid="30048"/&gt;
&lt;/p&gt;</t>
    <phoneticPr fontId="6" type="noConversion"/>
  </si>
  <si>
    <t>body(   十分感谢你，这是3个宝箱钥匙，去旁边的宝箱里挑挑喜欢什么吧)</t>
    <phoneticPr fontId="6" type="noConversion"/>
  </si>
  <si>
    <t>{{31378,0,1,0,""}}</t>
    <phoneticPr fontId="6" type="noConversion"/>
  </si>
  <si>
    <t>{{31410,0,1,0,"1-1"}}</t>
    <phoneticPr fontId="6" type="noConversion"/>
  </si>
  <si>
    <t>{{29514,0,1,0,"1-1"}}</t>
    <phoneticPr fontId="6" type="noConversion"/>
  </si>
  <si>
    <t>{{31415,0,3,0,"1-1"}}</t>
    <phoneticPr fontId="6" type="noConversion"/>
  </si>
  <si>
    <t>{{31411,3,1,0,"1-1"}}</t>
    <phoneticPr fontId="6" type="noConversion"/>
  </si>
  <si>
    <t>{{31413,3,3,0,"1-1"}}</t>
    <phoneticPr fontId="6" type="noConversion"/>
  </si>
  <si>
    <t>{{29020,3,1,0,"1-1"}}</t>
    <phoneticPr fontId="6" type="noConversion"/>
  </si>
  <si>
    <t>{{29016,3,1,0,"1-1"}}</t>
    <phoneticPr fontId="6" type="noConversion"/>
  </si>
  <si>
    <t>{{49005,3,1,0,"1-1"}}</t>
    <phoneticPr fontId="6" type="noConversion"/>
  </si>
  <si>
    <t>{{49004,3,1,0,"1-1"}}</t>
    <phoneticPr fontId="6" type="noConversion"/>
  </si>
  <si>
    <t>{{31065,3,1,0,"1-1"}}</t>
    <phoneticPr fontId="6" type="noConversion"/>
  </si>
  <si>
    <t>"{{49001,3,1,0,"1-1"}}"</t>
    <phoneticPr fontId="7" type="noConversion"/>
  </si>
  <si>
    <t>"31379-0-1"</t>
    <phoneticPr fontId="6" type="noConversion"/>
  </si>
  <si>
    <t>"31414-0-3"</t>
    <phoneticPr fontId="9" type="noConversion"/>
  </si>
  <si>
    <t>"31412-0-1"</t>
    <phoneticPr fontId="9" type="noConversion"/>
  </si>
  <si>
    <t>达芬奇</t>
    <phoneticPr fontId="6" type="noConversion"/>
  </si>
  <si>
    <t>[挑战]顽皮小丑</t>
    <phoneticPr fontId="6" type="noConversion"/>
  </si>
  <si>
    <t>body(   本次答题的宗旨就是只答错的，不答对的，这是极考验逻辑的问题哦！)</t>
    <phoneticPr fontId="6" type="noConversion"/>
  </si>
  <si>
    <t>[挑战]正确的错误</t>
    <phoneticPr fontId="6" type="noConversion"/>
  </si>
  <si>
    <t>[挑战]旋转魔方</t>
    <phoneticPr fontId="6" type="noConversion"/>
  </si>
  <si>
    <t>title(（挑战）正确的错误(每天1次))
body(hotyellow_3(任务进程:)newline()
   全部答错后，回复goto(216,3)。
blankline()hotyellow_3(任务描述:)newline() 
   本次答题的宗旨就是只答错的，不答对的。)</t>
    <phoneticPr fontId="6" type="noConversion"/>
  </si>
  <si>
    <t>[挑战]魔幻扑克</t>
    <phoneticPr fontId="6" type="noConversion"/>
  </si>
  <si>
    <t>"我需要安魂后产生的光。"</t>
    <phoneticPr fontId="6" type="noConversion"/>
  </si>
  <si>
    <t>&lt;p&gt;
&lt;n&gt;  前去安魂获得3个光： &lt;/n&gt; &lt;newline/&gt;
 &lt;n&gt; &lt;/n&gt;&lt;goto id="60779" mapid="3" flagpoint="1" taskid="30274" /&gt;&lt;newline/&gt;
 &lt;n&gt; &lt;/n&gt;&lt;goto id="60780" mapid="3" flagpoint="1" taskid="30274" /&gt;&lt;newline/&gt;
 &lt;n&gt; &lt;/n&gt;&lt;goto id="60781" mapid="3" flagpoint="1" taskid="30274" /&gt;&lt;newline/&gt;
 &lt;n&gt; &lt;/n&gt;&lt;goto id="60790" mapid="3" flagpoint="1" taskid="30274" /&gt;&lt;newline/&gt;
&lt;/p&gt;</t>
    <phoneticPr fontId="6" type="noConversion"/>
  </si>
  <si>
    <t>[补偿]职业更换</t>
    <phoneticPr fontId="6" type="noConversion"/>
  </si>
  <si>
    <t>"感谢您一直以来对我们的支持，您的支持是我们前进的动力！"</t>
    <phoneticPr fontId="6" type="noConversion"/>
  </si>
  <si>
    <t>body(   player()。荣耀与你同在，伴你征战。希望您能够将意见或者建议及时反馈给我们。您的支持，是我们努力前进的动力。)</t>
    <phoneticPr fontId="6" type="noConversion"/>
  </si>
  <si>
    <t>&lt;p&gt;
&lt;n&gt;  回复： &lt;/n&gt;
 &lt;n&gt; &lt;/n&gt;&lt;goto id="119" mapid="1" flagpoint="1" taskid="16001" /&gt;
&lt;/p&gt;</t>
    <phoneticPr fontId="6" type="noConversion"/>
  </si>
  <si>
    <t>{{32100,0,1,0,"1-1"}}</t>
    <phoneticPr fontId="6" type="noConversion"/>
  </si>
  <si>
    <t>body(   针对近期任务的调整，我们针对每位玩家提供了最高品质的经验道具。)</t>
    <phoneticPr fontId="6" type="noConversion"/>
  </si>
  <si>
    <t>[随机]七宗罪之嫉妒</t>
    <phoneticPr fontId="6" type="noConversion"/>
  </si>
  <si>
    <t>[随机]七宗罪之暴怒</t>
    <phoneticPr fontId="6" type="noConversion"/>
  </si>
  <si>
    <t>[随机]七宗罪之怠惰</t>
    <phoneticPr fontId="6" type="noConversion"/>
  </si>
  <si>
    <t>[随机]七宗罪之贪婪</t>
    <phoneticPr fontId="6" type="noConversion"/>
  </si>
  <si>
    <t>[随机]七宗罪之暴食</t>
    <phoneticPr fontId="6" type="noConversion"/>
  </si>
  <si>
    <t>[随机]七宗罪之欲望</t>
    <phoneticPr fontId="6" type="noConversion"/>
  </si>
  <si>
    <t>白</t>
    <phoneticPr fontId="6" type="noConversion"/>
  </si>
  <si>
    <t>蓝</t>
    <phoneticPr fontId="6" type="noConversion"/>
  </si>
  <si>
    <t>黄</t>
    <phoneticPr fontId="6" type="noConversion"/>
  </si>
  <si>
    <t>绿</t>
    <phoneticPr fontId="6" type="noConversion"/>
  </si>
  <si>
    <t>紫</t>
    <phoneticPr fontId="6" type="noConversion"/>
  </si>
  <si>
    <t>{{27115,0,1,0,"1-1"}}</t>
    <phoneticPr fontId="6" type="noConversion"/>
  </si>
  <si>
    <t>紫</t>
    <phoneticPr fontId="6" type="noConversion"/>
  </si>
  <si>
    <t>[随机]七宗罪之傲慢</t>
    <phoneticPr fontId="6" type="noConversion"/>
  </si>
  <si>
    <t>宠物商人</t>
    <phoneticPr fontId="6" type="noConversion"/>
  </si>
  <si>
    <t>title(（21级）宠物问答)
body(hotyellow_3(任务进程:)newline()
   回答goto(112,3)有关宠物的提问。
   blankline()hotyellow_3(任务描述:)newline()   回答宠物商人有关宠物的提问。)</t>
    <phoneticPr fontId="6" type="noConversion"/>
  </si>
  <si>
    <t>body(    我有些关于宠物的问题想问问你哦，如果你都答对了，证明你对宠物已经足够了解！)</t>
    <phoneticPr fontId="6" type="noConversion"/>
  </si>
  <si>
    <t>回答有关宠物的问题</t>
    <phoneticPr fontId="6" type="noConversion"/>
  </si>
  <si>
    <t>body(   国家多亏有您这样的人在。)</t>
    <phoneticPr fontId="6" type="noConversion"/>
  </si>
  <si>
    <t>[51级]属性更换</t>
    <phoneticPr fontId="6" type="noConversion"/>
  </si>
  <si>
    <t>title(（51级）职业更换)
body(hotyellow_3(任务进程:)newline()
   当人物达到hot(51级)时，可以在goto(120,3)处免费领取一次hot(改变属性的道具)。
blankline()   使用hot(改变属性的道具)，可以重置人物属性。)</t>
    <phoneticPr fontId="6" type="noConversion"/>
  </si>
  <si>
    <t>body(   各个职业都有各个职业自己的力量和方向，如果你改变自己的职业，需要改变人物的属性，我可以助你一臂之力。)</t>
    <phoneticPr fontId="6" type="noConversion"/>
  </si>
  <si>
    <t>[补偿]任务修改补偿</t>
    <phoneticPr fontId="6" type="noConversion"/>
  </si>
  <si>
    <t>高级杂货商人</t>
    <phoneticPr fontId="6" type="noConversion"/>
  </si>
  <si>
    <t>[60级]斗气转换</t>
    <phoneticPr fontId="6" type="noConversion"/>
  </si>
  <si>
    <t>body(   player()。选择斗气一定谨慎。)</t>
    <phoneticPr fontId="6" type="noConversion"/>
  </si>
  <si>
    <t>"你经历的磨砺还不够，60级以后再来找我吧！"</t>
    <phoneticPr fontId="6" type="noConversion"/>
  </si>
  <si>
    <t>&lt;p&gt;
&lt;n&gt;  回复： &lt;/n&gt;
 &lt;n&gt; &lt;/n&gt;&lt;goto id="120" mapid="3" flagpoint="1" taskid="11834" /&gt;
&lt;/p&gt;</t>
    <phoneticPr fontId="6" type="noConversion"/>
  </si>
  <si>
    <t>米迦勒</t>
    <phoneticPr fontId="6" type="noConversion"/>
  </si>
  <si>
    <t>[31级]精力值兑换</t>
    <phoneticPr fontId="6" type="noConversion"/>
  </si>
  <si>
    <t>body(   如果你精力值多的用不掉的话，我可以推荐你见一个人。)</t>
    <phoneticPr fontId="6" type="noConversion"/>
  </si>
  <si>
    <t>body(   每天多余的精力值都可以兑换的哦。)</t>
    <phoneticPr fontId="6" type="noConversion"/>
  </si>
  <si>
    <t>"你还没有完成一次精力值兑换。"</t>
    <phoneticPr fontId="6" type="noConversion"/>
  </si>
  <si>
    <t>[日常]机智问答</t>
    <phoneticPr fontId="6" type="noConversion"/>
  </si>
  <si>
    <t>[日常]采集任务</t>
    <phoneticPr fontId="6" type="noConversion"/>
  </si>
  <si>
    <t>[日常]跳舞</t>
    <phoneticPr fontId="6" type="noConversion"/>
  </si>
  <si>
    <t>[日常]钓鱼</t>
    <phoneticPr fontId="6" type="noConversion"/>
  </si>
  <si>
    <t>[日常]生命水晶</t>
    <phoneticPr fontId="6" type="noConversion"/>
  </si>
  <si>
    <t>title(（15级）合成蓝色装备)
body(hotyellow_3(任务进程:)newline()
   将5件白色装备合成为1件蓝色装备。任务完成之后，可goto(60066,2)领取奖励。
blankline()hotyellow_3(任务描述:)newline() 
   通过合成界面的装备合成操作，可将5件等级相差不超过10级的低品质装备，合成为高品质装备。装备的品质分为白、蓝、黄、绿、完美绿。合成操作需消耗一定的绑银。)</t>
  </si>
  <si>
    <t>body(   将5件白色装备合成为1件蓝色装备。通过合成界面的装备合成操作，可将5件等级相差不超过10级的低品质装备，合成为高品质装备。装备的品质分为白、蓝、黄、绿、完美绿。合成操作需消耗一定的绑银。)</t>
  </si>
  <si>
    <t>title(（25级）合成黄色装备)
body(hotyellow_3(任务进程:)newline()
   将5件蓝色装备合成为1件黄色装备。任务完成之后，可goto(60066,3)领取奖励。
blankline()hotyellow_3(任务描述:)newline() 
   通过合成界面的装备合成操作，可将5件等级相差不超过10级的低品质装备，合成为高品质装备。装备的品质分为白、蓝、黄、绿、完美绿。合成操作需消耗一定的绑银。)</t>
  </si>
  <si>
    <t>body(   将5件蓝色装备合成为1件黄色装备。通过合成界面的装备合成操作，可将5件等级相差不超过10级的低品质装备，合成为高品质装备。装备的品质分为白、蓝、黄、绿、完美绿。合成操作需消耗一定的绑银。)</t>
  </si>
  <si>
    <t>title(（35级）合成绿色装备)
body(hotyellow_3(任务进程:)newline()
   将5件黄色装备合成为1件绿色装备。任务完成之后，可goto(60066,3)领取奖励。
blankline()hotyellow_3(任务描述:)newline() 
   通过合成界面的装备合成操作，可将5件等级相差不超过10级的低品质装备，合成为高品质装备。装备的品质分为白、蓝、黄、绿、完美绿。合成操作需消耗一定的绑银。)</t>
  </si>
  <si>
    <t>body(   将5件黄色装备合成为1件绿色装备。通过合成界面的装备合成操作，可将5件等级相差不超过10级的低品质装备，合成为高品质装备。装备的品质分为白、蓝、黄、绿、完美绿。合成操作需消耗一定的绑银。)</t>
  </si>
  <si>
    <t>title(（45级）合成完美绿色装备)
body(hotyellow_3(任务进程:)newline()
   将5件绿色装备合成为1件完美绿色装备。任务完成之后，可goto(60066,3)领取奖励。
blankline()hotyellow_3(任务描述:)newline() 
   通过合成界面的装备合成操作，可将5件等级相差不超过10级的低品质装备，合成为高品质装备。装备的品质分为白、蓝、黄、绿、完美绿。合成操作需消耗一定的绑银。)</t>
  </si>
  <si>
    <t>body(   将5件绿色装备合成为1件完美绿色装备。通过合成界面的装备合成操作，可将5件等级相差不超过10级的低品质装备，合成为高品质装备。装备的品质分为白、蓝、黄、绿、完美绿。合成操作需消耗一定的绑银。)</t>
  </si>
  <si>
    <t>蓝</t>
    <phoneticPr fontId="6" type="noConversion"/>
  </si>
  <si>
    <t>黄</t>
    <phoneticPr fontId="6" type="noConversion"/>
  </si>
  <si>
    <t>绿</t>
    <phoneticPr fontId="6" type="noConversion"/>
  </si>
  <si>
    <t>紫</t>
    <phoneticPr fontId="6" type="noConversion"/>
  </si>
  <si>
    <t>body(   我需要一个白色品质酒杯来诠释一幅画作，请你帮我冒险去敌国换取，不胜感激)</t>
    <phoneticPr fontId="6" type="noConversion"/>
  </si>
  <si>
    <t>body(   辛苦了,杯与酒的画作使人陶醉。)</t>
    <phoneticPr fontId="6" type="noConversion"/>
  </si>
  <si>
    <t>body(   我需要一个蓝色品质酒杯来诠释一幅画作，请你帮我冒险去敌国换取，不胜感激)</t>
  </si>
  <si>
    <t>body(   我需要一个蓝色品质美酒来诠释一幅画作，请你帮我冒险去敌国换取，不胜感激)</t>
  </si>
  <si>
    <t>body(   我需要一个白色品质美酒来诠释一幅画作，请你帮我冒险去敌国换取，不胜感激)</t>
  </si>
  <si>
    <t>黄</t>
    <phoneticPr fontId="6" type="noConversion"/>
  </si>
  <si>
    <t>绿</t>
    <phoneticPr fontId="6" type="noConversion"/>
  </si>
  <si>
    <t>紫</t>
    <phoneticPr fontId="6" type="noConversion"/>
  </si>
  <si>
    <t>[战争]团称号争夺战</t>
    <phoneticPr fontId="6" type="noConversion"/>
  </si>
  <si>
    <t>[战争]血战到底（普通）</t>
    <phoneticPr fontId="6" type="noConversion"/>
  </si>
  <si>
    <t>[战争]血战到底（高级）</t>
    <phoneticPr fontId="6" type="noConversion"/>
  </si>
  <si>
    <t>英灵引导</t>
    <phoneticPr fontId="6" type="noConversion"/>
  </si>
  <si>
    <t>国家情报</t>
    <phoneticPr fontId="6" type="noConversion"/>
  </si>
  <si>
    <t>国家舞会</t>
    <phoneticPr fontId="6" type="noConversion"/>
  </si>
  <si>
    <t>团守卫任务</t>
    <phoneticPr fontId="6" type="noConversion"/>
  </si>
  <si>
    <t>威慑与掠夺</t>
    <phoneticPr fontId="6" type="noConversion"/>
  </si>
  <si>
    <t>坐骑碎片</t>
    <phoneticPr fontId="6" type="noConversion"/>
  </si>
  <si>
    <t>body(   国家的荣耀与你同在。)</t>
    <phoneticPr fontId="6" type="noConversion"/>
  </si>
  <si>
    <t>{{31442,0,20,0,"1-1"}}</t>
    <phoneticPr fontId="6" type="noConversion"/>
  </si>
  <si>
    <t>body(   最近敌国增加了强大的运输装置，会对我国造成非常大的影响，请前往敌国破坏沙地型补给艇，为国立功！)</t>
    <phoneticPr fontId="6" type="noConversion"/>
  </si>
  <si>
    <t>body(   最近敌国增加了强大的运输装置，会对我国造成非常大的影响，请前往敌国破坏沙地型补给艇，为国立功！)</t>
    <phoneticPr fontId="6" type="noConversion"/>
  </si>
  <si>
    <t>紫</t>
    <phoneticPr fontId="6" type="noConversion"/>
  </si>
  <si>
    <t>[随机]吟游诗人</t>
    <phoneticPr fontId="6" type="noConversion"/>
  </si>
  <si>
    <t>[随机]杯与酒</t>
    <phoneticPr fontId="6" type="noConversion"/>
  </si>
  <si>
    <t>[随机]营养晶果</t>
    <phoneticPr fontId="6" type="noConversion"/>
  </si>
  <si>
    <t>[随机]吟游诗人</t>
    <phoneticPr fontId="6" type="noConversion"/>
  </si>
  <si>
    <t>[随机]杯与酒</t>
    <phoneticPr fontId="6" type="noConversion"/>
  </si>
  <si>
    <t>[随机]营养晶果</t>
    <phoneticPr fontId="6" type="noConversion"/>
  </si>
  <si>
    <t>[随机]吟游诗人</t>
    <phoneticPr fontId="6" type="noConversion"/>
  </si>
  <si>
    <t>[随机]杯与酒</t>
    <phoneticPr fontId="6" type="noConversion"/>
  </si>
  <si>
    <t>[随机]吟游诗人</t>
    <phoneticPr fontId="6" type="noConversion"/>
  </si>
  <si>
    <t>[随机]杯与酒</t>
    <phoneticPr fontId="6" type="noConversion"/>
  </si>
  <si>
    <t>[随机]吟游诗人</t>
    <phoneticPr fontId="6" type="noConversion"/>
  </si>
  <si>
    <t>[活动]商人的旅行日记</t>
    <phoneticPr fontId="6" type="noConversion"/>
  </si>
  <si>
    <t>劳伦斯</t>
    <phoneticPr fontId="6" type="noConversion"/>
  </si>
  <si>
    <t>body(   你知道经验是怎么获得的么？这就是人生啊，只有饱经风霜的人才能获得宝贵的经验，这些是我的日记，你读了之后也会因之受益)</t>
    <phoneticPr fontId="6" type="noConversion"/>
  </si>
  <si>
    <t>"记得要努力读日记啊"</t>
    <phoneticPr fontId="6" type="noConversion"/>
  </si>
  <si>
    <t>[活动]奇异的晶果</t>
    <phoneticPr fontId="6" type="noConversion"/>
  </si>
  <si>
    <t>[活动]幸运四叶草</t>
    <phoneticPr fontId="6" type="noConversion"/>
  </si>
  <si>
    <t>[4级]整装待发[一]</t>
    <phoneticPr fontId="6" type="noConversion"/>
  </si>
  <si>
    <t>{{31453,3,10,0,"1-1"}}</t>
    <phoneticPr fontId="6" type="noConversion"/>
  </si>
  <si>
    <t>{{31455,3,25,0,"1-1"}}</t>
    <phoneticPr fontId="6" type="noConversion"/>
  </si>
  <si>
    <t>{{31456,3,1,0,"1-1"}}</t>
    <phoneticPr fontId="6" type="noConversion"/>
  </si>
  <si>
    <t>{{31458,3,1,0,"1-1"}}</t>
    <phoneticPr fontId="6" type="noConversion"/>
  </si>
  <si>
    <t>"31457-0-1"</t>
    <phoneticPr fontId="9" type="noConversion"/>
  </si>
  <si>
    <t>"31459-0-1"</t>
    <phoneticPr fontId="9" type="noConversion"/>
  </si>
  <si>
    <t>[31级]了解赠点商城</t>
    <phoneticPr fontId="6" type="noConversion"/>
  </si>
  <si>
    <t>使用赠点商城购买技能降级手册</t>
    <phoneticPr fontId="6" type="noConversion"/>
  </si>
  <si>
    <t xml:space="preserve">  你需要去赠点商城购买1本技能降级手册。</t>
    <phoneticPr fontId="6" type="noConversion"/>
  </si>
  <si>
    <t>"26010-0-1"</t>
    <phoneticPr fontId="9" type="noConversion"/>
  </si>
  <si>
    <t>body(   针对近期技能的调整，我们针对每位玩家进行了一次免费改变职业的补偿。如果你确定想要改变自己的职业。我可以助你一臂之力。blankline()space()space()space()player()，使用hot(改变职业的道具)，之前hot(学习技能消耗的绑银不会返还)。在升级技能时，所hot(消耗的经验全部返还)。)</t>
    <phoneticPr fontId="6" type="noConversion"/>
  </si>
  <si>
    <t>&lt;p&gt;
&lt;n&gt;  通过&lt;/n&gt;
&lt;dialog taskid="15205" text="赠点商城" hotkeyid="16" tabid="100-1"/&gt;&lt;newline/&gt;
&lt;n&gt;  购买1本技能降级手册&lt;/n&gt;
&lt;/p&gt;</t>
    <phoneticPr fontId="6" type="noConversion"/>
  </si>
  <si>
    <t>砍神迹</t>
    <phoneticPr fontId="6" type="noConversion"/>
  </si>
  <si>
    <t>[活动]充满活力的人</t>
    <phoneticPr fontId="6" type="noConversion"/>
  </si>
  <si>
    <t>body(   每天积极完成游戏内的一些任务，可获得当天的活力点，那么，请先去获得80点活力点再来找我吧！)</t>
    <phoneticPr fontId="6" type="noConversion"/>
  </si>
  <si>
    <t>"您今天的活力点还不足80点，如果不知道如何获得活力点的话，可以打开活动界面（快捷键E）中的我的活力点情况查看你的活力点。"</t>
    <phoneticPr fontId="6" type="noConversion"/>
  </si>
  <si>
    <t>body(   活力充沛的年轻人是国家的希望啊！哈哈，好，这是你应得的奖励，来，咱们比试比试牌技吧！)</t>
    <phoneticPr fontId="6" type="noConversion"/>
  </si>
  <si>
    <t>body(   经验也是可以学习的，我把我的经验记在了日记中，希望对你有所帮助，记得比较零乱，有些不方便阅读，如果通过（材料合成）整理下的话，就会好多了)</t>
    <phoneticPr fontId="6" type="noConversion"/>
  </si>
  <si>
    <t>body(   太棒啦！真是感谢！这下可以卖好价钱啦！哦，对了，你的奖励差点忘了，请收下。)</t>
    <phoneticPr fontId="6" type="noConversion"/>
  </si>
  <si>
    <t>body(   太棒啦！真是感谢！这下可以卖好价钱啦！哦，对了，你的奖励差点忘了，请收下！)</t>
    <phoneticPr fontId="6" type="noConversion"/>
  </si>
  <si>
    <t>"您需要找一个拥有四叶草的朋友，通过（邀请合并）方式获得装满好运的幸运瓶"</t>
    <phoneticPr fontId="6" type="noConversion"/>
  </si>
  <si>
    <t>[活动]乐于助人者的嘉奖</t>
    <phoneticPr fontId="6" type="noConversion"/>
  </si>
  <si>
    <t>[活动]乐于助人者的嘉奖</t>
    <phoneticPr fontId="6" type="noConversion"/>
  </si>
  <si>
    <t>body(   愿您永远保持一颗助人为乐的心！这是我对您的一些鼓励，请收下！)</t>
    <phoneticPr fontId="6" type="noConversion"/>
  </si>
  <si>
    <t>"您需要帮助别人合并获得1个“营养胶囊”后才能完成任务"</t>
    <phoneticPr fontId="6" type="noConversion"/>
  </si>
  <si>
    <t>"您需要帮助别人合并获得1个“幸运瓶”后才能完成任务"</t>
    <phoneticPr fontId="6" type="noConversion"/>
  </si>
  <si>
    <t>body(   如果您帮助别人，从而获得了更多的“营养胶囊”，请交给我吧！（两个分别拥有“营养胶囊（空）”和“营养晶果[B阶]”的玩家通过邀请合并方式可获得“营养胶囊”）)</t>
    <phoneticPr fontId="6" type="noConversion"/>
  </si>
  <si>
    <t>title(猎命师手札)
body(
   杀死500只hot(不低于自身等级10级)的怪物。
blankline()hotyellow_3(任务描述:)newline()  如果有人看到这封手札，说明我又一次失败了。我什么都无法阻止，一切都未曾改变。blankline()   我将所知的一切写在这本手札上，以在我失败之后，后来人能得知我所知道的一切，以及这场灾难的起源。这封手札的内容如果让弱者得知，不过是平添无谓的牺牲。blankline()   所以我把手札分成册，并做了一些手脚。如果你能看到这份手札，你将担负起拯救人类的重任，上帝也将为你祝福。blankline()   杀死500只hot(不低于自身等级10级)的怪物，你得到的将比你付出的更多。)</t>
    <phoneticPr fontId="6" type="noConversion"/>
  </si>
  <si>
    <t>[回归]里程碑（中级）</t>
    <phoneticPr fontId="6" type="noConversion"/>
  </si>
  <si>
    <t>[回归]里程碑（高级）</t>
    <phoneticPr fontId="6" type="noConversion"/>
  </si>
  <si>
    <t>道具</t>
    <phoneticPr fontId="6" type="noConversion"/>
  </si>
  <si>
    <t>{{34145,3,1,0,"1-1"},{10,3,80,0,"1-1"}}</t>
    <phoneticPr fontId="6" type="noConversion"/>
  </si>
  <si>
    <t>{{10,3,120,0,"1-1"}}</t>
    <phoneticPr fontId="6" type="noConversion"/>
  </si>
  <si>
    <t>body(   使用道具接取)</t>
    <phoneticPr fontId="6" type="noConversion"/>
  </si>
  <si>
    <t>body(   player()。很高兴能够看到你回来。并且接受了我们的任务，当你体验到比往昔岁月更加精彩的内容时，我们还为您准备了丰厚的赠点奖励。希望你的血依然炙热！)</t>
    <phoneticPr fontId="6" type="noConversion"/>
  </si>
  <si>
    <t>莎士比亚</t>
    <phoneticPr fontId="6" type="noConversion"/>
  </si>
  <si>
    <t>body(   你找到你的另一半了么？)</t>
    <phoneticPr fontId="6" type="noConversion"/>
  </si>
  <si>
    <t>"你不能忽悠老年人的哦"</t>
    <phoneticPr fontId="6" type="noConversion"/>
  </si>
  <si>
    <t>body(   谢谢你替我清除这些烦人的hot(树桩怪)，player()，我将会送上我的包裹，希望能够帮助到你。)</t>
    <phoneticPr fontId="6" type="noConversion"/>
  </si>
  <si>
    <t>body(   额外的包裹可以提升你的续航能力，打更多的装备，装更多的道具。还等什么？快试试吧！)</t>
    <phoneticPr fontId="6" type="noConversion"/>
  </si>
  <si>
    <t>title(（12级）第一个额外背包)
body(hotyellow_3(任务进程:)newline()
   从goto(60019,2)处获得额外的背包。)</t>
    <phoneticPr fontId="6" type="noConversion"/>
  </si>
  <si>
    <t>body(space()space()space()player()，我有一件一件装备一直都没用，但总是被肚子熊拿去玩。你能帮我找回来吗？)</t>
    <phoneticPr fontId="6" type="noConversion"/>
  </si>
  <si>
    <t>{{23001,0,1,0,"1-1"}}</t>
  </si>
  <si>
    <t>{{35002,3,1,0,"1-1"}}</t>
    <phoneticPr fontId="6" type="noConversion"/>
  </si>
  <si>
    <t>{{35003,3,1,0,"1-1"}}</t>
    <phoneticPr fontId="6" type="noConversion"/>
  </si>
  <si>
    <t>{{35004,3,1,0,"1-1"}}</t>
    <phoneticPr fontId="6" type="noConversion"/>
  </si>
  <si>
    <t>title(（37级）安定剂)
body(hotyellow_3(任务进程:)newline()
   杀死goto(10149,3)，获得1份hot(安定剂)后交给goto(60149,3)。
blankline()hotyellow_3(任务描述:)newline() 
   我这里有一点安定剂，我拿去给尼古拉服下就可以啦！blankline()   不过这种紧俏的物资player()你想空手而取么。听说你身手不错，请替我完成一笔高难度的委托单吧！)</t>
    <phoneticPr fontId="6" type="noConversion"/>
  </si>
  <si>
    <t>title(（61级）钓鱼管理员)
body(hotyellow_3(任务进程:)newline()
   与goto(194,5)对话，了解钓鱼功能。
blankline()hotyellow_3(任务描述:)newline() 
   通过问答了解钓鱼功能。)</t>
    <phoneticPr fontId="6" type="noConversion"/>
  </si>
  <si>
    <t>title(（25级）解毒草的种子)
body(hotyellow_3(任务进程:)newline()
   在pos(102,190,4)处种植解毒草后向goto(60051,4)回复。
blankline()hotyellow_3(任务描述:)newline() 
   我们光明教会的成员在燃烧平原上损失惨重！很多人感染了一些奇怪的病毒。这是我搞到的解毒草的种子。player()请替我在燃烧平原上种植它们，希望能够有所帮助。)</t>
    <phoneticPr fontId="6" type="noConversion"/>
  </si>
  <si>
    <t>瞬间到达接取</t>
    <phoneticPr fontId="7" type="noConversion"/>
  </si>
  <si>
    <t>瞬间直接完成</t>
    <phoneticPr fontId="7" type="noConversion"/>
  </si>
  <si>
    <t>瞬间到达接取</t>
    <phoneticPr fontId="10" type="noConversion"/>
  </si>
  <si>
    <t>瞬间直接完成</t>
    <phoneticPr fontId="10" type="noConversion"/>
  </si>
  <si>
    <t>1表示直接到达接任务NPC；0表示不能</t>
    <phoneticPr fontId="10" type="noConversion"/>
  </si>
  <si>
    <t>1表示接任务后可以直接完成；0表示不能</t>
    <phoneticPr fontId="10" type="noConversion"/>
  </si>
  <si>
    <t>&lt;p&gt;
&lt;n&gt;  回复： &lt;/n&gt;
 &lt;n&gt; &lt;/n&gt;&lt;goto quick="1" id="60045" mapid="1" flagpoint="1" taskid="3001"/&gt;
&lt;/p&gt;</t>
  </si>
  <si>
    <t>&lt;p&gt;
&lt;n&gt;  去 &lt;/n&gt;&lt;goto quick="1" id="10104" mapid="1" flagpoint="1" taskid="3051"  /&gt;
&lt;n&gt;找回妒忌之书&lt;/n&gt;
&lt;/p&gt;</t>
  </si>
  <si>
    <t xml:space="preserve"> &lt;p&gt;
&lt;n&gt;  将书交给：&lt;/n&gt;
 &lt;n&gt; &lt;/n&gt;&lt;goto quick="1" id="60007" mapid="1" flagpoint="1" taskid="3051"/&gt;&lt;/p&gt;</t>
  </si>
  <si>
    <t>&lt;p&gt;
&lt;n&gt;  去 &lt;/n&gt;
 &lt;n&gt; &lt;/n&gt;&lt;goto quick="1" id="60141" mapid="1" flagpoint="1" taskid="3061"  /&gt;
&lt;n&gt;找回古老的卷轴&lt;/n&gt;
&lt;/p&gt;</t>
  </si>
  <si>
    <t>&lt;p&gt;
&lt;n&gt;  回复： &lt;/n&gt;
 &lt;n&gt; &lt;/n&gt;&lt;goto quick="1" id="60006" mapid="1" flagpoint="1" taskid="3071" /&gt;
&lt;/p&gt;</t>
  </si>
  <si>
    <t>&lt;p&gt;
&lt;n&gt;  回复： &lt;/n&gt;
 &lt;n&gt; &lt;/n&gt;&lt;goto quick="1" id="60031" mapid="1" flagpoint="1" taskid="3072"/&gt;
&lt;/p&gt;</t>
  </si>
  <si>
    <t>&lt;p&gt;
&lt;n&gt;  回复： &lt;/n&gt;
 &lt;n&gt; &lt;/n&gt;&lt;goto quick="1" id="60006" mapid="1" flagpoint="1" taskid="3081" /&gt;
&lt;/p&gt;</t>
  </si>
  <si>
    <t>&lt;p&gt;
&lt;n&gt;  向&lt;/n&gt;
 &lt;n&gt; &lt;/n&gt;&lt;goto quick="1" id="60006" mapid="1" flagpoint="1" taskid="3091" /&gt;
&lt;n&gt;提问4次&lt;/n&gt;
&lt;/p&gt;</t>
  </si>
  <si>
    <t>&lt;p&gt;
&lt;n&gt;  回复： &lt;/n&gt;
 &lt;n&gt; &lt;/n&gt;&lt;goto quick="1" id="60006" mapid="1" flagpoint="1" taskid="3131" /&gt;
&lt;/p&gt;</t>
  </si>
  <si>
    <t>&lt;p&gt;
&lt;n&gt; 祷告：&lt;/n&gt;
 &lt;n&gt; &lt;/n&gt;&lt;goto quick="1" id="60172" mapid="1" flagpoint="1" taskid="3132" /&gt;
&lt;/p&gt;</t>
  </si>
  <si>
    <t>&lt;p&gt;
&lt;n&gt;  战胜：&lt;/n&gt;
 &lt;n&gt; &lt;/n&gt;&lt;goto quick="1" id="10106" mapid="1" flagpoint="1" taskid="3141" /&gt;
&lt;/p&gt;</t>
  </si>
  <si>
    <t>&lt;p&gt;
&lt;n&gt;  回复： &lt;/n&gt;
 &lt;n&gt; &lt;/n&gt;&lt;goto quick="1" id="60045" mapid="1" flagpoint="1" taskid="3161" /&gt;
&lt;/p&gt;</t>
  </si>
  <si>
    <t>&lt;p&gt;
&lt;n&gt;  回复： &lt;/n&gt;
 &lt;n&gt; &lt;/n&gt;&lt;goto quick="1" id="121" mapid="1" flagpoint="1" taskid="3171" /&gt;
&lt;/n&gt;
&lt;/p&gt;</t>
  </si>
  <si>
    <t>&lt;p&gt;
&lt;n&gt;  探索并找到&lt;/n&gt;
 &lt;n&gt; &lt;/n&gt;&lt;goto quick="1" id="60015" mapid="2" flagpoint="1" taskid="3181" /&gt;
&lt;/p&gt;</t>
  </si>
  <si>
    <t>&lt;p&gt;
&lt;n&gt;  探索并找到&lt;/n&gt;
 &lt;n&gt; &lt;/n&gt;&lt;goto quick="1" id="60015" mapid="2" flagpoint="1" taskid="3181"/&gt;&lt;/p&gt;</t>
  </si>
  <si>
    <t>&lt;p&gt;
&lt;n&gt;  回复： &lt;/n&gt;
 &lt;n&gt; &lt;/n&gt;&lt;goto quick="1" id="60015" mapid="2" flagpoint="1" taskid="3211" /&gt;
&lt;/p&gt;</t>
  </si>
  <si>
    <t>&lt;p&gt;
&lt;n&gt;  回复： &lt;/n&gt;
 &lt;n&gt; &lt;/n&gt;&lt;goto quick="1" id="60016" mapid="2" flagpoint="1" taskid="3251" /&gt;
&lt;/p&gt;</t>
  </si>
  <si>
    <t>&lt;p&gt;
&lt;n&gt;  回复： &lt;/n&gt;
 &lt;n&gt; &lt;/n&gt;&lt;goto quick="1" id="60017" mapid="2" flagpoint="1" taskid="3261" /&gt;
&lt;/p&gt;</t>
  </si>
  <si>
    <t>&lt;p&gt;
&lt;n&gt;  获得&lt;/n&gt;
 &lt;n&gt; &lt;/n&gt;&lt;goto quick="1" id="10117" mapid="2" flagpoint="1" taskid="3271" /&gt;
&lt;n&gt;的虎肉&lt;/n&gt;
&lt;/p&gt;</t>
  </si>
  <si>
    <t xml:space="preserve"> &lt;p&gt;
&lt;n&gt;  回复： &lt;/n&gt;
 &lt;n&gt; &lt;/n&gt;&lt;goto quick="1" id="60017" mapid="2" flagpoint="1" taskid="3281" /&gt;
&lt;/p&gt;</t>
  </si>
  <si>
    <t>&lt;p&gt;
&lt;n&gt;  回复： &lt;/n&gt;
 &lt;n&gt; &lt;/n&gt;&lt;goto quick="1" id="60042" mapid="2" flagpoint="1" taskid="3291" /&gt;
&lt;/p&gt;</t>
  </si>
  <si>
    <t>&lt;p&gt;
&lt;n&gt;  回复： &lt;/n&gt;
 &lt;n&gt; &lt;/n&gt;&lt;goto quick="1" id="60034" mapid="2" flagpoint="1" taskid="3301" /&gt;
&lt;/p&gt;</t>
  </si>
  <si>
    <t>&lt;p&gt;
&lt;n&gt;  获得&lt;/n&gt;
 &lt;n&gt; &lt;/n&gt;&lt;goto quick="1" id="10007" mapid="2" flagpoint="1" taskid="3321" /&gt;
&lt;n&gt;的样本&lt;/n&gt;
&lt;/p&gt;</t>
  </si>
  <si>
    <t>&lt;p&gt;
&lt;n&gt;  回复： &lt;/n&gt;
 &lt;n&gt; &lt;/n&gt;&lt;goto quick="1" id="60034" mapid="2" flagpoint="1" taskid="3361" /&gt;
&lt;/p&gt;</t>
  </si>
  <si>
    <t>&lt;p&gt;
&lt;n&gt;  回复： &lt;/n&gt;
 &lt;n&gt; &lt;/n&gt;&lt;goto quick="1" id="60034" mapid="2" flagpoint="1" taskid="3371" /&gt;
&lt;/p&gt;</t>
  </si>
  <si>
    <t>&lt;p&gt;
&lt;n&gt;  回复： &lt;/n&gt;
 &lt;n&gt; &lt;/n&gt;&lt;goto quick="1" id="60035" mapid="2" flagpoint="1" taskid="3381" /&gt;
&lt;/p&gt;</t>
  </si>
  <si>
    <t>&lt;p&gt;
&lt;n&gt;  回复： &lt;/n&gt;
 &lt;n&gt; &lt;/n&gt;&lt;goto quick="1" id="60042" mapid="2" flagpoint="1" taskid="3401" /&gt;
&lt;/p&gt;</t>
  </si>
  <si>
    <t>&lt;p&gt;
&lt;n&gt;  回复： &lt;/n&gt;
 &lt;n&gt; &lt;/n&gt;&lt;goto quick="1" id="60015" mapid="2" flagpoint="1" taskid="3411" /&gt;
&lt;/p&gt;</t>
  </si>
  <si>
    <t>&lt;p&gt;
&lt;n&gt;  回复： &lt;/n&gt;
 &lt;n&gt; &lt;/n&gt;&lt;goto quick="1" id="60016" mapid="2" flagpoint="1" taskid="3421" /&gt;
&lt;/p&gt;</t>
  </si>
  <si>
    <t>&lt;p&gt;
&lt;n&gt;  回复： &lt;/n&gt;
 &lt;n&gt; &lt;/n&gt;&lt;goto quick="1" id="60019" mapid="2" flagpoint="1" taskid="3441" /&gt;
&lt;/p&gt;</t>
  </si>
  <si>
    <t>&lt;p&gt;
&lt;n&gt;  回答&lt;/n&gt;
 &lt;n&gt; &lt;/n&gt;&lt;goto quick="1" id="60011" mapid="2" flagpoint="1" taskid="3491" /&gt;
&lt;n&gt;的问题&lt;/n&gt;
&lt;/p&gt;</t>
  </si>
  <si>
    <t>&lt;p&gt;
&lt;n&gt;  回复： &lt;/n&gt;
 &lt;n&gt; &lt;/n&gt;&lt;goto quick="1" id="60019" mapid="2" flagpoint="1" taskid="3501" /&gt;
&lt;/p&gt;</t>
  </si>
  <si>
    <t>&lt;p&gt;
&lt;n&gt;  回复： &lt;/n&gt;
 &lt;n&gt; &lt;/n&gt;&lt;goto quick="1" id="60019" mapid="2" flagpoint="1" taskid="3531" /&gt;
&lt;/p&gt;</t>
  </si>
  <si>
    <t>&lt;p&gt;
&lt;n&gt;  回复： &lt;/n&gt;
 &lt;n&gt; &lt;/n&gt;&lt;goto quick="1" id="60017" mapid="2" flagpoint="1" taskid="3551" /&gt;
&lt;/p&gt;</t>
  </si>
  <si>
    <t>&lt;p&gt;
&lt;n&gt;  回复： &lt;/n&gt;
 &lt;n&gt; &lt;/n&gt;&lt;goto quick="1" id="60038" mapid="2" flagpoint="1" taskid="3561" /&gt;
&lt;/p&gt;</t>
  </si>
  <si>
    <t>&lt;p&gt;
&lt;n&gt;  回复： &lt;/n&gt;
 &lt;n&gt; &lt;/n&gt;&lt;goto quick="1" id="60038" mapid="2" flagpoint="1" taskid="3571" /&gt;
&lt;/p&gt;</t>
  </si>
  <si>
    <t xml:space="preserve"> &lt;p&gt;
&lt;n&gt;  回复： &lt;/n&gt;
 &lt;n&gt; &lt;/n&gt;&lt;goto quick="1" id="60038" mapid="2" flagpoint="1" taskid="3601" /&gt;
&lt;/p&gt;</t>
  </si>
  <si>
    <t xml:space="preserve"> &lt;p&gt;
&lt;n&gt;  回复： &lt;/n&gt;
 &lt;n&gt; &lt;/n&gt;&lt;goto quick="1" id="60019" mapid="2" flagpoint="1" taskid="3611" /&gt;
&lt;/p&gt;</t>
  </si>
  <si>
    <t xml:space="preserve"> &lt;p&gt;
&lt;n&gt;  回复： &lt;/n&gt;
 &lt;n&gt; &lt;/n&gt;&lt;goto quick="1" id="60028" mapid="2" flagpoint="1" taskid="3631" /&gt;
&lt;/p&gt;</t>
  </si>
  <si>
    <t>&lt;p&gt;
&lt;n&gt;  回复： &lt;/n&gt;
 &lt;n&gt; &lt;/n&gt;&lt;goto quick="1" id="60037" mapid="2" flagpoint="1" taskid="3651" /&gt;
&lt;/p&gt;</t>
  </si>
  <si>
    <t>&lt;p&gt;
&lt;n&gt;  回复： &lt;/n&gt;
 &lt;n&gt; &lt;/n&gt;&lt;goto quick="1" id="60037" mapid="2" flagpoint="1" taskid="3661" /&gt;
&lt;/p&gt;</t>
  </si>
  <si>
    <t>&lt;p&gt;
&lt;n&gt;  回复： &lt;/n&gt;
 &lt;n&gt; &lt;/n&gt;&lt;goto quick="1" id="60037" mapid="2" flagpoint="1" flagdrawrect="1" taskid="3691"/&gt;
&lt;/p&gt;</t>
  </si>
  <si>
    <t>&lt;p&gt;
&lt;n&gt;  回复NPC：&lt;/n&gt;
 &lt;n&gt; &lt;/n&gt;&lt;goto quick="1" id="60028" mapid="2" flagpoint="1" taskid="3731"/&gt;
&lt;/p&gt;</t>
  </si>
  <si>
    <t>&lt;p&gt;
&lt;n&gt;  将火药桶交给&lt;/n&gt;
 &lt;n&gt; &lt;/n&gt;&lt;goto quick="1" id="60028" mapid="2" flagpoint="1" taskid="3741"/&gt;&lt;/p&gt;</t>
  </si>
  <si>
    <t>&lt;p&gt;
&lt;n&gt;  回复： &lt;/n&gt;
 &lt;n&gt; &lt;/n&gt;&lt;goto quick="1" id="60037" mapid="2" flagpoint="1" flagdrawrect="1" taskid="3761"/&gt;
&lt;/p&gt;</t>
  </si>
  <si>
    <t>&lt;p&gt;
&lt;n&gt;  在&lt;/n&gt;
 &lt;n&gt; &lt;/n&gt;&lt;goto quick="1" id="60037" mapid="2" flagpoint="1" /&gt;
&lt;n&gt;领魔甲&lt;/n&gt;
&lt;newline/&gt;
&lt;n&gt;  去瀑布边的&lt;/n&gt;
 &lt;n&gt; &lt;/n&gt;&lt;goto quick="1" id="60627" mapid="2" flagpoint="1" taskid="3771" /&gt;
&lt;n&gt;  获取情报。&lt;/n&gt;
&lt;/p&gt;</t>
  </si>
  <si>
    <t>&lt;p&gt;
&lt;n&gt;  回复：&lt;/n&gt;
 &lt;n&gt; &lt;/n&gt;&lt;goto quick="1" id="60627" mapid="2" flagpoint="1" taskid="3772"/&gt;&lt;/p&gt;</t>
  </si>
  <si>
    <t>&lt;p&gt;
&lt;n&gt;  获得&lt;/n&gt;
 &lt;n&gt; &lt;/n&gt;&lt;goto quick="1" id="10016" mapid="2" flagpoint="1" taskid="3781" /&gt;
&lt;n&gt;的士官证&lt;/n&gt;
&lt;/p&gt;</t>
  </si>
  <si>
    <t>&lt;p&gt;
&lt;n&gt;  和&lt;/n&gt;
 &lt;n&gt; &lt;/n&gt;&lt;goto quick="1" id="60028" mapid="2" flagpoint="1" taskid="3791" /&gt;
&lt;n&gt;玩一把纸牌&lt;/n&gt;
 &lt;/p&gt;</t>
  </si>
  <si>
    <t>&lt;p&gt;
&lt;n&gt;  将推荐信交给&lt;/n&gt;
 &lt;n&gt; &lt;/n&gt;&lt;goto quick="1" id="60000" mapid="3" flagpoint="1" taskid="3801" /&gt;
&lt;/p&gt;</t>
  </si>
  <si>
    <t>&lt;p&gt;
&lt;n&gt;  将信交给：&lt;/n&gt;
 &lt;n&gt; &lt;/n&gt;&lt;goto quick="1" id="60000" mapid="3" flagpoint="1" taskid="3801"/&gt;&lt;/p&gt;</t>
  </si>
  <si>
    <t>&lt;p&gt;
&lt;n&gt;  找 &lt;/n&gt;
 &lt;n&gt; &lt;/n&gt;&lt;goto quick="1" id="135" mapid="3" flagpoint="1" taskid="3821" /&gt;
&lt;n&gt; “领取个人工资”&lt;/n&gt;
&lt;/p&gt;</t>
  </si>
  <si>
    <t>&lt;p&gt;
&lt;n&gt;  找 &lt;/n&gt;
 &lt;n&gt; &lt;/n&gt;&lt;goto quick="1" id="60550" mapid="3" flagpoint="1" taskid="3822" /&gt;
&lt;n&gt; “设置回城点”&lt;/n&gt;
&lt;/p&gt;</t>
  </si>
  <si>
    <t>&lt;p&gt;
&lt;n&gt;  回复： &lt;/n&gt;
 &lt;n&gt; &lt;/n&gt;&lt;goto quick="1" id="60066" mapid="3" flagpoint="1" flagdrawrect="1" taskid="3851"/&gt;
&lt;/p&gt;</t>
  </si>
  <si>
    <t>&lt;p&gt;
&lt;n&gt;  回复： &lt;/n&gt;
 &lt;n&gt; &lt;/n&gt;&lt;goto quick="1" id="60066" mapid="4" flagpoint="1" taskid="3861" /&gt;
&lt;/p&gt;</t>
  </si>
  <si>
    <t>&lt;p&gt;
&lt;n&gt;  回复： &lt;/n&gt;
 &lt;n&gt; &lt;/n&gt;&lt;goto quick="1" id="60084" mapid="4" flagpoint="1" taskid="3881" /&gt;
&lt;/p&gt;</t>
  </si>
  <si>
    <t>&lt;p&gt;
&lt;n&gt;  收集&lt;/n&gt;
 &lt;n&gt; &lt;/n&gt;&lt;goto quick="1" id="10028" mapid="4" flagpoint="1" taskid="1321" /&gt;
&lt;n&gt;的细胞样本&lt;/n&gt;
&lt;/p&gt;</t>
  </si>
  <si>
    <t>&lt;p&gt;
&lt;n&gt;  回复： &lt;/n&gt;
 &lt;n&gt; &lt;/n&gt;&lt;goto quick="1" id="60051" mapid="4" flagpoint="1" taskid="3901" /&gt;
&lt;/p&gt;</t>
  </si>
  <si>
    <t>&lt;p&gt;
&lt;n&gt;  询问&lt;/n&gt;
 &lt;n&gt; &lt;/n&gt;&lt;goto quick="1" id="60056" mapid="4" flagpoint="1" taskid="3921" /&gt;
&lt;n&gt;有关地下幸存者的事&lt;/n&gt;
&lt;/p&gt;</t>
  </si>
  <si>
    <t>&lt;p&gt;
&lt;n&gt;  回复： &lt;/n&gt;
 &lt;n&gt; &lt;/n&gt;&lt;goto quick="1" id="60051" mapid="4" flagpoint="1" taskid="3931" /&gt;
&lt;/p&gt;</t>
  </si>
  <si>
    <t>&lt;p&gt;
&lt;n&gt;  回复： &lt;/n&gt;
 &lt;n&gt; &lt;/n&gt;&lt;goto quick="1" id="122" mapid="3" flagpoint="1" taskid="3971" /&gt;
&lt;/p&gt;</t>
  </si>
  <si>
    <t>&lt;p&gt;
&lt;n&gt;  回复： &lt;/n&gt;
 &lt;n&gt; &lt;/n&gt;&lt;goto quick="1" id="122" mapid="3" flagpoint="1" taskid="3981" /&gt;
&lt;/p&gt;</t>
  </si>
  <si>
    <t>&lt;p&gt;
&lt;n&gt;  回复： &lt;/n&gt;
 &lt;n&gt; &lt;/n&gt;&lt;goto quick="1" id="113" mapid="3" flagpoint="1" taskid="3991" /&gt;
&lt;/p&gt;</t>
  </si>
  <si>
    <t>&lt;p&gt;
&lt;n&gt;  获取&lt;/n&gt;
 &lt;n&gt; &lt;/n&gt;&lt;goto quick="1" id="10031" mapid="4" flagpoint="1" taskid="4031" /&gt;
&lt;n&gt;的样本&lt;/n&gt;
&lt;/p&gt;</t>
  </si>
  <si>
    <t>&lt;p&gt;
&lt;n&gt;  回复： &lt;/n&gt;
 &lt;n&gt; &lt;/n&gt;&lt;goto quick="1" id="60051" mapid="4" flagpoint="1" taskid="4041" /&gt;
&lt;/p&gt;</t>
  </si>
  <si>
    <t>&lt;p&gt;
&lt;n&gt;  回复： &lt;/n&gt;
 &lt;n&gt; &lt;/n&gt;&lt;goto quick="1" id="60057" mapid="4" flagpoint="1" taskid="4061" /&gt;
&lt;/p&gt;</t>
  </si>
  <si>
    <t>&lt;p&gt;
&lt;n&gt;  回答&lt;/n&gt;
 &lt;n&gt; &lt;/n&gt;&lt;goto quick="1" id="60057" mapid="4" flagpoint="1" taskid="4071" /&gt;
&lt;n&gt;的提问&lt;/n&gt;
&lt;/p&gt;</t>
  </si>
  <si>
    <t>&lt;p&gt;
&lt;n&gt;  回复： &lt;/n&gt;
 &lt;n&gt; &lt;/n&gt;&lt;goto quick="1" id="60052" mapid="4" flagpoint="1" taskid="4081" /&gt;
&lt;/p&gt;</t>
  </si>
  <si>
    <t>&lt;p&gt;
&lt;n&gt;  回复： &lt;/n&gt;
 &lt;n&gt; &lt;/n&gt;&lt;goto quick="1" id="60049" mapid="3" flagpoint="1" taskid="4101" /&gt;
&lt;/p&gt;</t>
  </si>
  <si>
    <t>&lt;p&gt;
&lt;n&gt;  回复： &lt;/n&gt;
 &lt;n&gt; &lt;/n&gt;&lt;goto quick="1" id="60049" mapid="3" flagpoint="1" taskid="4111" /&gt;
&lt;/p&gt;</t>
  </si>
  <si>
    <t>&lt;p&gt;
&lt;n&gt;  回复： &lt;/n&gt;
 &lt;n&gt; &lt;/n&gt;&lt;goto quick="1" id="114" mapid="3" flagpoint="1" taskid="4131" /&gt;
&lt;/p&gt;</t>
  </si>
  <si>
    <t>&lt;p&gt;
&lt;n&gt;  回复： &lt;/n&gt;
 &lt;n&gt; &lt;/n&gt;&lt;goto quick="1" id="60049" mapid="3" flagpoint="1" taskid="4151" /&gt;
&lt;/p&gt;</t>
  </si>
  <si>
    <t>&lt;p&gt;
&lt;n&gt;  回复： &lt;/n&gt;
 &lt;n&gt; &lt;/n&gt;&lt;goto quick="1" id="114" mapid="3" flagpoint="1" taskid="4171" /&gt;
&lt;/p&gt;</t>
  </si>
  <si>
    <t>&lt;p&gt;
&lt;n&gt;  &lt;/n&gt;&lt;dialog taskid="4181" text="进行矿石合成" hotkeyid="12" tabid="3-1" /&gt;
&lt;newline/&gt;
&lt;n&gt;  回复： &lt;/n&gt;
 &lt;n&gt; &lt;/n&gt;&lt;goto quick="1" id="114" mapid="3" flagpoint="1" taskid="4181" /&gt;
&lt;/p&gt;</t>
  </si>
  <si>
    <t>&lt;p&gt;
&lt;n&gt;  回复： &lt;/n&gt;
 &lt;n&gt; &lt;/n&gt;&lt;goto quick="1" id="60000" mapid="3" flagpoint="1" taskid="4211" /&gt;
&lt;/p&gt;</t>
  </si>
  <si>
    <t>&lt;p&gt;
&lt;n&gt;  通过&lt;/n&gt;&lt;goto quick="1" id="123" mapid="3" flagpoint="1"/&gt;
&lt;newline/&gt;
&lt;n&gt;  可快速传送回燃烧平原&lt;/n&gt;
&lt;newline/&gt;
&lt;n&gt;  回复： &lt;/n&gt;
 &lt;n&gt; &lt;/n&gt;&lt;goto quick="1" id="60052" mapid="4" flagpoint="1" taskid="4221" /&gt;
&lt;/p&gt;</t>
  </si>
  <si>
    <t>&lt;p&gt;
&lt;n&gt;  询问&lt;/n&gt;
 &lt;n&gt; &lt;/n&gt;&lt;goto quick="1" id="60052" mapid="4" flagpoint="1" taskid="4241" /&gt;
&lt;/p&gt;</t>
  </si>
  <si>
    <t>&lt;p&gt;
&lt;n&gt;  和&lt;/n&gt;
 &lt;n&gt; &lt;/n&gt;&lt;goto quick="1" id="60052" mapid="4" flagpoint="1" taskid="4251" /&gt;
&lt;n&gt;玩一把&lt;/n&gt;
&lt;/p&gt;</t>
  </si>
  <si>
    <t>&lt;p&gt;
&lt;n&gt;  找到&lt;/n&gt;
 &lt;n&gt; &lt;/n&gt;&lt;goto quick="1" id="60053" mapid="4" flagpoint="1" taskid="4261"/&gt;&lt;/p&gt;</t>
  </si>
  <si>
    <t>&lt;p&gt;
&lt;n&gt;  和&lt;/n&gt;
 &lt;n&gt; &lt;/n&gt;&lt;goto quick="1" id="60053" mapid="4" flagpoint="1" taskid="4271" /&gt;
&lt;n&gt;玩比大小&lt;/n&gt;
&lt;/p&gt;</t>
  </si>
  <si>
    <t>&lt;p&gt;
&lt;n&gt;  回复： &lt;/n&gt;
 &lt;n&gt; &lt;/n&gt;&lt;goto quick="1" id="60049" mapid="3" flagpoint="1" taskid="4291" /&gt;
&lt;/p&gt;</t>
  </si>
  <si>
    <t>&lt;p&gt;
&lt;n&gt;  回复： &lt;/n&gt;
 &lt;n&gt; &lt;/n&gt;&lt;goto quick="1" id="60000" mapid="3" flagpoint="1" taskid="4311" /&gt;
&lt;/p&gt;</t>
  </si>
  <si>
    <t>&lt;p&gt;
&lt;n&gt;  通过&lt;/n&gt;&lt;goto quick="1" id="123" mapid="3" flagpoint="1" /&gt;
&lt;newline/&gt;
&lt;n&gt;  可快速传送回燃烧平原&lt;/n&gt;
&lt;newline/&gt;
&lt;n&gt;  回复： &lt;/n&gt;
 &lt;n&gt; &lt;/n&gt;&lt;goto quick="1" id="60163" mapid="4" flagpoint="1"/&gt;
&lt;/p&gt;</t>
  </si>
  <si>
    <t>&lt;p&gt;
&lt;n&gt;  回复： &lt;/n&gt;
 &lt;n&gt; &lt;/n&gt;&lt;goto quick="1" id="60163" mapid="4" flagpoint="1" taskid="4322" /&gt;
&lt;/p&gt;</t>
  </si>
  <si>
    <t>&lt;p&gt;
&lt;n&gt;  回复： &lt;/n&gt;
 &lt;n&gt; &lt;/n&gt;&lt;goto quick="1" id="60164" mapid="4" flagpoint="1" taskid="4331" /&gt;
&lt;/p&gt;</t>
  </si>
  <si>
    <t>&lt;p&gt;
&lt;n&gt;  回复： &lt;/n&gt;
 &lt;n&gt; &lt;/n&gt;&lt;goto quick="1" id="60163" mapid="4" flagpoint="1" taskid="4351" /&gt;
&lt;/p&gt;</t>
  </si>
  <si>
    <t>&lt;p&gt;
&lt;n&gt;  消灭&lt;/n&gt;
 &lt;n&gt; &lt;/n&gt;&lt;goto quick="1" id="10141" mapid="4" flagpoint="1" taskid="4361" /&gt;
&lt;/p&gt;</t>
  </si>
  <si>
    <t>&lt;p&gt;
&lt;n&gt;  回复： &lt;/n&gt;
 &lt;n&gt; &lt;/n&gt;&lt;goto quick="1" id="60163" mapid="4" flagpoint="1" taskid="4391" /&gt;
&lt;/p&gt;</t>
  </si>
  <si>
    <t>&lt;p&gt;
&lt;n&gt;  收集5个&lt;/n&gt;
 &lt;n&gt; &lt;/n&gt;&lt;goto quick="1" id="60144" mapid="4" flagpoint="1" taskid="4401" /&gt;
&lt;/p&gt;</t>
  </si>
  <si>
    <t>&lt;p&gt;
&lt;n&gt;  击杀&lt;/n&gt;&lt;goto quick="1" id="10176" mapid="102" flagpoint="1" taskid="4411"/&gt;&lt;n&gt;后，捕捉出现的宠物&lt;/n&gt;
&lt;newline/&gt;
&lt;n&gt;  跳转NPC：&lt;/n&gt;
 &lt;n&gt; &lt;/n&gt;&lt;goto quick="1" id="60166" mapid="4" flagpoint="1" taskid="4411"/&gt;
&lt;/p&gt;</t>
  </si>
  <si>
    <t>&lt;p&gt;
&lt;n&gt;  返回燃烧平原&lt;/n&gt;
&lt;newline/&gt;
&lt;n&gt;  跳转NPC：&lt;/n&gt;
 &lt;n&gt; &lt;/n&gt;&lt;goto quick="1" id="60171" mapid="102" flagpoint="1" taskid="4412" /&gt;
&lt;/p&gt;</t>
  </si>
  <si>
    <t>&lt;p&gt;
&lt;n&gt;  和&lt;/n&gt;
 &lt;n&gt; &lt;/n&gt;&lt;goto quick="1" id="60165" mapid="4" flagpoint="1" taskid="4442" /&gt;
&lt;n&gt;玩一把牌&lt;/n&gt; 
&lt;/p&gt;</t>
  </si>
  <si>
    <t>&lt;p&gt;
&lt;n&gt;  询问&lt;/n&gt;
 &lt;n&gt; &lt;/n&gt;&lt;goto quick="1" id="60165" mapid="4" flagpoint="1" taskid="4443" /&gt;
&lt;/p&gt;</t>
  </si>
  <si>
    <t>&lt;p&gt;
&lt;n&gt;  干掉30个&lt;/n&gt;
 &lt;n&gt; &lt;/n&gt;&lt;goto quick="1" id="10037" mapid="4" flagpoint="1" taskid="4445" /&gt;
&lt;/p&gt;</t>
  </si>
  <si>
    <t>&lt;p&gt;
&lt;n&gt;  消灭&lt;/n&gt;
 &lt;n&gt; &lt;/n&gt;&lt;goto quick="1" id="10148" mapid="4" flagpoint="1" taskid="4451" /&gt;
&lt;/p&gt;</t>
  </si>
  <si>
    <t>&lt;p&gt;
&lt;n&gt;  回复： &lt;/n&gt;
 &lt;n&gt; &lt;/n&gt;&lt;goto quick="1" id="60000" mapid="3" flagpoint="1" taskid="4461" /&gt;
&lt;/p&gt;</t>
  </si>
  <si>
    <t>&lt;p&gt;
&lt;n&gt;  替卡尔照顾：&lt;/n&gt;
 &lt;n&gt; &lt;/n&gt;&lt;goto quick="1" id="60072" mapid="3" flagpoint="1" taskid="1471" /&gt;
&lt;/p&gt;</t>
  </si>
  <si>
    <t>&lt;p&gt;
&lt;n&gt;  替卡尔照顾：&lt;/n&gt;
 &lt;n&gt; &lt;/n&gt;&lt;goto quick="1" id="60072" mapid="3" flagpoint="1" taskid="1471"/&gt;&lt;/p&gt;</t>
  </si>
  <si>
    <t>&lt;p&gt;
&lt;n&gt;  替卡尔照顾：&lt;/n&gt;
 &lt;n&gt; &lt;/n&gt;&lt;goto quick="1" id="60073" mapid="3" flagpoint="1" taskid="1472"/&gt;&lt;/p&gt;</t>
  </si>
  <si>
    <t>&lt;p&gt;
&lt;n&gt;  消灭35只&lt;/n&gt;
 &lt;n&gt; &lt;/n&gt;&lt;goto quick="1" id="10057" mapid="3" flagpoint="1" taskid="1481" /&gt;
&lt;/p&gt;</t>
  </si>
  <si>
    <t>&lt;p&gt;
&lt;n&gt;  消灭&lt;/n&gt;
 &lt;n&gt; &lt;/n&gt;&lt;goto quick="1" id="10137" mapid="3" flagpoint="1" taskid="1485" /&gt;
&lt;/p&gt;</t>
  </si>
  <si>
    <t>&lt;p&gt;
&lt;n&gt;  回复： &lt;/n&gt;
 &lt;n&gt; &lt;/n&gt;&lt;goto quick="1" id="60074" mapid="3" flagpoint="1" taskid="1482" /&gt;
&lt;/p&gt;</t>
  </si>
  <si>
    <t>&lt;p&gt;
&lt;n&gt;  回复： &lt;/n&gt;
&lt;n&gt; &lt;/n&gt;&lt;goto quick="1" id="60148" mapid="3" flagpoint="1" taskid="1484" /&gt;
&lt;/p&gt;</t>
  </si>
  <si>
    <t>&lt;p&gt;
&lt;n&gt;  消灭35个&lt;/n&gt;
 &lt;n&gt; &lt;/n&gt;&lt;goto quick="1" id="10058" mapid="3" flagpoint="1" taskid="1491" /&gt;
&lt;/p&gt;</t>
  </si>
  <si>
    <t>&lt;p&gt;
&lt;n&gt;  和&lt;/n&gt;
 &lt;n&gt; &lt;/n&gt;&lt;goto quick="1" id="60148" mapid="3" flagpoint="1" taskid="1492" /&gt;
&lt;n&gt;玩一把牌&lt;/n&gt; 
&lt;/p&gt;</t>
  </si>
  <si>
    <t>&lt;p&gt;
&lt;n&gt;  回复： &lt;/n&gt;
 &lt;n&gt; &lt;/n&gt;&lt;goto quick="1" id="60075" mapid="3" flagpoint="1" taskid="1499" /&gt;
&lt;/p&gt;</t>
  </si>
  <si>
    <t>&lt;p&gt;
&lt;n&gt;  获取25个&lt;/n&gt;
 &lt;n&gt; &lt;/n&gt;&lt;goto quick="1" id="10059" mapid="3" flagpoint="1" taskid="1501" /&gt;
&lt;n&gt;的肉&lt;/n&gt;
&lt;/p&gt;</t>
  </si>
  <si>
    <t>&lt;p&gt;
&lt;n&gt;  回复： &lt;/n&gt;
 &lt;n&gt; &lt;/n&gt;&lt;goto quick="1" id="60149" mapid="3" flagpoint="1" taskid="1502" /&gt;
&lt;/p&gt;</t>
  </si>
  <si>
    <t>&lt;p&gt;
&lt;n&gt;  消灭&lt;/n&gt;
 &lt;n&gt; &lt;/n&gt;&lt;goto quick="1" id="10149" mapid="3" flagpoint="1" taskid="1503" /&gt;
&lt;/p&gt;</t>
  </si>
  <si>
    <t>&lt;p&gt;
&lt;n&gt;  回复： &lt;/n&gt;
 &lt;n&gt; &lt;/n&gt;&lt;goto quick="1" id="60149" mapid="3" flagpoint="1" taskid="1504" /&gt;
&lt;/p&gt;</t>
  </si>
  <si>
    <t>&lt;p&gt;
&lt;n&gt;  获取25个&lt;/n&gt;
 &lt;n&gt; &lt;/n&gt;&lt;goto quick="1" id="10060" mapid="3" flagpoint="1" taskid="1511" /&gt;
&lt;n&gt;的毒针囊&lt;/n&gt;
&lt;/p&gt;</t>
  </si>
  <si>
    <t>&lt;p&gt;
&lt;n&gt;  回复： &lt;/n&gt;
 &lt;n&gt; &lt;/n&gt;&lt;goto quick="1" id="60148" mapid="3" flagpoint="1" taskid="1512" /&gt;
&lt;/p&gt;</t>
  </si>
  <si>
    <t>&lt;p&gt;
&lt;n&gt;  回复： &lt;/n&gt;
 &lt;n&gt; &lt;/n&gt;&lt;goto quick="1" id="60150" mapid="3" flagpoint="1" taskid="1515" /&gt;
&lt;/p&gt;</t>
  </si>
  <si>
    <t>&lt;p&gt;
&lt;n&gt;  获取25个&lt;/n&gt;
 &lt;n&gt; &lt;/n&gt;&lt;goto quick="1" id="10061" mapid="3" flagpoint="1" taskid="1521" /&gt;
&lt;n&gt;的染色爪子&lt;/n&gt;
&lt;/p&gt;</t>
  </si>
  <si>
    <t>&lt;p&gt;
&lt;n&gt;  回复： &lt;/n&gt;
 &lt;n&gt; &lt;/n&gt;&lt;goto quick="1" id="60151" mapid="3" flagpoint="1" taskid="1522" /&gt;
&lt;/p&gt;</t>
  </si>
  <si>
    <t>&lt;p&gt;
&lt;n&gt;  回复： &lt;/n&gt;
 &lt;n&gt; &lt;/n&gt;&lt;goto quick="1" id="60000" mapid="3" flagpoint="1" taskid="1531" /&gt;
&lt;/p&gt;</t>
  </si>
  <si>
    <t>&lt;p&gt;
&lt;n&gt;  回复： &lt;/n&gt;
 &lt;n&gt; &lt;/n&gt;&lt;goto quick="1" id="60064" mapid="3" flagpoint="1" taskid="1541" /&gt;
&lt;/p&gt;</t>
  </si>
  <si>
    <t>&lt;p&gt;
&lt;n&gt;  和&lt;/n&gt;
 &lt;n&gt; &lt;/n&gt;&lt;goto quick="1" id="60064" mapid="3" flagpoint="1" taskid="1542" /&gt;
&lt;n&gt;玩一把牌&lt;/n&gt;
&lt;/p&gt;</t>
  </si>
  <si>
    <t>&lt;p&gt;
&lt;n&gt;  回复： &lt;/n&gt;
 &lt;n&gt; &lt;/n&gt;&lt;goto quick="1" id="60000" mapid="3" flagpoint="1" taskid="1552" /&gt;
&lt;/p&gt;</t>
  </si>
  <si>
    <t>&lt;p&gt;
&lt;n&gt;  回复： &lt;/n&gt;
 &lt;n&gt; &lt;/n&gt;&lt;goto quick="1" id="60154" mapid="3" flagpoint="1" taskid="1553" /&gt;
&lt;/p&gt;</t>
  </si>
  <si>
    <t>&lt;p&gt;
&lt;n&gt;  获取25个&lt;/n&gt;
 &lt;n&gt; &lt;/n&gt;&lt;goto quick="1" id="10062" mapid="3" flagpoint="1" taskid="1561" /&gt;
&lt;n&gt;的鳞片&lt;/n&gt;
&lt;/p&gt;</t>
  </si>
  <si>
    <t>&lt;p&gt;
&lt;n&gt;  去&lt;/n&gt;
 &lt;n&gt; &lt;/n&gt;&lt;goto quick="1" id="165" mapid="7" flagpoint="1" taskid="1495" /&gt;
&lt;n&gt;完成一次情报任务&lt;/n&gt; 
&lt;/p&gt;</t>
  </si>
  <si>
    <t>&lt;p&gt;
&lt;n&gt;  回复： &lt;/n&gt;
 &lt;n&gt; &lt;/n&gt;&lt;goto quick="1" id="60151" mapid="3" flagpoint="1" taskid="1565" /&gt;
&lt;/p&gt;</t>
  </si>
  <si>
    <t>&lt;p&gt;
&lt;n&gt;  消灭&lt;/n&gt;
 &lt;n&gt; &lt;/n&gt;&lt;goto quick="1" id="10153" mapid="3" flagpoint="1" taskid="1572" /&gt;
&lt;/p&gt;</t>
  </si>
  <si>
    <t>&lt;p&gt;
&lt;n&gt;  回复： &lt;/n&gt;
 &lt;n&gt; &lt;/n&gt;&lt;goto quick="1" id="60152" mapid="3" flagpoint="1" taskid="1573" /&gt;
&lt;/p&gt;</t>
  </si>
  <si>
    <t>&lt;p&gt;
&lt;n&gt;  获取&lt;/n&gt;
 &lt;n&gt; &lt;/n&gt;&lt;goto quick="1" id="10064" mapid="3" flagpoint="1" taskid="1581" /&gt;
&lt;n&gt;的幼虫&lt;/n&gt;
&lt;/p&gt;</t>
  </si>
  <si>
    <t>&lt;p&gt;
&lt;n&gt;  回复： &lt;/n&gt;
 &lt;n&gt; &lt;/n&gt;&lt;goto quick="1" id="60153" mapid="3" flagpoint="1" taskid="1582" /&gt;
&lt;/p&gt;</t>
  </si>
  <si>
    <t>&lt;p&gt;
&lt;n&gt;  去&lt;/n&gt;
 &lt;goto quick="1" id="60145" mapid="3"  flagpoint="1" taskid="1584" /&gt;
&lt;n&gt;收集解毒草&lt;/n&gt;
&lt;/p&gt;</t>
  </si>
  <si>
    <t>&lt;p&gt;
&lt;n&gt;  回复： &lt;/n&gt;
 &lt;n&gt; &lt;/n&gt;&lt;goto quick="1" id="113" mapid="3" flagpoint="1" taskid="1585" /&gt;
&lt;/p&gt;</t>
  </si>
  <si>
    <t>&lt;p&gt;
&lt;n&gt;  回复： &lt;/n&gt;
 &lt;n&gt; &lt;/n&gt;&lt;goto quick="1" id="60153" mapid="3" flagpoint="1" taskid="1592" /&gt;
&lt;/p&gt;</t>
  </si>
  <si>
    <t>&lt;p&gt;
&lt;n&gt;  回复： &lt;/n&gt;
 &lt;n&gt; &lt;/n&gt;&lt;goto quick="1" id="60000" mapid="3" flagpoint="1" taskid="1601" /&gt;
&lt;/p&gt;</t>
  </si>
  <si>
    <t>&lt;p&gt;
&lt;n&gt;  回复： &lt;/n&gt;
 &lt;n&gt; &lt;/n&gt;&lt;goto quick="1" id="60093" mapid="6" flagpoint="1" taskid="1611" /&gt;
&lt;/p&gt;</t>
  </si>
  <si>
    <t>&lt;p&gt;
&lt;n&gt;  和&lt;/n&gt;
 &lt;n&gt; &lt;/n&gt;&lt;goto quick="1" id="60093" mapid="6" flagpoint="1" taskid="1622" /&gt;
&lt;n&gt;玩比大小&lt;/n&gt;
&lt;/p&gt;</t>
  </si>
  <si>
    <t>&lt;p&gt;
&lt;n&gt;  回复： &lt;/n&gt;
 &lt;n&gt; &lt;/n&gt;&lt;goto quick="1" id="60000" mapid="3" flagpoint="1" taskid="1625" /&gt;
&lt;/p&gt;</t>
  </si>
  <si>
    <t>&lt;p&gt;
&lt;n&gt;  回复： &lt;/n&gt;
 &lt;n&gt; &lt;/n&gt;&lt;goto quick="1" id="60099" mapid="6" flagpoint="1" taskid="1621" /&gt;
&lt;/p&gt;</t>
  </si>
  <si>
    <t>&lt;p&gt;
&lt;n&gt;  回复： &lt;/n&gt;
 &lt;n&gt; &lt;/n&gt;&lt;goto quick="1" id="60155" mapid="6" flagpoint="1" taskid="1630" /&gt;
&lt;/p&gt;</t>
  </si>
  <si>
    <t>&lt;p&gt;
&lt;n&gt;  消灭40个&lt;/n&gt;
 &lt;n&gt; &lt;/n&gt;&lt;goto quick="1" id="10077" mapid="6" flagpoint="1" taskid="1631" /&gt;
&lt;/p&gt;</t>
  </si>
  <si>
    <t>&lt;p&gt;
&lt;n&gt;  消灭&lt;/n&gt;
 &lt;n&gt; &lt;/n&gt;&lt;goto quick="1" id="10155" mapid="6" flagpoint="1" taskid="1632" /&gt;
&lt;/p&gt;</t>
  </si>
  <si>
    <t>&lt;p&gt;
&lt;n&gt;  回复： &lt;/n&gt;
 &lt;n&gt; &lt;/n&gt;&lt;goto quick="1" id="60155" mapid="6" flagpoint="1" taskid="1633" /&gt;
&lt;/p&gt;</t>
  </si>
  <si>
    <t>&lt;p&gt;
&lt;n&gt;  回复： &lt;/n&gt;
 &lt;n&gt; &lt;/n&gt;&lt;goto quick="1" id="60159" mapid="6" flagpoint="1" taskid="1641" /&gt;
&lt;/p&gt;</t>
  </si>
  <si>
    <t>&lt;p&gt;
&lt;n&gt;  消灭45个&lt;/n&gt;
 &lt;n&gt; &lt;/n&gt;&lt;goto quick="1" id="10078" mapid="6" flagpoint="1" taskid="1651" /&gt;
&lt;/p&gt;</t>
  </si>
  <si>
    <t>&lt;p&gt;
&lt;n&gt;  消灭&lt;/n&gt;
 &lt;n&gt; &lt;/n&gt;&lt;goto quick="1" id="10156" mapid="6" flagpoint="1" taskid="1652" /&gt;
&lt;/p&gt;</t>
  </si>
  <si>
    <t>&lt;p&gt;
&lt;n&gt;  回复： &lt;/n&gt;
 &lt;n&gt; &lt;/n&gt;&lt;goto quick="1" id="113" mapid="3" flagpoint="1" taskid="1653" /&gt;
&lt;/p&gt;</t>
  </si>
  <si>
    <t>&lt;p&gt;
&lt;n&gt;  回复： &lt;/n&gt;
 &lt;n&gt; &lt;/n&gt;&lt;goto quick="1" id="60155" mapid="6" flagpoint="1" taskid="1661" /&gt;
&lt;/p&gt;</t>
  </si>
  <si>
    <t>&lt;p&gt;
&lt;n&gt;  回复： &lt;/n&gt;
 &lt;n&gt; &lt;/n&gt;&lt;goto quick="1" id="60159" mapid="6" flagpoint="1" taskid="1671" /&gt;
&lt;/p&gt;</t>
  </si>
  <si>
    <t>&lt;p&gt;
&lt;n&gt;  消灭45只&lt;/n&gt;
 &lt;n&gt; &lt;/n&gt;&lt;goto quick="1" id="10079" mapid="6" flagpoint="1" taskid="1681" /&gt;
&lt;/p&gt;</t>
  </si>
  <si>
    <t>&lt;p&gt;
&lt;n&gt;  消灭&lt;/n&gt;
 &lt;n&gt; &lt;/n&gt;&lt;goto quick="1" id="10157" mapid="6" flagpoint="1" taskid="1682" /&gt;
&lt;/p&gt;</t>
  </si>
  <si>
    <t>&lt;p&gt;
&lt;n&gt;  回复： &lt;/n&gt;
 &lt;n&gt; &lt;/n&gt;&lt;goto quick="1" id="60093" mapid="6" flagpoint="1" taskid="1683" /&gt;
&lt;/p&gt;</t>
  </si>
  <si>
    <t>&lt;p&gt;
&lt;n&gt;  回复： &lt;/n&gt;
 &lt;n&gt; &lt;/n&gt;&lt;goto quick="1" id="60098" mapid="6" flagpoint="1" taskid="1721" /&gt;
&lt;/p&gt;</t>
  </si>
  <si>
    <t>&lt;p&gt;
&lt;n&gt;  消灭45个&lt;/n&gt;
&lt;n&gt; &lt;/n&gt;&lt;goto quick="1" id="10080" mapid="6" flagpoint="1" taskid="1731" /&gt;
&lt;/p&gt;</t>
  </si>
  <si>
    <t>&lt;p&gt;
&lt;n&gt;  消灭&lt;/n&gt;
&lt;n&gt; &lt;/n&gt;&lt;goto quick="1" id="10158" mapid="6" flagpoint="1" taskid="1732" /&gt;
&lt;/p&gt;</t>
  </si>
  <si>
    <t>&lt;p&gt;
&lt;n&gt;  回复： &lt;/n&gt;
 &lt;n&gt; &lt;/n&gt;&lt;goto quick="1" id="60099" mapid="6" flagpoint="1" taskid="1741" /&gt;
&lt;/p&gt;</t>
  </si>
  <si>
    <t>&lt;p&gt;
&lt;n&gt;  消灭45个&lt;/n&gt;
 &lt;n&gt; &lt;/n&gt;&lt;goto quick="1" id="10081" mapid="6" flagpoint="1" taskid="1745" /&gt;
&lt;/p&gt;</t>
  </si>
  <si>
    <t>&lt;p&gt;
&lt;n&gt;  消灭&lt;/n&gt;
 &lt;n&gt; &lt;/n&gt;&lt;goto quick="1" id="10159" mapid="6" flagpoint="1" taskid="1746" /&gt;
&lt;/p&gt;</t>
  </si>
  <si>
    <t>&lt;p&gt;
&lt;n&gt;  消灭45个&lt;/n&gt;
 &lt;n&gt; &lt;/n&gt;&lt;goto quick="1" id="10088" mapid="6" flagpoint="1" taskid="1747" /&gt;
&lt;/p&gt;</t>
  </si>
  <si>
    <t>&lt;p&gt;
&lt;n&gt;  消灭&lt;/n&gt;
 &lt;n&gt; &lt;/n&gt;&lt;goto quick="1" id="10160" mapid="6" flagpoint="1" taskid="1748" /&gt;
&lt;/p&gt;</t>
  </si>
  <si>
    <t>&lt;p&gt;
&lt;n&gt;  回复： &lt;/n&gt;
 &lt;n&gt; &lt;/n&gt;&lt;goto quick="1" id="60157" mapid="6" flagpoint="1" taskid="1749" /&gt;
&lt;/p&gt;</t>
  </si>
  <si>
    <t>&lt;p&gt;
&lt;n&gt;  回复： &lt;/n&gt;
 &lt;n&gt; &lt;/n&gt;&lt;goto quick="1" id="60158" mapid="6" flagpoint="1" taskid="1750" /&gt;
&lt;/p&gt;</t>
  </si>
  <si>
    <t>&lt;p&gt;
&lt;n&gt;  消灭30个&lt;/n&gt;
 &lt;n&gt; &lt;/n&gt;&lt;goto quick="1" id="10126" mapid="6" flagpoint="1" taskid="1751" /&gt;
&lt;/p&gt;</t>
  </si>
  <si>
    <t>&lt;p&gt;
&lt;n&gt;  消灭&lt;/n&gt;
 &lt;n&gt; &lt;/n&gt;&lt;goto quick="1" id="10161" mapid="6" flagpoint="1" taskid="1752" /&gt;
&lt;/p&gt;</t>
  </si>
  <si>
    <t>&lt;p&gt;
&lt;n&gt;  回复：&lt;/n&gt;
 &lt;n&gt; &lt;/n&gt;&lt;goto quick="1" id="60098" mapid="6" flagpoint="1" taskid="1758" /&gt;
&lt;/p&gt;</t>
  </si>
  <si>
    <t>&lt;p&gt;
&lt;n&gt;  回复：&lt;/n&gt;
 &lt;n&gt; &lt;/n&gt;&lt;goto quick="1" id="60158" mapid="6" flagpoint="1" taskid="1759"/&gt;&lt;/p&gt;</t>
  </si>
  <si>
    <t>&lt;p&gt;
&lt;n&gt;  消灭50个&lt;/n&gt;
 &lt;n&gt; &lt;/n&gt;&lt;goto quick="1" id="10127" mapid="6" flagpoint="1" taskid="1753" /&gt;
&lt;/p&gt;</t>
  </si>
  <si>
    <t>&lt;p&gt;
&lt;n&gt;  消灭&lt;/n&gt;
 &lt;n&gt; &lt;/n&gt;&lt;goto quick="1" id="10162" mapid="6" flagpoint="1" taskid="1754" /&gt;
&lt;/p&gt;</t>
  </si>
  <si>
    <t>&lt;p&gt;
&lt;n&gt;  和&lt;/n&gt;
 &lt;n&gt; &lt;/n&gt;&lt;goto quick="1" id="60158" mapid="6" flagpoint="1" taskid="1755" /&gt;
 &lt;n&gt;玩一把牌&lt;/n&gt;
&lt;/p&gt;</t>
  </si>
  <si>
    <t>&lt;p&gt;
&lt;n&gt;  回复： &lt;/n&gt;
 &lt;n&gt; &lt;/n&gt;&lt;goto quick="1" id="60157" mapid="6" flagpoint="1" taskid="1756" /&gt;
&lt;/p&gt;</t>
  </si>
  <si>
    <t>&lt;p&gt;
&lt;n&gt;  消灭50个&lt;/n&gt;
 &lt;n&gt; &lt;/n&gt;&lt;goto quick="1" id="10128" mapid="6" flagpoint="1" taskid="1757" /&gt;
&lt;/p&gt;</t>
  </si>
  <si>
    <t>&lt;p&gt;
&lt;n&gt;  回复： &lt;/n&gt;
 &lt;n&gt; &lt;/n&gt;&lt;goto quick="1" id="60000" mapid="3" flagpoint="1" taskid="1762" /&gt;
&lt;/p&gt;</t>
  </si>
  <si>
    <t>&lt;p&gt;
&lt;n&gt;  回复： &lt;/n&gt;
 &lt;n&gt; &lt;/n&gt;&lt;goto quick="1" id="113" mapid="3" flagpoint="1" taskid="1763" /&gt;
&lt;/p&gt;</t>
  </si>
  <si>
    <t>{{27110,3,2,0,"1-1"}}</t>
    <phoneticPr fontId="6" type="noConversion"/>
  </si>
  <si>
    <t>body(   相当完美。Blankline()   Hot(请确认背包中有6个空余格子，可领取道具奖励)。)</t>
    <phoneticPr fontId="6" type="noConversion"/>
  </si>
  <si>
    <t>title(（13级）宠物跟随)
body(hotyellow_3(任务进程:)newline()
   hot(   召唤)出宠物，完成后去找goto(60146,100)。
blankline()hotyellow_3(任务描述:)newline()  
   按hot("G"键)可以查看当前宠物状态。选中需召唤的宠物，并点击召唤按钮，可让选中宠物处于召唤状态。当宠物hot(快乐度)高时，能够给予玩家更多的加成。使用hot(“宠物零食”)，可恢复宠物的快乐度。)</t>
    <phoneticPr fontId="6" type="noConversion"/>
  </si>
  <si>
    <t>{{26112,0,1,0,"1-1"}}</t>
    <phoneticPr fontId="6" type="noConversion"/>
  </si>
  <si>
    <t>{{31483,3,1,0,"1-1"}}</t>
    <phoneticPr fontId="6" type="noConversion"/>
  </si>
  <si>
    <t>title(（55级）职业套装)
body(hotyellow_3(任务进程:)newline()
   当人物达到hot(55级)时，可以在goto(60000,3)处领取hot(职业套装礼包)，使用后可直接获取本职业对应的时装。
blankline()   按hot(“Esc”)键，在hot(“功能设置”)中勾选hot(“时装优先”)就可以看到时装效果了。)</t>
    <phoneticPr fontId="6" type="noConversion"/>
  </si>
  <si>
    <t>[53级]打孔镶嵌问答</t>
    <phoneticPr fontId="6" type="noConversion"/>
  </si>
  <si>
    <t>[53级]属性精炼问答</t>
    <phoneticPr fontId="6" type="noConversion"/>
  </si>
  <si>
    <t>[28级]完成收集材料</t>
    <phoneticPr fontId="6" type="noConversion"/>
  </si>
  <si>
    <t>[28级]完成收集材料</t>
    <phoneticPr fontId="6" type="noConversion"/>
  </si>
  <si>
    <t>title(（47级）猎熊者（困难）)
body(hotyellow_3(任务进程:)newline()
   杀死200只goto(10079,6)，向goto(60159,6)回复。
blankline()hotyellow_3(任务描述:)newline() 
   要赢得赏金猎人的认可，需要强大的实力。若是你能消灭200头hot(重装巨熊)，你将会获得赏金猎人的友谊。)</t>
    <phoneticPr fontId="6" type="noConversion"/>
  </si>
  <si>
    <t>title(（56级）蝎子王（困难）)
body(hotyellow_3(任务进程:)newline()
   消灭200只goto(10091,7),去找goto(60088,7)。blankline()hotyellow_3(任务描述:)newline() 
   只有在困境中杀出一条血路的人，才是最强的王者。身为沙漠强者的托奇，希望能够见证你强悍的实力。消灭200只hot(沙漠红蝎)，展示自己的实力！)</t>
    <phoneticPr fontId="6" type="noConversion"/>
  </si>
  <si>
    <t>title(（59级）猎人王（困难）)
body(hotyellow_3(任务进程:)newline()
   杀死300goto(10094,7)，去找goto(60088,7)。
blankline()hotyellow_3(任务描述:)newline() 
   你可以选择成为配角，成为英雄脚下的基石。你也可以选择成为主角，成为基石上的英雄。在300名猎人中脱颖而出，你将会成为猎人中的王者。)</t>
    <phoneticPr fontId="6" type="noConversion"/>
  </si>
  <si>
    <t>title(（43级）征服巨象（困难）)
body(hotyellow_3(任务进程:)newline()
   杀死100只goto(10065,3)去找goto(60152,3)。
blankline()hotyellow_3(任务描述:)newline() 
   在传说中，只有能够征服巨象的人，才能够在这片光荣的土地上传承最强的战斗本能。如今当年的草原族群已经凋零。但如果你能够征服足够多的巨象，你将能够得到我的友谊。)</t>
    <phoneticPr fontId="6" type="noConversion"/>
  </si>
  <si>
    <t>body(   你可以选择成为配角，成为英雄脚下的基石。你也可以选择成为主角，成为基石上的英雄。在300名猎人中脱颖而出，你将会成为猎人中的王者。)</t>
    <phoneticPr fontId="6" type="noConversion"/>
  </si>
  <si>
    <t>body(space()space()space()player()，只有在困境中杀出一条血路的人，才是最强的王者。身为沙漠强者的托奇，希望能够见证你强悍的实力。消灭200只hot(沙漠红蝎)，展示自己的实力！)</t>
    <phoneticPr fontId="6" type="noConversion"/>
  </si>
  <si>
    <t>body(   要赢得赏金猎人的认可，需要强大的实力。若是你能消灭200头hot(重装巨熊)，你将会获得赏金猎人的友谊。)</t>
    <phoneticPr fontId="6" type="noConversion"/>
  </si>
  <si>
    <t>消灭200只重装巨熊</t>
    <phoneticPr fontId="6" type="noConversion"/>
  </si>
  <si>
    <t>杀死200只沙漠红蝎</t>
    <phoneticPr fontId="6" type="noConversion"/>
  </si>
  <si>
    <t>杀死300名沙漠猎手</t>
    <phoneticPr fontId="6" type="noConversion"/>
  </si>
  <si>
    <t>杀死100个震地象</t>
    <phoneticPr fontId="6" type="noConversion"/>
  </si>
  <si>
    <t>&lt;p&gt;
&lt;n&gt;  消灭200只&lt;/n&gt;
 &lt;n&gt; &lt;/n&gt;&lt;goto id="10091" mapid="7" flagpoint="1" taskid="15012" /&gt;
&lt;/p&gt;</t>
    <phoneticPr fontId="6" type="noConversion"/>
  </si>
  <si>
    <t>姬焚岚</t>
    <phoneticPr fontId="6" type="noConversion"/>
  </si>
  <si>
    <t>&lt;p&gt;
&lt;n&gt;  接取：&lt;/n&gt;
 &lt;n&gt; &lt;/n&gt;&lt;goto id="60028" mapid="2" flagpoint="1" taskid="3641" /&gt;
&lt;/p&gt;</t>
    <phoneticPr fontId="6" type="noConversion"/>
  </si>
  <si>
    <t>&lt;p&gt;
&lt;n&gt;  护送物资车至燃烧平原&lt;/n&gt;
&lt;newline/&gt;
&lt;n&gt;  回复：&lt;/n&gt;
 &lt;n&gt; &lt;/n&gt;&lt;goto id="60052" mapid="4" flagpoint="1" taskid="3811" /&gt;
&lt;/p&gt;</t>
    <phoneticPr fontId="6" type="noConversion"/>
  </si>
  <si>
    <t>[5级]命运的轨迹</t>
    <phoneticPr fontId="6" type="noConversion"/>
  </si>
  <si>
    <t>title(（40级）命运的轨迹)
body(hotyellow_3(任务进程:)newline()
   提升自身等级至45级，与goto(60099,6)对话。blankline()hotyellow_3(任务描述:)newline() 
   hot3(   你降临之时，大贤者从星辰间得到暗示。“在光与暗之间，在天与地之间，在人与魔之间，在现在与未来之间。你的选择，将会改变一切。”你将会用自己的行动，去寻找即将发生的事。))</t>
    <phoneticPr fontId="6" type="noConversion"/>
  </si>
  <si>
    <t>等级达到45级与赏金猎人安德森对话</t>
    <phoneticPr fontId="6" type="noConversion"/>
  </si>
  <si>
    <t>[60级]今天我要嫁给你！</t>
    <phoneticPr fontId="6" type="noConversion"/>
  </si>
  <si>
    <t>&lt;p&gt;
&lt;n&gt;  回复：&lt;/n&gt;
 &lt;n&gt; &lt;/n&gt;&lt;goto id="232" mapid="3" flagpoint="1" taskid="30246"/&gt;
&lt;/p&gt;</t>
  </si>
  <si>
    <t>title(（节日）乐曲的陶醉（每日3次）)
body(hotyellow_3(任务进程:)newline()
   找到一份《爱的礼赞》歌曲，回复goto(232,3)。newline()   hot(《爱的礼赞》歌曲是男性玩家节日任务获得道具，可向男性玩家索取)
blankline()hotyellow_3(任务描述:)newline()  
   player()，我又想听歌了，你可以给我找一本《爱的礼赞》来么。（向男性玩家索取）)</t>
  </si>
  <si>
    <t>&lt;p&gt;
&lt;n&gt;  回复：&lt;/n&gt;
 &lt;n&gt; &lt;/n&gt;&lt;goto id="232" mapid="3" flagpoint="1" taskid="30248"/&gt;
&lt;/p&gt;</t>
  </si>
  <si>
    <t>&lt;p&gt;
&lt;n&gt;  回复：&lt;/n&gt;
 &lt;n&gt; &lt;/n&gt;&lt;goto id="233" mapid="3" flagpoint="1" taskid="30245"/&gt;
&lt;/p&gt;</t>
  </si>
  <si>
    <t>title(（节日）曲奇的美味（每日3次）)
body(hotyellow_3(任务进程:)newline()
   找到一份“爱的恋曲”曲奇，回复goto(233,3)。newline()   hot(“爱的恋曲”曲奇是女性玩家节日任务获得道具，可向女性玩家索取)
blankline()hotyellow_3(任务描述:)newline()  
   player()，我又想吃曲奇了，你能不能去给我找到一份“爱的恋曲”曲奇来。（向女性玩家索取）)</t>
  </si>
  <si>
    <t>&lt;p&gt;
&lt;n&gt;  回复：&lt;/n&gt;
 &lt;n&gt; &lt;/n&gt;&lt;goto id="233" mapid="3" flagpoint="1" taskid="30247"/&gt;
&lt;/p&gt;</t>
  </si>
  <si>
    <t>title(（21级）皇后恋曲)
body(hotyellow_3(任务进程:)newline()
space()space()space()替hot(埃尔加)向goto(232,3)表达谢意。
blankline()hotyellow_3(任务描述:)newline()
space()space()space()player(),这是我刚刚创作的曲子《爱的礼赞》，请你将它献给我的爱妻爱丽丝，请你帮我转告她，因为她的存在，我才会有对音乐创作的热情和信心！
 )</t>
  </si>
  <si>
    <t>title(（21级）爱的礼赞)
body(hotyellow_3(任务进程:)newline()
space()space()space()替hot(爱丽丝)向goto(233,3)传递鼓励的曲奇饼干。
blankline()hotyellow_3(任务描述:)newline()
space()space()space()player(),我的新婚丈夫hot(埃尔加)陷入了音乐创作的低谷，尽管不眠不休的思考，但是还是找不到灵感，作出的曲也差强人意，他也渐渐颓靡消沉，我真的非常担心，为了给他鼓励，这是我亲手制作了一盒曲奇饼干，材料用了hot(埃尔加)平时最喜欢的牛油、巧克力、加仑子等，请你帮我带给埃尔加，给他加油！
 )</t>
  </si>
  <si>
    <t>&lt;p&gt;
&lt;n&gt;  回复：&lt;/n&gt;
 &lt;n&gt; &lt;/n&gt;&lt;goto id="233" mapid="3" flagpoint="1" taskid="15197"/&gt;
&lt;/p&gt;</t>
  </si>
  <si>
    <t>"这是我小小的要求，请给我一颗幸运宝石。"</t>
    <phoneticPr fontId="6" type="noConversion"/>
  </si>
  <si>
    <t>"26101-0-1"</t>
    <phoneticPr fontId="6" type="noConversion"/>
  </si>
  <si>
    <t>"26101-0-1"</t>
    <phoneticPr fontId="6" type="noConversion"/>
  </si>
  <si>
    <t>&lt;p&gt;
&lt;n&gt;  回复：&lt;/n&gt;
 &lt;n&gt; &lt;/n&gt;&lt;goto id="198" mapid="3" flagpoint="1" taskid="15195"/&gt;
&lt;/p&gt;</t>
    <phoneticPr fontId="6" type="noConversion"/>
  </si>
  <si>
    <t>&lt;p&gt;
&lt;n&gt;  通过：&lt;/n&gt;&lt;goto id="198" mapid="3" flagpoint="1" taskid="15196"/&gt;
 &lt;n&gt;跳转到婚姻殿堂找&lt;/n&gt;&lt;goto id="199" mapid="156" flagpoint="1" /&gt;
&lt;/p&gt;</t>
    <phoneticPr fontId="6" type="noConversion"/>
  </si>
  <si>
    <t>&lt;p&gt;
&lt;n&gt;  通过：&lt;/n&gt;&lt;goto id="198" mapid="3" flagpoint="1" taskid="15196"/&gt;
 &lt;n&gt;跳转到婚姻殿堂找&lt;/n&gt;&lt;goto id="199" mapid="156" flagpoint="1" /&gt;
&lt;/p&gt;</t>
    <phoneticPr fontId="6" type="noConversion"/>
  </si>
  <si>
    <t>&lt;p&gt;
&lt;n&gt;  去&lt;/n&gt;
 &lt;goto quick="1" id="60186" mapid="3"  flagpoint="1" taskid="1514" /&gt;
&lt;n&gt;收集解毒草&lt;/n&gt;
&lt;/p&gt;</t>
    <phoneticPr fontId="6" type="noConversion"/>
  </si>
  <si>
    <t>title(（节日）爱的恋曲（可重复）)
body(hotyellow_3(任务进程:)newline()
   寻找1颗幸运宝石后回复goto(233,3)。newline()   hot(打精英怪、赠点商城可购买幸运宝石)
blankline()hotyellow_3(任务描述:)newline()  
   player()，520纪念日到了，我想收集hot(1颗幸运宝石)给爱丽丝制作一个宝石手链，如果你能给我一颗幸运宝石的话，我愿意作曲作为回赠。)</t>
    <phoneticPr fontId="6" type="noConversion"/>
  </si>
  <si>
    <t>body(space()space()space()player()，520纪念日到了，我想收集hot(1颗幸运宝石)给爱丽丝制作一个宝石手链，如果你能给我一颗幸运宝石的话，我愿意作曲作为回赠。)</t>
    <phoneticPr fontId="6" type="noConversion"/>
  </si>
  <si>
    <t>title(（节日）爱的曲奇（可重复）)
body(hotyellow_3(任务进程:)newline()
   寻找1颗幸运宝石后回复goto(232,3)。newline()   hot(打精英怪、赠点商城可购买幸运宝石)
blankline()hotyellow_3(任务描述:)newline()  
   player()，520纪念日到了，我想收集hot(1颗幸运宝石)给埃尔加制作一个宝石胸章，如果你能给我一颗幸运宝石的话，我愿意把曲奇作为回赠。)</t>
  </si>
  <si>
    <t>body(space()space()space()player(),520纪念日到了，我想收集hot(1颗幸运宝石)给埃尔加制作一个宝石胸章，如果你能给我一颗幸运宝石的话，我愿意把曲奇作为回赠。
 )</t>
  </si>
  <si>
    <t>战争部长</t>
    <phoneticPr fontId="6" type="noConversion"/>
  </si>
  <si>
    <t>&lt;p&gt;
&lt;n&gt;  回复： &lt;/n&gt;
 &lt;n&gt; &lt;/n&gt;&lt;goto id="197" mapid="7" flagpoint="1" taskid="12330" /&gt;
&lt;/p&gt;</t>
    <phoneticPr fontId="6" type="noConversion"/>
  </si>
  <si>
    <t>{{31486,0,3,0,"1-1,3-172800"}}</t>
    <phoneticPr fontId="6" type="noConversion"/>
  </si>
  <si>
    <t>[80]了解骑魂</t>
    <phoneticPr fontId="6" type="noConversion"/>
  </si>
  <si>
    <t>君士坦丁</t>
    <phoneticPr fontId="6" type="noConversion"/>
  </si>
  <si>
    <t>body(   player()。你的坐骑似乎已经拥有了某种力量，苍穹狼帝将拥有资质属性，使用骑魂道具可以使狼帝变为嗜血的魔兽。)</t>
    <phoneticPr fontId="6" type="noConversion"/>
  </si>
  <si>
    <t>body(   苍穹狼帝的资质已经觉醒，你是唯一能驾驭之人。)</t>
    <phoneticPr fontId="6" type="noConversion"/>
  </si>
  <si>
    <t>"你需要了解狼帝"</t>
    <phoneticPr fontId="6" type="noConversion"/>
  </si>
  <si>
    <t>title(（80级）了解骑魂)
body(hotyellow_3(任务进程:)newline()
   与goto(215,5)对话，可以获得骑魂道具。
blankline()hotyellow_3(任务描述:)newline() 
   player()。你的坐骑似乎已经拥有了某种力量，苍穹狼帝将拥有资质属性，使用骑魂道具可以使狼帝变为嗜血的魔兽。通过骑魂道具可以将苍穹狼帝融合到更高的属性。)</t>
    <phoneticPr fontId="6" type="noConversion"/>
  </si>
  <si>
    <t>&lt;p&gt;
&lt;n&gt;  回复： &lt;/n&gt;
 &lt;n&gt; &lt;/n&gt;&lt;goto id="215" mapid="5" flagpoint="1" taskid="12340" /&gt;
&lt;/p&gt;</t>
    <phoneticPr fontId="6" type="noConversion"/>
  </si>
  <si>
    <t>{{53001,3,1,0,"1-1"},{53001,3,1,0,"1-1"}}</t>
    <phoneticPr fontId="6" type="noConversion"/>
  </si>
  <si>
    <t>君士坦丁</t>
    <phoneticPr fontId="6" type="noConversion"/>
  </si>
  <si>
    <t>水芊</t>
    <phoneticPr fontId="6" type="noConversion"/>
  </si>
  <si>
    <t>body(   我发现你身上有着一股力量，你可以找hot(水芊)帮你了解这股力量！)</t>
    <phoneticPr fontId="6" type="noConversion"/>
  </si>
  <si>
    <t>body(   你的羽翼力量已经觉醒，让我来帮你开启它。)</t>
    <phoneticPr fontId="6" type="noConversion"/>
  </si>
  <si>
    <t xml:space="preserve">  你需要耐心地等待我的引导。</t>
    <phoneticPr fontId="6" type="noConversion"/>
  </si>
  <si>
    <t>寻找水芊</t>
    <phoneticPr fontId="6" type="noConversion"/>
  </si>
  <si>
    <t>&lt;p&gt;
&lt;n&gt;  回复：&lt;/n&gt;
 &lt;n&gt; &lt;/n&gt;&lt;goto id="60823" mapid="5" flagpoint="1" taskid="15206"/&gt;
&lt;/p&gt;</t>
    <phoneticPr fontId="6" type="noConversion"/>
  </si>
  <si>
    <t>火烨</t>
    <phoneticPr fontId="6" type="noConversion"/>
  </si>
  <si>
    <t>沙狂</t>
    <phoneticPr fontId="6" type="noConversion"/>
  </si>
  <si>
    <t>寻找2个妖莲魔芋</t>
    <phoneticPr fontId="6" type="noConversion"/>
  </si>
  <si>
    <t xml:space="preserve">  你需要给我2个妖莲魔芋。</t>
    <phoneticPr fontId="6" type="noConversion"/>
  </si>
  <si>
    <t>body(   我会帮助你开启羽翼的品质，但需要为它注入力量，请帮我寻找2个妖莲魔芋吧。)</t>
    <phoneticPr fontId="6" type="noConversion"/>
  </si>
  <si>
    <t>body(   你的羽翼已经渐渐完成了。)</t>
    <phoneticPr fontId="6" type="noConversion"/>
  </si>
  <si>
    <t>body(   你的羽翼已经渐渐丰满，我再为它注入灵性，使它可以与你心灵相通！麻烦你帮我杀死20个魔化狂狮，用来祭祀羽翼吧。)</t>
    <phoneticPr fontId="6" type="noConversion"/>
  </si>
  <si>
    <t>body(   你的羽翼已经可以与你产生共鸣了，这是关键的一步。)</t>
    <phoneticPr fontId="6" type="noConversion"/>
  </si>
  <si>
    <t xml:space="preserve">  你需要完成祭祀，请杀死20个魔化狂狮。</t>
    <phoneticPr fontId="6" type="noConversion"/>
  </si>
  <si>
    <t>杀死20个魔化狂狮</t>
    <phoneticPr fontId="6" type="noConversion"/>
  </si>
  <si>
    <t>天魔</t>
    <phoneticPr fontId="6" type="noConversion"/>
  </si>
  <si>
    <t>body(   回答我的3个问题，可以帮助你了解你羽翼的特质！)</t>
    <phoneticPr fontId="6" type="noConversion"/>
  </si>
  <si>
    <t>body(   你已经初步了解了你的羽翼，不过，还有一点小小的考验等待着你。)</t>
    <phoneticPr fontId="6" type="noConversion"/>
  </si>
  <si>
    <t xml:space="preserve">  你需要回答我的问题。</t>
    <phoneticPr fontId="6" type="noConversion"/>
  </si>
  <si>
    <t>&lt;p&gt;
&lt;n&gt;  回复：&lt;/n&gt;
 &lt;n&gt; &lt;/n&gt;&lt;goto id="60826" mapid="5" flagpoint="1" taskid="15209"/&gt;
&lt;/p&gt;</t>
  </si>
  <si>
    <t>花魇</t>
    <phoneticPr fontId="6" type="noConversion"/>
  </si>
  <si>
    <t>body(   你的羽翼尚缺魂性，你可以向花魇寻求帮助！)</t>
    <phoneticPr fontId="6" type="noConversion"/>
  </si>
  <si>
    <t>body(   魂性是羽翼上升到高级阶段的属性，代表你与羽翼成长度的提高。)</t>
    <phoneticPr fontId="6" type="noConversion"/>
  </si>
  <si>
    <t>回答问题</t>
    <phoneticPr fontId="6" type="noConversion"/>
  </si>
  <si>
    <t>寻找花魇</t>
    <phoneticPr fontId="6" type="noConversion"/>
  </si>
  <si>
    <t>&lt;p&gt;
&lt;n&gt;  回复：&lt;/n&gt;
 &lt;n&gt; &lt;/n&gt;&lt;goto id="60827" mapid="5" flagpoint="1" taskid="15210"/&gt;
&lt;/p&gt;</t>
    <phoneticPr fontId="6" type="noConversion"/>
  </si>
  <si>
    <t>风蜻</t>
    <phoneticPr fontId="6" type="noConversion"/>
  </si>
  <si>
    <t>body(   这是最关键的一部，你需要封印hot(贪食魔)完成羽翼的升华，这将是帮助你的羽翼可以成长到最终形态。)</t>
    <phoneticPr fontId="6" type="noConversion"/>
  </si>
  <si>
    <t>body(   你的羽翼已经丰满，去找君士坦丁挑选一个形态吧。)</t>
    <phoneticPr fontId="6" type="noConversion"/>
  </si>
  <si>
    <t xml:space="preserve">  你需要封印贪食魔。</t>
    <phoneticPr fontId="6" type="noConversion"/>
  </si>
  <si>
    <t>杀死贪食魔</t>
    <phoneticPr fontId="6" type="noConversion"/>
  </si>
  <si>
    <t>body(   现在还等什么，赶快找君士坦丁为羽翼选择一个形态吧！)</t>
    <phoneticPr fontId="6" type="noConversion"/>
  </si>
  <si>
    <t>body(   你可以从以下形态中为你的羽翼选择一种，如果将来不满意，还可以通过幻化改变羽翼形态。)</t>
    <phoneticPr fontId="6" type="noConversion"/>
  </si>
  <si>
    <t xml:space="preserve">  你是个强大的人，你的羽翼也将因你而外那个大。</t>
    <phoneticPr fontId="6" type="noConversion"/>
  </si>
  <si>
    <t>回复君士坦丁</t>
    <phoneticPr fontId="6" type="noConversion"/>
  </si>
  <si>
    <t>&lt;p&gt;
&lt;n&gt;  回复：&lt;/n&gt;
 &lt;n&gt; &lt;/n&gt;&lt;goto id="60559" mapid="5" flagpoint="1" taskid="15212"/&gt;
&lt;/p&gt;</t>
    <phoneticPr fontId="6" type="noConversion"/>
  </si>
  <si>
    <t>[61级]羽翼的召唤（一）</t>
  </si>
  <si>
    <t>[61级]羽翼的召唤（二）</t>
  </si>
  <si>
    <t>[61级]羽翼的召唤（三）</t>
  </si>
  <si>
    <t>[61级]羽翼的召唤（四）</t>
  </si>
  <si>
    <t>[61级]羽翼的召唤（五）</t>
  </si>
  <si>
    <t>[61级]羽翼的召唤（六）</t>
  </si>
  <si>
    <t>[61级]羽翼的召唤（七）</t>
  </si>
  <si>
    <t>[61级]丢失的羽翼</t>
    <phoneticPr fontId="6" type="noConversion"/>
  </si>
  <si>
    <t>body(   你如果丢失了羽翼，可以再次封印hot(贪食魔)重新获得一个羽翼。)</t>
    <phoneticPr fontId="6" type="noConversion"/>
  </si>
  <si>
    <t>body(   再次为羽翼挑选一个形态吧，这次一定要珍稀哦。)</t>
    <phoneticPr fontId="6" type="noConversion"/>
  </si>
  <si>
    <t>{{27125,3,2,0,"1-1"}}</t>
    <phoneticPr fontId="6" type="noConversion"/>
  </si>
  <si>
    <t>&lt;p&gt;
&lt;n&gt;  收集2个妖莲魔芋&lt;/n&gt;&lt;newline/&gt;
 &lt;n&gt; 回复：&lt;/n&gt;&lt;goto id="60824" mapid="5" flagpoint="1" taskid="15207"/&gt;
&lt;/p&gt;</t>
    <phoneticPr fontId="6" type="noConversion"/>
  </si>
  <si>
    <t>[日常]线下情缘</t>
    <phoneticPr fontId="6" type="noConversion"/>
  </si>
  <si>
    <t>赫肯</t>
    <phoneticPr fontId="6" type="noConversion"/>
  </si>
  <si>
    <t>[日常]藏宝峡谷</t>
    <phoneticPr fontId="6" type="noConversion"/>
  </si>
  <si>
    <t>[12级]寻求辅导员的帮助</t>
    <phoneticPr fontId="6" type="noConversion"/>
  </si>
  <si>
    <t>你也需要一位辅导员啊</t>
    <phoneticPr fontId="6" type="noConversion"/>
  </si>
  <si>
    <t>点击聊天界面寻求一位辅导员的帮助</t>
    <phoneticPr fontId="6" type="noConversion"/>
  </si>
  <si>
    <t>&lt;p&gt;
&lt;n&gt;  寻找： &lt;/n&gt;&lt;goto id="60049" mapid="3" flagpoint="1" taskid="30275" /&gt;&lt;newline/&gt;
 &lt;n&gt; 完成一次精力值兑换&lt;/n&gt;
&lt;/p&gt;</t>
    <phoneticPr fontId="6" type="noConversion"/>
  </si>
  <si>
    <t>[34级]狩猎火焰守卫</t>
    <phoneticPr fontId="6" type="noConversion"/>
  </si>
  <si>
    <t>[34级]狩猎火焰守卫[白]</t>
    <phoneticPr fontId="6" type="noConversion"/>
  </si>
  <si>
    <t>[34级]狩猎火焰守卫[蓝]</t>
    <phoneticPr fontId="6" type="noConversion"/>
  </si>
  <si>
    <t>[34级]狩猎火焰守卫[黄]</t>
    <phoneticPr fontId="6" type="noConversion"/>
  </si>
  <si>
    <t>[34级]狩猎火焰守卫[绿]</t>
    <phoneticPr fontId="6" type="noConversion"/>
  </si>
  <si>
    <t>[34级]狩猎火焰守卫[紫]</t>
    <phoneticPr fontId="6" type="noConversion"/>
  </si>
  <si>
    <t>[33级]狩猎蜘蛛幼虫</t>
    <phoneticPr fontId="6" type="noConversion"/>
  </si>
  <si>
    <t>[33级]狩猎蜘蛛幼虫[白]</t>
    <phoneticPr fontId="6" type="noConversion"/>
  </si>
  <si>
    <t>[33级]狩猎蜘蛛幼虫[蓝]</t>
    <phoneticPr fontId="6" type="noConversion"/>
  </si>
  <si>
    <t>[33级]狩猎蜘蛛幼虫[黄]</t>
    <phoneticPr fontId="6" type="noConversion"/>
  </si>
  <si>
    <t>[33级]狩猎蜘蛛幼虫[绿]</t>
    <phoneticPr fontId="6" type="noConversion"/>
  </si>
  <si>
    <t>[33级]狩猎蜘蛛幼虫[紫]</t>
    <phoneticPr fontId="6" type="noConversion"/>
  </si>
  <si>
    <t>安妮</t>
    <phoneticPr fontId="6" type="noConversion"/>
  </si>
  <si>
    <t>[活动]特殊的信使</t>
    <phoneticPr fontId="6" type="noConversion"/>
  </si>
  <si>
    <t>body(   我需要一份敌国的城防资料，请你帮我冒险去敌国偷取，不胜感激)</t>
    <phoneticPr fontId="6" type="noConversion"/>
  </si>
  <si>
    <t>body(   原来敌国购买了新式的城防碉堡，看来国战时要注意了。)</t>
    <phoneticPr fontId="6" type="noConversion"/>
  </si>
  <si>
    <t>[活动]战争的荣耀</t>
    <phoneticPr fontId="6" type="noConversion"/>
  </si>
  <si>
    <t>body(   作为强者，拥有护国徽章，可以更好的保护这个国家需要帮助的人！作为骑士，铭记你挥剑的意义！)</t>
    <phoneticPr fontId="6" type="noConversion"/>
  </si>
  <si>
    <t>body(   荣耀属于王者！安妮公主向你行剑礼！)</t>
    <phoneticPr fontId="6" type="noConversion"/>
  </si>
  <si>
    <t>body(   希望珍惜这可贵的缘分，记得多去寻找些有缘人)</t>
    <phoneticPr fontId="6" type="noConversion"/>
  </si>
  <si>
    <t>[活动]绯色的婚纱</t>
    <phoneticPr fontId="6" type="noConversion"/>
  </si>
  <si>
    <t>"你还没有进入梦境副本哦"</t>
    <phoneticPr fontId="6" type="noConversion"/>
  </si>
  <si>
    <t>"国战，是国与国之间的战争，活动期间，国战勋章兑换经验双倍！,请收集1枚国战勋章给我"</t>
    <phoneticPr fontId="6" type="noConversion"/>
  </si>
  <si>
    <t>body(   每当回忆起那天，我的心情都十分悲伤，但这是我坚强的理由，我相信王子一定会平安无事。)</t>
    <phoneticPr fontId="6" type="noConversion"/>
  </si>
  <si>
    <t>[活动]不战不成王</t>
    <phoneticPr fontId="6" type="noConversion"/>
  </si>
  <si>
    <t>title([活动]不战不成王)
body(hotyellow_3(任务进程:)newline()
   国战，是国与国之间的战争，参与国战击杀敌国玩家可以获得国战勋章，国战勋章可在goto(134,5)处兑换经验，hot(活动期间，国战勋章兑换经验双倍！)。请收集1枚国战勋章后，回复goto(301,5)
blankline()hotyellow_3(任务描述:)newline() space()space()space()player()在这个战乱的年代，谁也无法逃脱战争的命运，无数的勇者也从这片杀戮的战场中走向了王的宝座。举起剑，战斗吧！我会与你并肩作战，无论是为了开拓国家的疆土或者捍卫帝国的尊严！)</t>
    <phoneticPr fontId="6" type="noConversion"/>
  </si>
  <si>
    <t>[活动]穿越战火的爱（每日2次）</t>
    <phoneticPr fontId="6" type="noConversion"/>
  </si>
  <si>
    <t>body(   欠人情果然是件很麻烦的事啊！newline() space()space()space()hot(小提示：装备后缀“物”主物理防御，可以克制战士、枪手；装备后缀“魔”主魔法防御，可以克制魔刃、魔炮、牧师、术士))</t>
    <phoneticPr fontId="6" type="noConversion"/>
  </si>
  <si>
    <t>body(   又消灭一个，一切都会好起来的！newline() space()space()space()hot(小提示：装备后缀“物”主物理防御，可以克制战士、枪手；装备后缀“魔”主魔法防御，可以克制魔刃、魔炮、牧师、术士))</t>
    <phoneticPr fontId="6" type="noConversion"/>
  </si>
  <si>
    <t>body(   还好您就在附近。这种任务可不是我一个骑士团成员就能够完成的。newline() space()space()space()hot(小提示：装备后缀“物”主物理防御，可以克制战士、枪手；装备后缀“魔”主魔法防御，可以克制魔刃、魔炮、牧师、术士))</t>
    <phoneticPr fontId="6" type="noConversion"/>
  </si>
  <si>
    <t>body(   看来魔族已经按耐不住了。newline() space()space()space()hot(小提示：装备后缀“物”主物理防御，可以克制战士、枪手；装备后缀“魔”主魔法防御，可以克制魔刃、魔炮、牧师、术士))</t>
    <phoneticPr fontId="6" type="noConversion"/>
  </si>
  <si>
    <t>body(   总算是有个交代吧！我还年轻，我还是处男，我还想娶个胖婆娘！newline() space()space()space()hot(小提示：装备后缀“物”主物理防御，可以克制战士、枪手；装备后缀“魔”主魔法防御，可以克制魔刃、魔炮、牧师、术士))</t>
    <phoneticPr fontId="6" type="noConversion"/>
  </si>
  <si>
    <t>title(（28级）药材收集)
body(hotyellow_3(任务进程:)newline()
   去神秘矿洞采集2棵hot(一级药材)交给goto(60049,2)。)</t>
    <phoneticPr fontId="6" type="noConversion"/>
  </si>
  <si>
    <t>我需要2棵一级药材，我可以带你进入矿洞。</t>
    <phoneticPr fontId="6" type="noConversion"/>
  </si>
  <si>
    <t>我需要2个一级矿石，我可以带你进入矿洞。</t>
    <phoneticPr fontId="6" type="noConversion"/>
  </si>
  <si>
    <t>body(   我就知道你一定会来。啥都不用说了，东西我都给你预备好了。这次我需要2个hot(一级矿石)。)</t>
    <phoneticPr fontId="6" type="noConversion"/>
  </si>
  <si>
    <t>title(（28级）矿石收集)
body(hotyellow_3(任务进程:)newline()
   去神秘矿洞采集2个hot(一级矿石)交给goto(60049,2)。)</t>
    <phoneticPr fontId="6" type="noConversion"/>
  </si>
  <si>
    <t>[活动]五色新丝缠角粽</t>
    <phoneticPr fontId="6" type="noConversion"/>
  </si>
  <si>
    <t>body(      亲爱player()，祝您端午节快乐，奥丁神的祝福将常伴与你)</t>
    <phoneticPr fontId="6" type="noConversion"/>
  </si>
  <si>
    <t>"您还没有使用1次猎命师手札"</t>
    <phoneticPr fontId="6" type="noConversion"/>
  </si>
  <si>
    <t>茉瑞莎</t>
    <phoneticPr fontId="6" type="noConversion"/>
  </si>
  <si>
    <t>"您还没有使用1次舞票"</t>
    <phoneticPr fontId="6" type="noConversion"/>
  </si>
  <si>
    <t>{{27201,3,2,0,"1-1"},{27211,0,2,0,"1-1"},{27221,0,2,0,"1-1"},{27231,0,2,0,"1-1"},{27241,0,2,0,"1-1"}}</t>
    <phoneticPr fontId="6" type="noConversion"/>
  </si>
  <si>
    <t>"需要杀死1只贪财小妖"</t>
    <phoneticPr fontId="6" type="noConversion"/>
  </si>
  <si>
    <t>"需要完成1次情报任务"</t>
  </si>
  <si>
    <t>"44004-0-1"</t>
    <phoneticPr fontId="9" type="noConversion"/>
  </si>
  <si>
    <t>"收集1个水果完成任务"</t>
    <phoneticPr fontId="6" type="noConversion"/>
  </si>
  <si>
    <t>[活动]菖蒲酒美清尊共</t>
    <phoneticPr fontId="6" type="noConversion"/>
  </si>
  <si>
    <t>{{31515,3,5,0,"1-1"}}</t>
    <phoneticPr fontId="6" type="noConversion"/>
  </si>
  <si>
    <t>title([活动]菖蒲酒美清尊共)
body(hotyellow_3(任务进程:)newline()
   雄黄酒，驱邪避暑，右键使用增加阅历，回复goto(305,3)。
blankline()hotyellow_3(任务描述:)newline() 
space()space()space()活动期间，hot(41级)以上玩家每天上线可以在goto(305,3)处免费领取5壶雄黄酒，品美酒后可以获得大量角色经验。
酒量不好的人，喝1壶后需要休息一阵，酒量好的人，可以请goto(305,3)换成1坛的，一口气把它们喝光哦！
）
)</t>
    <phoneticPr fontId="6" type="noConversion"/>
  </si>
  <si>
    <t>body(   雄黄酒虽好，可不要贪杯哦)</t>
    <phoneticPr fontId="6" type="noConversion"/>
  </si>
  <si>
    <t>"喝酒要注意身体啊"</t>
    <phoneticPr fontId="6" type="noConversion"/>
  </si>
  <si>
    <t>body(      亲爱player()，祝您端午节游戏愉快)</t>
    <phoneticPr fontId="6" type="noConversion"/>
  </si>
  <si>
    <t>"祝您端午节游戏愉快"</t>
    <phoneticPr fontId="6" type="noConversion"/>
  </si>
  <si>
    <t>"27112-1-5"</t>
    <phoneticPr fontId="9" type="noConversion"/>
  </si>
  <si>
    <t>"27113-1-5"</t>
    <phoneticPr fontId="9" type="noConversion"/>
  </si>
  <si>
    <t>"您需要给我5个药材(1级)"</t>
    <phoneticPr fontId="6" type="noConversion"/>
  </si>
  <si>
    <t>"您需要给我5个矿石(1级)"</t>
    <phoneticPr fontId="6" type="noConversion"/>
  </si>
  <si>
    <t>body(      亲爱player()，请使用一次hot(猎命师手札)，我将送给你一份端午节礼物！newline() 
space()space()space()hot(未接取时，您可以通过下方“刷新任务”按钮更换任务，每次消耗1个命运骰子))</t>
    <phoneticPr fontId="6" type="noConversion"/>
  </si>
  <si>
    <t>body(      亲爱player()，请使用一次hot(舞会门票)，我将送给你一份端午节礼物！newline() 
space()space()space()hot(未接取时，您可以通过下方“刷新任务”按钮更换任务，每次消耗1个命运骰子))</t>
    <phoneticPr fontId="6" type="noConversion"/>
  </si>
  <si>
    <t>body(      亲爱player()，请收集5个hot(矿石(1级))，我将送给你一份端午节礼物！newline() 
space()space()space()hot(未接取时，您可以通过下方“刷新任务”按钮更换任务，每次消耗1个命运骰子))</t>
    <phoneticPr fontId="6" type="noConversion"/>
  </si>
  <si>
    <t>body(      亲爱player()，请收集5个hot(药材(1级))，我将送给你一份端午节礼物！newline() 
space()space()space()hot(未接取时，您可以通过下方“刷新任务”按钮更换任务，每次消耗1个命运骰子))</t>
    <phoneticPr fontId="6" type="noConversion"/>
  </si>
  <si>
    <t>body(      亲爱player()，收集1个hot(水果)，我将送给你一份端午节礼物！newline() 
space()space()space()hot(未接取时，您可以通过下方“刷新任务”按钮更换任务，每次消耗1个命运骰子))</t>
    <phoneticPr fontId="6" type="noConversion"/>
  </si>
  <si>
    <t>body(      亲爱player()，杀死1只hot(贪财小妖)，我将送给你一份端午节礼物！newline() 
space()space()space()hot(未接取时，您可以通过下方“刷新任务”按钮更换任务，每次消耗1个命运骰子))</t>
    <phoneticPr fontId="6" type="noConversion"/>
  </si>
  <si>
    <t>body(      亲爱player()，完成1次hot(情报)，我将送给你一份端午节礼物！newline() 
space()space()space()hot(未接取时，您可以通过下方“刷新任务”按钮更换任务，每次消耗1个命运骰子))</t>
    <phoneticPr fontId="6" type="noConversion"/>
  </si>
  <si>
    <t>title(（日常）击杀暗影卡哈拉)
body(
hotyellow_3
(任务进程:)
newline()   大议长君士坦丁委托你前去击杀goto(20012,8)，中立boss每天13:00开始每1小时刷新1次，有几率出现暗影卡哈拉。完成任务后可获得hot(1份不绑定的狼帝封印碎片。)newline()   （该任务每天可完成3次，组队击杀所有队员可完成任务）
newline()   完成任务找goto(60559,5)交付。
blankline()
hotyellow_3(任务描述:)
newline() space()space()space()player()，你想要80级坐骑的hot(苍穹狼帝)吗？需要20枚hot(狼帝封印碎片)才可到坐骑商人兑换1头。
)</t>
    <phoneticPr fontId="6" type="noConversion"/>
  </si>
  <si>
    <t>[80级]奇遇苍穹狼帝（一）</t>
    <phoneticPr fontId="6" type="noConversion"/>
  </si>
  <si>
    <t>迷失的狼帝</t>
    <phoneticPr fontId="6" type="noConversion"/>
  </si>
  <si>
    <t>我的主人死了</t>
    <phoneticPr fontId="6" type="noConversion"/>
  </si>
  <si>
    <t>body(   好心人你来了，我的主人死了，求你帮帮忙吧。)</t>
    <phoneticPr fontId="6" type="noConversion"/>
  </si>
  <si>
    <t>body(   player()，初来乍到，你一定有很多不懂的地方吧，不要紧，我推荐你寻找一位hot(辅导员)来帮助你顺利成长，为你解决所有难题。等你到达60级后，记得给对方评价哦。)</t>
    <phoneticPr fontId="6" type="noConversion"/>
  </si>
  <si>
    <t>title(（12级）寻找辅导员的帮助)
body(hotyellow_3(任务进程:)newline()
   打开聊天界面hot(回车键“Enter”)，在聊天界面中的点击标签中的hot(辅导员)，会出现一个申请框，点击确定即可申请一位辅导员的帮助，他将为你解答游戏中的疑难问题。（申请辅导员需绑定手机，绑定手机可点击背包“B”键在右上角的资产保护中设置）
blankline()hotyellow_3(任务描述:)newline() 
   player()，初来乍到，你一定有很多不懂的地方吧，不要紧，我推荐你寻找一位hot(辅导员)来帮助你顺利成长，为你解决所有难题。等你到达60级后，记得给对方评价哦。)</t>
    <phoneticPr fontId="6" type="noConversion"/>
  </si>
  <si>
    <t>[80级]奇遇苍穹狼帝（二）</t>
    <phoneticPr fontId="6" type="noConversion"/>
  </si>
  <si>
    <t>祷告死去的战士</t>
    <phoneticPr fontId="6" type="noConversion"/>
  </si>
  <si>
    <t>请帮我祷告我的主人，使他的亡魂得以安息</t>
    <phoneticPr fontId="6" type="noConversion"/>
  </si>
  <si>
    <t>[80级]奇遇苍穹狼帝（三）</t>
    <phoneticPr fontId="6" type="noConversion"/>
  </si>
  <si>
    <t>狼帝之王</t>
    <phoneticPr fontId="6" type="noConversion"/>
  </si>
  <si>
    <t>护送狼帝回家</t>
    <phoneticPr fontId="6" type="noConversion"/>
  </si>
  <si>
    <t>还没有找到部落</t>
    <phoneticPr fontId="6" type="noConversion"/>
  </si>
  <si>
    <t>body(   尊敬的player()，多谢你，我的主人才得以安息，我也没有继续呆在这里的理由了，请求你带我回家吧，我的家在蛮牛之土，是我们狼帝的部落。)</t>
    <phoneticPr fontId="6" type="noConversion"/>
  </si>
  <si>
    <t>[80级]奇遇苍穹狼帝（四）</t>
    <phoneticPr fontId="6" type="noConversion"/>
  </si>
  <si>
    <t>body(   你已经得到了我的认可，苍穹狼帝部落将会响应你的召唤，我们将与你并肩而战！)</t>
    <phoneticPr fontId="6" type="noConversion"/>
  </si>
  <si>
    <t>&lt;p&gt;
&lt;n&gt;   需&lt;/n&gt;&lt;dialog taskid="15215" text="绑定手机" hotkeyid="60" tabid="3-2"/&gt;&lt;newline/&gt;
&lt;n&gt;  通过&lt;/n&gt;&lt;dialog taskid="15215" text="聊天界面" hotkeyid="40" /&gt;&lt;newline/&gt;
&lt;n&gt;  点击标签“辅导员”申请&lt;/n&gt;&lt;newline/&gt;
&lt;n&gt;  回复：&lt;/n&gt;&lt;goto quick="1" id="60019" mapid="2" flagpoint="1" taskid="15215"/&gt;&lt;/p&gt;</t>
    <phoneticPr fontId="6" type="noConversion"/>
  </si>
  <si>
    <t>body(   伟大player()，感谢你带回我的孩子，但是一匹骄傲的狼，需要一个更骄傲的人才能驯服它，我们承认强者，蔑视弱者，如果你能将我们的敌人-地狱龙的头颅拿来，它就会承认你，并愿意与你并肩而战！)</t>
  </si>
  <si>
    <t>[80级]奇遇苍穹狼帝（五）</t>
    <phoneticPr fontId="6" type="noConversion"/>
  </si>
  <si>
    <t>带着狼帝去见君士坦丁</t>
    <phoneticPr fontId="6" type="noConversion"/>
  </si>
  <si>
    <t>苍穹狼帝是一匹骄傲的坐骑</t>
    <phoneticPr fontId="6" type="noConversion"/>
  </si>
  <si>
    <t>body(   真想不到你竟然可以得到苍穹狼帝的认可，从此以后，你将迈入高阶战士的领域，拿起你手中的武器，骑着你忠诚的战骑，继续守护王国吧。)</t>
    <phoneticPr fontId="6" type="noConversion"/>
  </si>
  <si>
    <t>body(   亲爱的player()，我把我的孩子托付与你，请你好好照顾它，请替我回复hot(君士坦丁),我在你身上，看到了他当年的影子。)</t>
    <phoneticPr fontId="6" type="noConversion"/>
  </si>
  <si>
    <t>去东边搜寻一下吧</t>
    <phoneticPr fontId="6" type="noConversion"/>
  </si>
  <si>
    <t>[副本]人生转轮</t>
    <phoneticPr fontId="6" type="noConversion"/>
  </si>
  <si>
    <t>&lt;p&gt;
&lt;n&gt;  回复NPC：&lt;/n&gt;
 &lt;n&gt; &lt;/n&gt;&lt;goto id="235" mapid="118" flagpoint="1" taskid="30085" /&gt;
&lt;/p&gt;</t>
    <phoneticPr fontId="6" type="noConversion"/>
  </si>
  <si>
    <t>{{50020,3,1,1,"1-1"}}</t>
    <phoneticPr fontId="6" type="noConversion"/>
  </si>
  <si>
    <t>[80级]复活苍穹狼帝（重复）</t>
    <phoneticPr fontId="6" type="noConversion"/>
  </si>
  <si>
    <t>body(   伟大player()，如果你的狼帝因为某种原因失去了，我可以帮助你重新找回)</t>
    <phoneticPr fontId="6" type="noConversion"/>
  </si>
  <si>
    <t>body(   这次可要珍稀你的战友哦...)</t>
    <phoneticPr fontId="6" type="noConversion"/>
  </si>
  <si>
    <t>body(   英勇的战士，感谢你带回我的孩子，我代表狼族部落向你致敬！)</t>
    <phoneticPr fontId="6" type="noConversion"/>
  </si>
  <si>
    <t>body(   亲爱的player()，我收到了一封神谕，东方既白，有你的命运之轮在等待，你将遇到一位你终生的可靠伙伴，不过路途有些艰险，一定要注意安全。)</t>
    <phoneticPr fontId="6" type="noConversion"/>
  </si>
  <si>
    <t>body(   十分感谢你，主人终于得到安息了，我也可以放心地离开了。)</t>
    <phoneticPr fontId="6" type="noConversion"/>
  </si>
  <si>
    <t>你要将地狱龙的头颅带来给我，再次证明你的实力。</t>
    <phoneticPr fontId="6" type="noConversion"/>
  </si>
  <si>
    <t>威慑地狱龙</t>
    <phoneticPr fontId="6" type="noConversion"/>
  </si>
  <si>
    <t>你要将地狱龙的头颅带来给我，证明你是合格的战士。</t>
    <phoneticPr fontId="6" type="noConversion"/>
  </si>
  <si>
    <t>威慑地狱龙</t>
    <phoneticPr fontId="6" type="noConversion"/>
  </si>
  <si>
    <t>原90级上限任务</t>
    <phoneticPr fontId="6" type="noConversion"/>
  </si>
  <si>
    <t>原90级上限任务</t>
    <phoneticPr fontId="6" type="noConversion"/>
  </si>
  <si>
    <t>{{35016,0,1,0,"1-1"}}</t>
    <phoneticPr fontId="6" type="noConversion"/>
  </si>
  <si>
    <t>{{35006,0,1,0,"1-1"}}</t>
    <phoneticPr fontId="6" type="noConversion"/>
  </si>
  <si>
    <t>{{29050,0,3,0,"1-1"}}</t>
    <phoneticPr fontId="6" type="noConversion"/>
  </si>
  <si>
    <t>{{35010,0,1,2,"1-1"}}</t>
    <phoneticPr fontId="6" type="noConversion"/>
  </si>
  <si>
    <t>[42级]装备改造</t>
    <phoneticPr fontId="6" type="noConversion"/>
  </si>
  <si>
    <t>[52级]改造商的账单</t>
    <phoneticPr fontId="6" type="noConversion"/>
  </si>
  <si>
    <t>[52级]我明白了</t>
    <phoneticPr fontId="6" type="noConversion"/>
  </si>
  <si>
    <t>[52级]装备升星</t>
    <phoneticPr fontId="6" type="noConversion"/>
  </si>
  <si>
    <t>title(（52级）改造商的账单)
body(hotyellow_3(任务进程:)newline()
   去和goto(60064,3)好好沟通一下吧。有你在，我的威慑一定能起到作用！
   blankline()hotyellow_3(任务描述:)newline() 
   铁甲虫集团的CEO在魔族入侵前，就一直拖欠着大笔改善武器的经费……blankline()space()space()space()player()，请替我和拉斐尔好好沟通下，告诉他其实我也不是什么好人，有钱就尽早还了吧！)</t>
    <phoneticPr fontId="6" type="noConversion"/>
  </si>
  <si>
    <t>title(（52级）我明白了)
body(hotyellow_3(任务进程:)newline()
   请转告goto(113,3)欠的钱我会马上补上的。
   blankline()hotyellow_3(任务描述:)newline() 
   英雄，您请回吧！你的意思我已经彻底了解了，拖欠改造商人的钱我会立刻转给他的……)</t>
    <phoneticPr fontId="6" type="noConversion"/>
  </si>
  <si>
    <t>[53级]装备升星</t>
    <phoneticPr fontId="6" type="noConversion"/>
  </si>
  <si>
    <t>卡尔</t>
    <phoneticPr fontId="6" type="noConversion"/>
  </si>
  <si>
    <t>[53级]升级宝石</t>
    <phoneticPr fontId="6" type="noConversion"/>
  </si>
  <si>
    <t>备用任务未启用</t>
    <phoneticPr fontId="6" type="noConversion"/>
  </si>
  <si>
    <t>body(   亲爱的player()，我是hot(卡尔),我们王国美丽的公主安妮总是忧伤地让人心碎，虽然表面上安妮强作着坚强，但是每晚她总重复着一个同样情景的梦，每次都从梦中哭醒，究竟是个怎样的梦？进入梦境，看看那天发生的事吧。或许，你就是能拯救公主的勇士...)</t>
    <phoneticPr fontId="6" type="noConversion"/>
  </si>
  <si>
    <t>body(   每当回忆起那天，公主的心情都十分悲伤，但是这是公主坚强的理由，也是王国战士守卫王国的动力！我相信王子一定会平安无事。也希望你及早救回王子，拯救公主！)</t>
    <phoneticPr fontId="6" type="noConversion"/>
  </si>
  <si>
    <t>&lt;p&gt;
&lt;n&gt;  击杀不少于150只符合等级的怪物&lt;/n&gt;
&lt;/p&gt;</t>
  </si>
  <si>
    <t>title(团训练任务—争分夺秒)
body(hotyellow_3(任务进程:)newline()
space()space()space()player()，在15分钟内，击杀hot(不少于150只等级高于$MINLEVEL级的怪物)。newline()记住：击杀怪物数量越多，获得经验奖励就越高！
blankline()hot2(完成情况:)newline()
已杀死怪物数量:var(20003,12)/150
blankline()hotyellow_3(任务描述:)newline() 
   基地里种植的作物总被怪物糟蹋，真让人无法忍受。尽可能多地干掉这些讨厌的家伙，你的回报将和你的付出成正比！blankline()
hot(小提示：团等级越高，该任务的经验加成越高。)blankline()
hot2(团训练任务完成后,将自动获得奖励))</t>
  </si>
  <si>
    <t>&lt;p&gt;
&lt;n&gt;  回复NPC：&lt;/n&gt;
 &lt;n&gt; &lt;/n&gt;&lt;goto id="307" mapid="160" flagpoint="1" taskid="30086" /&gt;
&lt;/p&gt;</t>
    <phoneticPr fontId="6" type="noConversion"/>
  </si>
  <si>
    <t>[副本]组队争夺战</t>
    <phoneticPr fontId="6" type="noConversion"/>
  </si>
  <si>
    <t>&lt;p&gt;
&lt;n&gt;  回复NPC：&lt;/n&gt;
 &lt;n&gt; &lt;/n&gt;&lt;goto id="311" mapid="160" flagpoint="1" taskid="30087" /&gt;
&lt;/p&gt;</t>
    <phoneticPr fontId="6" type="noConversion"/>
  </si>
  <si>
    <t>body(   555555555~~我可怜的喵喵，慈悲的光明神啊，千万别让它有什么闪失。喵喵只留下这么一张告别信，但是我看不懂啊……hot(据说和与你不一样的人，合并一下信件就能看懂了。))</t>
    <phoneticPr fontId="6" type="noConversion"/>
  </si>
  <si>
    <t>[随机]浪漫情缘</t>
    <phoneticPr fontId="6" type="noConversion"/>
  </si>
  <si>
    <t>蓝</t>
    <phoneticPr fontId="6" type="noConversion"/>
  </si>
  <si>
    <t>黄</t>
    <phoneticPr fontId="6" type="noConversion"/>
  </si>
  <si>
    <t>绿</t>
    <phoneticPr fontId="6" type="noConversion"/>
  </si>
  <si>
    <t>绿</t>
    <phoneticPr fontId="6" type="noConversion"/>
  </si>
  <si>
    <t>[随机]戎装公主</t>
  </si>
  <si>
    <t>&lt;p&gt;&lt;n&gt;   喵喵的告别信需要翻译了之后才能看懂。&lt;/n&gt;&lt;newline/&gt;&lt;n&gt;   1.你可以与异性合并后翻译。（选中目标，右键在角色菜单中选择邀请合并）&lt;/n&gt;&lt;newline/&gt;&lt;n&gt;   2.找不到异性合并，可在宠物商人处直接翻译。&lt;/n&gt;&lt;newline/&gt;&lt;n&gt;   异性合并翻译，获得的奖励高于在宠物商人处直接翻译。&lt;/n&gt;&lt;/p&gt;</t>
    <phoneticPr fontId="6" type="noConversion"/>
  </si>
  <si>
    <t>艾伦</t>
    <phoneticPr fontId="6" type="noConversion"/>
  </si>
  <si>
    <t>body(  又一个来冒险的年轻人吗？进去后可别哭着鼻子逃出来啊！)</t>
    <phoneticPr fontId="6" type="noConversion"/>
  </si>
  <si>
    <t>通过副本中转站前往争夺型副本去寻找诺奇</t>
    <phoneticPr fontId="6" type="noConversion"/>
  </si>
  <si>
    <t>&lt;p&gt;
&lt;n&gt;  副本区：&lt;/n&gt;&lt;goto quick="1" id="160" mapid="3" flagpoint="1"/&gt;&lt;newline/&gt;&lt;n&gt;  选择争夺副本中转站&lt;/n&gt;&lt;newline/&gt;&lt;n&gt;  与&lt;/n&gt;&lt;goto id="307" mapid="160" flagpoint="1" taskid="16004" /&gt;&lt;newline/&gt;&lt;n&gt;对话&lt;/n&gt;
&lt;/p&gt;</t>
    <phoneticPr fontId="6" type="noConversion"/>
  </si>
  <si>
    <t>[奥运]永不熄灭的火焰</t>
    <phoneticPr fontId="6" type="noConversion"/>
  </si>
  <si>
    <t>大卫</t>
    <phoneticPr fontId="6" type="noConversion"/>
  </si>
  <si>
    <t>body(      亲爱player()，祝您奥运游戏愉快)</t>
  </si>
  <si>
    <t>"祝您奥运游戏愉快"</t>
  </si>
  <si>
    <t>body(      亲爱player()，请使用一次hot(猎命师手札)，我将送给你一份奥运礼物！newline() 
space()space()space()hot(未接取时，您可以通过下方“刷新任务”按钮更换任务，每次消耗1个命运骰子))</t>
  </si>
  <si>
    <t>body(      亲爱player()，祝您奥运快乐，奥丁神的祝福将常伴与你)</t>
  </si>
  <si>
    <t>body(      亲爱player()，请使用一次hot(舞会门票)，我将送给你一份奥运礼物！newline() 
space()space()space()hot(未接取时，您可以通过下方“刷新任务”按钮更换任务，每次消耗1个命运骰子))</t>
  </si>
  <si>
    <t>body(      亲爱player()，请收集5个hot(矿石(1级))，我将送给你一份奥运礼物！newline() 
space()space()space()hot(未接取时，您可以通过下方“刷新任务”按钮更换任务，每次消耗1个命运骰子))</t>
  </si>
  <si>
    <t>body(      亲爱player()，请收集5个hot(药材(1级))，我将送给你一份奥运礼物！newline() 
space()space()space()hot(未接取时，您可以通过下方“刷新任务”按钮更换任务，每次消耗1个命运骰子))</t>
  </si>
  <si>
    <t>body(      亲爱player()，收集1个hot(水果)，我将送给你一份奥运礼物！newline() 
space()space()space()hot(未接取时，您可以通过下方“刷新任务”按钮更换任务，每次消耗1个命运骰子))</t>
  </si>
  <si>
    <t>body(      亲爱player()，杀死1只hot(贪财小妖)，我将送给你一份奥运礼物！newline() 
space()space()space()hot(未接取时，您可以通过下方“刷新任务”按钮更换任务，每次消耗1个命运骰子))</t>
  </si>
  <si>
    <t>body(      亲爱player()，完成1次hot(情报)，我将送给你一份奥运礼物！newline() 
space()space()space()hot(未接取时，您可以通过下方“刷新任务”按钮更换任务，每次消耗1个命运骰子))</t>
  </si>
  <si>
    <t>大卫</t>
    <phoneticPr fontId="6" type="noConversion"/>
  </si>
  <si>
    <t>[奥运]点燃心中之火</t>
    <phoneticPr fontId="6" type="noConversion"/>
  </si>
  <si>
    <t>title([奥运]点燃心中之火)
body(hotyellow_3(任务进程:)newline()
   奥丁大陆的足球赛即将开始了，各位球员需要加强基础训练啊！活动期间，hot(51级)以上的角色可以在hot(大卫)处接受运球训练，成功将5球踢入指定区域后即可完成任务。newline()
   请打开技能界面（快捷键“V”），选择“生存”分页，学习“踢球”技能；使用该技能将场中的5个足球踢入球门即可
blankline()hotyellow_3(任务描述:)newline() space()space()space()player()某种称之为“足球”的运动从异域流传入奥丁大陆，逐渐发展起来，王决定即将举办足球大赛，各位准“球员”需加强训练啦……)"</t>
    <phoneticPr fontId="6" type="noConversion"/>
  </si>
  <si>
    <t>body(   某种称之为“足球”的运动从异域流传入奥丁大陆，逐渐发展起来，王决定即将举办足球大赛，各位准“球员”需加强训练啦……)</t>
    <phoneticPr fontId="6" type="noConversion"/>
  </si>
  <si>
    <t>body(   好球法，要加强每天的训练，备战即将举办的足球大赛。)</t>
    <phoneticPr fontId="6" type="noConversion"/>
  </si>
  <si>
    <t>"你的球技还有待精进啊，似乎还没有将5球踢入球门"</t>
    <phoneticPr fontId="6" type="noConversion"/>
  </si>
  <si>
    <t>幸运女神系列任务</t>
    <phoneticPr fontId="6" type="noConversion"/>
  </si>
  <si>
    <t>幸运女神的厚爱</t>
  </si>
  <si>
    <t>幸运女神的垂青</t>
  </si>
  <si>
    <t>幸运女神的关注</t>
  </si>
  <si>
    <t>幸运女神的注视</t>
  </si>
  <si>
    <t>幸运女神的凝望</t>
  </si>
  <si>
    <t>[社交]国频发言1次</t>
    <phoneticPr fontId="6" type="noConversion"/>
  </si>
  <si>
    <t>国家频道发言1次</t>
  </si>
  <si>
    <t>[社交]好友对话1次</t>
    <phoneticPr fontId="6" type="noConversion"/>
  </si>
  <si>
    <t>[社交]送收1朵玫瑰</t>
    <phoneticPr fontId="6" type="noConversion"/>
  </si>
  <si>
    <t>[社交]一条微博</t>
    <phoneticPr fontId="6" type="noConversion"/>
  </si>
  <si>
    <t>[日常]完成1次情缘任务</t>
    <phoneticPr fontId="6" type="noConversion"/>
  </si>
  <si>
    <t>[日常]在线30分钟</t>
    <phoneticPr fontId="6" type="noConversion"/>
  </si>
  <si>
    <t>在线30分钟</t>
  </si>
  <si>
    <t>[道具]使用3张舞票</t>
    <phoneticPr fontId="6" type="noConversion"/>
  </si>
  <si>
    <t>使用3张舞票</t>
  </si>
  <si>
    <t>[道具]使用5张舞票</t>
    <phoneticPr fontId="6" type="noConversion"/>
  </si>
  <si>
    <t>使用5张舞票</t>
  </si>
  <si>
    <t>[道具]拍卖行购买道具</t>
    <phoneticPr fontId="6" type="noConversion"/>
  </si>
  <si>
    <t>从拍卖行购买道具</t>
  </si>
  <si>
    <t>[战斗]出国1次</t>
    <phoneticPr fontId="6" type="noConversion"/>
  </si>
  <si>
    <t>[战斗]击杀一名外国人</t>
    <phoneticPr fontId="6" type="noConversion"/>
  </si>
  <si>
    <t>客户端判定任务</t>
    <phoneticPr fontId="6" type="noConversion"/>
  </si>
  <si>
    <t>客户端判定任务</t>
    <phoneticPr fontId="10" type="noConversion"/>
  </si>
  <si>
    <t>0表示由服务器判定；1表示客户端判定</t>
    <phoneticPr fontId="10" type="noConversion"/>
  </si>
  <si>
    <t>女神1</t>
  </si>
  <si>
    <t>女神1</t>
    <phoneticPr fontId="6" type="noConversion"/>
  </si>
  <si>
    <t>女神2</t>
  </si>
  <si>
    <t>女神3</t>
  </si>
  <si>
    <t>女神4</t>
  </si>
  <si>
    <t>女神2</t>
    <phoneticPr fontId="6" type="noConversion"/>
  </si>
  <si>
    <t>女神3</t>
    <phoneticPr fontId="6" type="noConversion"/>
  </si>
  <si>
    <t>女神4</t>
    <phoneticPr fontId="6" type="noConversion"/>
  </si>
  <si>
    <t>与任意好友对话1次</t>
    <phoneticPr fontId="6" type="noConversion"/>
  </si>
  <si>
    <t>[社交]送出1朵玫瑰</t>
    <phoneticPr fontId="6" type="noConversion"/>
  </si>
  <si>
    <t>送出1朵玫瑰</t>
    <phoneticPr fontId="6" type="noConversion"/>
  </si>
  <si>
    <t>通过新浪微博发一条微博</t>
    <phoneticPr fontId="6" type="noConversion"/>
  </si>
  <si>
    <t>接取1次英灵寻宝</t>
  </si>
  <si>
    <t>接取1次英灵寻宝</t>
    <phoneticPr fontId="6" type="noConversion"/>
  </si>
  <si>
    <t>离开本国地图1次</t>
    <phoneticPr fontId="6" type="noConversion"/>
  </si>
  <si>
    <t>击杀任意一名外国人</t>
  </si>
  <si>
    <t>击杀任意一名外国人</t>
    <phoneticPr fontId="6" type="noConversion"/>
  </si>
  <si>
    <t>[日常]接取1次英灵寻宝</t>
    <phoneticPr fontId="6" type="noConversion"/>
  </si>
  <si>
    <t>[道具]完成3次猎命师手札</t>
    <phoneticPr fontId="6" type="noConversion"/>
  </si>
  <si>
    <t>[道具]完成3次猎命师手札</t>
    <phoneticPr fontId="6" type="noConversion"/>
  </si>
  <si>
    <t>使用3张猎命师手札任务</t>
  </si>
  <si>
    <t>幸运女神的注视</t>
    <phoneticPr fontId="6" type="noConversion"/>
  </si>
  <si>
    <t>女神5</t>
  </si>
  <si>
    <t>女神5</t>
    <phoneticPr fontId="6" type="noConversion"/>
  </si>
  <si>
    <t>女神5</t>
    <phoneticPr fontId="6" type="noConversion"/>
  </si>
  <si>
    <t>body(space()space()space()player()，狭路相逢是勇士的战争，1对1的战场可以检验你的实力，注意观察对手，有针对性的作战，将获得奇效。)</t>
    <phoneticPr fontId="6" type="noConversion"/>
  </si>
  <si>
    <t>body(   恭喜你，无论胜负都仅是检验实力的一个过程，如果你实力有所提升，通过这里，你可以检验你的成果。)</t>
    <phoneticPr fontId="6" type="noConversion"/>
  </si>
  <si>
    <t>尚未参与一次1对1模拟战</t>
    <phoneticPr fontId="6" type="noConversion"/>
  </si>
  <si>
    <t>参与1对1模拟战，每日可获得声望奖励</t>
    <phoneticPr fontId="6" type="noConversion"/>
  </si>
  <si>
    <t>&lt;p&gt;
&lt;n&gt;  通过：&lt;/n&gt;&lt;dialog taskid="15223" text="1对1模拟战" hotkeyid="99"/&gt;&lt;newline/&gt;&lt;n&gt;发起一次挑战，可获得声望奖励&lt;/n&gt;
&lt;/p&gt;</t>
    <phoneticPr fontId="6" type="noConversion"/>
  </si>
  <si>
    <t>[51级]单人竞技</t>
    <phoneticPr fontId="6" type="noConversion"/>
  </si>
  <si>
    <t>title(（51级）单人竞技)
body(hotyellow_3(任务进程:)newline()
   参与一次1对1模拟战，完成之后去见goto(60000,3)。（模拟战无论胜负都可获得可观的声望）
blankline()hotyellow_3(任务描述:)newline() 
space()space()space()player()，狭路相逢是勇士的战争，1对1的战场可以检验你的实力，注意观察对手，有针对性的作战，将获得奇效。)</t>
    <phoneticPr fontId="6" type="noConversion"/>
  </si>
  <si>
    <t>body(    亲爱的player()，我创作了不朽的巨作，诠释了世界上最美妙的爱情故事，但是这仅仅是一段佳话而已，我期待着下一段每秒爱情的出现。也许，经历一番考验之后，你会发现，世界上最美妙的爱情故事，就发生在你的身上。)</t>
    <phoneticPr fontId="6" type="noConversion"/>
  </si>
  <si>
    <t>幸运女神的关怀</t>
    <phoneticPr fontId="6" type="noConversion"/>
  </si>
  <si>
    <t>女神6</t>
    <phoneticPr fontId="6" type="noConversion"/>
  </si>
  <si>
    <t>[日常]接取1次英灵寻宝</t>
    <phoneticPr fontId="6" type="noConversion"/>
  </si>
  <si>
    <t>接取1次英灵寻宝任务</t>
    <phoneticPr fontId="6" type="noConversion"/>
  </si>
  <si>
    <t>织女</t>
    <phoneticPr fontId="6" type="noConversion"/>
  </si>
  <si>
    <t>"祝有情人终成眷属哦~~~"</t>
    <phoneticPr fontId="6" type="noConversion"/>
  </si>
  <si>
    <t>&lt;p&gt;
&lt;n&gt;  回复：&lt;/n&gt;&lt;goto id="320" mapid="3" flagpoint="1" taskid="30331"/&gt;
&lt;/p&gt;</t>
    <phoneticPr fontId="6" type="noConversion"/>
  </si>
  <si>
    <t>body(   开始绣制吧，成功绣制为五彩仙鹊，将其放飞后即可获得大量角色经验。（当然，也可以请心灵手巧的织女帮忙哦！）)</t>
    <phoneticPr fontId="6" type="noConversion"/>
  </si>
  <si>
    <t>[七夕]鹊辞穿线月</t>
    <phoneticPr fontId="6" type="noConversion"/>
  </si>
  <si>
    <t>body(   player()在这牛郎与织女相逢的佳节，你的他/她也一定在某地等待着你……去找寻吧，去珍惜吧，牛郎织女会给予你们祝福！newline()
   *活动期间，完成情缘任务，拥有任务的一方将额外获得“七夕的祝福”，交付可获得数量不等的hot(羽灵)奖励。)</t>
    <phoneticPr fontId="6" type="noConversion"/>
  </si>
  <si>
    <t>"31541-0-1"</t>
    <phoneticPr fontId="9" type="noConversion"/>
  </si>
  <si>
    <t>[七夕]金风玉露一相逢</t>
    <phoneticPr fontId="6" type="noConversion"/>
  </si>
  <si>
    <t>body(   如果你有一起冒险的伙伴，我可以帮助你们结为恋人)</t>
    <phoneticPr fontId="6" type="noConversion"/>
  </si>
  <si>
    <t>"你还没有伙伴"</t>
    <phoneticPr fontId="6" type="noConversion"/>
  </si>
  <si>
    <t>[七夕]情若久长时</t>
    <phoneticPr fontId="6" type="noConversion"/>
  </si>
  <si>
    <t>"你还没有恋人"</t>
    <phoneticPr fontId="6" type="noConversion"/>
  </si>
  <si>
    <t>body(   如果你有一起愿意结为夫妻的人，我可以帮助你们结为夫妻)</t>
    <phoneticPr fontId="6" type="noConversion"/>
  </si>
  <si>
    <t>[回归]里程碑（超级）</t>
    <phoneticPr fontId="6" type="noConversion"/>
  </si>
  <si>
    <t>{{10,3,150,0,"1-1"}}</t>
    <phoneticPr fontId="6" type="noConversion"/>
  </si>
  <si>
    <t>body(      由牛郎和织女的盛情赞助，七夕期间，奥丁大陆各档婚礼费用全部8.8折，热恋中的宝贝啊，是时候结婚啦！
同时，活动期间，婚姻关系的玩家，可通过goto(198,5)前往goto(199,156)处免费领取1次“牛郎的祝福”礼盒。)</t>
    <phoneticPr fontId="6" type="noConversion"/>
  </si>
  <si>
    <t>title([七夕]情若久长时)
body(hotyellow_3(任务进程:)newline()
   由牛郎和织女的盛情赞助，七夕期间，奥丁大陆各档婚礼费用全部hot(8.8折)，热恋中的宝贝啊，是时候结婚啦！
同时，活动期间，婚姻关系的玩家，可通过goto(198,5)前往goto(199,156)处免费领取1次“牛郎的祝福”礼盒。
newline()
hot(※婚姻系统※)说明newline()
1.等级都达到60级的恋人可以结为夫妻。newline()
2.与恋人的好友度达到或超过1999点。newline()
3.互为恋人的玩家组队通过恋爱管理丘比特跳转到婚礼殿堂找婚恋管理维纳斯办理手续。newline()
4.目前暂不支持异国和相同性别的……newline()
5.婚礼分为多个档次，越高档的婚礼获得的奖励越丰厚。
)"</t>
    <phoneticPr fontId="6" type="noConversion"/>
  </si>
  <si>
    <t>title(（七夕）鹊辞穿线月)
body(hotyellow_3(任务进程:)newline()
   向goto(320,3)领取活动道具。
blankline()hotyellow_3(任务描述:)newline() 
   活动期间，hot4(21级以上)角色可以在goto(320,3)处，免费领取针线，绣制仙鹊，帮助相会。
男性角色看可领取hot(九尾针)，女性角色可领取hot(五彩丝)，通过邀请合并方式，可获得hot(九引乞巧袋)，右键使用可有概率绣制成hot(五彩仙鹊)，放飞后可获得大量角色经验。
   当然，如果绣刺时不小心扎了手，那么需要休息下才可继续，当然，也可以请心灵手巧的织女直接绣制完成。
)</t>
    <phoneticPr fontId="6" type="noConversion"/>
  </si>
  <si>
    <t>[七夕]今宵渡鹊桥（每日2次）</t>
    <phoneticPr fontId="6" type="noConversion"/>
  </si>
  <si>
    <t>body(      活动期间，hot4(21级以上)角色可以在goto(320,3)处，免费领取针线，绣制仙鹊，帮助相会。
男性角色看可领取hot(九尾针)，女性角色可领取hot(五彩丝)，通过邀请合并方式，可获得hot(九引乞巧袋)，右键使用可有概率绣制成hot(五彩仙鹊)，放飞后可获得大量角色经验。newline() 
   当然，如果绣刺时不小心扎了手，那么需要休息下才可继续，当然，也可以请心灵手巧的织女直接绣制完成。)</t>
    <phoneticPr fontId="6" type="noConversion"/>
  </si>
  <si>
    <t>达芬奇</t>
    <phoneticPr fontId="6" type="noConversion"/>
  </si>
  <si>
    <t>成功使用三级炼金术炼金</t>
    <phoneticPr fontId="6" type="noConversion"/>
  </si>
  <si>
    <t>你还没有成功使用一次三级炼金术，使用快捷键“V”打开技能中的炼金，每次使用1级炼金术都有几率进阶到高阶炼金术，当成功使用3级炼金术后，你就成为一名合格的炼金术师了</t>
    <phoneticPr fontId="6" type="noConversion"/>
  </si>
  <si>
    <t>body(   你已经是一名合格的炼金术师了，记住，颜色品质越好的圣石，越具备强大的力量，而越高级的炼金术，越容易获得高品质圣石。)</t>
    <phoneticPr fontId="6" type="noConversion"/>
  </si>
  <si>
    <t>学习入门炼金术</t>
    <phoneticPr fontId="6" type="noConversion"/>
  </si>
  <si>
    <t>你似乎还有一些不足</t>
    <phoneticPr fontId="6" type="noConversion"/>
  </si>
  <si>
    <t>body(   你已经是一名优秀的炼金术师了，炼金之路还有很多需要学习的地方，就需要靠你自己了，如果你有幸，将可以看到传说中的哲人石甚至紫色圣石，当然，这仅仅是传说，连我，都没有炼制成功过，炼金术士的辉煌就托付给你了，希望你早日成为那传说中的一芒！)</t>
    <phoneticPr fontId="6" type="noConversion"/>
  </si>
  <si>
    <t>你还没有成功融化任意圣石，点击炼金魔法阵中的一键融化，使用任意方式融化一颗圣石即可完成任务</t>
    <phoneticPr fontId="6" type="noConversion"/>
  </si>
  <si>
    <t>成功融化一次圣石</t>
    <phoneticPr fontId="6" type="noConversion"/>
  </si>
  <si>
    <t>{{29545,3,5,1,"1-1"}}</t>
    <phoneticPr fontId="6" type="noConversion"/>
  </si>
  <si>
    <t>body(   亲爱的player()，这是我送给你的hot(炼金材料)，使用炼金材料炼金可以获得提升能力的hot(圣石)，hot(（点击技能快捷键V可使用炼金）))</t>
    <phoneticPr fontId="6" type="noConversion"/>
  </si>
  <si>
    <t>body(   亲爱的player()，每个圣石都含有魔法阵能量，除了对你有用的圣石外，你都可以将其它的圣石融化为魔法阵能量，使用一键融化即可将圣石融化为魔法阵能量，利用这些能量，你可以为你需要的圣石进行升级加强属性，将圣石放入圣石槽中，点击“+”号即可升级圣石。)</t>
    <phoneticPr fontId="6" type="noConversion"/>
  </si>
  <si>
    <t>[81级]神之炼金术师（一）</t>
    <phoneticPr fontId="6" type="noConversion"/>
  </si>
  <si>
    <t>[81级]神之炼金术师（二）</t>
    <phoneticPr fontId="6" type="noConversion"/>
  </si>
  <si>
    <t>[81级]神之炼金术师（三）</t>
    <phoneticPr fontId="6" type="noConversion"/>
  </si>
  <si>
    <t>body(   亲爱的player()，使用炼金材料将可炼制不同的hot(圣石)，而越高级的炼金术，将越容易炼制出高品质圣石newline()
  每次使用一级炼金术时，将有hot(几率)激活二级炼金术，以此类推，等你掌握了三级炼金术时，我将送你一份礼物)</t>
    <phoneticPr fontId="6" type="noConversion"/>
  </si>
  <si>
    <t>body(   亲爱的player()，你在奥丁大陆的成长大家有目共睹，我认为是时候指引你学习炼金之术了，使用炼金术炼制圣石，将得到强大的力量)</t>
    <phoneticPr fontId="6" type="noConversion"/>
  </si>
  <si>
    <t>title([81级]神之炼金术师（二）)
body(hotyellow_3(任务进程:)newline()
  使用一次3级炼金术后回复goto(60789,5)。
blankline()hotyellow_3(任务描述:)newline()
  亲爱的player()，使用炼金材料将可炼制不同的hot(圣石)，而越高级的炼金术，将越容易炼制出高品质圣石newline()
  每次使用一级炼金术时，将有hot(几率)激活二级炼金术，以此类推，等你掌握了三级炼金术时，我将送你一份礼物
)</t>
    <phoneticPr fontId="6" type="noConversion"/>
  </si>
  <si>
    <t>title(（46级）装备重绑)
body(hotyellow_3(任务进程:)newline()
   在装备改造界面选择装备重绑，进行一次装备重绑后，去找goto(60159,6)。
blankline()hotyellow_3(任务描述:)newline() 
   装备重绑可以改变装备的绑定属性，攻装可以改变特伤类型，防装可以改变特防类型。blankline()   试试吧！)</t>
    <phoneticPr fontId="6" type="noConversion"/>
  </si>
  <si>
    <t>&lt;p&gt;
&lt;n&gt;  询问&lt;/n&gt;
 &lt;n&gt; &lt;/n&gt;&lt;goto quick="1" id="60098" mapid="6" flagpoint="1" taskid="1711"/&gt;
 &lt;newline/&gt;
&lt;n&gt;  询问&lt;/n&gt;
 &lt;n&gt; &lt;/n&gt;&lt;goto quick="1" id="60099" mapid="6" flagpoint="1" taskid="1711"/&gt;
&lt;/p&gt;</t>
    <phoneticPr fontId="6" type="noConversion"/>
  </si>
  <si>
    <t>&lt;p&gt;&lt;n&gt;  找&lt;/n&gt;&lt;goto quick="1" id="113" mapid="3" flagpoint="1" taskid="1654"/&gt;&lt;newline/&gt;
&lt;n&gt; 选择装备改造完成一次装备重绑&lt;/n&gt;
&lt;/p&gt;</t>
    <phoneticPr fontId="6" type="noConversion"/>
  </si>
  <si>
    <t>成就任务</t>
    <phoneticPr fontId="6" type="noConversion"/>
  </si>
  <si>
    <t>黄色舞票</t>
  </si>
  <si>
    <t>绿色情报</t>
  </si>
  <si>
    <t>召唤小妖</t>
  </si>
  <si>
    <t>活力点宝箱（钻）</t>
  </si>
  <si>
    <t>钓鱼大师</t>
  </si>
  <si>
    <t>绿色水晶</t>
  </si>
  <si>
    <t>纯白的引领者</t>
  </si>
  <si>
    <t>功勋</t>
  </si>
  <si>
    <t>战争狂人</t>
  </si>
  <si>
    <t>国战勋章</t>
  </si>
  <si>
    <t>1V1挑战</t>
  </si>
  <si>
    <t>成就任务</t>
    <phoneticPr fontId="6" type="noConversion"/>
  </si>
  <si>
    <t>劫车</t>
  </si>
  <si>
    <t>三连胜</t>
  </si>
  <si>
    <t>血战到底</t>
  </si>
  <si>
    <t>十连斩</t>
  </si>
  <si>
    <t>信春哥</t>
  </si>
  <si>
    <t>击毁魔甲</t>
  </si>
  <si>
    <t>10星</t>
  </si>
  <si>
    <t>8星套</t>
  </si>
  <si>
    <t>5个4孔属性</t>
  </si>
  <si>
    <t>5孔属性</t>
  </si>
  <si>
    <t>激活灵魂</t>
  </si>
  <si>
    <t>宠物</t>
  </si>
  <si>
    <t>100级血脉</t>
  </si>
  <si>
    <t>20级斗气</t>
  </si>
  <si>
    <t>VIP玩家</t>
  </si>
  <si>
    <t>传奇烙印</t>
  </si>
  <si>
    <t>5星纹章</t>
  </si>
  <si>
    <t>羽翼</t>
  </si>
  <si>
    <t>3000战斗力</t>
  </si>
  <si>
    <t>好友的祝福</t>
  </si>
  <si>
    <t>亲密恋人</t>
  </si>
  <si>
    <t>战友的召唤</t>
  </si>
  <si>
    <t>团工资</t>
  </si>
  <si>
    <t>助人为乐</t>
  </si>
  <si>
    <t>救援</t>
  </si>
  <si>
    <t>送人玫瑰</t>
  </si>
  <si>
    <t>浇水</t>
  </si>
  <si>
    <t>响应召唤</t>
  </si>
  <si>
    <t>邀请合并</t>
  </si>
  <si>
    <t>总成就奖杯</t>
    <phoneticPr fontId="6" type="noConversion"/>
  </si>
  <si>
    <t>总成就任务</t>
    <phoneticPr fontId="6" type="noConversion"/>
  </si>
  <si>
    <t>成长类奖杯</t>
    <phoneticPr fontId="6" type="noConversion"/>
  </si>
  <si>
    <t>成长成就任务</t>
    <phoneticPr fontId="6" type="noConversion"/>
  </si>
  <si>
    <t>战斗类奖杯</t>
    <phoneticPr fontId="6" type="noConversion"/>
  </si>
  <si>
    <t>战斗成就任务</t>
    <phoneticPr fontId="6" type="noConversion"/>
  </si>
  <si>
    <t>能力类奖杯</t>
    <phoneticPr fontId="6" type="noConversion"/>
  </si>
  <si>
    <t>能力成就任务</t>
    <phoneticPr fontId="6" type="noConversion"/>
  </si>
  <si>
    <t>社交类成就</t>
    <phoneticPr fontId="6" type="noConversion"/>
  </si>
  <si>
    <t>社交成就任务</t>
    <phoneticPr fontId="6" type="noConversion"/>
  </si>
  <si>
    <t>黄色补给车</t>
    <phoneticPr fontId="6" type="noConversion"/>
  </si>
  <si>
    <t xml:space="preserve">1    主线+支线                  1000-9999 主线       10000-20000支线
2     日常任务                30000以上
3     军团任务                 20000-30000
4     挑战任务            10000-20000
5     成就任务            40000-50000
6     节日活动            50001-60000
7    是否检索                1检索，0不检索，2挑战任务，检索，3隐藏挑战任务，不检索
</t>
    <phoneticPr fontId="6" type="noConversion"/>
  </si>
  <si>
    <t>[帝都]护送泉水</t>
    <phoneticPr fontId="6" type="noConversion"/>
  </si>
  <si>
    <t>战争之泉</t>
    <phoneticPr fontId="6" type="noConversion"/>
  </si>
  <si>
    <t>&lt;p&gt;&lt;n&gt;    帝都已经吹响了战斗的号角！为了守护王的帝都，我们需要紧急运送一批泉水发放给我们的战士…所以，player()，还请你替我将物资护送到城防指挥官那里去吧！&lt;/n&gt;&lt;newline/&gt;&lt;n color='GXColorGreen'&gt;任务完成时间周日17:00-19:00&lt;/n&gt;&lt;/p&gt;</t>
    <phoneticPr fontId="6" type="noConversion"/>
  </si>
  <si>
    <t>&lt;p&gt;&lt;n&gt;    为了帝王的荣誉，辛苦你了！&lt;/n&gt;&lt;/p&gt;</t>
    <phoneticPr fontId="6" type="noConversion"/>
  </si>
  <si>
    <t>&lt;p&gt;
&lt;n&gt;  护送物资到&lt;/n&gt;
 &lt;n&gt; &lt;/n&gt;&lt;goto id="127" mapid="7" flagpoint="1" taskid="30210" /&gt;
&lt;n&gt;处&lt;/n&gt;
&lt;/p&gt;</t>
    <phoneticPr fontId="6" type="noConversion"/>
  </si>
  <si>
    <t>[15级]命运的轨迹[1]</t>
    <phoneticPr fontId="6" type="noConversion"/>
  </si>
  <si>
    <t>[15级]命运的轨迹[2]</t>
    <phoneticPr fontId="6" type="noConversion"/>
  </si>
  <si>
    <t>[20级]命运的轨迹[3]</t>
    <phoneticPr fontId="6" type="noConversion"/>
  </si>
  <si>
    <t>[20级]命运的轨迹[4]</t>
    <phoneticPr fontId="6" type="noConversion"/>
  </si>
  <si>
    <t>[25级]命运的轨迹[5]</t>
    <phoneticPr fontId="6" type="noConversion"/>
  </si>
  <si>
    <t>[25级]命运的轨迹[6]</t>
    <phoneticPr fontId="6" type="noConversion"/>
  </si>
  <si>
    <t>[30级]命运的轨迹[7]</t>
    <phoneticPr fontId="6" type="noConversion"/>
  </si>
  <si>
    <t>[30级]命运的轨迹[8]</t>
    <phoneticPr fontId="6" type="noConversion"/>
  </si>
  <si>
    <t>[35级]命运的轨迹[9]</t>
    <phoneticPr fontId="6" type="noConversion"/>
  </si>
  <si>
    <t>[35级]命运的轨迹[10]</t>
    <phoneticPr fontId="6" type="noConversion"/>
  </si>
  <si>
    <t>[40级]命运的轨迹[11]</t>
    <phoneticPr fontId="6" type="noConversion"/>
  </si>
  <si>
    <t>[40级]命运的轨迹[12]</t>
    <phoneticPr fontId="6" type="noConversion"/>
  </si>
  <si>
    <t>[50级]命运的轨迹[13]</t>
    <phoneticPr fontId="6" type="noConversion"/>
  </si>
  <si>
    <t>[50级]命运的轨迹[14]</t>
    <phoneticPr fontId="6" type="noConversion"/>
  </si>
  <si>
    <t>[61级]命运的轨迹[15]</t>
    <phoneticPr fontId="6" type="noConversion"/>
  </si>
  <si>
    <t>{{26101,0,13,1,"1-1"}}</t>
    <phoneticPr fontId="6" type="noConversion"/>
  </si>
  <si>
    <t>{{26101,0,15,1,"1-1"}}</t>
    <phoneticPr fontId="6" type="noConversion"/>
  </si>
  <si>
    <t>{{26101,0,27,1,"1-1"}}</t>
    <phoneticPr fontId="6" type="noConversion"/>
  </si>
  <si>
    <t>{{26102,0,32,1,"1-1"}}</t>
    <phoneticPr fontId="6" type="noConversion"/>
  </si>
  <si>
    <t>{{26101,0,17,1,"1-1"}}</t>
    <phoneticPr fontId="6" type="noConversion"/>
  </si>
  <si>
    <t>{{26101,0,20,1,"1-1"}}</t>
    <phoneticPr fontId="6" type="noConversion"/>
  </si>
  <si>
    <t>{{26101,0,23,1,"1-1"}}</t>
    <phoneticPr fontId="6" type="noConversion"/>
  </si>
  <si>
    <t>&lt;p&gt;
&lt;n&gt;  护送泉水到&lt;/n&gt;
 &lt;n&gt; &lt;/n&gt;&lt;goto id="60887" mapid="8" flagpoint="1" taskid="30405" /&gt;
&lt;n&gt;处&lt;/n&gt; 
&lt;/p&gt;</t>
  </si>
  <si>
    <t>title(（帝都）护送泉水)
body(hotyellow_3(任务进程:)newline()
   将泉水护送到goto(60887,8)那里。newline()   hot(任务完成时间周日17:00-19:00)
blankline()hotyellow_3(任务描述:)newline()  
   帝都已经吹响了战斗的号角！为了守护王的帝都，我们需要紧急运送一批泉水发放给我们的战士…所以，player()，还请你替我将物资护送到城防指挥官那里去吧！（若泉水物资车被劫掠，则无法交付任务，请手动删除任务）)</t>
    <phoneticPr fontId="6" type="noConversion"/>
  </si>
  <si>
    <t>"天呐，你的物资车呢？没有物资车的话，是无法完成任务的，如果物资车被劫掠的话，只能删除任务重新接取了"</t>
    <phoneticPr fontId="9" type="noConversion"/>
  </si>
  <si>
    <t>吴刚</t>
    <phoneticPr fontId="6" type="noConversion"/>
  </si>
  <si>
    <t>[节日]你的月亮我的心</t>
    <phoneticPr fontId="6" type="noConversion"/>
  </si>
  <si>
    <t>body(      亲爱player()，祝您节日游戏愉快)</t>
  </si>
  <si>
    <t>"祝您节日游戏愉快"</t>
  </si>
  <si>
    <t>body(      亲爱player()，祝您节日快乐，奥丁神的祝福将常伴与你)</t>
  </si>
  <si>
    <t>body(      亲爱player()，请使用一次hot(舞会门票)，我将送给你一份节日礼物！newline() 
space()space()space()hot(未接取时，您可以通过下方“刷新任务”按钮更换任务，每次消耗1个命运骰子))</t>
  </si>
  <si>
    <t>body(      亲爱player()，请收集5个hot(矿石(1级))，我将送给你一份节日礼物！newline() 
space()space()space()hot(未接取时，您可以通过下方“刷新任务”按钮更换任务，每次消耗1个命运骰子))</t>
  </si>
  <si>
    <t>body(      亲爱player()，请收集5个hot(药材(1级))，我将送给你一份节日礼物！newline() 
space()space()space()hot(未接取时，您可以通过下方“刷新任务”按钮更换任务，每次消耗1个命运骰子))</t>
  </si>
  <si>
    <t>[节日]消灭偷窥嫦娥的魔物</t>
    <phoneticPr fontId="6" type="noConversion"/>
  </si>
  <si>
    <t>[节日]钓鱼岛是中国的</t>
    <phoneticPr fontId="6" type="noConversion"/>
  </si>
  <si>
    <t>body(      亲爱player()，祝您节日游戏愉快，誓死捍卫领土保卫国家，保卫祖国！)</t>
    <phoneticPr fontId="6" type="noConversion"/>
  </si>
  <si>
    <t>title([节日]你的月亮我的心)
body(hotyellow_3(任务进程:)newline()
   亲爱player()，这里时喵星人随机任务，欢迎光临
blankline()hotyellow_3(任务描述:)newline() 
space()space()space()活动期间，hot(21级)以上角色可在goto(333,3)接取中秋特殊任务hot(“你的月亮我的心”)（每天最多5次），每次完成后可获得丰厚角色经验和2个月饼模（不绑定）。
在其他活动中可以获得月饼陷，月饼模和月饼陷可以请嫦娥制作成美味的月饼。
)</t>
    <phoneticPr fontId="6" type="noConversion"/>
  </si>
  <si>
    <t>title([节日]你的月亮我的心)
body(hotyellow_3(任务进程:)newline()
   亲爱player()，收集5个hot(矿石(1级))即可完成任务。矿石可通过神秘矿洞挖矿、goto(60049,3)换取。
blankline()hotyellow_3(任务描述:)newline() 
space()space()space()活动期间，hot(21级)以上角色可在goto(333,3)接取中秋特殊任务hot(“你的月亮我的心”)（每天最多5次），每次完成后可获得丰厚角色经验和2个月饼模（不绑定）。
在其他活动中可以获得月饼陷，月饼模和月饼陷可以请嫦娥制作成美味的月饼。
)</t>
    <phoneticPr fontId="6" type="noConversion"/>
  </si>
  <si>
    <t>title([节日]你的月亮我的心)
body(hotyellow_3(任务进程:)newline()
   亲爱player()，收集5个hot(药材(1级))即可完成任务。药材可通过神秘矿洞采集、goto(60049,3)换取。
blankline()hotyellow_3(任务描述:)newline() 
space()space()space()活动期间，hot(21级)以上角色可在goto(333,3)接取中秋特殊任务hot(“你的月亮我的心”)（每天最多5次），每次完成后可获得丰厚角色经验和2个月饼模（不绑定）。
在其他活动中可以获得月饼陷，月饼模和月饼陷可以请嫦娥制作成美味的月饼。
)</t>
    <phoneticPr fontId="6" type="noConversion"/>
  </si>
  <si>
    <t>title([节日]你的月亮我的心)
body(hotyellow_3(任务进程:)newline()
   亲爱player()，杀死1只hot(贪财小妖)即可完成任务。贪财小妖可通过体力值宝箱、活力点宝箱获得。
blankline()hotyellow_3(任务描述:)newline() 
space()space()space()活动期间，hot(21级)以上角色可在goto(333,3)接取中秋特殊任务hot(“你的月亮我的心”)（每天最多5次），每次完成后可获得丰厚角色经验和2个月饼模（不绑定）。
在其他活动中可以获得月饼陷，月饼模和月饼陷可以请嫦娥制作成美味的月饼。
)</t>
    <phoneticPr fontId="6" type="noConversion"/>
  </si>
  <si>
    <t>title([节日]你的月亮我的心)
body(hotyellow_3(任务进程:)newline()
   亲爱player()，完成1次hot(国家频道发言)即可完成任务。
blankline()hotyellow_3(任务描述:)newline() 
space()space()space()活动期间，hot(21级)以上角色可在goto(333,3)接取中秋特殊任务hot(“你的月亮我的心”)（每天最多5次），每次完成后可获得丰厚角色经验和2个月饼模（不绑定）。
在其他活动中可以获得月饼陷，月饼模和月饼陷可以请嫦娥制作成美味的月饼。
)</t>
    <phoneticPr fontId="6" type="noConversion"/>
  </si>
  <si>
    <t>"需要完成1次国家频道发言"</t>
    <phoneticPr fontId="6" type="noConversion"/>
  </si>
  <si>
    <t>title([节日]你的月亮我的心)
body(hotyellow_3(任务进程:)newline()
   亲爱player()，完成1次hot(好友私聊)即可完成任务。
blankline()hotyellow_3(任务描述:)newline() 
space()space()space()活动期间，hot(21级)以上角色可在goto(333,3)接取中秋特殊任务hot(“你的月亮我的心”)（每天最多5次），每次完成后可获得丰厚角色经验和2个月饼模（不绑定）。
在其他活动中可以获得月饼陷，月饼模和月饼陷可以请嫦娥制作成美味的月饼。
)</t>
    <phoneticPr fontId="6" type="noConversion"/>
  </si>
  <si>
    <t>body(      亲爱player()，完成1次hot(好友私聊)即可完成任务，我将送给你一份节日礼物！newline() 
space()space()space()hot(未接取时，您可以通过下方“刷新任务”按钮更换任务，每次消耗1个命运骰子))</t>
    <phoneticPr fontId="6" type="noConversion"/>
  </si>
  <si>
    <t>"需要完成1次好友私聊"</t>
    <phoneticPr fontId="6" type="noConversion"/>
  </si>
  <si>
    <t>body(      亲爱player()，完成1次hot(合成装备)即可完成任务，我将送给你一份节日礼物！newline() 
space()space()space()hot(未接取时，您可以通过下方“刷新任务”按钮更换任务，每次消耗1个命运骰子))</t>
    <phoneticPr fontId="6" type="noConversion"/>
  </si>
  <si>
    <t>"需要完成1次合成装备"</t>
    <phoneticPr fontId="6" type="noConversion"/>
  </si>
  <si>
    <t xml:space="preserve">  你需要杀死贪食魔夺回仙衣。</t>
    <phoneticPr fontId="6" type="noConversion"/>
  </si>
  <si>
    <t>title([节日]你的月亮我的心)
body(hotyellow_3(任务进程:)newline()
   亲爱player()，使用一次hot(舞会门票)即可完成任务。舞会门票可以通过杀怪、活力点宝箱、历练宝箱获得。
blankline()hotyellow_3(任务描述:)newline() 
space()space()space()活动期间，hot(21级)以上角色可在goto(333,3)接取中秋特殊任务hot(“你的月亮我的心”)（每天最多5次），每次完成后可获得丰厚角色经验和2个月饼模（不绑定）。
在其他活动中可以获得月饼陷，月饼模和月饼陷可以请嫦娥制作成美味的月饼。
)</t>
    <phoneticPr fontId="6" type="noConversion"/>
  </si>
  <si>
    <t>title([节日]你的月亮我的心)
body(hotyellow_3(任务进程:)newline()
   亲爱player()，完成1次hot(合成装备)即可完成任务。
blankline()hotyellow_3(任务描述:)newline() 
space()space()space()活动期间，hot(21级)以上角色可在goto(333,3)接取中秋特殊任务hot(“你的月亮我的心”)（每天最多5次），每次完成后可获得丰厚角色经验和2个月饼模（不绑定）。
在其他活动中可以获得月饼陷，月饼模和月饼陷可以请嫦娥制作成美味的月饼。
)</t>
    <phoneticPr fontId="6" type="noConversion"/>
  </si>
  <si>
    <t>"55011-0-1"</t>
    <phoneticPr fontId="9" type="noConversion"/>
  </si>
  <si>
    <t>body(      亲爱player()，杀死1只hot(贪财小妖)，我将送给你一份节日礼物！newline() 
space()space()space()hot(未接取时，您可以通过下方“刷新任务”按钮更换任务，每次消耗1个命运骰子)newline()space()space()space()hot4(该任务31级可完成))</t>
    <phoneticPr fontId="6" type="noConversion"/>
  </si>
  <si>
    <t>body(      亲爱player()，完成1次hot(国家频道发言)，我将送给你一份节日礼物！newline() 
space()space()space()hot(未接取时，您可以通过下方“刷新任务”按钮更换任务，每次消耗1个命运骰子)newline()space()space()space()hot4(该任务31级可完成))</t>
    <phoneticPr fontId="6" type="noConversion"/>
  </si>
  <si>
    <t>杀死贪食魔夺回仙衣</t>
    <phoneticPr fontId="6" type="noConversion"/>
  </si>
  <si>
    <t>body(   十分感谢你为我夫人找回了衣物)</t>
    <phoneticPr fontId="6" type="noConversion"/>
  </si>
  <si>
    <t>[101级]合成完美紫色装备</t>
    <phoneticPr fontId="6" type="noConversion"/>
  </si>
  <si>
    <t>装备改造商人</t>
    <phoneticPr fontId="6" type="noConversion"/>
  </si>
  <si>
    <t>[101级]神魂解封</t>
    <phoneticPr fontId="6" type="noConversion"/>
  </si>
  <si>
    <t>装备改造商人</t>
    <phoneticPr fontId="9" type="noConversion"/>
  </si>
  <si>
    <t>body(   快去试试你的完美紫色装备吧，它给你带来了更高的属性，还有强大的神魂！)</t>
    <phoneticPr fontId="6" type="noConversion"/>
  </si>
  <si>
    <t>当你拥有5件或5件以上100级以上的完美绿色装备时才可合成完美紫色装备。点击屏幕左下方的合成按钮，可打开合成界面。</t>
    <phoneticPr fontId="6" type="noConversion"/>
  </si>
  <si>
    <t>将5件100级以上完美绿色装备合成为完美紫色品质</t>
    <phoneticPr fontId="9" type="noConversion"/>
  </si>
  <si>
    <t>&lt;p&gt;
&lt;n&gt;  将5件100级以上完美绿色品质装备&lt;/n&gt;
&lt;newline/&gt;
&lt;n&gt;  合成1件完美紫色品质装备&lt;/n&gt;
&lt;newline/&gt;
&lt;n&gt;  &lt;/n&gt;&lt;dialog taskid="16006" text="打开合成界面" hotkeyid="12" /&gt;
&lt;/p&gt;</t>
    <phoneticPr fontId="9" type="noConversion"/>
  </si>
  <si>
    <t>body(  快看看你的装备吧，你的能力提升了！)</t>
    <phoneticPr fontId="6" type="noConversion"/>
  </si>
  <si>
    <t>"只有对完美紫色装备进行了一次神魂操作才可完成任务哦。你还没完成呢！"</t>
    <phoneticPr fontId="6" type="noConversion"/>
  </si>
  <si>
    <t>{{27199,0,10,1,"1-1"}}</t>
    <phoneticPr fontId="6" type="noConversion"/>
  </si>
  <si>
    <t>{{27199,0,20,1,"1-1"}}</t>
    <phoneticPr fontId="6" type="noConversion"/>
  </si>
  <si>
    <t>title(（101级）合成完美紫色装备)
body(hotyellow_3(任务进程:)newline()
   将5件100级以上完美绿装备合成为1件100级以上完美紫色装备。任务完成之后，可goto(113,3)领取奖励。
blankline()hotyellow_3(任务描述:)newline() 
  通过装备合成操作使用五件100级以上完美绿色装备合成为一件100级以上完美紫色装备。完美紫色装备比完美绿色装备有更强大的装备基础属性，并且装备内封印了强大的神魂，解封神魂后可以增加装备的基础属性。注：完美绿合成完美紫过程中，灵魂属性不发生变化。)</t>
    <phoneticPr fontId="6" type="noConversion"/>
  </si>
  <si>
    <t>body(    将5件100级以上完美绿装备合成为1件100级以上完美紫色装备。blankline()  通过装备合成操作使用五件100级以上完美绿色装备合成为一件100级以上完美紫色装备。完美紫色装备比完美绿色装备有更强大的装备基础属性，并且装备内封印了强大的神魂，解封神魂后可以增加装备的基础属性。合成操作需消耗一定的绑银。hot(注：完美绿合成完美紫过程中，灵魂属性不发生变化。))</t>
    <phoneticPr fontId="6" type="noConversion"/>
  </si>
  <si>
    <t>宠物商人</t>
    <phoneticPr fontId="6" type="noConversion"/>
  </si>
  <si>
    <t>[70级]奇妙的宠物魔法阵（三）</t>
    <phoneticPr fontId="6" type="noConversion"/>
  </si>
  <si>
    <t>[70级]奇妙的宠物魔法阵（一）</t>
    <phoneticPr fontId="6" type="noConversion"/>
  </si>
  <si>
    <t>[70级]奇妙的宠物魔法阵（二）</t>
    <phoneticPr fontId="6" type="noConversion"/>
  </si>
  <si>
    <t>body(   亲爱的player()，这是我送给你的hot(宠物指挥棒)，使用宠物指挥棒可以增加宠物魔法阵的hot(指挥点)，hot(（点击技能快捷键G可使用宠物魔法阵）))</t>
    <phoneticPr fontId="6" type="noConversion"/>
  </si>
  <si>
    <t>你似乎还有一些不足</t>
    <phoneticPr fontId="6" type="noConversion"/>
  </si>
  <si>
    <t>了解宠物欢乐谷</t>
    <phoneticPr fontId="6" type="noConversion"/>
  </si>
  <si>
    <t>body(   宠物指挥点可以用来提升宠物指挥等级，随着人物等级的提升，还将获得其他提升的权力)</t>
    <phoneticPr fontId="6" type="noConversion"/>
  </si>
  <si>
    <t>你还没有成功将宠物放入魔法阵内，左键按住宠物不放，将宠物拖动至宠物魔法阵内即可完成任务</t>
    <phoneticPr fontId="6" type="noConversion"/>
  </si>
  <si>
    <t>成功将宠物放入魔法阵内</t>
    <phoneticPr fontId="6" type="noConversion"/>
  </si>
  <si>
    <t>{{43009,3,5,1,"1-1,7-2"}}</t>
    <phoneticPr fontId="6" type="noConversion"/>
  </si>
  <si>
    <t>{{43006,3,5,1,"1-1,7-1"}}</t>
    <phoneticPr fontId="6" type="noConversion"/>
  </si>
  <si>
    <t>{{43012,3,5,1,"1-1"}}</t>
    <phoneticPr fontId="6" type="noConversion"/>
  </si>
  <si>
    <t>body(   亲爱的player()，将宠物栏中任意宠物移动到宠物魔法阵，就可为魔法阵中心的当前跟随宠提供加成，赶紧试一试吧)</t>
    <phoneticPr fontId="6" type="noConversion"/>
  </si>
  <si>
    <t>不死老兵</t>
    <phoneticPr fontId="6" type="noConversion"/>
  </si>
  <si>
    <t>[13级]驯化宠物</t>
    <phoneticPr fontId="6" type="noConversion"/>
  </si>
  <si>
    <t>[日常]国外救援</t>
    <phoneticPr fontId="6" type="noConversion"/>
  </si>
  <si>
    <t>[日常]小丑的梦境</t>
    <phoneticPr fontId="6" type="noConversion"/>
  </si>
  <si>
    <t>小丑的梦境</t>
    <phoneticPr fontId="6" type="noConversion"/>
  </si>
  <si>
    <t>[日常]国外救援</t>
    <phoneticPr fontId="6" type="noConversion"/>
  </si>
  <si>
    <t>[81级]老兵的求助</t>
    <phoneticPr fontId="6" type="noConversion"/>
  </si>
  <si>
    <t>title(（61级）老兵的求助)
body(hotyellow_3(任务进程:)newline()
   去找goto(5089,5)。
blankline()hotyellow_3(任务描述:)newline() 
   询问hot(不死老兵)遇到了什么困难。)</t>
    <phoneticPr fontId="6" type="noConversion"/>
  </si>
  <si>
    <t>body(  我的兄弟不见！blankline()   他去国外时执行任务的时候消失了。他一定是出事了！)</t>
    <phoneticPr fontId="6" type="noConversion"/>
  </si>
  <si>
    <t>&lt;p&gt;
&lt;n&gt;  回复： &lt;/n&gt; 
 &lt;n&gt; &lt;/n&gt;&lt;goto id="5089" mapid="5" flagpoint="1" taskid="16008" /&gt;
&lt;/p&gt;</t>
    <phoneticPr fontId="6" type="noConversion"/>
  </si>
  <si>
    <t>title(（101级）神魂解封)
body(hotyellow_3(任务进程:)newline()
   你只要对完美紫色装备进行一次神魂解封，即可在goto(113,5)处领取奖励。newline()
blankline()hotyellow_3(任务描述:)newline() 
   完美紫色装备中封印着强大的神魂，通过装备操作界面的神魂属性下的神魂解封使用上古神魂印记可以对完美紫色装备的神魂进行神魂解封，神魂总共有8阶，从0阶0段开始，最高可解封到7阶0段，每阶有6段，解封到7阶0段的神魂是非常强大的存在，能给装备增加强大的基础属性。)</t>
    <phoneticPr fontId="6" type="noConversion"/>
  </si>
  <si>
    <t>body(    亲爱的player()，奥丁大陆有一块神秘的欢乐谷，是宠物的乐园，你想去见识一下么？帮我狩猎一只绿野林祭司，我将赠送你一些礼物~)</t>
    <phoneticPr fontId="6" type="noConversion"/>
  </si>
  <si>
    <t>[70级]我的宠物仓库</t>
    <phoneticPr fontId="6" type="noConversion"/>
  </si>
  <si>
    <t>body(   亲爱的player()，恭喜您拥有了宠物仓库，把喜欢的宠物寄存在里面吧！)</t>
    <phoneticPr fontId="6" type="noConversion"/>
  </si>
  <si>
    <t>body(   好好照顾这些小家伙们，记得要常回来看看哦，它们会想你的！)</t>
    <phoneticPr fontId="6" type="noConversion"/>
  </si>
  <si>
    <t>"感谢您一直以来对我们的支持，您的支持是我们前进的动力！"</t>
    <phoneticPr fontId="6" type="noConversion"/>
  </si>
  <si>
    <t>了解下宠物仓库</t>
    <phoneticPr fontId="6" type="noConversion"/>
  </si>
  <si>
    <t>&lt;p&gt;
&lt;n&gt;  回复： &lt;/n&gt;
 &lt;n&gt; &lt;/n&gt;&lt;goto id="119" mapid="1" flagpoint="1" taskid="16000" /&gt;
&lt;/p&gt;</t>
    <phoneticPr fontId="6" type="noConversion"/>
  </si>
  <si>
    <t>&lt;p&gt;
&lt;n&gt;  了解宠物仓库： &lt;/n&gt;
 &lt;n&gt; &lt;/n&gt;&lt;goto id="116" mapid="5" flagpoint="1" taskid="15230" /&gt;
&lt;/p&gt;</t>
    <phoneticPr fontId="6" type="noConversion"/>
  </si>
  <si>
    <t>&lt;p&gt;
&lt;n&gt;  对完美紫色装备进行一次神魂解封&lt;/n&gt;&lt;newline/&gt;
&lt;/p&gt;</t>
    <phoneticPr fontId="6" type="noConversion"/>
  </si>
  <si>
    <t>&lt;p&gt;
&lt;n&gt;  回复NPC：&lt;/n&gt;
 &lt;n&gt; &lt;/n&gt;&lt;goto id="60885" mapid="8" flagpoint="1" taskid="33521" /&gt;
&lt;/p&gt;</t>
    <phoneticPr fontId="6" type="noConversion"/>
  </si>
  <si>
    <t>亡灵骑士</t>
    <phoneticPr fontId="6" type="noConversion"/>
  </si>
  <si>
    <t>body(      亲爱player()，太好了，终于把一个小家伙打发走了，可不知道下个小家伙又想吃什么了。)</t>
    <phoneticPr fontId="6" type="noConversion"/>
  </si>
  <si>
    <t>[节日]杰克灯的回忆</t>
    <phoneticPr fontId="6" type="noConversion"/>
  </si>
  <si>
    <t>body(      亲爱player()，这个战乱的年代，若不全力以赴，那么败亡将是我们唯一的归宿！)</t>
    <phoneticPr fontId="6" type="noConversion"/>
  </si>
  <si>
    <t>"您还没有前往指定国家，点燃一盏杰克灯"</t>
    <phoneticPr fontId="6" type="noConversion"/>
  </si>
  <si>
    <t>[节日]南瓜们的狂欢游行</t>
    <phoneticPr fontId="6" type="noConversion"/>
  </si>
  <si>
    <t>body(      亲爱player()，乘机捣乱的家伙，把它们赶回老家去！)</t>
    <phoneticPr fontId="6" type="noConversion"/>
  </si>
  <si>
    <t>body(      亲爱player()，活动期间，每天19：00-20：00可以接取任务，可不要错过舞会时间啊。)</t>
    <phoneticPr fontId="6" type="noConversion"/>
  </si>
  <si>
    <t>"你还没有找到和你一起的舞伴啊，快使用魔法棒变身吧~"</t>
    <phoneticPr fontId="6" type="noConversion"/>
  </si>
  <si>
    <t>"55020-0-1"</t>
    <phoneticPr fontId="9" type="noConversion"/>
  </si>
  <si>
    <t>"55021-0-1"</t>
    <phoneticPr fontId="9" type="noConversion"/>
  </si>
  <si>
    <t>"55022-0-1"</t>
    <phoneticPr fontId="9" type="noConversion"/>
  </si>
  <si>
    <t>"55023-0-1"</t>
    <phoneticPr fontId="9" type="noConversion"/>
  </si>
  <si>
    <t>"55024-0-1"</t>
    <phoneticPr fontId="9" type="noConversion"/>
  </si>
  <si>
    <t>"55025-0-1"</t>
    <phoneticPr fontId="9" type="noConversion"/>
  </si>
  <si>
    <t>body(      亲爱player()，哈哈，虽然装扮的很奇怪，可是和大家在一起的时候，也很开心呢。)</t>
    <phoneticPr fontId="6" type="noConversion"/>
  </si>
  <si>
    <t>"你需要跟舞曲周围的南瓜头领对话，并且撒花6次。"</t>
    <phoneticPr fontId="6" type="noConversion"/>
  </si>
  <si>
    <t>"需要杀死10个hot(狼人士兵)才可完成任务。"</t>
    <phoneticPr fontId="6" type="noConversion"/>
  </si>
  <si>
    <t>[节日]不给糖果就捣乱（每日2次）</t>
    <phoneticPr fontId="6" type="noConversion"/>
  </si>
  <si>
    <t>title([节日]不给糖果就捣乱（每日2次）)
body(hotyellow_3(任务进程:)newline()
   亲爱player()，这里时喵星人随机任务，欢迎光临
blankline()hotyellow_3(任务描述:)newline() 
space()space()space()
)</t>
    <phoneticPr fontId="6" type="noConversion"/>
  </si>
  <si>
    <t>[节日]不给糖果就捣乱（每日2次）</t>
    <phoneticPr fontId="6" type="noConversion"/>
  </si>
  <si>
    <t>[节日]不给糖果就捣乱（每日2次）</t>
    <phoneticPr fontId="6" type="noConversion"/>
  </si>
  <si>
    <t>[节日]万圣节化妆舞会（每日3次）</t>
  </si>
  <si>
    <t>&lt;p&gt;
&lt;n&gt;  &lt;/n&gt;&lt;dialog taskid="1624" text="使用快速传送至" hotkeyid="52"/&gt;&lt;n&gt;“副本区”&lt;/n&gt;
&lt;newline/&gt;
&lt;n&gt;  通过&lt;/n&gt;
&lt;goto quick="1" id="160" mapid="3" flagpoint="1" taskid="1624" /&gt;
&lt;n&gt;去合作副本中转站&lt;/n&gt;
&lt;newline/&gt;
&lt;n&gt;  与&lt;/n&gt;&lt;goto quick="1" id="164" mapid="118" flagpoint="1" taskid="1624" /&gt;&lt;n&gt;对话&lt;/n&gt;
&lt;/p&gt;</t>
    <phoneticPr fontId="6" type="noConversion"/>
  </si>
  <si>
    <t>&lt;p&gt;
&lt;n&gt;  询问&lt;/n&gt;
 &lt;n&gt; &lt;/n&gt;&lt;goto quick="1" id="60084" mapid="4" flagpoint="1" taskid="3891" /&gt;
&lt;n&gt;基本情况&lt;/n&gt;
&lt;/p&gt;</t>
    <phoneticPr fontId="6" type="noConversion"/>
  </si>
  <si>
    <t>title(（23级）当前形势)
body(hotyellow_3(任务进程:)newline()
   询问goto(60084,4)有关当前形势的问题。
blankline()hotyellow_3(任务描述:)newline() 
space()space()space()player()，我觉得你能够知道有关燃烧平原的事情。燃烧平原上的很多事，我都要仰仗您的帮助。)</t>
    <phoneticPr fontId="6" type="noConversion"/>
  </si>
  <si>
    <t>[61级]要塞守卫</t>
    <phoneticPr fontId="6" type="noConversion"/>
  </si>
  <si>
    <t>[61级]坚守的要塞</t>
    <phoneticPr fontId="6" type="noConversion"/>
  </si>
  <si>
    <t>body(   你好，player()，说下前线的情况吧！)</t>
    <phoneticPr fontId="6" type="noConversion"/>
  </si>
  <si>
    <t>&lt;p&gt;
&lt;n&gt;  回复： &lt;/n&gt;
 &lt;n&gt; &lt;/n&gt;&lt;goto quick="1" id="60000" mapid="3" flagpoint="1" taskid="1623" /&gt;
&lt;/p&gt;</t>
    <phoneticPr fontId="6" type="noConversion"/>
  </si>
  <si>
    <t>title(（61级）坚守的要塞)
body(hotyellow_3(任务进程:)newline()
   将要塞的情况告知goto(60000,3)。
blankline()hotyellow_3(任务描述:)newline() 
   佩恩和我描述了要塞目前的情况，希望能够获得光明骑士团的援助。)</t>
    <phoneticPr fontId="6" type="noConversion"/>
  </si>
  <si>
    <t>赫肯</t>
    <phoneticPr fontId="6" type="noConversion"/>
  </si>
  <si>
    <t>title(（1级）奥丁大陆)
body(hotyellow_3(任务进程:)newline()
   这是一片光明神所庇佑的土地，曾经的世界之神早已不知去向。如今，强大的光明教会肩负着捍卫奥丁大陆和平和安定的使命。你将为光明而战，也将为人类而战……blankline()space()space()space()goto(60046,1)你是贤者选中的人类，用你的眼，去探索这个未知的世界吧！
blankline()hotyellow_3(任务描述:)newline() 
   需要帮助的人头顶会有hot(“！”)出现。newline()
   当人物头顶出现hot(“？”)时，则表示有任务可以交付给他。
newline()   按hot(“L”)键可以打开任务列表查看已接任务。
newline()   经历各种任务的考验，人物的能力也会得到相应的成长。)</t>
    <phoneticPr fontId="6" type="noConversion"/>
  </si>
  <si>
    <t>title(（9级）吸血鬼研究)
body(hotyellow_3(任务进程:)newline()
   搜集6个goto(10007,2)的hot(蝙蝠的血液)交给goto(60034,2)。
blankline()hotyellow_3(任务描述:)newline() 
   据说被吸血鬼咬过的人也会变成吸血鬼，拥有不死的生命却无法在阳光下生活。newline()
   传说，吸血鬼是被神遗弃的一族。神罚他们永生不死，并永远受到诅咒的折磨。)</t>
    <phoneticPr fontId="6" type="noConversion"/>
  </si>
  <si>
    <t>title(（22级）采样)
body(hotyellow_3(任务进程:)newline()
   从goto(10027,4)身上获得10个hot(骨爪)交给goto(60036,4)。
blankline()hotyellow_3(任务描述:)newline() 
   生物学家达尔文需要一批利爪裂纹豹的骨爪样本，才能进行进一步的研究。)</t>
    <phoneticPr fontId="6" type="noConversion"/>
  </si>
  <si>
    <t>title(（22级）采样)
body(hotyellow_3(任务进程:)newline()
   从goto(10027,4)身上获得10个hot(骨爪)交给goto(60036,4)。
blankline()hotyellow_3(任务描述:)newline() 
   生物学家达尔文需要一批利爪裂纹豹的骨爪样本，才能进行进一步的研究。)</t>
    <phoneticPr fontId="6" type="noConversion"/>
  </si>
  <si>
    <t>&lt;p&gt;
&lt;n&gt;  获取10个&lt;/n&gt;
 &lt;n&gt; &lt;/n&gt;&lt;goto quick="1" id="10027" mapid="4" flagpoint="1" taskid="3871" /&gt;
&lt;n&gt;的骨爪&lt;/n&gt;
&lt;/p&gt;</t>
    <phoneticPr fontId="6" type="noConversion"/>
  </si>
  <si>
    <t>"31052-0-10"</t>
    <phoneticPr fontId="6" type="noConversion"/>
  </si>
  <si>
    <t>title(（23级）傀儡)
body(hotyellow_3(任务进程:)newline()
   收集10个goto(10028,4)的hot(干细胞样本)交给goto(60036,4)。
blankline()hotyellow_3(任务描述:)newline() 
   裂纹豹骨爪上残留的基因样本令人费解？被称为岩浆傀儡的低智商变异生物的基因样本怎么和人类极度相似。为了解开这个谜团，生物学家达尔文需要岩浆傀儡的干细胞样本。)</t>
    <phoneticPr fontId="6" type="noConversion"/>
  </si>
  <si>
    <t>title(（24级）被拒的援手)
body(hotyellow_3(任务进程:)newline()
   杀死10个goto(10029,4)，找到被火元素困住的goto(60056,4)。
blankline()hotyellow_3(任务描述:)newline() 
   燃烧平原对于人类最大的威胁，并不是那些拥有尖牙利爪的火山怪物！而是飘散在空气中随时可能爆炸的爆裂火元素！爆裂火元素爆炸时，所释放的巨大热能，是没有经受过圣光洗礼的人类所无法抵挡的。)</t>
    <phoneticPr fontId="6" type="noConversion"/>
  </si>
  <si>
    <t>title(（25级）深渊毁灭者)
body(hotyellow_3(任务进程:)newline()
   杀死10个goto(10030,4)，完成后去找goto(60051,4)。
blankline()hotyellow_3(任务描述:)newline() 
   我们的救援队在这片区域搜寻幸存者的时候遭遇了hot(深渊毁灭者)，损失惨重……blankline()   如果不清除这些恐怖的怪物，搜救工作就只能止步于此了。光明骑士团现在自顾不暇，所以我们只能拜托player()你了。)</t>
    <phoneticPr fontId="6" type="noConversion"/>
  </si>
  <si>
    <t>title(（26级）火焰蝴蝶)
body(hotyellow_3(任务进程:)newline()
    获取10个goto(10031,4)的hot(细胞样本)交给goto(60166,4)。
blankline()hotyellow_3(任务描述:)newline() 
    泰莎告诉我，她需要更多样的被熔岩病毒感染的样本与傀儡身上的进行比对。也许这样就会有办法治愈那些感染者，或者，消灭他们……blankline()space()space()space()player()，那些火焰蝴蝶实在太过强大。这种采样的工作我们有心无力，还是请您接手比较合适。)</t>
    <phoneticPr fontId="6" type="noConversion"/>
  </si>
  <si>
    <t>title(（26级）火焰蝴蝶)
body(hotyellow_3(任务进程:)newline()
    获取10个goto(10031,4)的hot(细胞样本)交给goto(60166,4)。
blankline()hotyellow_3(任务描述:)newline() 
    泰莎告诉我，她需要更多样的被熔岩病毒感染的样本与傀儡身上的进行比对。也许这样就会有办法治愈那些感染者，或者，消灭他们……blankline()space()space()space()player()，那些火焰蝴蝶实在太过强大。这种采样的工作我们有心无力，还是请您接手比较合适。)</t>
    <phoneticPr fontId="6" type="noConversion"/>
  </si>
  <si>
    <t>"31054-0-10"</t>
    <phoneticPr fontId="6" type="noConversion"/>
  </si>
  <si>
    <t>"31054-0-10"</t>
    <phoneticPr fontId="6" type="noConversion"/>
  </si>
  <si>
    <t>title(（27级）坚毅火石怪)
body(hotyellow_3(任务进程:)newline()
   获取10个goto(10032,4)的hot(样本)交给goto(60051,4)。
blankline()hotyellow_3(任务描述:)newline() 
   真理很多时候都需要仔细地探索。特别是在关于世界法则的真理探究。对于真理的追求，往往让人迷失。不过，这些都是有意义的。)</t>
    <phoneticPr fontId="6" type="noConversion"/>
  </si>
  <si>
    <t>&lt;p&gt;
&lt;n&gt;  获取10个&lt;/n&gt;
 &lt;n&gt; &lt;/n&gt;&lt;goto quick="1" id="10032" mapid="4" flagpoint="1" taskid="4051" /&gt;
&lt;n&gt;的样本&lt;/n&gt;
&lt;/p&gt;</t>
    <phoneticPr fontId="6" type="noConversion"/>
  </si>
  <si>
    <t>"31055-0-10"</t>
    <phoneticPr fontId="6" type="noConversion"/>
  </si>
  <si>
    <t>&lt;p&gt;
&lt;n&gt;  杀掉10个&lt;/n&gt;
 &lt;n&gt; &lt;/n&gt;&lt;goto quick="1" id="10034" mapid="4" flagpoint="1" taskid="4261" /&gt;
&lt;/p&gt;</t>
    <phoneticPr fontId="6" type="noConversion"/>
  </si>
  <si>
    <t>波塞冬</t>
    <phoneticPr fontId="6" type="noConversion"/>
  </si>
  <si>
    <t>迈克</t>
    <phoneticPr fontId="6" type="noConversion"/>
  </si>
  <si>
    <t>title( （1级）迈克的烦恼)
body(hotyellow_3(任务进程:)newline()
   最近goto(60005,1)一直愁眉苦脸的，不知道他在烦恼什么？
blankline()hotyellow_3(任务描述:)newline() 
   按hot(L)打开任务面板，选择hot(剧情任务列表)按钮，可以查看当前等级可接hot(主线)任务。)</t>
    <phoneticPr fontId="6" type="noConversion"/>
  </si>
  <si>
    <t>&lt;p&gt;
&lt;n&gt;  回复： &lt;/n&gt;
 &lt;n&gt; &lt;/n&gt;&lt;goto quick="1" id="60005" mapid="1" flagpoint="1" taskid="3021"/&gt;
&lt;/p&gt;</t>
    <phoneticPr fontId="6" type="noConversion"/>
  </si>
  <si>
    <t>艾薇儿</t>
    <phoneticPr fontId="6" type="noConversion"/>
  </si>
  <si>
    <t>&lt;p&gt;
&lt;n&gt;  送信给&lt;/n&gt;
 &lt;n&gt; &lt;/n&gt;&lt;goto quick="1" id="60029" mapid="1" flagpoint="1" taskid="3031" /&gt;
&lt;/p&gt;</t>
    <phoneticPr fontId="6" type="noConversion"/>
  </si>
  <si>
    <t>&lt;p&gt;
&lt;n&gt;  送信给：&lt;/n&gt;
 &lt;n&gt; &lt;/n&gt;&lt;goto quick="1" id="60029" mapid="1" flagpoint="1" taskid="3031"/&gt;&lt;/p&gt;</t>
    <phoneticPr fontId="6" type="noConversion"/>
  </si>
  <si>
    <t>title( （2级）荣耀骑士罗恩)
body(hotyellow_3(任务进程:)newline()
   去找goto(60006,1)。
blankline()hotyellow_3(任务描述:)newline() 
   改变世界的人？也许你真如赫肯大人预言的一般强大。但肯定不是现在！hot(荣耀骑士罗恩)需要对你进行考核。与罗恩大人谈谈，看看有什么能帮助他的。blankline()   他会感激你的，祝你好运！)</t>
    <phoneticPr fontId="6" type="noConversion"/>
  </si>
  <si>
    <t>&lt;p&gt;
&lt;n&gt;  回复： &lt;/n&gt;
 &lt;n&gt; &lt;/n&gt;&lt;goto quick="1" id="60006" mapid="1" flagpoint="1" taskid="3041"/&gt;
&lt;/p&gt;</t>
    <phoneticPr fontId="6" type="noConversion"/>
  </si>
  <si>
    <t>title(（3级）试炼·妖精)
body(hotyellow_3(任务进程:)newline()
   击败3个goto(10105,1)后，去找goto(60006,1)。
blankline()hotyellow_3(任务描述:)newline() 
   虽然我不会同情自不量力的弱者，但我也不想看到那些年轻的战士因为自不量力而过早地死去。blankline()   击败3头贪婪之妖精，证明你已经初步掌握了战斗的能力。)</t>
    <phoneticPr fontId="6" type="noConversion"/>
  </si>
  <si>
    <t>&lt;p&gt;
&lt;n&gt;  打倒3个&lt;/n&gt;
 &lt;n&gt; &lt;/n&gt;&lt;goto quick="1" id="10105" mapid="1" flagpoint="1" taskid="3101" /&gt;
&lt;/p&gt;</t>
    <phoneticPr fontId="6" type="noConversion"/>
  </si>
  <si>
    <t>&lt;p&gt;
&lt;n&gt;  回复： &lt;/n&gt;
 &lt;n&gt; &lt;/n&gt;&lt;goto quick="1" id="60046" mapid="1" flagpoint="1" taskid="3011"/&gt;
&lt;/p&gt;</t>
    <phoneticPr fontId="6" type="noConversion"/>
  </si>
  <si>
    <t>"31039-0-6"</t>
    <phoneticPr fontId="6" type="noConversion"/>
  </si>
  <si>
    <t>"31040-0-6"</t>
    <phoneticPr fontId="6" type="noConversion"/>
  </si>
  <si>
    <t>"31171-0-6"</t>
    <phoneticPr fontId="6" type="noConversion"/>
  </si>
  <si>
    <t>&lt;p&gt;
&lt;n&gt;  击杀 &lt;/n&gt;&lt;goto quick="1" id="10014" mapid="2" flagpoint="1" taskid="3621" /&gt;
&lt;newline/&gt;
&lt;n&gt;  收集3份战斗服碎片&lt;/n&gt;
&lt;/p&gt;</t>
    <phoneticPr fontId="6" type="noConversion"/>
  </si>
  <si>
    <t>"31070-0-3"</t>
    <phoneticPr fontId="6" type="noConversion"/>
  </si>
  <si>
    <t>[7级]重返险境</t>
    <phoneticPr fontId="6" type="noConversion"/>
  </si>
  <si>
    <t>[7级]汇报</t>
    <phoneticPr fontId="6" type="noConversion"/>
  </si>
  <si>
    <t>[8级]比大小</t>
    <phoneticPr fontId="6" type="noConversion"/>
  </si>
  <si>
    <t>[8级]食物危机</t>
    <phoneticPr fontId="6" type="noConversion"/>
  </si>
  <si>
    <t>[18级]兄弟会的救赎</t>
    <phoneticPr fontId="6" type="noConversion"/>
  </si>
  <si>
    <t>[8级]食物</t>
    <phoneticPr fontId="6" type="noConversion"/>
  </si>
  <si>
    <t>[9级]吸血鬼研究</t>
    <phoneticPr fontId="6" type="noConversion"/>
  </si>
  <si>
    <t>[14级]未来的种子</t>
    <phoneticPr fontId="6" type="noConversion"/>
  </si>
  <si>
    <t>[10级]溃烂的伤口</t>
    <phoneticPr fontId="6" type="noConversion"/>
  </si>
  <si>
    <t>&lt;p&gt;
&lt;n&gt;  获得6只&lt;/n&gt;
 &lt;n&gt; &lt;/n&gt;&lt;goto quick="1" id="10132" mapid="2" flagpoint="1" taskid="3351" /&gt;
&lt;/p&gt;</t>
    <phoneticPr fontId="6" type="noConversion"/>
  </si>
  <si>
    <t>[13级]宠物升级啦</t>
    <phoneticPr fontId="6" type="noConversion"/>
  </si>
  <si>
    <t>[17级]线索</t>
    <phoneticPr fontId="6" type="noConversion"/>
  </si>
  <si>
    <t>title(（10级）装备合成)
body(hotyellow_3(任务进程:)newline()
   将5件白色的hot(训练护甲)通过hot(合成功能)，合成为一件蓝色的hot(训练护甲)后交给goto(60035,2)。newline()
   道具合成的流程：newline()
1.打开“合成”界面（快捷键“Q”）；newline()
2.左键拖动，或右击本装备自动放入界面中间的“装备”位；newline()
3.点击“放入装备”按钮；newline()
4.再点击界面右下角“绑银合成”按钮。newline()
blankline()hotyellow_3(任务描述:)newline() 
   过多的装备携带起来的确是一件麻烦事。不过，只要凑足5件相同品质的装备，就可以通过hot(合成功能)将这些装备中的一件提升到hot(更高的品质)。
   合成功能的按钮就在屏幕的下方哦！blankline()space()space()space()player()，要不要试一试将白色品质的装备提升到蓝色品质？)</t>
    <phoneticPr fontId="6" type="noConversion"/>
  </si>
  <si>
    <t>[19级]装备合成</t>
    <phoneticPr fontId="6" type="noConversion"/>
  </si>
  <si>
    <t>[22级]采样</t>
    <phoneticPr fontId="6" type="noConversion"/>
  </si>
  <si>
    <t>[23级]傀儡</t>
    <phoneticPr fontId="6" type="noConversion"/>
  </si>
  <si>
    <t>body(   space()space()space()player()，你终于来了！我们期待你已经很久。)</t>
    <phoneticPr fontId="6" type="noConversion"/>
  </si>
  <si>
    <t>body(space()space()space()player()，你好！虽然你没有三头六臂，但一看就是位很厉害的人物啊！)</t>
    <phoneticPr fontId="6" type="noConversion"/>
  </si>
  <si>
    <t>body(  这次返回奥丁大陆，我有种预感，将是我和hot(艾薇儿)真正的离别。)</t>
    <phoneticPr fontId="6" type="noConversion"/>
  </si>
  <si>
    <t>body(   如果迈克真的有话想对我说的话，我希望他亲口告诉我，而不是通过一封信件。)</t>
    <phoneticPr fontId="6" type="noConversion"/>
  </si>
  <si>
    <t>body(   准备好了么？那就开始第一个考验吧！)</t>
    <phoneticPr fontId="6" type="noConversion"/>
  </si>
  <si>
    <t>body(   嗯嗯，我最喜欢看魅魔的妒忌之书了。)</t>
    <phoneticPr fontId="6" type="noConversion"/>
  </si>
  <si>
    <t>body(   哈哈，丢在那堆东西里面真是难找。)</t>
    <phoneticPr fontId="6" type="noConversion"/>
  </si>
  <si>
    <t>body(   player()，又见面了。魅魔的力量虽然被封印了99%，但是你能够轻松搞定，也说明了你的能力！)</t>
    <phoneticPr fontId="6" type="noConversion"/>
  </si>
  <si>
    <t>body(   这次同行名单上的战士辛达，却迟迟没有来我这里报道。blankline()space()space()space()player()，你能替我询问一下辛达，到底出了什么事吗？)</t>
    <phoneticPr fontId="6" type="noConversion"/>
  </si>
  <si>
    <t>body(space()space()space()player()据说塞壬身上都有一本叫做诱惑之歌谱的东西。我一直都没见过，希望你能帮我找一本来！)</t>
    <phoneticPr fontId="6" type="noConversion"/>
  </si>
  <si>
    <t>body(   每天晚上我都会在17年前的噩梦中醒来，我已经丧失了再次踏上征程，重新战斗的勇气，请你代替我去找hot(荣耀骑士罗恩)完成这次任务吧！)</t>
    <phoneticPr fontId="6" type="noConversion"/>
  </si>
  <si>
    <t>body(   失去了勇气的人也许并不应该受到责备，但拾起勇气的人却是让人尊重的。)</t>
    <phoneticPr fontId="6" type="noConversion"/>
  </si>
  <si>
    <t>body(  击败3头贪婪之妖精，证明你已经初步掌握了战斗的能力。)</t>
    <phoneticPr fontId="6" type="noConversion"/>
  </si>
  <si>
    <t>body(  我知道你很强，一定会通过试炼的，你果然没令我失望！)</t>
    <phoneticPr fontId="6" type="noConversion"/>
  </si>
  <si>
    <t>body( 在回到那个充满未知危险的奥丁大陆之前，我个人强烈建议你去找你的职业导师并获取导师的建议。)</t>
    <phoneticPr fontId="6" type="noConversion"/>
  </si>
  <si>
    <t>body(   最后整理下需要的补给和装备。如果还觉得有什么不够的可以去hot(补给品商人)处购买。blankline()  )</t>
    <phoneticPr fontId="6" type="noConversion"/>
  </si>
  <si>
    <t>body(   你好新人，脚踏实地的感觉不错吧！你可以去找迷雾废墟本地的hot(守卫)了解一下情况，不过他们不是很友好。)</t>
    <phoneticPr fontId="6" type="noConversion"/>
  </si>
  <si>
    <t>body(   那里可是hot(茄子假面)的聚居处，看样子都让人觉得变态的奇怪植物，实力可不见得与长相一样差！想救你的同伴可要快点了，他们已经出发很久了。)</t>
    <phoneticPr fontId="6" type="noConversion"/>
  </si>
  <si>
    <t>body(   这名士兵的情况不乐观，已经完全丧失了意识…blankline()   也许那些开放在迷雾中不知名的草药，能够抵御茄子假面的毒性！)</t>
    <phoneticPr fontId="6" type="noConversion"/>
  </si>
  <si>
    <t>body(space()space()space()player()，未来也许有更多的危险在等待你。但是，你可以挑战命运，改变未来。要知道，未来就在你的手中！)</t>
    <phoneticPr fontId="6" type="noConversion"/>
  </si>
  <si>
    <t>body(我觉得你有必要见一见迷雾废墟荆棘镇的最高负责人---镇长马卡兰。他可能会教你一些生存的方法。)</t>
    <phoneticPr fontId="6" type="noConversion"/>
  </si>
  <si>
    <t>body(    亲爱的player()，身为一镇之长，我很荣幸能够看到你到来。居民们情绪都不太稳定，你看是否与他们聊聊，稳定一下大家的情绪。)</t>
    <phoneticPr fontId="6" type="noConversion"/>
  </si>
  <si>
    <t>body(   食物可是最基本的生存保障。小镇的食物资源一直由hot(农夫霍利克)统一管理，不过他最近好像遇到麻烦了。)</t>
    <phoneticPr fontId="6" type="noConversion"/>
  </si>
  <si>
    <t>body(   这年头想要吃顿好的，还真麻烦。但是只要想吃，什么都可以下锅。如果你能搞些虎肉给我，就太感谢了。)</t>
    <phoneticPr fontId="6" type="noConversion"/>
  </si>
  <si>
    <t>body(   老者盖亚的孙子不知道被什么怪物咬伤了，在野外被发现的时候就已经昏迷不醒了。
blankline()space()space()space()player()，如果你有什么办法，就请帮帮hot(老者盖亚)这个可怜的人吧！)</t>
    <phoneticPr fontId="6" type="noConversion"/>
  </si>
  <si>
    <t>body(space()space()space()player()，请你帮帮我。我的小孙子在野外不知道被什么生物咬伤了。我这里有一只战前遗留下来的机械虎可以用来代步，希望可以帮到你。)</t>
    <phoneticPr fontId="6" type="noConversion"/>
  </si>
  <si>
    <t>body(  blankline()space()space()space()player(),如果你能获得短齿蝙蝠的血液样本让我进行分析，就很容易接近事实的真相了！)</t>
    <phoneticPr fontId="6" type="noConversion"/>
  </si>
  <si>
    <t>body(   这些愚蠢的村民，不过是些普通的变异蝙蝠，浪费我的时间。blankline()  )</t>
    <phoneticPr fontId="6" type="noConversion"/>
  </si>
  <si>
    <t>body(  我只是个生物学家，对医学方面的事没有能力也没有兴趣，需要帮忙的话那就去找鲍文吧！不要来烦我了！)</t>
    <phoneticPr fontId="6" type="noConversion"/>
  </si>
  <si>
    <t>body(   只要凑足5件相同品质的装备，就可以通过合成功能将这些装备中的一件提升到hot(更高的品质)。)</t>
    <phoneticPr fontId="6" type="noConversion"/>
  </si>
  <si>
    <t>body(   装备根据品质，由低至高分为白色品质，蓝色品质，黄色品质和绿色品质。)</t>
    <phoneticPr fontId="6" type="noConversion"/>
  </si>
  <si>
    <t>body(   鲍文这么久都没有意识到么，咬伤盖亚孙子的吸血鬼其实应该是那些剧毒的红背蜘蛛……)</t>
    <phoneticPr fontId="6" type="noConversion"/>
  </si>
  <si>
    <t>body(space()space()space()player()，这件事确实让我很沮丧。看来我在生物学上天赋有限……)</t>
    <phoneticPr fontId="6" type="noConversion"/>
  </si>
  <si>
    <t>body(   太好了，有了这些毒腺，我相信很快就可以制造出解毒剂了。 )</t>
    <phoneticPr fontId="6" type="noConversion"/>
  </si>
  <si>
    <t>body(space()space()space()player()，在你回来之前，小镇的守卫鲍比已经来过很多次，询问我孙子被吸血鬼袭击的事情。所以，请告诉他事件的真相并转达我的谢意。)</t>
    <phoneticPr fontId="6" type="noConversion"/>
  </si>
  <si>
    <t>body(   想不到事态已经发展到这一步，原先我还以为只是一些无聊的流言。)</t>
    <phoneticPr fontId="6" type="noConversion"/>
  </si>
  <si>
    <t>body(   镇上的hot(养蜂人希尔)昨天晚上外出后再也没回来。有人看到他去了迷雾废墟的西部方向。)</t>
    <phoneticPr fontId="6" type="noConversion"/>
  </si>
  <si>
    <t>body(   嘘，不要告诉别人我在这里。)</t>
    <phoneticPr fontId="6" type="noConversion"/>
  </si>
  <si>
    <t>body(   只要宠物头顶标识着捕捉按钮，就是可以hot(驯化)的哦！至于能不能成功驯化就看你的运气了。blankline() )</t>
    <phoneticPr fontId="6" type="noConversion"/>
  </si>
  <si>
    <t>body(   当宠物快乐度较低时，就不能对主人产生能力加成了。可以使用“宠物零食”blankline()   喂养宠物提高它的hot(快乐度)。)</t>
    <phoneticPr fontId="6" type="noConversion"/>
  </si>
  <si>
    <t>body( 宠物零食这种东西，一般的hot(补给品商人)那里也有销售。)</t>
    <phoneticPr fontId="6" type="noConversion"/>
  </si>
  <si>
    <t>body(space()space()space()player()，最近我总有控制不住自己的感觉，我觉得很可能是受到了传说中hot(女妖)的蛊惑，才会产生这种幻觉。)</t>
    <phoneticPr fontId="6" type="noConversion"/>
  </si>
  <si>
    <t>body(   我想起我来到野外的最初目的了，就是因为这一包种子。blankline()    被诅咒的迷雾废墟，缺少粮食和药物。如果你想改变这一切，就需要将希望的种子播撒。他能够抵御诅咒，成长为我们的粮食。)</t>
    <phoneticPr fontId="6" type="noConversion"/>
  </si>
  <si>
    <t>body(   虽然我从女妖的蛊惑中清醒了过来，但我总觉得忘掉了什么非常重要的事情。)</t>
    <phoneticPr fontId="6" type="noConversion"/>
  </si>
  <si>
    <t>body(   我想起了一些事，在被女妖蛊惑的期间，我们碰到了一群暗幕野狼，它们见人就咬…)</t>
    <phoneticPr fontId="6" type="noConversion"/>
  </si>
  <si>
    <t>body(   抱歉，还是什么都想不起来。这种情况以前也出现过，在我的妻子与女儿被杀死之后，我过来1年多才想起来有关他们的事。)</t>
    <phoneticPr fontId="6" type="noConversion"/>
  </si>
  <si>
    <t>body(   请替我去僵尸那里看看，如果找到什么线索就去告诉光明教会驻守那里的hot(圣骑士艾伦)，也许他知道的更多。)</t>
    <phoneticPr fontId="6" type="noConversion"/>
  </si>
  <si>
    <t>body(   很好，player()。你说的我会认真考虑的，看来僵尸很有可能与我所要调查的事情有关。这是个线索！)</t>
    <phoneticPr fontId="6" type="noConversion"/>
  </si>
  <si>
    <t>body(   那些整天来我这里宣扬爱与和平，放弃武力的真理兄弟会成员让我非常头大。blankline()space()space()space()player()，我想拜托你去劝劝他们不要再来我这里了，我还有很多事情要做呢。)</t>
    <phoneticPr fontId="6" type="noConversion"/>
  </si>
  <si>
    <t>body(   你能帮忙把将我们的组员护送到圣骑士艾伦那里吗？你知道现在的迷雾废墟很危险。)</t>
    <phoneticPr fontId="6" type="noConversion"/>
  </si>
  <si>
    <t>body(   虽然我们都认为那些真理兄弟会的成员的脑袋坏掉了，但是我们尊重他们自由发表言论的权利，那是人类最基本的权利。)</t>
    <phoneticPr fontId="6" type="noConversion"/>
  </si>
  <si>
    <t>body(   我知道hot(圣骑士艾伦)正在考虑地宫的事，请将其中的具体情况告诉他。希望能够用神的光芒净化这些骄傲的灵魂。)</t>
    <phoneticPr fontId="6" type="noConversion"/>
  </si>
  <si>
    <t>body(   这件魔导器能够提升你的实际战斗能力和生存能力。)</t>
    <phoneticPr fontId="6" type="noConversion"/>
  </si>
  <si>
    <t>body(   那些扛着火药桶的魔族，他们的炸药包威力巨大。如果能获得一些炸药包，我们就可以研究对策。)</t>
    <phoneticPr fontId="6" type="noConversion"/>
  </si>
  <si>
    <t>body(  在我康复前，我已经将我们的魔甲寄放在小镇牧师拉尔夫处了。player()，我想拜托你去拉尔夫处，调用魔甲击毁那一辆失控的魔甲！ )</t>
    <phoneticPr fontId="6" type="noConversion"/>
  </si>
  <si>
    <t>body(  大家准备一下，我们再次发动进攻，争取抢到战争型的魔甲和修复魔甲的方法。)</t>
    <phoneticPr fontId="6" type="noConversion"/>
  </si>
  <si>
    <t>body(   悍勇的战士，挥舞着镰刀！他们是收割生命的死神，从遥远黑暗的土地而来。他们的行为是对英勇战士的侮辱！对光明的亵渎！这是不可饶恕的！)</t>
    <phoneticPr fontId="6" type="noConversion"/>
  </si>
  <si>
    <t>body(   你就是艾伦信中提到的勇士？哈哈，很高兴见到你！)</t>
    <phoneticPr fontId="6" type="noConversion"/>
  </si>
  <si>
    <t>[26级]火焰蝴蝶</t>
    <phoneticPr fontId="6" type="noConversion"/>
  </si>
  <si>
    <t>[27级]坚毅火石怪</t>
    <phoneticPr fontId="6" type="noConversion"/>
  </si>
  <si>
    <t>body(   space()space()space()player()，你终于来了！我们期待你已经很久。)</t>
    <phoneticPr fontId="6" type="noConversion"/>
  </si>
  <si>
    <t>body(   我是苦修者赫肯，不知道光明教会是否能够给予人类足够的庇护。但我坚信黑暗将会威胁整个世界。)</t>
    <phoneticPr fontId="6" type="noConversion"/>
  </si>
  <si>
    <t>body(   最近各种可怕的消息在蔓延。你可以帮我去看看hot(卫兵迈克)吗？他似乎有许多烦恼。)</t>
    <phoneticPr fontId="6" type="noConversion"/>
  </si>
  <si>
    <t>body( 坐骑分为很多种，战斗坐骑还以在战斗中使用。)</t>
    <phoneticPr fontId="6" type="noConversion"/>
  </si>
  <si>
    <t>&lt;p&gt;
&lt;n&gt;  拯救可能幸存的先遣士兵&lt;/n&gt;
&lt;/p&gt;</t>
    <phoneticPr fontId="6" type="noConversion"/>
  </si>
  <si>
    <t>&lt;p&gt;
&lt;n&gt;  消灭20个&lt;/n&gt;
 &lt;n&gt; &lt;/n&gt;&lt;goto quick="1" id="10035" mapid="4" flagpoint="1" taskid="4341" /&gt;
&lt;/p&gt;</t>
    <phoneticPr fontId="6" type="noConversion"/>
  </si>
  <si>
    <t>body(   厉害！player()，你真是个厉害的人啊！)</t>
    <phoneticPr fontId="6" type="noConversion"/>
  </si>
  <si>
    <t>body(   我的妻子、儿子和媳妇都在战争中死去了。难道连我的孙子都要被夺走吗？)</t>
    <phoneticPr fontId="6" type="noConversion"/>
  </si>
  <si>
    <t>&lt;p&gt;&lt;n&gt;合成装备的操作：&lt;/n&gt;&lt;newline/&gt;&lt;n&gt;1.打开“合成”界面（快捷键“Q”）；&lt;/n&gt;&lt;newline/&gt;&lt;n&gt;2.左键拖动，或右击本装备自动放入界面中间的“装备”位；&lt;/n&gt;&lt;newline/&gt;&lt;n&gt;3.点击“放入装备”按钮；&lt;/n&gt;&lt;newline/&gt;&lt;n&gt;4.再点击界面右下角“绑银合成”按钮。&lt;/n&gt;&lt;/p&gt;</t>
    <phoneticPr fontId="6" type="noConversion"/>
  </si>
  <si>
    <t>body(   我好像想起一些事情了，只要再给我点时间，我想就能恢复记忆了。)</t>
    <phoneticPr fontId="6" type="noConversion"/>
  </si>
  <si>
    <t>body(   我记得不只是野狼而已，后面还发生了许多事情，可是我怎么也想不起来了。)</t>
    <phoneticPr fontId="6" type="noConversion"/>
  </si>
  <si>
    <t>body(   如果你坚持要去hot(小镇地宫)为死去的同袍复仇，我也只有祝福你。))</t>
    <phoneticPr fontId="6" type="noConversion"/>
  </si>
  <si>
    <t>艾伦</t>
    <phoneticPr fontId="6" type="noConversion"/>
  </si>
  <si>
    <t>{{23031,0,15,0,"1-1"}}</t>
    <phoneticPr fontId="6" type="noConversion"/>
  </si>
  <si>
    <t>body(   嗯，player()你可以通过背包中的随身商店，或者前往场景中的杂货商人购买hot(生命药（中）)哦！)</t>
    <phoneticPr fontId="6" type="noConversion"/>
  </si>
  <si>
    <t>body(   嗯，目前你可以使用生命药（中）来恢复生命值。blankline()  当你的等级达到51级时，可以使用生命药（大）。我这里有一些生命补充药剂（小），可以快速恢复你的生命值。这些道具需要使用生活技能生产。)</t>
    <phoneticPr fontId="6" type="noConversion"/>
  </si>
  <si>
    <t>{{23034,0,15,0,"1-1"}}</t>
    <phoneticPr fontId="6" type="noConversion"/>
  </si>
  <si>
    <t>body(   嗯，player()你可以通过背包中的随身商店，或者前往场景中的杂货商人购买hot(魔力药（中）)哦！)</t>
    <phoneticPr fontId="6" type="noConversion"/>
  </si>
  <si>
    <t>body(   嗯，目前你可以使用魔力药（中）来恢复魔力值。blankline()  当你的等级达到51级时，可以使用魔力药（大）。我这里有一些体力补充药剂（小），可以快速恢复你的魔力值。这些道具需要使用生活技能生产。)</t>
    <phoneticPr fontId="6" type="noConversion"/>
  </si>
  <si>
    <t>"给我寻找一瓶魔力药（中）"</t>
    <phoneticPr fontId="6" type="noConversion"/>
  </si>
  <si>
    <t>&lt;p&gt;
&lt;n&gt;  寻找1瓶魔力药（中）&lt;/n&gt;
&lt;newline/&gt;
&lt;n&gt;  回复： &lt;/n&gt;
 &lt;n&gt; &lt;/n&gt;&lt;goto id="60163" mapid="4" flagpoint="1" taskid="13040" /&gt;
&lt;/p&gt;</t>
    <phoneticPr fontId="6" type="noConversion"/>
  </si>
  <si>
    <t>body(   player()！看来你已经了解了药品的使用方式和获取方式。回答我的一些问题，我将会给你奖励哦！)</t>
    <phoneticPr fontId="6" type="noConversion"/>
  </si>
  <si>
    <t>body(   看来我已经没有什么可以教你的了。在危险的世界里，一定要保证自己的安全。)</t>
    <phoneticPr fontId="6" type="noConversion"/>
  </si>
  <si>
    <t>&lt;p&gt;
&lt;n&gt;  回答： &lt;/n&gt;
 &lt;n&gt; &lt;/n&gt;&lt;goto id="60163" mapid="4" flagpoint="1" taskid="13050" /&gt;&lt;n&gt;的问题&lt;/n&gt;
&lt;/p&gt;</t>
    <phoneticPr fontId="6" type="noConversion"/>
  </si>
  <si>
    <t>&lt;p&gt;
&lt;n&gt;  &lt;/n&gt;
&lt;n&gt;  回复： &lt;/n&gt;
 &lt;n&gt; &lt;/n&gt;&lt;goto quick="1" id="60065" mapid="3" flagpoint="1" flagdrawrect="1" taskid="3831"/&gt;
&lt;/p&gt;</t>
    <phoneticPr fontId="6" type="noConversion"/>
  </si>
  <si>
    <t>body(   这些裂纹豹的骨爪真是太宝贵了。)</t>
    <phoneticPr fontId="6" type="noConversion"/>
  </si>
  <si>
    <t>body(space()space()space()player()，请你转告我的妻子，在燃烧平原上的研究还要进行一段时间。)</t>
    <phoneticPr fontId="6" type="noConversion"/>
  </si>
  <si>
    <t>body(space()space()space()player()，我在上次你提供给我的骨爪上发现了一些让人费解的表皮组织。我心中有一个非常糟糕的设想，我需要更多的岩浆傀儡的干细胞样本来验证我的设想，希望它是错的。)</t>
    <phoneticPr fontId="6" type="noConversion"/>
  </si>
  <si>
    <t>body(   那些被岩浆傀儡咬伤的士兵好像被一些奇怪的毒素感染了，一直昏迷不醒。请收集一些营地的后方种植的解毒草交给我。)</t>
    <phoneticPr fontId="6" type="noConversion"/>
  </si>
  <si>
    <t>body(   点击使用背包内的坐骑。)</t>
    <phoneticPr fontId="6" type="noConversion"/>
  </si>
  <si>
    <t>点击使用背包内的坐骑装备。</t>
    <phoneticPr fontId="6" type="noConversion"/>
  </si>
  <si>
    <t>使用坐骑</t>
    <phoneticPr fontId="6" type="noConversion"/>
  </si>
  <si>
    <t>body(    有几名在燃烧平原上负责监视魔族动态的战士受到了很严重的灼伤。player()，请你去询问下他们的具体情况。)</t>
    <phoneticPr fontId="6" type="noConversion"/>
  </si>
  <si>
    <t>body(   神的光辉可以庇佑我们免受痛苦的侵袭。)</t>
    <phoneticPr fontId="6" type="noConversion"/>
  </si>
  <si>
    <t>body(   光明骑士团的职责是维护神的光辉，保护人类不受侵害。你能替我们除掉那些火元素，然后救出那个可能还幸存的小姑娘吗？)</t>
    <phoneticPr fontId="6" type="noConversion"/>
  </si>
  <si>
    <t>body(   你好，我是hot(爱丽丝)。关于我的消息你替我保密好吗？)</t>
    <phoneticPr fontId="6" type="noConversion"/>
  </si>
  <si>
    <t>body(   那些光明教会的人，最近总是在这块地方出没。害得最近爸爸妈妈都不让我出来了！只能躲在漆黑漆黑的地底……)</t>
    <phoneticPr fontId="6" type="noConversion"/>
  </si>
  <si>
    <t>body(   达尔文先生在那里利用火元素进行绝密的生物实验？)</t>
    <phoneticPr fontId="6" type="noConversion"/>
  </si>
  <si>
    <t>body(   我们的救援队在这片区域搜寻幸存者的时候遭遇了hot(深渊毁灭者)，损失惨重…… )</t>
    <phoneticPr fontId="6" type="noConversion"/>
  </si>
  <si>
    <t>body(     我和达尔文在燃烧平原研究变异生物。我们没有多少崇高的目的。只是觉得如果不这么做，那么危机真正来临时，生还的机会非常小。)</t>
    <phoneticPr fontId="6" type="noConversion"/>
  </si>
  <si>
    <t>body(   嘿嘿，我很强大吧！)</t>
    <phoneticPr fontId="6" type="noConversion"/>
  </si>
  <si>
    <t>body(   魔族将充满暴虐的邪恶种子注入动物，原本温顺的动物因此变得凶残而恐怖。我们非常遗憾地发现，部分人类也因此被感染！)</t>
    <phoneticPr fontId="6" type="noConversion"/>
  </si>
  <si>
    <t>body(   提供最专业的探险开采设备，急缺最专业的探险人才。 不保证您的生命安全，但保证您的绝对收益！这是为勇者准备的机会。)</t>
    <phoneticPr fontId="6" type="noConversion"/>
  </si>
  <si>
    <t>body(   你想发财致富吗？小伙子，一看就知道你是个勤快的人。带上这些东西，去采2株hot(一级药材)回来。我不会亏待你的！)</t>
    <phoneticPr fontId="6" type="noConversion"/>
  </si>
  <si>
    <t>body(   嗯，很不错。可以开始制作hot(生命瞬回药（小）)了。)</t>
    <phoneticPr fontId="6" type="noConversion"/>
  </si>
  <si>
    <t>body(   那些从天而降邪恶火翼鸟真是防不胜防，我派出的几名情报员都被它们吃掉了。不除掉这些来自空中的威胁，我们很难展开大规模的地面行动。)</t>
    <phoneticPr fontId="6" type="noConversion"/>
  </si>
  <si>
    <t>body(   我一早就知道以你的能力。对于你来说，消灭这些怪物是轻而易举的！)</t>
    <phoneticPr fontId="6" type="noConversion"/>
  </si>
  <si>
    <t>[29级]邪恶火翼鸟</t>
    <phoneticPr fontId="6" type="noConversion"/>
  </si>
  <si>
    <t>&lt;p&gt;&lt;dialog taskid="3233" text="点击打开包裹" hotkeyid="2"/&gt;&lt;n&gt; 使用背包内的坐骑&lt;/n&gt;&lt;/p&gt;</t>
    <phoneticPr fontId="6" type="noConversion"/>
  </si>
  <si>
    <t>body( player()，旁边的防具商人那里可以领取防具。)</t>
    <phoneticPr fontId="6" type="noConversion"/>
  </si>
  <si>
    <t>body(   你即将进行的试炼，只要你能够完成试炼，就可以获得超强魔导器。)</t>
    <phoneticPr fontId="6" type="noConversion"/>
  </si>
  <si>
    <t>[6级]无名草药</t>
    <phoneticPr fontId="6" type="noConversion"/>
  </si>
  <si>
    <t>[2级]试炼·魅魔</t>
    <phoneticPr fontId="6" type="noConversion"/>
  </si>
  <si>
    <t>[2级]古老的卷轴</t>
    <phoneticPr fontId="6" type="noConversion"/>
  </si>
  <si>
    <t>[3级]试炼·塞壬</t>
    <phoneticPr fontId="6" type="noConversion"/>
  </si>
  <si>
    <t>[3级]试炼·妖精</t>
    <phoneticPr fontId="6" type="noConversion"/>
  </si>
  <si>
    <t>body(  去hot(补给品商人)处领取补给品吧！记得在他那里购买一瓶生命药，会很有用的。)</t>
    <phoneticPr fontId="6" type="noConversion"/>
  </si>
  <si>
    <t>[5级]试炼·甲魂</t>
    <phoneticPr fontId="6" type="noConversion"/>
  </si>
  <si>
    <t>body(如果有可能，请尽量挽救可能的幸存者。 拜托了！)</t>
    <phoneticPr fontId="6" type="noConversion"/>
  </si>
  <si>
    <t>body(   这样下去，盖亚孙子生还的机会非常小。曾经有一些民族使用过蝎子来治疗类似病症，事到如今，我们还是尝试一下吧！)</t>
    <phoneticPr fontId="6" type="noConversion"/>
  </si>
  <si>
    <t>body(   我是生物学家，并不是医生。收集毒腺的事就要拜托给你了。那些蜘蛛非常危险，hot(失业的工程师佐拉)曾想研究过它们，后来也不得不放弃了。)</t>
    <phoneticPr fontId="6" type="noConversion"/>
  </si>
  <si>
    <t>body(最近小镇很不太平，你也要小心啊！到时候局面就不是我们所能控制的了。是时候和hot(镇长)严肃讨论一下这件事了。)</t>
    <phoneticPr fontId="6" type="noConversion"/>
  </si>
  <si>
    <t>[16级]痛苦的回忆</t>
    <phoneticPr fontId="6" type="noConversion"/>
  </si>
  <si>
    <t>body(有些事情我不知道该不该告诉你…在我决定之前，请先解开我的困惑吧！)</t>
    <phoneticPr fontId="6" type="noConversion"/>
  </si>
  <si>
    <t>[18级]第一个仓库</t>
    <phoneticPr fontId="6" type="noConversion"/>
  </si>
  <si>
    <t>body(space()space()space()player()，有一支小队的士兵在一次支援作战的行动中与营地失去了联系。联络信号的中断区域就是火焰震荡者频繁出没的地方，那种怪物可不是他们那种级别可以应付。)</t>
    <phoneticPr fontId="6" type="noConversion"/>
  </si>
  <si>
    <t>&lt;p&gt;
&lt;n&gt;  回复：&lt;/n&gt;&lt;goto quick="1" id="60006" mapid="1" flagpoint="1" taskid="3232"/&gt;&lt;/p&gt;</t>
    <phoneticPr fontId="6" type="noConversion"/>
  </si>
  <si>
    <t>"31040-0-6"</t>
    <phoneticPr fontId="6" type="noConversion"/>
  </si>
  <si>
    <t>title(（8级）食物)
body(hotyellow_3(任务进程:)newline()
   获取6份goto(10117,2)的hot(虎肉)，并将获取的hot(虎肉)交给goto(60017,2)。
blankline()
   你接受了来自农夫霍利克的委托，寻找6份虎肉。)</t>
    <phoneticPr fontId="6" type="noConversion"/>
  </si>
  <si>
    <t>[7级]坐骑</t>
    <phoneticPr fontId="6" type="noConversion"/>
  </si>
  <si>
    <t>{{35008,0,1,0,"1-1"}}</t>
    <phoneticPr fontId="6" type="noConversion"/>
  </si>
  <si>
    <t>&lt;p&gt;
&lt;n&gt;  回复： &lt;/n&gt;
 &lt;n&gt; &lt;/n&gt;&lt;goto quick="1" id="60035" mapid="2" flagpoint="1" taskid="3331" /&gt;
&lt;/p&gt;</t>
    <phoneticPr fontId="6" type="noConversion"/>
  </si>
  <si>
    <t>[10级]装备合成</t>
    <phoneticPr fontId="6" type="noConversion"/>
  </si>
  <si>
    <t>title(（14级）女妖的蛊惑)
body(hotyellow_3(任务进程:)newline() 
   杀死4只goto(10011,2)，将goto(60019,2)从女妖的歌声中解救出来。
blankline()hotyellow_3(任务描述:)newline() 
   在迷雾废墟被诅咒之前，这里并没有女妖这种生物。它们是诅咒产生的变异生物吧！想不到她们的歌声竟然拥有蛊惑人心的力量。)</t>
    <phoneticPr fontId="6" type="noConversion"/>
  </si>
  <si>
    <t>4只荆棘女妖（10011）与6只羽翼女妖（10012）分开计数。</t>
    <phoneticPr fontId="6" type="noConversion"/>
  </si>
  <si>
    <t>title(（15级）失忆的养蜂人)
body(hotyellow_3(任务进程:)newline()
  杀死4只goto(10012,2),帮助goto(60019,2)取回自己的记忆。
blankline()hotyellow_3(任务描述:)newline() 
  虽然我从女妖的蛊惑中清醒了过来，但我总觉得忘掉了什么非常重要的事情。blankline()   那些密林深处的羽翼女妖，依旧让我的大脑隐隐作痛。player()，请帮我消灭它们，这样也许我就能够想起一些事情。直觉告诉我这些事情非常重要！)</t>
    <phoneticPr fontId="6" type="noConversion"/>
  </si>
  <si>
    <t>title(（16级）痛苦的回忆)
body(hotyellow_3(任务进程:)newline()
   消灭4只goto(10013,2)解除goto(60038,2)的忧虑。
blankline()hotyellow_3(任务描述:)newline() 
   我记得我们遇到了一群恐怖的狼。它们体型硕大，几乎和人一般。我只记得当时他们扑过来，见人就咬，要不是我跑的快，也该被撕碎了。
blankline()
hot3(   二十年前，野狼被人类猎杀的近乎灭绝。现在，这群生物在经历了辐射的洗礼后卷土重来，这次面临灭绝的物种恐怕会是人类。))</t>
    <phoneticPr fontId="6" type="noConversion"/>
  </si>
  <si>
    <t>&lt;p&gt;
&lt;n&gt;  消灭4只&lt;/n&gt;
 &lt;n&gt; &lt;/n&gt;&lt;goto quick="1" id="10013" mapid="2" flagpoint="1" taskid="3581" /&gt;
&lt;/p&gt;</t>
    <phoneticPr fontId="6" type="noConversion"/>
  </si>
  <si>
    <t>title(（18级）复仇)
body(hotyellow_3(任务进程:)newline()
   杀死5只goto(16005,106)，去找goto(60043,2)。
blankline()hotyellow_3(任务描述:)newline() 
   愿逝者安息生者平安。虽然僵尸曾经也是人类，但是不洁的灵魂被恶魔所诱惑。听说有一个叫艾伦的圣骑士也在猎杀智障僵尸，希望他平安。
blankline()
   hot3(   僵尸的血液是绿色的，蓝色的液体应该是另一种怪物留下的。))</t>
    <phoneticPr fontId="6" type="noConversion"/>
  </si>
  <si>
    <t>title(（19级）尚未安息的灵魂)
body(hotyellow_3(任务进程:)newline()
   消灭5只goto(16006,106)，并将地宫的情况告知goto(60028,2)。
blankline()hotyellow_3(任务描述:)newline() 
   迷雾废墟曾经是光明教会的秘密基地，在这里有很多抵抗魔族的英勇战士。blankline()   不幸的是，为了抵挡魔族从地底突破进入迷雾废墟，他们英勇阵亡了。恼羞成怒的魔族，对这些英勇战士进行了诅咒，让他们的灵魂无法安息，进入天堂。)</t>
    <phoneticPr fontId="6" type="noConversion"/>
  </si>
  <si>
    <t>title(（20级）魔族火药桶)
body(hotyellow_3(任务进程:)newline()
   杀死5个goto(10015,2)，并将获得的hot(火药桶)交给goto(60028,2)。
blankline()hotyellow_3(任务描述:)newline() 
   那些扛着炸药桶的魔族，不但攻击人类也攻击各种变异怪兽。地宫当年的守护者誓死捍卫了魔族的脚步，不知道他们为何会出现。他们的炸药包威力巨大。如果能获得一些炸药包，我们就可以研究对策。)</t>
    <phoneticPr fontId="6" type="noConversion"/>
  </si>
  <si>
    <t>"31025-0-5"</t>
    <phoneticPr fontId="6" type="noConversion"/>
  </si>
  <si>
    <t>title(（20级）剧毒猎杀者)
body(hotyellow_3(任务进程:)newline()
   获得5个goto(10016,2)的士官证，向goto(60028,2)回复。
blankline()hotyellow_3(任务描述:)newline() 
   悍勇的战士，挥舞着镰刀！他们是收割生命的死神，从遥远黑暗的土地而来。光明者陨落于他们镰刀之下，他们将黑暗传播！光明将会从黑暗中绽放，不论面对的是如何漆黑的夜晚。blankline()   他们屠戮我们的战士，并将战士的hot(士官证)作为战利品！他们的行为是对英勇战士的侮辱！对光明的亵渎！这是不可饶恕的！)</t>
    <phoneticPr fontId="6" type="noConversion"/>
  </si>
  <si>
    <t>"31172-0-5"</t>
    <phoneticPr fontId="6" type="noConversion"/>
  </si>
  <si>
    <t>&lt;p&gt;
&lt;n&gt;  收集3棵&lt;/n&gt;
 &lt;n&gt; &lt;/n&gt;&lt;goto quick="1" id="60145" mapid="4" flagpoint="1" taskid="1323" /&gt;
&lt;/p&gt;</t>
    <phoneticPr fontId="6" type="noConversion"/>
  </si>
  <si>
    <t>"31187-0-3"</t>
    <phoneticPr fontId="9" type="noConversion"/>
  </si>
  <si>
    <t>title(（23级）解毒草)
body(hotyellow_3(任务进程:)newline()
   收集3个goto(60145,4)交给goto(60036,4)。
blankline()hotyellow_3(任务描述:)newline() 
   那些被岩浆傀儡咬伤的士兵好像被一些奇怪的毒素感染了，一直昏迷不醒，皮肤也发生了奇怪的变化…blankline()   player()请收集一些营地后方种植的解毒草交给我。也许有用，也许没用，谁知道呢？)</t>
    <phoneticPr fontId="6" type="noConversion"/>
  </si>
  <si>
    <t>title(（36级）锈蚀的营房)
body(hotyellow_3(任务进程:)newline()
   采集3个hot(营地四周的)goto(60083,3)，交给goto(60073,3)。blankline()hotyellow_3(任务描述:)newline() 
   在潮湿的环境中金属锈蚀的快是很正常的，不过现在营地发生锈蚀的速度简直超乎想象。blankline()
space()space()space()player()，如果想要证明我的说法，只要将营房边缘生长的芒萁交给赛特。我想他就会明白的。)</t>
    <phoneticPr fontId="6" type="noConversion"/>
  </si>
  <si>
    <t>"31103-0-3"</t>
    <phoneticPr fontId="6" type="noConversion"/>
  </si>
  <si>
    <t>body(   在开始下一轮的行动之前，我们先要储备足够的解毒草以备不时之需。player()，请替我收集3棵解毒草吧！)</t>
    <phoneticPr fontId="6" type="noConversion"/>
  </si>
  <si>
    <t>"31187-0-3"</t>
    <phoneticPr fontId="6" type="noConversion"/>
  </si>
  <si>
    <t>title(（42级）解毒草)
body(hotyellow_3(任务进程:)newline()
   收集3棵goto(60145,3)交给goto(60152,3)。
blankline()hotyellow_3(任务描述:)newline() 
   螳螂幼虫虽然没有攻击力，但是却会散布一种慢性的毒素。如果不及时解毒的话，下半辈子就只能在轮椅上度过了。blankline()space()space()space()player()，摘一些解毒草交给波仕吧！ )</t>
    <phoneticPr fontId="6" type="noConversion"/>
  </si>
  <si>
    <t>title(（6级）无名草药)
body(hotyellow_3(任务进程:)newline()
   采集2朵goto(60142,2)，救援goto(60026,2)。
blankline()hotyellow_3(任务描述:)newline() 
   虽然茄子假面具备一定毒性，但是周围的植物却生长良好，是不是这里有一些关联？blankline()   希望这些不知名的草药可以起一点作用。)</t>
    <phoneticPr fontId="6" type="noConversion"/>
  </si>
  <si>
    <t>body(space()space()space()player()，如同水晶般的矿石见过么？只需要一些样本，我就可以完成相关的研究，你可以帮忙收集2份吗？)</t>
    <phoneticPr fontId="6" type="noConversion"/>
  </si>
  <si>
    <t>&lt;p&gt;
&lt;n&gt;  收集2份&lt;/n&gt;
 &lt;n&gt; &lt;/n&gt;&lt;goto quick="1" id="60143" mapid="2" flagpoint="1" taskid="3311" /&gt;
&lt;/p&gt;</t>
    <phoneticPr fontId="6" type="noConversion"/>
  </si>
  <si>
    <t>"31184-0-2"</t>
    <phoneticPr fontId="6" type="noConversion"/>
  </si>
  <si>
    <t>title(（16级）清凉果)
body(hotyellow_3(任务进程:)newline()
   收集2个goto(60144,2)交给goto(60038,2)。
blankline()
hotyellow_3(任务描述:)newline() 
   一想起那些零零碎碎的记忆，脑袋就会非常疼。player()，请摘一些野生的清凉果给我，那些果子会让我好受一点……)</t>
    <phoneticPr fontId="6" type="noConversion"/>
  </si>
  <si>
    <t>&lt;p&gt;
&lt;n&gt;  收集2个&lt;/n&gt;
 &lt;n&gt; &lt;/n&gt;&lt;goto quick="1" id="60144" mapid="2" flagpoint="1" taskid="3591" /&gt;
&lt;/p&gt;</t>
    <phoneticPr fontId="6" type="noConversion"/>
  </si>
  <si>
    <t>"31186-0-2"</t>
    <phoneticPr fontId="6" type="noConversion"/>
  </si>
  <si>
    <t>title(（20级）解毒草)
body(hotyellow_3(任务进程:)newline()
space()space()space()goto(60028,2)受了很严重的伤，给goto(60028,2)采集3棵goto(60145,2)。
blankline()hotyellow_3(任务描述:)newline()   我中毒了，我需要解毒草。 )</t>
    <phoneticPr fontId="6" type="noConversion"/>
  </si>
  <si>
    <t>body(   player()，请帮帮我……我需要3棵hot(解毒草)……我中毒了……)</t>
    <phoneticPr fontId="6" type="noConversion"/>
  </si>
  <si>
    <t>我需要3棵解毒草。</t>
    <phoneticPr fontId="6" type="noConversion"/>
  </si>
  <si>
    <t>&lt;p&gt;
&lt;n&gt;  收集3个&lt;/n&gt;
 &lt;n&gt; &lt;/n&gt;&lt;goto quick="1" id="60145" mapid="2" flagpoint="1" taskid="3751" /&gt;
&lt;/p&gt;</t>
    <phoneticPr fontId="6" type="noConversion"/>
  </si>
  <si>
    <t>"31187-0-3"</t>
    <phoneticPr fontId="6" type="noConversion"/>
  </si>
  <si>
    <t>[20级]魔族火药桶</t>
    <phoneticPr fontId="6" type="noConversion"/>
  </si>
  <si>
    <t>[20级]剧毒猎杀者</t>
    <phoneticPr fontId="6" type="noConversion"/>
  </si>
  <si>
    <t>[19级]赫肯的守护[二]</t>
    <phoneticPr fontId="6" type="noConversion"/>
  </si>
  <si>
    <t>body(  你将会成为一名优秀的魔炮！)</t>
    <phoneticPr fontId="6" type="noConversion"/>
  </si>
  <si>
    <t>title(（9级）神秘矿石)
body(hotyellow_3(任务进程:)newline()
   采集2份goto(60143,2)，交给goto(60034,2)。
   blankline()hotyellow_3(任务描述:)newline() 
   如同水晶般的矿石见过么？在迷雾废墟被诅咒前没有任何文献提及过它们的存在。根据流言，它们拥有使人产生幻觉的能力。blankline()   嗯，非常有趣。player()只需要一些样本，我就可以完成相关的研究，你可以帮忙收集2份吗？)</t>
    <phoneticPr fontId="6" type="noConversion"/>
  </si>
  <si>
    <t>{{29100,0,1,0,"1-1"},{29026,0,10,0,"1-1"}}</t>
    <phoneticPr fontId="6" type="noConversion"/>
  </si>
  <si>
    <t>{{27108,0,24,0,"1-1"}}</t>
    <phoneticPr fontId="6" type="noConversion"/>
  </si>
  <si>
    <t>{{27108,0,50,0,"1-1"}}</t>
    <phoneticPr fontId="6" type="noConversion"/>
  </si>
  <si>
    <t>{{27108,0,10,0,"1-1"}}</t>
    <phoneticPr fontId="6" type="noConversion"/>
  </si>
  <si>
    <t>{{27108,0,1,0,"1-1"}}</t>
    <phoneticPr fontId="6" type="noConversion"/>
  </si>
  <si>
    <t>body(   由于教会最近人手紧张，所以也要麻烦player()你参与这一次的采样活动了。blankline()   只要获得25个hot(狂暴犀牛的爪子)。我们就能根据当前情况拟定更多的对策了！)</t>
    <phoneticPr fontId="6" type="noConversion"/>
  </si>
  <si>
    <t>body(   这个吊坠是萨尔的，这个护符又是谁的？萨尔还是没有找到吗？我现在好乱…我的萨尔呢，我的儿子呢~~)</t>
    <phoneticPr fontId="6" type="noConversion"/>
  </si>
  <si>
    <t>title(（68级） 排除陷阱)
body(hotyellow_3(任务进程:)newline()
   排除goto(70004,7)，避免因陷阱导致的不必要损失。  
blankline()hotyellow_3(任务描述:)newline() 
   hot(   雷伊希望你能够帮忙排除陷阱，避免因此导致的普通民众伤亡。))</t>
  </si>
  <si>
    <t>title(（45级）神秘矿洞二层)
body(hotyellow_3(任务进程:)newline()
   与goto(60551,103)对话，了解神秘矿洞二层的情况。blankline()hotyellow_3(任务描述:)newline() 
   神秘矿洞是所有矿石与药材的产出地。在矿洞的深处，有二层入口。神秘矿洞二层将会通向一个所有国家都能到达的地方。)</t>
  </si>
  <si>
    <t>body(   打开聊天界面hot(回车键“Enter”)，在聊天界面中的点击标签中的hot(辅导员)，会出现一个申请框，点击确定即可申请一位辅导员的帮助，他将为你解答游戏中的疑难问题。)</t>
  </si>
  <si>
    <t>title(（5级）试炼·甲魂)
body(hotyellow_3(任务进程:)newline() 
   击败3只goto(10106,1)，完成后告知goto(60006,1)。
blankline()hotyellow_3(任务描述:)newline() 
   赫肯大人，不但是一位伟大的魔法师、先知。他还是一位出色的炼金术师。他曾经设计了一种魔导器，可以大幅提升人类的潜能。但是魔导器很少流入世间。这种魔导器便被称之为“赫肯的守护”！
blankline()
   只要你能够完成任务，我将会给你一件强大的魔导器！)</t>
    <phoneticPr fontId="6" type="noConversion"/>
  </si>
  <si>
    <t>title(（10级）溃烂的伤口)
body(hotyellow_3(任务进程:)newline()
   获取6只goto(10132,2)交给goto(60035,2)。
blankline()hotyellow_3(任务描述:)newline() 
   哎，如果继续这样下去，盖亚孙子生还的机会非常小。blankline()   曾经有一些民族使用过蝎子来治疗类似病症，事到如今，我们还是尝试一下吧！)</t>
    <phoneticPr fontId="6" type="noConversion"/>
  </si>
  <si>
    <t>title(（11级）解毒)
body(hotyellow_3(任务进程:)newline()
   从goto(10008,2)身上获取8个hot(毒腺)交给goto(60035,2)。
blankline()hotyellow_3(任务描述:)newline() 
   解毒剂往往与毒物一体共生。这些由毒腺制作的解毒剂，应该可以帮助被蜘蛛咬伤的镇民。)</t>
    <phoneticPr fontId="6" type="noConversion"/>
  </si>
  <si>
    <t>&lt;p&gt;
&lt;n&gt;  获得8枚&lt;/n&gt;
 &lt;n&gt; &lt;/n&gt;&lt;goto quick="1" id="10008" mapid="2" flagpoint="1" taskid="3391" /&gt;
&lt;n&gt;的毒腺&lt;/n&gt;
&lt;/p&gt;</t>
    <phoneticPr fontId="6" type="noConversion"/>
  </si>
  <si>
    <t>title(（17级）线索)
body(hotyellow_3(任务进程:)newline()
   去goto(10014,2)那里击杀僵尸暴徒收集3份战斗服碎片，寻找线索。并将结果回复goto(60028,2)。blankline()hotyellow_3(任务描述:)newline() 
   在hot(迷雾废墟西北部)有着一群僵尸。他们曾经是我们的伙伴、邻居。可如今它们已经完全丧失了理智，漫无目的地攻击所有异类。他们极度危险，也许那里能找到让养蜂人希尔恢复记忆的线索。)</t>
    <phoneticPr fontId="6" type="noConversion"/>
  </si>
  <si>
    <t>title(（29级）邪恶火翼鸟)
body(hotyellow_3(任务进程:)newline()
   杀掉10只goto(10033,4)后去找goto(60052,4)。
blankline()hotyellow_3(任务描述:)newline() 
   那些从天而降邪恶火翼鸟真是防不胜防，我派出的几名情报员都被它们吃掉了。不除掉这些来自空中的威胁，我们很难展开大规模的地面行动。blankline()space()space()space()player()，我有个计划，你从正面突入hot(邪恶火翼鸟)的巢穴消灭它们。我率领光明骑士团在后面随时准备支援你。)</t>
    <phoneticPr fontId="6" type="noConversion"/>
  </si>
  <si>
    <t>"31041-0-8"</t>
    <phoneticPr fontId="6" type="noConversion"/>
  </si>
  <si>
    <t>body(   我想我会马上组织物资进行支援的。player()，你先别离开，我将马上安排你新的任务。)</t>
    <phoneticPr fontId="6" type="noConversion"/>
  </si>
  <si>
    <t>{{29066,0,1,0,"1-1,7-1"},{35005,0,1,0,"1-1"}}</t>
    <phoneticPr fontId="6" type="noConversion"/>
  </si>
  <si>
    <t>{{29066,0,1,0,"1-1,7-3"}}</t>
    <phoneticPr fontId="6" type="noConversion"/>
  </si>
  <si>
    <t>{{29066,0,2,0,"1-1,7-2"}}</t>
    <phoneticPr fontId="6" type="noConversion"/>
  </si>
  <si>
    <t>{{31145,0,2,0,"1-1,7-1"}}</t>
    <phoneticPr fontId="6" type="noConversion"/>
  </si>
  <si>
    <t>{{31145,0,1,0,"1-1,7-2"}}</t>
    <phoneticPr fontId="6" type="noConversion"/>
  </si>
  <si>
    <t>奖励经验</t>
    <phoneticPr fontId="6" type="noConversion"/>
  </si>
  <si>
    <t>&lt;p&gt;
&lt;n&gt;  回复： &lt;/n&gt;
 &lt;n&gt; &lt;/n&gt;&lt;goto quick="1" id="60015" mapid="2" flagpoint="1" taskid="3212" /&gt;
&lt;/p&gt;</t>
    <phoneticPr fontId="6" type="noConversion"/>
  </si>
  <si>
    <t>&lt;p&gt;
&lt;n&gt;  回复： &lt;/n&gt;
 &lt;n&gt; &lt;/n&gt;&lt;goto quick="1" id="60015" mapid="2" flagpoint="1" taskid="3213" /&gt;
&lt;/p&gt;</t>
    <phoneticPr fontId="6" type="noConversion"/>
  </si>
  <si>
    <t>title(（22级）狩猎裂纹豹)
body(hotyellow_3(任务进程:)newline()
   狩猎goto(10027,4)，去找goto(60062,4)。
blankline()hotyellow_3(任务描述:)newline() 
space()space()space()player()，我这里有一份有关消灭燃烧平原利爪裂纹豹，如果你有兴趣的话，就由你来完成吧！)</t>
    <phoneticPr fontId="6" type="noConversion"/>
  </si>
  <si>
    <t>title(（23级）狩猎岩浆傀儡)
body(hotyellow_3(任务进程:)newline()
   狩猎goto(10028,4)，去找goto(60062,4)。
blankline()hotyellow_3(任务描述:)newline() 
space()space()space()player()，我这里有一份有关消灭燃烧平原岩浆傀儡的委托单，如果你有兴趣的话，就由你来完成吧！)</t>
    <phoneticPr fontId="6" type="noConversion"/>
  </si>
  <si>
    <t>title(（24级）狩猎火元素)
body(hotyellow_3(任务进程:)newline()
   狩猎goto(10029,4)，去找goto(60062,4)。
blankline()hot3(任务描述:)blankline()
space()space()space()player()，我这里有一份有关消灭燃烧平原岩浆傀儡的委托单，如果你有兴趣的话，就由你来完成吧！)</t>
    <phoneticPr fontId="6" type="noConversion"/>
  </si>
  <si>
    <t>洛克</t>
    <phoneticPr fontId="6" type="noConversion"/>
  </si>
  <si>
    <t>{{26102,0,10,0,"1-1"}}</t>
    <phoneticPr fontId="6" type="noConversion"/>
  </si>
  <si>
    <t>{{17100,0,1,1,"1-1,4-1"}}</t>
    <phoneticPr fontId="7" type="noConversion"/>
  </si>
  <si>
    <t>请选择一件装备升级到2星半</t>
    <phoneticPr fontId="6" type="noConversion"/>
  </si>
  <si>
    <t>body(space()space()space()player()，不知道你怎么跟拉斐尔说的，钱很快就到账了……我将免费为你将一件装备升至2星半！blankline()   1）60级以上的装备将无法免费升星。newline()   2）所有被免费升星的装备都将被绑定。newline()   3）已经升星过的装备无法进行此次免费升星。)</t>
    <phoneticPr fontId="6" type="noConversion"/>
  </si>
  <si>
    <t>title(（52级）装备升星)
body(hotyellow_3(任务进程:)newline()
space()space()space()goto(113,3)会免费为你将一件装备升至2星半。
blankline()hotyellow_3(任务描述:)newline() 
   1）60级以上的装备将无法免费升星。blankline()   2）所有被免费升星的装备都将被绑定。blankline()   3）已经升星过的装备无法进行此次免费升星。)</t>
    <phoneticPr fontId="9" type="noConversion"/>
  </si>
  <si>
    <t>&lt;p&gt;
&lt;n&gt;  &lt;/n&gt;&lt;dialog taskid="4001" text="点击打开升星界面" hotkeyid="103" tabid="4-0" treeid="15" leafid="1" /&gt;
&lt;n&gt;  将一件装备升级到2星半&lt;/n&gt;
&lt;/p&gt;</t>
    <phoneticPr fontId="6" type="noConversion"/>
  </si>
  <si>
    <t>body(   任务分为白、蓝、黄、绿、紫五种状态，奖励经验随着任务颜色的不同大幅提升。可以使用命运骰子刷新任务颜色。)</t>
    <phoneticPr fontId="6" type="noConversion"/>
  </si>
  <si>
    <t>body(   任务分为白、蓝、黄、绿、紫五种状态，奖励经验随着任务颜色的不同大幅提升。.可以使用命运骰子刷新任务颜色。blankline()   当前任务品质：白色)</t>
    <phoneticPr fontId="6" type="noConversion"/>
  </si>
  <si>
    <t>body(   任务分为白、蓝、黄、绿、紫五种状态，奖励经验随着任务颜色的不同大幅提升。可以使用命运骰子刷新任务颜色。blankline()space()space()space()hot3(当前任务品质：蓝色))</t>
    <phoneticPr fontId="6" type="noConversion"/>
  </si>
  <si>
    <t>body(   任务分为白、蓝、黄、绿、紫五种状态，奖励经验随着任务颜色的不同大幅提升。可以使用命运骰子刷新任务颜色。blankline()space()space()space()hot2(当前任务品质：黄色))</t>
    <phoneticPr fontId="6" type="noConversion"/>
  </si>
  <si>
    <t>body(   任务分为白、蓝、黄、绿、紫五种状态，奖励经验随着任务颜色的不同大幅提升。可以使用命运骰子刷新任务颜色。blankline()space()space()space()hot(当前任务品质：绿色))</t>
    <phoneticPr fontId="6" type="noConversion"/>
  </si>
  <si>
    <t>body(   任务分为白、蓝、黄、绿、紫五种状态，奖励经验随着任务颜色的不同大幅提升。可以使用命运骰子刷新任务颜色。blankline()space()space()space()hot5(当前任务品质：紫色))</t>
    <phoneticPr fontId="6" type="noConversion"/>
  </si>
  <si>
    <t>{{26130,0,5,0,"1-1"}}</t>
  </si>
  <si>
    <t>{{26130,0,5,0,"1-1"}}</t>
    <phoneticPr fontId="6" type="noConversion"/>
  </si>
  <si>
    <t>{{26130,0,5,0,"1-1"}}</t>
    <phoneticPr fontId="6" type="noConversion"/>
  </si>
  <si>
    <t>{{29050,0,3,0,"1-1"}}</t>
    <phoneticPr fontId="6" type="noConversion"/>
  </si>
  <si>
    <t>{{33100,3,1,0,"1-1"}}</t>
    <phoneticPr fontId="6" type="noConversion"/>
  </si>
  <si>
    <t>&lt;p&gt;
&lt;n&gt;  &lt;/n&gt;&lt;dialog taskid="4141" text="进行药材合成" hotkeyid="12" tabid="4-0" treeid="15" leafid="2"/&gt;
&lt;newline/&gt;
&lt;n&gt;  回复： &lt;/n&gt;
 &lt;n&gt; &lt;/n&gt;&lt;goto quick="1" id="114" mapid="3" flagpoint="1" taskid="4141" /&gt;
&lt;/p&gt;</t>
    <phoneticPr fontId="6" type="noConversion"/>
  </si>
  <si>
    <t>{{26128,0,10,0,"1-1"}}</t>
    <phoneticPr fontId="6" type="noConversion"/>
  </si>
  <si>
    <t>装备改造商人</t>
    <phoneticPr fontId="6" type="noConversion"/>
  </si>
  <si>
    <t>{{27108,0,10,0,"1-1"}}</t>
    <phoneticPr fontId="6" type="noConversion"/>
  </si>
  <si>
    <t>卡尔</t>
    <phoneticPr fontId="6" type="noConversion"/>
  </si>
  <si>
    <t>{{35001,0,1,0,"1-1"}}</t>
    <phoneticPr fontId="6" type="noConversion"/>
  </si>
  <si>
    <t>{{35007,0,1,0,"1-1"}}</t>
    <phoneticPr fontId="6" type="noConversion"/>
  </si>
  <si>
    <t>{{35011,0,1,0,"1-1"}}</t>
    <phoneticPr fontId="6" type="noConversion"/>
  </si>
  <si>
    <t>[21级]升星</t>
    <phoneticPr fontId="6" type="noConversion"/>
  </si>
  <si>
    <t>{{35014,3,1,0,"1-1"}}</t>
  </si>
  <si>
    <t>&lt;p&gt;
&lt;n&gt;  在&lt;/n&gt;&lt;dialog taskid="12200" text="勋章商店" hotkeyid="14" tabid="5-0" treeid="111" leafid="1" /&gt;&lt;n&gt;兑换绿色武器&lt;/n&gt;
&lt;newline/&gt;
&lt;n&gt;  回复： &lt;/n&gt;
 &lt;n&gt; &lt;/n&gt;&lt;goto id="60164" mapid="4" flagpoint="1" taskid="12200" /&gt;
&lt;/p&gt;</t>
    <phoneticPr fontId="6" type="noConversion"/>
  </si>
  <si>
    <t>[36级]疾走龙危机</t>
    <phoneticPr fontId="6" type="noConversion"/>
  </si>
  <si>
    <t>[40级]鳞片</t>
    <phoneticPr fontId="6" type="noConversion"/>
  </si>
  <si>
    <t>[46级]魔族的威胁</t>
    <phoneticPr fontId="6" type="noConversion"/>
  </si>
  <si>
    <t>&lt;p&gt;
&lt;n&gt;  寻找1瓶生命药（中）&lt;/n&gt;
&lt;newline/&gt;&lt;store id="1" text="随身商店"/&gt;
&lt;n&gt;  回复： &lt;/n&gt;
 &lt;n&gt; &lt;/n&gt;&lt;goto id="60163" mapid="4" flagpoint="1" taskid="13030" /&gt;
&lt;/p&gt;</t>
    <phoneticPr fontId="6" type="noConversion"/>
  </si>
  <si>
    <t>&lt;p&gt;
&lt;n&gt;  完成一次属性精炼&lt;/n&gt;&lt;dialog taskid="1586" text="打开属性精炼界面" hotkeyid="103" tabid="4-0" treeid="15" leafid="19" /&gt;
&lt;/p&gt;</t>
    <phoneticPr fontId="6" type="noConversion"/>
  </si>
  <si>
    <t>&lt;p&gt;
&lt;n&gt;  回复： &lt;/n&gt;
 &lt;n&gt; &lt;/n&gt;&lt;dialog taskid="1765" text="打开宝石镶嵌界面" hotkeyid="103" tabid="4-0" treeid="15" leafid="6" /&gt;&lt;goto quick="1" id="113" mapid="3" flagpoint="1" taskid="1765" /&gt;
&lt;/p&gt;</t>
    <phoneticPr fontId="6" type="noConversion"/>
  </si>
  <si>
    <t>&lt;p&gt;
&lt;n&gt;  使用金刚钻在装备上打孔&lt;/n&gt;&lt;dialog taskid="1765" text="打开装备打孔界面" hotkeyid="103" tabid="4-0" treeid="15" leafid="5" /&gt;&lt;n&gt; &lt;/n&gt;&lt;goto quick="1" id="113" mapid="3" flagpoint="1" taskid="1764" /&gt;
&lt;/p&gt;</t>
    <phoneticPr fontId="6" type="noConversion"/>
  </si>
  <si>
    <t>body(   小提示：后缀“物”主物理防御，可以克制战士、枪手；后缀“魔”主魔法防御，可以克制魔刃、魔炮、牧师、术士)</t>
    <phoneticPr fontId="6" type="noConversion"/>
  </si>
  <si>
    <t>body(   先收集一些赤甲蝎的鳞片，也算是对hot(卡尔)有了交代。)</t>
    <phoneticPr fontId="6" type="noConversion"/>
  </si>
  <si>
    <t>body(   我们要系统地消灭他们，连根带叶！)</t>
    <phoneticPr fontId="6" type="noConversion"/>
  </si>
  <si>
    <t>{{26128,0,10,0,"1-1"}}</t>
    <phoneticPr fontId="6" type="noConversion"/>
  </si>
  <si>
    <t>&lt;p&gt;
&lt;n&gt;  消灭&lt;/n&gt;
 &lt;n&gt; &lt;/n&gt;&lt;goto quick="1" id="10009" mapid="2" flagpoint="1" taskid="3431" /&gt;
&lt;/p&gt;</t>
    <phoneticPr fontId="6" type="noConversion"/>
  </si>
  <si>
    <t>[53级]特殊属性</t>
  </si>
  <si>
    <t>body(   设置特殊属性，可以增加攻击伤害。)</t>
  </si>
  <si>
    <t>{s_taskTalk,{113,113}}</t>
  </si>
  <si>
    <t>&lt;p&gt;
&lt;n&gt;  消灭&lt;/n&gt;
 &lt;n&gt; &lt;/n&gt;&lt;goto quick="1" id="10009" mapid="2" flagpoint="1" taskid="3432" /&gt;
&lt;/p&gt;</t>
    <phoneticPr fontId="6" type="noConversion"/>
  </si>
  <si>
    <t>&lt;p&gt;
&lt;n&gt;  消灭&lt;/n&gt;
 &lt;n&gt; &lt;/n&gt;&lt;goto quick="1" id="10009" mapid="2" flagpoint="1" taskid="3433" /&gt;
&lt;/p&gt;</t>
    <phoneticPr fontId="6" type="noConversion"/>
  </si>
  <si>
    <t>&lt;p&gt;
&lt;n&gt;  消灭&lt;/n&gt;
 &lt;n&gt; &lt;/n&gt;&lt;goto quick="1" id="10009" mapid="2" flagpoint="1" taskid="3434" /&gt;
&lt;/p&gt;</t>
    <phoneticPr fontId="6" type="noConversion"/>
  </si>
  <si>
    <t>&lt;p&gt;
&lt;n&gt;  消灭&lt;/n&gt;
 &lt;n&gt; &lt;/n&gt;&lt;goto quick="1" id="10009" mapid="2" flagpoint="1" taskid="3435" /&gt;
&lt;/p&gt;</t>
    <phoneticPr fontId="6" type="noConversion"/>
  </si>
  <si>
    <t>&lt;p&gt;
&lt;n&gt;  消灭&lt;/n&gt;
 &lt;n&gt; &lt;/n&gt;&lt;goto quick="1" id="10009" mapid="2" flagpoint="1" taskid="3436" /&gt;
&lt;/p&gt;</t>
    <phoneticPr fontId="6" type="noConversion"/>
  </si>
  <si>
    <t>&lt;p&gt;
&lt;n&gt;  消灭&lt;/n&gt;
 &lt;n&gt; &lt;/n&gt;&lt;goto quick="1" id="10009" mapid="2" flagpoint="1" taskid="3437" /&gt;
&lt;/p&gt;</t>
    <phoneticPr fontId="6" type="noConversion"/>
  </si>
  <si>
    <t>&lt;p&gt;
&lt;n&gt; &lt;/n&gt;&lt;dialog taskid="1766" text="打开角色界面" hotkeyid="1"/&gt; &lt;n&gt;设置特殊属性攻击，&lt;/n&gt;&lt;n&gt;  回复： &lt;/n&gt;&lt;goto quick="1" id="113" mapid="3" flagpoint="1" taskid="1766" /&gt;
&lt;/p&gt;</t>
    <phoneticPr fontId="6" type="noConversion"/>
  </si>
  <si>
    <t>&lt;p&gt;
&lt;n&gt;  &lt;/n&gt;
&lt;goto quick="1" id="60035" mapid="2" flagpoint="1" taskid="3341"/&gt;&lt;n&gt;需要你&lt;/n&gt;&lt;newline/&gt;
&lt;dialog taskid="3341" text="打开合成界面" hotkeyid="12" /&gt;
&lt;n&gt;将5件白装合成为1件蓝装&lt;/n&gt;
&lt;/p&gt;</t>
    <phoneticPr fontId="6" type="noConversion"/>
  </si>
  <si>
    <t>title(（7级）小镇居民)
body(hotyellow_3(任务进程:)newline()
   与小镇居民对话，goto(60018,2)，goto(60066,2)，还有goto(60065,2)都在等着你。完成后告知goto(60016,2)。
blankline()hotyellow_3(任务描述:)newline() 
   迷雾小镇是个受诅咒的地方。blankline()   镇长马卡兰让你去与小镇的几个居民对话，了解下目前的情况。)</t>
    <phoneticPr fontId="6" type="noConversion"/>
  </si>
  <si>
    <t>title( （13级）驯化宠物)
body(hotyellow_3(任务进程:)newline()
   与goto(60011,1)一起进入宠物房间，并完成驯化一只宠物的教学。    
blankline()hotyellow_3(任务描述:)newline() 
   嘘，不要告诉别人我在这里。在我后面有个神秘的坑洞，里面居然有另外一个世界！而且还有奇怪的小动物，如果你保守秘密，我可以带你去看看。
blankline()
   当鼠标移动至宠物身上，变为抓取图示后，点击想捕捉的宠物，就可以开始捕捉了。)</t>
    <phoneticPr fontId="6" type="noConversion"/>
  </si>
  <si>
    <t>title(（38级）收集解毒草)
body(hotyellow_3(任务进程:)newline()
   收集3个goto(60186,3)向goto(60148,3)回复。
blankline()hotyellow_3(任务描述:)newline() 
   在开始下一轮的行动之前，我们先要储备足够的解毒草以备不时之需。player()，请替我收集3棵解毒草吧！)</t>
    <phoneticPr fontId="6" type="noConversion"/>
  </si>
  <si>
    <t>title(（37级）比大小)
body(hotyellow_3(任务进程:)newline()
   和goto(60149,3)玩比大小。
blankline()hotyellow_3(任务描述:)newline() 
   不要管尼古拉那个废物了，player()陪我玩一把比大小吧，我知道你很在行的。)</t>
    <phoneticPr fontId="6" type="noConversion"/>
  </si>
  <si>
    <t>body(   我看到好多盘韭菜炒大熊猫在天上飞……完了，完了，我中毒了……blankline()space()space()space()player()，快去帮我找赏金猎人索罗斯，他应该有办法解毒……blankline()   我不吃大熊猫的……)</t>
    <phoneticPr fontId="6" type="noConversion"/>
  </si>
  <si>
    <t>卡米乔</t>
    <phoneticPr fontId="6" type="noConversion"/>
  </si>
  <si>
    <t>body(   虽然经过这一段时间的休整，光明骑士团的伤情有所好转。但是瘟疫的蔓延依旧没有减缓的趋势。blankline()space()space()space()player()，请你帮我询问一下艾伦，疫病的源头找到了没有？)</t>
    <phoneticPr fontId="6" type="noConversion"/>
  </si>
  <si>
    <t>title(（30级）遗言)
body(hotyellow_3(任务进程:)newline()
   去找goto(60000,3)。
blankline()hotyellow_3(任务描述:)newline() 
   我已经不行啦……抱歉，曾经宣誓为保护正义战斗一辈子！就这样结束了，真是不甘心啊！blankline()space()space()space()player()，请将我们小队的情况告诉长官卡尔，你做的已经够多了。现在我想一个人安静地死去。)</t>
    <phoneticPr fontId="6" type="noConversion"/>
  </si>
  <si>
    <t>body(   我已经不行啦……抱歉，曾经宣誓为保护正义战斗一辈子！就这样结束了，真是不甘心啊！blankline()space()space()space()player()，请将我们小队的情况告诉长官卡尔，你做的已经够多了。现在我想一个人安静的死去。)</t>
    <phoneticPr fontId="6" type="noConversion"/>
  </si>
  <si>
    <t>[21级]更多福利</t>
    <phoneticPr fontId="6" type="noConversion"/>
  </si>
  <si>
    <t>[28级]改名</t>
    <phoneticPr fontId="6" type="noConversion"/>
  </si>
  <si>
    <t>伊莎贝拉</t>
    <phoneticPr fontId="6" type="noConversion"/>
  </si>
  <si>
    <t>body(   如果不喜欢现在的名字，可以去改个名哦。)</t>
    <phoneticPr fontId="6" type="noConversion"/>
  </si>
  <si>
    <t>可以到国家管理处改名</t>
    <phoneticPr fontId="6" type="noConversion"/>
  </si>
  <si>
    <t>&lt;p&gt;
&lt;n&gt; &lt;/n&gt;&lt;n&gt;可以到&lt;/n&gt;&lt;goto quick="1" id="195" mapid="3" flagpoint="1" taskid="15141" /&gt;&lt;n&gt;处改名&lt;/n&gt;
&lt;/p&gt;</t>
    <phoneticPr fontId="6" type="noConversion"/>
  </si>
  <si>
    <t>&lt;p&gt;
&lt;n&gt;  回复： &lt;/n&gt;
 &lt;n&gt; &lt;/n&gt;&lt;goto quick="1" id="60011" mapid="2" flagpoint="1" taskid="3451" /&gt;
&lt;/p&gt;</t>
    <phoneticPr fontId="6" type="noConversion"/>
  </si>
  <si>
    <t>&lt;p&gt;
&lt;n&gt;  &lt;/n&gt;&lt;goto quick="1" id="41613" mapid="100" flagpoint="1" taskid="3461" /&gt;
&lt;/p&gt;</t>
    <phoneticPr fontId="6" type="noConversion"/>
  </si>
  <si>
    <t>&lt;p&gt;
&lt;n&gt;  消灭&lt;/n&gt;
 &lt;n&gt; &lt;/n&gt;&lt;goto quick="1" id="10009" mapid="2" taskid="3481" flagpoint="1" /&gt;
 &lt;newline/&gt;
&lt;n&gt;  使宠物升到2级&lt;/n&gt;
&lt;/p&gt;</t>
    <phoneticPr fontId="6" type="noConversion"/>
  </si>
  <si>
    <t>&lt;p&gt;
&lt;n&gt;  去&lt;/n&gt;
 &lt;goto pos="163,314" mapid="2"  flagpoint="1" taskid="3521"/&gt;
&lt;n&gt;播撒种子&lt;/n&gt;
&lt;newline/&gt;
&lt;dialog taskid="3521" text="点击打开包裹" hotkeyid="2" /&gt;&lt;n&gt;，使用包裹内的小麦种子&lt;/n&gt;
&lt;/p&gt;</t>
    <phoneticPr fontId="6" type="noConversion"/>
  </si>
  <si>
    <t>&lt;p&gt;
&lt;n&gt;  消灭4只&lt;/n&gt;
 &lt;n&gt; &lt;/n&gt;&lt;goto quick="1" id="10013" mapid="2" flagpoint="1" taskid="3582" /&gt;
&lt;/p&gt;</t>
    <phoneticPr fontId="6" type="noConversion"/>
  </si>
  <si>
    <t>&lt;p&gt;
&lt;n&gt;  消灭4只&lt;/n&gt;
 &lt;n&gt; &lt;/n&gt;&lt;goto quick="1" id="10013" mapid="2" flagpoint="1" taskid="3583" /&gt;
&lt;/p&gt;</t>
    <phoneticPr fontId="6" type="noConversion"/>
  </si>
  <si>
    <t>请选择一件装备升级到1星</t>
    <phoneticPr fontId="6" type="noConversion"/>
  </si>
  <si>
    <t>body(   请将收集的数据告诉hot(罗杰斯)。他在分析能力上，超乎常人得敏锐。)</t>
    <phoneticPr fontId="6" type="noConversion"/>
  </si>
  <si>
    <t>title(（39级）报告)
body(hotyellow_3(任务进程:)newline()
   去找goto(60151,3)。
blankline()hotyellow_3(任务描述:)newline() 
   请将收集的数据告诉hot(罗杰斯)。他在分析能力上，超乎常人得敏锐。)</t>
    <phoneticPr fontId="6" type="noConversion"/>
  </si>
  <si>
    <t xml:space="preserve"> &lt;p&gt;
&lt;n&gt;  护送到：&lt;/n&gt;
 &lt;n&gt; &lt;/n&gt;&lt;goto id="60028" mapid="2" flagpoint="1" taskid="3641"
&lt;/p&gt;</t>
    <phoneticPr fontId="6" type="noConversion"/>
  </si>
  <si>
    <t>&lt;p&gt;
&lt;n&gt;  从&lt;/n&gt;
 &lt;n&gt; &lt;/n&gt;&lt;goto quick="1" id="10134" mapid="2" flagpoint="1" taskid="3721" /&gt;
&lt;n&gt;处夺回芯片&lt;/n&gt;
&lt;/p&gt;</t>
    <phoneticPr fontId="6" type="noConversion"/>
  </si>
  <si>
    <t>&lt;p&gt;
&lt;n&gt;  获取10个&lt;/n&gt;
 &lt;n&gt; &lt;/n&gt;&lt;goto quick="1" id="10027" mapid="4" flagpoint="1" taskid="3872" /&gt;
&lt;n&gt;的骨爪&lt;/n&gt;
&lt;/p&gt;</t>
    <phoneticPr fontId="6" type="noConversion"/>
  </si>
  <si>
    <t>&lt;p&gt;
&lt;n&gt;  获取10个&lt;/n&gt;
 &lt;n&gt; &lt;/n&gt;&lt;goto quick="1" id="10027" mapid="4" flagpoint="1" taskid="3873" /&gt;
&lt;n&gt;的骨爪&lt;/n&gt;
&lt;/p&gt;</t>
    <phoneticPr fontId="6" type="noConversion"/>
  </si>
  <si>
    <t>&lt;p&gt;
&lt;n&gt;  收集&lt;/n&gt;
 &lt;n&gt; &lt;/n&gt;&lt;goto quick="1" id="10028" mapid="4" flagpoint="1" taskid="1319" /&gt;
&lt;n&gt;的细胞样本&lt;/n&gt;
&lt;/p&gt;</t>
    <phoneticPr fontId="6" type="noConversion"/>
  </si>
  <si>
    <t>&lt;p&gt;
&lt;n&gt;  收集&lt;/n&gt;
 &lt;n&gt; &lt;/n&gt;&lt;goto quick="1" id="10028" mapid="4" flagpoint="1" taskid="1320" /&gt;
&lt;n&gt;的细胞样本&lt;/n&gt;
&lt;/p&gt;</t>
    <phoneticPr fontId="6" type="noConversion"/>
  </si>
  <si>
    <t>&lt;p&gt;
&lt;n&gt;  获取&lt;/n&gt;
 &lt;n&gt; &lt;/n&gt;&lt;goto quick="1" id="10031" mapid="4" flagpoint="1" taskid="4032" /&gt;
&lt;n&gt;的样本&lt;/n&gt;
&lt;/p&gt;</t>
    <phoneticPr fontId="6" type="noConversion"/>
  </si>
  <si>
    <t>&lt;p&gt;
&lt;n&gt;  获取&lt;/n&gt;
 &lt;n&gt; &lt;/n&gt;&lt;goto quick="1" id="10031" mapid="4" flagpoint="1" taskid="4033" /&gt;
&lt;n&gt;的样本&lt;/n&gt;
&lt;/p&gt;</t>
    <phoneticPr fontId="6" type="noConversion"/>
  </si>
  <si>
    <t>每日备忘</t>
    <phoneticPr fontId="6" type="noConversion"/>
  </si>
  <si>
    <t>领取护国徽章</t>
    <phoneticPr fontId="6" type="noConversion"/>
  </si>
  <si>
    <t>领取团官员奖励</t>
    <phoneticPr fontId="6" type="noConversion"/>
  </si>
  <si>
    <t>领取支持度声望</t>
    <phoneticPr fontId="6" type="noConversion"/>
  </si>
  <si>
    <t>领取活力点宝箱</t>
    <phoneticPr fontId="6" type="noConversion"/>
  </si>
  <si>
    <t>羽翼入魂</t>
    <phoneticPr fontId="6" type="noConversion"/>
  </si>
  <si>
    <t>宠物玩耍</t>
    <phoneticPr fontId="6" type="noConversion"/>
  </si>
  <si>
    <t>宠物指挥棒使用</t>
    <phoneticPr fontId="6" type="noConversion"/>
  </si>
  <si>
    <t>骑魂融合</t>
    <phoneticPr fontId="6" type="noConversion"/>
  </si>
  <si>
    <t>炼金材料兑换</t>
    <phoneticPr fontId="6" type="noConversion"/>
  </si>
  <si>
    <t>购买幸运礼券</t>
    <phoneticPr fontId="6" type="noConversion"/>
  </si>
  <si>
    <t>购买优惠潘多拉魔盒</t>
    <phoneticPr fontId="6" type="noConversion"/>
  </si>
  <si>
    <t>膜拜帝皇</t>
    <phoneticPr fontId="6" type="noConversion"/>
  </si>
  <si>
    <t>每周备忘</t>
    <phoneticPr fontId="6" type="noConversion"/>
  </si>
  <si>
    <t>领取周回馈福利</t>
    <phoneticPr fontId="6" type="noConversion"/>
  </si>
  <si>
    <t>功勋兑换经验</t>
    <phoneticPr fontId="6" type="noConversion"/>
  </si>
  <si>
    <t>国战勋章兑换经验</t>
    <phoneticPr fontId="6" type="noConversion"/>
  </si>
  <si>
    <t>国战勋章兑换羽灵</t>
    <phoneticPr fontId="6" type="noConversion"/>
  </si>
  <si>
    <t>国战勋章兑换生命时钟</t>
    <phoneticPr fontId="6" type="noConversion"/>
  </si>
  <si>
    <t>国战勋章兑换炼金材料</t>
    <phoneticPr fontId="6" type="noConversion"/>
  </si>
  <si>
    <t>国战勋章兑换神魂印记</t>
    <phoneticPr fontId="6" type="noConversion"/>
  </si>
  <si>
    <t>帝都勋章兑换经验</t>
    <phoneticPr fontId="6" type="noConversion"/>
  </si>
  <si>
    <t>帝都勋章兑换神魂印记</t>
    <phoneticPr fontId="6" type="noConversion"/>
  </si>
  <si>
    <t>[61级]运镖交替</t>
  </si>
  <si>
    <t>[日常]运镖</t>
  </si>
  <si>
    <t>body(      亲爱player()，完成1次hot(运镖)，我将送给你一份端午节礼物！newline() 
space()space()space()hot(未接取时，您可以通过下方“刷新任务”按钮更换任务，每次消耗1个命运骰子))</t>
  </si>
  <si>
    <t>"需要完成1次运镖任务"</t>
  </si>
  <si>
    <t>body(      亲爱player()，完成1次hot(运镖)，我将送给你一份奥运礼物！newline() 
space()space()space()hot(未接取时，您可以通过下方“刷新任务”按钮更换任务，每次消耗1个命运骰子))</t>
  </si>
  <si>
    <t>[日常]完成1次运镖</t>
  </si>
  <si>
    <t>运镖完成1次</t>
  </si>
  <si>
    <t>"您还没有1个生姜饼,风之国国民在节日期间完成运镖可以获得1个生姜饼。"</t>
  </si>
  <si>
    <t>"您还没有1个粟米糖,沙之国国民在节日期间完成运镖可以获得1个粟米糖。"</t>
  </si>
  <si>
    <t>"您还没有1个太妃糖,花之国国民在节日期间完成运镖可以获得1个太妃糖。"</t>
  </si>
  <si>
    <t>body(   你的能力已经足以应付地宫的危险了。所以，日常的讨伐逆贼将取消。当然你也可以继续去地宫训练自己。这里有一件事情需要你帮助。不死老兵一直愁眉不展的，你去问问他吧。)</t>
  </si>
  <si>
    <t>[日常]讨伐逆贼</t>
  </si>
  <si>
    <t>[赏金]制作讨伐逆贼卷轴</t>
  </si>
  <si>
    <t>body(      亲爱player()，完成1次hot(讨伐逆贼)，我将送给你一份端午节礼物！newline() 
space()space()space()hot(未接取时，您可以通过下方“刷新任务”按钮更换任务，每次消耗1个命运骰子))</t>
  </si>
  <si>
    <t>"需要完成1次讨伐逆贼任务"</t>
  </si>
  <si>
    <t>body(      亲爱player()，完成1次hot(讨伐逆贼)，我将送给你一份奥运礼物！newline() 
space()space()space()hot(未接取时，您可以通过下方“刷新任务”按钮更换任务，每次消耗1个命运骰子))</t>
  </si>
  <si>
    <t>title(（63级）偏差的情报)
body(hotyellow_3(任务进程:)newline()
   去找goto(60086,7)。
blankline()hotyellow_3(任务描述:)newline() 
   赏金猎人果然善于刺探，我们光明骑士团的确准备消灭沙漠中的沙漠妖姬。只不过，我们准备剿灭的是hot(铁甲木乃伊)，而不是那些普通的小沙漠妖姬。blankline()
   我们打算在三天后采取行动剿灭铁甲木乃伊，如果雷伊有诚意的话，就请他好好利用这三天时间吧！)</t>
  </si>
  <si>
    <t>[日常]刺探</t>
  </si>
  <si>
    <t>刺探</t>
  </si>
  <si>
    <t>本次行动，需要你完成1次刺探任务。</t>
  </si>
  <si>
    <t>完成1次刺探任务吧！</t>
  </si>
  <si>
    <t>body(   我们追随王最后一次战阵夺营。从地狱的深渊归来，那一天彩云弥漫，日晕如轮，胜利的红毯铺了数公里。我们仰着头，接受人们的呼喝。而走在我们最前头的，便是我们的君王。王是强大的存在，他平易近人，且实力高深。那一天的景象仿佛还在脑海。真是令人心生澎湃啊！
blankline()   呵呵，君士坦丁这老狐狸，如果好了伤疤忘了疼。沙漠的危机也许只是个契机。你如果想知道更多的，可以去问问他。)</t>
  </si>
  <si>
    <t>[51级]免费获得战阵夺营卷轴</t>
  </si>
  <si>
    <t>title(（41级）免费获得战阵夺营卷轴)
body(hotyellow_3(任务进程:)newline()
   与goto(197,7)对话，回答他的问题。
blankline()hotyellow_3(任务描述:)newline() 
   嗯，player()。战阵夺营是向他国示威的一种行为，如果你实力不足的话，也可以寻求勇士的帮助，使用战阵夺营卷轴一样可以完成任务。)</t>
  </si>
  <si>
    <t>body(   嗯，player()。战阵夺营是向他国示威的一种行为，如果你实力不足的话，也可以寻求勇士的帮助，使用战阵夺营卷轴一样可以完成任务。我赠送你一些珍贵的卷轴，一定要珍惜哦。)</t>
  </si>
  <si>
    <t>body(   战阵夺营卷轴可以完成战阵夺营任务。)</t>
  </si>
  <si>
    <t>"你了解战阵夺营卷轴的用途了么"</t>
  </si>
  <si>
    <t>[日常]近卫战阵夺营</t>
  </si>
  <si>
    <t>国家战阵夺营</t>
  </si>
  <si>
    <t>[赏金]制作战阵夺营卷轴</t>
  </si>
  <si>
    <t>body(      亲爱player()，完成1次hot(战阵夺营)即可完成任务，我将送给你一份端午节礼物！newline() 
space()space()space()hot(未接取时，您可以通过下方“刷新任务”按钮更换任务，每次消耗1个命运骰子))</t>
  </si>
  <si>
    <t>"需要完成1次战阵夺营任务"</t>
  </si>
  <si>
    <t>body(      亲爱player()，完成1次hot(战阵夺营)即可完成任务，我将送给你一份奥运礼物！newline() 
space()space()space()hot(未接取时，您可以通过下方“刷新任务”按钮更换任务，每次消耗1个命运骰子))</t>
  </si>
  <si>
    <t>title(（活动）（奇异的晶果）)
body(hotyellow_3(任务进程:)newline()
   找到拥有hot(营养晶果[B阶])的玩家，通过右键菜单中的“邀请合并”功能，将“营养胶囊（空）”和“营养晶果[B阶]”合并成“营养胶囊”后回复goto(229,3)。
blankline()hotyellow_3(任务描述:)newline() 
space()space()space()1.寻找拥有“营养晶果[B阶]”的朋友；newline()
space()space()space()2.右键角色名，选择功能菜单中的“邀请合并”；newline()
space()space()space()3.在弹出的界面中，放入“营养胶囊（空）”，等待对方放入“营养晶果[B阶]”后点击“合并”按钮；newline()
space()space()space()4.成功合并的话，双方将各得到一个“营养胶囊”。newline()
space()space()space()（70级以上玩家在进行达芬奇处的“卧龙之谜”任务“营养晶果”时，会获得“营养晶果[B阶]”）newline()
)</t>
  </si>
  <si>
    <t>body(   我曾经过的一个国家，在高价收购“营养胶囊”，似乎在奥丁大陆可以得到这个东西。我给你个空胶囊，请去寻找拥有“营养晶果[B阶]”的人通过“邀请合并”的方式合成装满营养的胶囊。（70级以上玩家在进行达芬奇处的“卧龙之谜”任务“营养晶果”时，会获得“营养晶果[B阶]”）)</t>
  </si>
  <si>
    <t>title(（活动）（乐于助人者的嘉奖）（每日3次）)
body(hotyellow_3(任务进程:)newline()
   帮助别人，从而获得更多的“营养胶囊”后，回复goto(229,3)。
blankline()hotyellow_3(任务描述:)newline() 
space()space()space()如果您拥有“营养晶果[B阶]”，请帮助拥有“营养胶囊（空）”的人合并，您和他都将各自获得1个“营养胶囊”，交付本任务后会获得奖励。newline()
space()space()space()（70级以上玩家在进行达芬奇处的“卧龙之谜”任务“营养晶果”时，会获得“营养晶果[B阶]”）newline()
)</t>
  </si>
  <si>
    <t>[随机]卧龙之谜</t>
  </si>
  <si>
    <t>[竞技]木牛流马</t>
  </si>
  <si>
    <t>木牛流马</t>
  </si>
  <si>
    <t>[情缘]情缘任务</t>
  </si>
  <si>
    <t>title([活动]穿越战火的爱（每日2次）)
body(hotyellow_3(任务进程:)newline()
   收集1个hot(安妮公主的祝福)，回复goto(301,5)hot(活动期间在goto(230,5)处完成情缘任务任务可获得任务道具)
blankline()hotyellow_3(任务描述:)newline() space()space()space()player()我与艾伦王子也是一次战场中相遇的，爱的力量可以使干戈化为玉帛，我希望你也能遇到命中注定的那个人，我真心地祝福你们！去找莎士比亚，看看你的情缘在哪里？newline()
   接取情缘任务后，邀请一个玩家，对方接受后前往女方所在国婚礼殿堂，向对方使用音乐盒完成任务，音乐盒存在时，双方每10秒可以获得一次大额经验)</t>
  </si>
  <si>
    <t>"收集1个安妮公主的祝福给我，活动期间在莎士比亚处完成情缘任务任务可获得任务道具)"</t>
  </si>
  <si>
    <t>title([七夕]今宵渡鹊桥（每日2次）)
body(hotyellow_3(任务进程:)newline()
   收集1个hot(七夕的祝福)，回复goto(320,5)hot(活动期间在goto(230,5)处完成情缘任务任务可获得任务道具)
blankline()hotyellow_3(任务描述:)newline() space()space()space()player()在这牛郎与织女相逢的佳节，你的他/她也一定在某地等待着你……去找寻吧，去珍惜吧，牛郎织女会给予你们祝福！newline()
   *活动期间，完成情缘任务，拥有任务的一方将额外获得“七夕的祝福”，交付可获得数量不等的hot(羽灵)奖励。newline()
   接取情缘任务后，邀请一个玩家，对方接受后前往女方所在国婚礼殿堂，向对方使用音乐盒完成任务，音乐盒存在时，双方每10秒可以获得一次大额经验)</t>
  </si>
  <si>
    <t>"收集1个七夕的祝福给我，活动期间在莎士比亚处完成情缘任务任务可获得任务道具)"</t>
  </si>
  <si>
    <t>情缘任务任务完成1次</t>
  </si>
  <si>
    <t>情缘任务</t>
  </si>
  <si>
    <t>[日常]不法黑市</t>
  </si>
  <si>
    <t>[31级]出发吧，官渡乱战</t>
  </si>
  <si>
    <t>[副本]官渡乱战</t>
  </si>
  <si>
    <t>[战斗]官渡乱战击杀2个人</t>
  </si>
  <si>
    <t>官渡乱战中击杀2个敌人</t>
  </si>
  <si>
    <t>title(（31级）K歌之王)
body(hotyellow_3(任务进程:)newline()
   这个世界上，只有麦克风是最响亮的。
blankline()hotyellow_3(任务描述:)newline() 
   1.尝试打开聊天窗口，敲击键盘上的hot(回车键“Enter”)打开游戏左下角的聊天窗口。newline() 
   2.在文字输入框左边使用鼠标选择hot(麦克)，并输入任意一段文字。newline()
   3.文字输入完成后，再次敲击键盘上的hot(回车键“Enter”)将文字内容发送出去，麦克风会传遍整个服务器，你的声音将盖过所有的声音。newline()
   4.完成本任务可获得丰厚奖励，每次发送麦克风需花费100元宝。)</t>
  </si>
  <si>
    <t>body(   player(),这个世界上，只有麦克风是最响亮的。
blankline()
   1.尝试打开聊天窗口，敲击键盘上的hot(回车键“Enter”)打开游戏左下角的聊天窗口。newline() 
   2.在文字输入框左边使用鼠标选择hot(麦克)，并输入任意一段文字。newline()
   3.文字输入完成后，再次敲击键盘上的hot(回车键“Enter”)将文字内容发送出去，麦克风会传遍整个服务器，你的声音将盖过所有的声音。newline()
   4.完成本任务可获得丰厚奖励，每次发送麦克风需花费100元宝。)</t>
  </si>
  <si>
    <t>&lt;p&gt;
&lt;n&gt;  选择麦克，输入文字后按“回车Enter”发送（消耗100元宝）&lt;/n&gt;&lt;newline/&gt;
&lt;dialog taskid="15130" text="开启聊天" hotkeyid="40" /&gt;
&lt;/p&gt;</t>
  </si>
  <si>
    <t>title(（28级）改名)
body(hotyellow_3(任务进程:)newline()
   游戏里面也是可以改名的。
blankline()hotyellow_3(任务描述:)newline() 
   1.到hot(“国家管理”)伊莎贝拉处改名。newline() 
   2.改名需要花费hot(3000元宝)。newline() 
   3.第一次改名hot(免费)。newline() 
 )</t>
  </si>
  <si>
    <t>body(space()space()space()player(),游戏里面也是可以改名的。
blankline()
    1.到hot(“国家管理”)伊莎贝拉处改名。newline() 
   2.改名需要花费hot(3000元宝)。newline()   3.第一次改名hot(免费)。newline()   )</t>
  </si>
  <si>
    <t>body(   您可以在我这里进行提升武器基础属性的升星操作，使用绑银或者银子支付费用都是可以的。)</t>
  </si>
  <si>
    <t>title(（53级）装备升星)
body(hotyellow_3(任务进程:)newline()
   将一件装备升级到3星。
blankline()hotyellow_3(任务描述:)newline()   您可以在我这里进行提升武器基础属性的升星操作！使用绑银或者银子支付费用都是可以的。player()，看在你是第一次来我这里的份上，第一次我就不收取费用了。)</t>
  </si>
  <si>
    <t>body(   您可以在我这里进行提升武器基础属性的升星操作，使用绑银或者银子支付费用都是可以的。player()，看在你是第一次来我这里的份上，第一次我就不收取费用了。)</t>
  </si>
  <si>
    <t>title(（38级）麻醉剂收集)
body(hotyellow_3(任务进程:)newline()
   将25个goto(10060,3)的hot(毒针囊)交给goto(60149,3)。
blankline()hotyellow_3(任务描述:)newline() 
   space()space()space()player()，那么好的身手，别浪费啊，我们一起赚钱吧！blankline()space()space()space()player()如果你能搞到hot(毒蜘蛛的针囊)，我就能搞到那些闪闪发光的银子。))</t>
  </si>
  <si>
    <t>body(space()space()space()player()，那么好的身手，别浪费啊，我们一起赚钱吧！blankline()space()space()space()player()如果你能搞到hot(毒蜘蛛的针囊)，我就能搞到那些闪闪发光的银子。)</t>
  </si>
  <si>
    <t>body(   那些沙漠偷猎者严重的损害了我们的利益，由于他们的存在，那些可以卖到100银子的东西我们只能够50银子的出售。所以我们要干掉他们。blankline()   不过沙漠到底还是光明骑士团的地盘，做这种事，总是要事先知会hot(拉奥)一声。)</t>
  </si>
  <si>
    <t>title(（31级）世界的宣言)
body(hotyellow_3(任务进程:)newline()
   你已经是一位优秀的战士，你要让全世界的人都认识你。
blankline()hotyellow_3(任务描述:)newline() 
   1.尝试打开聊天窗口，敲击键盘上的hot(回车键“Enter”)打开游戏左下角的聊天窗口。newline() 
   2.在文字输入框左边使用鼠标选择hot(世界)，并输入任意一段文字。newline()
   3.文字输入完成后，再次敲击键盘上的hot(回车键“Enter”)将文字内容发送出去，全世界的玩家将看到你的发言。newline()
   4.完成本任务可获得奖励，每次发送世界聊天需消耗200银子。)</t>
  </si>
  <si>
    <t>body(   player(),你已经是一位优秀的战士，你要让全世界的人都认识你。
blankline()
   1.尝试打开聊天窗口，敲击键盘上的hot(回车键“Enter”)打开游戏左下角的聊天窗口。newline() 
   2.在文字输入框左边使用鼠标选择hot(世界)，并输入任意一段文字。newline()
   3.文字输入完成后，再次敲击键盘上的hot(回车键“Enter”)将文字内容发送出去，全世界的玩家将看到你的发言。newline()
   4.完成本任务可获得奖励，每次发送世界聊天需消耗200银子。)</t>
  </si>
  <si>
    <t>&lt;p&gt;
&lt;n&gt;  选择世界，输入文字后按“回车Enter”发送（消耗200银子）&lt;/n&gt;&lt;newline/&gt;
&lt;dialog taskid="15120" text="开启聊天" hotkeyid="40" /&gt;
&lt;/p&gt;</t>
  </si>
  <si>
    <t>title(（21级）更多福利)
body(hotyellow_3(任务进程:)newline()
   银子可以做很多事情，同样也能兑换成绑银。
blankline()hotyellow_3(任务描述:)newline() 
   1.点击界面上的hot(“银子”)打开兑换银子界面。newline() 
   2.完成一次hot(元宝换取银子)。newline() 
   3.hot(100元宝=300银子)。
 )</t>
  </si>
  <si>
    <t>body(space()space()space()player(),银子可以做很多事情，同样也能兑换成绑银
blankline()
   1.点击界面上的hot(“银子”)打开元宝兑换银子界面。newline() 
   2.完成一次hot(元宝换取银子)。newline() 
   3.hot(100元宝=300银子)。 )</t>
  </si>
  <si>
    <t>body(   银子可以做很多事情，是游戏的基础货币。)</t>
  </si>
  <si>
    <t>使用一次元宝兑换银子</t>
  </si>
  <si>
    <t>&lt;p&gt;
&lt;n&gt;  完成一次&lt;/n&gt;
&lt;dialog taskid="15140" text="兑换银子" hotkeyid="15" tabid="12451841-1"/&gt;
&lt;/p&gt;</t>
  </si>
  <si>
    <t>body(    通过装备操作界面的神魂属性下的神魂解封使用上古神魂印记可以对完美紫色装备的神魂进行神魂解封，神魂总共有8阶，从0阶0段开始，最高可解封到7阶0段，每阶有6段，解封到7阶0段的神魂是非常强大的存在，能给装备增加强大的基础属性。神魂解封操作需消耗一定的银子。)</t>
  </si>
  <si>
    <t>title(团任务：)
body(hotyellow_3(任务进程:)newline()
   现在有一个情报需要向$NPCINFO确认，鉴于其重要和保密性,只能麻烦你亲自跑一趟了。
   blankline()
   hot(当前累积资金:$ALLMONEY,成功完成护送任务将获得银子$MYMONEY。)
blankline()
   hot2(任务完成后,千万不要忘记向goto(45110,101)汇报哦！))</t>
  </si>
  <si>
    <t>title(团任务：)
body(hotyellow_3(任务进程:)newline()
   这是一个考验：击杀hot($NUM只等级大于等于$MINLEVEL级的怪物)，我才能将接下来的任务交付给你。
   blankline()
   hot(当前累积资金:$ALLMONEY,成功完成护送任务将获得银子$MYMONEY。)
blankline()
   hot2(任务完成后,千万不要忘记向goto(45110,101)汇报哦！))</t>
  </si>
  <si>
    <t>title(团任务：)
body(hotyellow_3(任务进程:)newline()
   最近我在研究新型的装备，你能否帮我寻找hot(1件$MINLEVEL级$NAME)供我试验？据说相应等级的怪物会掉落这种装备，或者你只能看一下你的朋友是否收藏着这种装备！
   blankline()
   hot(当前累积资金:$ALLMONEY,成功完成护送任务将获得银子$MYMONEY。)
blankline()
   hot2(任务完成后,千万不要忘记向goto(45110,101)汇报哦！))</t>
  </si>
  <si>
    <t>title(团任务：)
body(hotyellow_3(任务进程:)newline()
   最近我在研究新型的武器，你能否帮我寻找hot(1件$MINLEVEL级$NAME)供我试验？据说相应等级的怪物会掉落这种装备，或者你只能看一下你的朋友是否收藏着这种装备！
   blankline()
   hot(当前累积资金:$ALLMONEY,成功完成护送任务将获得银子$MYMONEY。)
blankline()
   hot2(任务完成后,千万不要忘记向goto(45110,101)汇报哦！))</t>
  </si>
  <si>
    <t>title(团任务：)
body(hotyellow_3(任务进程:)newline()
   本次需要护送的物资已经整理完毕，这是我们团的主要经济来源！去找goto(122,3)领取hot(物资车)并将其护送到$NPCINFO处。
   blankline()
   hot(当前累积资金:$ALLMONEY,成功完成护送任务将获得银子$MYMONEY。))</t>
  </si>
  <si>
    <t>title(团任务：)
body(hotyellow_3(任务进程:)newline()
   由于团发展的需要,我们正面临资源短缺的困难,请帮我收集hot($NAME),此类物品低等级的可以通过迷雾废墟的goto(60049,2)进入hot(神秘矿洞)采集获得,高等级的可以通过低等级合成获得。
   blankline()
   hot(当前累积资金:$ALLMONEY,成功完成护送任务将获得银子$MYMONEY。)
blankline()
   hot2(任务完成后,千万不要忘记向goto(45110,101)汇报哦！))</t>
  </si>
  <si>
    <t>title(团任务：)
body(hotyellow_3(任务进程:)newline()
   请帮我收集hot($NAME)。据说该类物品散布在hot($MAPNAME)，探索你所能进入的每一个区域，你也许会得到意外的惊喜哦！
   blankline()
   hot(当前累积资金:$ALLMONEY,成功完成护送任务将获得银子$MYMONEY。)
blankline()
   hot2(任务完成后,千万不要忘记向goto(45110,101)汇报哦！))</t>
  </si>
  <si>
    <t>title(团任务：)
body(hotyellow_3(任务进程:)newline()
   由于团发展的需要,我们正面临资源短缺的困难,请帮我收集hot($NAME)。该物品可以通过生活技能生产获得,你也可以看看你的朋友是否收藏着此类物品！
   blankline()
   hot(当前累积资金:$ALLMONEY,成功完成护送任务将获得银子$MYMONEY。)
blankline()
   hot2(任务完成后,千万不要忘记向goto(45110,101)汇报哦！))</t>
  </si>
  <si>
    <t>title(团任务：)
body(hotyellow_3(任务进程:)newline()
   请帮我收集hot($NAME)。据说该类物品散布在hot($MAPNAME)，杀死那里活动的怪物都有几率会在它们身上找到它！
   blankline()
   hot(当前累积资金:$ALLMONEY,成功完成护送任务将获得银子$MYMONEY。)
blankline()
   hot2(任务完成后,千万不要忘记向goto(45110,101)汇报哦！))</t>
  </si>
  <si>
    <t>body(   战阵夺营是一件艰苦的事情，但是也是战士的荣耀，你可以将你的荣耀分享，去帮助需要的人，让他们分享你的荣耀。hot(完成战阵夺营赏金任务，奖励赏金卷轴（战阵夺营）1个，使用赏金卷轴（战阵夺营）可以直接完成战阵夺营任务，赏金卷轴（战阵夺营）可交易换取银子))</t>
  </si>
  <si>
    <t>body(   你可以拿着你的荣耀给需要的人hot(完成战阵夺营赏金任务，奖励赏金卷轴（战阵夺营）1个，使用赏金卷轴（战阵夺营）可以直接完成战阵夺营任务，赏金卷轴（战阵夺营）可交易换取银子))</t>
  </si>
  <si>
    <t>title(制作讨伐逆贼卷轴)
body(hotyellow_3(任务进程:)newline()
   杀死xx个goto(66666,9999)后向goto(60000,3)回复。)
blankline()hotyellow_3(任务描述:)newline() 
   完成本任务，可以获得1个赏金卷轴（生存），赏金卷轴（生存）可以直接完成讨伐逆贼，赏金卷轴（生存）可交易换取银子)</t>
  </si>
  <si>
    <t>body(   完成本任务，可以获得1个赏金卷轴（生存），赏金卷轴（生存）可以直接完成讨伐逆贼，赏金卷轴（生存）可交易换取银子blankline()   对于现在的你，击杀xx个xxx正合适。)</t>
  </si>
  <si>
    <t>body(   完成本任务，可以获得1个赏金卷轴（生存），赏金卷轴（生存）可以直接完成讨伐逆贼，赏金卷轴（生存）可交易换取银子。)</t>
  </si>
  <si>
    <t>title(制作讨伐逆贼卷轴)
body(hotyellow_3(任务进程:)newline()
   杀死xx个goto(66666,9999)后向goto(60559,5)回复。)
blankline()hotyellow_3(任务描述:)newline() 
   完成本任务，可以获得1个赏金卷轴（生存），赏金卷轴（生存）可以直接完成讨伐逆贼，赏金卷轴（生存）可交易换取银子)</t>
  </si>
  <si>
    <t>title(（挑战）旋转魔方(每天5次))
body(hotyellow_3(任务进程:)newline()
   旋转好魔方后，回复goto(216,3)。
blankline()hotyellow_3(任务描述:)newline() 
   我这有一道难题，这是一个施了魔法的三阶魔方，右键点击可旋转它，有概率解开，也有概率还是无法解开，多尝试几次吧，转到hot(“成功解开的魔方”)交给我可获取领取高额经验奖励。hot(如果你觉得难度太高，也可以花费300银子让我帮你解开))</t>
  </si>
  <si>
    <t>body(   我这有一道难题，这是一个施了魔法的三阶魔方，右键点击可旋转它，有概率解开，也有概率还是无法解开，多尝试几次吧，把它解开交给我可获取领取高额经验奖励。hot(如果你觉得难度太高，也可以花费300银子让我帮你解开))</t>
  </si>
  <si>
    <t>title(线下情缘)
body(hotyellow_3(任务进程:)newline()   找回你的有缘人。)newline()
   出国可以在goto(126,7)处进行跳转。newline()   完成后告知goto(197,7)。
blankline()hotyellow_3(任务描述:)newline() space()space()space()player()战阵夺营是一件艰苦的事情，但是也是战士的荣耀，你可以将你的荣耀分享，去帮助需要的人，让他们分享你的荣耀。hot(完成战阵夺营赏金任务，奖励赏金卷轴（战阵夺营）1个，使用赏金卷轴（战阵夺营）可以直接完成战阵夺营任务，赏金卷轴（战阵夺营）可交易换取银子))</t>
  </si>
  <si>
    <t>[道具]种植一棵银子花</t>
  </si>
  <si>
    <t>种植一棵银子花</t>
  </si>
  <si>
    <t>奖励银币</t>
    <phoneticPr fontId="6" type="noConversion"/>
  </si>
  <si>
    <t>title(（60级）武器领取)
body(hotyellow_3(任务进程:)newline()
   所有等级达到60级的玩家，即可与goto(191,3)对话，获取本职业hot(51级完美绿色5星武器1把)。
blankline()hotyellow_3(任务描述:)newline() 
   感谢您一直以来对于《三国战魂》的理解和支持。我们希望在之后的游戏旅途中能够给您带来快乐。)</t>
  </si>
  <si>
    <t>body(   感谢您一直以来对于《三国战魂》的理解和支持。我们希望在之后的游戏旅途中能够给您带来快乐。1-60级速升，60-70级内容开放。只有最痛快的你，才是最真实的游戏之王！)</t>
  </si>
  <si>
    <t>body(   除了武器，还有防具、攻击装备可以领取，不要错过了哦！与朋友挥斥方遒，体验爽快人生，尽在三国战魂！)</t>
  </si>
  <si>
    <t>title(（60级）护腕领取)
body(hotyellow_3(任务进程:)newline()
   所有等级达到60级的玩家，即可与goto(191,3)对话，获取hot(51级完美绿色5星护腕2件)（物理防御、魔法防御自选）。
blankline()hotyellow_3(任务描述:)newline() 
   感谢您一直以来对于《三国战魂》的理解和支持。我们希望在之后的游戏旅途中能够给您带来快乐。)</t>
  </si>
  <si>
    <t>body(   除了护腕，还有其他装备可以领取，不要错过了哦！与朋友挥斥方遒，体验爽快人生，尽在三国战魂！)</t>
  </si>
  <si>
    <t>title(（60级）护甲领取)
body(hotyellow_3(任务进程:)newline()
   所有等级达到60级的玩家，即可与goto(191,3)对话，获取hot(55级完美绿色5星护甲1件)（物理防御、魔法防御自选）。
blankline()hotyellow_3(任务描述:)newline() 
   感谢您一直以来对于《三国战魂》的理解和支持。我们希望在之后的游戏旅途中能够给您带来快乐。)</t>
  </si>
  <si>
    <t>body(   除了护甲，还有其他装备可以领取，不要错过了哦！与朋友挥斥方遒，体验爽快人生，尽在三国战魂！)</t>
  </si>
  <si>
    <t>title(（60级）勋章领取)
body(hotyellow_3(任务进程:)newline()
   所有等级达到60级的玩家，即可与goto(191,3)对话，获取hot(55级完美绿色5星勋章2件)（适应自身职业需求）。
blankline()hotyellow_3(任务描述:)newline() 
   感谢您一直以来对于《三国战魂》的理解和支持。我们希望在之后的游戏旅途中能够给您带来快乐。)</t>
  </si>
  <si>
    <t>body(   除了勋章，还有其他装备可以领取，不要错过了哦！与朋友挥斥方遒，体验爽快人生，尽在三国战魂！)</t>
  </si>
  <si>
    <t>title(（60级）戒指领取)
body(hotyellow_3(任务进程:)newline()
   所有等级达到60级的玩家，即可与goto(191,3)对话，获取hot(53级完美绿色5星戒指2枚)（适应自身职业需求）。
blankline()hotyellow_3(任务描述:)newline() 
   感谢您一直以来对于《三国战魂》的理解和支持。我们希望在之后的游戏旅途中能够给您带来快乐。)</t>
  </si>
  <si>
    <t>body(   除了戒指，还有其他装备可以领取，不要错过了哦！与朋友挥斥方遒，体验爽快人生，尽在三国战魂！)</t>
  </si>
  <si>
    <t>title(（60级）腰带领取)
body(hotyellow_3(任务进程:)newline()
   所有等级达到60级的玩家，即可与goto(191,3)对话，获取hot(53级完美绿色5星腰带1件)（物理防御、魔法防御自选）。
blankline()hotyellow_3(任务描述:)newline() 
   感谢您一直以来对于《三国战魂》的理解和支持。我们希望在之后的游戏旅途中能够给您带来快乐。)</t>
  </si>
  <si>
    <t>body(   除了腰带，还有其他装备可以领取，不要错过了哦！与朋友挥斥方遒，体验爽快人生，尽在三国战魂！)</t>
  </si>
  <si>
    <t>title(（60级）鞋子领取)
body(hotyellow_3(任务进程:)newline()
   所有等级达到60级的玩家，即可与goto(191,3)对话，获取hot(57级完美绿色5星鞋子1双)（物理防御、魔法防御自选）。
blankline()hotyellow_3(任务描述:)newline() 
   感谢您一直以来对于《三国战魂》的理解和支持。我们希望在之后的游戏旅途中能够给您带来快乐。)</t>
  </si>
  <si>
    <t>body(   除了鞋子，还有其他装备可以领取，不要错过了哦！与朋友挥斥方遒，体验爽快人生，尽在三国战魂！)</t>
  </si>
  <si>
    <t>title(（60级）项链领取)
body(hotyellow_3(任务进程:)newline()
   所有等级达到60级的玩家，即可与goto(191,3)对话，获取hot(57级完美绿色5星项链1条)（适应自身职业需求）。
blankline()hotyellow_3(任务描述:)newline() 
   感谢您一直以来对于《三国战魂》的理解和支持。我们希望在之后的游戏旅途中能够给您带来快乐。)</t>
  </si>
  <si>
    <t>body(   除了项链，还有其他装备可以领取，不要错过了哦！与朋友挥斥方遒，体验爽快人生，尽在三国战魂！)</t>
  </si>
  <si>
    <t>title(（60级）衬衣领取)
body(hotyellow_3(任务进程:)newline()
   所有等级达到60级的玩家，即可与goto(191,3)对话，获取hot(53级完美绿色5星衬衣1件)（物理防御、魔法防御自选）。
blankline()hotyellow_3(任务描述:)newline() 
   感谢您一直以来对于《三国战魂》的理解和支持。我们希望在之后的游戏旅途中能够给您带来快乐。)</t>
  </si>
  <si>
    <t>body(   除了衬衣，还有其他装备可以领取，不要错过了哦！与朋友挥斥方遒，体验爽快人生，尽在三国战魂！)</t>
  </si>
  <si>
    <t>title(（60级）头盔领取)
body(hotyellow_3(任务进程:)newline()
   所有等级达到60级的玩家，即可与goto(191,3)对话，获取hot(57级完美绿色5星头盔1件)（物理防御、魔法防御自选）。
blankline()hotyellow_3(任务描述:)newline() 
   感谢您一直以来对于《三国战魂》的理解和支持。我们希望在之后的游戏旅途中能够给您带来快乐。)</t>
  </si>
  <si>
    <t>body(   除了头盔，还有其他装备可以领取，不要错过了哦！与朋友挥斥方遒，体验爽快人生，尽在三国战魂！)</t>
  </si>
  <si>
    <t>title(（40级）“中秋”领奖)
body(hotyellow_3(任务进程:)newline()
   所有等级达到40级的玩家，通过完成日常任务获取“卡片：中”“卡片：秋”即可到goto(193,3)处兑换hot(月饼1份)（右键打开后可获得 升级宝石（中级）、镶嵌宝石 等装备强化道具！当日兑换上限20次）。newline()  “卡片：中”：60级以上玩家每天完成“运镖”任务可获取总计10张，60级以下玩家每天完成“运镖”任务可获取总计4张。打怪有极少几率掉落newline()  “卡片：秋”：每天每次完成“讨伐逆贼”任务可获取总计10张，打怪有极少几率掉落blankline()hotyellow_3(任务描述:)newline()  每年都有那么一天，人特别的倦，月特别的圆。故乡的风带不来家人的思念，一个电话或许才能传递更多的温暖。今年，不管您是否孤独，至少有《三国战魂》陪伴，有身旁的弟兄陪伴。)</t>
  </si>
  <si>
    <t>title(（40级）“快乐”领奖)
body(hotyellow_3(任务进程:)newline()
   所有等级达到40级的玩家，通过完成日常任务获取“卡片：快”“卡片：乐”即可到goto(193,3)处兑换hot(月饼1份)（右键打开后可获得 升级宝石（中级）、镶嵌宝石 等装备强化道具！当日兑换上限20次）。newline()  “卡片：快”：60级以上玩家每天完成“刺探”任务可获取总计10张卡片，打怪有极少几率掉落。，60级以下玩家每天完成“刺探”任务可获取总计4张。newline()  “卡片：乐”：每天每次完成“战阵夺营”任务可获取总计10张，打怪不掉落blankline()hotyellow_3(任务描述:)newline()  每年都有那么一天，人特别的倦，月特别的圆。故乡的风带不来家人的思念，一个电话或许才能传递更多的温暖。今年，不管您是否孤独，至少有《三国战魂》陪伴，有身旁的弟兄陪伴。)</t>
  </si>
  <si>
    <t>title(（40级）“中秋快乐”领奖)
body(hotyellow_3(任务进程:)newline()  
所有等级达到40级的玩家，通过完成日常任务获取“卡片：中”“卡片：秋”“卡片：快”“卡片：乐”即可到goto(193,3)处兑换hot(月饼1份)（右键打开后可获得 升级宝石（中级）、镶嵌宝石 等装备强化道具！当日兑换上限20次）。 newline()  “卡片：中”：60级以上玩家每天完成“运镖”任务可获取总计10张，60级以下玩家每天完成“运镖”任务可获取总计4张。newline()  “卡片：秋”：每天每次完成“讨伐逆贼”任务可获取总计10张，打怪有极少几率掉落。newline()  60级以上玩家每天完成“刺探”任务可获取总计10张卡片，打怪有极少几率掉落。，60级以下玩家每天完成“刺探”任务可获取总计4张。newline()  “卡片：乐”：每天每次完成“战阵夺营”任务可获取总计10张，打怪不掉落。blankline()hotyellow_3(任务描述:)newline()  每年都有那么一天，人特别的倦，月特别的圆。故乡的风带不来家人的思念，一个电话或许才能传递更多的温暖。今年，不管您是否孤独，至少有《三国战魂》陪伴，有身旁的弟兄陪伴。)</t>
  </si>
  <si>
    <t>[61级]偷砖</t>
  </si>
  <si>
    <t>偷砖</t>
  </si>
  <si>
    <t>title(（61级）偷砖)
body(hotyellow_3(任务进程:)newline()
   找到goto(60568,5)，那是我们国家的生命水晶。
blankline()hotyellow_3(任务描述:)newline() 
   找到hot(偷砖)，查看属于国家的荣耀。)</t>
  </si>
  <si>
    <t>body(   偷砖是衡量一个国家实力与强弱的重要因素。blankline()   去了解偷砖的运转情况吧！)</t>
  </si>
  <si>
    <t>title(（61级）了解水晶)
body(hotyellow_3(任务进程:)newline()
   与goto(60568,5)对话，了解偷砖的情况。
blankline()hotyellow_3(任务描述:)newline() 
   前往hot(偷砖处)了解一下该设备的基本运转情况。)</t>
  </si>
  <si>
    <t>body(   偷砖是国之重器，象征着帝国的繁荣与昌盛。水晶越多，越是象征着国家的强大。)</t>
  </si>
  <si>
    <t>title(（61级）回复君士坦丁)
body(hotyellow_3(任务进程:)newline()
   已经了解了偷砖，goto(60559,5)正在找你。
blankline()hotyellow_3(任务描述:)newline() 
   hot(大议长君士坦丁)等待着你，交流对于偷砖的感悟。)</t>
  </si>
  <si>
    <t>body(   你已经了解偷砖的运转情况。去吧……君士坦丁议长正在等着你。)</t>
  </si>
  <si>
    <t>南蛮入侵</t>
  </si>
  <si>
    <t>[31级]将魂强化</t>
  </si>
  <si>
    <t>body(   升级将魂可以提高生命值上限。)</t>
  </si>
  <si>
    <t>尚未提高将魂的等级</t>
  </si>
  <si>
    <t>&lt;p&gt;
&lt;n&gt;  提升将魂1级&lt;/n&gt;
 &lt;newline/&gt;
&lt;n&gt;  可在&lt;/n&gt;&lt;dialog taskid="4313" text="将魂升级界面" hotkeyid="103" tabid="4-0" treeid="15" leafid="13" /&gt;&lt;n&gt;进行操作&lt;/n&gt;
&lt;/p&gt;</t>
  </si>
  <si>
    <t>title(（26级）舞蹈的力量)
body(hotyellow_3(任务进程:)newline()
   去pos(376,355,3)的舞池舞蹈一分钟。
blankline()   完成后找到goto(60063,4)
blankline()hotyellow_3(任务描述:)newline()   跳舞需在“技能”栏中的“生存技能”学习”跳舞”技能，并只有在指定的区域才能跳舞。并可以通过下属方法提升跳舞的经验。newline()   hot2(1.君王发布舞会时跳舞，可获得额外的经验加成。)newline()   hot2(2.跳舞时使用舞票，品质越高，获得的经验加成越高。舞票可通过打怪或者拍卖行购买获得。)newline()   hot2(3.跳舞时，同时进行跳舞的玩家越多，获得的经验加成越高。)newline()   hot2(以上3点效果可叠加。))</t>
  </si>
  <si>
    <t>body(   跳舞需在“技能”栏中的“生存技能”学习”跳舞”技能，并只有在指定的区域才能跳舞。并可以通过下属方法提升跳舞的经验。newline()   hot2(1.君王发布舞会时跳舞，可获得额外的经验加成。)newline()   hot2(2.跳舞时使用舞票，品质越高，获得的经验加成越高。舞票可通过打怪或者拍卖行购买获得。)newline()   hot2(3.跳舞时，同时进行跳舞的玩家越多，获得的经验加成越高。)newline()   hot2(以上3点效果可叠加。))</t>
  </si>
  <si>
    <t>[战争]君王争夺战</t>
  </si>
  <si>
    <t>[活动]君王的恩赐</t>
  </si>
  <si>
    <t>body(   忠诚的骑士是君王的栋梁，应与吾王共享荣辱！)</t>
  </si>
  <si>
    <t>"你还没有达到君王的标准"</t>
  </si>
  <si>
    <t>请君王颁发官员奖金</t>
  </si>
  <si>
    <t>body(   特洛雷西副大丞相是个很严谨认真的人。你等级达到68级再去与他对话吧！)</t>
  </si>
  <si>
    <t>[68级]大丞相与议长</t>
  </si>
  <si>
    <t>大丞相守卫奥瑞姆</t>
  </si>
  <si>
    <t>body(   大丞相已经进入冥想阶段，在此之前，他叮嘱我们关注你的成长。)</t>
  </si>
  <si>
    <t>"与大丞相身旁的奥瑞姆对话"</t>
  </si>
  <si>
    <t>title(（71级）必须的补给)
body(hotyellow_3(任务进程:)newline()
   受hot(大丞相守卫奥瑞姆的委托)前往goto(60553,5)处寻求帮助。
blankline()hotyellow_3(任务描述:)newline() 
   大丞相已经进入冥想阶段。我们可能会在此很长一段时间。希望你能够帮我们获取一些补给，让我们可以守卫在大丞相身旁。)</t>
  </si>
  <si>
    <t>title(（71级）护送物资)
body(hotyellow_3(任务进程:)newline()
   将物资车护送至goto(60554,5)处。
blankline()hotyellow_3(任务描述:)newline() 
   大议长君士坦丁愿意提供大量的补给物资，你需要将补给物资护送至大丞相守卫奥瑞姆处。)</t>
  </si>
  <si>
    <t>"护送物资车前往大丞相守卫奥瑞姆处"</t>
  </si>
  <si>
    <t>body(   最近，深渊巨龟能够发出巨大的声波，每到这次我们就得燃烧斗气去抵御声波对于副大丞相的干扰。你能够帮我们将他击杀吗？以此保证大丞相的安危。)</t>
  </si>
  <si>
    <t>body(   这次祷告可能需要持续很长时间，不知道我们能不能坚持住。自从王失踪，大大丞相遁入地宫深处之后，特洛雷西大人就是我们的旗帜。希望这次特洛雷西大人能够顺利。)</t>
  </si>
  <si>
    <t>body(   （特洛雷西一脸疲惫，略带沮丧。）
blankline()   我通过冥想只能看到王的片段身影，看来王并没有陨落。王似乎在与什么战斗，昏天暗地，血光滔天。只是那个地方并不熟悉，看样子不像是在人间。
blankline()   不过也并不是没有好消息。我们的大丞相神剑战将格拉瓦的确切位置我已经知道了。接下来的事情我们会好好处理的。很感谢你一直以来对于我们的帮助！)</t>
  </si>
  <si>
    <t>body(   space()space()space()player()，你好，我是波塞冬。桃源圣地怎么样？感觉还不错吧！去转转，了解下这个世界。blankline()   )</t>
  </si>
  <si>
    <t>title( （2级）心愿)
body(hotyellow_3(任务进程:)newline()
   将迈克的告别信交给goto(60029,1)。
   blankline()hotyellow_3(任务描述:)newline() 
   直面死亡宿命，即使内心充满恐惧亦坚定前行，这既是战士的不幸也是战士的荣耀。我能感觉到命运的力量，它呼唤我，引导我走向涅槃。我并非在为即将到来的战斗苦恼，只是想在出发前能与艾薇儿告别。
   blankline()
   点击屏幕右侧hot(任务追踪的名字)或按hot(“M”键打开大地图)。你能在桃源圣地中部找到她。)</t>
  </si>
  <si>
    <t>title( （3级）归还装备)
body(hotyellow_3(任务进程:)newline()
   我有一件装备一直都没用，但总是被肚子熊拿去玩。前往goto(60169,1)找回一个单兵装备，交给goto(60031,1)。
blankline()hotyellow_3(任务描述:)newline() 
space()space()space()player()，我有一件“桃源圣地制式装备”放在旁边的物资箱中，麻烦你将它们拿出来。)</t>
  </si>
  <si>
    <t>"找回被肚子熊拿去玩的1件“桃源圣地制式装备”，并交给辛达。"</t>
  </si>
  <si>
    <t>&lt;p&gt;
&lt;n&gt;  去&lt;/n&gt;
 &lt;n&gt; &lt;/n&gt;&lt;goto quick="1" id="60169" mapid="1" flagpoint="1" taskid="3074" /&gt;
&lt;n&gt;去取1件“桃源圣地制式装备”&lt;/n&gt;
&lt;/p&gt;</t>
  </si>
  <si>
    <t>title(（4级） 整装待发（三）)
body(hotyellow_3(任务进程:)newline()
   准备完毕后去goto(60006,1)处报到。  
blankline()hotyellow_3(任务描述:)newline() 
   hot(   返回奥丁大陆后不知道何时才能回到桃源圣地，快去跟朋友们道个别吧！))</t>
  </si>
  <si>
    <t>桃源圣地角落里有些暴怒的甲魂，他们已经废弃无人管理</t>
  </si>
  <si>
    <t>title(（6级）失踪的士兵)
body(hotyellow_3(任务进程:)newline()
   杀死3只goto(10005,2)，并找到goto(60026,2)。
blankline()hotyellow_3(任务描述:)newline() 
   那群刚从桃源圣地降临的士兵，根本不知道迷雾废墟现在多危险。他们毫无准备地去了东部地区（地图右下角）探查。那里有一种叫做茄子假面的怪物，就像是戴着面具的大茄子。虽然听起来不错，但是事实上却一点都不让人觉得可爱。在寻找可能存在的生还者（昏迷的士兵）之前，先杀死3只茄子假面，了解他们的实力。)</t>
  </si>
  <si>
    <t>body(   虽然桃源圣地的使者身份尊贵，但是在我看来都还是未经历残酷战斗的孩子。)</t>
  </si>
  <si>
    <t>title(（7级）汇报)
body(hotyellow_3(任务进程:)newline()
   将迷雾废墟的情况告知goto(60006,1)。blankline()
blankline()hotyellow_3(任务描述:)newline() 
   刚一出发便有伤亡，是不是有人针对桃源圣地？player()，还是去向桃源圣地的长官汇报一下吧！)</t>
  </si>
  <si>
    <t>title(（7级）重返险境)
body(hotyellow_3(任务进程:)newline()
   去找迷雾废墟的goto(60015,2)。
blankline()hotyellow_3(任务描述:)newline() 
   感谢那些为拯救我们的战士所努力的人们。请向hot(小镇守卫鲍比)传达我们的谢意，那些受伤的战士我们会派专人接回桃源圣地的。blankline()space()space()space()player()，未来也许有更多的危险在等待你。但是，你可以挑战命运，改变未来。要知道，未来就在你的手中！)</t>
  </si>
  <si>
    <t>title( （12级）小女孩玛娜)
body(hotyellow_3(任务进程:)newline()
   去找goto(60011,1)。
blankline()hotyellow_3(任务描述:)newline() 
   虽然这个森林里没有了正常的生物，但是一些奇特的生物却并不含恶意。玛娜是从桃源圣地出来的孩子。她很特殊，能够与奇异生物进行沟通。你去见见他，或许能够为你提供一些帮助。)</t>
  </si>
  <si>
    <t>body(   玛娜是从桃源圣地出来的孩子。她很特殊，能够与奇异生物进行沟通。你去见见他，或许能够为你提供一些帮助。)</t>
  </si>
  <si>
    <t>body(   谢谢你对我们的帮助。你的战斗力让人吃惊。果然不愧是从桃源圣地出来的人！)</t>
  </si>
  <si>
    <t>[69级]再回桃源圣地</t>
  </si>
  <si>
    <t>body(   你来自桃源圣地吧？那是一个寄存希望的地方。这些年，赫肯大人苦苦支撑着，比起我们更加不容易。
blankline()   我需要你去“大贤者赫肯”处，取回一件寄存多年的宝物。)</t>
  </si>
  <si>
    <t>"前往桃源圣地，与大贤者赫肯对话"</t>
  </si>
  <si>
    <t>&lt;p&gt;
&lt;n&gt;  &lt;/n&gt;&lt;dialog taskid="4751" text="快速传送" hotkeyid="52"/&gt;&lt;n&gt;“返回桃源圣地”&lt;/n&gt;
&lt;newline/&gt;
&lt;n&gt;  回复： &lt;/n&gt; 
 &lt;n&gt; &lt;/n&gt;&lt;goto id="60045" mapid="1" flagpoint="1" taskid="4751" /&gt;
&lt;/p&gt;</t>
  </si>
  <si>
    <t>"前往桃源圣地神秘雕像取出道具"</t>
  </si>
  <si>
    <t>title(（20级）魔甲)
body(hotyellow_3(任务进程:)newline()
   去找goto(60037,2)。
blankline()hotyellow_3(任务描述:)newline()   哎……我离开凤城时，携带了多具威力强大的魔甲，以期能够用火力震慑魔族。但是不知为何，情报泄露。被魔人使用特殊的魔法扰乱了魔甲的操作，其中几具魔甲还处于混乱的状态。之后，剧毒猎杀者对我们混乱的队伍进行了袭击！如今我的战士伤亡沉重，甚至无法使用魔甲。这次是我指挥失职……blankline()   在我康复前，我已经将我们的魔甲寄放在小镇牧师拉尔夫处了。player()，我想拜托你去拉尔夫处，调用魔甲击毁那一辆失控的魔甲！ )</t>
  </si>
  <si>
    <t>title(（21级）艾伦的推荐信)
body(hotyellow_3(任务进程:)newline()
   将艾伦的hot(推荐信)交给凤城的goto(60000,3)。
blankline()hotyellow_3(任务描述:)newline() 
   hot3(光明骑士团是隶属于光明教会的武装力量！光明骑士团的存在，就是为了消灭黑暗，带领人类走向光明！))</t>
  </si>
  <si>
    <t>[21级]了解凤城</t>
  </si>
  <si>
    <t>&lt;p&gt;
&lt;n&gt;  凤城找&lt;/n&gt;
 &lt;n&gt; &lt;/n&gt;&lt;goto quick="1" id="135" mapid="3" flagpoint="1" taskid="3821"/&gt;
&lt;n&gt; “领取个人工资”&lt;/n&gt;
&lt;/p&gt;</t>
  </si>
  <si>
    <t>title(（21级）设置复活点)
body(hotyellow_3(任务进程:)newline()
   与goto(60550,3)对话，设置回城点。设置完毕之后，当你通过道具或者使用快速传送功能，或是角色重伤时选择“回城复活”即可直接回到凤城。)</t>
  </si>
  <si>
    <t>body(   英勇的战士，光明神的光辉将会眷顾着你的灵魂。只要你的灵魂不灭，我们将会重铸你的身躯。你去与安全区复活爱莎对话，设置好安全区复活点。之后，当你通过道具或者使用快速传送功能，或是角色受到重伤并点击“回城复活”时，您将会回到凤城。光明神的光辉将会庇佑你。)</t>
  </si>
  <si>
    <t>body(　　点击“设定这里为回城点”。当你通过道具或者使用快速传送功能，或是角色受到重伤并点击“回城复活”时，您将会回到凤城。光明神的光辉将会庇佑你。)</t>
  </si>
  <si>
    <t>title(（22级）商人杰克)
body(hotyellow_3(任务进程:)newline()
   去找goto(60065,3)。
blankline()hotyellow_3(任务描述:)newline() 
   凤城里的商人杰克，每天都会发布一些收集装备的任务。blankline()   虽然只是一些简单的收集，但是对增广见闻，增加经验还是很有帮助的。player()，有空的话，你应该去看看。)</t>
  </si>
  <si>
    <t>body(   凤城里的商人杰克，每天都会发布一些收集装备的任务。blankline()   虽然只是一些简单的收集，但是对增广见闻，增加经验还是很有帮助的。player()，有空的话，你应该去看看。)</t>
  </si>
  <si>
    <t>title(（22级）神秘人米迦勒)
body(hotyellow_3(任务进程:)newline()
   去找goto(60066,3)。
blankline()hotyellow_3(任务描述:)newline() 
   凤城中有一个叫做米迦勒的神秘家伙，也许你该去见见他，希望对你有所帮助。)</t>
  </si>
  <si>
    <t>body(   凤城中有一个叫做米迦勒的神秘家伙，也许你该去见见他，希望对你有所帮助。)</t>
  </si>
  <si>
    <t>title(（23级）口信)
body(hotyellow_3(任务进程:)newline()
   将达尔文的口信带给goto(60084,4)。
blankline()hotyellow_3(任务描述:)newline() 
   请转告我的妻子，我的研究还要进行一段时间，暂时还不能返回凤城。虽然很愧疚，但是真理需要时间和耐心。请你转告我的歉意，希望她能够安心的在hot(燃烧平原的营地)中再忍耐一段时间吧！)</t>
  </si>
  <si>
    <t>&lt;p&gt;
&lt;n&gt;  通过&lt;/n&gt;&lt;goto quick="1" id="168" mapid="4" flagpoint="1" taskid="3961" /&gt;
&lt;newline/&gt;
&lt;n&gt;  可快速传送回凤城&lt;/n&gt;
&lt;newline/&gt;
&lt;n&gt;  回复： &lt;/n&gt;
 &lt;n&gt; &lt;/n&gt;&lt;goto quick="1" id="60000" mapid="3" flagpoint="1" taskid="3961" /&gt;
&lt;/p&gt;</t>
  </si>
  <si>
    <t>&lt;p&gt;
&lt;n&gt;  通过&lt;/n&gt;&lt;goto quick="1" id="168" mapid="4" flagpoint="1"/&gt;
&lt;newline/&gt;
&lt;n&gt;  可快速传送回凤城&lt;/n&gt;
&lt;newline/&gt;
&lt;n&gt;  回复： &lt;/n&gt;
 &lt;n&gt; &lt;/n&gt;&lt;goto quick="1" id="60000" mapid="3" flagpoint="1" taskid="4091" /&gt;
&lt;/p&gt;</t>
  </si>
  <si>
    <t>&lt;p&gt;
&lt;n&gt;  通过&lt;/n&gt;&lt;goto quick="1" id="168" mapid="4" flagpoint="1"/&gt;
&lt;newline/&gt;
&lt;n&gt;  可快速传送回凤城&lt;/n&gt;
&lt;newline/&gt;
&lt;n&gt;  回复： &lt;/n&gt;
 &lt;n&gt; &lt;/n&gt;&lt;goto quick="1" id="60000" mapid="3" flagpoint="1" taskid="4281" /&gt;
&lt;/p&gt;</t>
  </si>
  <si>
    <t>title(（30级）危急时刻)
body(hotyellow_3(任务进程:)newline()
   去找goto(60049,3)。
blankline()hotyellow_3(任务描述:)newline() 
   我们需要足够多的物资来构建对魔族的防御线。如果找不到足够的资源，不仅仅是燃烧平原，整个凤城都有可能失守。光明骑士团中，所有有能力采集资源的人，都已经前往矿洞探险者处待命了。blankline()space()space()space()player()，我也请求您帮助我们。)</t>
  </si>
  <si>
    <t>body(    我们需要足够多的物资来构建对魔族的防御线。如果找不到足够的资源，不仅仅是燃烧平原，整个凤城都有可能失守。光明骑士团中，所有有能力采集资源的人，都已经前往矿洞探险者处待命了。blankline()space()space()space()player()，我也请求您帮助我们。)</t>
  </si>
  <si>
    <t>title(（32级）地狱食火者)
body(hotyellow_3(任务进程:)newline()
   杀死20个goto(10036,4)，去找goto(60164,0)。
blankline()hotyellow_3(任务描述:)newline() 
   刚刚接到了一项紧急情报，有部分魔族控制的地狱食火者突然离开了我们的监控，他们所前往的是凤城！不论如何，我们必须要阻止他们！blankline()space()space()space()player()，请您务必帮助我们消灭地狱食火者。)</t>
  </si>
  <si>
    <t>body(   刚刚接到了一项紧急情报，有部分魔族控制的地狱食火者突然离开了我们的监控，他们所前往的是凤城！不论如何，我们必须要阻止他们！blankline()space()space()space()player()，请您务必帮助我们消灭地狱食火者。)</t>
  </si>
  <si>
    <t>title(（33级）战斗宠物问答)
body(hotyellow_3(任务进程:)newline()
   询问goto(60165,4)有关战斗宠物的事。
blankline()hotyellow_3(任务描述:)newline() 
   我也有一只很强力的战斗型宠物哦！只是最近让它回凤城休养几天。关于战斗型宠物，如果你有什么想知道的可以问我。)</t>
  </si>
  <si>
    <t>body(   我也有一只很强力的战斗型宠物哦！只是最近让它回凤城修养几天。关于战斗型宠物，如果你有什么想知道的可以问我。)</t>
  </si>
  <si>
    <t>body(   我代表凤城所有的居民，对您在燃烧平原所做的一切表示感谢。)</t>
  </si>
  <si>
    <t>body(   我那任性的女儿妮可，也不知道是怎么想的，非要留在凤城外围丛林的哨所。
newline()
   卡尔很担心他女儿的安全，去帮忙照看一下妮可吧！)</t>
  </si>
  <si>
    <t>body(   很高兴见到你。我叫妮可，是一个光荣的光明骑士团成员。目前驻守在凤城观察站。)</t>
  </si>
  <si>
    <t>去凤城外围观察站找到卡尔的女儿妮可</t>
  </si>
  <si>
    <t>title(（35级）异角龙)
body(hotyellow_3(任务进程:)newline()
   杀死35只goto(10057,3)，完成后告知goto(60073,3)。
blankline()hotyellow_3(任务描述:)newline() 
   在妮可到来前，我一直负责保护凤城外围的安全。在妮可到来后，我主要负责妮可指挥官的安全……blankline()   唉，我也不知道什么情况，巨大的怪兽总是会突然出现。这也许是魔族的阴谋，总之我不喜欢。特别是营地外那些那些异角龙，时不时的冲进营地！player()我想为了安全，应该优先除掉它们……)</t>
  </si>
  <si>
    <t>body(   在妮可到来前，我一直负责保护凤城外围的安全。在妮可到来后，我主要负责妮可指挥官的安全……blankline()   唉，我也不知道什么情况，巨大的怪兽总是会突然出现。这也许是魔族的阴谋，总之我不喜欢。特别是营地外那些那些异角龙，时不时的冲进营地！player()我想为了安全，应该优先除掉它们……)</t>
  </si>
  <si>
    <t>title(（38级）日益危险的丛林)
body(hotyellow_3(任务进程:)newline()
   将有关丛林的消息告诉goto(60148,3)。
blankline()hotyellow_3(任务描述:)newline() 
   虽然丛林相关的委托单如雪花般飘来，但是最近陡然上升的死亡率让我开始考虑退回凤城。blankline()
   不仅那些寻找hot(宝藏)的所谓冒险家噩耗不断，很多从前在战场上跟着我尸山血海里走出的老兵们也失去了踪影。)</t>
  </si>
  <si>
    <t>body(   直觉告诉我，丛林里一定有hot(大事)发生。最近赏金猎人的死亡人数急剧飙升，我已经让一部分猎人退回凤城了。blankline()   blankline()space()space()space()顺便也提醒hot(韦德)一声，让他小心。)</t>
  </si>
  <si>
    <t>title(（39级）监测)
body(hotyellow_3(任务进程:)newline()
   又到了收集样本的时候了。player()，去取回25个被染色的goto(10061,3)hot(爪子)。并将采样情况告诉goto(60150,3)。
blankline()hotyellow_3(任务描述:)newline() 
   凤城外围丛林的狂暴犀牛虽然凶猛并富有攻击性，但是它们天生的低能使它们变得易于防御与驱散。我们所需要做的，就是了解他们，并诱导他们回归自然。)</t>
  </si>
  <si>
    <t>body(   果然，还是该将妮可调回凤城。)</t>
  </si>
  <si>
    <t>body(   看来毒蛇般的敌人已经在凤城附近伺机寻找机会了！)</t>
  </si>
  <si>
    <t>title(（41级）冒险者波仕)
body(hotyellow_3(任务进程:)newline()
   去找goto(60152,3)。
blankline()hotyellow_3(任务描述:)newline() 
   我能感觉到，当前凤城外围怪物的异常，不只是发生在风毒坡。其他的地方应该也难以幸免，或许更糟。blankline()space()space()space()player()，请去巨象之原找到那里的冒险者波仕，了解那里的情况。)</t>
  </si>
  <si>
    <t>body(   我能感觉到，当前凤城外围怪物的异常，不只是发生在风毒坡。其他的地方应该也难以幸免，或许更糟。blankline()space()space()space()player()，请去巨象之原找到那里的冒险者波仕，了解那里的情况。)</t>
  </si>
  <si>
    <t>title(（42级）装备改造)
body(hotyellow_3(任务进程:)newline()
   去找goto(113,3)。
blankline()hotyellow_3(任务描述:)newline() 
   凤城中的装备改造商人是我的老朋友了。报我的名字，让他送你一点祝福宝石，然后顺便替你改造下装备。 )</t>
  </si>
  <si>
    <t>body(   凤城中的装备改造商人是我的老朋友了。报我的名字，让他送你一点祝福宝石，然后顺便替你改造下装备。 )</t>
  </si>
  <si>
    <t>title(（42级）属性精炼)
body(hotyellow_3(任务进程:)newline()
   在goto(113,3)处完成一次属性精炼后去找goto(60152,3)。
blankline()hotyellow_3(任务描述:)newline()
    那就让我们进行一次属性精炼吧！newline()
    1.前往凤城goto(113,3)处，与其对话。newline()
    2.选择hot(“装备改造”)。newline()
    3.打开背包，将背包中需要进行属性精炼的装备hot(拖拽至“装备格”中)。newline()
    4.点击hot(“放入祝福宝石”按钮)，系统将会自动从背包中将道具放入。
    5.点击hot(“开始属性改造”按钮)，装备进行属性精炼，基础属性将会改变。)</t>
  </si>
  <si>
    <t>title(（43级）震地象)
body(hotyellow_3(任务进程:)newline()
   杀死40只goto(10065,3)去找goto(60152,3)。
blankline()hotyellow_3(任务描述:)newline() 
   对于凤城威胁最大的动物莫过于震地象了，当它们成群结队的活动时可以轻松踏平凤城脆弱的城池。所以，我们必须要控制它们的数量……)</t>
  </si>
  <si>
    <t>body(   对于凤城威胁最大的动物莫过于震地象了，当它们成群结队的活动时可以轻松踏平凤城脆弱的城池。所以，我们必须要控制它们的数量……)</t>
  </si>
  <si>
    <t>title(（43级）后续行动)
body(hotyellow_3(任务进程:)newline()
   去找goto(60153,3)。
blankline()hotyellow_3(任务描述:)newline() 
   虽然我们一直在努力控制凤城外围丛林中变异生物的数量，但是情况并没有得到太大的改观。player()是时候和凯恩斯明确一下后续行动方案了。)</t>
  </si>
  <si>
    <t>body(   像虽然我们一直在努力控制凤城外围丛林中变异生物的数量，但是情况并没有得到太大的改观。player()是时候和凯恩斯明确一下后续行动方案了。)</t>
  </si>
  <si>
    <t>title(（43级）狂暴猛犸)
body(hotyellow_3(任务进程:)newline()
   杀死goto(10154,3)后去找goto(60153,3)。
blankline()hotyellow_3(任务描述:)newline() 
   现在凤城附近的形势越来越严峻……我希望把未来可能面对的风险降到最低。首先要做的就是除掉有能力独立冲击凤城防御的狂暴猛犸！)</t>
  </si>
  <si>
    <t>body(   现在凤城附近的形势越来越严峻……我希望把未来可能面对的风险降到最低。首先要做的就是除掉有能力独立冲击凤城防御的狂暴猛犸！)</t>
  </si>
  <si>
    <t>body(space()space()space()player()，你能来真是太好了。我有很重要的事拜托你，这关系到整个凤城的安全。)</t>
  </si>
  <si>
    <t>title(（44级）前线告急)
body(hotyellow_3(任务进程:)newline()
   卡玛委托你，去找goto(60000,3)。
blankline()hotyellow_3(任务描述:)newline() 
   我接到消息，位于中立区的前线正在遭遇变异生物的猛烈攻击，急需支援！具体的情况我也不是很清楚，player()，你还是去找凤城的卡尔询问一下吧！)</t>
  </si>
  <si>
    <t>title(（46级）装备改造商人)
body(hotyellow_3(任务进程:)newline()
   去找goto(113,3)。
blankline()hotyellow_3(任务描述:)newline() 
   凤城中的装备改造商人还欠我一些祝福宝石呢！他会送你些祝福宝石，然后顺便替你改造下装备。 )</t>
  </si>
  <si>
    <t>body(   凤城中的装备改造商人还欠我一些祝福宝石呢，报我的名字，让他送你一点祝福宝石，然后顺便替你改造下装备。)</t>
  </si>
  <si>
    <t>title(（48级）抉择时刻)
body(hotyellow_3(任务进程:)newline()
   询问goto(60098,6)与goto(60099,6)的意见，完成后去找goto(60093,6)。
blankline()hotyellow_3(任务描述:)newline() 
   身为光明骑士团前线的指挥官，我不仅要对隐匿者营地中所有人员的安全负责，我更要对整个凤城的未来安全负责。)</t>
  </si>
  <si>
    <t>body(   既然麦尔斯说我们还有机会，那么我们就要抓住这个机会。如果让魔族侵袭至凤城，那将非常危险。)</t>
  </si>
  <si>
    <t>如果是妮可那个小丫头的话一定会哭着鼻子跑回凤城吧！</t>
  </si>
  <si>
    <t>title(（53级）打孔镶嵌)
body(hotyellow_3(任务进程:)newline()
   去找goto(113,3)，完成一次hot(装备打孔操作)。
blankline()hotyellow_3(任务描述:)newline()
    1.前往凤城goto(113,3)处，与其对话。newline()
    2.选择hot(“打孔镶嵌”)。newline()
    3.打开背包，将背包中需要进行打孔镶嵌的装备hot(拖拽至“装备格”中)。newline()
    4.点击hot(“放入金刚钻”按钮)，系统将会自动从背包中将道具放入。
    5.点击hot(“开始打孔”按钮)，装备进行打孔，打孔后可镶嵌宝石。)</t>
  </si>
  <si>
    <t>title(（53级）装备打孔)
body(hotyellow_3(任务进程:)newline()
   完成一次装备打孔，去找goto(113,3)。
blankline()hotyellow_3(任务描述:)newline() 
    1.前往凤城goto(113,3)处，与其对话。newline()
    2.选择hot(“打孔镶嵌”)。newline()
    3.打开背包，将背包中需要进行打孔镶嵌的装备hot(拖拽至“装备格”中)。newline()
    4.点击hot(“放入金刚钻”按钮)，系统将会自动从背包中将道具放入。
    5.点击hot(“开始打孔”按钮)，装备进行打孔，打孔后可镶嵌宝石。)</t>
  </si>
  <si>
    <t>&lt;p&gt;&lt;n&gt;    1.前往凤城装备改造商人处，与其对话。&lt;/n&gt;&lt;newline/&gt;&lt;n&gt;    2.选择“打孔镶嵌”。&lt;/n&gt;&lt;newline/&gt;&lt;n&gt;    3.打开背包，将背包中需要进行打孔镶嵌的装备拖拽至“装备格”中。&lt;/n&gt;&lt;newline/&gt;&lt;n&gt;
    4.点击“放入金刚钻”按钮，系统将会自动从背包中将道具放入。&lt;/n&gt;&lt;newline/&gt;&lt;n&gt;    5.点击“开始打孔”按钮，装备进行打孔，打孔后可镶嵌宝石。&lt;/n&gt;&lt;/p&gt;</t>
  </si>
  <si>
    <t>title(（53级）装备镶嵌)
body(hotyellow_3(任务进程:)newline()
   去找goto(113,3)，完成后与goto(60000,3)对话。
blankline()hotyellow_3(任务描述:)newline() 
    1.前往凤城goto(113,3)处，与其对话。newline()
    2.选择hot(“打孔镶嵌”)，并点击hot(“镶嵌标签”)。newline()
    3.打开背包，将背包中需要进行宝石镶嵌的装备hot(拖拽至“装备格”中)。需注意，hot(只有进行了打孔的装备可进行镶嵌)。newline()
    4.点击hot(“放入宝石”按钮)，系统将会自动从背包中将道具放入。对应孔颜色的宝石，达到一定数量，可激活特殊属性。
    5.点击hot(“开始镶嵌”按钮)，装备进行镶嵌，镶嵌后装备增加特殊属性。)</t>
  </si>
  <si>
    <t>&lt;p&gt;&lt;n&gt;    1.前往凤城装备改造商人处，与其对话。&lt;/n&gt;&lt;newline/&gt;&lt;n&gt;    2.选择“打孔镶嵌”，并点击“镶嵌”标签。&lt;/n&gt;&lt;newline/&gt;&lt;n&gt;    3.打开背包，将背包中需要进行镶嵌的装备拖拽至“装备格”中。需注意，只有已打孔的装备可进行镶嵌。&lt;/n&gt;&lt;newline/&gt;&lt;n&gt;
    4.点击“放入宝石”按钮，系统将会自动从背包中将道具放入。&lt;/n&gt;&lt;newline/&gt;&lt;n&gt;    5.点击“开始镶嵌”按钮，装备进行镶嵌，镶嵌后装备增加特殊属性。&lt;/n&gt;&lt;/p&gt;</t>
  </si>
  <si>
    <t>title(（53级）特殊属性)
body(hotyellow_3(任务进程:)newline()
   去找goto(113,3)，完成后与goto(60000,3)对话。
blankline()hotyellow_3(任务描述:)newline() 
    1.前往凤城goto(113,3)处，与其对话。newline()
    2.打开hot(“角色属性”)，并点击hot(“特殊属性”)。newline()
    3.hot(设置特殊攻击)。)</t>
  </si>
  <si>
    <t>&lt;p&gt;&lt;n&gt;    1.前往凤城装备改造商人处，与其对话。&lt;/n&gt;&lt;newline/&gt;&lt;n&gt;    2..打开“角色属性”，并点击“特殊属性”。&lt;/n&gt;&lt;newline/&gt;&lt;n&gt;    3.设置特殊攻击。&lt;/n&gt;&lt;/p&gt;</t>
  </si>
  <si>
    <t>body(   我们光明骑士团为数不多的精锐部队几乎全部消耗在了凤城南部的沙漠之中。blankline()   沙漠是整个凤城的门户，也是与敌国交战最为频繁的前线。那里气候恶劣，资源短缺，只有player()你这样的战士才能够帮助我们，守住那里。blankline()   到达沙漠前哨后，去找hot(指挥官拉奥)，他会负责你在沙漠中的生活补给的。)</t>
  </si>
  <si>
    <t>body(space()space()space()player()，我的恋人沙奥萨，由于在凤城的争夺中失利，带着部分手下逃入了茫茫沙漠。不过这件事千万不要让那个变态的典狱长知道。blankline()   请你转告托奇，如果在沙漠中碰到沙奥萨，请一定要告诉他我在沙漠中的光明骑士团前哨等他。)</t>
  </si>
  <si>
    <t>title(（61级）终结的时代)
body(hotyellow_3(任务进程:)newline()
   去找goto(60086,7)。
blankline()hotyellow_3(任务描述:)newline() 
   战争已经结束了。blankline()
   离我们最近的一场战斗，关于凤城的争夺也以沙奥萨的失败告终。既然雷伊当时选择置身事外，那现在就更不应该再挑起事端。)</t>
  </si>
  <si>
    <t>title(（62级） 传递情报)
body(hotyellow_3(任务进程:)newline()
   使用goto(70004,7)的传输功能，将情报传递给凤城。  
blankline()hotyellow_3(任务描述:)newline() 
   hot(   拉奥希望你能够将目前的情报，通过魔法阵传递回凤城。))</t>
  </si>
  <si>
    <t>"还没有找到它们么？他们就在凤城地宫之中。"</t>
  </si>
  <si>
    <t>"还没有找到他吗？他就在凤城地宫二层之中。"</t>
  </si>
  <si>
    <t>title(（25级）命运的轨迹)
body(hotyellow_3(任务进程:)newline() 
   去凤城外围丛林打探囧rz·莲父亲的消息。
blankline()hotyellow_3(任务描述:)newline() 
   囧rz·莲的父亲在被火焰傀儡虫感染后，就带着部分被感染的年轻人离开了燃烧平原，去寻找新的家园。blankline()   囧rz·莲非常担心她父亲的情况，如果得到她父亲的确切消息，告诉这个可怜的小姑娘吧！)</t>
  </si>
  <si>
    <t>&lt;p&gt;
&lt;n&gt;  去凤城外围丛林打探囧rz·莲父&lt;/n&gt;
 &lt;newline/&gt;
&lt;n&gt;  亲的消息&lt;/n&gt;
&lt;/p&gt;</t>
  </si>
  <si>
    <t>&lt;p&gt;
&lt;n&gt;  去凤城外围丛林打探囧rz·莲父亲的消息&lt;/n&gt;
&lt;/p&gt;</t>
  </si>
  <si>
    <t>title(（35级）艾斯弗格的铭牌)
body(hotyellow_3(任务进程:)newline()
   去找goto(60073,3)有关铭牌的事情。
blankline()hotyellow_3(任务描述:)newline() 
   铭牌是防止士兵被炸成肉末无法辨认而用的一种标识牌。这块牌子肯定是我的主人艾斯弗格遗落在凤城外围的丛林里的。不过我只是头战宠，不是很擅长从铭牌的锈蚀程度推断掉落的时间，这种事还是去问问观察站的hot(参谋官赛特)吧！)</t>
  </si>
  <si>
    <t>body(   大地因为天空而改变！我能努力的只是一镇居民的安慰。而更多人的安危，更广阔土地的未来。需要光明，需要力量。也许你在我这里得不到答案，我建议你去凤城看看。那里有极致的光辉。)</t>
  </si>
  <si>
    <t>&lt;p&gt;
&lt;n&gt;  将等级提升至25级&lt;/n&gt;
&lt;newline/&gt;
&lt;n&gt;  找凤城幸存者安迪&lt;/n&gt;
&lt;newline/&gt;
&lt;dialog taskid="10105" text="勋章商店可兑换极品装备" hotkeyid="14" /&gt;
&lt;/p&gt;</t>
  </si>
  <si>
    <t>&lt;p&gt;
&lt;n&gt;  将等级提升至35级&lt;/n&gt;
&lt;newline/&gt;
&lt;n&gt;  找凤城的指挥官妮可&lt;/n&gt;
&lt;newline/&gt;
&lt;dialog taskid="10109" text="勋章商店可兑换极品装备" hotkeyid="14" /&gt;
&lt;/p&gt;</t>
  </si>
  <si>
    <t>&lt;p&gt;
&lt;n&gt;  将等级提升至40级&lt;/n&gt;
&lt;newline/&gt;
&lt;n&gt;  找凤城美食家尼古拉&lt;/n&gt;
&lt;newline/&gt;
&lt;dialog tabid="100-0"  taskid="10111" text="勋章商店可兑换极品装备" hotkeyid="14" /&gt;
&lt;/p&gt;</t>
  </si>
  <si>
    <t>&lt;p&gt;
&lt;n&gt;  将线索交给&lt;/n&gt;
&lt;goto id="60076" mapid="3" flagpoint="1" flagdrawrect="1" taskid="10763"/&gt;
&lt;newline/&gt;
&lt;n&gt;狄尔一直在移动，你可以在凤城里头碰碰运气&lt;/n&gt;
&lt;/p&gt;</t>
  </si>
  <si>
    <t>title(（41级）“赫肯的守护”（四）)
body(hotyellow_3(任务进程:)newline()
   收集两朵彼岸花交给goto(60064,3)。
blankline()hotyellow_3(任务描述:)newline() 
   解密这块芯片需要一点时间。blankline()   过两天就是我家人的祭日了，我听说凤城野外的彼岸花开放的很绚烂。player()，如果可以，请摘两朵给我。)</t>
  </si>
  <si>
    <t>body(space()space()space()player()，我见过你身上的这块芯片，我可以替你复原它一部分功能。blankline()   过两天就是我家人的祭日了，我听说凤城野外的彼岸花开放的很绚烂。player()，如果可以，请摘两朵给我。)</t>
  </si>
  <si>
    <t>title(（30级）获取矿石碎片)
body(hotyellow_3(任务进程:)newline()
   帮助凤城的goto(60049,3)寻找hot(5枚矿石碎片)。
blankline()hotyellow_3(任务描述:)newline() 
   你首先须具备可以进行矿石采集的hot(矿石电钻)。具备矿钻后，可以通过hot(矿洞探险者)进入神秘矿洞。采集发光的蓝色晶体，有几率获得矿石及矿石碎片。)</t>
  </si>
  <si>
    <t>title(（30级）获取1级矿石)
body(hotyellow_3(任务进程:)newline()
   帮助凤城的goto(60049,3)寻找hot(5枚矿石（1级）)。
blankline()hotyellow_3(任务描述:)newline() 
   矿石（1级）可在神秘矿洞直接采集获得，或将矿石碎片合成获得。采集需装备道具hot(矿石电钻)。)</t>
  </si>
  <si>
    <t>title(（30级）获取2级矿石)
body(hotyellow_3(任务进程:)newline()
   帮助凤城的goto(60049,3)寻找hot(5枚矿石2级)。
blankline()hotyellow_3(任务描述:)newline() 
   矿石（2级）可在神秘矿洞直接采集获得，或将矿石（1级）合成获得。hot(矿石采集技能等级越高，直接获取矿石（2级）的几率越大)。采集需装备道具hot(矿石电钻)。)</t>
  </si>
  <si>
    <t>title(（30级）获取药材叶子)
body(hotyellow_3(任务进程:)newline()
   帮助凤城的goto(60049,3)寻找hot(5枚药材叶子)。
blankline()hotyellow_3(任务描述:)newline() 
   你首先须具备可以进行药材采集的hot(伐木电锯)。具备矿钻后，可以通过hot(矿洞探险者)进入神秘矿洞。采集发光的蓝色晶体，有几率获得药材及药材叶子。)</t>
  </si>
  <si>
    <t>title(（30级）获取1级药材)
body(hotyellow_3(任务进程:)newline()
   帮助凤城的goto(60049,3)寻找hot(5枚药材（1级）)。
blankline()hotyellow_3(任务描述:)newline() 
   药材（1级）可在神秘矿洞直接采集获得，或将药材叶子合成获得。采集需装备道具hot(伐木电锯)。)</t>
  </si>
  <si>
    <t>title(（30级）获取2级药材)
body(hotyellow_3(任务进程:)newline()
   帮助凤城的goto(60049,3)寻找hot(5枚药材2级)。
blankline()hotyellow_3(任务描述:)newline() 
   药材（2级）可在神秘矿洞直接采集获得，或将药材（1级）合成获得。hot(药材采集技能等级越高，直接获取药材（2级）的几率越大)。采集需装备道具hot(伐木电锯)。)</t>
  </si>
  <si>
    <t>title(（45级）回复)
body(hotyellow_3(任务进程:)newline()
   回复位于凤城的goto(60049,3)。)</t>
  </si>
  <si>
    <t>我的女儿妮可就在凤城外的观察站。他是那里的指挥官。</t>
  </si>
  <si>
    <t>去凤城找到光明骑士卡尔。</t>
  </si>
  <si>
    <t>去凤城找到赛特</t>
  </si>
  <si>
    <t>"    给我寻找一瓶生命药（中）。你可以打开背包在随身商店购买，也可以前往凤城找杂货商人购买！"</t>
  </si>
  <si>
    <t>title(（60级）霸狮封印)
body(hotyellow_3(任务进程:)newline()
   寻找1片霸狮封印碎片，交给位于凤城的goto(135,3)。
blankline()hotyellow_3(任务描述:)newline() 
   通过击杀55-60级精英怪，你将有几率获得霸狮封印碎片。集齐10个霸狮封印碎片，将可以到光明女祭司亚塔尼斯处兑换一头“帝皇战狮王”！)</t>
  </si>
  <si>
    <t>title(（31级）圣诞节的祝福)
body(hotyellow_3(任务进程:)newline()
   有一个红衣白须大肚子的老人家，在凤城中等待着给每个等级达到31级的玩家祝福。blankline()hotyellow_3(任务描述:)newline()  使用圣诞老人处领取的hot(未开封的明信片)，可获得一张送给异性玩家的明信片。每个玩家可与自己的异性伙伴交换明信片，收集指定数量符合自己性别的明信片可兑换特殊道具哦！)</t>
  </si>
  <si>
    <t>title(团任务：)
body(hotyellow_3(任务进程:)newline()
  现在光明女祭司有一件重要的使命委托给我们，麻烦你去goto(135,3)处，帮我将hot(凤城特使)护送到$NPCINFO处,这件事情事关重大,请务必小心行事。
   blankline()
   hot(当前累积资金:$ALLMONEY,成功完成护送任务将获得银子$MYMONEY。)
blankline()
   hot2(任务完成后,千万不要忘记向goto(45110,101)汇报哦！))</t>
  </si>
  <si>
    <t>title(（挑战）顽皮小丑(每天1次))
body(hotyellow_3(任务进程:)newline()
   在凤城找到goto(60771,3)，goto(60772,3)，goto(60773,3)，goto(60774,3)，goto(60775,3)，goto(60776,3)，goto(60777,3)，goto(60778,3)，小丑随机移动，可在附近寻找一下。完成后告知goto(216,3)。
blankline()hotyellow_3(任务描述:)newline() 
   我安排8个小丑躲藏在凤城中很隐蔽很隐蔽的地方，一般人绝对找不到的，如果你有信心，那么就去搜寻它们吧！当然，如果破解了这个难题，自然不会少了奖励的。)</t>
  </si>
  <si>
    <t>body(    亲爱的player()，我安排8个小丑躲藏在凤城中很隐蔽很隐蔽的地方，一般人绝对找不到的，如果你有信心，那么就去搜寻它们吧！当然，如果破解了这个难题，自然不会少了奖励的。)</t>
  </si>
  <si>
    <t>title([节日]万圣节化妆舞会（每日3次）)
body(hotyellow_3(任务进程:)newline()
space()space()space()活动期间，每天19：00-20：00，21级以上的角色可去凤城舞区参加化妆舞会，使用女巫的魔法棒，可以将自己随机化妆为各种外观，然后找到与自己同样外观的朋友，组队去寻找goto(60947,3)，完成任务回复goto(337,3)即可获得丰厚奖励。
blankline()hotyellow_3(任务描述:)newline() 
space()space()space()hot4(队伍人数越多，经验越高),如果能化妆为宫廷小丑的外观，则可以获得2倍经验。
)"</t>
  </si>
  <si>
    <t>body(      亲爱player()，活动期间，hot(每天19：00-20：00)，21级以上的角色可去凤城舞区参加化妆舞会，使用女巫的魔法棒，可以将自己随机化妆为各种外观，然后找到与自己同样外观的朋友，组队去寻找化妆hot(舞会鉴定员)，即可获得丰厚奖励。newline()space()space()space()hot4(队伍人数越多，经验越高),如果能化妆为宫廷小丑的外观，则可以获得2倍经验。)</t>
  </si>
  <si>
    <t>title(（44级）期望)
body(hotyellow_3(任务进程:)newline()
   去找goto(60093,6)。
blankline()hotyellow_3(任务描述:)newline() 
   就猎人回报的情况来看，剑阁中的环境正在急剧恶化，变得越来越危险，并且主要的威胁已经确定来自于剑阁地区。blankline()   现在燃烧平原的战局依旧艰难，我无法投入更多的兵力进入剑阁。blankline()   所以我希望你能帮助隐匿者之森的指挥官卡玛，最大限度地控制隐匿者之森的局势。不论是魔族重新崛起还是隐匿者之森的变异生物失控，都将是灾难性的。)</t>
  </si>
  <si>
    <t>body(   您好，player()我是光明骑士团在剑阁的指挥官卡玛。blankline()   我们光明骑士团当初在隐匿者之森中建立观察站的初衷就是防范隐匿者之森的情势恶化。blankline()   阻止魔族卷土重来和防止生态环境恶化都是我的职责所在。)</t>
  </si>
  <si>
    <t>title(（46级）魔族的威胁)
body(hotyellow_3(任务进程:)newline()
   杀死45个goto(10078,6)，去找goto(60159,6)。
blankline()hotyellow_3(任务描述:)newline() 
   虽然剑阁中苏醒的变异生物异常强大。但我们目前最大的威胁，还是那些一直觊觎我们营地的魔族夺魂者。blankline()   虽然他们已经堕落，但曾是人类的魔族危险性远远大于所有怪物。blankline()   我们要系统地消灭他们，连根带叶！)</t>
  </si>
  <si>
    <t>body(   如果剑阁失守，后果将不堪设想。)</t>
  </si>
  <si>
    <t>body(   您好，我是驻守剑阁的倒霉猎人克鲁兹，您总算来啦！)</t>
  </si>
  <si>
    <t>body(space()space()space()player()，你需要护送补给车前往沙漠。第一站先前往剑阁的凯丽处进行装填。路上也许会有各种危险等着你。但我相信你能够解决！)</t>
  </si>
  <si>
    <t>body(   爸爸他带着另外一些被感染的哥哥、叔叔们在不久前离开了燃烧平原，去寻找新的家园。blankline()   妈妈和我都十分担心他们。player()拜托你帮忙打听一下他们的下落，我和妈妈真的十分十分思念爸爸…blankline()   我记得他们是向剑阁的方向出发的……)</t>
  </si>
  <si>
    <t>body(   这么说的话，我确实碰到过那么一群奇怪的岩浆傀儡，当时还以为完蛋了呢…blankline()   他们真的很和善，不过隐匿者湿热的气候让他们很难受，不久之后就向剑阁的方向去了。)</t>
  </si>
  <si>
    <t>title(（39级）命运的轨迹)
body(hotyellow_3(任务进程:)newline() 
   去剑阁打探囧rz·莲父亲的消息。
blankline()hotyellow_3(任务描述:)newline() 
   囧rz·莲的父亲在被火焰傀儡虫感染后，就带着部分被感染的年轻人离开了燃烧平原，去寻找新的家园。blankline()   据狄尔描述，囧rz·莲的父亲一行人由于受不了凤城外围丛林湿热的气候而离开前往了剑阁…blankline()   真希望他们能够平安。)</t>
  </si>
  <si>
    <t>body(   那些熔岩傀儡向着剑阁的方向去了。不过，我感觉他们也不会在那里待上很久，那里的空气一样过于潮湿。blankline()   他们虽然可怜，变成了怪物，但总算有牵挂他们的家人。blankline()   而我…)</t>
  </si>
  <si>
    <t>&lt;p&gt;
&lt;n&gt;  去剑阁打探囧rz·莲父亲的消息&lt;/n&gt;
&lt;/p&gt;</t>
  </si>
  <si>
    <t>body(   你也许还没有去过剑阁吧？在寂静的林间跑动着各种美味。如果你希望寻找生命的奥义，你可以与赏金猎人安德森聊聊。他是个很有意思的人。)</t>
  </si>
  <si>
    <t>&lt;p&gt;
&lt;n&gt;  将等级提升至45级&lt;/n&gt;
&lt;newline/&gt;
&lt;n&gt; 找剑阁赏金猎人安德森&lt;/n&gt;
&lt;newline/&gt;
&lt;dialog tabid="100-1" taskid="10113" text="勋章商店可兑换极品装备" hotkeyid="14" /&gt;
&lt;/p&gt;</t>
  </si>
  <si>
    <t>必须前往五丈原，完成情报部长的情报任务，才可完成授勋。</t>
  </si>
  <si>
    <t>title(（54级）死亡沙漠)
body(hotyellow_3(任务进程:)newline()
   去找goto(60087,7)。
blankline()hotyellow_3(任务描述:)newline() 
   在凤城南部的托玛山脉是这个国家的天然屏障，但是剧烈的冲击波把这里变成了平坦，荒芜，黄沙漫天的五丈原。blankline()
   我们光明骑士团在五丈原中部有个前方哨所，主要负责解决从其他国家入侵而来的敌人。我们光明骑士团的精锐几乎都消耗在了沙漠之中，现在我们需要你的帮助。)</t>
  </si>
  <si>
    <t>&lt;p&gt;
&lt;n&gt;  通过&lt;/n&gt;&lt;goto quick="1" id="123" mapid="3" flagpoint="1"/&gt;
&lt;newline/&gt;
&lt;n&gt;  可快速前往五丈原&lt;/n&gt;
&lt;newline/&gt;
&lt;n&gt;  回复： &lt;/n&gt;
 &lt;n&gt; &lt;/n&gt;&lt;goto quick="1" id="60087" mapid="7" flagpoint="1" taskid="1771" /&gt;
&lt;/p&gt;</t>
  </si>
  <si>
    <t>title(（56级）装填物资)
body(hotyellow_3(任务进程:)newline()
   护送补给车前往剑阁凯丽处，补给车将会经过凤城到达隐匿着丛林。请务必将物资车运送至goto(167,6)处。在凯丽处进行装填后，将会送往五丈原。
blankline()hotyellow_3(任务描述:)newline() 
   你需要护送补给车前往沙漠。第一站先前往剑阁的凯丽处进行装填。路上也许会有各种危险等着你。但我相信你能够解决！)</t>
  </si>
  <si>
    <t>这次任务非常重要，不论派出多少车辆，我们也要支援五丈原。先前往剑阁，找到那里的物资官凯丽！</t>
  </si>
  <si>
    <t>这次任务非常重要，不论派出多少车辆，我们也要支援五丈原。</t>
  </si>
  <si>
    <t>body(space()space()space()player()，看来你已经做好准备了。赶快去找hot(传送魔法阵)吧！将目前五丈原的情况传递回凤城！)</t>
  </si>
  <si>
    <t>body(space()space()space()player()我们可以放手处理五丈原的事情了。)</t>
  </si>
  <si>
    <t>title(（62级）帝国补给)
body(hotyellow_3(任务进程:)newline()
   hot(受大议长君士坦丁委托)与goto(60087,7)对话，寻求解决沙漠危机的办法。
blankline()hotyellow_3(任务描述:)newline() 
   与hot(五丈原的拉奥)对话，寻求解决沙漠危机的办法。)</t>
  </si>
  <si>
    <t>title(（祭奠）小猫的照片（一）)
body(hotyellow_3(任务进程:)newline()
   去五丈原找goto(60085,7)要一张小猫的照片。
blankline()hotyellow_3(任务描述:)newline() 
   虽然狼人体能惊人，战斗起来就像一个非人类。但他却是相当害羞的一个人。他一直爱恋神之刺客佣兵团的小猫，但是一直都不敢表白。后来，小猫死了。再后来，他也死了…blankline()hot(   40级以上的玩家才能进入五丈原)。)</t>
  </si>
  <si>
    <t>body(   狼人一直暗恋小猫，狼群中的每个人都知道这件事。blankline()   小猫是神之刺客佣兵团中的一个很乖巧的小姑娘。神之刺客佣兵团中每个人也都知道狼人暗恋小猫，包括小猫。blankline()   如果狼人表白的话，小猫一定会答应的。这个又羞害又闷骚的家伙竟然到死都没有亲口承认过…player()，还是去五丈原找hot(尤利娅)要张小猫的照片给他吧！)</t>
  </si>
  <si>
    <t>&lt;p&gt;
&lt;n&gt;  将等级提升至61级&lt;/n&gt;
&lt;newline/&gt;
&lt;n&gt; 找五丈原的情报部长&lt;/n&gt;
&lt;newline/&gt;
&lt;dialog tabid="100-1" taskid="10115" text="勋章商店可兑换极品装备" hotkeyid="14" /&gt;&lt;/p&gt;</t>
  </si>
  <si>
    <t>body(   在五丈原，有着一位强大的守护者。她捍卫着国家的门户，她便是边境战神！德罗尼是她的仆从，你可以前往五丈原，与德罗尼交流。)</t>
  </si>
  <si>
    <t>body(   每个国家都拥有一个边境战神。他们捍卫着国家的门户。当边境战神消亡，导致他消亡的国家将会拥有在该国五丈原的复活点！)</t>
  </si>
  <si>
    <t>"德罗尼就在那里，他就在五丈原！去找到他吧！"</t>
  </si>
  <si>
    <t>title([32级]出发吧，官渡乱战！)
body(hotyellow_3(任务进程:)newline()
   通过凤城goto(160,3)传送到争夺副本中转站，去找goto(307,160)。（可通过或hot(使用快传中的副本区功能找到冒险副本传送员)
blankline()hotyellow_3(任务描述:)newline()  
   你见过一望无际的五丈原吗？那里黄沙迷眼，广袤无垠。你去过险象环生的官渡乱战吗？那里危机四伏，是勇者的天堂。newline() space()space()space()年轻人，不要停下你冒险的脚步。去官渡乱战探险吧！)</t>
  </si>
  <si>
    <t>body( 你见过一望无际的五丈原吗？那里黄沙迷眼，广袤无垠。你去过险象环生的官渡乱战吗？那里危机四伏，是勇者的天堂。newline() space()space()space()年轻人，不要停下你冒险的脚步。去官渡乱战探险吧！)</t>
  </si>
  <si>
    <t>"只有完成1次战阵夺营任务之后，才可以领取奖励哦！战阵夺营任务在五丈原的战争部长处可以接取，不要忘了。"</t>
  </si>
  <si>
    <t>body(   player()，你若是想获取霸狮封印碎片，必须前往五丈原完成情报部长的刺探任务。集齐10枚，就可以到坐骑商人兑换60级战斗坐骑了！)</t>
  </si>
  <si>
    <t>body(   player()，你若是想获取孽龙封印碎片，必须前往五丈原完成情报部长的刺探任务。集齐20枚，就可以到坐骑商人兑换70级战斗坐骑了！)</t>
  </si>
  <si>
    <t>body(   player()，你若是想获取狼帝封印碎片，必须前往五丈原完成情报部长的刺探任务。集齐20枚，就可以到坐骑商人兑换80级战斗坐骑了！)</t>
  </si>
  <si>
    <t>&lt;p&gt;
&lt;n&gt; 1.邀请1个异性玩家&lt;/n&gt;&lt;newline/&gt;
&lt;n&gt;2.通过女方玩家所属国五丈原小镇&lt;/n&gt;&lt;goto id="231" mapid="7" flagpoint="1" taskid="30265"/&gt;
&lt;n&gt;处前往该国婚礼殿堂将音乐盒送给对方&lt;/n&gt;&lt;newline/&gt;
&lt;n&gt;3.对该玩家使用音乐盒&lt;/n&gt;&lt;newline/&gt;
&lt;n&gt;4.国内任务快速入口&lt;/n&gt;&lt;goto id="198" mapid="3" flagpoint="1" taskid="30265"/&gt;
&lt;/p&gt;</t>
  </si>
  <si>
    <t>[61级]前往王城</t>
  </si>
  <si>
    <t>title(（61级）前往王城)
body(hotyellow_3(任务进程:)newline()
   去找goto(60559,5)。
blankline()hotyellow_3(任务描述:)newline() 
   与hot(大议长君士坦丁)汇报沙漠的情况。)</t>
  </si>
  <si>
    <t>body(   我想你必须去一趟王城了，那里是帝国的中心。沙漠的威胁，也许很快就会波及到那里。帝国的议长君士坦丁在王城等待着你。)</t>
  </si>
  <si>
    <t>body(   欢迎来到王城！blankline()   如果说凤城是神在人间的行宫，那王城则是人间帝王的神坛！王城适合60-100级的玩家。)</t>
  </si>
  <si>
    <t>[61级]了解王城</t>
  </si>
  <si>
    <t>title(（61级）了解王城)
body(hotyellow_3(任务进程:)newline()
   去找goto(60559,5)。
blankline()hotyellow_3(任务描述:)newline() 
   与hot(大议长君士坦丁)了解一下王城的基本情况。)</t>
  </si>
  <si>
    <t>body(   （闪耀着光明的水晶体，伫立在王城的一侧。）)</t>
  </si>
  <si>
    <t>"偷砖在王城（442.503）处，去找到偷砖吧！"</t>
  </si>
  <si>
    <t>body(   为了保障王城的安危，看来得先给沙漠运送足够的补给。很感谢你的帮忙，希望你能够帮我们将这补给运送至沙漠前线。)</t>
  </si>
  <si>
    <t>body(   你到塔克族战士的营地，去寻找“失落之心”。那是一枚散发着蓝色光芒的宝石。
blankline()   传说，这是塔克族的瑰宝，只是知道的人很少。而他们带着“失落之心”出现在王城，显然有着特殊的目的。)</t>
  </si>
  <si>
    <t>body(   这里有足够10个人生存6个月的补给，见到特洛雷西副大丞相，也请务必替我向他问好。也许下次见到你，就能够看到那耀眼的旗帜重新飘扬在王城的上空。)</t>
  </si>
  <si>
    <t>title(（75级）迪奥执法官)
body(hotyellow_3(任务进程:)newline()
   受大议长君士坦丁的委托，与goto(60555,5)对话。
blankline()hotyellow_3(任务描述:)newline() 
   迪奥执法官是负责王城外围的帝国武装力量。目前的情况，需要你前去帮助他。)</t>
  </si>
  <si>
    <t>body(   之前的事情，让我们都认可了你的能力。不过现在危机四伏，帝国急需如同你这样的有为青年化解危机。就在王城近郊，有数量不明的怪物潜伏。他们的目的暂时还不清楚。
blankline()   我已经让议会执法官们前去处理，只是他们实力有限，还需要借助你的力量！你前去找到迪奥执法官，他会和你说详细的方案。)</t>
  </si>
  <si>
    <t>title(（75级）六足速龙)
body(hotyellow_3(任务进程:)newline()
   击杀70只goto(10208,5)，完成后告知goto(60555,5)。
blankline()hotyellow_3(任务描述:)newline() 
   六足速龙的出现，开始影响到王城的安全。迪奥执法官需要你帮助，一起除掉这个隐患。)</t>
  </si>
  <si>
    <t>body(   “六足速龙”是一种群居的生物，他们擅长集体掠食。每次出动就是铺天盖地，所过之处生灵涂炭。
blankline()   这么一大群六足速龙出现在王城附近，真是让人难以置信！击杀一定数量的六足速龙，缓解下王城的压力。)</t>
  </si>
  <si>
    <t>title(（76级）意外收获)
body(hotyellow_3(任务进程:)newline()
   击杀六足速龙意外获取了大量的速龙皮，将物资车护送至goto(60559,5)。
blankline()hotyellow_3(任务描述:)newline() 
   六足速龙的皮具备很强的防御能力，击杀的六足速龙获得了大量的皮革。迪奥希望你能够护送这些资源至王城。)</t>
  </si>
  <si>
    <t>title(（77级）美食的诱惑)
body(hotyellow_3(任务进程:)newline()
   击杀goto(10209,5)，获取40块鲜嫩的牛肉交给goto(60555,5)。
blankline()hotyellow_3(任务描述:)newline() 
   鲜嫩的牛肉是值得我们用心去烹饪。王城附近最好的特产便是野生魔牛肉，乘现在这个机会尝尝。)</t>
  </si>
  <si>
    <t>body(   你一定没有尝过王城的特产吧？在王城，最出名的除了王者的传说，便是那鲜嫩可口的野生魔牛肉了。想不想尝尝？)</t>
  </si>
  <si>
    <t>body(   野生魔牛是王城的特产，每年都有不少商人前来购买。据说在遥远的东方，一公斤野生魔牛肉可以换到一公斤的黄金！)</t>
  </si>
  <si>
    <t>title(（77级）烹饪的调料)
body(hotyellow_3(任务进程:)newline()
   前往goto(184,5)处购买一瓶红酒与一瓶橄榄油，交给goto(60555,5)。
blankline()hotyellow_3(任务描述:)newline() 
   只有懂得享受的人生才是完美惬意的人生。迪奥请求你前往王城的杂货商人处购买一瓶红酒与一瓶橄榄油。)</t>
  </si>
  <si>
    <t>body(   野生魔牛肉，还需要配上好的红酒和橄榄油，那才叫美味。
blankline()   红酒和橄榄油可以到王城补给品商人处购买。)</t>
  </si>
  <si>
    <t>body(   你准备好了吧？魔族邪豹的队伍已经出现，我们必须击杀他们。解除王城的危机！)</t>
  </si>
  <si>
    <t>title(（80级）汇报情况)
body(hotyellow_3(任务进程:)newline()
   hot(迪奥执法官)委托，与goto(60559,5)对话。告知王城城西的怪物清理工作。
blankline()hotyellow_3(任务描述:)newline() 
   现在王城西区的事物都已经处理完毕。请将现在的情况告知议长君士坦丁，看看后续是否还有具体事物要处理。)</t>
  </si>
  <si>
    <t>body(   现在王城西区的事物都已经处理完毕。请将现在的情况告知议长君士坦丁，看看后续是否还有具体事物要处理。)</t>
  </si>
  <si>
    <t>title(（97级）噜噜族勇士)
body(hotyellow_3(任务进程:)newline()
   击杀70只goto(10219,5)，并告知goto(60556,5)。
blankline()hotyellow_3(任务描述:)newline() 
   有人说这是地精，也有人说着是矮人。但对比古书的描述。噜噜族比地精更小，比矮人更老。他们就好像从几千年的原始部落中突然出现在了这里。
他们的实力强大，有着巨大的野猪坐骑。而且，似乎他们的出现时因为王城中有着什么无法抵御的诱惑。)</t>
  </si>
  <si>
    <t>body(   有人说这是地精，也有人说着是矮人。但对比古书的描述。噜噜族比地精更小，比矮人更老。他们就好像从几千年的原始部落中突然出现在了这里。
他们的实力强大，有着巨大的野猪坐骑。而且，似乎他们的出现时因为王城中有着什么无法抵御的诱惑。)</t>
  </si>
  <si>
    <t>body(   player()！之后的道路就要看你选择了。61级开始，运镖任务将会通过王城的大议长君士坦丁。)</t>
  </si>
  <si>
    <t>"前往王城与大议长君士坦丁对话"</t>
  </si>
  <si>
    <t>前往王城与大议长君士坦丁对话</t>
  </si>
  <si>
    <t>[61级]王城回城点</t>
  </si>
  <si>
    <t>title(（61级）王城回城点)
body(hotyellow_3(任务进程:)newline()
   自61级起，您将可以在新场景王城进行任务、完成活动。您可以前往goto(60559,5)处设置回城点，之后所有回城行为，将会在王城完成。
blankline()hotyellow_3(任务描述:)newline() 
   前往莉亚娜处设置回城点，61级后可在王城完成任务。)</t>
  </si>
  <si>
    <t>body(   player()！我们是第一次见面吧？艾莎小妹在凤城还好吗？你需要点击hot(设置回城点)选项，才能将自己的回城地点设置在王城哦？)</t>
  </si>
  <si>
    <t>"前往王城莉亚娜处设置回城点"</t>
  </si>
  <si>
    <t>body(   好心人，我的主人在防御王城的战斗中战死了，请帮我祷告我的主人，使他的亡魂得以安息。)</t>
  </si>
  <si>
    <t>"只有完成1次讨伐逆贼或1次国外救援(80级之后玩家)之后，才可以领取奖励哦！你可以选择使用“赏金卷轴”快速完成，也可以进入地宫中接取完成。60级以上的讨伐逆贼，在王城君士坦丁处接取，不要忘了。"</t>
  </si>
  <si>
    <t>"只有完成1次运镖和1次情报任务之后，才可以领取奖励哦！60级之后的运镖在王城君士坦丁处接取，情报任务在沙漠的情报部长处接取，不要忘了。"</t>
  </si>
  <si>
    <t>title(（情缘）情缘任务)
body(hotyellow_3(任务进程:)newline()
space()space()space()前往女方所在国，通过该国hot(五丈原小镇)goto(231,7)处的秘密入口进入该国hot(婚礼殿堂)，将hot(音乐盒)献给对方完成任务。（如果在本国完成任务的话，也可以通过hot(凤城、王城)goto(198,3)进入婚礼殿堂。）
blankline()hotyellow_3(任务描述:)newline() 
space()space()space()第一步：接取任务后，包裹中会自动获得一个音乐盒，请邀请一个异性玩家帮助自己完成任务newline() 
space()space()space()第二步：双方前往女性玩家所在国的婚礼殿堂进行下一步newline() 
space()space()space()第三步：对受邀前来的异性玩家使用音乐盒，对方接受后任务即可完成（无需交付自动完成）newline() 
space()space()space()第四步：音乐盒存在3分钟，双方在音乐盒周围交流每10秒可额外获得一次经验。newline() 
)</t>
  </si>
  <si>
    <t>title(（清明）安魂升天（每天1次）)
body(hotyellow_3(任务进程:)newline()
   将将士的铭牌放入goto(60779,3)、goto(60780,3)、goto(60781,3)、goto(60790,3)任意一个，获得3个“光”，完成任务后回复goto(216,3)。
blankline()hotyellow_3(任务描述:)newline() 
space()space()space()每年此时，凤城和王城的舞区附近会出现4个通天柱，吸引历年征战阵亡的将士灵魂前来，进入通天柱，飞升为神将，请你将几个附有战士灵魂的铭牌带去通天柱处，帮助他们飞升，完成之后我会送你一份丰厚的礼品。newline()
space()space()space()放入不同的通天柱，影响任务过程中奖励的镶嵌宝石类型：newline()
space()space()space()通天柱(东)  每次放入1个铭牌可获得1个紫宝石(1级)newline()
space()space()space()通天柱(南)  每次放入1个铭牌可获得1个蓝宝石(1级)newline()
space()space()space()通天柱(西)  每次放入1个铭牌可获得1个绿宝石(1级)newline()
space()space()space()通天柱(北)  每次放入1个铭牌可获得1个黄宝石(1级)
)</t>
  </si>
  <si>
    <t>body(   每年此时，凤城和王城的舞区附近会出现4个通天柱，吸引历年征战阵亡的将士灵魂前来，进入通天柱，飞升为神将，请你将几个附有战士灵魂的铭牌带去通天柱处，帮助他们飞升，完成之后我会送你一份丰厚的礼品。)</t>
  </si>
  <si>
    <t>"交付一个复原的城防材料，前往敌国王城密道找到该国小白鼠，拿到5份城防资料碎片，将碎片通过合成的方式拼接成1份城防资料，回复安妮公主。（注意前往的是敌国，非本国及盟国，就是敌国哦）"</t>
  </si>
  <si>
    <t>title([活动]五色新丝缠角粽)
body(hotyellow_3(任务进程:)newline()
   亲爱player()，这里时喵星人随机任务，欢迎光临
blankline()hotyellow_3(任务描述:)newline() 
space()space()space()活动期间，hot(51级)以上玩家每天上线可以在hot(凤城/王城)的goto(305,3)处接取端午节小任务，完成后就可以获得hot(3个青叶粽子，1片菖蒲)。newline() 
space()space()space()每个青叶粽子食用后将会随机获得一个端午礼物：绿舞票、绿钓鱼卡、绿速递通行证、绿战阵夺营通行证、镶嵌宝石、红玫瑰、占星卡、魔法扑克……好礼多多，等你来拿！
space()space()space()收集一定数量的菖蒲叶后，可以在goto(305,3)处兑换各种口味的粽子，每种粽子都能带给你不同的惊喜哦
)</t>
  </si>
  <si>
    <t>title([活动]五色新丝缠角粽)
body(hotyellow_3(任务进程:)newline()
   亲爱player()，请使用一次hot(猎命师手札)即可完成任务。猎命师手札可以通过杀怪、活力点宝箱、历练宝箱获得。
blankline()hotyellow_3(任务描述:)newline() 
space()space()space()活动期间，hot(51级)以上玩家每天上线可以在hot(凤城/王城)的goto(305,3)处接取端午节小任务，完成后就可以获得hot(3个青叶粽子，1片菖蒲)。newline() 
space()space()space()每个青叶粽子食用后将会随机获得一个端午礼物：绿舞票、绿钓鱼卡、绿速递通行证、绿战阵夺营通行证、镶嵌宝石、红玫瑰、占星卡、魔法扑克……好礼多多，等你来拿！
space()space()space()收集一定数量的菖蒲叶后，可以在goto(305,3)处兑换各种口味的粽子，每种粽子都能带给你不同的惊喜哦
)</t>
  </si>
  <si>
    <t>title([活动]五色新丝缠角粽)
body(hotyellow_3(任务进程:)newline()
   亲爱player()，使用一次hot(舞会门票)即可完成任务。舞会门票可以通过杀怪、活力点宝箱、历练宝箱获得。
blankline()hotyellow_3(任务描述:)newline() 
space()space()space()活动期间，hot(51级)以上玩家每天上线可以在hot(凤城/王城)的goto(305,3)处接取端午节小任务，完成后就可以获得hot(3个青叶粽子，1片菖蒲)。newline() 
space()space()space()每个青叶粽子食用后将会随机获得一个端午礼物：绿舞票、绿钓鱼卡、绿速递通行证、绿战阵夺营通行证、镶嵌宝石、红玫瑰、占星卡、魔法扑克……好礼多多，等你来拿！
space()space()space()收集一定数量的菖蒲叶后，可以在goto(305,3)处兑换各种口味的粽子，每种粽子都能带给你不同的惊喜哦
)</t>
  </si>
  <si>
    <t>title([活动]五色新丝缠角粽)
body(hotyellow_3(任务进程:)newline()
   亲爱player()，收集5个hot(矿石(1级))即可完成任务。矿石可通过神秘矿洞挖矿、goto(60049,3)换取。
blankline()hotyellow_3(任务描述:)newline() 
space()space()space()活动期间，hot(51级)以上玩家每天上线可以在hot(凤城/王城)的goto(305,3)处接取端午节小任务，完成后就可以获得hot(3个青叶粽子，1片菖蒲)。newline() 
space()space()space()每个青叶粽子食用后将会随机获得一个端午礼物：绿舞票、绿钓鱼卡、绿速递通行证、绿战阵夺营通行证、镶嵌宝石、红玫瑰、占星卡、魔法扑克……好礼多多，等你来拿！
space()space()space()收集一定数量的菖蒲叶后，可以在goto(305,3)处兑换各种口味的粽子，每种粽子都能带给你不同的惊喜哦
)</t>
  </si>
  <si>
    <t>title([活动]五色新丝缠角粽)
body(hotyellow_3(任务进程:)newline()
   亲爱player()，收集5个hot(药材(1级))即可完成任务。药材可通过神秘矿洞采集、goto(60049,3)换取。
blankline()hotyellow_3(任务描述:)newline() 
space()space()space()活动期间，hot(51级)以上玩家每天上线可以在hot(凤城/王城)的goto(305,3)处接取端午节小任务，完成后就可以获得hot(3个青叶粽子，1片菖蒲)。newline() 
space()space()space()每个青叶粽子食用后将会随机获得一个端午礼物：绿舞票、绿钓鱼卡、绿速递通行证、绿战阵夺营通行证、镶嵌宝石、红玫瑰、占星卡、魔法扑克……好礼多多，等你来拿！
space()space()space()收集一定数量的菖蒲叶后，可以在goto(305,3)处兑换各种口味的粽子，每种粽子都能带给你不同的惊喜哦
)</t>
  </si>
  <si>
    <t>title([活动]五色新丝缠角粽)
body(hotyellow_3(任务进程:)newline()
   亲爱player()，杀死1只hot(贪财小妖)即可完成任务。贪财小妖可通过体力值宝箱、活力点宝箱获得。
blankline()hotyellow_3(任务描述:)newline() 
space()space()space()活动期间，hot(51级)以上玩家每天上线可以在hot(凤城/王城)的goto(305,3)处接取端午节小任务，完成后就可以获得hot(3个青叶粽子，1片菖蒲)。newline() 
space()space()space()每个青叶粽子食用后将会随机获得一个端午礼物：绿舞票、绿钓鱼卡、绿速递通行证、绿战阵夺营通行证、镶嵌宝石、红玫瑰、占星卡、魔法扑克……好礼多多，等你来拿！
space()space()space()收集一定数量的菖蒲叶后，可以在goto(305,3)处兑换各种口味的粽子，每种粽子都能带给你不同的惊喜哦
)</t>
  </si>
  <si>
    <t>title([活动]五色新丝缠角粽)
body(hotyellow_3(任务进程:)newline()
   亲爱player()，完成1次hot(情报)即可完成任务。可通过goto(165,7)接取情报任务，该任务出国，有一定危险。
blankline()hotyellow_3(任务描述:)newline() 
space()space()space()活动期间，hot(51级)以上玩家每天上线可以在hot(凤城/王城)的goto(305,3)处接取端午节小任务，完成后就可以获得hot(3个青叶粽子，1片菖蒲)。newline() 
space()space()space()每个青叶粽子食用后将会随机获得一个端午礼物：绿舞票、绿钓鱼卡、绿速递通行证、绿战阵夺营通行证、镶嵌宝石、红玫瑰、占星卡、魔法扑克……好礼多多，等你来拿！
space()space()space()收集一定数量的菖蒲叶后，可以在goto(305,3)处兑换各种口味的粽子，每种粽子都能带给你不同的惊喜哦
)</t>
  </si>
  <si>
    <t>title([活动]五色新丝缠角粽)
body(hotyellow_3(任务进程:)newline()
   亲爱player()，完成1次hot(运镖)即可完成任务。61级以下可通过goto(60000,3)，61级以上可通过goto(60559,5)接取运镖任务，该任务可能被劫持，有一定危险。
blankline()hotyellow_3(任务描述:)newline() 
space()space()space()活动期间，hot(51级)以上玩家每天上线可以在hot(凤城/王城)的goto(305,3)处接取端午节小任务，完成后就可以获得hot(3个青叶粽子，1片菖蒲)。newline() 
space()space()space()每个青叶粽子食用后将会随机获得一个端午礼物：绿舞票、绿钓鱼卡、绿速递通行证、绿战阵夺营通行证、镶嵌宝石、红玫瑰、占星卡、魔法扑克……好礼多多，等你来拿！
space()space()space()收集一定数量的菖蒲叶后，可以在goto(305,3)处兑换各种口味的粽子，每种粽子都能带给你不同的惊喜哦
)</t>
  </si>
  <si>
    <t>title([活动]五色新丝缠角粽)
body(hotyellow_3(任务进程:)newline()
   亲爱player()，完成1次hot(战阵夺营)即可完成任务。可通过goto(197,7)接取战阵夺营任务，该任务出国，有一定危险。
blankline()hotyellow_3(任务描述:)newline() 
space()space()space()活动期间，hot(51级)以上玩家每天上线可以在hot(凤城/王城)的goto(305,3)处接取端午节小任务，完成后就可以获得hot(3个青叶粽子，1片菖蒲)。newline() 
space()space()space()每个青叶粽子食用后将会随机获得一个端午礼物：绿舞票、绿钓鱼卡、绿速递通行证、绿战阵夺营通行证、镶嵌宝石、红玫瑰、占星卡、魔法扑克……好礼多多，等你来拿！
space()space()space()收集一定数量的菖蒲叶后，可以在goto(305,3)处兑换各种口味的粽子，每种粽子都能带给你不同的惊喜哦
)</t>
  </si>
  <si>
    <t>title([活动]五色新丝缠角粽)
body(hotyellow_3(任务进程:)newline()
   亲爱player()，完成1次hot(讨伐逆贼)即可完成任务。61级以下可通过goto(60000,3)，61级以上可通过goto(60559,5)接取。
blankline()hotyellow_3(任务描述:)newline() 
space()space()space()活动期间，hot(51级)以上玩家每天上线可以在hot(凤城/王城)的goto(305,3)处接取端午节小任务，完成后就可以获得hot(3个青叶粽子，1片菖蒲)。newline() 
space()space()space()每个青叶粽子食用后将会随机获得一个端午礼物：绿舞票、绿钓鱼卡、绿速递通行证、绿战阵夺营通行证、镶嵌宝石、红玫瑰、占星卡、魔法扑克……好礼多多，等你来拿！
space()space()space()收集一定数量的菖蒲叶后，可以在goto(305,3)处兑换各种口味的粽子，每种粽子都能带给你不同的惊喜哦
)</t>
  </si>
  <si>
    <t>title([活动][奥运]永不熄灭的火焰)
body(hotyellow_3(任务进程:)newline()
   亲爱player()，这里时喵星人随机任务，欢迎光临
blankline()hotyellow_3(任务描述:)newline() 
space()space()space()活动期间，hot(51级)以上玩家每天上线可以在hot(凤城/王城)的goto(313,3)处接取奥运小任务，完成后就可以获得hot(3个奥运圣火)。newline() 
space()space()space()每个hot(奥运圣火)使用后将会随机获得一个奥运礼物：远行囊、镶嵌宝石、红玫瑰、占星卡、魔法扑克……甚至还有限量版的hot(奥运主题幻化武器)等你来拿！
space()space()space()奥运圣火中有几率开出奥运鲜花，收集一定数量的奥运鲜花后，可以在goto(313,3)处兑换各种高级道具，每种道具都能带给你不同的惊喜哦
)</t>
  </si>
  <si>
    <t>title([活动][奥运]永不熄灭的火焰)
body(hotyellow_3(任务进程:)newline()
   亲爱player()，请使用一次hot(猎命师手札)即可完成任务。猎命师手札可以通过杀怪、活力点宝箱、历练宝箱获得。
blankline()hotyellow_3(任务描述:)newline() 
space()space()space()活动期间，hot(51级)以上玩家每天上线可以在hot(凤城/王城)的goto(313,3)处接取奥运小任务，完成后就可以获得hot(3个奥运圣火)。newline() 
space()space()space()每个hot(奥运圣火)使用后将会随机获得一个奥运礼物：远行囊、镶嵌宝石、红玫瑰、占星卡、魔法扑克……甚至还有限量版的hot(奥运主题幻化武器)等你来拿！
space()space()space()奥运圣火中有几率开出奥运鲜花，收集一定数量的奥运鲜花后，可以在goto(313,3)处兑换各种高级道具，每种道具都能带给你不同的惊喜哦
)</t>
  </si>
  <si>
    <t>title([活动][奥运]永不熄灭的火焰)
body(hotyellow_3(任务进程:)newline()
   亲爱player()，使用一次hot(舞会门票)即可完成任务。舞会门票可以通过杀怪、活力点宝箱、历练宝箱获得。
blankline()hotyellow_3(任务描述:)newline() 
space()space()space()活动期间，hot(51级)以上玩家每天上线可以在hot(凤城/王城)的goto(313,3)处接取奥运小任务，完成后就可以获得hot(3个奥运圣火)。newline() 
space()space()space()每个hot(奥运圣火)使用后将会随机获得一个奥运礼物：远行囊、镶嵌宝石、红玫瑰、占星卡、魔法扑克……甚至还有限量版的hot(奥运主题幻化武器)等你来拿！
space()space()space()奥运圣火中有几率开出奥运鲜花，收集一定数量的奥运鲜花后，可以在goto(313,3)处兑换各种高级道具，每种道具都能带给你不同的惊喜哦
)</t>
  </si>
  <si>
    <t>title([活动][奥运]永不熄灭的火焰)
body(hotyellow_3(任务进程:)newline()
   亲爱player()，收集5个hot(矿石(1级))即可完成任务。矿石可通过神秘矿洞挖矿、goto(60049,3)换取。
blankline()hotyellow_3(任务描述:)newline() 
space()space()space()活动期间，hot(51级)以上玩家每天上线可以在hot(凤城/王城)的goto(313,3)处接取奥运小任务，完成后就可以获得hot(3个奥运圣火)。newline() 
space()space()space()每个hot(奥运圣火)使用后将会随机获得一个奥运礼物：远行囊、镶嵌宝石、红玫瑰、占星卡、魔法扑克……甚至还有限量版的hot(奥运主题幻化武器)等你来拿！
space()space()space()奥运圣火中有几率开出奥运鲜花，收集一定数量的奥运鲜花后，可以在goto(313,3)处兑换各种高级道具，每种道具都能带给你不同的惊喜哦
)</t>
  </si>
  <si>
    <t>title([活动][奥运]永不熄灭的火焰)
body(hotyellow_3(任务进程:)newline()
   亲爱player()，收集5个hot(药材(1级))即可完成任务。药材可通过神秘矿洞采集、goto(60049,3)换取。
blankline()hotyellow_3(任务描述:)newline() 
space()space()space()活动期间，hot(51级)以上玩家每天上线可以在hot(凤城/王城)的goto(313,3)处接取奥运小任务，完成后就可以获得hot(3个奥运圣火)。newline() 
space()space()space()每个hot(奥运圣火)使用后将会随机获得一个奥运礼物：远行囊、镶嵌宝石、红玫瑰、占星卡、魔法扑克……甚至还有限量版的hot(奥运主题幻化武器)等你来拿！
space()space()space()奥运圣火中有几率开出奥运鲜花，收集一定数量的奥运鲜花后，可以在goto(313,3)处兑换各种高级道具，每种道具都能带给你不同的惊喜哦
)</t>
  </si>
  <si>
    <t>title([活动][奥运]永不熄灭的火焰)
body(hotyellow_3(任务进程:)newline()
   亲爱player()，杀死1只hot(贪财小妖)即可完成任务。贪财小妖可通过体力值宝箱、活力点宝箱获得。
blankline()hotyellow_3(任务描述:)newline() 
space()space()space()活动期间，hot(51级)以上玩家每天上线可以在hot(凤城/王城)的goto(313,3)处接取奥运小任务，完成后就可以获得hot(3个奥运圣火)。newline() 
space()space()space()每个hot(奥运圣火)使用后将会随机获得一个奥运礼物：远行囊、镶嵌宝石、红玫瑰、占星卡、魔法扑克……甚至还有限量版的hot(奥运主题幻化武器)等你来拿！
space()space()space()奥运圣火中有几率开出奥运鲜花，收集一定数量的奥运鲜花后，可以在goto(313,3)处兑换各种高级道具，每种道具都能带给你不同的惊喜哦
)</t>
  </si>
  <si>
    <t>title([活动][奥运]永不熄灭的火焰)
body(hotyellow_3(任务进程:)newline()
   亲爱player()，完成1次hot(情报)即可完成任务。可通过goto(165,7)接取情报任务，该任务出国，有一定危险。
blankline()hotyellow_3(任务描述:)newline() 
space()space()space()活动期间，hot(51级)以上玩家每天上线可以在hot(凤城/王城)的goto(313,3)处接取奥运小任务，完成后就可以获得hot(3个奥运圣火)。newline() 
space()space()space()每个hot(奥运圣火)使用后将会随机获得一个奥运礼物：远行囊、镶嵌宝石、红玫瑰、占星卡、魔法扑克……甚至还有限量版的hot(奥运主题幻化武器)等你来拿！
space()space()space()奥运圣火中有几率开出奥运鲜花，收集一定数量的奥运鲜花后，可以在goto(313,3)处兑换各种高级道具，每种道具都能带给你不同的惊喜哦
)</t>
  </si>
  <si>
    <t>title([活动][奥运]永不熄灭的火焰)
body(hotyellow_3(任务进程:)newline()
   亲爱player()，完成1次hot(运镖)即可完成任务。61级以下可通过goto(60000,3)，61级以上可通过goto(60559,5)接取运镖任务，该任务可能被劫持，有一定危险。
blankline()hotyellow_3(任务描述:)newline() 
space()space()space()活动期间，hot(51级)以上玩家每天上线可以在hot(凤城/王城)的goto(313,3)处接取奥运小任务，完成后就可以获得hot(3个奥运圣火)。newline() 
space()space()space()每个hot(奥运圣火)使用后将会随机获得一个奥运礼物：远行囊、镶嵌宝石、红玫瑰、占星卡、魔法扑克……甚至还有限量版的hot(奥运主题幻化武器)等你来拿！
space()space()space()奥运圣火中有几率开出奥运鲜花，收集一定数量的奥运鲜花后，可以在goto(313,3)处兑换各种高级道具，每种道具都能带给你不同的惊喜哦
)</t>
  </si>
  <si>
    <t>title([活动][奥运]永不熄灭的火焰)
body(hotyellow_3(任务进程:)newline()
   亲爱player()，完成1次hot(战阵夺营)即可完成任务。可通过goto(197,7)接取战阵夺营任务，该任务出国，有一定危险。
blankline()hotyellow_3(任务描述:)newline() 
space()space()space()活动期间，hot(51级)以上玩家每天上线可以在hot(凤城/王城)的goto(313,3)处接取奥运小任务，完成后就可以获得hot(3个奥运圣火)。newline() 
space()space()space()每个hot(奥运圣火)使用后将会随机获得一个奥运礼物：远行囊、镶嵌宝石、红玫瑰、占星卡、魔法扑克……甚至还有限量版的hot(奥运主题幻化武器)等你来拿！
space()space()space()奥运圣火中有几率开出奥运鲜花，收集一定数量的奥运鲜花后，可以在goto(313,3)处兑换各种高级道具，每种道具都能带给你不同的惊喜哦
)</t>
  </si>
  <si>
    <t>title([活动][奥运]永不熄灭的火焰)
body(hotyellow_3(任务进程:)newline()
   亲爱player()，完成1次hot(讨伐逆贼)即可完成任务。61级以下可通过goto(60000,3)，61级以上可通过goto(60559,5)接取。
blankline()hotyellow_3(任务描述:)newline() 
space()space()space()活动期间，hot(51级)以上玩家每天上线可以在hot(凤城/王城)的goto(313,3)处接取奥运小任务，完成后就可以获得hot(3个奥运圣火)。newline() 
space()space()space()每个hot(奥运圣火)使用后将会随机获得一个奥运礼物：远行囊、镶嵌宝石、红玫瑰、占星卡、魔法扑克……甚至还有限量版的hot(奥运主题幻化武器)等你来拿！
space()space()space()奥运圣火中有几率开出奥运鲜花，收集一定数量的奥运鲜花后，可以在goto(313,3)处兑换各种高级道具，每种道具都能带给你不同的惊喜哦
)</t>
  </si>
  <si>
    <t>body(   貌美倾国，三界无双的嫦娥驾临王城，可是据说在途中一直被一个魔物跟着。那魔物甚至还在嫦娥姐姐休息的时候偷窥可爱的嫦娥姐姐，偷走了嫦娥的仙衣，这可不得了！！！ 
各国勇士一定要去教训那个色胆包天的魔物，找回嫦娥的衣物。
)</t>
  </si>
  <si>
    <t>body(      亲爱player()，欢乐万圣节，一群调皮的南瓜怪大摇大摆的在王城里闲逛呢，不过似乎在这个特殊的时节，大家都以为是人们装扮的，反正没有敌意，索性也穿戴上南瓜服，来场属于南瓜们的狂欢游行吧！newline()space()space()space()请加入南瓜的游行队伍，与南瓜头领对话，撒花6次。newline()space()space()space()hot4(游行时间为每日的18-19点，在游行时间方可接取任务))</t>
  </si>
  <si>
    <t>尚未完成一次单人水月洞天</t>
  </si>
  <si>
    <t>在中立合作副本区的水月洞天守卫莱昂那里完成一次水月洞天</t>
  </si>
  <si>
    <t>&lt;p&gt;
&lt;n&gt;  副本区：&lt;/n&gt;&lt;goto quick="1" id="160" mapid="3" flagpoint="1"/&gt;&lt;newline/&gt;&lt;n&gt;  选择合作副本区&lt;/n&gt;&lt;newline/&gt;&lt;n&gt;  通过：&lt;/n&gt;&lt;goto quick="1" id="129" mapid="118" flagpoint="1" taskid="4312" /&gt;&lt;newline/&gt;&lt;n&gt;参与1次水月洞天&lt;/n&gt;
&lt;/p&gt;</t>
  </si>
  <si>
    <t>[副本]水月洞天</t>
  </si>
  <si>
    <t>水月洞天</t>
  </si>
  <si>
    <t>title(（61级）前线告急)
body(hotyellow_3(任务进程:)newline()
   与goto(164,118)对话，了解华荣道的情况。
blankline()hotyellow_3(任务描述:)newline() 
   现在前线要塞的形势确实非常危急啊，player()，如果你能够帮助我们就更好了。)</t>
  </si>
  <si>
    <t>"需要找到华荣道的佩恩"</t>
  </si>
  <si>
    <t>华荣道</t>
  </si>
  <si>
    <t>[33级]凤城地宫</t>
  </si>
  <si>
    <t>凤城地宫指引者</t>
  </si>
  <si>
    <t>title(（33级）凤城地宫)
body(hotyellow_3(任务进程:)newline()
   进入凤城的凤城地宫一层，找到位于凤城地宫的goto(60552,132)。blankline()hotyellow_3(任务描述:)newline() 
   凤城地宫位于凤城左上角。凤城地宫分为3层，第一层适合22-33级玩家挂机。第二层拥有32-43级的玩家挂机。第三层拥有42-53组玩家挂机。)</t>
  </si>
  <si>
    <t>body(space()space()space()player()，到了让你了解凤城的时候了。虽然表面上，凤城充满了光明和希望。但就在离此不远的地方，从各处抓来的异端均被关押在了凤城地宫之中。去凤城地宫寻找指引者吧！将凤城地宫的现状告诉我。)</t>
  </si>
  <si>
    <t>body(   我就是凤城地宫一层守护伊吉尔。尽管没有阳光、美女、好吃的，但这不影响我对神的憧憬。)</t>
  </si>
  <si>
    <t>凤城地宫位于凤城左上角。适合22-53级的玩家。</t>
  </si>
  <si>
    <t>找到凤城地宫一层入口的伊吉尔</t>
  </si>
  <si>
    <t>title(（33级）无聊的绿灯侠)
body(hotyellow_3(任务进程:)newline()
   击杀50个goto(16008,132)，并回复goto(60552,132)。blankline()hotyellow_3(任务描述:)newline() 
   凤城地宫位于凤城左上角。凤城地宫分为3层，第一层适合22-33级玩家挂机。第二层拥有32-43级的玩家挂机。第三层拥有42-53组玩家挂机。)</t>
  </si>
  <si>
    <t>title(（33级）一切稳定)
body(hotyellow_3(任务进程:)newline()
   将凤城地宫的情况告知goto(60000,3)。blankline()hotyellow_3(任务描述:)newline() 
   凤城地宫位于凤城左上角。凤城地宫分为3层，第一层适合22-33级玩家挂机。第二层拥有32-43级的玩家挂机。第三层拥有42-53组玩家挂机。)</t>
  </si>
  <si>
    <t>body(space()space()space()player()，凤城地宫很适合现在的你进行挂机操作。凤城地宫分为3层，第一层适合22-33级玩家挂机。第二层拥有32-43级的玩家挂机。第三层拥有42-53组玩家挂机。)</t>
  </si>
  <si>
    <t>title(（31级）将魂强化)
body(hotyellow_3(任务进程:)newline()
   完成一次将魂强化，去见goto(60000,3)。
blankline()hotyellow_3(任务描述:)newline() 
space()space()space()player()，使用血精石可以强化将魂。打开合成界面，选择将魂升级的标签就可以了。当你等级达到35级后，可通过副本中转站前往宝藏地宫。在宝藏地宫打怪有几率掉落血精石。)</t>
  </si>
  <si>
    <t>body(space()space()space()player()，使用血精石可以强化将魂。打开合成界面，选择将魂升级的标签就可以了。当你等级达到35级后，可通过副本中转站前往宝藏地宫。在宝藏地宫打怪有几率掉落血精石。)</t>
  </si>
  <si>
    <t>[日常]宝藏地宫</t>
  </si>
  <si>
    <t>title(（节日）爱的恋曲（可重复）)
body(hotyellow_3(任务进程:)newline()
   寻找1颗紫宝石(1级)后回复goto(214,3)。newline()   hot(打怪、宝藏地宫、拍卖行可获得紫宝石)
blankline()hotyellow_3(任务描述:)newline()  
   player()，白色情人节到了，我想收集hot(1颗紫宝石(1级))给爱丽丝制作一个紫钻手链，如果你能给我一颗紫宝石的话，我愿意作曲作为回赠。)</t>
  </si>
  <si>
    <t>title(（节日）爱的曲奇（可重复）)
body(hotyellow_3(任务进程:)newline()
   寻找1颗蓝宝石(1级)后回复goto(213,3)。newline()   hot(打怪、宝藏地宫、拍卖行可获得蓝宝石)
blankline()hotyellow_3(任务描述:)newline()  
   player()，白色情人节到了，我想收集hot(1颗蓝宝石(1级))给埃尔加制作一个蓝钻胸章，如果你能给我一颗蓝宝石的话，我愿意把曲奇作为回赠。)</t>
  </si>
  <si>
    <t>[副本]战神殿堂</t>
  </si>
  <si>
    <t>&lt;p&gt;
&lt;n&gt;  加入团并进入家族府邸&lt;/n&gt;&lt;newline/&gt;
&lt;n&gt;  回复：&lt;/n&gt;
 &lt;n&gt; &lt;/n&gt;&lt;goto id="45110" mapid="101" flagpoint="1" flagdrawrect="1" taskid="12032"/&gt;
&lt;/p&gt;</t>
  </si>
  <si>
    <t>body(   英勇的战士，欢迎你来到家族府邸！来到这里说明你经历了层层考验，但是未来还将会有更多的考验等待着你！)</t>
  </si>
  <si>
    <t>body(   看来你已经了解了家族府邸的基本结构。与自己的战友们一起缔造伟大时代吧！)</t>
  </si>
  <si>
    <t>"与家族府邸中的NPC对话"</t>
  </si>
  <si>
    <t>title(团任务：)
body(hotyellow_3(任务进程:)newline()
   我们接受到一份寻找$NPCINFO的委托，找到目标之后,不要忘记回来向我汇报。
blankline()
   space()space()space()hot2(任务完成后,千万不要忘记向家族府邸的goto(45112,101)汇报哦！))</t>
  </si>
  <si>
    <t>title(团任务：)
body(hotyellow_3(任务进程:)newline()
   这是一个考验：击杀hot($NUM只等级大于等于$MINLEVEL级的怪物)，我才能将接下来的任务交付给你。
blankline()
   space()space()space()hot2(任务完成后,千万不要忘记向家族府邸的goto(45112,101)汇报哦！))</t>
  </si>
  <si>
    <t>title(团任务：)
body(hotyellow_3(任务进程:)newline()
   最近我在研究新型的装备，你能否帮我寻找hot(1件$MINLEVEL级$NAME)供我试验？据说相应等级的怪物会掉落这种装备，或者你只能看一下你的朋友是否收藏着这种装备！
blankline()
   space()space()space()hot2(任务完成后,千万不要忘记向家族府邸的goto(45112,101)汇报哦！))</t>
  </si>
  <si>
    <t>title(团任务：)
body(hotyellow_3(任务进程:)newline()
   最近我在研究新型的武器，你能否帮我寻找hot(1件$MINLEVEL级$NAME)供我试验？据说相应等级的怪物会掉落这种装备，或者你只能看一下你的朋友是否收藏着这种装备！
blankline()
   space()space()space()hot2(任务完成后,千万不要忘记向家族府邸的goto(45112,101)汇报哦！))</t>
  </si>
  <si>
    <t>title(团任务：)
body(hotyellow_3(任务进程:)newline()
  现在光明女祭司有一件重要的使命委托给我们，麻烦你去goto(135,3)处，帮我将hot(凤城特使)护送到$NPCINFO处,这件事情事关重大,请务必小心行事。
blankline()
   space()space()space()hot2(任务完成后,千万不要忘记向家族府邸的goto(45112,101)汇报哦！))</t>
  </si>
  <si>
    <t>title(团任务：)
body(hotyellow_3(任务进程:)newline()
  现在大议长有一件重要的使命委托给我们，麻烦你去goto(60559,5)处，帮我将hot(王城特使)护送到$NPCINFO处,这件事情事关重大,请务必小心行事。
blankline()
   space()space()space()hot2(任务完成后,千万不要忘记向家族府邸的goto(45112,101)汇报哦！))</t>
  </si>
  <si>
    <t>title(团任务：)
body(hotyellow_3(任务进程:)newline()
  这里有一封机密信函需要交给$NPCINFO,将它安全送达,不要让任何其他人看到这封信的内容。
blankline()
   space()space()space()hot2(任务完成后,千万不要忘记向家族府邸的goto(45112,101)汇报哦！))</t>
  </si>
  <si>
    <t>title(团任务：)
body(hotyellow_3(任务进程:)newline()
  根据情报,$NPCINFO那里有一份机密的情报，鉴于其重要和保密性,只能麻烦你亲自跑一趟,将其带回来给我。
blankline()
   space()space()space()hot2(任务完成后,千万不要忘记向家族府邸的goto(45112,101)汇报哦！))</t>
  </si>
  <si>
    <t>title(团任务：)
body(hotyellow_3(任务进程:)newline()
   为了安全考虑,我们在各地设置了很多的监控雷达,目前$NPCINFO的电力已经不足以维持正常运作了，拿上这个高能电池,去为它进行充电。
blankline()
   space()space()space()hot2(任务完成后,千万不要忘记向家族府邸的goto(45112,101)汇报哦！))</t>
  </si>
  <si>
    <t>title(团任务：)
body(hotyellow_3(任务进程:)newline()
   我们的物资车队遭到了$NPCINFO的袭击,被抢走了相当多的珍贵物资，去干掉这些家伙,取回hot($NAME)。这关系到我们团的资金来源,请务必认真对待blankline()
hot(小提示:完成该任务可以获得额外的团资金奖励！)
blankline()
   space()space()space()hot2(任务完成后,千万不要忘记向家族府邸的goto(45112,101)汇报哦！))</t>
  </si>
  <si>
    <t>title(团任务：)
body(hotyellow_3(任务进程:)newline()
   由于团发展的需要,我们正面临资源短缺的困难,请帮我收集hot($NAME),此类物品低等级的可以通过迷雾废墟的goto(60049,2)进入hot(神秘矿洞)采集获得,高等级的可以通过低等级合成获得。
blankline()
   space()space()space()hot2(任务完成后,千万不要忘记向家族府邸的goto(45112,101)汇报哦！))</t>
  </si>
  <si>
    <t>title(团任务：)
body(hotyellow_3(任务进程:)newline()
   请帮我收集hot($NAME)。据说该类物品散布在hot($MAPNAME)，探索你所能进入的每一个区域，你也许会得到意外的惊喜哦！
blankline()
   space()space()space()hot2(任务完成后,千万不要忘记向家族府邸的goto(45112,101)汇报哦！))</t>
  </si>
  <si>
    <t>title(团任务：)
body(hotyellow_3(任务进程:)newline()
   由于团发展的需要,我们正面临资源短缺的困难,请帮我收集hot($NAME)。该物品可以通过生活技能生产获得,你也可以看看你的朋友是否收藏着此类物品！
blankline()
   space()space()space()hot2(任务完成后,千万不要忘记向家族府邸的goto(45112,101)汇报哦！))</t>
  </si>
  <si>
    <t>title(团任务：)
body(hotyellow_3(任务进程:)newline()
   请帮我收集hot($NAME)。据说该类物品散布在hot($MAPNAME)，杀死那里活动的怪物都会有几率在它们身上找到它！
blankline()
   space()space()space()hot2(任务完成后,千万不要忘记向家族府邸的goto(45112,101)汇报哦！))</t>
  </si>
  <si>
    <t>title(团任务：)
body(hotyellow_3(任务进程:)newline()
   这是我们团培育出的最新物种，将$ITEM内的生物在$ECORPS家族府邸里放生，让他们帮我检验下这个新物种的战斗实力，哈哈！blankline()去找goto(45111,101)，他会帮助你秘密潜入敌方基地。
blankline()
   在指定家族府邸使用hot(钛金生物笼)即可进行召唤！hot4(请注意：召唤有几率失败，召唤失败时需要重新召唤！)
blankline()
   hot2(任务完成后,千万不要忘记向goto(45111,101)汇报哦！))</t>
  </si>
  <si>
    <t>title(（活动）（幸运四叶草）)
body(hotyellow_3(任务进程:)newline()
   找到拥有hot(四叶草)的玩家，通过右键菜单中的“邀请合并”功能，将“幸运瓶（空）”和“四叶草”合并成“幸运瓶”后回复goto(229,3)。
blankline()hotyellow_3(任务描述:)newline() 
space()space()space()1.寻找拥有“四叶草”的朋友；newline()
space()space()space()2.右键角色名，选择功能菜单中的“邀请合并”；newline()
space()space()space()3.在弹出的界面中，放入“幸运瓶（空）”，等待对方放入“四叶草”后点击“合并”按钮；newline()
space()space()space()4.成功合并的话，双方将各得到一个“幸运瓶”。newline()
space()space()space()（“四叶草”为家族府邸中源宗正处购买“四叶草种子”种植收获可得）newline()
)</t>
  </si>
  <si>
    <t>body(   我曾经过的一个国家，在高价收购“幸运瓶”，似乎在奥丁大陆可以得到这个东西。我给你个空瓶子，请去寻找拥有“四叶草”的人通过“邀请合并”的方式合成装满幸运的幸运瓶。（“四叶草”为家族府邸中源宗正处购买“四叶草种子”种植收获可得）)</t>
  </si>
  <si>
    <t>title(（活动）（乐于助人者的嘉奖）（每日3次）)
body(hotyellow_3(任务进程:)newline()
   帮助别人，从而获得更多的“幸运瓶”后，回复goto(229,3)。
blankline()hotyellow_3(任务描述:)newline() 
space()space()space()如果您拥有“四叶草”，请帮助拥有“幸运瓶（空）”的人合并，您和他都将各自获得1个“幸运瓶”，交付本任务后会获得奖励。newline()
space()space()space()（“四叶草”为家族府邸中源宗正处购买“四叶草种子”种植收获可得）newline()
)</t>
  </si>
  <si>
    <t>title([活动]五色新丝缠角粽)
body(hotyellow_3(任务进程:)newline()
   亲爱player()，收集1个hot(水果)即可完成任务。hot(水果)可通过家族府邸goto(45113,101)换取。
blankline()hotyellow_3(任务描述:)newline() 
space()space()space()活动期间，hot(51级)以上玩家每天上线可以在hot(凤城/王城)的goto(305,3)处接取端午节小任务，完成后就可以获得hot(3个青叶粽子，1片菖蒲)。newline() 
space()space()space()每个青叶粽子食用后将会随机获得一个端午礼物：绿舞票、绿钓鱼卡、绿速递通行证、绿战阵夺营通行证、镶嵌宝石、红玫瑰、占星卡、魔法扑克……好礼多多，等你来拿！
space()space()space()收集一定数量的菖蒲叶后，可以在goto(305,3)处兑换各种口味的粽子，每种粽子都能带给你不同的惊喜哦
)</t>
  </si>
  <si>
    <t>title([活动][奥运]永不熄灭的火焰)
body(hotyellow_3(任务进程:)newline()
   亲爱player()，收集1个hot(水果)即可完成任务。hot(水果)可通过家族府邸goto(45113,101)换取。
blankline()hotyellow_3(任务描述:)newline() 
space()space()space()活动期间，hot(51级)以上玩家每天上线可以在hot(凤城/王城)的goto(313,3)处接取奥运小任务，完成后就可以获得hot(3个奥运圣火)。newline() 
space()space()space()每个hot(奥运圣火)使用后将会随机获得一个奥运礼物：远行囊、镶嵌宝石、红玫瑰、占星卡、魔法扑克……甚至还有限量版的hot(奥运主题幻化武器)等你来拿！
space()space()space()奥运圣火中有几率开出奥运鲜花，收集一定数量的奥运鲜花后，可以在goto(313,3)处兑换各种高级道具，每种道具都能带给你不同的惊喜哦
)</t>
  </si>
  <si>
    <t>[竞技]帝梦险境</t>
  </si>
  <si>
    <t>body(space()space()space()player()，负责你们从九品下的长官hot(士官长罗恩)就在我身边。)</t>
  </si>
  <si>
    <t>title(（29级）炮灰向前冲)
body(hotyellow_3(任务进程:)newline()
   询问goto(60052,4)有关从九品下的事。
blankline()hotyellow_3(任务描述:)newline() 
   询问情报官零号有关驻守燃烧平原从九品下的事。)</t>
  </si>
  <si>
    <t>title(（授勋）从九品上)
body(hotyellow_3(任务进程:)newline()
   将迷雾废墟任务进展不顺利的消息告诉goto(60006,1)。
blankline()hotyellow_3(任务描述:)newline() 
   上一批执行任务的人与我们失去了联系。这里面可能有很多原因，但是这些其实也都在赫肯大人的预料之中。嘿嘿，这是命运的力量吗？blankline()  player()，如果有可能，请尽量挽救可能的幸存者。)</t>
  </si>
  <si>
    <t>body(   哦？已经是从九品上了吗？不过以你的实力，倒是当之无愧。)</t>
  </si>
  <si>
    <t>[授勋]正九品下</t>
  </si>
  <si>
    <t>title(（授勋）正九品下)
body(hotyellow_3(任务进程:)newline()
blankline()   护送物资车前往goto(60052,4)处。注意不要让物资车离开你的视野！
blankline()hotyellow_3(任务描述:)newline() 
space()space()space()player()，我已经从艾伦那里听说了你的一切。我认为你已经能够成为一名合格的正九品下。blankline()   不过，在授予你正九品下的荣誉之前，请完成每一个正九品下都要经历的基本试炼，完成一次hot(前限速递护送)。)</t>
  </si>
  <si>
    <t>body(space()space()space()player()，我已经从艾伦那里听说了你的一切。我认为你已经能够成为一名合格的正九品下。不过，在授予你正九品下的荣誉之前，请完成每一个正九品下都要经历的基本试炼，比如完成一次hot(运镖)。)</t>
  </si>
  <si>
    <t>[授勋]正九品下的福利</t>
  </si>
  <si>
    <t>[授勋]正九品上</t>
  </si>
  <si>
    <t>body(   恭喜你，正九品上。)</t>
  </si>
  <si>
    <t>[授勋]从八品下</t>
  </si>
  <si>
    <t>body(space()space()space()player()，从现在起，你就是从八品下了。)</t>
  </si>
  <si>
    <t>从七品下</t>
  </si>
  <si>
    <t>title(（60级）斗气转换)
body(hotyellow_3(任务进程:)newline()
   斗气转换可以将你的斗气中的物法攻击进行互换，不必再对职业转换形成负担。)</t>
  </si>
  <si>
    <t>body(   斗气转换可以将你的斗气中的物法攻击进行互换，不必再对职业转换形成负担。)</t>
  </si>
  <si>
    <t>"您还没有1个南瓜馅饼,魏国国民在节日期间完成运镖可以获得1个南瓜馅饼。"</t>
  </si>
  <si>
    <t>"您还没有1个烘南瓜子,蜀国国民在节日期间完成运镖可以获得1个烘南瓜子。"</t>
  </si>
  <si>
    <t>title([节日]不给糖果就捣乱（每日2次）)
body(hotyellow_3(任务进程:)newline()
   亲爱player()，请帮忙收集1个hot(风之国)的hot(生姜饼)（风之国51级以上国民在节日期间完成运镖可以获得）。
blankline()hotyellow_3(任务描述:)newline() 
space()space()space()hot(亡灵骑士)似乎又遇到头疼的问题，每年这个时候都有一群孩子口里嚷着“不给糖果就捣乱！”，然后挨家挨户的讨要糖果，去年他的铠甲就因此被烧坏了几个洞（虽然对于亡灵铠来说，多烧几个洞也无差=.=）
newline()space()space()space()各国特产一览：
newline()space()space()space()风之国：生姜饼
newline()space()space()space()蜀国：烘南瓜子
newline()space()space()space()魏国：南瓜馅饼
newline()space()space()space()沙之国：粟米糖
newline()space()space()space()花之国：太妃糖
newline()space()space()space()吴国：苹果汁
)</t>
  </si>
  <si>
    <t>title([节日]不给糖果就捣乱（每日2次）)
body(hotyellow_3(任务进程:)newline()
   亲爱player()，请帮忙收集1个hot(蜀国)的hot(烘南瓜子)（蜀国51级以上国民在节日期间完成运镖可以获得）。
blankline()hotyellow_3(任务描述:)newline() 
space()space()space()hot(亡灵骑士)似乎又遇到头疼的问题，每年这个时候都有一群孩子口里嚷着“不给糖果就捣乱！”，然后挨家挨户的讨要糖果，去年他的铠甲就因此被烧坏了几个洞（虽然对于亡灵铠来说，多烧几个洞也无差=.=）
newline()space()space()space()各国特产一览：
newline()space()space()space()风之国：生姜饼
newline()space()space()space()蜀国：烘南瓜子
newline()space()space()space()魏国：南瓜馅饼
newline()space()space()space()沙之国：粟米糖
newline()space()space()space()花之国：太妃糖
newline()space()space()space()吴国：苹果汁
)</t>
  </si>
  <si>
    <t>title([节日]不给糖果就捣乱（每日2次）)
body(hotyellow_3(任务进程:)newline()
   亲爱player()，请帮忙收集1个hot(魏国)的hot(南瓜馅饼)（魏国51级以上国民在节日期间完成运镖可以获得）。
blankline()hotyellow_3(任务描述:)newline() 
space()space()space()hot(亡灵骑士)似乎又遇到头疼的问题，每年这个时候都有一群孩子口里嚷着“不给糖果就捣乱！”，然后挨家挨户的讨要糖果，去年他的铠甲就因此被烧坏了几个洞（虽然对于亡灵铠来说，多烧几个洞也无差=.=）
newline()space()space()space()各国特产一览：
newline()space()space()space()风之国：生姜饼
newline()space()space()space()蜀国：烘南瓜子
newline()space()space()space()魏国：南瓜馅饼
newline()space()space()space()沙之国：粟米糖
newline()space()space()space()花之国：太妃糖
newline()space()space()space()吴国：苹果汁
)</t>
  </si>
  <si>
    <t>title([节日]不给糖果就捣乱（每日2次）)
body(hotyellow_3(任务进程:)newline()
   亲爱player()，请帮忙收集1个hot(沙之国)的hot(粟米糖)（沙之国51级以上国民在节日期间完成运镖可以获得）。
blankline()hotyellow_3(任务描述:)newline() 
space()space()space()hot(亡灵骑士)似乎又遇到头疼的问题，每年这个时候都有一群孩子口里嚷着“不给糖果就捣乱！”，然后挨家挨户的讨要糖果，去年他的铠甲就因此被烧坏了几个洞（虽然对于亡灵铠来说，多烧几个洞也无差=.=）
newline()space()space()space()各国特产一览：
newline()space()space()space()风之国：生姜饼
newline()space()space()space()蜀国：烘南瓜子
newline()space()space()space()魏国：南瓜馅饼
newline()space()space()space()沙之国：粟米糖
newline()space()space()space()花之国：太妃糖
newline()space()space()space()吴国：苹果汁
)</t>
  </si>
  <si>
    <t>title([节日]不给糖果就捣乱（每日2次）)
body(hotyellow_3(任务进程:)newline()
   亲爱player()，请帮忙收集1个hot(花之国)的hot(太妃糖)（花之国51级以上国民在节日期间完成运镖可以获得）。
blankline()hotyellow_3(任务描述:)newline() 
space()space()space()hot(亡灵骑士)似乎又遇到头疼的问题，每年这个时候都有一群孩子口里嚷着“不给糖果就捣乱！”，然后挨家挨户的讨要糖果，去年他的铠甲就因此被烧坏了几个洞（虽然对于亡灵铠来说，多烧几个洞也无差=.=）
newline()space()space()space()各国特产一览：
newline()space()space()space()风之国：生姜饼
newline()space()space()space()蜀国：烘南瓜子
newline()space()space()space()魏国：南瓜馅饼
newline()space()space()space()沙之国：粟米糖
newline()space()space()space()花之国：太妃糖
newline()space()space()space()吴国：苹果汁
)</t>
  </si>
  <si>
    <t>title([节日]不给糖果就捣乱（每日2次）)
body(hotyellow_3(任务进程:)newline()
   亲爱player()，请帮忙收集1个hot(吴国)的hot(苹果汁)（吴国51级以上国民在节日期间完成运镖可以获得）。
blankline()hotyellow_3(任务描述:)newline() 
space()space()space()hot(亡灵骑士)似乎又遇到头疼的问题，每年这个时候都有一群孩子口里嚷着“不给糖果就捣乱！”，然后挨家挨户的讨要糖果，去年他的铠甲就因此被烧坏了几个洞（虽然对于亡灵铠来说，多烧几个洞也无差=.=）
newline()space()space()space()各国特产一览：
newline()space()space()space()风之国：生姜饼
newline()space()space()space()蜀国：烘南瓜子
newline()space()space()space()魏国：南瓜馅饼
newline()space()space()space()沙之国：粟米糖
newline()space()space()space()花之国：太妃糖
newline()space()space()space()吴国：苹果汁
)</t>
  </si>
  <si>
    <t>"您还没有1个苹果汁,吴国国民在节日期间完成运镖可以获得1个苹果汁。"</t>
  </si>
  <si>
    <t>body(      亲爱player()，小男孩利奥的父亲，在一次沙漠小镇守卫战中不幸牺牲了，利奥每年的万圣节都会前往沙漠小镇许愿，希望父亲在魏国能幸福。我这里有一盏hot(杰克灯)，前往沙漠小镇使用它，作为纪念~)</t>
  </si>
  <si>
    <t>body(      亲爱player()，在奥丁大陆的六个王国中，都有自己特产的糖果，每个孩子的口味都不一样，有的喜欢蜀国的烘南瓜子，有的喜欢花国的太妃糖苹果……，看看今天的孩子喜欢吃什么，然后去帮忙搞来吧。)</t>
  </si>
  <si>
    <t>body(   年轻人，请你务必带上我这封信，去凤城找光明骑士团族长hot(卡尔)。)</t>
  </si>
  <si>
    <t>光明骑士团族长就在凤城里。你进入凤城走到底就能看到他了。或者打开地图，使用NPC寻路功能也能轻松找到他哦！</t>
  </si>
  <si>
    <t>title(（21级）了解凤城)
body(hotyellow_3(任务进程:)newline()
   与凤城居民对话，goto(135,3)，goto(122,3)，goto(60550,3)，goto(60065,3)，goto(170,3)，最后回复goto(60000,3)。
blankline()hotyellow_3(任务描述:)newline() 
   欢迎你来到凤城。blankline()   光明骑士团族长卡尔希望你能够与凤城的居民进行沟通。)</t>
  </si>
  <si>
    <t>去找光明骑士团族长卡尔</t>
  </si>
  <si>
    <t>[25级]我的族长我的团</t>
  </si>
  <si>
    <t>title(（28级）物资匮乏)
body(hotyellow_3(任务进程:)newline()
    去找goto(60000,3)。blankline()hotyellow_3(任务描述:)newline()   凤城运来的补给越来越少了，不管是草药还是矿石，燃烧平原营地中的储备已经基本耗尽了。blankline()space()space()space()player()，请务必将燃烧平原物资匮乏的详情，告知我们的光明骑士团族长卡尔。)</t>
  </si>
  <si>
    <t>body(   凤城运来的补给越来越少了。请务必将燃烧平原物资匮乏的详情，告知我们的光明骑士团族长卡尔。)</t>
  </si>
  <si>
    <t>title(（28级）技能习得)
body(hotyellow_3(任务进程:)newline()
    去找goto(60000,3)。blankline()hotyellow_3(任务描述:)newline()space()space()space()player()，看来你已经了解道具的制作工艺，剩下的只是熟练程度与火候而已。请将你学会生活技能操作的事情，告诉光明骑士团族长卡尔吧！)</t>
  </si>
  <si>
    <t>body(space()space()space()player()，看来你已经了解道具的制作工艺，剩下的只是熟练程度与火候而已。请将你学会生活技能操作的事情，告诉光明骑士团族长卡尔吧！)</t>
  </si>
  <si>
    <t>title(（30级）准备完成)
body(hotyellow_3(任务进程:)newline()
   去找goto(60000,3)。
blankline()hotyellow_3(任务描述:)newline() 
   给予燃烧平原光明骑士团的物资总算准备妥当了。请将这个好消息告诉光明骑士团族长卡尔吧！)</t>
  </si>
  <si>
    <t>body(   给予燃烧平原光明骑士团的物资总算准备妥当了。请将这个好消息告诉光明骑士团族长卡尔吧！)</t>
  </si>
  <si>
    <t>[31级]退役的族长</t>
  </si>
  <si>
    <t>title(（31级）退役的族长)
body(hotyellow_3(任务进程:)newline()
   去找goto(60163,4)。
blankline()hotyellow_3(任务描述:)newline() 
   space()space()space()player()，听说你经常出没在燃烧平原的危险区域。我有一个叫做艾伦的朋友也在那里。他曾经是一个骑士团的族长，不过后来退休了。也许你们可以互相帮助。)</t>
  </si>
  <si>
    <t>body(space()space()space()player()，听说你经常出没在燃烧平原的危险区域。我有一个叫做艾伦的朋友也在那里。他曾经是一个骑士团的族长，不过后来退休了。也许你们可以互相帮助。)</t>
  </si>
  <si>
    <t>[31级]族长的问题</t>
  </si>
  <si>
    <t>title(（31级）族长的问题)
body(hotyellow_3(任务进程:)newline()
   去找goto(60163,4)，回答关于团的问题。
blankline()hotyellow_3(任务描述:)newline() 
   space()space()space()player()，希望你能够回答我对于团的问题。)</t>
  </si>
  <si>
    <t>body(space()space()space()player()，我想还是有必要让退役的族长艾伦约束一下那些在附近肆无忌惮活动的赏金猎人，以免感染瘟疫。blankline()   毕竟，艾伦在赏金猎人圈子中的声望还是很高的。)</t>
  </si>
  <si>
    <t>title(（32级）措施)
body(hotyellow_3(任务进程:)newline()
   去找goto(60163,4)。
blankline()hotyellow_3(任务描述:)newline() 
   虽然player()你战斗力超群，但是一个人的力量终归有限。请你帮我询问一下退役的族长艾伦，疫病的源头找到了没有？)</t>
  </si>
  <si>
    <t>body(   有关瘟疫的调查结果我已经告知光明骑士团族长卡尔了。目前还没有完善的解决方案。)</t>
  </si>
  <si>
    <t>title(（33级）刺客昆卡)
body(hotyellow_3(任务进程:)newline()
   去找goto(60165,4)。
blankline()hotyellow_3(任务描述:)newline() 
   经过这么多次分析，现在我终于可以确定这种将人类变成岩浆傀儡的疫病来自于火焰蝴蝶的幼虫。blankline()space()space()space()player()，剿灭火焰蝴蝶幼虫的事，卡尔族长已经完全交给了刺客昆卡。现在的我们，只能希望昆卡在消灭幼虫上表现出卓越的效率。)</t>
  </si>
  <si>
    <t>body(   剿灭火焰蝴蝶幼虫的事，卡尔族长已经完全交给了刺客昆卡。现在的我们，只能希望昆卡在消灭幼虫上表现出卓越的效率。)</t>
  </si>
  <si>
    <t>title(（34级）新的召唤)
body(hotyellow_3(任务进程:)newline()
   去见goto(60000,3)。
blankline()hotyellow_3(任务描述:)newline() 
   在你的帮助下，燃烧平原已经变得稳定。光明骑士团族长卡尔似乎有很要紧的事找你，快去见他吧！)</t>
  </si>
  <si>
    <t>body(space()space()space()player()，自从上次你剿灭了爆裂火焰守卫，燃烧平原安静了许多。我想那些变异生物，短时间内不会有大的动作。blankline()   今天早晨我收到凤城的密令。族长hot(卡尔)有重要的事找您。)</t>
  </si>
  <si>
    <t>title(（35级）任性的女儿)
body(hotyellow_3(任务进程:)newline()
   去凤城外围丛林替卡尔照看下他任性的女儿goto(60072,3)。
blankline()hotyellow_3(任务描述:)newline() 
   我那任性的女儿妮可，也不知道是怎么想的，非要留在凤城外围丛林的哨所。
newline()
   光明骑士团族长卡尔很担心他女儿指挥官妮可在观测站的安全，去帮忙照看一下妮可吧！)</t>
  </si>
  <si>
    <t>title(（39级）失踪的犀牛)
body(hotyellow_3(任务进程:)newline()
   将监测数据分析告诉goto(60000,3)。
blankline()hotyellow_3(任务描述:)newline() 
   狂暴犀牛的急剧减少，不管是好是坏，至少说明了凤城外围丛林中正在发生某些变化。
newline()   请你将我们监测到的数量告诉凤城中的光明骑士团族长卡尔吧！我将留在营地进行进一步的监测。)</t>
  </si>
  <si>
    <t>body(   从各处收集到的狂暴犀牛的数据表明，它们的数量在过去的三个月中直线下降。丛林里正在发生某些我们还未明了的变化。blankline()   且不管变化是好是坏，player()，我们需要先将具体情况告诉hot(光明骑士团族长卡尔)吧！)</t>
  </si>
  <si>
    <t>title(（40级）危机蔓延)
body(hotyellow_3(任务进程:)newline()
    去找goto(60000,3)。
blankline()hotyellow_3(任务描述:)newline() 
    凤城外围生物数量突然发生改变。各种狂暴犀牛的数量急剧下降。这些情况也许会引发连锁效应，对凤城产生影响。player()，请告诉光明骑士团族长卡尔，务必要有所准备！)</t>
  </si>
  <si>
    <t>body(   凤城外围生物数量突然发生改变。各种狂暴犀牛的数量急剧下降。这些情况也许会引发连锁效应，对凤城产生影响。player()，请告诉光明骑士团族长卡尔，务必要有所准备！)</t>
  </si>
  <si>
    <t>title(（40级）告知)
body(hotyellow_3(任务进程:)newline()
   去找goto(60150,3)。
blankline()hotyellow_3(任务描述:)newline() 
   卡尔族长的命令也让冒险者坎比知道吧！虽然他一点战斗力也没有……)</t>
  </si>
  <si>
    <t>body(   卡尔族长的命令也让冒险者坎比知道吧！虽然他一点战斗力也没有……)</t>
  </si>
  <si>
    <t>title(（40级）汇报)
body(hotyellow_3(任务进程:)newline()
   去找goto(60000,3)。
blankline()hotyellow_3(任务描述:)newline() 
   目前的情况不容乐观啊！blankline()   谨慎起见，player()，还是要烦请你将这里的情况告诉光明骑士团族长卡尔。)</t>
  </si>
  <si>
    <t>body(   目前的情况不容乐观啊！blankline()   谨慎起见，player()，还是要烦请你将这里的情况告诉光明骑士团族长卡尔。)</t>
  </si>
  <si>
    <t>title(（44级）卡尔的口信)
body(hotyellow_3(任务进程:)newline()
   去找goto(60000,3)。
blankline()hotyellow_3(任务描述:)newline() 
   卡尔族长让我转告你，他想见你一面。)</t>
  </si>
  <si>
    <t>body(   卡尔族长让我转告你，他想见你一面。)</t>
  </si>
  <si>
    <t>body(   我接到消息，位于中立区的前线正在遭遇变异生物的猛烈攻击，急需支援！具体的情况我也不是很清楚，player()，你还是去找光明骑士团族长卡尔询问一下吧！)</t>
  </si>
  <si>
    <t>body(   我们抵御了最近几波的攻击，你的到来可能并无法改变更多的情况。不过我希望你能够将这里的消息告知光明骑士团族长卡尔。希望他能够派来更多的帮手！)</t>
  </si>
  <si>
    <t>title(（56级）危险的沙漠)
body(hotyellow_3(任务进程:)newline()
   去凤城找到goto(60000,3)，将沙漠的情况告知光明骑士团族长卡尔。
blankline()hotyellow_3(任务描述:)newline() 
   沙漠现在的危险来自资源的不足，外敌的入侵与怪兽的变异。我们英勇的战士可以消灭狡猾的敌人与凶恶的怪兽，却无法变出食物来。希望你能够将具体的现状告知卡尔。)</t>
  </si>
  <si>
    <t>title(（56级）水鸟赏金团)
body(hotyellow_3(任务进程:)newline()
   去找goto(60086,7)。
blankline()hotyellow_3(任务描述:)newline() 
space()space()space()player()，你无偿的帮我做这些事真让我感动。所以我有义务要告诉你，这些事完全可以有偿的完成。找到hot(水鸟赏金团的族长雷伊)你就明白了。)</t>
  </si>
  <si>
    <t>body(space()space()space()player()，你替我做这么多事真让我感动，但我没法给你一分钱的报酬，因为我也是个穷光蛋。不过，你可以去找hot(水鸟赏金团的族长雷伊)。)</t>
  </si>
  <si>
    <t>title(（62级）与光明对话)
body(hotyellow_3(任务进程:)newline()
    hot(受大议长君士坦丁委托)与goto(60000,3)对话，寻求解决沙漠危机的办法。
blankline()hotyellow_3(任务描述:)newline() 
   与hot(光明骑士团族长)对话，寻求解决沙漠危机的办法。)</t>
  </si>
  <si>
    <t>title(（62级）与帝国对话)
body(hotyellow_3(任务进程:)newline()
   hot(受光明骑士团族长卡尔委托)与goto(60559,5)对话，寻求解决沙漠危机的办法。
blankline()hotyellow_3(任务描述:)newline() 
   与hot(大议长君士坦丁)对话，寻求解决沙漠危机的办法。)</t>
  </si>
  <si>
    <t>body(   这件事回想起来，总觉得某些地方有着强烈的不协调感，但我又说不上来…blankline()   我听说当年发生战斗的时候，狼群佣兵团也在附近，当时狼群的佣兵团的族长就是现在的hot(赏金猎人佐洛)，也许他对那场战斗看的比我们更加清楚。)</t>
  </si>
  <si>
    <t>title(（往事）燃烧的平原)
body(hotyellow_3(任务进程:)newline()
   询问goto(60000,3)当年战斗的真相。
blankline()hotyellow_3(任务描述:)newline() 
   当年的事，没有人比光明骑士团族长卡尔知道的更多了，当年清剿间谍是他亲自下的命令。你可以亲自去问他。)</t>
  </si>
  <si>
    <t>body(   Reedback是刑天的妻子，一个非常美丽的金发女孩。她曾经服役于神之刺客佣兵团，后来因为刑天的关系加入了狼群。不过刑天已经在战斗中被炸成肉末了。blankline()   我想，她最想要的就是一张刑天的照片吧，这种东西hot(光明骑士团族长卡尔)那里是一定有的。)</t>
  </si>
  <si>
    <t>body(   我能看到无尽远处的光辉，却无法看透光辉背后的未来。我们的首领，光明骑士团的族长卡尔也许能帮助到你。他是我们的领袖，也是光明教会战斗力量的指挥者。当你等级达到20级，将会被命运指引去见他。)</t>
  </si>
  <si>
    <t>等级达到20级与光明骑士团族长卡尔对话</t>
  </si>
  <si>
    <t>&lt;p&gt;
&lt;n&gt;  将等级提升至20级&lt;/n&gt;
&lt;newline/&gt;
&lt;n&gt;  找凤城光明骑士族长卡尔&lt;/n&gt;
&lt;newline/&gt;
&lt;dialog taskid="10101" text="勋章商店可兑换极品装备" hotkeyid="14" /&gt;
&lt;/p&gt;</t>
  </si>
  <si>
    <t>title(（20级）命运的轨迹)
body(hotyellow_3(任务进程:)newline()
   询问goto(60000,3)。blankline()hotyellow_3(任务描述:)newline() 
   有什么要问光明骑士团族长卡尔的吗？))</t>
  </si>
  <si>
    <t>询问光明骑士团族长卡尔</t>
  </si>
  <si>
    <t>body(space()space()space()player()，我从来不相信历史，也从来不相信命运。我相信自己能够获得尊重，但我无法改变出生。我的父亲是光明骑士团的族长卡尔。我从来不希望成为第二个谁，我只想做第一个我。)</t>
  </si>
  <si>
    <t>你可以将信息告知光明骑士族长卡尔。</t>
  </si>
  <si>
    <t>将凤城地宫的信息告知光明骑士族长卡尔。</t>
  </si>
  <si>
    <t>title(（35级）任性的女儿)
body(hotyellow_3(任务进程:)newline()
   光明骑士团族长卡尔有一封信希望你能够送到goto(60072,3)手中。
blankline()hotyellow_3(任务描述:)newline() 
   对其他很多人来说，有个厉害的父亲是件值得骄傲的事情。可对我女儿来说，他却总是逃避着是我女儿这件事。我从不对她有过多的要求，可她总是要争取最好、最强的那一位。作为父亲我为他骄傲，也觉得内心有点歉疚。其实，我更希望他是一个乖巧幸福的女孩，仅此而已。)</t>
  </si>
  <si>
    <t>title(（35级）任性的女儿)
body(hotyellow_3(任务进程:)newline()
   光明骑士团族长看完了女儿的来信，希望你提醒下goto(60073,3)。
blankline()hotyellow_3(任务描述:)newline() 
   女儿总是要嫁人，但是我不希望我的女儿嫁给一个痞子、流氓或者混蛋！既然想要追求我的女儿，一定要是最出类拔萃的！)</t>
  </si>
  <si>
    <t>title(（31级）生命药（中）)
body(hotyellow_3(任务进程:)newline()
   帮助迷雾废墟的goto(60163,4)寻找hot(生命药（中）)1瓶。
blankline()hotyellow_3(任务描述:)newline() 
   退役的族长艾尔，将会给你讲解急救相关的知识。)</t>
  </si>
  <si>
    <t>title(（31级）魔力药（中）)
body(hotyellow_3(任务进程:)newline()
   帮助迷雾废墟的goto(60163,4)寻找hot(魔力药（中）)1瓶。
blankline()hotyellow_3(任务描述:)newline() 
   退役的族长艾尔，将会给你讲解急救相关的知识。)</t>
  </si>
  <si>
    <t>title(（31级）中级急救知识)
body(hotyellow_3(任务进程:)newline()
   回答goto(60163,4)关于中级急救知识相关的问答。
blankline()hotyellow_3(任务描述:)newline() 
   了解了使用药品恢复的规则，回答退役的族长艾尔的问题。)</t>
  </si>
  <si>
    <t>"尝试回答退役的族长艾尔的问题"</t>
  </si>
  <si>
    <t>光明骑士团族长卡尔</t>
  </si>
  <si>
    <t>title(（50级）边境战神)
body(hotyellow_3(任务进程:)newline()
   受光明骑士团族长卡尔的委托，前往沙漠，找到goto(196,7)。
blankline()hotyellow_3(任务描述:)newline() 
   在五丈原，有着一位强大的守护者。她捍卫着国家的门户，她便是边境战神！德罗尼是她的仆从，你可以前往五丈原，与德罗尼交流。)</t>
  </si>
  <si>
    <t>title(（36级）宠物合体)
body(hotyellow_3(任务进程:)newline()
   与goto(60073,3)对话，了解宠物合体相关的知识。
blankline()hotyellow_3(任务描述:)newline() 
   了解了使用药品恢复的规则，回答退役的族长艾尔的问题。)</t>
  </si>
  <si>
    <t>title(（61级）运镖交替)
body(hotyellow_3(任务进程:)newline()
   自61级起，运镖任务将从goto(60559,5)处开始。光明骑士团族长卡尔让你去寻找大议长君士坦丁，进行之后的运镖。
blankline()hotyellow_3(任务描述:)newline() 
   60级之后，运镖任务将会由王城的君士坦丁发布。)</t>
  </si>
  <si>
    <t>请族长颁发团奖金</t>
  </si>
  <si>
    <t>title(团成就任务-完美养成：)
body(hotyellow_3(任务进程:)newline()
目标:本团击杀一只蓝色以上的农场守望者blankline()
说明:农场守望者可以通过喂食饲料的方式增加其成长度,当成长度达到蓝色或更高品质阶段的时候,就可以由族长或天长老选择击杀之,击杀成功可以获得大量的金钱和道具奖励。blankline()
hot(小提示:紫色守望者击杀后可以获得珍贵的镶嵌宝石奖励！)
blankline()
    hot2(团成就任务完成后,将自动获得奖励))</t>
  </si>
  <si>
    <t>&lt;p&gt;
&lt;n&gt;本团参与一场家族战争&lt;/n&gt;
&lt;/p&gt;</t>
  </si>
  <si>
    <t>[战争]家族战争</t>
  </si>
  <si>
    <t>喂养家族圣兽</t>
  </si>
  <si>
    <t>body(   嗯，确实是这样，艾伦暂时将机关兽托给我管理。)</t>
  </si>
  <si>
    <t>title(（20级）破碎的采矿魔甲)
body(hotyellow_3(任务进程:)newline()
   使用机关兽伪装去找goto(60627,2)。
blankline()hotyellow_3(任务描述:)newline() 
   前段时间，光明骑士团的一些采矿魔甲在瀑布边被爆破野蛮人占据，他们使用机关兽来进行交流，为了不被认出，你需要伪装一下，便可以接近他们。blankline()   利用伪装获取一些有用的信息吧。由于我腿脚不是很方便，操作机关兽获取消息的任务就拜托player()你了。)</t>
  </si>
  <si>
    <t>body(    前段时间，光明骑士团的一些采矿魔甲在瀑布边被爆破野蛮人占据，由于我腿脚不是很方便，操作机关兽获取消息的任务就拜托player()你了。)</t>
  </si>
  <si>
    <t>机关兽被占领，是很大的损失，希望你能够扭转眼前的局势！</t>
  </si>
  <si>
    <t>title(（30级）遗落的装甲)
body(hotyellow_3(任务进程:)newline()
   销毁goto(22807,4)。   
blankline()hotyellow_3(任务描述:)newline() 
   燃烧平原上有一些战争前遗落在战场上的机关兽。它们有的已经彻底损毁，有的还保留着一些机能比如——经常走火…blankline()   所以，player()，我希望你能够帮助我们击毁它们。)</t>
  </si>
  <si>
    <t>body(   燃烧平原上有一些战争前遗落在战场上的机关兽。它们有的已经彻底损毁，有的还保留着一些机能比如——经常走火…blankline()   所以，player()，我希望你能够帮助我们击毁它们。)</t>
  </si>
  <si>
    <t>&lt;p&gt;
&lt;n&gt;  在"O"界面紧急领取机关兽&lt;/n&gt;
&lt;newline/&gt;
&lt;n&gt;  击毁&lt;/n&gt;
 &lt;n&gt; &lt;/n&gt;&lt;goto id="22807" mapid="4" flagpoint="1" taskid="10502" /&gt;
 &lt;/p&gt;</t>
  </si>
  <si>
    <t>title(团任务：)
body(hotyellow_3(任务进程:)newline()
   据说有士兵发现了地下核基地废墟，请帮我去$PLACE勘探下，调查情况是否属实。在指定位置使用hot(勘探仪)并带回任何你发现的有价值的东西！
blankline()
hot(小提示:完成该任务可以获得额外的机关兽材料奖励！)blankline()
   space()space()space()hot2(任务完成后,千万不要忘记向家族府邸的goto(45112,101)汇报哦！))</t>
  </si>
  <si>
    <t>&lt;p&gt;
&lt;n&gt;打造一件新的机关兽&lt;/n&gt;
&lt;/p&gt;</t>
  </si>
  <si>
    <t>家族历练任务</t>
  </si>
  <si>
    <t>title(团成就任务-科技优势：)
body(hotyellow_3(任务进程:)newline()
目标:本团完成当天全部家族历练任务的一半blankline()
说明:家族历练任务可以产出大量的经验和贡献度奖励,贡献度可以购买团里产出的各类有用的道具;家族历练任务是团繁荣度的重要获取来源,而繁荣度是团升级最关键的条件。blankline()
hot(小提示:家族历练任务完成全团整5,整10环任务的时候都可以获得经验的多倍奖励！)
blankline()
   hot2(团成就任务完成后,将自动获得奖励))</t>
  </si>
  <si>
    <t>&lt;p&gt;
&lt;n&gt;本团完成全部家族历练任务的一半以上&lt;/n&gt;
&lt;/p&gt;</t>
  </si>
  <si>
    <t>title(团成就任务-茁壮成长：)
body(hotyellow_3(任务进程:)newline()
目标:团繁荣度达到150blankline()
说明:繁荣度是团升级的最关键条件,繁荣度主要通过家族历练任务获得,繁荣度达到一定的程度之后,族长可以在指挥所升级团等级,进而让团不断成长,变得更为强大。blankline()
hot(小提示:可以通过家族历练任务来提高本团的繁荣度！)
blankline()
   hot(任务完成后,自动获得奖励))</t>
  </si>
  <si>
    <t>[日常]完成3次家族历练</t>
  </si>
  <si>
    <t>家族历练任务完成3次</t>
  </si>
  <si>
    <t>title([节日]你的月亮我的心)
body(hotyellow_3(任务进程:)newline()
   亲爱player()，完成1次hot(家族历练)即可完成任务。可通过家族府邸goto(45112,101)接取家族历练任务。
blankline()hotyellow_3(任务描述:)newline() 
space()space()space()活动期间，hot(21级)以上角色可在goto(333,3)接取中秋特殊任务hot(“你的月亮我的心”)（每天最多5次），每次完成后可获得丰厚角色经验和2个月饼模（不绑定）。
在其他活动中可以获得月饼陷，月饼模和月饼陷可以请嫦娥制作成美味的月饼。
)</t>
  </si>
  <si>
    <t>body(      亲爱player()，完成1次hot(家族历练)，我将送给你一份节日礼物！newline() 
space()space()space()hot(未接取时，您可以通过下方“刷新任务”按钮更换任务，每次消耗1个命运骰子))</t>
  </si>
  <si>
    <t>"需要完成1次家族历练任务"</t>
  </si>
  <si>
    <t>title(团成就任务-后勤补给：)
body(hotyellow_3(任务进程:)newline()
目标:本团通过完成团训练任务,达到50点营养指数blankline()
说明:团训练任务可以产生大量的营养指数,营养指数是从后勤部购买家族种植作物的必要资源,家族种植作物可以产出大量经验,金钱,资源或收费道具的替代物,是非常有用的团产出。blankline()
hot(小提示:组队完成团训练任务可以获得更高的效率！)
blankline()
   hot2(团成就任务完成后,将自动获得奖励))</t>
  </si>
  <si>
    <t>[日常]家族种植</t>
  </si>
  <si>
    <t>进行家族种植</t>
  </si>
  <si>
    <t>[战争]帮会战争</t>
  </si>
  <si>
    <t>[社交]家族频发言3次</t>
  </si>
  <si>
    <t>家族频道发言3次</t>
  </si>
  <si>
    <t>title([节日]你的月亮我的心)
body(hotyellow_3(任务进程:)newline()
   亲爱player()，完成1次hot(家族频道发言)即可完成任务。
blankline()hotyellow_3(任务描述:)newline() 
space()space()space()活动期间，hot(21级)以上角色可在goto(333,3)接取中秋特殊任务hot(“你的月亮我的心”)（每天最多5次），每次完成后可获得丰厚角色经验和2个月饼模（不绑定）。
在其他活动中可以获得月饼陷，月饼模和月饼陷可以请嫦娥制作成美味的月饼。
)</t>
  </si>
  <si>
    <t>body(      亲爱player()，完成1次hot(家族频道发言)，我将送给你一份节日礼物！newline() 
space()space()space()hot(未接取时，您可以通过下方“刷新任务”按钮更换任务，每次消耗1个命运骰子))</t>
  </si>
  <si>
    <t>"需要完成1次家族频道发言"</t>
  </si>
  <si>
    <t>"快去参加家族冒险副本吧，每周三、六可以参加。"</t>
  </si>
  <si>
    <t>title(（41级）第一只战斗坐骑)
body(hotyellow_3(任务进程:)newline()
   杀死goto(10172,132)获得hot(斗狮零件A)。blankline()
   杀死goto(10173,133)获得hot(斗狮零件B)。blankline()
   杀死goto(10174,134)获得hot(斗狮零件C)。
blankline()hotyellow_3(任务描述:)newline() 
   最近我们光明骑士家族内部发生了一次小规模的叛乱，虽然很快得到了镇压，但是叛乱的首领hot(马修少尉、奥尔迪加中尉、盖亚上尉)他们盗走了有关骑乘战斗系统的核心部件，逃入了凤城阴冷的地宫，隐遁于黑暗之中。blankline()space()space()space()player()，他们手中的核心部件是我们光明骑士团无论如何也要夺回的，请您务必帮助我们！)</t>
  </si>
  <si>
    <t>body(     最近我们光明骑士家族内部发生了一次小规模的叛乱，虽然很快得到了镇压，但是叛乱的首领hot(马修少尉、奥尔迪加中尉、盖亚上尉)他们盗走了有关骑乘战斗系统的核心部件，逃入了凤城阴冷的地宫，隐遁于黑暗之中。blankline()space()space()space()player()，他们手中的核心部件是我们光明骑士团无论如何也要夺回的，请您务必帮助我们！)</t>
  </si>
  <si>
    <t>title(（41级）失落的斗狮)
body(hotyellow_3(任务进程:)newline()
   杀死位于凤城地宫二层的goto(10173,133)，任务完成后去找goto(60000,3)。
blankline()hotyellow_3(任务描述:)newline() 
   最近我们光明骑士家族内部发生了一次小规模的叛乱，虽然很快得到了镇压，但是叛乱的首领hot(奥尔迪加中尉)盗走了有关骑乘战斗系统的核心部件，逃入了凤城阴冷的地宫，隐遁于黑暗之中。blankline()space()space()space()player()，我们光明骑士团无论如何也要击杀这些叛徒，请您务必帮助我们！)</t>
  </si>
  <si>
    <t>body(    最近我们光明骑士家族内部发生了一次小规模的叛乱，虽然很快得到了镇压，但是叛乱的首领hot(奥尔迪加中尉)盗走了有关骑乘战斗系统的核心部件，逃入了凤城阴冷的地宫，隐遁于黑暗之中。blankline()space()space()space()player()，他们手中的核心部件是我们光明骑士团无论如何也要夺回的，请您务必帮助我们！)</t>
  </si>
  <si>
    <t>title(团成就任务-志同道合：)
body(hotyellow_3(任务进程:)newline()
目标:全家族人数达到10人blankline()
说明:家族人数为团发展的重要因素之一,更多的团成员可以加快团资源的累计速度,也可以增强团在各类战争中的战斗力blankline()
hot(小提示:家族人数上限由团等级决定,团等级越高,可以招收的族人数量越多！)
blankline()
   hot2(团成就任务完成后,将自动获得奖励))</t>
  </si>
  <si>
    <t>&lt;p&gt;
&lt;n&gt; 家族人数达到10人&lt;/n&gt;
&lt;/p&gt;</t>
  </si>
  <si>
    <t>body(   一个人的力量再大，在宇宙的光辉与生与死之间也显得渺小。一个人的力量再小，在战友的情谊与团结的组织中也显得光辉耀眼！blankline()space()space()space()player()加入一个家族，并且尝试进入家族府邸看看吧！你的命运将会由此而改变。)</t>
  </si>
  <si>
    <t>"加入一个家族，并使用返回家族府邸技能进入团"</t>
  </si>
  <si>
    <t>title(（5级）沟通的艺术)
body(hotyellow_3(任务进程:)newline()
   每个人都需要一个家族队，你需要将你的声音带给别人，让大家意识到你的到来。
blankline()hotyellow_3(任务描述:)newline() 
   1.尝试打开聊天窗口，敲击键盘上的hot(回车键“Enter”)打开游戏左下角的聊天窗口。newline() 
   2.在文字输入框左边使用鼠标选择hot(轻聊)，并输入任意一段文字。newline()
   3.文字输入完成后，再次敲击键盘上的hot(回车键“Enter”)将文字内容发送出去，你周围的玩家将看到你的发言。)</t>
  </si>
  <si>
    <t>body(   player(),每个人都需要一个家族队，你需要将你的声音带给别人，让大家意识到你的到来。
blankline()
   1.尝试打开聊天窗口，敲击键盘上的hot(回车键“Enter”)打开游戏左下角的聊天窗口。newline() 
   2.在文字输入框左边使用鼠标选择hot(轻聊)，并输入任意一段文字。newline()
   3.文字输入完成后，再次敲击键盘上的hot(回车键“Enter”)将文字内容发送出去，你周围的玩家将看到你的发言。)</t>
  </si>
  <si>
    <t>&lt;p&gt;
&lt;n&gt;  在敌对家族的基地召唤怪物&lt;/n&gt;
 &lt;/p&gt;</t>
  </si>
  <si>
    <t>[日常]家族养殖</t>
  </si>
  <si>
    <t>title(团成就任务-团至二级：)
body(hotyellow_3(任务进程:)newline()
目标:团升到二级blankline()
说明:团升级可以让家族获得成长,可以招收更多的成员,仓库的容量也变得更大,对族人也能提供更多有用的道具
hot(小提示:二级团之后可以开启团突袭任务,在与敌对家族对抗的同时可以获得大量的经验和团资金奖励！)
blankline()
   hot(任务完成后,自动获得奖励))</t>
  </si>
  <si>
    <t>title(团成就任务-团至三级：)
body(hotyellow_3(任务进程:)newline()
目标:团升到三级blankline()
说明:团升级可以让家族获得成长,可以招收更多的成员,仓库的容量也变得更大,对族人也能提供更多有用的道具
hot(小提示:三级团可以为自己的机关兽进行升级,可大幅度提升现在机关兽的实力！)
blankline()
   hot(任务完成后,自动获得奖励))</t>
  </si>
  <si>
    <t>title(团成就任务-团至四级：)
body(hotyellow_3(任务进程:)newline()
目标:团升到四级blankline()
说明:团升级可以让家族获得成长,可以招收更多的成员,仓库的容量也变得更大,对族人也能提供更多有用的道具
blankline()
   hot(任务完成后,自动获得奖励))</t>
  </si>
  <si>
    <t>title(团成就任务-团至五级：)
body(hotyellow_3(任务进程:)newline()
目标:团升到五级blankline()
说明:团升级可以让家族获得成长,可以招收更多的成员,仓库的容量也变得更大,对族人也能提供更多有用的道具
blankline()
   hot(任务完成后,自动获得奖励))</t>
  </si>
  <si>
    <t>title(团成就任务-团至六级：)
body(hotyellow_3(任务进程:)newline()
目标:团升到六级blankline()
说明:团升级可以让家族获得成长,可以招收更多的成员,仓库的容量也变得更大,对族人也能提供更多有用的道具
blankline()
   hot(任务完成后,自动获得奖励))</t>
  </si>
  <si>
    <t>title(团成就任务-团至七级：)
body(hotyellow_3(任务进程:)newline()
目标:团升到七级blankline()
说明:团升级可以让家族获得成长,可以招收更多的成员,仓库的容量也变得更大,对族人也能提供更多有用的道具
blankline()
   hot(任务完成后,自动获得奖励))</t>
  </si>
  <si>
    <t>title(团成就任务-团至八级：)
body(hotyellow_3(任务进程:)newline()
目标:团升到八级blankline()
说明:团升级可以让家族获得成长,可以招收更多的成员,仓库的容量也变得更大,对族人也能提供更多有用的道具
blankline()
   hot(任务完成后,自动获得奖励))</t>
  </si>
  <si>
    <t>title(（31级）了解赠点商城)
body(hotyellow_3(任务进程:)newline()
space()space()space()赠点可以做很多事情，赠点的价值相当于元宝，去赠点商城购买一本技能降级手册给我即可。
blankline()hotyellow_3(任务描述:)newline() 
space()space()space()1.点击界面上的hot(“商城”)打开赠点商城界面。newline() 
space()space()space()2.在转职重修中花费hot(100赠点)购买1本技能降级手册。newline() 
space()space()space()3.赠点商城还有很多有用的道具，记得要合理利用哦，希望得到更多赠点的话，可以积极参与家族活动。newline() 
 )</t>
  </si>
  <si>
    <t>body(space()space()space()player(),赠点可以做很多事情，赠点的价值相当于元宝，去赠点商城购买一本技能降级手册给我即可。
blankline()
space()space()space()1.点击界面上的hot(“商城”)打开赠点商城界面。newline() 
space()space()space()2.在转职重修中花费hot(100赠点)购买1本技能降级手册。newline() 
space()space()space()3.赠点商城还有很多有用的道具，记得要合理利用哦，希望得到更多赠点的话，可以积极参与家族活动。newline() 
)</t>
  </si>
  <si>
    <t>body(   赠点相当于元宝，通过家族活动可获得更多赠点，只要努力，在这个世界娱乐是件很轻松的事情。)</t>
  </si>
  <si>
    <t>title( （2级）古老的卷轴)
body(hotyellow_3(任务进程:)newline()
   帮会械官梅丽把一张古老的卷轴给弄丢了。她记得应该是在goto(60141,1)里。找回那张卷轴，并交给goto(60007,1)吧！
blankline()hotyellow_3(任务描述:)newline() 
   player()，正好你来了。我有一张卷轴找不到了，那对我很重要。你能不能去帮我找找喃？)</t>
  </si>
  <si>
    <t>body(   对帮会人而言，能够战死沙场是一种难得的幸运。blankline()   但是像这样死得不明不白就太可悲了，万幸还有人幸存。)</t>
  </si>
  <si>
    <t>body(space()space()space()player()，因为你的英勇无畏，现在特授予你光明骑士团hot(从九品上)帮会衔。)</t>
  </si>
  <si>
    <t>[7级]帮会衔的威力</t>
  </si>
  <si>
    <t>title(（7级）帮会衔的威力)
body(hotyellow_3(任务进程:)newline()
   与goto(60006,1)对话，了解帮会衔提升后带来的实力提升。
blankline()hotyellow_3(任务描述:)newline() 
   亲爱的player()，你已经成为一名从九品上了。在奥丁大陆中，除了从九品下之外的所有帮会衔都将提升你的hot(每日国家工资)。)</t>
  </si>
  <si>
    <t>body(   亲爱的player()，你已经成为一名从九品上了。在奥丁大陆中，除了从九品下之外的所有帮会衔都将提升你的hot(每日国家工资)。)</t>
  </si>
  <si>
    <t>你可以按“C键”打开人物属性界面，在声望标签中查看帮会衔给予福利</t>
  </si>
  <si>
    <t>title(（17级）小镇的牧师)
body(hotyellow_3(任务进程:)newline()
   去找goto(60037,2)那里。
blankline()hotyellow_3(任务描述:)newline() 
   space()space()space()player()，我们小镇所有阵亡战士的葬礼都是由小镇牧师拉尔夫主持的。如果你想知道最新的帮会情动态，可以去他那里试试。)</t>
  </si>
  <si>
    <t>body(   space()space()space()player()，我们小镇所有阵亡士兵的葬礼都是由小镇牧师拉尔夫主持的。如果你想知道最新的帮会情动态，可以去他那里试试。)</t>
  </si>
  <si>
    <t>title(（21级）成为士官)
body(hotyellow_3(任务进程:)newline()
   与goto(60000,3)对话，了解帮会衔的作用，以及士官的福利待遇。
blankline()hotyellow_3(任务描述:)newline() 
   hot3(桃源圣地的帮会衔与光明骑士团是共同的，只要你积累的功勋达到需求，即可通过光明骑士团族长进行升帮会衔操作。帮会衔达到一定等级，还需要光明女祭司的祝福，才能完成。请与光明骑士团族长卡尔对话，了解整个帮会队的构造，为迎接即将到来的授勋做好准备。))</t>
  </si>
  <si>
    <t>body(   要做一位职业帮会人，必须要有高超的战斗技巧，出众的道德修养，以及顽强的作战风格。当然，还需要知道一些规则性的东西。你有什么需要了解的么？)</t>
  </si>
  <si>
    <t>body(   看来你已经初步了解了我们帮会队的组成，准备好授勋了吗？)</t>
  </si>
  <si>
    <t>&lt;p&gt;
&lt;n&gt;  与&lt;/n&gt;&lt;goto quick="1" id="60000" mapid="3" flagpoint="1" taskid="3802"/&gt;
&lt;n&gt;对话，了解帮会衔&lt;/n&gt;
&lt;/p&gt;</t>
  </si>
  <si>
    <t>body(space()space()space()player()，你所完成的，以任何言词来进行赞美都不为过。但作为一名帮会人，保护弱小的平民是与生俱来的使命。授予你hot(正九品下)帮会衔。)</t>
  </si>
  <si>
    <t>title(（授勋）正九品下的福利)
body(hotyellow_3(任务进程:)newline()
   去找goto(135,3)领取本周的正九品下福利。
blankline()hotyellow_3(任务描述:)newline() 
   成为正九品下之后，每周都可以在光明女祭司处领取相应的福利。帮会衔越高，所获得的福利也就越多。blankline()space()space()space()player()，去找光明女祭司领取你应得的福利吧！)</t>
  </si>
  <si>
    <t>body(   成为正九品下之后，每周都可以在光明女祭司处领取相应的福利。帮会衔越高，所获得的福利也就越多。blankline()space()space()space()player()，去找光明女祭司领取你应得的福利吧！)</t>
  </si>
  <si>
    <t>body(space()space()space()player()，您好。我是光明女祭司，是光明神在人间的化身。所有在此守卫人类希望的勇士，只要帮会衔等级达到正九品下以上，hot(每周)都可以在此领取应得的福利。)</t>
  </si>
  <si>
    <t>title(（25级）我的族长我的团)
body(hotyellow_3(任务进程:)newline()
   去找goto(122,3)询问有关帮会团的事。
blankline()hotyellow_3(任务描述:)newline() 
   pace()space()space()player()，感谢你为我带来燃烧平原的消息。虽然你个人能力非常强，但是单打独斗并不能让你成为真正的英雄。也许是时候加入hot(团)了。blankline()   你将发现，缺少坚强的后盾和可靠的战友，在这个混乱的世界中你将寸步难行……blankline()   去找hot(团联络官)，他那里有很多有关帮会团的资料。)</t>
  </si>
  <si>
    <t>body(space()space()space()player()，感谢你为我带来燃烧平原的消息。虽然你个人能力非常强，但是单打独斗并不能让你成为真正的英雄。也许是时候加入hot(团)了，去找hot(团联络官)，他那里有很多有关帮会团的资料。)</t>
  </si>
  <si>
    <t>title(（25级）骑士之团)
body(hotyellow_3(任务进程:)newline()
   去找goto(122,3)询问有关帮会团的事。
blankline()hotyellow_3(任务描述:)newline() 
   世界上总有一个地方能让你停下匆忙的脚步；blankline()   世界上总有几个让你心怀温暖的声音；blankline()   世界上总有一帮人让你生死相托的伙伴。blankline()   如果你希望能够成为改变历史的人，你就需要团队的力量！blankline()hot4(   加入团后将开启帮会家族府邸。))</t>
  </si>
  <si>
    <t>body(     如果你希望能够成为改变历史的人，你就需要团队的力量！Blankline()hot4(   加入团后将开启帮会家族府邸。)blankline()space()sapce()space()player()，回答我的问题，让我看看你对家族的知识了解多少吧！)</t>
  </si>
  <si>
    <t>title(（26级）金刚兽)
body(hotyellow_3(任务进程:)newline()
   去找goto(60166,4)。
blankline()hotyellow_3(任务描述:)newline()   虽然我没有经受过正规的帮会事训练，但是依靠与我的伙伴亲密合作，我依然走到了今天的位置。blankline()   在我身旁的，便是我的伙伴可可。在战斗中，与它合体，我的战斗力会得到极大的提升。我想让它见见你。)</t>
  </si>
  <si>
    <t>body(   虽然我没有经受过正规的帮会事训练，但是依靠与我的伙伴亲密合作，我依然走到了今天的位置。blankline()   在我身旁的，便是我的伙伴可可。在战斗中，与它合体，我的战斗力会得到极大的提升。我想让它见见你。)</t>
  </si>
  <si>
    <t>[30级]失踪的援帮会</t>
  </si>
  <si>
    <t>濒死的抵抗帮会士兵</t>
  </si>
  <si>
    <t>title(（30级）失踪的援帮会)
body(hotyellow_3(任务进程:)newline()
   杀掉10个危险的goto(10034,4),并找到goto(60053,4)。
blankline()hotyellow_3(任务描述:)newline() 
   虽然都是些菜鸟从九品下，但是一个小队的士兵就这么失踪还是让人难以接受。
blankline()
   hot3(失踪的援帮会发回的最后一次信号是在火焰震荡者附近，这可不是什么好消息。))</t>
  </si>
  <si>
    <t>body(   对不起，本来想去支援友帮会的…结果迷失了方向……)</t>
  </si>
  <si>
    <t>body(   你回答地很好。我想你未来一定能够成为一名优秀的团成员，甚至伟大帮会团的领袖！)</t>
  </si>
  <si>
    <t>title(（授勋）从八品下)
body(hotyellow_3(任务进程:)newline()
   去找goto(165,7)完成一次情报任务，完成后去找goto(60000,3)。newline()   情报任务可在本国的goto(126,7)处跳转出国。hot(在goto(126,7)处领取新手隐身BUFF后出国，可降低被击杀的风险。)
blankline()hotyellow_3(任务描述:)newline() 
   player()，只要你到五丈原的情报部长那里完成一次情报任务，我便授予你从八品下帮会衔。)</t>
  </si>
  <si>
    <t>body(   player()，你的实力已经可以获得从八品下帮会衔。不过还需要经历一次考验！只要你到五丈原的情报部长那里，完成一次情报任务。我便授予你从八品下帮会衔！)</t>
  </si>
  <si>
    <t>[45级]叛乱帮会魂</t>
  </si>
  <si>
    <t>title(（45级）叛乱帮会魂)
body(hotyellow_3(任务进程:)newline()
   消灭goto(10155,6)，去找goto(60155,6)。
blankline()hotyellow_3(任务描述:)newline() 
   在魔族游荡者中，变异出一些特别强大的个体。他们行动更为迅捷，力量更为巨大，性情也更为残暴，他们被称为叛乱帮会魂。他们不需要集体行动就可以轻松击杀我们的猎人小队，所以，必须要除掉他们！)</t>
  </si>
  <si>
    <t>body(   在魔族游荡者中，变异出一些特别强大的个体。他们行动更为迅捷，力量更为巨大，性情也更为残暴，他们被称为叛乱帮会魂。他们不需要集体行动就可以轻松击杀我们的猎人小队，所以，必须要除掉他们！)</t>
  </si>
  <si>
    <t>"那些个人能力强悍的魔族帮会魂比成群的魔族游荡者更为危险。"</t>
  </si>
  <si>
    <t>body(   在17年前的战争中，帮会方还制作出过一种加速重装巨熊传播的催化剂型的生物。它们被称为hot(唤醒者)。blankline()   如今，它们也从核冬季的长眠中苏醒了过来，必须要消灭它们！)</t>
  </si>
  <si>
    <t>title(（53级）平息的丛林)
body(hotyellow_3(任务进程:)newline()
   去找goto(60000,3)。
blankline()hotyellow_3(任务描述:)newline() 
   消灭了丛林食尸者，隐匿者之森的生物情况总算是暂时稳定了下来，至少暂时可以先缓口气了。blankline()space()space()space()player()，请你将现在的情况转告卡尔将帮会，如果可以的话，我想让凤城外围丛林观察站的赛特参谋长过来帮忙。)</t>
  </si>
  <si>
    <t>body(space()space()space()player()，托您的福，隐匿者森林的局势总算是稳定下来了。请将这里的情况告诉hot(光明骑士团族长卡尔将帮会)，好让他放心。)</t>
  </si>
  <si>
    <t>body(   我记得很清楚，算上昨天那个，我一共杀了315个。blankline()   离hot4(冰原死神西蒙·海耶)前辈创造的使用步枪射杀542苏帮会的记录还有很长的距离呢。)</t>
  </si>
  <si>
    <t>body(   我第一杀人是在一场遭遇战中。敌帮会冲散了我们的队形，我果断的杀掉了冲向我的第一个敌人。在我害怕恐惧之前，第二个敌人已经冲了过来，我只好再把他干掉，然后是第三个…blankline()   所以这种事只要习惯了就好。blankline()   我手头上正好有一个消灭沙漠猎人的任务，就交给你好了。)</t>
  </si>
  <si>
    <t>title(（62级）新的战略)
body(hotyellow_3(任务进程:)newline()
   消灭60只goto(10097,7)后去找goto(60086,7)。
blankline()hotyellow_3(任务描述:)newline() 
   佣兵可没有所谓的正义，最多只有些情意而已。我们没有永恒的敌人，也没有永恒的战友。更何况我现在只是赏金猎人，看来与帮会方打好关系是非常必要的。)</t>
  </si>
  <si>
    <t>body(  我已经打探到消息，光明骑士团打算发起一次剿灭沙漠沙漠妖姬的帮会事行动。现在我们抢先一步，替他们解决了这些沙漠妖姬，他们应该能感受到我们诚意啦！blankline()space()space()space()player()，请将我们的行动告诉hot(指挥官拉奥)，他懂的。)</t>
  </si>
  <si>
    <t>body(   我们光明骑士团对水鸟团在沙漠中的帮会事行动表示严重关切，对雷伊先生本人这种打击非法猎杀稀有动物偷猎者的决心表示赞赏。blankline()   当然，我们并不排除在光明骑士团在局势发生变化时采取武力干涉。)</t>
  </si>
  <si>
    <t>[67级]法老近卫帮会</t>
  </si>
  <si>
    <t>title(（67级）法老近卫帮会)
body(hotyellow_3(任务进程:)newline()
   去找goto(60087,7)。
blankline()hotyellow_3(任务描述:)newline() 
   在剿灭偷猎者的行动中，我意外的碰到了一批法老近卫帮会。这些法老近卫帮会是传说中守卫地下陵寝的卫队，竟然真的存在，还抢夺了一批偷猎者的武器并学会了使用。这件事，我看有必要向指挥官拉奥汇报一下。)</t>
  </si>
  <si>
    <t>body(space()space()space()player()，我在剿灭沙漠偷猎者的过程中碰到了一批法老近卫帮会。在魔族入侵将此处前，就传说有一群不死不灭的士兵守卫者远古君王的宝藏。他们使用远古巫术长眠于地下。blankline()   这件事还是告诉hot(指挥官拉奥)一下比较好，反正他早晚会知道的。)</t>
  </si>
  <si>
    <t>body(   法老近卫帮会？怎么可能，它们怎么会突然出现在沙漠中？)</t>
  </si>
  <si>
    <t>body(   这些法老近卫帮会的出现，背后一定有什么事情发生。player()，请转告hot(雷伊)，在事情察清楚前，不要轻举妄动。)</t>
  </si>
  <si>
    <t>title(（68级）偷猎)
body(hotyellow_3(任务进程:)newline()
   获得42个goto(10103,7)的佩玉交给goto(60086,7)。
blankline()hotyellow_3(任务描述:)newline() 
   那些法老近卫帮会佩戴的古玉可都是价值连城的宝物啊，既然不能轻举妄动，那就只好偷猎了……)</t>
  </si>
  <si>
    <t>body(   这些法老近卫帮会佩戴的古玉的价值啊简直无法估量。那些有钱人，一定会为这些传说中的玉石疯狂的。为了这些古玉，player()，在得到光明骑士团的允许前，我们即使采用偷猎的手段也是值得的。)</t>
  </si>
  <si>
    <t>"行动一定要快，不然这些法老近卫帮会佩戴的古玉就都归光明骑士团了。"</t>
  </si>
  <si>
    <t>body(space()space()space()player()，最近你替雷伊做了不少事，这都没有问题。但我希望你能记住，我们是hot2(职业帮会人)！blankline()   我们同样可以卑鄙、可以无耻、可以不择手段、可以过河拆桥，因为这些都是我们为了活下去所使用的战术。blankline()   但是，我们绝对不会像佣兵或者猎人那样为了几个银子将枪口转向昔日的战友。我们有着无法用银子衡量的使命。我们要保护我们的国家，在国家消亡后，我们还要继续保护那些手无寸铁的平民！)</t>
  </si>
  <si>
    <t>title(（69级）木乃伊)
body(hotyellow_3(任务进程:)newline()
   消灭60只goto(10104,7)，去找goto(60087,7)。
blankline()hotyellow_3(任务描述:)newline() 
   沙漠中又出现了很多木乃伊，还是那种活蹦乱跳的那种。已经有好几个抵抗帮会的巡逻士兵被它们咬死了…player()，我们要让这些怪物永远的倒下，再也站不起来。)</t>
  </si>
  <si>
    <t>body(   沙漠中出现了犀牛之后，又出现了活蹦乱跳的木乃伊…还好，从人工冬眠中醒来后，我已经可以接受任何事物了。blankline()   这些木乃伊已经被证明是富有攻击性的，虽然不知道它们从哪儿冒出来的，但是它们已经咬死了很多抵抗帮会士兵。player()，我们要让这群怪物永远的把嘴闭上！)</t>
  </si>
  <si>
    <t>body(   看来沙漠的情况很严重，也许是时候再次召集“王之十字帮会”了。这个事情我会和与贵族们商议。感谢你冒着生命危险前来！
blankline()   去逛逛这个伟大的城市吧，也许之后你会经常来。)</t>
  </si>
  <si>
    <t>[61级]王之十字帮会</t>
  </si>
  <si>
    <t>title(（61级）王之十字帮会)
body(hotyellow_3(任务进程:)newline()
   接受hot(君士坦丁)的委托，去寻找goto(60553,5)。
blankline()hotyellow_3(任务描述:)newline() 
   受大议长君士坦丁的委托，找到王之十字帮会的hot(迪特里斯)。)</t>
  </si>
  <si>
    <t>body(   “王之十字帮会”迫于教会压力，已经解散多年。人们知道“光明骑士团”却鲜有知道“王之十字帮会”的。十字帮会三战神，是当时“王之十字帮会”的核心，只要找到他们，就能够重新组建起一只能够与“光明骑士团”媲美的超级武力。
blankline()   据说“王之十字帮会”的神斧战将--迪特里斯就在王城的附近，你可以去寻找他。)</t>
  </si>
  <si>
    <t>[61级]将帮会的考验</t>
  </si>
  <si>
    <t>title(（61级）将帮会的考验)
body(hotyellow_3(任务进程:)newline()
   接受迪特里斯的考验，击杀65只goto(10201,5)。完成任务后，回复goto(60553,5)。
blankline()hotyellow_3(任务描述:)newline() 
   要取得迪特里斯的信任，就必须先完成hot(迪特里斯)的考验。这只是个开始……)</t>
  </si>
  <si>
    <t>body(   哈哈，“王之十字帮会”？那已经是历史了，谁会相信伟大的光明神需要属于君王的帮会队解散？你如果想知道关于“王之十字帮会”的事情，需要先证明你的实力！)</t>
  </si>
  <si>
    <t>title(（62级）伤感的战士)
body(hotyellow_3(任务进程:)newline()
   与goto(60553,5)对话，了解hot(“王之十字帮会”的历史)。
blankline()hotyellow_3(任务描述:)newline() 
   与迪特里斯聊天，了解hot(“王之十字帮会”的历史)。)</t>
  </si>
  <si>
    <t>body(   沙漠的危机不是我们能够直接面对的。如今魔族势大，除了在沙漠活动，甚至在王城的附近也陆续出现了魔族的踪影。光明骑士团那帮狂热的信徒本不会让这些魔族进入我们国家。除非……
blankline()   他们已经无法阻止魔族，或者有更让他们感兴趣的存在使得他们暂时疏忽了对于魔族的抵御。我希望是后者，因为前者实在是一种灾难。
blankline()   好吧，我这就写一封信给卡尔将帮会，希望他能够解答我的困惑。)</t>
  </si>
  <si>
    <t>body(   哼！他们摆明了不把王权看在眼里。哎，当初解散了“王之十字帮会”，是老夫的过失啊！)</t>
  </si>
  <si>
    <t>title(（62级）重建的必然性)
body(hotyellow_3(任务进程:)newline()
   hot(受大议长君士坦丁委托)与goto(60553,5)对话，转达大议长君士坦丁对于重建王之十字帮会的期待。
blankline()hotyellow_3(任务描述:)newline() 
   与hot(神斧战将迪特里斯)对话，转达重建王之十字帮会的期待。并尽力促成这件事情达成。)</t>
  </si>
  <si>
    <t>body(   也许光明骑士团能够抵御魔族的入侵，但是作为议会或者说作为王不在之后代为执掌王权的人们，我们需要一支属于自己的帮会队。
blankline()   希望你能够帮助我们说服迪特里斯，重新组成属于王的铁血雄狮。)</t>
  </si>
  <si>
    <t>title(（62级）第一个考验)
body(hotyellow_3(任务进程:)newline()
   hot(接受了神斧战将迪特里斯的考验)，击杀1只goto(10300,5)后与goto(60553,5)对话，转达大议长君士坦丁对于重建王之十字帮会的期待。
blankline()hotyellow_3(任务描述:)newline() 
   与hot(神斧战将迪特里斯)对话，转达重建王之十字帮会的期待。并尽力促成这件事情达成。)</t>
  </si>
  <si>
    <t>body(   看来你真的想让我重组，好吧，那我会给你安排3个考验。只要你能够满足，我将会引荐你去见王之十字帮会的另外两位将帮会。
blankline()   第一个考验，你需要击杀这附近的怪物“烈风狂狮”。)</t>
  </si>
  <si>
    <t>[64级]将帮会的赞赏</t>
  </si>
  <si>
    <t>title(（64级）将帮会的赞赏)
body(hotyellow_3(任务进程:)newline()
   hot(与神斧战将迪特里斯)对话，完成后与goto(60553,5)对话。
blankline()hotyellow_3(任务描述:)newline() 
   与hot(神斧战将迪特里斯)对话。)</t>
  </si>
  <si>
    <t>body(   你很不错，让我想起了我年轻的时候。那时候年纪轻，也很容易冲动，一个人冲进深渊试炼。杀地昏天暗地。幸亏当时遇到了试炼的王和其他两位将帮会，在他的帮助下杀出重围。
blankline()   如今，时过境迁。我们的王不知所踪。哎，你是个不错的青年，也许你能够做到我们当年没有做到的事情吧……)</t>
  </si>
  <si>
    <t>[65级]铁血帮会魂</t>
  </si>
  <si>
    <t>title(（65级）铁血帮会魂)
body(hotyellow_3(任务进程:)newline()
   hot(与神斧战将迪特里斯)对话，了解更多关于王之十字帮会的传说，了解后与goto(60553,5)对话。
blankline()hotyellow_3(任务描述:)newline() 
   与hot(神斧战将迪特里斯)对话。)</t>
  </si>
  <si>
    <t>body(   王之十字帮会！铁血的十字帮会！最核心的是一王三将七武士九千铁骑。九千铁骑，是我们帝国最精锐的战士。他们每一个人都有近万的战斗力。只是如今，很多都不知所踪，散落民间。七武士是直属于王的卫队，随着王的消失他们也不知所踪。blankline()   也许是伴随着王进行了一段新的征程，但我已许久没有他们的消息。三将指的是十字帮会大丞相---神剑战将格拉瓦，十字帮会副大丞相---神枪战将特洛雷西，以及我---神斧战将迪特里斯。而王，则是伟大的英雄之主世界之王，赛博利亚。)</t>
  </si>
  <si>
    <t>body(   重建“铁血十字帮会”，说起来容易，做起来难啊！王不在此地，我们就如同没有了主心骨。如果王回来，振臂一呼，我们便会重新投入战场，而如今……我不知道能做到哪一步。也许只能走一步看一步了。)</t>
  </si>
  <si>
    <t>body(   既然要重建“铁血十字帮会”，就必须要去寻找大丞相和副大丞相。他们俩个神龙见首不见尾，需要准备些东西，才能找到他们。
blankline()   击杀“嗜血狂狼”，将获得的“狂狼之牙”40枚带给我。)</t>
  </si>
  <si>
    <t>title(（67级）获取安魂药剂)
body(hotyellow_3(任务进程:)newline()
  与goto(60553,5)对话，他会帮助你服用下安魂药剂。
blankline()hotyellow_3(任务描述:)newline() 
   迪特里斯将帮会为你准备的药剂，是为了能够去见到王之十字帮会副大丞相特洛雷西将帮会。他将会帮助你服下药剂。)</t>
  </si>
  <si>
    <t>body(   特洛雷西副大丞相是“王之十字帮会”中少有的万人斩，一身杀气凛然。普通人见了，怕是被杀气也压抑地无法说话。我看你实力不够，却又有颗热诚的心，才如此费劲帮你。
blankline()   你将安魂药剂服用之后，在这里将药效扩展至全身，即可勉强抵御因实力差距导致的杀气侵蚀。)</t>
  </si>
  <si>
    <t>body(   药效已经有了成效。过去的总是会过去，王也许永远不会回来，可王的十字帮会却不应该就此消散。)</t>
  </si>
  <si>
    <t>title(（68级）神枪战将)
body(hotyellow_3(任务进程:)newline()
   当你的等级达到或超过hot(68级)，可去寻找goto(60558,5)。
blankline()hotyellow_3(任务描述:)newline() 
   特洛雷西将帮会是个很注重实力的人。你如果没有足够的实力和帮会姿，是无法得到他的认可。)</t>
  </si>
  <si>
    <t>body(   “王之十字帮会”空有番号，却已经没有了过往的辉煌。)</t>
  </si>
  <si>
    <t>"与特洛雷西将帮会对话"</t>
  </si>
  <si>
    <t>title(（68级）大丞相与议长)
body(hotyellow_3(任务进程:)newline()
   hot(接受神枪战将特洛雷西的委托)，告知goto(60559,5)关于王之十字帮会的事情。
blankline()hotyellow_3(任务描述:)newline() 
   没有王的帮会队，失去了灵魂。老兵依然有勇气，却没有拾起勇气的力量。)</t>
  </si>
  <si>
    <t>body(   几年的事件，偌大的一个帝国，怎么就变成了这个样子。魔族、光明教会、深渊势力、乱帮会……
blankline()   王的威仪岂是这些蝼蚁可以污蔑的！只是这些，我自然会想办法。而“王之十字帮会”却不是说因此就可以重建的。)</t>
  </si>
  <si>
    <t>title(（68级）被遗忘的历史)
body(hotyellow_3(任务进程:)newline()
   与goto(60558,5)对话，了解hot(关于王之十字帮会的历史)。
blankline()hotyellow_3(任务描述:)newline() 
   被遗忘的历史，并不是不辉煌，而是那些过去的辉煌对于现在的人们，已不再是那般重要。)</t>
  </si>
  <si>
    <t>body(   关于“王之十字帮会”，你有什么想问的就问吧！我会一一告诉你的。)</t>
  </si>
  <si>
    <t>title(（69级）再回桃源圣地)
body(hotyellow_3(任务进程:)newline()
   前往新手村桃源圣地，与goto(60045,1)对话。
blankline()hotyellow_3(任务描述:)newline() 
   已经多久没有回桃源圣地了喃？特洛雷西将帮会需要你回一趟凤城，去大贤者赫肯处取一样东西。)</t>
  </si>
  <si>
    <t>body(   最危险的地方便是最安全的地方，特洛雷西将帮会存放的东西便在你曾经触摸过的地方。)</t>
  </si>
  <si>
    <t>title(（69级）大贤者的祝福)
body(hotyellow_3(任务进程:)newline()
   与goto(60558,5)对话。
blankline()hotyellow_3(任务描述:)newline() 
   大贤者赫肯祝福王之十字帮会与你。同样也表明了期待王之十字帮会旗帜重张的时刻到来。)</t>
  </si>
  <si>
    <t>body(   遥远的风，已经吹动今日的沙，不见血的将帮会，怕将再踏入峥嵘。孩子，你能够走到今天，已经让我非常满意。之后的道路会很曲折，很艰辛。blankline()   这是特洛雷西将帮会寄存在我处的物品。你无须知道，这具体是什么，只要送到就好。)</t>
  </si>
  <si>
    <t>title(（70级）呼唤祷告)
body(hotyellow_3(任务进程:)newline()
   提升自身角色等级至71级，与goto(60558,5)对话。
blankline()hotyellow_3(任务描述:)newline() 
   特洛雷西将帮会即将开始危险且意义重大的祷告，企图寻找王与大丞相的灵魂位置。)</t>
  </si>
  <si>
    <t>body(   你的成长速度惊人。这么快就已经达到71级了。这已经快要与当年“王之十字帮会”大多数战士一般。很多人，在你这个年纪远远无法和你相比较。哪怕是这个英雄辈出的年代，你依然很出色，很耀眼。)</t>
  </si>
  <si>
    <t>"等级达到71级后，与特洛雷西将帮会对话"</t>
  </si>
  <si>
    <t>title(（71级）仪式守护)
body(hotyellow_3(任务进程:)newline()
   与goto(60554,5)对话，了解接下来的事情。
blankline()hotyellow_3(任务描述:)newline() 
   特洛雷西将帮会要进入冥想状态。)</t>
  </si>
  <si>
    <t>"与迪特里斯将帮会对话"</t>
  </si>
  <si>
    <t>body(   虽然大人不喜欢君士坦丁，但他并不是真的讨厌老议长。帮会人和文官看待问题的角度不同，可内心的目的却往往很相似。)</t>
  </si>
  <si>
    <t>title(（71级）提升等级)
body(hotyellow_3(任务进程:)newline()
   提升自身角色等级至72级，与goto(60554,5)对话。
blankline()hotyellow_3(任务描述:)newline() 
   奥瑞姆将帮会即将开始危险且意义重大的祷告，企图寻找王与大丞相的灵魂位置。他希望你能够尽快提升自身的等级。)</t>
  </si>
  <si>
    <t>"等级达到72级后，与奥瑞姆将帮会对话"</t>
  </si>
  <si>
    <t>title(（72级）噪音制造者)
body(hotyellow_3(任务进程:)newline()
   击杀1只goto(10305,5)，完成后告知goto(60554,5)。
blankline()hotyellow_3(任务描述:)newline() 
   深渊巨龟巨大的吼声可能会影响到特洛雷西将帮会的祷告。希望你能够阻止噪音产生更恶劣的影响。)</t>
  </si>
  <si>
    <t>body(   恢复“王之十字帮会”的初期工作已经告一段落，下次见面的时候也许你能够看到那高扬的旗帜。
blankline()   既然君士坦丁议长让你来找我们，那我就给你一封推荐信。我想议长那老家伙，会给你不错的奖励。)</t>
  </si>
  <si>
    <t>title(（83级）条顿魔将)
body(hotyellow_3(任务进程:)newline()
   击杀70只goto(10212,5)，并告知goto(60556,5)。
blankline()hotyellow_3(任务描述:)newline() 
   条顿曾是一个不屈的民族，他们有着最强壮的战士，有着最本能的战斗欲望。曾经是世间首屈一指的强帮会。
英雄王赛博利亚三十年前兴兵讨伐。当时世间最强的条顿骑士团一战陨灭，而王之十字帮会则一战成名。自此帝国拓土千里，一路变强。
没想到如今条顿族的亡魂为了复仇投身魔族。那些曾经骄傲的骑士，没想到啊……)</t>
  </si>
  <si>
    <t>body(   条顿曾是一个不屈的民族，他们有着最强壮的战士，有着最本能的战斗欲望。曾经是世间首屈一指的强帮会。
英雄王赛博利亚三十年前兴兵讨伐。当时世间最强的条顿骑士团一战陨灭，而王之十字帮会则一战成名。自此帝国拓土千里，一路变强。
没想到如今条顿族的亡魂为了复仇投身魔族。那些曾经骄傲的骑士，没想到啊……)</t>
  </si>
  <si>
    <t>[84级]魔将督帮会</t>
  </si>
  <si>
    <t>title(（84级）魔将督帮会)
body(hotyellow_3(任务进程:)newline()
   击杀1只goto(10311,5)，并告知goto(60556,5)。
blankline()hotyellow_3(任务描述:)newline() 
   条顿骑士团之所以曾经是支强大的部队，是因为他们有非常优秀的指挥者。
我想，魔将督帮会也许曾经就是条顿骑士团的百夫长。否则他是无法带领这些灵魂中都带着骄傲的战士！)</t>
  </si>
  <si>
    <t>body(   条顿骑士团之所以曾经是支强大的部队，是因为他们有非常优秀的指挥者。
我想，魔将督帮会也许曾经就是条顿骑士团的百夫长。否则他是无法带领这些灵魂中都带着骄傲的战士！)</t>
  </si>
  <si>
    <t>body(   莉莲死于一次错误的交火。blankline()   当我和我的队友执行日常巡逻任务时，遭遇了艾斯弗格带领的一支精锐小队。由于敌我辨识系统瘫痪，他们将我们误会为敌帮会，与我们展开交火。blankline()   当时我和莉莲正处于热恋中，所以她经常陪伴我一起巡逻。blankline()   我们巡逻队被对方强大的火力死死的压制着临时掩体中，形势岌岌可危。就在这时，莉莲突然冲出了掩体，想阻止这场交火。我拉住了她衣服的一角想阻止她，可还是晚了一步。莉莲冲出去，还没有来得及出声，就死在了艾斯弗格的狙击枪下。blankline()   当时的情形就是这样，你也可以去问hot(赛特)，当时他也是巡逻队的一员。)</t>
  </si>
  <si>
    <t>body(   那真是一场噩梦。blankline()   我们执行日常巡逻任务的时候突然遭到了袭击，第一声枪响，莉莲身边的一名队员遇袭倒下。我们赶紧将他拖入掩体后面，并组织还击。当时我们已经意识到袭击我们的是友帮会，但是他们的火力太猛了，死死的将我们压制的抬不起头。blankline()   当莉莲冲出掩体被打死后，对面才意识到是友帮会。为此麦尔斯将艾斯弗格狠狠的揍了一顿，艾斯弗格没有还手……)</t>
  </si>
  <si>
    <t>body(   战斗打响的时候，我们狼群佣兵团正在执行清理敌国雇佣兵的任务。交火就在距离我们不到3公里的地方发生。blankline()   从望远镜中可以清晰的看到，艾斯弗格的部队将那个可怜的小分队完全压制的不能动弹，他们也明显的意识到是在和友帮会交火，因为敌方的特种部队是不会那么拙劣的躲在掩体后等死。 blankline()   后来，我看见一名女子从掩体中冲了出来，虽然她冲出的时机把握的非常巧妙，处于两轮火力压制的间歇期，战术动作也非常迅捷，要不是有人拉住了她的衣角，让她换了以下，她是很有机会从艾斯弗格的狙击枪下逃脱的。)</t>
  </si>
  <si>
    <t>body(   我们一路追击那个女间谍，她相当狡猾并沿路布下诡雷，搞得我们相当狼狈。我从来没有遇到过第二个像她一样狡猾或者像她一样美丽的对手。blankline()   追击中，她逃入了一个巡逻小队。起初我们以为是敌国接应的特种部队，后来发现确实是友帮会。艾斯弗格便下令小队进行火力压制，而我与他则在一旁等待时机，合体给那名间谍致命一击。blankline()   如果不是有人拉了那个女间谍一把，我们也没有把握一枪毙命。blankline()   这次行动是hot(光明骑士团族长)卡尔下的命令，你可以去问他。)</t>
  </si>
  <si>
    <t>title(（35级）逝去的佣兵)
body(hotyellow_3(任务进程:)newline()
   收集遗失在丛林中的hot(鲨鱼帮会刀)、hot(KA-BAR帮会刀)、hot(蓝博帮会刀)、hot(UC1232帮会刀)、hot(猛虎帮会刀)。blankline()
   鲨鱼帮会刀   var(11031,110)/1newline()
   KA-BAR帮会刀 var(11031,111)/1newline()
   蓝博帮会刀   var(11031,112)/1newline()
   UC1232帮会刀 var(11031,113)/1newline()
   猛虎帮会刀   var(11031,114)/1newline()
blankline()hotyellow_3(任务描述:)newline() 
   17年前，就在战争结束之前。我所在的佣兵团“狼群”，遭到了政府帮会与其他佣兵团的伏击。就在如今凤城外围的丛林里，我失去了一生中最重要的朋友…hot(屠夫)、hot(快刀)、hot(狼人)、hot(Redback)、hot(刺客)。blankline()
space()space()space()player()，帮会刀上有着他们的灵魂。如果你在丛林中找到他们的帮会刀，请将它们交给我。那样我们就可以团聚了，“狼群”又回来了。)</t>
  </si>
  <si>
    <t>body(   这把丛林王是我曾经使用过的帮会刀。在17年前的伏击战里遗失了。blankline()space()space()spacer()player()，如果你能找回我所有战友的帮会刀，我愿意付出任何代价。)</t>
  </si>
  <si>
    <t>title(（祭奠）献给屠夫的花)
body(hotyellow_3(任务进程:)newline()
   采集5朵彼岸花交给goto(60074,3)。
blankline()hotyellow_3(任务描述:)newline() 
   别看屠夫看到战俘两眼就放光，喜欢把刑讯室搞得跟解剖客教室一样，其实他是一个很感性的人。每次只要看到美丽的花朵，就会情不自禁的微笑，我们总是因此嘲笑他，让他十分恼怒。blankline()space()space()space()player()，我想收集一些彼岸花，放在屠夫帮会刀旁，就算的最后一次嘲笑了吧！)</t>
  </si>
  <si>
    <t>body(   帮会刀是狼的墓碑。找回了他们，那些死去的家伙的灵魂总算也有了安息之地。blankline()   这把鲨鱼帮会刀是屠夫的，他最喜欢用这把刀慢慢的将战俘的手指一节节的切开…blankline()   不过，他其实是个心思细腻的男人，非常喜欢花朵。player()，我想将彼岸花摆在他帮会刀的旁边，我想他会很高兴的。)</t>
  </si>
  <si>
    <t>"屠夫本就不该来到这个世界，他枪杀了自己的祖父祖母，打晕了自己的母亲，加入了佣帮会，并杀掉了自己的父亲，然后用父亲的人头逼疯了自己的母亲。你信不信，他其实才是最可怜的人。"</t>
  </si>
  <si>
    <t>title(（祭奠）爱做菜的快刀)
body(hotyellow_3(任务进程:)newline()
   向goto(60075,3)要一份吃的，交给goto(60074,3)。
blankline()hotyellow_3(任务描述:)newline() 
   快刀是狼群里公认的用刀高手。事实上，如果将十个个人一人一刀的关在小黑屋里，最后走出来的也绝对是快刀。blankline()   快刀的刀法之所以这么好，原因在于他原本是想做个厨子。当妻女被敌帮会虐杀之后，他就改变了原来的志愿，不过他依旧热衷于各种精美的食物。)</t>
  </si>
  <si>
    <t>title(（祭奠）刑天的照片（一）)
body(hotyellow_3(任务进程:)newline()
   去goto(60000,3)那里要一张刑天的照片。
blankline()hotyellow_3(任务描述:)newline() 
   Reedback是刑天的妻子，刑天在狼群遭到围剿前就已经失踪了一段时间。blankline()   就在17年前的今天，我收到了刑天的消息。他将卡尔剿灭狼群的计划通过狼群独有的通讯器告诉了我，可惜为时已晚，我们已经陷入了艾斯弗格率领的特种部队与其他佣兵的合围，而刑天自己也与战友被围困在一个秘密的生化实验室中，身负重伤。不得已，他引爆了实验室中的脏弹，实验室1平方公里中一切都化为了粉末，至少有1000名政府帮会被拉去垫背。)</t>
  </si>
  <si>
    <t>body(   这是我帮会专门为狙击手颁发的神射手勋章。在我认识的狙击手中，能够获得这块勋章，并且活到今天的只有hot(托奇)一个人了。blankline()   不过按照托奇的个性，他是不会乱丢东西的。player()，这件事还是你去问下他吧！)</t>
  </si>
  <si>
    <t>body(   子弹精准的穿过她的眉心，从后脑破壳而出，血浆、碎骨飞溅。接下来我要做的就是等待，等待那些前来抢尸体的敌人。blankline()   敌人似乎对这具尸体志在必得，在那具洁白的女尸旁，他们留下了十三具新的尸体。最后他们疯狂了，至少有一个班的敌人向着尸体扑过来，敌帮会的炮火覆盖了我曾经停留过的每一个狙击点。我被炮弹爆炸产生的巨大冲击波震晕，又被炸飞的泥土掩埋…blankline()   当我被战友挖出来时，敌帮会已经全线溃退，开始了收缩防御，再无力进行反击。)</t>
  </si>
  <si>
    <t>title(（往事）误会)
body(hotyellow_3(任务进程:)newline()
   具体的情况还是去问goto(60072,3)吧！
blankline()hotyellow_3(任务描述:)newline() 
   我与卡玛都是卡尔将帮会在战争中收养的孤儿，卡尔将帮会对待我们就如同对待亲生子女一般。我们从小就与妮可一起玩耍，可以说是青梅竹马的好朋友。后来，妮可和卡玛好像因为一件事情发生了误会，就渐渐疏远了，其实我们都挺想念她的……)</t>
  </si>
  <si>
    <t>body(   我和卡玛都是卡尔将帮会收养的孤儿，卡尔将帮会一直将我们当做一家人。我们与妮可从小一起玩耍长大，关系非常好。blankline()   不多久，当各国都得到短暂的喘息后，和平结束了。卡玛由于指挥能力卓越，卡尔大人想任命她为一线部队的指挥官，但是遭到了妮可的强烈反对，只能作罢。妮可与卡玛也因此反目。blankline()   不过，具体的情况player()，你还是去问hot(妮可)吧！)</t>
  </si>
  <si>
    <t>body(   每个人都有属于自己的故事。你可以从每个人的身上找到善良、正义、勇气，也同样可以从每个人的身上找到嫉恨、邪恶、懦弱。你能打开自己的内心，也就能了解其他人的内心。我认识一个小姑娘，她的故事也很有意思。你可以去找他。他叫妮可，如今也是个英武的女帮会官啦！)</t>
  </si>
  <si>
    <t>title(（27级）加入团)
body(hotyellow_3(任务进程:)newline()
   在goto(122,3)处加入或者创建一个帮会团。hot(进如家族府邸)后，与goto(45110,101)对话完成任务。newline()   可通过goto(122,3)进入家族府邸，或hot(使用快传中的返回家族府邸功能进入)。
blankline()hotyellow_3(任务描述:)newline() 
   越多的人加入团，人类幸存的几率就会越大。只有团结起来，分享帮会团所带来的物资，让帮会团不断壮大，才能更好的保存自我，消灭敌人。blankline()   所以，player()，我非常期待您能够创建或者选择加入一个帮会团。)</t>
  </si>
  <si>
    <t>body(   越多的人加入团，人类幸存的几率就会越大。只有团结起来，分享帮会团所带来的物资，让帮会团不断壮大，才能更好的保存自我，消灭敌人。blankline()   所以，player()，我非常期待您能够创建或者选择加入一个帮会团。)</t>
  </si>
  <si>
    <t>"创建或者选择一个帮会团加入吧！"</t>
  </si>
  <si>
    <t>title(（36级）自责的冒险家)
body(hotyellow_3(任务进程:)newline()
   去找goto(60073,3)，问问有没有关于狄尔失踪的儿子的线索。
blankline()hotyellow_3(任务描述:)newline() 
   我真傻，不该贪图什么密林中的宝藏。我亲爱的儿子萨尔，你到底在哪里啊？player()，听说你和帮会方的关系不错，请你替我问问当地的帮会方有没有关于我儿子萨尔的线索。)</t>
  </si>
  <si>
    <t>body(   请问你有没有在丛林里见过一个穿绿色迷彩的小男孩儿…他是我的儿子，本来是跟随我来寻找在灾难中被掩埋在丛林中的宝藏的，后来我们在丛林中失散了…我真傻，我什么宝藏都不想要，只想萨尔回到我身边。blankline()space()space()space()player()，你能向hot(当地的帮会方)打探下，看看他们是否有些线索。)</t>
  </si>
  <si>
    <t>title(（51级）成为尉官)
body(hotyellow_3(任务进程:)newline()
   当人物达到hot(少尉帮会衔)时，可以在goto(135,3)处领取hot(丰厚奖励)。
blankline()   通过击杀敌国玩家获得声望。声望达到当前最大值后，可前往凤城光明女祭司处授勋提升帮会衔。)</t>
  </si>
  <si>
    <t>body(   士兵的天职是保卫国家，士兵的荣誉是超越自己。在不断突破自己的过程中，你将会成为一名英雄。属于人民，也属于你自己勇敢地心。blankline()space()space()space()player()努力地捍卫人民，保卫国家利益。当你的声望达到当前最大值时，可到我这里来提升hot(帮会衔)。帮会衔只要达到hot(少尉)即可领取丰厚奖励。)</t>
  </si>
  <si>
    <t>body(   亲爱的player()，捍卫国家的荣耀，追求英雄的荣光。让理想的光辉普照这片受伤的大地，用自己的行动来证明，你能够成为一名光荣的尉官！blankline()space()space()space()player()提示：通过杀敌国玩家，可获得声望、功勋奖励。hot(声望达到当前最大值)，即可到光明女祭司处进行授勋，提升自己的帮会衔。)</t>
  </si>
  <si>
    <t>"你当前的帮会衔还未达到光明女祭司的要求，请提升至少尉及少尉以上帮会衔再来交任务。"</t>
  </si>
  <si>
    <t>title(（81级）成为校官)
body(hotyellow_3(任务进程:)newline()
   当人物达到hot(少校帮会衔)时，可以在goto(135,3)处领取hot(丰厚奖励)。
blankline()   通过击杀敌国玩家获得声望。声望达到当前最大值后，可前往凤城光明女祭司处授勋提升帮会衔。)</t>
  </si>
  <si>
    <t>body(   士兵的天职是保卫国家，士兵的荣誉是超越自己。在不断突破自己的过程中，你将会成为一名英雄。属于人民，也属于你自己勇敢地心。blankline()space()space()space()player()努力地捍卫人民，保卫国家利益。当你的声望达到当前最大值时，可到我这里来提升hot(帮会衔)。帮会衔只要达到hot(少校)即可领取丰厚奖励。)</t>
  </si>
  <si>
    <t>"你当前的帮会衔还未达到光明女祭司的要求，请提升至少校及少校以上帮会衔再来交任务。"</t>
  </si>
  <si>
    <t>[帮会团]家族府邸</t>
  </si>
  <si>
    <t>title(（团引导）进入帮会团)
body(hotyellow_3(任务进程:)newline()
   加入一个家族。使用hot(返回家族府邸)技能，进入自己所在团的基地。与家族府邸中的goto(45110,101)对话，了解团的主要功能。)</t>
  </si>
  <si>
    <t>[帮会团]参观家族府邸</t>
  </si>
  <si>
    <t>title(（团引导）进入帮会团)
body(hotyellow_3(任务进程:)newline()
   与家族府邸中的goto(45112,101)，goto(45129,101)，goto(45118,101)，goto(45113,101)，goto(45117,101)，goto(45111,101)，goto(45119,101)对话，了解团的主要功能。
   blankline()space()space()space()player()，完成任务之后与goto(45110,101)对话，领取奖励。)</t>
  </si>
  <si>
    <t>body(   与家族府邸里的人们对话，了解帮会家族府邸所能实现的功能。)</t>
  </si>
  <si>
    <t>body(   呃……卡尔族长真的是这么说的吗？好吧，我会好好对待妮可的。在我成为将帮会的那一天，我一定会向卡尔将帮会正式要求，把女儿嫁给我的！)</t>
  </si>
  <si>
    <t>title(（授勋）正九品上)
body(hotyellow_3(任务进程:)newline()
   通过goto(160,3)前往合作副本区完成一次水月洞天副本，完成之后去见goto(60000,3)。（推荐参与单人水月洞天副本，参与多人水月洞天也可完成该任务）
blankline()hotyellow_3(任务描述:)newline() 
space()space()space()player()，感谢您在燃烧平原给予我们光明骑士团的有力援助。凤城的平民也因此远离熔岩生物的侵袭。blankline()   所以，只要您能够完成一次单人的水月洞天，我就可以授予您正九品上帮会衔。)</t>
  </si>
  <si>
    <t>body(space()space()space()player()，感谢您在燃烧平原给予我们光明骑士团的有力援助。凤城的平民也因此远离熔岩生物的侵袭。blankline()   所以，只要您能够完成一次单人的水月洞天，我就可以授予您正九品上帮会衔。)</t>
  </si>
  <si>
    <t>body(   亲爱的player()，使用宠物指挥棒可以获得hot(指挥点)，指挥点足够，即可为魔法阵的升级，请选择hot(帮会团指挥)并提升一次等级)</t>
  </si>
  <si>
    <t>你还没有成功提升一次指挥等级，点击快捷键“G”打开宠物魔法阵，点击帮会团指挥中的“+”号，为帮会团指挥升级一次即可完成任务</t>
  </si>
  <si>
    <t>成功升级1次宠物魔法阵帮会团指挥技能</t>
  </si>
  <si>
    <t>body(   你已经是一名优秀的宠物大师了，记得越高级的宠物帮会团组成的阵容，就会越强大)</t>
  </si>
  <si>
    <t>body(   做得不错，看来你已经适应了帮会旅生涯。记住：有付出才有收获！)</t>
  </si>
  <si>
    <t>body(   做得不错，看来你已经适应了帮会旅生涯。努力吧，战斗是检验帮会人能力的最直接方式！)</t>
  </si>
  <si>
    <t>body(   做得不错，看来你已经适应了帮会旅生涯。记住：活着的英雄才是真的英雄，死去的那些都成了鬼雄！)</t>
  </si>
  <si>
    <t>body(   做得不错，看来你已经适应了帮会旅生涯！)</t>
  </si>
  <si>
    <t>title(团任务：)
body(hotyellow_3(任务进程:)newline()
   宠物是你帮会旅生活中必不可少的伙伴,拥有优秀的伙伴是你成为一个优秀士兵的前提,去驯化一只hot($NAME)，将它带回来给我。
blankline()
   space()space()space()hot2(任务完成后,千万不要忘记向家族府邸的goto(45112,101)汇报哦！))</t>
  </si>
  <si>
    <t>body(  做得不错，看来你已经适应了帮会旅生涯。记住：有付出才有收获！)</t>
  </si>
  <si>
    <t>title(团任务：)
body(hotyellow_3(任务进程:)newline()
   根据我得到的情报,抵抗帮会正在悬赏击杀hot($NAME)，杀死它,为我们团夺取这份荣耀！
blankline()
   space()space()space()hot2(任务完成后,千万不要忘记向家族府邸的goto(45112,101)汇报哦！))</t>
  </si>
  <si>
    <t>body(   破坏对方帮会事装置)</t>
  </si>
  <si>
    <t>title(团任务：)
body(hotyellow_3(任务进程:)newline()
   $ECORPS团最近频繁挑衅我们，帮会人必须要维护自己的荣耀，你们必须在最短的时间内使用$ITEM炸毁其gotopos(45001,101,125,142,1,0)。blankline()去找goto(45111,101)，他会帮助你秘密潜入敌方基地。
blankline()
   对指定目标使用hot(纽扣炸弹)即可进行爆破！hot4(请注意：爆破有几率失败，启爆失败时需要重新爆破！)
blankline()
   hot2(任务完成后,千万不要忘记向goto(45111,101)汇报哦！))</t>
  </si>
  <si>
    <t>title(团任务：)
body(hotyellow_3(任务进程:)newline()
   宠物是你帮会旅生活中必不可少的伙伴,拥有优秀的伙伴是你成为一个优秀士兵的前提,去驯化一只hot($NAME)，将它带回来给我。
   blankline()
   hot(当前累积资金:$ALLMONEY,成功完成护送任务将获得银子$MYMONEY。)
blankline()
   hot2(任务完成后,千万不要忘记向goto(45110,101)汇报哦！))</t>
  </si>
  <si>
    <t>title(团任务：)
body(hotyellow_3(任务进程:)newline()
   根据我得到的情报,抵抗帮会正在悬赏击杀hot($NAME)，杀死它,为我们团夺取这份荣耀！
   blankline()
   hot(当前累积资金:$ALLMONEY,成功完成护送任务将获得银子$MYMONEY。)
blankline()
   hot2(任务完成后,千万不要忘记向goto(45110,101)汇报哦！))</t>
  </si>
  <si>
    <t>帮会备齐整</t>
  </si>
  <si>
    <t>title(团成就任务-帮会备齐整：)
body(hotyellow_3(任务进程:)newline()
目标:打造一件新的机关兽blankline()
说明:机关兽分为空行者,蝎型兽,铁魔人火炮三种类型,每种机关兽都有自己的特性,机关兽在帮助族人抵御敌方攻击的同时,还可以为战斗提供强力的支援,是团规模冲突不可或却的强大战力。blankline()
hot(小提示:通过打造有几率获得高品质的机关兽,品质越高,可以提供的支援就越强力！)
blankline()
   hot2(团成就任务完成后,将自动获得奖励))</t>
  </si>
  <si>
    <t>至尊帮会团</t>
  </si>
  <si>
    <t>title(团成就任务-至尊帮会团：)
body(hotyellow_3(任务进程:)newline()
目标:团升到十级blankline()
说明:贵团已经达到了神的级别,已经没有什么可以阻止你们的步伐了，向着最强最高的领域前进吧！
blankline()
   hot(任务完成后,自动获得奖励))</t>
  </si>
  <si>
    <t>title(近卫战阵夺营)
body(hotyellow_3(任务进程:)newline()   去hot(本国)的五丈原，消灭指定数量goto(88888,77777)。blankline()
   newline()   该任务在本国进行，完成后将情报交给本国goto(134,3)。
blankline()hotyellow_3(任务描述:)newline() space()space()space()player()，身为国家的近卫帮会，你将会需要承担起更多的责任与义务。王需要你，国家需要你，人民需要你！迈开步伐前往战场吧！)</t>
  </si>
  <si>
    <t>body(   player()，身为国家的近卫帮会，你将会需要承担起更多的责任与义务。王需要你，国家需要你，人民需要你！迈开步伐前往战场吧！)</t>
  </si>
  <si>
    <t>[战争]神之守护帮会争夺战</t>
  </si>
  <si>
    <t>title(挑战）魔幻扑克（每天1次）)
body(hotyellow_3(任务进程:)newline()
   hot(进入家族冒险副本，每周三、六可参与家族活动进入)，击杀goto(22907,109)，完成任务后告知goto(216,3)。
blankline()hotyellow_3(任务描述:)newline() 
space()space()space()前面那些挑战都不算难，有本事就去我的梦境中冒险，战胜我的扑克帮会团吧！每周三、六，我在那里等候你的应战newline()
space()space()space()※塔布里斯的梦境※newline()
space()space()space()1.人类进程2以上，团等级3以上的可在家族府邸goto(60582,101)处开启家族冒险活动;newline()
space()space()space()2.所有团成员均可参加，进入塔布里斯的梦境的与他玩场轻松的扑克牌大战；newline()
space()space()space()3.通过打出不同组合的扑克牌可以获得赞扬点，当团总赞扬达到4200时，可触发Boss战，胜利可获得大量装备、经验newline()
space()space()space()4.家族冒险结束后，还可以兑换宝箱、限定宠物和时装。newline()
)</t>
  </si>
  <si>
    <t>body(   前面那些挑战都不算难，有本事就去我的梦境中冒险，战胜我的扑克帮会团吧！每周三、六，我在那里等候你的应战！)</t>
  </si>
  <si>
    <t>body(   亲爱的陛下player()，我为您铸造了一批勋章，每天可以领取108枚“君王的恩赐”，可交易或邮寄给那些今日为国家作出杰出贡献的国民。您的国民使用恩赐之后，在换取水晶时可以获得您的祝福，得到一个绿色水晶。（您可以将恩赐分给国家官员或者帮会长，授权他们去嘉奖各部的杰出国民）)</t>
  </si>
  <si>
    <t>body(   最近敌国增加了强大的运输装置，会对我国造成非常大的影响，请前往敌国破坏帮会需补给艇，为国立功！)</t>
  </si>
  <si>
    <t>body(   与魔族曾有场惨烈的交战被记录下来，那时安妮公主和艾伦王子并肩作战，抵御了魔帮会大将黑魔摩罗多姆率领的暗黑亡灵团的进攻，希望你可以寻找一个搭档一同进入公主的回忆梦境，参加那场战役，缅怀那场战争)</t>
  </si>
  <si>
    <t>领取帮会衔工资</t>
  </si>
  <si>
    <t>领取神之守护帮会状态</t>
  </si>
  <si>
    <t>[节日]亡灵骑士VS狼人帮会团</t>
  </si>
  <si>
    <t>body(      亲爱player()，在这特殊的时刻，五丈原的遗忘之门又打开了，这次，狼人头领率领帮会团来到奥丁大陆捣乱了，还抢劫了很多万圣节礼物，正准备运送回去呢，遵从亡灵骑士的命令，前去击退那些不友善的来访者吧！)</t>
  </si>
  <si>
    <t>[15级]成长俸禄商店</t>
  </si>
  <si>
    <t>title(（15级）成长俸禄商店)
body(hotyellow_3(任务进程:)newline()
   回答goto(60038,2)的问题，学习勋章商店的使用。
blankline()hotyellow_3(任务描述:)newline() 
   嗯，player()，如果你有兴趣。现在就可以打开成长俸禄商店，兑换一件道具！)</t>
  </si>
  <si>
    <t>title(（32级）冒险者的建议)
body(hotyellow_3(任务进程:)newline()
   打开成长俸禄商店，用成长俸禄兑换一件31级绿色武器后去找goto(60164,4)。
blankline()hotyellow_3(任务描述:)newline() 
   嗯，player()，现在就打开成长俸禄商店，兑换31级绿色武器吧！)</t>
  </si>
  <si>
    <t>body(   嗯，player()，现在就打开成长俸禄商店，兑换一件乘手的31级武器吧！)</t>
  </si>
  <si>
    <t>"请在成长俸禄商店中兑换一件绿色武器。"</t>
  </si>
  <si>
    <t>title(团成就任务-奋勇杀敌：)
body(hotyellow_3(任务进程:)newline()
目标:本团参与一场家族战争blankline()
说明:家族战争是提升团积分和排行,彰显团实力的重要途径,在获得大量经验奖励的同时也是获取战功俸禄和贡献度的主要渠道之一。blankline()
hot(小提示:战功俸禄在勋章商店里可以换取大量的贵重道具,是非常有价值的兑换物！)
blankline()
   hot2(团成就任务完成后,将自动获得奖励))</t>
  </si>
  <si>
    <t>title([活动]战争的荣耀)
body(hotyellow_3(任务进程:)newline()
   国家的繁荣需要勇敢的骑士，用剑与盾去捍卫，战功俸禄是骑士的荣耀。去获得更多的战功俸禄，然后用战功俸禄兑换1枚护国徽章来。回复goto(301,5)newline()
   1.战功俸禄获得：newline()
     家族战：周2、5晚   帮会战：周6晚      newline()
     国战: 君王发布   血战到底：周1、3、5晚newline()
   2.护国徽章用途：可以快速前往本国国民、镖车被攻击的地点，仅可在本国使用。newline())</t>
  </si>
  <si>
    <t>body(   国家的繁荣需要勇敢的骑士，用剑与盾去捍卫，战功俸禄是骑士的荣耀。去获得更多的战功俸禄，然后用战功俸禄兑换1枚护国徽章来。)</t>
  </si>
  <si>
    <t>"去获得更多的战功俸禄，然后用战功俸禄兑换1枚护国徽章来。"</t>
  </si>
  <si>
    <t>司命</t>
    <phoneticPr fontId="6" type="noConversion"/>
  </si>
  <si>
    <t>&lt;p&gt;
&lt;n&gt;  回复： &lt;/n&gt;
 &lt;n&gt; &lt;/n&gt;&lt;goto quick="1" id="60045" mapid="1" flagpoint="1" taskid="6001"/&gt;
&lt;/p&gt;</t>
    <phoneticPr fontId="6" type="noConversion"/>
  </si>
  <si>
    <t>桃源仙子</t>
    <phoneticPr fontId="6" type="noConversion"/>
  </si>
  <si>
    <t>貂蝉</t>
    <phoneticPr fontId="6" type="noConversion"/>
  </si>
  <si>
    <t>踏歌</t>
    <phoneticPr fontId="6" type="noConversion"/>
  </si>
  <si>
    <t>阿狸</t>
    <phoneticPr fontId="14" type="noConversion"/>
  </si>
  <si>
    <t>琉璃</t>
    <phoneticPr fontId="14" type="noConversion"/>
  </si>
  <si>
    <t>王飞虎</t>
    <phoneticPr fontId="14" type="noConversion"/>
  </si>
  <si>
    <t>孙香</t>
    <phoneticPr fontId="14" type="noConversion"/>
  </si>
  <si>
    <t>青青</t>
    <phoneticPr fontId="14" type="noConversion"/>
  </si>
  <si>
    <t>青青</t>
    <phoneticPr fontId="6" type="noConversion"/>
  </si>
  <si>
    <t>仓库商人</t>
    <phoneticPr fontId="6" type="noConversion"/>
  </si>
  <si>
    <t>仓库商人</t>
    <phoneticPr fontId="6" type="noConversion"/>
  </si>
  <si>
    <t>贪狼</t>
    <phoneticPr fontId="6" type="noConversion"/>
  </si>
  <si>
    <t>司命</t>
    <phoneticPr fontId="6" type="noConversion"/>
  </si>
  <si>
    <t>孙香</t>
    <phoneticPr fontId="14" type="noConversion"/>
  </si>
  <si>
    <t>孙香</t>
    <phoneticPr fontId="6" type="noConversion"/>
  </si>
  <si>
    <t>装备改造商人</t>
    <phoneticPr fontId="6" type="noConversion"/>
  </si>
  <si>
    <t>家族长老</t>
    <phoneticPr fontId="6" type="noConversion"/>
  </si>
  <si>
    <t>素素</t>
    <phoneticPr fontId="14" type="noConversion"/>
  </si>
  <si>
    <t>孙香</t>
    <phoneticPr fontId="14" type="noConversion"/>
  </si>
  <si>
    <t>李忠</t>
    <phoneticPr fontId="14" type="noConversion"/>
  </si>
  <si>
    <t>青青</t>
    <phoneticPr fontId="14" type="noConversion"/>
  </si>
  <si>
    <t>北斗</t>
    <phoneticPr fontId="14" type="noConversion"/>
  </si>
  <si>
    <t>驿站车夫</t>
  </si>
  <si>
    <t>装备改造商人</t>
    <phoneticPr fontId="6" type="noConversion"/>
  </si>
  <si>
    <t>水镜先生</t>
    <phoneticPr fontId="14" type="noConversion"/>
  </si>
  <si>
    <t>[1级]大贤者赫肯</t>
    <phoneticPr fontId="6" type="noConversion"/>
  </si>
  <si>
    <t>华佗</t>
    <phoneticPr fontId="14" type="noConversion"/>
  </si>
  <si>
    <t>病人</t>
    <phoneticPr fontId="14" type="noConversion"/>
  </si>
  <si>
    <t>嵇康</t>
    <phoneticPr fontId="14" type="noConversion"/>
  </si>
  <si>
    <t>吕布阴魂</t>
    <phoneticPr fontId="14" type="noConversion"/>
  </si>
  <si>
    <t>吕布阴魂</t>
    <phoneticPr fontId="14" type="noConversion"/>
  </si>
  <si>
    <t>貂蝉</t>
    <phoneticPr fontId="14" type="noConversion"/>
  </si>
  <si>
    <t>司命</t>
    <phoneticPr fontId="14" type="noConversion"/>
  </si>
  <si>
    <t>吕布阴魂</t>
    <phoneticPr fontId="14" type="noConversion"/>
  </si>
  <si>
    <t>嵇康</t>
    <phoneticPr fontId="14" type="noConversion"/>
  </si>
  <si>
    <t>书生</t>
    <phoneticPr fontId="14" type="noConversion"/>
  </si>
  <si>
    <t>樵夫</t>
    <phoneticPr fontId="14" type="noConversion"/>
  </si>
  <si>
    <t>北斗</t>
  </si>
  <si>
    <t>樵夫</t>
  </si>
  <si>
    <t>绿衣</t>
  </si>
  <si>
    <t>踏歌</t>
  </si>
  <si>
    <t>孙香</t>
    <phoneticPr fontId="14" type="noConversion"/>
  </si>
  <si>
    <t>孙香</t>
  </si>
  <si>
    <t>李夫人</t>
  </si>
  <si>
    <t>被囚的士兵</t>
  </si>
  <si>
    <t>探子</t>
  </si>
  <si>
    <t>士兵</t>
  </si>
  <si>
    <t>"49237-0-1"</t>
    <phoneticPr fontId="7" type="noConversion"/>
  </si>
  <si>
    <t>"31183-0-2"</t>
    <phoneticPr fontId="6" type="noConversion"/>
  </si>
  <si>
    <t>"31187-0-3"</t>
    <phoneticPr fontId="6" type="noConversion"/>
  </si>
  <si>
    <t>"31196-0-1"</t>
    <phoneticPr fontId="6" type="noConversion"/>
  </si>
  <si>
    <t>"36001-0-3"</t>
    <phoneticPr fontId="6" type="noConversion"/>
  </si>
  <si>
    <t>"36007-0-3"</t>
    <phoneticPr fontId="6" type="noConversion"/>
  </si>
  <si>
    <t>"36009-0-1"</t>
    <phoneticPr fontId="6" type="noConversion"/>
  </si>
  <si>
    <t>"36014-0-6"</t>
    <phoneticPr fontId="6" type="noConversion"/>
  </si>
  <si>
    <t>"36016-0-3"</t>
    <phoneticPr fontId="6" type="noConversion"/>
  </si>
  <si>
    <t>title(（1级）大贤者赫肯)
body(hotyellow_3(任务进程:)newline()
   去找goto(60045,1)。
blankline()hotyellow_3(任务描述:)newline() 
space()space()space()player()，很高兴你能来到这里。首先，还是找到桃源圣地的大贤者赫肯熟悉一下情况吧！blankline()hotyellow_3(任务描述:)newline() 
   需要帮助的人头顶会有hot(“！”)出现。newline()
   当人物头顶出现hot(“？”)时，则表示有任务可以交付给他。
newline()   按hot(“L”)键可以打开任务列表查看已接任务。
newline()   经历各种任务的考验，人物的能力也会得到相应的成长。)</t>
    <phoneticPr fontId="6" type="noConversion"/>
  </si>
  <si>
    <t>[2级]指点</t>
    <phoneticPr fontId="6" type="noConversion"/>
  </si>
  <si>
    <t>body(space()space()space()player()，这件事还是向桃源圣地的荣耀骑士罗恩汇报一下吧！blankline()   你们的hot(传送NPC帕蒂)就在你来时的地方，他可以带你返回桃源圣地。)</t>
    <phoneticPr fontId="6" type="noConversion"/>
  </si>
  <si>
    <t>body(   解毒剂起作用了，请你去转告hot(盖亚)请他不用担心。)</t>
    <phoneticPr fontId="6" type="noConversion"/>
  </si>
  <si>
    <t>body(    自从夫君殒命后，我本想随他而去。但是，司命大人救了我，他说，我夫君命不该绝，机缘到了，我还能再见到他。我夫君的衣冠冢在小河边，能帮我去祭奠下吗？)</t>
    <phoneticPr fontId="6" type="noConversion"/>
  </si>
  <si>
    <t>body(   你来了。)</t>
    <phoneticPr fontId="6" type="noConversion"/>
  </si>
  <si>
    <t>总觉得夫君还在身边……</t>
    <phoneticPr fontId="6" type="noConversion"/>
  </si>
  <si>
    <t>title(（7级）坐骑)
body(hotyellow_3(任务进程:)newline()
   hot(   骑乘)坐骑，完成后去找goto(60006,1)。
blankline()hotyellow_3(任务描述:)newline()  
   按hot("T"键)可以快速骑乘坐骑。坐骑在背包内，需要点击使用。)</t>
    <phoneticPr fontId="6" type="noConversion"/>
  </si>
  <si>
    <t>&lt;p&gt;
&lt;n&gt;  回答：&lt;/n&gt;&lt;goto quick="1" id="60006" mapid="1" flagpoint="1" taskid="3102"/&gt;
&lt;n&gt;的问题&lt;/n&gt;
&lt;/p&gt;</t>
    <phoneticPr fontId="6" type="noConversion"/>
  </si>
  <si>
    <t>body(   点击使用背包内的坐骑。)</t>
    <phoneticPr fontId="6" type="noConversion"/>
  </si>
  <si>
    <t>body( 坐骑分为很多种，战斗坐骑还以在战斗中使用。)</t>
    <phoneticPr fontId="6" type="noConversion"/>
  </si>
  <si>
    <t>body(    那些盗贼从船上逃出来了，去给他们最后一击！)</t>
    <phoneticPr fontId="6" type="noConversion"/>
  </si>
  <si>
    <t>点燃干柴了吗？</t>
    <phoneticPr fontId="6" type="noConversion"/>
  </si>
  <si>
    <t>找到水草了吗？</t>
    <phoneticPr fontId="6" type="noConversion"/>
  </si>
  <si>
    <t>body(   这些水草带着一股腥味……)</t>
    <phoneticPr fontId="6" type="noConversion"/>
  </si>
  <si>
    <t>body(  水镜先生见多识广，也许他知道这些水草的来历，帮我去问问他。)</t>
    <phoneticPr fontId="6" type="noConversion"/>
  </si>
  <si>
    <t>body(   这个……这个……真的有用吗？)</t>
    <phoneticPr fontId="6" type="noConversion"/>
  </si>
  <si>
    <t>body(   \(^o^)/~我等这个玩具好久了！)</t>
    <phoneticPr fontId="6" type="noConversion"/>
  </si>
  <si>
    <t>&lt;p&gt;
&lt;n&gt;  收集&lt;/n&gt;
 &lt;n&gt; &lt;/n&gt;&lt;goto quick="1" id="10001" mapid="2" flagpoint="1" taskid="6110" /&gt;&lt;n&gt;做的玩具&lt;/n&gt;
&lt;/p&gt;</t>
    <phoneticPr fontId="6" type="noConversion"/>
  </si>
  <si>
    <t>body(   回答青青出的刁钻的难题。)</t>
    <phoneticPr fontId="6" type="noConversion"/>
  </si>
  <si>
    <t>body(   (*^__^*) 嘻嘻……)</t>
    <phoneticPr fontId="6" type="noConversion"/>
  </si>
  <si>
    <t>body(    凤城有个很有名的铸铁大师，他可以把装备打造的很厉害哦。你可以去询问他关于装备改造的事情。)</t>
    <phoneticPr fontId="6" type="noConversion"/>
  </si>
  <si>
    <t>body(   又是青青那丫头叫你来的吧？一般人都看不出我的厉害之处。)</t>
    <phoneticPr fontId="6" type="noConversion"/>
  </si>
  <si>
    <t>&lt;p&gt;&lt;n&gt;合成装备的操作：&lt;/n&gt;&lt;newline/&gt;&lt;n&gt;1.打开“强化”界面；&lt;/n&gt;&lt;newline/&gt;&lt;n&gt;2.左键拖动，或右击本装备自动放入界面中间的“装备”位；&lt;/n&gt;&lt;newline/&gt;&lt;n&gt;3.点击“放入装备”按钮；&lt;/n&gt;&lt;newline/&gt;&lt;n&gt;4.再点击界面右下角“开始”按钮。&lt;/n&gt;&lt;/p&gt;</t>
    <phoneticPr fontId="6" type="noConversion"/>
  </si>
  <si>
    <t>body(    当你包裹满了没地方放东西的时候，可以找仓库商人，他会为你提供额外的储存格子。)</t>
    <phoneticPr fontId="6" type="noConversion"/>
  </si>
  <si>
    <t>body(   我这里可以免费为你保管东西，保证安全。)</t>
    <phoneticPr fontId="6" type="noConversion"/>
  </si>
  <si>
    <t>找到儿歌三百首了吗？</t>
    <phoneticPr fontId="6" type="noConversion"/>
  </si>
  <si>
    <t>兵粮呢？</t>
    <phoneticPr fontId="6" type="noConversion"/>
  </si>
  <si>
    <t>[18级]九曜石</t>
    <phoneticPr fontId="6" type="noConversion"/>
  </si>
  <si>
    <t>body(   有了这些，就可以开始打造仓库了。)</t>
    <phoneticPr fontId="6" type="noConversion"/>
  </si>
  <si>
    <t>找到九曜石了吗？</t>
    <phoneticPr fontId="6" type="noConversion"/>
  </si>
  <si>
    <t>body(   我喜欢收集奇珍异宝。最近我收购了一颗珍宝，但是hot(贪狼)却说这是仿冒品！那个不知道珍宝的家伙！)</t>
    <phoneticPr fontId="6" type="noConversion"/>
  </si>
  <si>
    <t>body(   是仓库商人叫你来的吧？)</t>
    <phoneticPr fontId="6" type="noConversion"/>
  </si>
  <si>
    <t>body(    仓库商人根本就不懂什么是珍宝。那些怪物用障眼法把石头卖给仓库商人。)</t>
    <phoneticPr fontId="6" type="noConversion"/>
  </si>
  <si>
    <t>body(   我只是看不惯用那么低级的法术欺骗人类。)</t>
    <phoneticPr fontId="6" type="noConversion"/>
  </si>
  <si>
    <t>教训那些怪物了吗？</t>
    <phoneticPr fontId="6" type="noConversion"/>
  </si>
  <si>
    <t>body(   那些妖怪倒是藏了一些珍宝。他们把所有的宝贝都藏在宝箱里。其中，飞星逐月石是他们珍宝里最好的。)</t>
    <phoneticPr fontId="6" type="noConversion"/>
  </si>
  <si>
    <t>拿到飞星逐月石了吗？</t>
    <phoneticPr fontId="6" type="noConversion"/>
  </si>
  <si>
    <t>&lt;p&gt;
&lt;n&gt;  打开&lt;/n&gt;
 &lt;n&gt; &lt;/n&gt;&lt;goto quick="1" id="2009" mapid="2" flagpoint="1" taskid="6118" /&gt;
&lt;/p&gt;</t>
    <phoneticPr fontId="6" type="noConversion"/>
  </si>
  <si>
    <t>[20级]何以知之？</t>
    <phoneticPr fontId="6" type="noConversion"/>
  </si>
  <si>
    <t>title( [[20级]何以知之？)
body(hotyellow_3(任务进程:)newline()
   与goto(60045,1)对话。
blankline()hotyellow_3(任务描述:)newline() 
  天道远，人道迩，非所及也，何以知之？)</t>
    <phoneticPr fontId="6" type="noConversion"/>
  </si>
  <si>
    <t>body(   天道远，人道迩，非所及也，何以知之？)</t>
    <phoneticPr fontId="6" type="noConversion"/>
  </si>
  <si>
    <t>body(   即便是贪狼星君，也不过是这创物规则下的产物，如何去更改天命？)</t>
    <phoneticPr fontId="6" type="noConversion"/>
  </si>
  <si>
    <t>body(   凤城正需要阁下这样的贤能之士的加入！)</t>
    <phoneticPr fontId="6" type="noConversion"/>
  </si>
  <si>
    <t>[授勋]从九品上</t>
    <phoneticPr fontId="6" type="noConversion"/>
  </si>
  <si>
    <t>title( [授勋]从九品上)
body(hotyellow_3(任务进程:)newline()
   去找goto(503,2)授勋。
blankline()hotyellow_3(任务描述:)newline() 
   凤城正是用人之迹，像阁下这样才华出众的人才，一定要授予官衔。)</t>
    <phoneticPr fontId="6" type="noConversion"/>
  </si>
  <si>
    <t>body(    凤城正是用人之迹，像阁下这样才华出众的人才，一定要授予官衔。)</t>
    <phoneticPr fontId="6" type="noConversion"/>
  </si>
  <si>
    <t>body(   现授予你从九品上官职，希望能努力为凤城效力！)</t>
    <phoneticPr fontId="6" type="noConversion"/>
  </si>
  <si>
    <t>body(   您可以在我这里进行提升武器基础属性的升星操作，使用绑银或者银子支付费用都是可以的。)</t>
    <phoneticPr fontId="6" type="noConversion"/>
  </si>
  <si>
    <t>body(   欢迎下次再来。)</t>
    <phoneticPr fontId="6" type="noConversion"/>
  </si>
  <si>
    <t>请选择一件装备升级到1星</t>
    <phoneticPr fontId="6" type="noConversion"/>
  </si>
  <si>
    <t>[22级]家族长老</t>
    <phoneticPr fontId="6" type="noConversion"/>
  </si>
  <si>
    <t>title( [22级]家族长老)
body(hotyellow_3(任务进程:)newline()
   去找goto(122,2)。
blankline()hotyellow_3(任务描述:)newline() 
   一个人的征途是孤独寂寞的，家族长老相关的家族资料，你可以去询问他。)</t>
    <phoneticPr fontId="6" type="noConversion"/>
  </si>
  <si>
    <t>body(     一个人的征途是孤独寂寞的，家族长老相关的家族资料，你可以去询问他。)</t>
    <phoneticPr fontId="6" type="noConversion"/>
  </si>
  <si>
    <t>body(  大人，有什么吩咐吗？)</t>
    <phoneticPr fontId="6" type="noConversion"/>
  </si>
  <si>
    <t>[23级]金兰石</t>
    <phoneticPr fontId="6" type="noConversion"/>
  </si>
  <si>
    <t>body(  家族是游戏中最重要的后盾，它会陪你共度风雨。Hot(金兰石)是家族情谊的见证。去帮我找8块吧。)</t>
    <phoneticPr fontId="6" type="noConversion"/>
  </si>
  <si>
    <t>body(   想不到你真的找到了！)</t>
    <phoneticPr fontId="6" type="noConversion"/>
  </si>
  <si>
    <t>找到金兰石了吗？</t>
    <phoneticPr fontId="6" type="noConversion"/>
  </si>
  <si>
    <t>去找金兰石</t>
    <phoneticPr fontId="6" type="noConversion"/>
  </si>
  <si>
    <t>&lt;p&gt;
&lt;n&gt;  收集&lt;/n&gt;
 &lt;n&gt; &lt;/n&gt;&lt;goto quick="1" id="2010" mapid="2" flagpoint="1" taskid="6126" /&gt;
&lt;/p&gt;</t>
    <phoneticPr fontId="6" type="noConversion"/>
  </si>
  <si>
    <t>那些怪物真难缠。</t>
    <phoneticPr fontId="6" type="noConversion"/>
  </si>
  <si>
    <t>消灭那些怪物了吗？</t>
    <phoneticPr fontId="6" type="noConversion"/>
  </si>
  <si>
    <t>&lt;p&gt;
&lt;n&gt;  消灭&lt;/n&gt;
 &lt;n&gt; &lt;/n&gt;&lt;goto quick="1" id="10004" mapid="2" flagpoint="1" taskid="6131" /&gt;
&lt;/p&gt;</t>
    <phoneticPr fontId="6" type="noConversion"/>
  </si>
  <si>
    <t>[26级]送行</t>
    <phoneticPr fontId="6" type="noConversion"/>
  </si>
  <si>
    <t>&lt;p&gt;
&lt;n&gt;  弹奏&lt;/n&gt;
 &lt;n&gt; &lt;/n&gt;&lt;goto quick="1" id="2012" mapid="2" flagpoint="1" taskid="6132" /&gt;
&lt;/p&gt;</t>
    <phoneticPr fontId="6" type="noConversion"/>
  </si>
  <si>
    <t>[26级]奇怪的现象</t>
    <phoneticPr fontId="6" type="noConversion"/>
  </si>
  <si>
    <t>body(   莫非……)</t>
    <phoneticPr fontId="6" type="noConversion"/>
  </si>
  <si>
    <t>body(    守城士兵李忠那边好像有什么情况，你去看看吧。)</t>
    <phoneticPr fontId="6" type="noConversion"/>
  </si>
  <si>
    <t>body(   大人真是及时雨啊！)</t>
    <phoneticPr fontId="6" type="noConversion"/>
  </si>
  <si>
    <t>[27级]碎纸片</t>
    <phoneticPr fontId="6" type="noConversion"/>
  </si>
  <si>
    <t>body(    昨天有人见到一个奇怪装扮的人出现在河边，我怀疑是敌国的奸细。你去探查下有什么线索。)</t>
    <phoneticPr fontId="6" type="noConversion"/>
  </si>
  <si>
    <t>body(   这些碎纸片应该是信纸撕碎的，不知道上面写着什么。)</t>
    <phoneticPr fontId="6" type="noConversion"/>
  </si>
  <si>
    <t>找到线索了吗？</t>
    <phoneticPr fontId="6" type="noConversion"/>
  </si>
  <si>
    <t>[28级]密信</t>
    <phoneticPr fontId="6" type="noConversion"/>
  </si>
  <si>
    <t>body(   这些碎纸片拼起来，居然是一封信。里面的内容非常机密，请报告孙香大人。)</t>
    <phoneticPr fontId="6" type="noConversion"/>
  </si>
  <si>
    <t>body(   居然有奸细混到凤城里来了！)</t>
    <phoneticPr fontId="6" type="noConversion"/>
  </si>
  <si>
    <t>body(   干得好！)</t>
    <phoneticPr fontId="6" type="noConversion"/>
  </si>
  <si>
    <t>清理掉那些怪物了吗？</t>
    <phoneticPr fontId="6" type="noConversion"/>
  </si>
  <si>
    <t>&lt;p&gt;
&lt;n&gt;  消灭&lt;/n&gt;
 &lt;n&gt; &lt;/n&gt;&lt;goto quick="1" id="10005" mapid="2" flagpoint="1" taskid="6138" /&gt;
&lt;/p&gt;</t>
    <phoneticPr fontId="6" type="noConversion"/>
  </si>
  <si>
    <t>[29级]山泉青果</t>
    <phoneticPr fontId="6" type="noConversion"/>
  </si>
  <si>
    <t>title( [29级]山泉青果)
body(hotyellow_3(任务进程:)newline()
   采集goto(2014,2)后，交给goto(504,2)。
blankline()hotyellow_3(任务描述:)newline() 
  青青最喜欢吃山泉青果了，前几天我看到那些果子成熟了。但是我现在在守城门，不能离开。能采些给青青吗？)</t>
    <phoneticPr fontId="6" type="noConversion"/>
  </si>
  <si>
    <t>body(    青青最喜欢吃山泉青果了，前几天我看到那些果子成熟了。但是我现在在守城门，不能离开。能采些给青青吗？)</t>
    <phoneticPr fontId="6" type="noConversion"/>
  </si>
  <si>
    <t>body(   哇，看起来很好吃的样子。)</t>
    <phoneticPr fontId="6" type="noConversion"/>
  </si>
  <si>
    <t>[29级]谢礼</t>
    <phoneticPr fontId="6" type="noConversion"/>
  </si>
  <si>
    <t>title( [29级]谢礼)
body(hotyellow_3(任务进程:)newline()
   去找goto(510,2)。
blankline()hotyellow_3(任务描述:)newline() 
  这些青果太好吃了，帮我去谢谢李叔叔。)</t>
    <phoneticPr fontId="6" type="noConversion"/>
  </si>
  <si>
    <t>body(    这些青果太好吃了，帮我去谢谢李叔叔。)</t>
    <phoneticPr fontId="6" type="noConversion"/>
  </si>
  <si>
    <t>body(   喜欢就好。)</t>
    <phoneticPr fontId="6" type="noConversion"/>
  </si>
  <si>
    <t>我要吃青果！</t>
    <phoneticPr fontId="6" type="noConversion"/>
  </si>
  <si>
    <t>[30级]布阵</t>
    <phoneticPr fontId="6" type="noConversion"/>
  </si>
  <si>
    <t>body(   有一位高人给了我一个阵法，据说把它布在城门外，可以保证凤城安全，请去完成这个阵法后，告诉孙大人。)</t>
    <phoneticPr fontId="6" type="noConversion"/>
  </si>
  <si>
    <t>body(   阵法？是何人给的阵法？)</t>
    <phoneticPr fontId="6" type="noConversion"/>
  </si>
  <si>
    <t>什么阵法？</t>
    <phoneticPr fontId="6" type="noConversion"/>
  </si>
  <si>
    <t>[30级]战斗力</t>
    <phoneticPr fontId="6" type="noConversion"/>
  </si>
  <si>
    <t>title( [30级]战斗力)
body(hotyellow_3(任务进程:)newline()
   与goto(113,2)对话。
blankline()hotyellow_3(任务描述:)newline() 
  战斗力是一个人能力的最直观体现。通过提高装备的品质、升星、属性精炼等都可以提升战斗力。可以通过排行榜查看其它人的战斗力。)</t>
    <phoneticPr fontId="6" type="noConversion"/>
  </si>
  <si>
    <t>body(    战斗力是一个人能力的最直观体现。通过提高装备的品质、升星、属性精炼等都可以提升战斗力。可以通过排行榜查看其它人的战斗力。)</t>
    <phoneticPr fontId="6" type="noConversion"/>
  </si>
  <si>
    <t>body(   但是在实战中，战斗力高不代表着就一定能击败战斗力低的人。)</t>
    <phoneticPr fontId="6" type="noConversion"/>
  </si>
  <si>
    <t>&lt;p&gt;
&lt;n&gt;  与&lt;/n&gt;
 &lt;n&gt; &lt;/n&gt;&lt;goto quick="1" id="113" mapid="2" flagpoint="1" taskid="6142" /&gt;&lt;n&gt;对话&lt;/n&gt;
&lt;/p&gt;</t>
    <phoneticPr fontId="6" type="noConversion"/>
  </si>
  <si>
    <t>[31级]磨刀石</t>
    <phoneticPr fontId="6" type="noConversion"/>
  </si>
  <si>
    <t>body(   果然是珍品。)</t>
    <phoneticPr fontId="6" type="noConversion"/>
  </si>
  <si>
    <t>&lt;p&gt;
&lt;n&gt;  操作&lt;/n&gt;
 &lt;n&gt; &lt;/n&gt;&lt;goto quick="1" id="2016" mapid="2" flagpoint="1" taskid="6143" /&gt;
&lt;/p&gt;</t>
    <phoneticPr fontId="6" type="noConversion"/>
  </si>
  <si>
    <t>body(   凤城外有个神秘的炼丹大师，据说他的丹药能起死回生，有空去探听下。)</t>
    <phoneticPr fontId="6" type="noConversion"/>
  </si>
  <si>
    <t>body(   找我何事？)</t>
    <phoneticPr fontId="6" type="noConversion"/>
  </si>
  <si>
    <t>body(    边境战况紧急，继续物资支援。请把这些物资护送到驿站车夫那里。)</t>
    <phoneticPr fontId="6" type="noConversion"/>
  </si>
  <si>
    <t>body(   大人，辛苦了。)</t>
    <phoneticPr fontId="6" type="noConversion"/>
  </si>
  <si>
    <t>&lt;p&gt;
&lt;n&gt;  护送物资车到&lt;/n&gt;
 &lt;n&gt; &lt;/n&gt;&lt;goto quick="1" id="507" mapid="2" flagpoint="1" taskid="6147" /&gt;
&lt;/p&gt;</t>
    <phoneticPr fontId="6" type="noConversion"/>
  </si>
  <si>
    <t>&lt;p&gt;
&lt;n&gt;  拿回&lt;/n&gt;
 &lt;n&gt; &lt;/n&gt;&lt;goto quick="1" id="2017" mapid="2" flagpoint="1" taskid="6148" /&gt;
&lt;/p&gt;</t>
    <phoneticPr fontId="6" type="noConversion"/>
  </si>
  <si>
    <t>看到磨刀石了吗？</t>
    <phoneticPr fontId="6" type="noConversion"/>
  </si>
  <si>
    <t>大人，物资呢？</t>
    <phoneticPr fontId="6" type="noConversion"/>
  </si>
  <si>
    <t>body(   孙香妹妹让你来的？)</t>
    <phoneticPr fontId="6" type="noConversion"/>
  </si>
  <si>
    <t>孙香</t>
    <phoneticPr fontId="14" type="noConversion"/>
  </si>
  <si>
    <t>&lt;p&gt;
&lt;n&gt;  祭奠：&lt;/n&gt;
 &lt;n&gt; &lt;/n&gt;&lt;goto quick="1" id="2004" mapid="1" flagpoint="1" taskid="6015" /&gt;
&lt;/p&gt;</t>
    <phoneticPr fontId="6" type="noConversion"/>
  </si>
  <si>
    <t>&lt;p&gt;
&lt;n&gt;  点燃&lt;/n&gt;
 &lt;n&gt; &lt;/n&gt;&lt;goto quick="1" id="2005" mapid="2" flagpoint="1" taskid="6103" /&gt;
&lt;/p&gt;</t>
    <phoneticPr fontId="6" type="noConversion"/>
  </si>
  <si>
    <t>&lt;p&gt;
&lt;n&gt;  消灭&lt;/n&gt;
 &lt;n&gt; &lt;/n&gt;&lt;goto quick="1" id="10132" mapid="6" flagpoint="1" taskid="6205" /&gt;
&lt;/p&gt;</t>
    <phoneticPr fontId="6" type="noConversion"/>
  </si>
  <si>
    <t>阁下有何事？</t>
    <phoneticPr fontId="6" type="noConversion"/>
  </si>
  <si>
    <t>body(   我是神医，不是神仙！)</t>
    <phoneticPr fontId="6" type="noConversion"/>
  </si>
  <si>
    <t>body(  我现在缺一味草药，帮我采集一些来吧。)</t>
    <phoneticPr fontId="6" type="noConversion"/>
  </si>
  <si>
    <t>body(   放下吧。)</t>
    <phoneticPr fontId="6" type="noConversion"/>
  </si>
  <si>
    <t>body(   我收留了一个病人，但是他的病情很奇怪，明明应该好了，却又出现了奇怪的症状。我怀疑他的药里被掺了其他东西，去看看倒掉的那些药渣，问问病人情况。)</t>
    <phoneticPr fontId="6" type="noConversion"/>
  </si>
  <si>
    <t>body(   我也不知道什么情况，本来身体快好了，但是昨天半夜开始一会发冷，一会发热。比之前更严重了。)</t>
    <phoneticPr fontId="6" type="noConversion"/>
  </si>
  <si>
    <t>&lt;p&gt;
&lt;n&gt;  查看&lt;/n&gt;
 &lt;n&gt; &lt;/n&gt;&lt;goto quick="1" id="2021" mapid="6" flagpoint="1" taskid="6210" /&gt;
&lt;/p&gt;</t>
    <phoneticPr fontId="6" type="noConversion"/>
  </si>
  <si>
    <t>采好草药了吗？</t>
    <phoneticPr fontId="6" type="noConversion"/>
  </si>
  <si>
    <t>药渣就倒在山崖边。</t>
    <phoneticPr fontId="6" type="noConversion"/>
  </si>
  <si>
    <t>body(   药渣也没有问题。看来，最好的药应该是把他妻子叫来。)</t>
    <phoneticPr fontId="6" type="noConversion"/>
  </si>
  <si>
    <t>body(   本来我今天打算辞行的。但是，一想到回家后，要面对妻子的念叨，我整个人就发冷。)</t>
    <phoneticPr fontId="6" type="noConversion"/>
  </si>
  <si>
    <t>body(   有朋自远方来，不亦说乎。)</t>
    <phoneticPr fontId="6" type="noConversion"/>
  </si>
  <si>
    <t>[40级]一问</t>
    <phoneticPr fontId="6" type="noConversion"/>
  </si>
  <si>
    <t>[40级]复问</t>
    <phoneticPr fontId="6" type="noConversion"/>
  </si>
  <si>
    <t>[40级]改命</t>
    <phoneticPr fontId="6" type="noConversion"/>
  </si>
  <si>
    <t>[41级]媒介</t>
    <phoneticPr fontId="6" type="noConversion"/>
  </si>
  <si>
    <t>body(   有这些应该够了吧。)</t>
    <phoneticPr fontId="6" type="noConversion"/>
  </si>
  <si>
    <t>body(   我想起来了！我是吕布！)</t>
    <phoneticPr fontId="6" type="noConversion"/>
  </si>
  <si>
    <t>body(   不知道貂蝉是否还在人世。)</t>
    <phoneticPr fontId="6" type="noConversion"/>
  </si>
  <si>
    <t>&lt;p&gt;
&lt;n&gt;  与&lt;/n&gt;
 &lt;n&gt; &lt;/n&gt;&lt;goto quick="1" id="515" mapid="6" flagpoint="1" taskid="6221" /&gt;&lt;n&gt;对话&lt;/n&gt;
&lt;/p&gt;</t>
    <phoneticPr fontId="6" type="noConversion"/>
  </si>
  <si>
    <t>body(   貂蝉吗？你不是在桃源圣地见过？)</t>
    <phoneticPr fontId="6" type="noConversion"/>
  </si>
  <si>
    <t>[42级]固魂水</t>
    <phoneticPr fontId="6" type="noConversion"/>
  </si>
  <si>
    <t>title( [42级]固魂水)
body(hotyellow_3(任务进程:)newline()
   采集goto(2022,6)后，去找goto(514,6)。
blankline()hotyellow_3(任务描述:)newline() 
   吕布的魂魄已经脆弱不堪了，早晚会消失的。你去采集点固魂水，或许有用。)</t>
    <phoneticPr fontId="6" type="noConversion"/>
  </si>
  <si>
    <t>body(    吕布的魂魄已经脆弱不堪了，早晚会消失的。你去采集点固魂水，或许有用。)</t>
    <phoneticPr fontId="6" type="noConversion"/>
  </si>
  <si>
    <t>body(   要是一般的魂魄，应该早就去投胎转世了。)</t>
    <phoneticPr fontId="6" type="noConversion"/>
  </si>
  <si>
    <t>[44级]卜算</t>
    <phoneticPr fontId="6" type="noConversion"/>
  </si>
  <si>
    <t>body(   你见到夫君了！？)</t>
    <phoneticPr fontId="6" type="noConversion"/>
  </si>
  <si>
    <t>title( [44级]卜算)
body(hotyellow_3(任务进程:)newline()
   去找goto(60045,1)。
blankline()hotyellow_3(任务描述:)newline() 
  当年司命大人帮我卜算过一卦，说我能再见到夫君时，会有一劫，帮我去询问下。)</t>
    <phoneticPr fontId="6" type="noConversion"/>
  </si>
  <si>
    <t>body(    当年司命大人帮我卜算过一卦，说我能再见到夫君时，会有一劫，帮我去询问下。)</t>
    <phoneticPr fontId="6" type="noConversion"/>
  </si>
  <si>
    <t>body(   哎，吕布的阴魂已经在世间飘荡了很久了。)</t>
    <phoneticPr fontId="6" type="noConversion"/>
  </si>
  <si>
    <t>[44级]司命石</t>
    <phoneticPr fontId="6" type="noConversion"/>
  </si>
  <si>
    <t>body(   凡人的命格都刻在了hot(司命石)上。但是吕布的命格却因为北斗之故更改了。借你司命石一看，你就懂了。天机不可泄露。)</t>
    <phoneticPr fontId="6" type="noConversion"/>
  </si>
  <si>
    <t>title( [44级]司命石)
body(hotyellow_3(任务进程:)newline()
   查看goto(2023,1)后，去找goto(60007,1)。
blankline()hotyellow_3(任务描述:)newline() 
  凡人的命格都刻在了hot(司命石)上。但是吕布的命格却因为北斗之故更改了。借你司命石一看，你就懂了。天机不可泄露。)</t>
    <phoneticPr fontId="6" type="noConversion"/>
  </si>
  <si>
    <t>body(  请带我去见夫君。)</t>
    <phoneticPr fontId="6" type="noConversion"/>
  </si>
  <si>
    <t>body(   貂蝉……)</t>
    <phoneticPr fontId="6" type="noConversion"/>
  </si>
  <si>
    <t>body(  当年我身死之后，是嵇康帮我埋骨此处。此恩来世衔草相报。)</t>
    <phoneticPr fontId="6" type="noConversion"/>
  </si>
  <si>
    <t>body(    我最近作了一曲，想弹与知己听。我需要焚香静心，阁下可需要洗耳恭听？)</t>
    <phoneticPr fontId="6" type="noConversion"/>
  </si>
  <si>
    <t>body(   请品评。)</t>
    <phoneticPr fontId="6" type="noConversion"/>
  </si>
  <si>
    <t>&lt;p&gt;
&lt;n&gt;  用&lt;/n&gt;
 &lt;n&gt; &lt;/n&gt;&lt;goto quick="1" id="2024" mapid="6" flagpoint="1" taskid="6230" /&gt;&lt;n&gt;洗耳&lt;/n&gt;
&lt;/p&gt;</t>
    <phoneticPr fontId="6" type="noConversion"/>
  </si>
  <si>
    <t>[46级]送行</t>
    <phoneticPr fontId="6" type="noConversion"/>
  </si>
  <si>
    <t>title( [46级]送行)
body(hotyellow_3(任务进程:)newline()
   用goto(2025,6)弹奏后，去找goto(515,6)。
blankline()hotyellow_3(任务描述:)newline() 
  为吕布弹奏一曲《广陵散》，为他送行。)</t>
    <phoneticPr fontId="6" type="noConversion"/>
  </si>
  <si>
    <t>body(   为吕布弹奏一曲《广陵散》，为他送行。)</t>
    <phoneticPr fontId="6" type="noConversion"/>
  </si>
  <si>
    <t>body(   此曲只应天上有……)</t>
    <phoneticPr fontId="6" type="noConversion"/>
  </si>
  <si>
    <t>&lt;p&gt;
&lt;n&gt;  用&lt;/n&gt;
 &lt;n&gt; &lt;/n&gt;&lt;goto quick="1" id="2025" mapid="6" flagpoint="1" taskid="6231" /&gt;&lt;n&gt;弹奏&lt;/n&gt;
&lt;/p&gt;</t>
    <phoneticPr fontId="6" type="noConversion"/>
  </si>
  <si>
    <t>[47级]胆小的书生</t>
    <phoneticPr fontId="6" type="noConversion"/>
  </si>
  <si>
    <t>title( [47级]胆小的书生)
body(hotyellow_3(任务进程:)newline()
   与goto(519,6)对话。
blankline()hotyellow_3(任务描述:)newline() 
  从小我就能看到一些奇怪的东西，有的是断头的幽魂，有的吐着长长的舌头，太可怕了。但是，当我叫别人看的时候，他们总当我是疯子。)</t>
    <phoneticPr fontId="6" type="noConversion"/>
  </si>
  <si>
    <t>body(    从小我就能看到一些奇怪的东西，有的是断头的幽魂，有的吐着长长的舌头，太可怕了。但是，当我叫别人看的时候，他们总当我是疯子。)</t>
    <phoneticPr fontId="6" type="noConversion"/>
  </si>
  <si>
    <t>你要弹奏一曲吗？</t>
    <phoneticPr fontId="6" type="noConversion"/>
  </si>
  <si>
    <t>用山泉洗耳了吗？</t>
    <phoneticPr fontId="6" type="noConversion"/>
  </si>
  <si>
    <t>司命石怎么说的？</t>
    <phoneticPr fontId="6" type="noConversion"/>
  </si>
  <si>
    <t>找到固魂水了吗？</t>
    <phoneticPr fontId="6" type="noConversion"/>
  </si>
  <si>
    <t>我是谁？</t>
    <phoneticPr fontId="6" type="noConversion"/>
  </si>
  <si>
    <t>找到媒介了吗？</t>
    <phoneticPr fontId="6" type="noConversion"/>
  </si>
  <si>
    <t>body(   不错，就是这个果子。)</t>
    <phoneticPr fontId="6" type="noConversion"/>
  </si>
  <si>
    <t>body(   我还有很多柴需要砍。年轻人，给我去砍下。)</t>
    <phoneticPr fontId="6" type="noConversion"/>
  </si>
  <si>
    <t>body(   不错，不错，你是个有善心的孩子。)</t>
    <phoneticPr fontId="6" type="noConversion"/>
  </si>
  <si>
    <t>&lt;p&gt;
&lt;n&gt;  砍伐&lt;/n&gt;
 &lt;n&gt; &lt;/n&gt;&lt;goto quick="1" id="2027" mapid="6" flagpoint="1" taskid="6237" /&gt;
&lt;/p&gt;</t>
    <phoneticPr fontId="6" type="noConversion"/>
  </si>
  <si>
    <t>&lt;p&gt;
&lt;n&gt;  击杀&lt;/n&gt;
 &lt;n&gt; &lt;/n&gt;&lt;goto quick="1" id="10011" mapid="6" flagpoint="1" taskid="6239" /&gt;
&lt;/p&gt;</t>
    <phoneticPr fontId="6" type="noConversion"/>
  </si>
  <si>
    <t>body(    由生即有死，有死必有生。如此，万物方可生生不休。不知道北斗如今是何感悟。)</t>
    <phoneticPr fontId="6" type="noConversion"/>
  </si>
  <si>
    <t>title( [49级]生机)
body(hotyellow_3(任务进程:)newline()
   去找goto(501,2)。
blankline()hotyellow_3(任务描述:)newline() 
 由生即有死，有死必有生。如此，万物方可生生不休。不知道北斗如今是何感悟。)</t>
    <phoneticPr fontId="6" type="noConversion"/>
  </si>
  <si>
    <t>body(   我们关于生死孰轻孰重的争执，狭隘了。)</t>
    <phoneticPr fontId="6" type="noConversion"/>
  </si>
  <si>
    <t>body(   做的好。)</t>
    <phoneticPr fontId="6" type="noConversion"/>
  </si>
  <si>
    <t>[50级]求教</t>
    <phoneticPr fontId="6" type="noConversion"/>
  </si>
  <si>
    <t>body(   草木春生秋死，生死之间，自有一个平衡。否则，那将是大劫难。)</t>
    <phoneticPr fontId="6" type="noConversion"/>
  </si>
  <si>
    <t>body(  长寿的秘诀啊，是看的开，吃的好，睡的着。)</t>
    <phoneticPr fontId="6" type="noConversion"/>
  </si>
  <si>
    <t>[50级]长寿的秘诀</t>
    <phoneticPr fontId="6" type="noConversion"/>
  </si>
  <si>
    <t>[50级]奇怪的姑娘</t>
    <phoneticPr fontId="6" type="noConversion"/>
  </si>
  <si>
    <t>title( [50级]奇怪的姑娘)
body(hotyellow_3(任务进程:)newline()
   去找goto(517,6)。
blankline()hotyellow_3(任务描述:)newline() 
  我去砍柴的路上，遇到个奇怪的姑娘，好像在找什么人。)</t>
    <phoneticPr fontId="6" type="noConversion"/>
  </si>
  <si>
    <t>body(    我去砍柴的路上，遇到个奇怪的姑娘，好像在找什么人。)</t>
    <phoneticPr fontId="6" type="noConversion"/>
  </si>
  <si>
    <t>[51级]失踪</t>
    <phoneticPr fontId="6" type="noConversion"/>
  </si>
  <si>
    <t>&lt;p&gt;
&lt;n&gt;  查看&lt;/n&gt;
 &lt;n&gt; &lt;/n&gt;&lt;goto quick="1" id="2028" mapid="6" flagpoint="1" taskid="6245" /&gt;
&lt;/p&gt;</t>
    <phoneticPr fontId="6" type="noConversion"/>
  </si>
  <si>
    <t>[51级]踏歌</t>
    <phoneticPr fontId="6" type="noConversion"/>
  </si>
  <si>
    <t>title( [51级]踏歌)
body(hotyellow_3(任务进程:)newline()
   去找goto(60200,1)。
blankline()hotyellow_3(任务描述:)newline() 
  我妹妹叫踏歌，她的身上应该佩戴着带名字的玉佩。小时候，她最喜欢听我唱歌，听到铃铛声就咯咯的笑。)</t>
    <phoneticPr fontId="6" type="noConversion"/>
  </si>
  <si>
    <t>body(   我妹妹叫踏歌，她的身上应该佩戴着带名字的玉佩。小时候，她最喜欢听我唱歌，听到铃铛声就咯咯的笑。)</t>
    <phoneticPr fontId="6" type="noConversion"/>
  </si>
  <si>
    <t>body(   姐姐？)</t>
    <phoneticPr fontId="6" type="noConversion"/>
  </si>
  <si>
    <t>[51级]过去的记忆</t>
    <phoneticPr fontId="6" type="noConversion"/>
  </si>
  <si>
    <t>[52级]一切安好</t>
    <phoneticPr fontId="6" type="noConversion"/>
  </si>
  <si>
    <t>body(  去告诉姐姐，我现在一切都好。)</t>
    <phoneticPr fontId="6" type="noConversion"/>
  </si>
  <si>
    <t>body(   踏歌……我一直害怕她已经不在人世了。)</t>
    <phoneticPr fontId="6" type="noConversion"/>
  </si>
  <si>
    <t>&lt;p&gt;
&lt;n&gt;  操作&lt;/n&gt;
 &lt;n&gt; &lt;/n&gt;&lt;goto quick="1" id="2030" mapid="6" flagpoint="1" taskid="6249" /&gt;
&lt;/p&gt;</t>
    <phoneticPr fontId="6" type="noConversion"/>
  </si>
  <si>
    <t>[53级]山源之心</t>
    <phoneticPr fontId="6" type="noConversion"/>
  </si>
  <si>
    <t>虎牢守将</t>
    <phoneticPr fontId="6" type="noConversion"/>
  </si>
  <si>
    <t>body(    去找虎牢守将，询问虎牢关的情况。)</t>
    <phoneticPr fontId="6" type="noConversion"/>
  </si>
  <si>
    <t>初一</t>
    <phoneticPr fontId="6" type="noConversion"/>
  </si>
  <si>
    <t>body(   你来的时候有看到初一吗？)</t>
    <phoneticPr fontId="6" type="noConversion"/>
  </si>
  <si>
    <t>body(   乔姐姐找我吗？)</t>
    <phoneticPr fontId="6" type="noConversion"/>
  </si>
  <si>
    <t>title( [56级]马蹄莲)
body(hotyellow_3(任务进程:)newline()
   采集goto(2033,4)后，去找goto(524,4)。
blankline()hotyellow_3(任务描述:)newline() 
  我看到了好多马蹄莲。乔姐姐喜欢漂亮的花，帮我去采一点回来吧。)</t>
    <phoneticPr fontId="6" type="noConversion"/>
  </si>
  <si>
    <t>body(   我看到了好多马蹄莲。乔姐姐喜欢漂亮的花，帮我去采一点回来吧。)</t>
    <phoneticPr fontId="6" type="noConversion"/>
  </si>
  <si>
    <t>body(   这个花好漂亮啊！)</t>
    <phoneticPr fontId="6" type="noConversion"/>
  </si>
  <si>
    <t>[57级]证据</t>
    <phoneticPr fontId="6" type="noConversion"/>
  </si>
  <si>
    <t>body(   你……你怎么会有这些通信！)</t>
    <phoneticPr fontId="6" type="noConversion"/>
  </si>
  <si>
    <t>[57级]联络人</t>
    <phoneticPr fontId="6" type="noConversion"/>
  </si>
  <si>
    <t>body(   干的好！)</t>
    <phoneticPr fontId="6" type="noConversion"/>
  </si>
  <si>
    <t>[58级]凤城求助</t>
    <phoneticPr fontId="6" type="noConversion"/>
  </si>
  <si>
    <t>[58级]护送军资</t>
    <phoneticPr fontId="6" type="noConversion"/>
  </si>
  <si>
    <t>body(   一路辛苦了！)</t>
    <phoneticPr fontId="6" type="noConversion"/>
  </si>
  <si>
    <t>[59级]死灰复燃</t>
    <phoneticPr fontId="6" type="noConversion"/>
  </si>
  <si>
    <t>[59级]奇怪的山洞</t>
    <phoneticPr fontId="6" type="noConversion"/>
  </si>
  <si>
    <t>接NPC备注</t>
    <phoneticPr fontId="7" type="noConversion"/>
  </si>
  <si>
    <t>交任务NPC</t>
    <phoneticPr fontId="7" type="noConversion"/>
  </si>
  <si>
    <t>交NPC备注</t>
    <phoneticPr fontId="7" type="noConversion"/>
  </si>
  <si>
    <t>司命</t>
    <phoneticPr fontId="6" type="noConversion"/>
  </si>
  <si>
    <t>桃源仙子</t>
    <phoneticPr fontId="6" type="noConversion"/>
  </si>
  <si>
    <t>貂蝉</t>
    <phoneticPr fontId="6" type="noConversion"/>
  </si>
  <si>
    <t>踏歌</t>
    <phoneticPr fontId="6" type="noConversion"/>
  </si>
  <si>
    <t>阿狸</t>
    <phoneticPr fontId="6" type="noConversion"/>
  </si>
  <si>
    <t>阿狸</t>
    <phoneticPr fontId="14" type="noConversion"/>
  </si>
  <si>
    <t>桃源仙子</t>
    <phoneticPr fontId="14" type="noConversion"/>
  </si>
  <si>
    <t>桃源仙子</t>
    <phoneticPr fontId="6" type="noConversion"/>
  </si>
  <si>
    <t>司命</t>
    <phoneticPr fontId="6" type="noConversion"/>
  </si>
  <si>
    <t>水镜先生</t>
    <phoneticPr fontId="14" type="noConversion"/>
  </si>
  <si>
    <t>琉璃</t>
    <phoneticPr fontId="14" type="noConversion"/>
  </si>
  <si>
    <t>王飞虎</t>
    <phoneticPr fontId="14" type="noConversion"/>
  </si>
  <si>
    <t>孙香</t>
    <phoneticPr fontId="14" type="noConversion"/>
  </si>
  <si>
    <t>青青</t>
    <phoneticPr fontId="14" type="noConversion"/>
  </si>
  <si>
    <t>仓库商人</t>
    <phoneticPr fontId="6" type="noConversion"/>
  </si>
  <si>
    <t>贪狼</t>
    <phoneticPr fontId="6" type="noConversion"/>
  </si>
  <si>
    <t>孙香</t>
    <phoneticPr fontId="6" type="noConversion"/>
  </si>
  <si>
    <t>装备改造商人</t>
    <phoneticPr fontId="6" type="noConversion"/>
  </si>
  <si>
    <t>家族长老</t>
    <phoneticPr fontId="6" type="noConversion"/>
  </si>
  <si>
    <t>素素</t>
    <phoneticPr fontId="14" type="noConversion"/>
  </si>
  <si>
    <t>贪狼</t>
    <phoneticPr fontId="14" type="noConversion"/>
  </si>
  <si>
    <t>李忠</t>
    <phoneticPr fontId="14" type="noConversion"/>
  </si>
  <si>
    <t>北斗</t>
    <phoneticPr fontId="6" type="noConversion"/>
  </si>
  <si>
    <t>北斗</t>
    <phoneticPr fontId="14" type="noConversion"/>
  </si>
  <si>
    <t>驿站车夫</t>
    <phoneticPr fontId="14" type="noConversion"/>
  </si>
  <si>
    <t>华佗</t>
    <phoneticPr fontId="14" type="noConversion"/>
  </si>
  <si>
    <t>病人</t>
    <phoneticPr fontId="14" type="noConversion"/>
  </si>
  <si>
    <t>嵇康</t>
    <phoneticPr fontId="14" type="noConversion"/>
  </si>
  <si>
    <t>嵇康</t>
    <phoneticPr fontId="14" type="noConversion"/>
  </si>
  <si>
    <t>吕布阴魂</t>
    <phoneticPr fontId="14" type="noConversion"/>
  </si>
  <si>
    <t>貂蝉</t>
    <phoneticPr fontId="14" type="noConversion"/>
  </si>
  <si>
    <t>司命</t>
    <phoneticPr fontId="14" type="noConversion"/>
  </si>
  <si>
    <t>书生</t>
    <phoneticPr fontId="14" type="noConversion"/>
  </si>
  <si>
    <t>樵夫</t>
    <phoneticPr fontId="14" type="noConversion"/>
  </si>
  <si>
    <t>虎牢守将</t>
    <phoneticPr fontId="6" type="noConversion"/>
  </si>
  <si>
    <t>李夫人</t>
    <phoneticPr fontId="6" type="noConversion"/>
  </si>
  <si>
    <t>初一</t>
    <phoneticPr fontId="6" type="noConversion"/>
  </si>
  <si>
    <t>孙香</t>
    <phoneticPr fontId="6" type="noConversion"/>
  </si>
  <si>
    <t>赫肯</t>
    <phoneticPr fontId="6" type="noConversion"/>
  </si>
  <si>
    <t>波塞冬</t>
    <phoneticPr fontId="6" type="noConversion"/>
  </si>
  <si>
    <t>迈克</t>
    <phoneticPr fontId="6" type="noConversion"/>
  </si>
  <si>
    <t>艾薇儿</t>
    <phoneticPr fontId="6" type="noConversion"/>
  </si>
  <si>
    <t>罗恩</t>
    <phoneticPr fontId="6" type="noConversion"/>
  </si>
  <si>
    <t>梅丽</t>
    <phoneticPr fontId="6" type="noConversion"/>
  </si>
  <si>
    <t>辛达</t>
    <phoneticPr fontId="6" type="noConversion"/>
  </si>
  <si>
    <t>补给品商人</t>
    <phoneticPr fontId="6" type="noConversion"/>
  </si>
  <si>
    <t>防具商人</t>
    <phoneticPr fontId="6" type="noConversion"/>
  </si>
  <si>
    <t>德尔亨特</t>
    <phoneticPr fontId="6" type="noConversion"/>
  </si>
  <si>
    <t>乔伊娜</t>
    <phoneticPr fontId="6" type="noConversion"/>
  </si>
  <si>
    <t>艾尔维纳</t>
    <phoneticPr fontId="6" type="noConversion"/>
  </si>
  <si>
    <t>莱因哈克</t>
    <phoneticPr fontId="6" type="noConversion"/>
  </si>
  <si>
    <t>迈克道格</t>
    <phoneticPr fontId="6" type="noConversion"/>
  </si>
  <si>
    <t>希尔罗兰</t>
    <phoneticPr fontId="6" type="noConversion"/>
  </si>
  <si>
    <t>多尼</t>
    <phoneticPr fontId="6" type="noConversion"/>
  </si>
  <si>
    <t>鲍比</t>
    <phoneticPr fontId="6" type="noConversion"/>
  </si>
  <si>
    <t>昏迷的士兵</t>
    <phoneticPr fontId="6" type="noConversion"/>
  </si>
  <si>
    <t>马卡兰</t>
    <phoneticPr fontId="6" type="noConversion"/>
  </si>
  <si>
    <t>霍利克</t>
    <phoneticPr fontId="6" type="noConversion"/>
  </si>
  <si>
    <t>盖亚</t>
    <phoneticPr fontId="6" type="noConversion"/>
  </si>
  <si>
    <t>穆里尼</t>
    <phoneticPr fontId="6" type="noConversion"/>
  </si>
  <si>
    <t>鲍文</t>
    <phoneticPr fontId="6" type="noConversion"/>
  </si>
  <si>
    <t>鲍比</t>
    <phoneticPr fontId="6" type="noConversion"/>
  </si>
  <si>
    <t>艾伦</t>
    <phoneticPr fontId="6" type="noConversion"/>
  </si>
  <si>
    <t>仓库机器</t>
    <phoneticPr fontId="6" type="noConversion"/>
  </si>
  <si>
    <t>艾伦</t>
    <phoneticPr fontId="6" type="noConversion"/>
  </si>
  <si>
    <t>光明女祭司</t>
    <phoneticPr fontId="6" type="noConversion"/>
  </si>
  <si>
    <t>装备改造商人</t>
    <phoneticPr fontId="6" type="noConversion"/>
  </si>
  <si>
    <t>安全区复活</t>
    <phoneticPr fontId="6" type="noConversion"/>
  </si>
  <si>
    <t>杰克</t>
    <phoneticPr fontId="6" type="noConversion"/>
  </si>
  <si>
    <t>矿洞探险者</t>
    <phoneticPr fontId="6" type="noConversion"/>
  </si>
  <si>
    <t>卡尔</t>
    <phoneticPr fontId="6" type="noConversion"/>
  </si>
  <si>
    <t>卡米乔</t>
    <phoneticPr fontId="6" type="noConversion"/>
  </si>
  <si>
    <t>老泰山</t>
    <phoneticPr fontId="6" type="noConversion"/>
  </si>
  <si>
    <t>达尔文</t>
    <phoneticPr fontId="6" type="noConversion"/>
  </si>
  <si>
    <t>卡尔</t>
    <phoneticPr fontId="6" type="noConversion"/>
  </si>
  <si>
    <t>阿伦</t>
    <phoneticPr fontId="6" type="noConversion"/>
  </si>
  <si>
    <t>凯丽</t>
    <phoneticPr fontId="6" type="noConversion"/>
  </si>
  <si>
    <t>托奇</t>
    <phoneticPr fontId="6" type="noConversion"/>
  </si>
  <si>
    <t>君士坦丁</t>
    <phoneticPr fontId="6" type="noConversion"/>
  </si>
  <si>
    <t>偷砖</t>
    <phoneticPr fontId="6" type="noConversion"/>
  </si>
  <si>
    <t>神斧战将-迪特里斯</t>
    <phoneticPr fontId="6" type="noConversion"/>
  </si>
  <si>
    <t>拉奥</t>
    <phoneticPr fontId="6" type="noConversion"/>
  </si>
  <si>
    <t>神枪战将-特洛雷西</t>
    <phoneticPr fontId="6" type="noConversion"/>
  </si>
  <si>
    <t>大议长君士坦丁</t>
    <phoneticPr fontId="6" type="noConversion"/>
  </si>
  <si>
    <t>大贤者赫肯</t>
    <phoneticPr fontId="6" type="noConversion"/>
  </si>
  <si>
    <t>大丞相守卫奥瑞姆</t>
    <phoneticPr fontId="6" type="noConversion"/>
  </si>
  <si>
    <t>迪奥执法官</t>
    <phoneticPr fontId="6" type="noConversion"/>
  </si>
  <si>
    <t>佩林执法官</t>
    <phoneticPr fontId="6" type="noConversion"/>
  </si>
  <si>
    <t>佩林执法官</t>
    <phoneticPr fontId="12" type="noConversion"/>
  </si>
  <si>
    <t>洛克</t>
    <phoneticPr fontId="6" type="noConversion"/>
  </si>
  <si>
    <t>若山</t>
    <phoneticPr fontId="6" type="noConversion"/>
  </si>
  <si>
    <t>赏金猎人豪斯</t>
    <phoneticPr fontId="6" type="noConversion"/>
  </si>
  <si>
    <t>妮可</t>
    <phoneticPr fontId="6" type="noConversion"/>
  </si>
  <si>
    <t>尼古拉</t>
    <phoneticPr fontId="6" type="noConversion"/>
  </si>
  <si>
    <t>安德森</t>
    <phoneticPr fontId="6" type="noConversion"/>
  </si>
  <si>
    <t>情报部长</t>
    <phoneticPr fontId="6" type="noConversion"/>
  </si>
  <si>
    <t>神秘人米迦勒</t>
    <phoneticPr fontId="9" type="noConversion"/>
  </si>
  <si>
    <t>艾尔莎</t>
    <phoneticPr fontId="9" type="noConversion"/>
  </si>
  <si>
    <t>光明女祭司</t>
    <phoneticPr fontId="9" type="noConversion"/>
  </si>
  <si>
    <t>艾伦</t>
    <phoneticPr fontId="9" type="noConversion"/>
  </si>
  <si>
    <t>拉斐尔</t>
    <phoneticPr fontId="9" type="noConversion"/>
  </si>
  <si>
    <t>装备改造商人</t>
    <phoneticPr fontId="9" type="noConversion"/>
  </si>
  <si>
    <t>赛特</t>
    <phoneticPr fontId="6" type="noConversion"/>
  </si>
  <si>
    <t>寻找儿子的狄尔</t>
    <phoneticPr fontId="6" type="noConversion"/>
  </si>
  <si>
    <t>低矮的灌木丛</t>
    <phoneticPr fontId="6" type="noConversion"/>
  </si>
  <si>
    <t>罗斯福</t>
    <phoneticPr fontId="6" type="noConversion"/>
  </si>
  <si>
    <t>费多</t>
    <phoneticPr fontId="9" type="noConversion"/>
  </si>
  <si>
    <t>高级杂货商人</t>
    <phoneticPr fontId="6" type="noConversion"/>
  </si>
  <si>
    <t>矿洞探险者</t>
    <phoneticPr fontId="6" type="noConversion"/>
  </si>
  <si>
    <t>神秘矿洞守卫</t>
    <phoneticPr fontId="6" type="noConversion"/>
  </si>
  <si>
    <t>凤城地宫指引者</t>
    <phoneticPr fontId="6" type="noConversion"/>
  </si>
  <si>
    <t>边境防卫官</t>
    <phoneticPr fontId="6" type="noConversion"/>
  </si>
  <si>
    <t>战争部长</t>
    <phoneticPr fontId="6" type="noConversion"/>
  </si>
  <si>
    <t>坐骑商人</t>
    <phoneticPr fontId="6" type="noConversion"/>
  </si>
  <si>
    <t>医生卡西</t>
    <phoneticPr fontId="6" type="noConversion"/>
  </si>
  <si>
    <t>波仕</t>
    <phoneticPr fontId="6" type="noConversion"/>
  </si>
  <si>
    <t>斩将夺关德罗尼</t>
    <phoneticPr fontId="6" type="noConversion"/>
  </si>
  <si>
    <t>钓鱼管理员</t>
    <phoneticPr fontId="6" type="noConversion"/>
  </si>
  <si>
    <t>女武神像</t>
    <phoneticPr fontId="6" type="noConversion"/>
  </si>
  <si>
    <t>亚塔尼斯</t>
    <phoneticPr fontId="6" type="noConversion"/>
  </si>
  <si>
    <t>测试奖励大使</t>
    <phoneticPr fontId="6" type="noConversion"/>
  </si>
  <si>
    <t>中秋奖励活动大使</t>
    <phoneticPr fontId="6" type="noConversion"/>
  </si>
  <si>
    <t>圣诞老人</t>
    <phoneticPr fontId="6" type="noConversion"/>
  </si>
  <si>
    <t>伊莎贝拉</t>
    <phoneticPr fontId="6" type="noConversion"/>
  </si>
  <si>
    <t>塞巴斯蒂安</t>
    <phoneticPr fontId="6" type="noConversion"/>
  </si>
  <si>
    <t>梅林</t>
    <phoneticPr fontId="6" type="noConversion"/>
  </si>
  <si>
    <t>丘比特</t>
    <phoneticPr fontId="6" type="noConversion"/>
  </si>
  <si>
    <t>维纳斯</t>
    <phoneticPr fontId="6" type="noConversion"/>
  </si>
  <si>
    <t>埃尔加</t>
    <phoneticPr fontId="6" type="noConversion"/>
  </si>
  <si>
    <t>爱丽丝</t>
    <phoneticPr fontId="6" type="noConversion"/>
  </si>
  <si>
    <t>宠物商人</t>
    <phoneticPr fontId="6" type="noConversion"/>
  </si>
  <si>
    <t>水芊</t>
    <phoneticPr fontId="6" type="noConversion"/>
  </si>
  <si>
    <t>火烨</t>
    <phoneticPr fontId="6" type="noConversion"/>
  </si>
  <si>
    <t>沙狂</t>
    <phoneticPr fontId="6" type="noConversion"/>
  </si>
  <si>
    <t>天魔</t>
    <phoneticPr fontId="6" type="noConversion"/>
  </si>
  <si>
    <t>花魇</t>
    <phoneticPr fontId="6" type="noConversion"/>
  </si>
  <si>
    <t>风蜻</t>
    <phoneticPr fontId="6" type="noConversion"/>
  </si>
  <si>
    <t>迷失的狼帝</t>
    <phoneticPr fontId="6" type="noConversion"/>
  </si>
  <si>
    <t>狼帝之王</t>
    <phoneticPr fontId="6" type="noConversion"/>
  </si>
  <si>
    <t>达芬奇</t>
    <phoneticPr fontId="6" type="noConversion"/>
  </si>
  <si>
    <t>仓库机器</t>
    <phoneticPr fontId="6" type="noConversion"/>
  </si>
  <si>
    <t>不死老兵</t>
    <phoneticPr fontId="6" type="noConversion"/>
  </si>
  <si>
    <t>诺奇</t>
    <phoneticPr fontId="6" type="noConversion"/>
  </si>
  <si>
    <t>赏金猎人雷伊</t>
    <phoneticPr fontId="6" type="noConversion"/>
  </si>
  <si>
    <t>指挥官拉奥</t>
    <phoneticPr fontId="6" type="noConversion"/>
  </si>
  <si>
    <t>典狱长威格尔</t>
    <phoneticPr fontId="6" type="noConversion"/>
  </si>
  <si>
    <t>退役佣兵尤利娅</t>
    <phoneticPr fontId="6" type="noConversion"/>
  </si>
  <si>
    <t>狙击手托奇</t>
    <phoneticPr fontId="6" type="noConversion"/>
  </si>
  <si>
    <t>团科技官</t>
    <phoneticPr fontId="6" type="noConversion"/>
  </si>
  <si>
    <t>团指挥官</t>
    <phoneticPr fontId="6" type="noConversion"/>
  </si>
  <si>
    <t>克鲁尼</t>
    <phoneticPr fontId="6" type="noConversion"/>
  </si>
  <si>
    <t>莎士比亚</t>
    <phoneticPr fontId="6" type="noConversion"/>
  </si>
  <si>
    <t>塔布里斯</t>
    <phoneticPr fontId="6" type="noConversion"/>
  </si>
  <si>
    <t>劳伦斯</t>
    <phoneticPr fontId="6" type="noConversion"/>
  </si>
  <si>
    <t>安妮</t>
    <phoneticPr fontId="6" type="noConversion"/>
  </si>
  <si>
    <t>茉瑞莎</t>
    <phoneticPr fontId="6" type="noConversion"/>
  </si>
  <si>
    <t>大卫</t>
    <phoneticPr fontId="6" type="noConversion"/>
  </si>
  <si>
    <t>织女</t>
    <phoneticPr fontId="6" type="noConversion"/>
  </si>
  <si>
    <t>先锋官</t>
    <phoneticPr fontId="6" type="noConversion"/>
  </si>
  <si>
    <t>巡逻马车</t>
    <phoneticPr fontId="6" type="noConversion"/>
  </si>
  <si>
    <t>阿尔萨鲁</t>
    <phoneticPr fontId="6" type="noConversion"/>
  </si>
  <si>
    <t>莉安珑</t>
    <phoneticPr fontId="6" type="noConversion"/>
  </si>
  <si>
    <t>奥塔维亚</t>
    <phoneticPr fontId="6" type="noConversion"/>
  </si>
  <si>
    <t>奥加姆</t>
    <phoneticPr fontId="6" type="noConversion"/>
  </si>
  <si>
    <t>苏伊露</t>
    <phoneticPr fontId="6" type="noConversion"/>
  </si>
  <si>
    <t>艾玻娜</t>
    <phoneticPr fontId="6" type="noConversion"/>
  </si>
  <si>
    <t>德鲁克</t>
    <phoneticPr fontId="6" type="noConversion"/>
  </si>
  <si>
    <t>阿隆</t>
    <phoneticPr fontId="6" type="noConversion"/>
  </si>
  <si>
    <t>塔列辛</t>
    <phoneticPr fontId="6" type="noConversion"/>
  </si>
  <si>
    <t>罗密欧</t>
    <phoneticPr fontId="6" type="noConversion"/>
  </si>
  <si>
    <t>吴刚</t>
    <phoneticPr fontId="6" type="noConversion"/>
  </si>
  <si>
    <t>亡灵骑士</t>
    <phoneticPr fontId="6" type="noConversion"/>
  </si>
  <si>
    <t>最低等级</t>
    <phoneticPr fontId="7" type="noConversion"/>
  </si>
  <si>
    <t>完成后自动打开交任务NPC的对话框</t>
  </si>
  <si>
    <t>1表示自动打开；0表示不自动打开</t>
    <phoneticPr fontId="6" type="noConversion"/>
  </si>
  <si>
    <t>司空镜</t>
  </si>
  <si>
    <t>赵无瑕</t>
  </si>
  <si>
    <t>杜康</t>
  </si>
  <si>
    <t>钱多多</t>
  </si>
  <si>
    <t>补全等级</t>
    <phoneticPr fontId="6" type="noConversion"/>
  </si>
  <si>
    <t>补全等级</t>
    <phoneticPr fontId="6" type="noConversion"/>
  </si>
  <si>
    <t>任务完成后，经验自动补全到指定等级</t>
    <phoneticPr fontId="6" type="noConversion"/>
  </si>
  <si>
    <t>小乔</t>
  </si>
  <si>
    <t>周瑜</t>
  </si>
  <si>
    <t>墨缺</t>
  </si>
  <si>
    <t>title( [27级]碎纸片)
body(hotyellow_3(任务进程:)newline()
   收集去找goto(2013,2)，回复goto(510,2)。
blankline()hotyellow_3(任务描述:)newline() 
   昨天有人见到一个奇怪装扮的人出现在河边，我怀疑是敌国的奸细。你去探查下有什么线索。)</t>
    <phoneticPr fontId="6" type="noConversion"/>
  </si>
  <si>
    <t>title( [28级]密信)
body(hotyellow_3(任务进程:)newline()
   去找goto(503,2)。
blankline()hotyellow_3(任务描述:)newline() 
  这些碎纸片拼起来，居然是一封信。里面的内容非常机密，请报告孙香大人。)</t>
    <phoneticPr fontId="6" type="noConversion"/>
  </si>
  <si>
    <t>title( [40级]一问)
body(hotyellow_3(任务进程:)newline()
   去找goto(512,6)。
blankline()hotyellow_3(任务描述:)newline() 
  听说嵇康才华横溢，我有几句诗，不知他能否帮我写出下句。)</t>
    <phoneticPr fontId="6" type="noConversion"/>
  </si>
  <si>
    <t>body(    听说嵇康才华横溢，我有几句诗，不知他能否帮我写出下句。)</t>
    <phoneticPr fontId="6" type="noConversion"/>
  </si>
  <si>
    <t>body(   此诗甚秒。)</t>
    <phoneticPr fontId="6" type="noConversion"/>
  </si>
  <si>
    <t>body(   勉强工整。)</t>
    <phoneticPr fontId="6" type="noConversion"/>
  </si>
  <si>
    <t>&lt;p&gt;
&lt;n&gt;  对&lt;/n&gt;
 &lt;n&gt; &lt;/n&gt;&lt;goto quick="1" id="512" mapid="6" flagpoint="1" taskid="6215" /&gt;&lt;n&gt;的诗句&lt;/n&gt;
&lt;/p&gt;</t>
    <phoneticPr fontId="6" type="noConversion"/>
  </si>
  <si>
    <t>&lt;p&gt;
&lt;n&gt;  查看&lt;/n&gt;
 &lt;n&gt; &lt;/n&gt;&lt;goto quick="1" id="2029" mapid="1" flagpoint="1" taskid="6247" /&gt;
&lt;/p&gt;</t>
    <phoneticPr fontId="6" type="noConversion"/>
  </si>
  <si>
    <t>&lt;p&gt;
&lt;n&gt;  去夷陵找&lt;/n&gt;
 &lt;n&gt; &lt;/n&gt;&lt;goto quick="1" id="511" mapid="6" flagpoint="1" taskid="6151" /&gt;
&lt;/p&gt;</t>
    <phoneticPr fontId="6" type="noConversion"/>
  </si>
  <si>
    <t>人物等级</t>
    <phoneticPr fontId="6" type="noConversion"/>
  </si>
  <si>
    <t>升级经验</t>
    <phoneticPr fontId="6" type="noConversion"/>
  </si>
  <si>
    <t>剧情任务</t>
    <phoneticPr fontId="14" type="noConversion"/>
  </si>
  <si>
    <t>剧情任务占比</t>
    <phoneticPr fontId="14" type="noConversion"/>
  </si>
  <si>
    <t>任务经验</t>
  </si>
  <si>
    <t>任务经验</t>
    <phoneticPr fontId="14" type="noConversion"/>
  </si>
  <si>
    <t>{{14100,3,1,0,"1-1,4-1"},{14100,3,1,0,"1-1,4-1"},{14100,3,1,0,"1-1,4-1"},{14100,3,1,0,"1-1,4-1"},{14100,3,1,0,"1-1,4-1"}}</t>
    <phoneticPr fontId="6" type="noConversion"/>
  </si>
  <si>
    <t>&lt;p&gt;
&lt;n&gt;  回复： &lt;/n&gt;
 &lt;n&gt; &lt;/n&gt;&lt;dialog taskid="3831" text="打开坐骑界面" hotkeyid="44" /&gt;&lt;n&gt;使用坐骑到&lt;/n&gt;&lt;goto quick="1" id="60015" mapid="2" flagpoint="1" taskid="3241" /&gt;
&lt;newline/&gt;
&lt;n&gt;  通过传送NPC多尼跳转地图&lt;/n&gt;
&lt;/p&gt;</t>
    <phoneticPr fontId="6" type="noConversion"/>
  </si>
  <si>
    <t>使用快捷键T可以召唤坐骑</t>
    <phoneticPr fontId="6" type="noConversion"/>
  </si>
  <si>
    <t>{{27108,0,20,0,"1-1"}}</t>
    <phoneticPr fontId="6" type="noConversion"/>
  </si>
  <si>
    <t>body(   他真是我见过最风流倜傥的男子。可是他都不肯跟我多说一句话？呜呜呜呜)</t>
    <phoneticPr fontId="6" type="noConversion"/>
  </si>
  <si>
    <t>title( [26级]送行)
body(hotyellow_3(任务进程:)newline()
   弹奏goto(2012,2)后，为goto(509,2)送行。
blankline()hotyellow_3(任务描述:)newline() 
   不知道他以后是否还会记得我？我想为他弹琴送行。)</t>
    <phoneticPr fontId="6" type="noConversion"/>
  </si>
  <si>
    <t>body(   不知道他以后是否还会记得我？我想为他弹琴送行。)</t>
    <phoneticPr fontId="6" type="noConversion"/>
  </si>
  <si>
    <t>title( [30级]布阵)
body(hotyellow_3(任务进程:)newline()
   操作goto(2015,2)后，去找goto(503,2)。
blankline()hotyellow_3(任务描述:)newline() 
   有一位高人给了我一个阵法，据说把它布在城门外，可以保证凤城安全，请去完成这个阵法后，告诉孙大人。)</t>
    <phoneticPr fontId="6" type="noConversion"/>
  </si>
  <si>
    <t>title( [51级]过去的记忆)
body(hotyellow_3(任务进程:)newline()
   查看goto(2029,1)后，回复goto(60200,1)。
blankline()hotyellow_3(任务描述:)newline() 
  司命大人说，他是从一群妖物手里救了我，但是我一点也不记得了。对了，我当时佩戴的玉佩我放在藏宝箱里了。)</t>
    <phoneticPr fontId="6" type="noConversion"/>
  </si>
  <si>
    <t>body(   司命大人说，他是从一群妖物手里救了我，但是我一点也不记得了。对了，我当时佩戴的玉佩我放在藏宝箱里了。)</t>
    <phoneticPr fontId="6" type="noConversion"/>
  </si>
  <si>
    <t>body(   对，就是那块玉佩。咦，上面怎么写着奇怪的字。)</t>
    <phoneticPr fontId="6" type="noConversion"/>
  </si>
  <si>
    <t>title( [52级]一切安好)
body(hotyellow_3(任务进程:)newline()
   去找goto(517,6)。
blankline()hotyellow_3(任务描述:)newline() 
  去告诉姐姐，我现在一切都好。)</t>
    <phoneticPr fontId="6" type="noConversion"/>
  </si>
  <si>
    <t>body(     5年前，我带着妹妹和家仆来夷陵游玩，遇到了强盗。家仆为了保护我和妹妹被那些强盗杀了。父亲带人赶到的时候，那群人却抓走了妹妹消失了。)</t>
    <phoneticPr fontId="6" type="noConversion"/>
  </si>
  <si>
    <t>body(   你还记得你操作的那个机关了？你碰触了山源之心。不过，山源之心为什么会在夷陵？)</t>
    <phoneticPr fontId="6" type="noConversion"/>
  </si>
  <si>
    <t>赵云</t>
  </si>
  <si>
    <t>{{19100,0,1,1,"1-1,4-1"}}</t>
    <phoneticPr fontId="7" type="noConversion"/>
  </si>
  <si>
    <t>甄姬</t>
  </si>
  <si>
    <t>title(（21级）装备升星)
body(hotyellow_3(任务进程:)newline()
   将一件装备升级到1星。
blankline()hotyellow_3(任务描述:)newline()   您可以在我这里进行提升武器基础属性的升星操作！使用绑银或者银子支付费用都是可以的。player()，虽然你是第一次来我这儿，但该付的钱你一分也别想少！)</t>
    <phoneticPr fontId="6" type="noConversion"/>
  </si>
  <si>
    <t>title([22级]升星)
body(hotyellow_3(任务进程:)newline()
   将一件装备升级到1星。
blankline()hotyellow_3(任务描述:)newline()   您可以在我这里进行提升武器基础属性的升星操作！使用绑银或者银子支付费用都是可以的。player()，虽然你是第一次来我这儿，但该付的钱你一分也别想少！)</t>
    <phoneticPr fontId="6" type="noConversion"/>
  </si>
  <si>
    <t>&lt;p&gt;
&lt;n&gt;  击杀&lt;/n&gt;
 &lt;n&gt; &lt;/n&gt;&lt;goto quick="1" id="10007" mapid="6" flagpoint="1" taskid="6201" /&gt;
&lt;/p&gt;</t>
    <phoneticPr fontId="6" type="noConversion"/>
  </si>
  <si>
    <t>title( [38级]病症)
body(hotyellow_3(任务进程:)newline()
   去找goto(513,6)。
blankline()hotyellow_3(任务描述:)newline() 
  本来我今天打算辞行的。但是，一想到回家后，要面对妻子的念叨，我整个人就发冷。)</t>
    <phoneticPr fontId="6" type="noConversion"/>
  </si>
  <si>
    <t>曹丕</t>
  </si>
  <si>
    <t>水镜先生</t>
    <phoneticPr fontId="6" type="noConversion"/>
  </si>
  <si>
    <t>&lt;p&gt;
&lt;n&gt;  去找&lt;/n&gt;
 &lt;n&gt; &lt;/n&gt;&lt;goto quick="1" id="121" mapid="1" flagpoint="1" taskid="6021" /&gt;
&lt;/p&gt;</t>
    <phoneticPr fontId="6" type="noConversion"/>
  </si>
  <si>
    <t>title( [48级]砍柴)
body(hotyellow_3(任务进程:)newline()
   砍伐goto(2027,6)后，回复goto(520,6)。
blankline()hotyellow_3(任务描述:)newline() 
   我还有很多柴需要砍。年轻人，给我去砍下。)</t>
    <phoneticPr fontId="6" type="noConversion"/>
  </si>
  <si>
    <t>title( [51级]失踪)
body(hotyellow_3(任务进程:)newline()
   查看goto(2028,6)后，回复goto(517,6)。
blankline()hotyellow_3(任务描述:)newline() 
  5年前，我带着妹妹和家仆来夷陵游玩，遇到了强盗。家仆为了保护我和妹妹被那些强盗杀了。父亲带人赶到的时候，那群人却抓走了妹妹消失了。)</t>
    <phoneticPr fontId="6" type="noConversion"/>
  </si>
  <si>
    <t>传送仙子</t>
    <phoneticPr fontId="6" type="noConversion"/>
  </si>
  <si>
    <t>大乔</t>
  </si>
  <si>
    <t>孙策</t>
  </si>
  <si>
    <t>body(   护送军资去找虎牢孙策。)</t>
  </si>
  <si>
    <t>太史慈</t>
  </si>
  <si>
    <t>&lt;p&gt;
&lt;n&gt;  找到&lt;/n&gt;
 &lt;n&gt; &lt;/n&gt;&lt;goto quick="1" id="2001" mapid="1" flagpoint="1" taskid="6008" /&gt;
&lt;/p&gt;</t>
    <phoneticPr fontId="6" type="noConversion"/>
  </si>
  <si>
    <t>title( [10级]入世)
body(hotyellow_3(任务进程:)newline()
   去找goto(121,1)。
blankline()hotyellow_3(任务描述:)newline() 
   凤城外，居住着隐士——水镜先生。 对于目前天下大势，他有一番独到的见解，你可以去问问他。你先去找玄女，让她带你去凤城吧。)</t>
    <phoneticPr fontId="6" type="noConversion"/>
  </si>
  <si>
    <t>body(   凤城外，居住着隐士——水镜先生。 对于目前天下大势，他有一番独到的见解，你可以去问问他。你先去找玄女，让她带你去凤城吧。)</t>
    <phoneticPr fontId="6" type="noConversion"/>
  </si>
  <si>
    <t>body(   很乐意为您服务。)</t>
    <phoneticPr fontId="6" type="noConversion"/>
  </si>
  <si>
    <t>&lt;p&gt;
 &lt;n&gt;拜访：凤城的&lt;/n&gt;&lt;goto quick="1" id="505" mapid="2" flagpoint="1" taskid="6022" /&gt;
&lt;/p&gt;</t>
    <phoneticPr fontId="6" type="noConversion"/>
  </si>
  <si>
    <t>body(    欢迎来到凤城。您可以在四处逛逛。如果您想寻访凤城的武器大师，可以去问青青。不过，你要送一些小礼物给她哦。)</t>
    <phoneticPr fontId="6" type="noConversion"/>
  </si>
  <si>
    <t>"36023-0-3"</t>
    <phoneticPr fontId="6" type="noConversion"/>
  </si>
  <si>
    <t>"36004-0-2"</t>
    <phoneticPr fontId="6" type="noConversion"/>
  </si>
  <si>
    <t>"36008-0-3"</t>
    <phoneticPr fontId="6" type="noConversion"/>
  </si>
  <si>
    <t>body(   这么美的琴声，一定是位秀外慧中的姑娘弹奏的。)</t>
    <phoneticPr fontId="6" type="noConversion"/>
  </si>
  <si>
    <t>title( [26级]奇怪的现象)
body(hotyellow_3(任务进程:)newline()
   去找goto(506,2)。
blankline()hotyellow_3(任务描述:)newline() 
   我在凤城遇到一个人，博古通今，才华横溢。把这里出现的奇怪的现象告诉他，也许他会有一番见解。)</t>
    <phoneticPr fontId="6" type="noConversion"/>
  </si>
  <si>
    <t>body(    我在凤城遇到一个人，博古通今，才华横溢。把这里出现的奇怪的现象告诉他，也许他会有一番见解。)</t>
    <phoneticPr fontId="6" type="noConversion"/>
  </si>
  <si>
    <t>title( [36级]怨憎会苦 )
body(hotyellow_3(任务进程:)newline()
   去找goto(516,6)。
blankline()hotyellow_3(任务描述:)newline() 
  我的夫君年少风流，喜好美色，留恋勾栏。每当我稍加劝阻，他就恶语讥讽。如今他已离家月余，不知何时回来。)</t>
    <phoneticPr fontId="6" type="noConversion"/>
  </si>
  <si>
    <t>body(      我的夫君年少风流，喜好美色，留恋勾栏。每当我稍加劝阻，他就恶语讥讽。如今他已离家月余，不知何时回来。)</t>
    <phoneticPr fontId="6" type="noConversion"/>
  </si>
  <si>
    <t>body(  混蛋！早知如此！早知如此……我当年就该阻止甄姬嫁给他。)</t>
    <phoneticPr fontId="6" type="noConversion"/>
  </si>
  <si>
    <t>body(   帮我送琼露给甄姬，它是养生的妙药。)</t>
    <phoneticPr fontId="6" type="noConversion"/>
  </si>
  <si>
    <t>body(   子恒总是这么善解人意。)</t>
    <phoneticPr fontId="6" type="noConversion"/>
  </si>
  <si>
    <t>body(   嵇康目前正在夷陵，你可以去拜访他。他可是真正的名士风流。)</t>
    <phoneticPr fontId="6" type="noConversion"/>
  </si>
  <si>
    <t>body(   凡人的命运其实可以改变。不过需要一些媒介。不过，更改后，结果如何，我也无法保证。)</t>
    <phoneticPr fontId="6" type="noConversion"/>
  </si>
  <si>
    <t>title( [40级]改命)
body(hotyellow_3(任务进程:)newline()
   去找goto(516,6)。
blankline()hotyellow_3(任务描述:)newline() 
  凡人的命运其实可以改变。不过需要一些媒介。不过，更改后，结果如何，我也无法保证。)</t>
    <phoneticPr fontId="6" type="noConversion"/>
  </si>
  <si>
    <t>body(  改命？我希望的是能时光回溯啊……)</t>
    <phoneticPr fontId="6" type="noConversion"/>
  </si>
  <si>
    <t>body(     我感觉到有人一直在等我。但是，我记得很多事情了，就好像是灵魂分裂的感觉。)</t>
    <phoneticPr fontId="6" type="noConversion"/>
  </si>
  <si>
    <t>[49级]僵尸</t>
    <phoneticPr fontId="6" type="noConversion"/>
  </si>
  <si>
    <t>title( [49级]僵尸)
body(hotyellow_3(任务进程:)newline()
   击杀goto(10501,2)后，去找goto(501,2)。
blankline()hotyellow_3(任务描述:)newline() 
  当年我为了钻研生之道，把修道之人炼化成僵尸，铸成大错啊。)</t>
    <phoneticPr fontId="6" type="noConversion"/>
  </si>
  <si>
    <t>body(   当年我为了钻研生之道，把修道之人炼化成僵尸，铸成大错啊。)</t>
    <phoneticPr fontId="6" type="noConversion"/>
  </si>
  <si>
    <t>"36018-0-5"</t>
    <phoneticPr fontId="6" type="noConversion"/>
  </si>
  <si>
    <t>title( [56级]江东小霸王)
body(hotyellow_3(任务进程:)newline()
   去找goto(525,4)。
blankline()hotyellow_3(任务描述:)newline() 
  大乔姐姐一直在找孙策，我在放牧的时候看了一个人，看起来像他。)</t>
    <phoneticPr fontId="6" type="noConversion"/>
  </si>
  <si>
    <t>body(  大乔姐姐一直在找孙策，我在放牧的时候看了一个人，看起来像他。)</t>
    <phoneticPr fontId="6" type="noConversion"/>
  </si>
  <si>
    <t>body(  没有建功立业，无颜面对乔妹啊。)</t>
    <phoneticPr fontId="6" type="noConversion"/>
  </si>
  <si>
    <t>太史慈</t>
    <phoneticPr fontId="6" type="noConversion"/>
  </si>
  <si>
    <t>body(   真是美味啊！)</t>
    <phoneticPr fontId="6" type="noConversion"/>
  </si>
  <si>
    <t>body(     子义与那群怪物打了很久了，恐怕体力不支。我在河畔看到几枚圣果hot(龙果)，可以激发人的潜力。)</t>
    <phoneticPr fontId="6" type="noConversion"/>
  </si>
  <si>
    <t>"36021-0-6"</t>
    <phoneticPr fontId="6" type="noConversion"/>
  </si>
  <si>
    <t>"36022-0-3"</t>
    <phoneticPr fontId="6" type="noConversion"/>
  </si>
  <si>
    <t>title( [57级]证据)
body(hotyellow_3(任务进程:)newline()
   收集goto(2035,4)后，去找goto(528,4)。
blankline()hotyellow_3(任务描述:)newline() 
  我们的行踪被泄露了。现在被围困在了这里。那个囚禁的士兵就是奸细。请去搜集他通敌的罪证吧。)</t>
    <phoneticPr fontId="6" type="noConversion"/>
  </si>
  <si>
    <t>body(   我们的行踪被泄露了。现在被围困在了这里。那个囚禁的士兵就是奸细。请去搜集他通敌的罪证吧。)</t>
    <phoneticPr fontId="6" type="noConversion"/>
  </si>
  <si>
    <t>title( [57级]联络人)
body(hotyellow_3(任务进程:)newline()
   去找goto(529,4)。
blankline()hotyellow_3(任务描述:)newline() 
  我……我也没见过那个联络人的真面目。每次他都是蒙面跟我见面的。)</t>
    <phoneticPr fontId="6" type="noConversion"/>
  </si>
  <si>
    <t>body(   我……我也没见过那个联络人的真面目。每次他都是蒙面跟我见面的。)</t>
    <phoneticPr fontId="6" type="noConversion"/>
  </si>
  <si>
    <t>[57级]内应</t>
    <phoneticPr fontId="6" type="noConversion"/>
  </si>
  <si>
    <t>body(   你既然有他的信，相信也是自己人。此行，一定要杀掉孙策。)</t>
    <phoneticPr fontId="6" type="noConversion"/>
  </si>
  <si>
    <t>body(   他说，不认识我？！不要以为你蒙着脸我就不知道你是谁！)</t>
    <phoneticPr fontId="6" type="noConversion"/>
  </si>
  <si>
    <t>[58级]策反</t>
    <phoneticPr fontId="6" type="noConversion"/>
  </si>
  <si>
    <t>body( 去告诉孙策大人，有人想要杀他，小心。那个人就是……！不……我不能说……)</t>
    <phoneticPr fontId="6" type="noConversion"/>
  </si>
  <si>
    <t>body(  哼，我若怕你，非孙伯符也。)</t>
    <phoneticPr fontId="6" type="noConversion"/>
  </si>
  <si>
    <t>[58级]埋伏的敌人</t>
    <phoneticPr fontId="6" type="noConversion"/>
  </si>
  <si>
    <t>title( [58级]埋伏的士兵)
body(hotyellow_3(任务进程:)newline()
   击杀goto(10014,4)后，去找goto(525,4)。
blankline()hotyellow_3(任务描述:)newline() 
  哼，就算埋伏在周围又如何，区区几个人，恐怕还拿不下我孙伯符的人头。)</t>
    <phoneticPr fontId="6" type="noConversion"/>
  </si>
  <si>
    <t>body(   哼，就算埋伏在周围又如何，区区几个人，恐怕还拿不下我孙伯符的人头。)</t>
    <phoneticPr fontId="6" type="noConversion"/>
  </si>
  <si>
    <t>title( [58级]凤城求助)
body(hotyellow_3(任务进程:)newline()
   去找goto(503,2)。
blankline()hotyellow_3(任务描述:)newline() 
  虎牢目前出现出现的奇怪的情况，很多人得了奇怪的病。现在急缺药材，请向凤城求助。)</t>
    <phoneticPr fontId="6" type="noConversion"/>
  </si>
  <si>
    <t>body(  虎牢目前出现出现的奇怪的情况，很多人得了奇怪的病。现在急缺药材，请向凤城求助。)</t>
    <phoneticPr fontId="6" type="noConversion"/>
  </si>
  <si>
    <t>body(   多事之秋啊！)</t>
    <phoneticPr fontId="6" type="noConversion"/>
  </si>
  <si>
    <t>title( [58级]护送军资)
body(hotyellow_3(任务进程:)newline()
   护送药材，去找goto(525,4)。
blankline()hotyellow_3(任务描述:)newline() 
  护送药材去找虎牢孙策。)</t>
    <phoneticPr fontId="6" type="noConversion"/>
  </si>
  <si>
    <t>title( [59级]死灰复燃)
body(hotyellow_3(任务进程:)newline()
   击杀goto(10014,4)后，回复goto(527,4)。
blankline()hotyellow_3(任务描述:)newline() 
  那些人好像杀不死的样子，太可怕了。)</t>
    <phoneticPr fontId="6" type="noConversion"/>
  </si>
  <si>
    <t>body(     那些人好像杀不死的样子，太可怕了。)</t>
    <phoneticPr fontId="6" type="noConversion"/>
  </si>
  <si>
    <t>body(   难道这些都是僵尸吗？)</t>
    <phoneticPr fontId="6" type="noConversion"/>
  </si>
  <si>
    <t>title( [59级]奇怪的山洞)
body(hotyellow_3(任务进程:)newline()
   查看goto(2036,4)后，回复goto(527,4)。
blankline()hotyellow_3(任务描述:)newline() 
  我看到一个奇怪的山洞，路过那边觉得一阵晕眩。我怀疑这些僵尸都是从那个山洞里出来的。)</t>
    <phoneticPr fontId="6" type="noConversion"/>
  </si>
  <si>
    <t>body(    我看到一个奇怪的山洞，路过那边觉得一阵晕眩。我怀疑这些僵尸都是从那个山洞里出来的。)</t>
    <phoneticPr fontId="6" type="noConversion"/>
  </si>
  <si>
    <t>body(   那个山洞都是骸骨？！！)</t>
    <phoneticPr fontId="6" type="noConversion"/>
  </si>
  <si>
    <t>&lt;p&gt;
&lt;n&gt;  击杀&lt;/n&gt;
 &lt;n&gt; &lt;/n&gt;&lt;goto quick="1" id="10501" mapid="2" flagpoint="1" taskid="6241" /&gt;
&lt;/p&gt;</t>
    <phoneticPr fontId="6" type="noConversion"/>
  </si>
  <si>
    <t>[53级]山摇地动</t>
    <phoneticPr fontId="6" type="noConversion"/>
  </si>
  <si>
    <t>body(   你是谁？他怎么没有来？)</t>
    <phoneticPr fontId="6" type="noConversion"/>
  </si>
  <si>
    <t>body(   呵呵，甚好，甚好。)</t>
    <phoneticPr fontId="6" type="noConversion"/>
  </si>
  <si>
    <t>[1级]召唤</t>
    <phoneticPr fontId="6" type="noConversion"/>
  </si>
  <si>
    <t>[1级]神兵</t>
    <phoneticPr fontId="6" type="noConversion"/>
  </si>
  <si>
    <t>[2级]兵威</t>
    <phoneticPr fontId="6" type="noConversion"/>
  </si>
  <si>
    <t>title( [10级]坐骑)
body(hotyellow_3(任务进程:)newline()
   hot(   骑乘)坐骑，完成后去找goto(60046,1)。
blankline()hotyellow_3(任务描述:)newline()  
   按hot("T"键)可以快速骑乘坐骑。坐骑在背包内，需要点击使用。)</t>
    <phoneticPr fontId="6" type="noConversion"/>
  </si>
  <si>
    <t>title( [31级]磨刀石)
body(hotyellow_3(任务进程:)newline()
   操作goto(2016,2)后，回复goto(113,2)。
blankline()hotyellow_3(任务描述:)newline() 
   凤城外有一处炼丹炉，那里却又一块很不错的磨刀石。但是却被拿到垫桌脚，实在是暴殄天物啊。去试试那个磨刀石如何？)</t>
  </si>
  <si>
    <t>body(    凤城外有一处炼丹炉，那里却又一块很不错的磨刀石。但是却被拿到垫桌脚，实在是暴殄天物啊。去试试那个磨刀石如何？)</t>
  </si>
  <si>
    <t>计算外任务</t>
    <phoneticPr fontId="14" type="noConversion"/>
  </si>
  <si>
    <t>&lt;p&gt;
&lt;n&gt;  交：&lt;/n&gt;
 &lt;n&gt; &lt;/n&gt;&lt;goto quick="1" id="60045" mapid="1" flagpoint="1" taskid="6001"/&gt;
&lt;/p&gt;</t>
  </si>
  <si>
    <t>&lt;p&gt;
&lt;n&gt;  交：&lt;/n&gt;
 &lt;n&gt; &lt;/n&gt;&lt;goto quick="1" id="60200" mapid="1" flagpoint="1" taskid="6008"/&gt;&lt;/p&gt;</t>
  </si>
  <si>
    <t>&lt;p&gt;
&lt;n&gt;  交：&lt;/n&gt;
 &lt;n&gt; &lt;/n&gt;&lt;goto quick="1" id="60031" mapid="1" flagpoint="1" taskid="6010"/&gt;&lt;/p&gt;</t>
  </si>
  <si>
    <t>&lt;p&gt;
&lt;n&gt;  交：&lt;/n&gt;
 &lt;n&gt; &lt;/n&gt;&lt;goto quick="1" id="60031" mapid="1" flagpoint="1" taskid="6011"/&gt;&lt;/p&gt;</t>
  </si>
  <si>
    <t>&lt;p&gt;
&lt;n&gt;  交：&lt;/n&gt;
 &lt;n&gt; &lt;/n&gt;&lt;goto quick="1" id="60046" mapid="1" flagpoint="1" taskid="6012"/&gt;&lt;/p&gt;</t>
  </si>
  <si>
    <t>&lt;p&gt;
&lt;n&gt;  交：&lt;/n&gt;
 &lt;n&gt; &lt;/n&gt;&lt;goto quick="1" id="60046" mapid="1" flagpoint="1" taskid="6013"/&gt;&lt;/p&gt;</t>
  </si>
  <si>
    <t>&lt;p&gt;
&lt;n&gt;  交：&lt;/n&gt;
 &lt;n&gt; &lt;/n&gt;&lt;goto quick="1" id="60007" mapid="1" flagpoint="1" taskid="6014"/&gt;&lt;/p&gt;</t>
  </si>
  <si>
    <t>&lt;p&gt;
&lt;n&gt;  交：&lt;/n&gt;
 &lt;n&gt; &lt;/n&gt;&lt;goto quick="1" id="60007" mapid="1" flagpoint="1" taskid="6015"/&gt;&lt;/p&gt;</t>
  </si>
  <si>
    <t>&lt;p&gt;
&lt;n&gt;  交：&lt;/n&gt;
 &lt;n&gt; &lt;/n&gt;&lt;goto quick="1" id="60007" mapid="1" flagpoint="1" taskid="6016"/&gt;&lt;/p&gt;</t>
  </si>
  <si>
    <t>&lt;p&gt;
&lt;n&gt;  交：&lt;/n&gt;
 &lt;n&gt; &lt;/n&gt;&lt;goto quick="1" id="60045" mapid="1" flagpoint="1" taskid="6020"/&gt;&lt;/p&gt;</t>
  </si>
  <si>
    <t>&lt;p&gt;
&lt;n&gt;  交：&lt;/n&gt;
 &lt;n&gt; &lt;/n&gt;&lt;goto quick="1" id="502" mapid="2" flagpoint="1" taskid="6102"/&gt;&lt;/p&gt;</t>
  </si>
  <si>
    <t>&lt;p&gt;
&lt;n&gt;  交：&lt;/n&gt;
 &lt;n&gt; &lt;/n&gt;&lt;goto quick="1" id="502" mapid="2" flagpoint="1" taskid="6103"/&gt;&lt;/p&gt;</t>
  </si>
  <si>
    <t>&lt;p&gt;
&lt;n&gt;  交：&lt;/n&gt;
 &lt;n&gt; &lt;/n&gt;&lt;goto quick="1" id="502" mapid="2" flagpoint="1" taskid="6104"/&gt;&lt;/p&gt;</t>
  </si>
  <si>
    <t>&lt;p&gt;
&lt;n&gt;  交：&lt;/n&gt;
 &lt;n&gt; &lt;/n&gt;&lt;goto quick="1" id="500" mapid="2" flagpoint="1" taskid="6106"/&gt;&lt;/p&gt;</t>
  </si>
  <si>
    <t>&lt;p&gt;
&lt;n&gt;  交：&lt;/n&gt;
 &lt;n&gt; &lt;/n&gt;&lt;goto quick="1" id="505" mapid="2" flagpoint="1" taskid="6107"/&gt;&lt;/p&gt;</t>
  </si>
  <si>
    <t>&lt;p&gt;
&lt;n&gt;  交：&lt;/n&gt;
 &lt;n&gt; &lt;/n&gt;&lt;goto quick="1" id="500" mapid="2" flagpoint="1" taskid="6108"/&gt;&lt;/p&gt;</t>
  </si>
  <si>
    <t>&lt;p&gt;
&lt;n&gt;  交：&lt;/n&gt;
 &lt;n&gt; &lt;/n&gt;&lt;goto quick="1" id="504" mapid="2" flagpoint="1" taskid="6110"/&gt;&lt;/p&gt;</t>
  </si>
  <si>
    <t>&lt;p&gt;
&lt;n&gt;  交：&lt;/n&gt;
 &lt;n&gt; &lt;/n&gt;&lt;goto quick="1" id="504" mapid="2" flagpoint="1" taskid="6111"/&gt;&lt;/p&gt;</t>
  </si>
  <si>
    <t>&lt;p&gt;
&lt;n&gt;  交：&lt;/n&gt;
 &lt;n&gt; &lt;/n&gt;&lt;goto quick="1" id="116" mapid="2" flagpoint="1" taskid="6114"/&gt;&lt;/p&gt;</t>
  </si>
  <si>
    <t>&lt;p&gt;
&lt;n&gt;  交：&lt;/n&gt;
 &lt;n&gt; &lt;/n&gt;&lt;goto quick="1" id="116" mapid="2" flagpoint="1" taskid="6115"/&gt;&lt;/p&gt;</t>
  </si>
  <si>
    <t>&lt;p&gt;
&lt;n&gt;  交：&lt;/n&gt;
 &lt;n&gt; &lt;/n&gt;&lt;goto quick="1" id="506" mapid="2" flagpoint="1" taskid="6116"/&gt;&lt;/p&gt;</t>
  </si>
  <si>
    <t>&lt;p&gt;
&lt;n&gt;  交：&lt;/n&gt;
 &lt;n&gt; &lt;/n&gt;&lt;goto quick="1" id="506" mapid="2" flagpoint="1" taskid="6117"/&gt;&lt;/p&gt;</t>
  </si>
  <si>
    <t>&lt;p&gt;
&lt;n&gt;  交：&lt;/n&gt;
 &lt;n&gt; &lt;/n&gt;&lt;goto quick="1" id="506" mapid="2" flagpoint="1" taskid="6118"/&gt;&lt;/p&gt;</t>
  </si>
  <si>
    <t>&lt;p&gt;
&lt;n&gt;  交：&lt;/n&gt;
 &lt;n&gt; &lt;/n&gt;&lt;goto quick="1" id="60045" mapid="1" flagpoint="1" taskid="6120"/&gt;&lt;/p&gt;</t>
  </si>
  <si>
    <t>&lt;p&gt;
&lt;n&gt;  交：&lt;/n&gt;
 &lt;n&gt; &lt;/n&gt;&lt;goto quick="1" id="503" mapid="2" flagpoint="1" taskid="6122"/&gt;&lt;/p&gt;</t>
  </si>
  <si>
    <t>&lt;p&gt;
&lt;n&gt;  交：&lt;/n&gt;
 &lt;n&gt; &lt;/n&gt;&lt;goto quick="1" id="113" mapid="2" flagpoint="1" taskid="6124"/&gt;&lt;/p&gt;</t>
  </si>
  <si>
    <t>&lt;p&gt;
&lt;n&gt;  交：&lt;/n&gt;
 &lt;n&gt; &lt;/n&gt;&lt;goto quick="1" id="122" mapid="2" flagpoint="1" taskid="6125"/&gt;&lt;/p&gt;</t>
  </si>
  <si>
    <t>&lt;p&gt;
&lt;n&gt;  交：&lt;/n&gt;
 &lt;n&gt; &lt;/n&gt;&lt;goto quick="1" id="122" mapid="2" flagpoint="1" taskid="6126"/&gt;&lt;/p&gt;</t>
  </si>
  <si>
    <t>&lt;p&gt;
&lt;n&gt;  交：&lt;/n&gt;
 &lt;n&gt; &lt;/n&gt;&lt;goto quick="1" id="508" mapid="2" flagpoint="1" taskid="6127"/&gt;&lt;/p&gt;</t>
  </si>
  <si>
    <t>&lt;p&gt;
&lt;n&gt;  交：&lt;/n&gt;
 &lt;n&gt; &lt;/n&gt;&lt;goto quick="1" id="509" mapid="2" flagpoint="1" taskid="6128"/&gt;&lt;/p&gt;</t>
  </si>
  <si>
    <t>&lt;p&gt;
&lt;n&gt;  交：&lt;/n&gt;
 &lt;n&gt; &lt;/n&gt;&lt;goto quick="1" id="509" mapid="2" flagpoint="1" taskid="6129"/&gt;&lt;/p&gt;</t>
  </si>
  <si>
    <t>&lt;p&gt;
&lt;n&gt;  交：&lt;/n&gt;
 &lt;n&gt; &lt;/n&gt;&lt;goto quick="1" id="508" mapid="2" flagpoint="1" taskid="6130"/&gt;&lt;/p&gt;</t>
  </si>
  <si>
    <t>&lt;p&gt;
&lt;n&gt;  交：&lt;/n&gt;
 &lt;n&gt; &lt;/n&gt;&lt;goto quick="1" id="509" mapid="2" flagpoint="1" taskid="6132"/&gt;&lt;/p&gt;</t>
  </si>
  <si>
    <t>&lt;p&gt;
&lt;n&gt;  交：&lt;/n&gt;
 &lt;n&gt; &lt;/n&gt;&lt;goto quick="1" id="506" mapid="2" flagpoint="1" taskid="6133"/&gt;&lt;/p&gt;</t>
  </si>
  <si>
    <t>&lt;p&gt;
&lt;n&gt;  交：&lt;/n&gt;
 &lt;n&gt; &lt;/n&gt;&lt;goto quick="1" id="503" mapid="2" flagpoint="1" taskid="6134"/&gt;&lt;/p&gt;</t>
  </si>
  <si>
    <t>&lt;p&gt;
&lt;n&gt;  交：&lt;/n&gt;
 &lt;n&gt; &lt;/n&gt;&lt;goto quick="1" id="510" mapid="2" flagpoint="1" taskid="6135"/&gt;&lt;/p&gt;</t>
  </si>
  <si>
    <t>&lt;p&gt;
&lt;n&gt;  交：&lt;/n&gt;
 &lt;n&gt; &lt;/n&gt;&lt;goto quick="1" id="510" mapid="2" flagpoint="1" taskid="6136"/&gt;&lt;/p&gt;</t>
  </si>
  <si>
    <t>&lt;p&gt;
&lt;n&gt;  交：&lt;/n&gt;
 &lt;n&gt; &lt;/n&gt;&lt;goto quick="1" id="503" mapid="2" flagpoint="1" taskid="6137"/&gt;&lt;/p&gt;</t>
  </si>
  <si>
    <t>&lt;p&gt;
&lt;n&gt;  交：&lt;/n&gt;
 &lt;n&gt; &lt;/n&gt;&lt;goto quick="1" id="510" mapid="2" flagpoint="1" taskid="6138"/&gt;&lt;/p&gt;</t>
  </si>
  <si>
    <t>&lt;p&gt;
&lt;n&gt;  交：&lt;/n&gt;
 &lt;n&gt; &lt;/n&gt;&lt;goto quick="1" id="504" mapid="2" flagpoint="1" taskid="6139"/&gt;&lt;/p&gt;</t>
  </si>
  <si>
    <t>&lt;p&gt;
&lt;n&gt;  交：&lt;/n&gt;
 &lt;n&gt; &lt;/n&gt;&lt;goto quick="1" id="510" mapid="2" flagpoint="1" taskid="6140"/&gt;&lt;/p&gt;</t>
  </si>
  <si>
    <t>&lt;p&gt;
&lt;n&gt;  交：&lt;/n&gt;
 &lt;n&gt; &lt;/n&gt;&lt;goto quick="1" id="503" mapid="2" flagpoint="1" taskid="6141"/&gt;&lt;/p&gt;</t>
  </si>
  <si>
    <t>&lt;p&gt;
&lt;n&gt;  交：&lt;/n&gt;
 &lt;n&gt; &lt;/n&gt;&lt;goto quick="1" id="113" mapid="2" flagpoint="1" taskid="6142"/&gt;&lt;/p&gt;</t>
  </si>
  <si>
    <t>&lt;p&gt;
&lt;n&gt;  交：&lt;/n&gt;
 &lt;n&gt; &lt;/n&gt;&lt;goto quick="1" id="113" mapid="2" flagpoint="1" taskid="6143"/&gt;&lt;/p&gt;</t>
  </si>
  <si>
    <t>&lt;p&gt;
&lt;n&gt;  交：&lt;/n&gt;
 &lt;n&gt; &lt;/n&gt;&lt;goto quick="1" id="501" mapid="2" flagpoint="1" taskid="6144"/&gt;&lt;/p&gt;</t>
  </si>
  <si>
    <t>&lt;p&gt;
&lt;n&gt;  交：&lt;/n&gt;
 &lt;n&gt; &lt;/n&gt;&lt;goto quick="1" id="501" mapid="2" flagpoint="1" taskid="6145"/&gt;&lt;/p&gt;</t>
  </si>
  <si>
    <t>&lt;p&gt;
&lt;n&gt;  交：&lt;/n&gt;
 &lt;n&gt; &lt;/n&gt;&lt;goto quick="1" id="503" mapid="2" flagpoint="1" taskid="6146"/&gt;&lt;/p&gt;</t>
  </si>
  <si>
    <t>&lt;p&gt;
&lt;n&gt;  交：&lt;/n&gt;
 &lt;n&gt; &lt;/n&gt;&lt;goto quick="1" id="507" mapid="2" flagpoint="1" taskid="6147"/&gt;&lt;/p&gt;</t>
  </si>
  <si>
    <t>&lt;p&gt;
&lt;n&gt;  交：&lt;/n&gt;
 &lt;n&gt; &lt;/n&gt;&lt;goto quick="1" id="507" mapid="2" flagpoint="1" taskid="6148"/&gt;&lt;/p&gt;</t>
  </si>
  <si>
    <t>&lt;p&gt;
&lt;n&gt;  交：&lt;/n&gt;
 &lt;n&gt; &lt;/n&gt;&lt;goto quick="1" id="507" mapid="2" flagpoint="1" taskid="6149"/&gt;&lt;/p&gt;</t>
  </si>
  <si>
    <t>&lt;p&gt;
&lt;n&gt;  交：&lt;/n&gt;
 &lt;n&gt; &lt;/n&gt;&lt;goto quick="1" id="503" mapid="2" flagpoint="1" taskid="6150"/&gt;&lt;/p&gt;</t>
  </si>
  <si>
    <t>&lt;p&gt;
&lt;n&gt;  交：&lt;/n&gt;
 &lt;n&gt; &lt;/n&gt;&lt;goto quick="1" id="511" mapid="6" flagpoint="1" taskid="6201"/&gt;&lt;/p&gt;</t>
  </si>
  <si>
    <t>&lt;p&gt;
&lt;n&gt;  交：&lt;/n&gt;
 &lt;n&gt; &lt;/n&gt;&lt;goto quick="1" id="516" mapid="6" flagpoint="1" taskid="6204"/&gt;&lt;/p&gt;</t>
  </si>
  <si>
    <t>&lt;p&gt;
&lt;n&gt;  交：&lt;/n&gt;
 &lt;n&gt; &lt;/n&gt;&lt;goto quick="1" id="516" mapid="6" flagpoint="1" taskid="6205"/&gt;&lt;/p&gt;</t>
  </si>
  <si>
    <t>&lt;p&gt;
&lt;n&gt;  交：&lt;/n&gt;
 &lt;n&gt; &lt;/n&gt;&lt;goto quick="1" id="511" mapid="6" flagpoint="1" taskid="6206"/&gt;&lt;/p&gt;</t>
  </si>
  <si>
    <t>&lt;p&gt;
&lt;n&gt;  交：&lt;/n&gt;
 &lt;n&gt; &lt;/n&gt;&lt;goto quick="1" id="516" mapid="6" flagpoint="1" taskid="6207"/&gt;&lt;/p&gt;</t>
  </si>
  <si>
    <t>&lt;p&gt;
&lt;n&gt;  交：&lt;/n&gt;
 &lt;n&gt; &lt;/n&gt;&lt;goto quick="1" id="513" mapid="6" flagpoint="1" taskid="6208"/&gt;&lt;/p&gt;</t>
  </si>
  <si>
    <t>&lt;p&gt;
&lt;n&gt;  交：&lt;/n&gt;
 &lt;n&gt; &lt;/n&gt;&lt;goto quick="1" id="513" mapid="6" flagpoint="1" taskid="6209"/&gt;&lt;/p&gt;</t>
  </si>
  <si>
    <t>&lt;p&gt;
&lt;n&gt;  交：&lt;/n&gt;
 &lt;n&gt; &lt;/n&gt;&lt;goto quick="1" id="518" mapid="6" flagpoint="1" taskid="6210"/&gt;&lt;/p&gt;</t>
  </si>
  <si>
    <t>&lt;p&gt;
&lt;n&gt;  交：&lt;/n&gt;
 &lt;n&gt; &lt;/n&gt;&lt;goto quick="1" id="513" mapid="6" flagpoint="1" taskid="6211"/&gt;&lt;/p&gt;</t>
  </si>
  <si>
    <t>&lt;p&gt;
&lt;n&gt;  交：&lt;/n&gt;
 &lt;n&gt; &lt;/n&gt;&lt;goto quick="1" id="512" mapid="6" flagpoint="1" taskid="6212"/&gt;&lt;/p&gt;</t>
  </si>
  <si>
    <t>&lt;p&gt;
&lt;n&gt;  交：&lt;/n&gt;
 &lt;n&gt; &lt;/n&gt;&lt;goto quick="1" id="512" mapid="6" flagpoint="1" taskid="6213"/&gt;&lt;/p&gt;</t>
  </si>
  <si>
    <t>&lt;p&gt;
&lt;n&gt;  交：&lt;/n&gt;
 &lt;n&gt; &lt;/n&gt;&lt;goto quick="1" id="514" mapid="6" flagpoint="1" taskid="6214"/&gt;&lt;/p&gt;</t>
  </si>
  <si>
    <t>&lt;p&gt;
&lt;n&gt;  交：&lt;/n&gt;
 &lt;n&gt; &lt;/n&gt;&lt;goto quick="1" id="512" mapid="6" flagpoint="1" taskid="6215"/&gt;&lt;/p&gt;</t>
  </si>
  <si>
    <t>&lt;p&gt;
&lt;n&gt;  交：&lt;/n&gt;
 &lt;n&gt; &lt;/n&gt;&lt;goto quick="1" id="514" mapid="6" flagpoint="1" taskid="6216"/&gt;&lt;/p&gt;</t>
  </si>
  <si>
    <t>&lt;p&gt;
&lt;n&gt;  交：&lt;/n&gt;
 &lt;n&gt; &lt;/n&gt;&lt;goto quick="1" id="516" mapid="6" flagpoint="1" taskid="6217"/&gt;&lt;/p&gt;</t>
  </si>
  <si>
    <t>&lt;p&gt;
&lt;n&gt;  交：&lt;/n&gt;
 &lt;n&gt; &lt;/n&gt;&lt;goto quick="1" id="514" mapid="6" flagpoint="1" taskid="6218"/&gt;&lt;/p&gt;</t>
  </si>
  <si>
    <t>&lt;p&gt;
&lt;n&gt;  交：&lt;/n&gt;
 &lt;n&gt; &lt;/n&gt;&lt;goto quick="1" id="515" mapid="6" flagpoint="1" taskid="6219"/&gt;&lt;/p&gt;</t>
  </si>
  <si>
    <t>&lt;p&gt;
&lt;n&gt;  交：&lt;/n&gt;
 &lt;n&gt; &lt;/n&gt;&lt;goto quick="1" id="515" mapid="6" flagpoint="1" taskid="6220"/&gt;&lt;/p&gt;</t>
  </si>
  <si>
    <t>&lt;p&gt;
&lt;n&gt;  交：&lt;/n&gt;
 &lt;n&gt; &lt;/n&gt;&lt;goto quick="1" id="515" mapid="6" flagpoint="1" taskid="6221"/&gt;&lt;/p&gt;</t>
  </si>
  <si>
    <t>&lt;p&gt;
&lt;n&gt;  交：&lt;/n&gt;
 &lt;n&gt; &lt;/n&gt;&lt;goto quick="1" id="514" mapid="6" flagpoint="1" taskid="6222"/&gt;&lt;/p&gt;</t>
  </si>
  <si>
    <t>&lt;p&gt;
&lt;n&gt;  交：&lt;/n&gt;
 &lt;n&gt; &lt;/n&gt;&lt;goto quick="1" id="514" mapid="6" flagpoint="1" taskid="6223"/&gt;&lt;/p&gt;</t>
  </si>
  <si>
    <t>&lt;p&gt;
&lt;n&gt;  交：&lt;/n&gt;
 &lt;n&gt; &lt;/n&gt;&lt;goto quick="1" id="515" mapid="6" flagpoint="1" taskid="6224"/&gt;&lt;/p&gt;</t>
  </si>
  <si>
    <t>&lt;p&gt;
&lt;n&gt;  交：&lt;/n&gt;
 &lt;n&gt; &lt;/n&gt;&lt;goto quick="1" id="60045" mapid="1" flagpoint="1" taskid="6226"/&gt;&lt;/p&gt;</t>
  </si>
  <si>
    <t>&lt;p&gt;
&lt;n&gt;  交：&lt;/n&gt;
 &lt;n&gt; &lt;/n&gt;&lt;goto quick="1" id="512" mapid="6" flagpoint="1" taskid="6229"/&gt;&lt;/p&gt;</t>
  </si>
  <si>
    <t>&lt;p&gt;
&lt;n&gt;  交：&lt;/n&gt;
 &lt;n&gt; &lt;/n&gt;&lt;goto quick="1" id="512" mapid="6" flagpoint="1" taskid="6230"/&gt;&lt;/p&gt;</t>
  </si>
  <si>
    <t>&lt;p&gt;
&lt;n&gt;  交：&lt;/n&gt;
 &lt;n&gt; &lt;/n&gt;&lt;goto quick="1" id="515" mapid="6" flagpoint="1" taskid="6231"/&gt;&lt;/p&gt;</t>
  </si>
  <si>
    <t>&lt;p&gt;
&lt;n&gt;  交：&lt;/n&gt;
 &lt;n&gt; &lt;/n&gt;&lt;goto quick="1" id="519" mapid="6" flagpoint="1" taskid="6234"/&gt;&lt;/p&gt;</t>
  </si>
  <si>
    <t>&lt;p&gt;
&lt;n&gt;  交：&lt;/n&gt;
 &lt;n&gt; &lt;/n&gt;&lt;goto quick="1" id="520" mapid="6" flagpoint="1" taskid="6235"/&gt;&lt;/p&gt;</t>
  </si>
  <si>
    <t>&lt;p&gt;
&lt;n&gt;  交：&lt;/n&gt;
 &lt;n&gt; &lt;/n&gt;&lt;goto quick="1" id="520" mapid="6" flagpoint="1" taskid="6236"/&gt;&lt;/p&gt;</t>
  </si>
  <si>
    <t>&lt;p&gt;
&lt;n&gt;  交：&lt;/n&gt;
 &lt;n&gt; &lt;/n&gt;&lt;goto quick="1" id="520" mapid="6" flagpoint="1" taskid="6237"/&gt;&lt;/p&gt;</t>
  </si>
  <si>
    <t>&lt;p&gt;
&lt;n&gt;  交：&lt;/n&gt;
 &lt;n&gt; &lt;/n&gt;&lt;goto quick="1" id="514" mapid="6" flagpoint="1" taskid="6238"/&gt;&lt;/p&gt;</t>
  </si>
  <si>
    <t>&lt;p&gt;
&lt;n&gt;  交：&lt;/n&gt;
 &lt;n&gt; &lt;/n&gt;&lt;goto quick="1" id="514" mapid="6" flagpoint="1" taskid="6239"/&gt;&lt;/p&gt;</t>
  </si>
  <si>
    <t>&lt;p&gt;
&lt;n&gt;  交：&lt;/n&gt;
 &lt;n&gt; &lt;/n&gt;&lt;goto quick="1" id="501" mapid="2" flagpoint="1" taskid="6241"/&gt;&lt;/p&gt;</t>
  </si>
  <si>
    <t>&lt;p&gt;
&lt;n&gt;  交：&lt;/n&gt;
 &lt;n&gt; &lt;/n&gt;&lt;goto quick="1" id="517" mapid="6" flagpoint="1" taskid="6244"/&gt;&lt;/p&gt;</t>
  </si>
  <si>
    <t>&lt;p&gt;
&lt;n&gt;  交：&lt;/n&gt;
 &lt;n&gt; &lt;/n&gt;&lt;goto quick="1" id="517" mapid="6" flagpoint="1" taskid="6245"/&gt;&lt;/p&gt;</t>
  </si>
  <si>
    <t>&lt;p&gt;
&lt;n&gt;  交：&lt;/n&gt;
 &lt;n&gt; &lt;/n&gt;&lt;goto quick="1" id="60200" mapid="1" flagpoint="1" taskid="6247"/&gt;&lt;/p&gt;</t>
  </si>
  <si>
    <t>&lt;p&gt;
&lt;n&gt;  交：&lt;/n&gt;
 &lt;n&gt; &lt;/n&gt;&lt;goto quick="1" id="521" mapid="4" flagpoint="1" taskid="6301"/&gt;&lt;/p&gt;</t>
  </si>
  <si>
    <t>&lt;p&gt;
&lt;n&gt;  交：&lt;/n&gt;
 &lt;n&gt; &lt;/n&gt;&lt;goto quick="1" id="60045" mapid="1" flagpoint="1" taskid="3001"/&gt;
&lt;/p&gt;</t>
  </si>
  <si>
    <t>&lt;p&gt;
&lt;n&gt;  交：&lt;/n&gt;
 &lt;n&gt; &lt;/n&gt;&lt;goto quick="1" id="60046" mapid="1" flagpoint="1" taskid="3011"/&gt;&lt;/p&gt;</t>
  </si>
  <si>
    <t>&lt;p&gt;
&lt;n&gt;  交：&lt;/n&gt;
 &lt;n&gt; &lt;/n&gt;&lt;goto quick="1" id="60005" mapid="1" flagpoint="1" taskid="3021"/&gt;&lt;/p&gt;</t>
  </si>
  <si>
    <t>&lt;p&gt;
&lt;n&gt;  交：&lt;/n&gt;
 &lt;n&gt; &lt;/n&gt;&lt;goto quick="1" id="60006" mapid="1" flagpoint="1" taskid="3041"/&gt;&lt;/p&gt;</t>
  </si>
  <si>
    <t xml:space="preserve"> &lt;p&gt;
&lt;n&gt;  交：&lt;/n&gt;
 &lt;n&gt; &lt;/n&gt;&lt;goto quick="1" id="60007" mapid="1" flagpoint="1" taskid="3061"/&gt;&lt;/p&gt;</t>
  </si>
  <si>
    <t>&lt;p&gt;
&lt;n&gt;  交：&lt;/n&gt;
 &lt;n&gt; &lt;/n&gt;&lt;goto quick="1" id="60006" mapid="1" flagpoint="1" taskid="3071"/&gt;&lt;/p&gt;</t>
  </si>
  <si>
    <t>&lt;p&gt;
&lt;n&gt;  交：&lt;/n&gt;
 &lt;n&gt; &lt;/n&gt;&lt;goto quick="1" id="60031" mapid="1" flagpoint="1" taskid="3072"/&gt;&lt;/p&gt;</t>
  </si>
  <si>
    <t>&lt;p&gt;
&lt;n&gt;  交：&lt;/n&gt;
 &lt;n&gt; &lt;/n&gt;&lt;goto quick="1" id="60031" mapid="1" flagpoint="1" taskid="3073"/&gt;&lt;/p&gt;</t>
  </si>
  <si>
    <t>&lt;p&gt;
&lt;n&gt;  交：&lt;/n&gt;
 &lt;n&gt; &lt;/n&gt;&lt;goto quick="1" id="60031" mapid="1" flagpoint="1" taskid="3074"/&gt;&lt;/p&gt;</t>
  </si>
  <si>
    <t>&lt;p&gt;
&lt;n&gt;  交：&lt;/n&gt;
 &lt;n&gt; &lt;/n&gt;&lt;goto quick="1" id="60006" mapid="1" flagpoint="1" taskid="3081"/&gt;&lt;/p&gt;</t>
  </si>
  <si>
    <t>&lt;p&gt;
&lt;n&gt;  交：&lt;/n&gt;
 &lt;n&gt; &lt;/n&gt;&lt;goto quick="1" id="60006" mapid="1" flagpoint="1" taskid="3091"/&gt;&lt;/p&gt;</t>
  </si>
  <si>
    <t>&lt;p&gt;
&lt;n&gt;  交：&lt;/n&gt;
 &lt;n&gt; &lt;/n&gt;&lt;goto quick="1" id="60006" mapid="1" flagpoint="1" taskid="3101"/&gt;&lt;/p&gt;</t>
  </si>
  <si>
    <t>&lt;p&gt;
&lt;n&gt;  交：&lt;/n&gt;
 &lt;n&gt; &lt;/n&gt;&lt;goto quick="1" id="60006" mapid="1" flagpoint="1" taskid="3102"/&gt;&lt;/p&gt;</t>
  </si>
  <si>
    <t>&lt;p&gt;
&lt;n&gt;  交：&lt;/n&gt;
 &lt;n&gt; &lt;/n&gt;&lt;goto quick="1" id="107" mapid="1" flagpoint="1" taskid="3111"/&gt;&lt;/p&gt;</t>
  </si>
  <si>
    <t>&lt;p&gt;
&lt;n&gt;  交：&lt;/n&gt;
 &lt;n&gt; &lt;/n&gt;&lt;goto quick="1" id="111" mapid="1" flagpoint="1" taskid="3112"/&gt;&lt;/p&gt;</t>
  </si>
  <si>
    <t>&lt;p&gt;
&lt;n&gt;  交：&lt;/n&gt;
 &lt;n&gt; &lt;/n&gt;&lt;goto quick="1" id="60006" mapid="1" flagpoint="1" taskid="3131"/&gt;&lt;/p&gt;</t>
  </si>
  <si>
    <t>&lt;p&gt;
&lt;n&gt;  交：&lt;/n&gt;
 &lt;n&gt; &lt;/n&gt;&lt;goto quick="1" id="60006" mapid="1" flagpoint="1" taskid="3132"/&gt;&lt;/p&gt;</t>
  </si>
  <si>
    <t xml:space="preserve"> &lt;p&gt;
&lt;n&gt;  交：&lt;/n&gt;
 &lt;n&gt; &lt;/n&gt;&lt;goto quick="1" id="60006" mapid="1" flagpoint="1" taskid="3141"/&gt;&lt;/p&gt;</t>
  </si>
  <si>
    <t xml:space="preserve"> &lt;p&gt;
&lt;n&gt;  交：&lt;/n&gt;
 &lt;n&gt; &lt;/n&gt;&lt;goto quick="1" id="60045" mapid="1" flagpoint="1" taskid="3151"/&gt;&lt;/p&gt;</t>
  </si>
  <si>
    <t>&lt;p&gt;
&lt;n&gt;  交：&lt;/n&gt;
 &lt;n&gt; &lt;/n&gt;&lt;goto quick="1" id="60045" mapid="1" flagpoint="1" taskid="3161"/&gt;&lt;/p&gt;</t>
  </si>
  <si>
    <t>&lt;p&gt;
&lt;n&gt;  交：&lt;/n&gt;
 &lt;n&gt; &lt;/n&gt;&lt;goto quick="1" id="121" mapid="1" flagpoint="1" taskid="3171"&lt;/n&gt;
&lt;/p&gt;</t>
  </si>
  <si>
    <t xml:space="preserve"> &lt;p&gt;
&lt;n&gt;  交：&lt;/n&gt;
&lt;n&gt; &lt;/n&gt;&lt;goto quick="1" id="60026" mapid="2" flagpoint="1" taskid="3191"/&gt;&lt;/p&gt;</t>
  </si>
  <si>
    <t xml:space="preserve"> &lt;p&gt;
&lt;n&gt;  交：&lt;/n&gt;
 &lt;n&gt; &lt;/n&gt;&lt;goto quick="1" id="60026" mapid="2" flagpoint="1" taskid="3201"/&gt;&lt;/p&gt;</t>
  </si>
  <si>
    <t>&lt;p&gt;
&lt;n&gt;  交：&lt;/n&gt;
 &lt;n&gt; &lt;/n&gt;&lt;goto quick="1" id="60015" mapid="2" flagpoint="1" taskid="3211"/&gt;&lt;/p&gt;</t>
  </si>
  <si>
    <t>&lt;p&gt;
&lt;n&gt;  交：&lt;/n&gt;
 &lt;n&gt; &lt;/n&gt;&lt;goto quick="1" id="60015" mapid="2" flagpoint="1" taskid="3212"/&gt;&lt;/p&gt;</t>
  </si>
  <si>
    <t>&lt;p&gt;
&lt;n&gt;  交：&lt;/n&gt;
 &lt;n&gt; &lt;/n&gt;&lt;goto quick="1" id="60015" mapid="2" flagpoint="1" taskid="3213"/&gt;&lt;/p&gt;</t>
  </si>
  <si>
    <t>&lt;p&gt;
&lt;n&gt;  交：&lt;/n&gt;
 &lt;n&gt; &lt;/n&gt;&lt;goto quick="1" id="60006" mapid="1" flagpoint="1" taskid="3231"/&gt;&lt;/p&gt;</t>
  </si>
  <si>
    <t>&lt;p&gt;
&lt;n&gt;  交：&lt;/n&gt;
 &lt;n&gt; &lt;/n&gt;&lt;goto quick="1" id="60006" mapid="1" flagpoint="1" taskid="3232"/&gt;&lt;/p&gt;</t>
  </si>
  <si>
    <t>&lt;p&gt;
&lt;n&gt;  交：&lt;/n&gt;
 &lt;n&gt; &lt;/n&gt;&lt;goto quick="1"  id="60006" mapid="1" flagpoint="1" taskid="3233"/&gt;&lt;/p&gt;</t>
  </si>
  <si>
    <t>&lt;p&gt;
&lt;n&gt;  交：&lt;/n&gt;
 &lt;n&gt; &lt;/n&gt;&lt;dialog taskid="3831" text="打开坐骑界面" hotkeyid="44" /&gt;&lt;n&gt;使用坐骑到&lt;/n&gt;&lt;goto quick="1" id="60015" mapid="2" flagpoint="1" taskid="3241"&lt;newline/&gt;
&lt;n&gt;  通过传送NPC多尼跳转地图&lt;/n&gt;
&lt;/p&gt;</t>
  </si>
  <si>
    <t>&lt;p&gt;
&lt;n&gt;  交：&lt;/n&gt;
 &lt;n&gt; &lt;/n&gt;&lt;goto quick="1" id="60016" mapid="2" flagpoint="1" taskid="3251"/&gt;&lt;/p&gt;</t>
  </si>
  <si>
    <t>&lt;p&gt;
&lt;n&gt;  交：&lt;/n&gt;
 &lt;n&gt; &lt;/n&gt;&lt;goto quick="1" id="60017" mapid="2" flagpoint="1" taskid="3261"/&gt;&lt;/p&gt;</t>
  </si>
  <si>
    <t>&lt;p&gt;
&lt;n&gt;  交：&lt;/n&gt;
 &lt;n&gt; &lt;/n&gt;&lt;goto quick="1" id="60017" mapid="2" flagpoint="1" taskid="3271"/&gt;&lt;/p&gt;</t>
  </si>
  <si>
    <t xml:space="preserve"> &lt;p&gt;
&lt;n&gt;  交：&lt;/n&gt;
 &lt;n&gt; &lt;/n&gt;&lt;goto quick="1" id="60017" mapid="2" flagpoint="1" taskid="3281"/&gt;&lt;/p&gt;</t>
  </si>
  <si>
    <t>&lt;p&gt;
&lt;n&gt;  交：&lt;/n&gt;
 &lt;n&gt; &lt;/n&gt;&lt;goto quick="1" id="60042" mapid="2" flagpoint="1" taskid="3291"/&gt;&lt;/p&gt;</t>
  </si>
  <si>
    <t>&lt;p&gt;
&lt;n&gt;  交：&lt;/n&gt;
 &lt;n&gt; &lt;/n&gt;&lt;goto quick="1" id="60034" mapid="2" flagpoint="1" taskid="3301"/&gt;&lt;/p&gt;</t>
  </si>
  <si>
    <t>&lt;p&gt;
&lt;n&gt;  交：&lt;/n&gt;
 &lt;n&gt; &lt;/n&gt;&lt;goto quick="1" id="60034" mapid="2" flagpoint="1" taskid="3311"/&gt;&lt;/p&gt;</t>
  </si>
  <si>
    <t xml:space="preserve"> &lt;p&gt;
&lt;n&gt;  交：&lt;/n&gt;
 &lt;n&gt; &lt;/n&gt;&lt;goto quick="1" id="60034" mapid="2" flagpoint="1" taskid="3321"/&gt;&lt;/p&gt;</t>
  </si>
  <si>
    <t>&lt;p&gt;
&lt;n&gt;  交：&lt;/n&gt;
 &lt;n&gt; &lt;/n&gt;&lt;goto quick="1" id="60035" mapid="2" flagpoint="1" taskid="3331"/&gt;&lt;/p&gt;</t>
  </si>
  <si>
    <t xml:space="preserve"> &lt;p&gt;
&lt;n&gt;  交：&lt;/n&gt;
 &lt;n&gt; &lt;/n&gt;&lt;goto quick="1" id="60035" mapid="2" flagpoint="1" taskid="3351"/&gt;&lt;/p&gt;</t>
  </si>
  <si>
    <t>&lt;p&gt;
&lt;n&gt;  交：&lt;/n&gt;
 &lt;n&gt; &lt;/n&gt;&lt;goto quick="1" id="60034" mapid="2" flagpoint="1" taskid="3361"/&gt;&lt;/p&gt;</t>
  </si>
  <si>
    <t>&lt;p&gt;
&lt;n&gt;  交：&lt;/n&gt;
 &lt;n&gt; &lt;/n&gt;&lt;goto quick="1" id="60034" mapid="2" flagpoint="1" taskid="3371"/&gt;&lt;/p&gt;</t>
  </si>
  <si>
    <t>&lt;p&gt;
&lt;n&gt;  交：&lt;/n&gt;
 &lt;n&gt; &lt;/n&gt;&lt;goto quick="1" id="60035" mapid="2" flagpoint="1" taskid="3381"/&gt;&lt;/p&gt;</t>
  </si>
  <si>
    <t xml:space="preserve"> &lt;p&gt;
&lt;n&gt;  交：&lt;/n&gt;
 &lt;n&gt; &lt;/n&gt;&lt;goto quick="1" id="60035" mapid="2" flagpoint="1" taskid="3391"/&gt;&lt;/p&gt;</t>
  </si>
  <si>
    <t>&lt;p&gt;
&lt;n&gt;  交：&lt;/n&gt;
 &lt;n&gt; &lt;/n&gt;&lt;goto quick="1" id="60042" mapid="2" flagpoint="1" taskid="3401"/&gt;&lt;/p&gt;</t>
  </si>
  <si>
    <t>&lt;p&gt;
&lt;n&gt;  交：&lt;/n&gt;
 &lt;n&gt; &lt;/n&gt;&lt;goto quick="1" id="60015" mapid="2" flagpoint="1" taskid="3411"/&gt;&lt;/p&gt;</t>
  </si>
  <si>
    <t>&lt;p&gt;
&lt;n&gt;  交：&lt;/n&gt;
 &lt;n&gt; &lt;/n&gt;&lt;goto quick="1" id="60016" mapid="2" flagpoint="1" taskid="3421"/&gt;&lt;/p&gt;</t>
  </si>
  <si>
    <t>&lt;p&gt;
&lt;n&gt;  交：&lt;/n&gt;
 &lt;n&gt; &lt;/n&gt;&lt;goto quick="1" id="60019" mapid="2" flagpoint="1" taskid="3431"/&gt;&lt;/p&gt;</t>
  </si>
  <si>
    <t>&lt;p&gt;
&lt;n&gt;  交：&lt;/n&gt;
 &lt;n&gt; &lt;/n&gt;&lt;goto quick="1" id="60019" mapid="2" flagpoint="1" taskid="3433"/&gt;&lt;/p&gt;</t>
  </si>
  <si>
    <t>&lt;p&gt;
&lt;n&gt;  交：&lt;/n&gt;
 &lt;n&gt; &lt;/n&gt;&lt;goto quick="1" id="60019" mapid="2" flagpoint="1" taskid="3434"/&gt;&lt;/p&gt;</t>
  </si>
  <si>
    <t>&lt;p&gt;
&lt;n&gt;  交：&lt;/n&gt;
 &lt;n&gt; &lt;/n&gt;&lt;goto quick="1" id="60019" mapid="2" flagpoint="1" taskid="3435"/&gt;&lt;/p&gt;</t>
  </si>
  <si>
    <t>&lt;p&gt;
&lt;n&gt;  交：&lt;/n&gt;
 &lt;n&gt; &lt;/n&gt;&lt;goto quick="1" id="60019" mapid="2" flagpoint="1" taskid="3436"/&gt;&lt;/p&gt;</t>
  </si>
  <si>
    <t>&lt;p&gt;
&lt;n&gt;  交：&lt;/n&gt;
 &lt;n&gt; &lt;/n&gt;&lt;goto quick="1" id="60019" mapid="2" flagpoint="1" taskid="3437"/&gt;&lt;/p&gt;</t>
  </si>
  <si>
    <t>&lt;p&gt;
&lt;n&gt;  交：&lt;/n&gt;
 &lt;n&gt; &lt;/n&gt;&lt;goto quick="1" id="60019" mapid="2" flagpoint="1" taskid="3441"/&gt;&lt;/p&gt;</t>
  </si>
  <si>
    <t>&lt;p&gt;
&lt;n&gt;  交：&lt;/n&gt;
 &lt;n&gt; &lt;/n&gt;&lt;goto quick="1" id="60011" mapid="2" flagpoint="1" taskid="3451"/&gt;&lt;/p&gt;</t>
  </si>
  <si>
    <t xml:space="preserve"> &lt;p&gt;
&lt;n&gt;  交：&lt;/n&gt;
 &lt;n&gt; &lt;/n&gt;&lt;goto quick="1" id="60011" mapid="2" flagpoint="1" taskid="3461"/&gt;&lt;/p&gt;</t>
  </si>
  <si>
    <t>&lt;p&gt;
&lt;n&gt;  交：&lt;/n&gt;
 &lt;n&gt; &lt;/n&gt;&lt;goto id="60146" mapid="100" flagpoint="1" taskid="3471"/&gt;&lt;/p&gt;</t>
  </si>
  <si>
    <t>&lt;p&gt;
&lt;n&gt;  交：&lt;/n&gt;
 &lt;n&gt; &lt;/n&gt;&lt;goto quick="1" id="60011" mapid="2" flagpoint="1" taskid="3481"/&gt;&lt;/p&gt;</t>
  </si>
  <si>
    <t>&lt;p&gt;
&lt;n&gt;  交：&lt;/n&gt;
 &lt;n&gt; &lt;/n&gt;&lt;goto quick="1" id="60011" mapid="2" flagpoint="1" taskid="3491"/&gt;&lt;/p&gt;</t>
  </si>
  <si>
    <t>&lt;p&gt;
&lt;n&gt;  交：&lt;/n&gt;
 &lt;n&gt; &lt;/n&gt;&lt;goto quick="1" id="60019" mapid="2" flagpoint="1" taskid="3501"/&gt;&lt;/p&gt;</t>
  </si>
  <si>
    <t>&lt;p&gt;
&lt;n&gt;  交：&lt;/n&gt;
 &lt;n&gt; &lt;/n&gt;&lt;goto quick="1" id="60019" mapid="2" flagpoint="1" taskid="3511"/&gt;&lt;/p&gt;</t>
  </si>
  <si>
    <t>&lt;p&gt;
&lt;n&gt;  交：&lt;/n&gt;
 &lt;n&gt; &lt;/n&gt;&lt;goto quick="1" id="60019" mapid="2" flagpoint="1" taskid="3512"/&gt;&lt;/p&gt;</t>
  </si>
  <si>
    <t>&lt;p&gt;
&lt;n&gt;  交：&lt;/n&gt;
 &lt;n&gt; &lt;/n&gt;&lt;goto quick="1" id="60019" mapid="2" flagpoint="1" taskid="3513"/&gt;&lt;/p&gt;</t>
  </si>
  <si>
    <t>&lt;p&gt;
&lt;n&gt;  交：&lt;/n&gt;
 &lt;n&gt; &lt;/n&gt;&lt;goto quick="1" id="60019" mapid="2" flagpoint="1" taskid="3521"/&gt;&lt;/p&gt;</t>
  </si>
  <si>
    <t>&lt;p&gt;
&lt;n&gt;  交：&lt;/n&gt;
 &lt;n&gt; &lt;/n&gt;&lt;goto quick="1" id="60019" mapid="2" flagpoint="1" taskid="3531"/&gt;&lt;/p&gt;</t>
  </si>
  <si>
    <t>&lt;p&gt;
&lt;n&gt;  交：&lt;/n&gt;
 &lt;n&gt; &lt;/n&gt;&lt;goto quick="1" id="60019" mapid="2" flagpoint="1" taskid="3541"/&gt;&lt;/p&gt;</t>
  </si>
  <si>
    <t>&lt;p&gt;
&lt;n&gt;  交：&lt;/n&gt;
 &lt;n&gt; &lt;/n&gt;&lt;goto quick="1" id="60038" mapid="2" flagpoint="1" taskid="3551"/&gt;&lt;/p&gt;</t>
  </si>
  <si>
    <t>&lt;p&gt;
&lt;n&gt;  交：&lt;/n&gt;
 &lt;n&gt; &lt;/n&gt;&lt;goto quick="1" id="60038" mapid="2" flagpoint="1" taskid="3561"/&gt;&lt;/p&gt;</t>
  </si>
  <si>
    <t>&lt;p&gt;
&lt;n&gt;  交：&lt;/n&gt;
 &lt;n&gt; &lt;/n&gt;&lt;goto quick="1" id="60038" mapid="2" flagpoint="1" taskid="3571"/&gt;&lt;/p&gt;</t>
  </si>
  <si>
    <t>&lt;p&gt;
&lt;n&gt;  交：&lt;/n&gt;
 &lt;n&gt; &lt;/n&gt;&lt;goto quick="1" id="60038" mapid="2" flagpoint="1" taskid="3581"/&gt;&lt;/p&gt;</t>
  </si>
  <si>
    <t>&lt;p&gt;
&lt;n&gt;  交：&lt;/n&gt;
 &lt;n&gt; &lt;/n&gt;&lt;goto quick="1" id="60038" mapid="2" flagpoint="1" taskid="3591"/&gt;&lt;/p&gt;</t>
  </si>
  <si>
    <t xml:space="preserve"> &lt;p&gt;
&lt;n&gt;  交：&lt;/n&gt;
 &lt;n&gt; &lt;/n&gt;&lt;goto quick="1" id="60038" mapid="2" flagpoint="1" taskid="3601"/&gt;&lt;/p&gt;</t>
  </si>
  <si>
    <t xml:space="preserve"> &lt;p&gt;
&lt;n&gt;  交：&lt;/n&gt;
 &lt;n&gt; &lt;/n&gt;&lt;goto quick="1" id="60019" mapid="2" flagpoint="1" taskid="3611"/&gt;&lt;/p&gt;</t>
  </si>
  <si>
    <t xml:space="preserve"> &lt;p&gt;
&lt;n&gt;  交：&lt;/n&gt;
 &lt;n&gt; &lt;/n&gt;&lt;goto quick="1" id="60028" mapid="2" flagpoint="1" taskid="3621"/&gt;&lt;/p&gt;</t>
  </si>
  <si>
    <t xml:space="preserve"> &lt;p&gt;
&lt;n&gt;  交：&lt;/n&gt;
 &lt;n&gt; &lt;/n&gt;&lt;goto quick="1" id="60028" mapid="2" flagpoint="1" taskid="3631"/&gt;&lt;/p&gt;</t>
  </si>
  <si>
    <t>&lt;p&gt;
&lt;n&gt;  交：&lt;/n&gt;
 &lt;n&gt; &lt;/n&gt;&lt;goto quick="1" id="60037" mapid="2" flagpoint="1" taskid
&lt;/p&gt;</t>
  </si>
  <si>
    <t>&lt;p&gt;
&lt;n&gt;  交：&lt;/n&gt;
 &lt;n&gt; &lt;/n&gt;&lt;goto quick="1" id="60037" mapid="2" flagpoint="1" taskid="3661"/&gt;&lt;/p&gt;</t>
  </si>
  <si>
    <t>&lt;p&gt;
&lt;n&gt;  交：&lt;/n&gt;
 &lt;n&gt; &lt;/n&gt;&lt;goto quick="1" id="60043" mapid="2" flagpoint="1" taskid="3671"/&gt;&lt;/p&gt;</t>
  </si>
  <si>
    <t>&lt;p&gt;
&lt;n&gt;  交：&lt;/n&gt;
 &lt;n&gt; &lt;/n&gt;&lt;goto quick="1" id="116" mapid="2" flagpoint="1" taskid="3681"/&gt;&lt;/p&gt;</t>
  </si>
  <si>
    <t>&lt;p&gt;
&lt;n&gt;  交：&lt;/n&gt;
 &lt;n&gt; &lt;/n&gt;&lt;goto quick="1" id="60037" mapid="2" flagpoint="1" taskid="3691"/&gt;&lt;/p&gt;</t>
  </si>
  <si>
    <t xml:space="preserve"> &lt;p&gt;
&lt;n&gt;  交：&lt;/n&gt;
 &lt;n&gt; &lt;/n&gt;&lt;goto quick="1" id="60028" mapid="2" flagpoint="1" taskid="3701"/&gt;&lt;/p&gt;</t>
  </si>
  <si>
    <t>&lt;p&gt;
&lt;n&gt;  &lt;/n&gt;&lt;dialog taskid="3711" text="合成1件黄色装备" hotkeyid="12" /&gt;
&lt;n&gt;  交：&lt;/n&gt;
 &lt;n&gt; &lt;/n&gt;&lt;goto quick="1" id="60028" mapid="2" flagpoint="1" taskid="3711"/&gt;&lt;/p&gt;</t>
  </si>
  <si>
    <t>&lt;p&gt;
&lt;n&gt;  交：&lt;/n&gt;
 &lt;n&gt; &lt;/n&gt;&lt;goto quick="1" id="60028" mapid="2" flagpoint="1" taskid="3721"/&gt;&lt;/p&gt;</t>
  </si>
  <si>
    <t>&lt;p&gt;
&lt;n&gt;  交：&lt;/n&gt;
 &lt;n&gt; &lt;/n&gt;&lt;goto quick="1" id="60028" mapid="2" flagpoint="1" taskid="3731"/&gt;&lt;/p&gt;</t>
  </si>
  <si>
    <t>&lt;p&gt;
&lt;n&gt;  交：&lt;/n&gt;
 &lt;n&gt; &lt;/n&gt;&lt;goto quick="1" id="60028" mapid="2" flagpoint="1" taskid="3751"/&gt;&lt;/p&gt;</t>
  </si>
  <si>
    <t>&lt;p&gt;
&lt;n&gt;  交：&lt;/n&gt;
 &lt;n&gt; &lt;/n&gt;&lt;goto quick="1" id="60037" mapid="2" flagpoint="1" taskid="3761"/&gt;&lt;/p&gt;</t>
  </si>
  <si>
    <t>&lt;p&gt;
&lt;n&gt;  交：&lt;/n&gt;
 &lt;n&gt; &lt;/n&gt;&lt;goto quick="1" id="60627" mapid="2" flagpoint="1" taskid="3771"/&gt;&lt;/p&gt;</t>
  </si>
  <si>
    <t>&lt;p&gt;
&lt;n&gt;  交：&lt;/n&gt;
 &lt;n&gt; &lt;/n&gt;&lt;goto quick="1" id="60028" mapid="2" flagpoint="1" taskid="3772"/&gt;&lt;/p&gt;</t>
  </si>
  <si>
    <t xml:space="preserve"> &lt;p&gt;
&lt;n&gt;  交：&lt;/n&gt;
 &lt;n&gt; &lt;/n&gt;&lt;goto quick="1" id="60028" mapid="2" flagpoint="1" taskid="3781"/&gt;&lt;/p&gt;</t>
  </si>
  <si>
    <t xml:space="preserve"> &lt;p&gt;
&lt;n&gt;  交：&lt;/n&gt;
 &lt;n&gt; &lt;/n&gt;&lt;goto quick="1" id="60028" mapid="2" flagpoint="1" taskid="3791"/&gt;&lt;/p&gt;</t>
  </si>
  <si>
    <t>&lt;p&gt;
&lt;n&gt;  交：&lt;/n&gt;
 &lt;n&gt; &lt;/n&gt;&lt;goto quick="1" id="60000" mapid="3" flagpoint="1" taskid="3802"/&gt;&lt;/p&gt;</t>
  </si>
  <si>
    <t>&lt;p&gt;
&lt;n&gt;  护送物资车至燃烧平原&lt;/n&gt;
&lt;newline/&gt;
&lt;n&gt;  交：&lt;/n&gt;
 &lt;n&gt; &lt;/n&gt;&lt;goto id="60052" mapid="4" flagpoint="1" taskid="3811" /&gt;
&lt;/p&gt;</t>
  </si>
  <si>
    <t>&lt;p&gt;
&lt;n&gt;  交：&lt;/n&gt;
 &lt;n&gt; &lt;/n&gt;&lt;goto quick="1" id="113" mapid="3" flagpoint="1" taskid="3823"/&gt;&lt;/p&gt;</t>
  </si>
  <si>
    <t>&lt;p&gt;
&lt;n&gt;  &lt;/n&gt;
&lt;n&gt;  交： &lt;/n&gt;
 &lt;n&gt; &lt;/n&gt;&lt;goto quick="1" id="60065" mapid="3" flagpoint="1" flagdrawrect="1" taskid="3831"/&gt;
&lt;/p&gt;</t>
  </si>
  <si>
    <t>&lt;p&gt;
&lt;n&gt;  交：&lt;/n&gt;
 &lt;n&gt; &lt;/n&gt;&lt;goto quick="1" id="60066" mapid="3" flagpoint="1" taskid="3851"/&gt;&lt;/p&gt;</t>
  </si>
  <si>
    <t>&lt;p&gt;
&lt;n&gt;  交：&lt;/n&gt;
 &lt;n&gt; &lt;/n&gt;&lt;goto quick="1" id="60036" mapid="4" flagpoint="1" taskid="3861"/&gt;&lt;/p&gt;</t>
  </si>
  <si>
    <t xml:space="preserve"> &lt;p&gt;
&lt;n&gt;  交：&lt;/n&gt;
 &lt;n&gt; &lt;/n&gt;&lt;goto quick="1" id="60036" mapid="4" flagpoint="1" taskid="3871"/&gt;&lt;/p&gt;</t>
  </si>
  <si>
    <t xml:space="preserve"> &lt;p&gt;
&lt;n&gt;  交：&lt;/n&gt;
 &lt;n&gt; &lt;/n&gt;&lt;goto quick="1" id="60036" mapid="4" flagpoint="1" taskid="3872"/&gt;&lt;/p&gt;</t>
  </si>
  <si>
    <t xml:space="preserve"> &lt;p&gt;
&lt;n&gt;  交：&lt;/n&gt;
 &lt;n&gt; &lt;/n&gt;&lt;goto quick="1" id="60036" mapid="4" flagpoint="1" taskid="3873"/&gt;&lt;/p&gt;</t>
  </si>
  <si>
    <t>&lt;p&gt;
&lt;n&gt;  交：&lt;/n&gt;
 &lt;n&gt; &lt;/n&gt;&lt;goto quick="1" id="60084" mapid="4" flagpoint="1" taskid="3881"/&gt;&lt;/p&gt;</t>
  </si>
  <si>
    <t>&lt;p&gt;
&lt;n&gt;  交：&lt;/n&gt;
 &lt;n&gt; &lt;/n&gt;&lt;goto quick="1" id="60084" mapid="4" flagpoint="1" taskid="3891"/&gt;&lt;/p&gt;</t>
  </si>
  <si>
    <t xml:space="preserve"> &lt;p&gt;
&lt;n&gt;  交：&lt;/n&gt;
 &lt;n&gt; &lt;/n&gt;&lt;goto quick="1" id="60036" mapid="4" flagpoint="1" taskid="1321"/&gt;
&lt;/p&gt;</t>
  </si>
  <si>
    <t xml:space="preserve"> &lt;p&gt;
&lt;n&gt;  交：&lt;/n&gt;
 &lt;n&gt; &lt;/n&gt;&lt;goto quick="1" id="60036" mapid="4" flagpoint="1" taskid="1319"/&gt;
&lt;/p&gt;</t>
  </si>
  <si>
    <t xml:space="preserve"> &lt;p&gt;
&lt;n&gt;  交：&lt;/n&gt;
 &lt;n&gt; &lt;/n&gt;&lt;goto quick="1" id="60036" mapid="4" flagpoint="1" taskid="1320"/&gt;
&lt;/p&gt;</t>
  </si>
  <si>
    <t>&lt;p&gt;
&lt;n&gt;  交：&lt;/n&gt;
 &lt;n&gt; &lt;/n&gt;&lt;goto quick="1" id="60036" mapid="4" flagpoint="1" flagdrawrect="1" taskid="1323"/&gt;
&lt;/p&gt;</t>
  </si>
  <si>
    <t>&lt;p&gt;
&lt;n&gt;  交：&lt;/n&gt;
 &lt;n&gt; &lt;/n&gt;&lt;goto quick="1" id="60051" mapid="4" flagpoint="1" taskid="3901"/&gt;&lt;/p&gt;</t>
  </si>
  <si>
    <t>&lt;p&gt;
&lt;n&gt;  交：&lt;/n&gt;
 &lt;n&gt; &lt;/n&gt;&lt;goto quick="1" id="60056" mapid="4" flagpoint="1" taskid="3911"/&gt;&lt;/p&gt;</t>
  </si>
  <si>
    <t>&lt;p&gt;
&lt;n&gt;  交：&lt;/n&gt;
 &lt;n&gt; &lt;/n&gt;&lt;goto quick="1" id="60056" mapid="4" flagpoint="1" taskid="3921"/&gt;&lt;/p&gt;</t>
  </si>
  <si>
    <t>&lt;p&gt;
&lt;n&gt;  交：&lt;/n&gt;
 &lt;n&gt; &lt;/n&gt;&lt;goto quick="1" id="60051" mapid="4" flagpoint="1" taskid="3931"/&gt;&lt;/p&gt;</t>
  </si>
  <si>
    <t>&lt;p&gt;
&lt;n&gt;  交：&lt;/n&gt;
 &lt;n&gt; &lt;/n&gt;&lt;goto quick="1" id="60051" mapid="4" flagpoint="1" taskid="3941"/&gt;&lt;/p&gt;</t>
  </si>
  <si>
    <t>&lt;p&gt;
&lt;n&gt;  交：&lt;/n&gt;
 &lt;n&gt; &lt;/n&gt;&lt;goto quick="1" id="60051" mapid="4" flagpoint="1" taskid="3951"/&gt;&lt;/p&gt;</t>
  </si>
  <si>
    <t>&lt;p&gt;
&lt;n&gt;  通过&lt;/n&gt;&lt;goto quick="1" id="168" mapid="4" flagpoint="1" taskid=3961/&gt;
&lt;newline/&gt;
&lt;n&gt;  可传送回凤城&lt;/n&gt;
&lt;newline/&gt;
&lt;n&gt;  交：&lt;/n&gt;
 &lt;n&gt; &lt;/n&gt;&lt;goto quick="1" id="60000" mapid="3" flagpoint="1" taskid="3961"/&gt;
&lt;/p&gt;</t>
  </si>
  <si>
    <t>&lt;p&gt;
&lt;n&gt;  交：&lt;/n&gt;
 &lt;n&gt; &lt;/n&gt;&lt;goto quick="1" id="122" mapid="3" flagpoint="1" taskid="3971"/&gt;&lt;/p&gt;</t>
  </si>
  <si>
    <t>&lt;p&gt;
&lt;n&gt;  交：&lt;/n&gt;
 &lt;n&gt; &lt;/n&gt;&lt;goto quick="1" id="122" mapid="3" flagpoint="1" taskid="3981"/&gt;&lt;/p&gt;</t>
  </si>
  <si>
    <t>&lt;p&gt;
&lt;n&gt;  交：&lt;/n&gt;
 &lt;n&gt; &lt;/n&gt;&lt;goto quick="1" id="113" mapid="3" flagpoint="1" taskid="3991"/&gt;&lt;/p&gt;</t>
  </si>
  <si>
    <t>&lt;p&gt;
&lt;n&gt;  交：&lt;/n&gt;
 &lt;n&gt; &lt;/n&gt;&lt;goto quick="1" id="60000" mapid="3" flagpoint="1" taskid="4001"/&gt;&lt;/p&gt;</t>
  </si>
  <si>
    <t>&lt;p&gt;
&lt;n&gt;  通过&lt;/n&gt;&lt;goto quick="1" id="123" mapid="3" flagpoint="1" /&gt;
&lt;newline/&gt;
&lt;n&gt;  可传送回燃烧平原&lt;/n&gt;
&lt;newline/&gt;
&lt;n&gt;  交：&lt;/n&gt;
 &lt;n&gt; &lt;/n&gt;&lt;goto quick="1" id="60063" mapid="4" flagpoint="1" taskid="4011"/&gt;&lt;/p&gt;</t>
  </si>
  <si>
    <t>&lt;p&gt;
&lt;n&gt;  交：&lt;/n&gt;
 &lt;n&gt; &lt;/n&gt;&lt;goto quick="1" id="60166" mapid="4" flagpoint="1" taskid="4021"/&gt;
&lt;/p&gt;</t>
  </si>
  <si>
    <t xml:space="preserve"> &lt;p&gt;
&lt;n&gt;  交：&lt;/n&gt;
 &lt;n&gt; &lt;/n&gt;&lt;goto quick="1" id="60166" mapid="4" flagpoint="1" taskid="4031"/&gt;&lt;/p&gt;</t>
  </si>
  <si>
    <t xml:space="preserve"> &lt;p&gt;
&lt;n&gt;  交：&lt;/n&gt;
 &lt;n&gt; &lt;/n&gt;&lt;goto quick="1" id="60166" mapid="4" flagpoint="1" taskid="4032"/&gt;&lt;/p&gt;</t>
  </si>
  <si>
    <t xml:space="preserve"> &lt;p&gt;
&lt;n&gt;  交：&lt;/n&gt;
 &lt;n&gt; &lt;/n&gt;&lt;goto quick="1" id="60166" mapid="4" flagpoint="1" taskid="4033"/&gt;&lt;/p&gt;</t>
  </si>
  <si>
    <t>&lt;p&gt;
&lt;n&gt;  交：&lt;/n&gt;
 &lt;n&gt; &lt;/n&gt;&lt;goto quick="1" id="60051" mapid="4" flagpoint="1" taskid="4041"/&gt;&lt;/p&gt;</t>
  </si>
  <si>
    <t>&lt;p&gt;
&lt;n&gt;  交：&lt;/n&gt;
 &lt;n&gt; &lt;/n&gt;&lt;goto quick="1" id="60051" mapid="4" flagpoint="1" taskid="4051"/&gt;&lt;/p&gt;</t>
  </si>
  <si>
    <t>&lt;p&gt;
&lt;n&gt;  交：&lt;/n&gt;
 &lt;n&gt; &lt;/n&gt;&lt;goto quick="1" id="60057" mapid="4" flagpoint="1" taskid="4061"/&gt;&lt;/p&gt;</t>
  </si>
  <si>
    <t>&lt;p&gt;
&lt;n&gt;  交：&lt;/n&gt;
 &lt;n&gt; &lt;/n&gt;&lt;goto quick="1" id="60057" mapid="4" flagpoint="1" taskid="4071"/&gt;&lt;/p&gt;</t>
  </si>
  <si>
    <t>&lt;p&gt;
&lt;n&gt;  交：&lt;/n&gt;
 &lt;n&gt; &lt;/n&gt;&lt;goto quick="1" id="60052" mapid="4" flagpoint="1" taskid="4081"/&gt;&lt;/p&gt;</t>
  </si>
  <si>
    <t>&lt;p&gt;
&lt;n&gt;  通过&lt;/n&gt;&lt;goto quick="1" id="168" mapid="4" flagpoint="1" /&gt;
&lt;newline/&gt;
&lt;n&gt;  可传送回凤城&lt;/n&gt;
&lt;newline/&gt;
&lt;n&gt;  交：&lt;/n&gt;
 &lt;n&gt; &lt;/n&gt;&lt;goto quick="1" id="60000" mapid="3" flagpoint="1" /&gt;
&lt;/p&gt;</t>
  </si>
  <si>
    <t>&lt;p&gt;
&lt;n&gt;  交：&lt;/n&gt;
 &lt;n&gt; &lt;/n&gt;&lt;goto quick="1" id="60049" mapid="3" flagpoint="1" taskid="4101"/&gt;&lt;/p&gt;</t>
  </si>
  <si>
    <t>&lt;p&gt;
&lt;n&gt;  交：&lt;/n&gt;
 &lt;n&gt; &lt;/n&gt;&lt;goto quick="1" id="60049" mapid="3" flagpoint="1" taskid="4111"/&gt;&lt;/p&gt;</t>
  </si>
  <si>
    <t>&lt;p&gt;
&lt;n&gt;  交：&lt;/n&gt;
 &lt;n&gt; &lt;/n&gt;&lt;goto quick="1" id="60049" mapid="3" flagpoint="1" taskid="4121"/&gt;&lt;/p&gt;</t>
  </si>
  <si>
    <t>&lt;p&gt;
&lt;n&gt;  与：&lt;/n&gt;
 &lt;n&gt; &lt;/n&gt;&lt;goto quick="1" id="60049" mapid="103" flagpoint="1" taskid="4171"/&gt;
&lt;newline/&gt;
&lt;n&gt;  对话回到凤城后交：&lt;/n&gt;
 &lt;n&gt; &lt;/n&gt;&lt;goto quick="1" id="114" mapid="3" flagpoint="1" taskid="4131"/&gt;&lt;/p&gt;</t>
  </si>
  <si>
    <t>&lt;p&gt;
&lt;n&gt;  交：&lt;/n&gt;
 &lt;n&gt; &lt;/n&gt;&lt;goto quick="1" id="114" mapid="3" flagpoint="1" taskid="4141"/&gt;&lt;/p&gt;</t>
  </si>
  <si>
    <t>&lt;p&gt;
&lt;n&gt;  交：&lt;/n&gt;
 &lt;n&gt; &lt;/n&gt;&lt;goto quick="1" id="60049" mapid="3" flagpoint="1" taskid="4151"/&gt;&lt;/p&gt;</t>
  </si>
  <si>
    <t>&lt;p&gt;
&lt;n&gt;  交：&lt;/n&gt;
 &lt;n&gt; &lt;/n&gt;&lt;goto quick="1" id="60049" mapid="3" flagpoint="1" taskid="4161"/&gt;&lt;/p&gt;</t>
  </si>
  <si>
    <t>&lt;p&gt;&lt;n&gt;  与：&lt;/n&gt;
 &lt;n&gt; &lt;/n&gt;&lt;goto quick="1" id="60049" mapid="103" flagpoint="1" taskid="4171"/&gt;
&lt;newline/&gt;
&lt;n&gt;  对话回到凤城后交：&lt;/n&gt;
 &lt;n&gt; &lt;/n&gt;&lt;goto quick="1" id="114" mapid="3" flagpoint="1" taskid="4171"/&gt;&lt;/p&gt;</t>
  </si>
  <si>
    <t>&lt;p&gt;
&lt;n&gt;  交：&lt;/n&gt;
 &lt;n&gt; &lt;/n&gt;&lt;goto quick="1" id="114" mapid="3" flagpoint="1" taskid="4181"/&gt;&lt;/p&gt;</t>
  </si>
  <si>
    <t>&lt;p&gt;
&lt;n&gt;  交：&lt;/n&gt;
 &lt;n&gt; &lt;/n&gt;&lt;goto quick="1" id="114" mapid="3" flagpoint="1" taskid="4191"/&gt;&lt;/p&gt;</t>
  </si>
  <si>
    <t xml:space="preserve"> &lt;p&gt;
&lt;n&gt;  交：&lt;/n&gt;
 &lt;n&gt; &lt;/n&gt;&lt;goto quick="1" id="114" mapid="3" flagpoint="1" taskid="4201"/&gt;&lt;/p&gt;</t>
  </si>
  <si>
    <t>&lt;p&gt;
&lt;n&gt;  交：&lt;/n&gt;
 &lt;n&gt; &lt;/n&gt;&lt;goto quick="1" id="60000" mapid="3" flagpoint="1" taskid="4211"/&gt;&lt;/p&gt;</t>
  </si>
  <si>
    <t>&lt;p&gt;
&lt;n&gt;  通过&lt;/n&gt;&lt;goto quick="1" id="123" mapid="3" flagpoint="1" /&gt;
&lt;newline/&gt;
&lt;n&gt;  可传送回燃烧平原&lt;/n&gt;
&lt;newline/&gt;
&lt;n&gt;  交：&lt;/n&gt;
 &lt;n&gt; &lt;/n&gt;&lt;goto quick="1" id="60052" mapid="4" flagpoint="1" /&gt;
&lt;/p&gt;</t>
  </si>
  <si>
    <t>&lt;p&gt;
&lt;n&gt;  交：&lt;/n&gt;
 &lt;n&gt; &lt;/n&gt;&lt;goto quick="1" id="60052" mapid="4" flagpoint="1" taskid="4231"/&gt;&lt;/p&gt;</t>
  </si>
  <si>
    <t>&lt;p&gt;
&lt;n&gt;  交：&lt;/n&gt;
 &lt;n&gt; &lt;/n&gt;&lt;goto quick="1" id="60052" mapid="4" flagpoint="1" taskid="4241"/&gt;&lt;/p&gt;</t>
  </si>
  <si>
    <t>&lt;p&gt;
&lt;n&gt;  交：&lt;/n&gt;
 &lt;n&gt; &lt;/n&gt;&lt;goto quick="1" id="60052" mapid="4" flagpoint="1" taskid="4251"/&gt;&lt;/p&gt;</t>
  </si>
  <si>
    <t>&lt;p&gt;
&lt;n&gt;  交：&lt;/n&gt;
 &lt;n&gt; &lt;/n&gt;&lt;goto quick="1" id="60053" mapid="4" flagpoint="1" taskid="4271"/&gt;&lt;/p&gt;</t>
  </si>
  <si>
    <t>&lt;p&gt;
&lt;n&gt;  通过&lt;/n&gt;&lt;goto quick="1" id="168" mapid="4" flagpoint="1" /&gt;
&lt;newline/&gt;
&lt;n&gt;  可传送回凤城&lt;/n&gt;
&lt;newline/&gt;
&lt;n&gt;  交：&lt;/n&gt;
 &lt;n&gt; &lt;/n&gt;&lt;goto quick="1" id="60000" mapid="3" flagpoint="1" taskid="4281"/&gt;
&lt;/p&gt;</t>
  </si>
  <si>
    <t>&lt;p&gt;
&lt;n&gt;  交：&lt;/n&gt;
 &lt;n&gt; &lt;/n&gt;&lt;goto quick="1" id="60049" mapid="3" flagpoint="1" taskid="4291"/&gt;&lt;/p&gt;</t>
  </si>
  <si>
    <t>&lt;p&gt;
&lt;n&gt;  交：&lt;/n&gt;
 &lt;n&gt; &lt;/n&gt;&lt;goto quick="1" id="60000" mapid="3" flagpoint="1" taskid="4311"/&gt;&lt;/p&gt;</t>
  </si>
  <si>
    <t>&lt;p&gt;
&lt;n&gt;  交：&lt;/n&gt;
 &lt;n&gt; &lt;/n&gt;&lt;goto quick="1" id="60000" mapid="3" flagpoint="1" taskid="4313"/&gt;&lt;/p&gt;</t>
  </si>
  <si>
    <t>&lt;p&gt;
&lt;n&gt;  通过&lt;/n&gt;&lt;goto quick="1" id="123" mapid="3" flagpoint="1" /&gt;
&lt;newline/&gt;
&lt;n&gt;  可传送回燃烧平原&lt;/n&gt;
&lt;newline/&gt;
&lt;n&gt;  交：&lt;/n&gt;
 &lt;n&gt; &lt;/n&gt;&lt;goto quick="1" id="60163" mapid="4" flagpoint="1" /&gt;
&lt;/p&gt;</t>
  </si>
  <si>
    <t>&lt;p&gt;
&lt;n&gt;  交： &lt;/n&gt;
 &lt;n&gt; &lt;/n&gt;&lt;goto quick="1" id="60163" mapid="4" flagpoint="1" /&gt;
&lt;/p&gt;</t>
  </si>
  <si>
    <t>&lt;p&gt;
&lt;n&gt;  交：&lt;/n&gt;
 &lt;n&gt; &lt;/n&gt;&lt;goto quick="1" id="60164" mapid="4" flagpoint="1" taskid="4331"/&gt;&lt;/p&gt;</t>
  </si>
  <si>
    <t>&lt;p&gt;
&lt;n&gt;  交：&lt;/n&gt;
 &lt;n&gt; &lt;/n&gt;&lt;goto quick="1" id="60164" mapid="4" flagpoint="1" taskid="4341"/&gt;&lt;/p&gt;</t>
  </si>
  <si>
    <t>&lt;p&gt;
&lt;n&gt;  交：&lt;/n&gt;
 &lt;n&gt; &lt;/n&gt;&lt;goto quick="1" id="60163" mapid="4" flagpoint="1" taskid="4351"/&gt;&lt;/p&gt;</t>
  </si>
  <si>
    <t>&lt;p&gt;
&lt;n&gt;  交：&lt;/n&gt;
 &lt;n&gt; &lt;/n&gt;&lt;goto quick="1" id="60163" mapid="4" flagpoint="1" taskid="4361"/&gt;&lt;/p&gt;</t>
  </si>
  <si>
    <t>&lt;p&gt;
&lt;n&gt;  交：&lt;/n&gt;
 &lt;n&gt; &lt;/n&gt;&lt;goto quick="1" id="60164" mapid="4" flagpoint="1" taskid="4371"/&gt;&lt;/p&gt;</t>
  </si>
  <si>
    <t>&lt;p&gt;
&lt;n&gt;  交：&lt;/n&gt;
 &lt;n&gt; &lt;/n&gt;&lt;goto quick="1" id="60164" mapid="4" flagpoint="1" taskid="4381"/&gt;&lt;/p&gt;</t>
  </si>
  <si>
    <t>&lt;p&gt;
&lt;n&gt;  交：&lt;/n&gt;
 &lt;n&gt; &lt;/n&gt;&lt;goto quick="1" id="60163" mapid="4" flagpoint="1" taskid="4391"/&gt;&lt;/p&gt;</t>
  </si>
  <si>
    <t>&lt;p&gt;
&lt;n&gt;  交：&lt;/n&gt;
 &lt;n&gt; &lt;/n&gt;&lt;goto quick="1" id="60166" mapid="4" flagpoint="1" taskid="4401"/&gt;&lt;/p&gt;</t>
  </si>
  <si>
    <t>&lt;p&gt;
&lt;n&gt;  交：&lt;/n&gt;
 &lt;n&gt; &lt;/n&gt;&lt;goto quick="1" id="60171" mapid="102" flagpoint="1" taskid="4411"/&gt;&lt;/p&gt;</t>
  </si>
  <si>
    <t>&lt;p&gt;
&lt;n&gt;  交：&lt;/n&gt;
 &lt;n&gt; &lt;/n&gt;&lt;goto quick="1" id="60166" mapid="4" flagpoint="1" taskid="4412"/&gt;&lt;/p&gt;</t>
  </si>
  <si>
    <t>&lt;p&gt;
&lt;n&gt;  交：&lt;/n&gt;
 &lt;n&gt; &lt;/n&gt;&lt;goto quick="1" id="60036" mapid="4" flagpoint="1" taskid="4421"/&gt;&lt;/p&gt;</t>
  </si>
  <si>
    <t>&lt;p&gt;
&lt;n&gt;  交：&lt;/n&gt;
 &lt;n&gt; &lt;/n&gt;&lt;goto quick="1" id="60165" mapid="4" flagpoint="1" taskid="4431"/&gt;&lt;/p&gt;</t>
  </si>
  <si>
    <t xml:space="preserve"> &lt;p&gt;
&lt;n&gt;  交：&lt;/n&gt;
 &lt;n&gt; &lt;/n&gt;&lt;goto quick="1" id="60165" mapid="4" flagpoint="1" taskid="4441"/&gt;&lt;/p&gt;</t>
  </si>
  <si>
    <t>&lt;p&gt;
&lt;n&gt;  交：&lt;/n&gt;
 &lt;n&gt; &lt;/n&gt;&lt;goto quick="1" id="60165" mapid="4" flagpoint="1" taskid="4442"/&gt;&lt;/p&gt;</t>
  </si>
  <si>
    <t>&lt;p&gt;
&lt;n&gt;  交：&lt;/n&gt;
 &lt;n&gt; &lt;/n&gt;&lt;goto quick="1" id="60165" mapid="4" flagpoint="1" taskid="4443"/&gt;&lt;/p&gt;</t>
  </si>
  <si>
    <t>&lt;p&gt;
&lt;n&gt;  交：&lt;/n&gt;
 &lt;n&gt; &lt;/n&gt;&lt;goto quick="1" id="60165" mapid="4" flagpoint="1" taskid="4445"/&gt;&lt;/p&gt;</t>
  </si>
  <si>
    <t>&lt;p&gt;
&lt;n&gt;  交：&lt;/n&gt;
 &lt;n&gt; &lt;/n&gt;&lt;goto quick="1" id="60165" mapid="4" flagpoint="1" taskid="4451"/&gt;&lt;/p&gt;</t>
  </si>
  <si>
    <t>&lt;p&gt;
&lt;n&gt;  通过&lt;/n&gt;&lt;goto quick="1" id="168" mapid="4" flagpoint="1" /&gt;
&lt;newline/&gt;
&lt;n&gt;  可传送回凤城&lt;/n&gt;
&lt;newline/&gt;
&lt;n&gt;  交：&lt;/n&gt;
 &lt;n&gt; &lt;/n&gt;&lt;goto quick="1" id="60000" mapid="3" flagpoint="1" taskid="4461"/&gt;&lt;/p&gt;</t>
  </si>
  <si>
    <t>&lt;p&gt;
&lt;n&gt;  交：&lt;/n&gt;
 &lt;n&gt; &lt;/n&gt;&lt;goto quick="1" id="60073" mapid="3" flagpoint="1" taskid="1481"/&gt;&lt;/p&gt;</t>
  </si>
  <si>
    <t>&lt;p&gt;
&lt;n&gt;  交：&lt;/n&gt;
 &lt;n&gt; &lt;/n&gt;&lt;goto quick="1" id="60073" mapid="3" flagpoint="1" taskid="1485"/&gt;&lt;/p&gt;</t>
  </si>
  <si>
    <t>&lt;p&gt;
&lt;n&gt;  交：&lt;/n&gt;
 &lt;n&gt; &lt;/n&gt;&lt;goto quick="1" id="60074" mapid="3" flagpoint="1" taskid="1482"/&gt;&lt;/p&gt;</t>
  </si>
  <si>
    <t>&lt;p&gt;
&lt;n&gt;  交：&lt;/n&gt;
 &lt;n&gt; &lt;/n&gt;&lt;goto quick="1" id="60073" mapid="3" flagpoint="1" taskid="1483"/&gt;&lt;/p&gt;</t>
  </si>
  <si>
    <t>&lt;p&gt;
&lt;n&gt;  交：&lt;/n&gt;
 &lt;n&gt; &lt;/n&gt;&lt;goto quick="1" id="60148" mapid="3" flagpoint="1" taskid="1484"/&gt;&lt;/p&gt;</t>
  </si>
  <si>
    <t>&lt;p&gt;
&lt;n&gt;  交：&lt;/n&gt;
 &lt;n&gt; &lt;/n&gt;&lt;goto quick="1" id="60148" mapid="3" flagpoint="1" taskid="1491"/&gt;&lt;/p&gt;</t>
  </si>
  <si>
    <t>&lt;p&gt;
&lt;n&gt;  交：&lt;/n&gt;
 &lt;n&gt; &lt;/n&gt;&lt;goto quick="1" id="60148" mapid="3" flagpoint="1" taskid="1492"/&gt;&lt;/p&gt;</t>
  </si>
  <si>
    <t>&lt;p&gt;
&lt;n&gt;  交：&lt;/n&gt;
 &lt;n&gt; &lt;/n&gt;&lt;goto quick="1" id="60075" mapid="3" flagpoint="1" taskid="1499"/&gt;&lt;/p&gt;</t>
  </si>
  <si>
    <t>&lt;p&gt;
&lt;n&gt;  交：&lt;/n&gt;
 &lt;n&gt; &lt;/n&gt;&lt;goto quick="1" id="60075" mapid="3" flagpoint="1" taskid="1501"/&gt;&lt;/p&gt;</t>
  </si>
  <si>
    <t>&lt;p&gt;
&lt;n&gt;  交：&lt;/n&gt;
 &lt;n&gt; &lt;/n&gt;&lt;goto quick="1" id="60149" mapid="3" flagpoint="1" taskid="1502"/&gt;&lt;/p&gt;</t>
  </si>
  <si>
    <t>&lt;p&gt;
&lt;n&gt;  交：&lt;/n&gt;
 &lt;n&gt; &lt;/n&gt;&lt;goto quick="1" id="60149" mapid="3" flagpoint="1" taskid="1503"/&gt;&lt;/p&gt;</t>
  </si>
  <si>
    <t>&lt;p&gt;
&lt;n&gt;  交：&lt;/n&gt;
 &lt;n&gt; &lt;/n&gt;&lt;goto quick="1" id="60149" mapid="3" flagpoint="1" taskid="1504"/&gt;&lt;/p&gt;</t>
  </si>
  <si>
    <t>&lt;p&gt;
&lt;n&gt;  交：&lt;/n&gt;
 &lt;n&gt; &lt;/n&gt;&lt;goto quick="1" id="60149" mapid="3" flagpoint="1" taskid="1511"/&gt;&lt;/p&gt;</t>
  </si>
  <si>
    <t>&lt;p&gt;
&lt;n&gt;  交：&lt;/n&gt;
 &lt;n&gt; &lt;/n&gt;&lt;goto quick="1" id="60148" mapid="3" flagpoint="1" taskid="1512"/&gt;&lt;/p&gt;</t>
  </si>
  <si>
    <t>&lt;p&gt;
&lt;n&gt;  交：&lt;/n&gt;
 &lt;n&gt; &lt;/n&gt;&lt;goto quick="1" id="60148" mapid="3" flagpoint="1" taskid="1513"/&gt;&lt;/p&gt;</t>
  </si>
  <si>
    <t>&lt;p&gt;
&lt;n&gt;  交：&lt;/n&gt;
 &lt;n&gt; &lt;/n&gt;&lt;goto quick="1" id="60148" mapid="3" flagpoint="1" taskid="1514"/&gt;&lt;/p&gt;</t>
  </si>
  <si>
    <t>&lt;p&gt;
&lt;n&gt;  交：&lt;/n&gt;
 &lt;n&gt; &lt;/n&gt;&lt;goto quick="1" id="60150" mapid="3" flagpoint="1" taskid="1515"/&gt;&lt;/p&gt;</t>
  </si>
  <si>
    <t xml:space="preserve"> &lt;p&gt;
&lt;n&gt;  交：&lt;/n&gt;
 &lt;n&gt; &lt;/n&gt;&lt;goto quick="1" id="60150" mapid="3" flagpoint="1" taskid="1521"/&gt;&lt;/p&gt;</t>
  </si>
  <si>
    <t xml:space="preserve"> &lt;p&gt;
&lt;n&gt;  交：&lt;/n&gt;
 &lt;n&gt; &lt;/n&gt;&lt;goto quick="1" id="60151" mapid="3" flagpoint="1" taskid="1522"/&gt;&lt;/p&gt;</t>
  </si>
  <si>
    <t xml:space="preserve"> &lt;p&gt;
&lt;n&gt;  交：&lt;/n&gt;
 &lt;n&gt; &lt;/n&gt;&lt;goto quick="1" id="60151" mapid="3" flagpoint="1" taskid="1523"/&gt;&lt;/p&gt;</t>
  </si>
  <si>
    <t>&lt;p&gt;
&lt;n&gt;  交：&lt;/n&gt;
 &lt;n&gt; &lt;/n&gt;&lt;goto quick="1" id="60000" mapid="3" flagpoint="1" taskid="1531"/&gt;&lt;/p&gt;</t>
  </si>
  <si>
    <t>&lt;p&gt;
&lt;n&gt;  交：&lt;/n&gt;
 &lt;n&gt; &lt;/n&gt;&lt;goto quick="1" id="60064" mapid="3" flagpoint="1" taskid
&lt;/p&gt;</t>
  </si>
  <si>
    <t>&lt;p&gt;
&lt;n&gt;  交：&lt;/n&gt;
 &lt;n&gt; &lt;/n&gt;&lt;goto quick="1" id="60064" mapid="3" flagpoint="1" taskid="1542"/&gt;&lt;/p&gt;</t>
  </si>
  <si>
    <t>&lt;p&gt;
&lt;n&gt;  交：&lt;/n&gt;
 &lt;n&gt; &lt;/n&gt;&lt;goto quick="1" id="60000" mapid="3" flagpoint="1" taskid="1552"/&gt;&lt;/p&gt;</t>
  </si>
  <si>
    <t>&lt;p&gt;
&lt;n&gt;  交：&lt;/n&gt;
 &lt;n&gt; &lt;/n&gt;&lt;goto quick="1" id="60154" mapid="3" flagpoint="1" taskid="1553"/&gt;&lt;/p&gt;</t>
  </si>
  <si>
    <t xml:space="preserve"> &lt;p&gt;
&lt;n&gt;  交：&lt;/n&gt;
 &lt;n&gt; &lt;/n&gt;&lt;goto quick="1" id="60154" mapid="3" flagpoint="1" taskid="1561"/&gt;&lt;/p&gt;</t>
  </si>
  <si>
    <t>&lt;p&gt;
&lt;n&gt;  交：&lt;/n&gt;
 &lt;n&gt; &lt;/n&gt;&lt;goto quick="1" id="60150" mapid="3" flagpoint="1" taskid="1562"/&gt;&lt;/p&gt;</t>
  </si>
  <si>
    <t>&lt;p&gt;
&lt;n&gt;  交：&lt;/n&gt;
 &lt;n&gt; &lt;/n&gt;&lt;goto quick="1" id="60150" mapid="3" flagpoint="1" taskid="1563"/&gt;&lt;/p&gt;</t>
  </si>
  <si>
    <t>&lt;p&gt;
&lt;n&gt;  交：&lt;/n&gt;
 &lt;n&gt; &lt;/n&gt;&lt;goto quick="1" id="60000" mapid="3" flagpoint="1" taskid="1493"/&gt;&lt;/p&gt;</t>
  </si>
  <si>
    <t>&lt;p&gt;
&lt;n&gt;  交：&lt;/n&gt;
 &lt;n&gt; &lt;/n&gt;&lt;goto quick="1" id="60000" mapid="3" flagpoint="1" taskid="1495"/&gt;&lt;/p&gt;</t>
  </si>
  <si>
    <t>&lt;p&gt;
&lt;n&gt;  交：&lt;/n&gt;
 &lt;n&gt; &lt;/n&gt;&lt;goto quick="1" id="60151" mapid="3" flagpoint="1" taskid="1565"/&gt;&lt;/p&gt;</t>
  </si>
  <si>
    <t>&lt;p&gt;
&lt;n&gt;  交：&lt;/n&gt;
 &lt;n&gt; &lt;/n&gt;&lt;goto quick="1" id="60150" mapid="3" flagpoint="1" taskid="1571"/&gt;&lt;/p&gt;</t>
  </si>
  <si>
    <t>&lt;p&gt;
&lt;n&gt;  交：&lt;/n&gt;
 &lt;n&gt; &lt;/n&gt;&lt;goto quick="1" id="60150" mapid="3" flagpoint="1" taskid="1572"/&gt;&lt;/p&gt;</t>
  </si>
  <si>
    <t>&lt;p&gt;
&lt;n&gt;  交：&lt;/n&gt;
 &lt;n&gt; &lt;/n&gt;&lt;goto quick="1" id="60152" mapid="3" flagpoint="1" taskid="1573"/&gt;&lt;/p&gt;</t>
  </si>
  <si>
    <t>&lt;p&gt;
&lt;n&gt;  交：&lt;/n&gt;
 &lt;n&gt; &lt;/n&gt;&lt;goto quick="1" id="60152" mapid="3" flagpoint="1" taskid="1581"/&gt;&lt;/p&gt;</t>
  </si>
  <si>
    <t>&lt;p&gt;
&lt;n&gt;  交：&lt;/n&gt;
 &lt;n&gt; &lt;/n&gt;&lt;goto quick="1" id="60153" mapid="3" flagpoint="1" taskid="1582"/&gt;&lt;/p&gt;</t>
  </si>
  <si>
    <t>&lt;p&gt;
&lt;n&gt;  交：&lt;/n&gt;
 &lt;n&gt; &lt;/n&gt;&lt;goto quick="1" id="60153" mapid="3" flagpoint="1" taskid="1583"/&gt;&lt;/p&gt;</t>
  </si>
  <si>
    <t>&lt;p&gt;
&lt;n&gt;  交：&lt;/n&gt;
 &lt;n&gt; &lt;/n&gt;&lt;goto quick="1" id="60152" mapid="3" flagpoint="1" taskid="1584"/&gt;&lt;/p&gt;</t>
  </si>
  <si>
    <t>&lt;p&gt;
&lt;n&gt;  交：&lt;/n&gt;
 &lt;n&gt; &lt;/n&gt;&lt;goto quick="1" id="113" mapid="3" flagpoint="1" taskid="1585"/&gt;&lt;/p&gt;</t>
  </si>
  <si>
    <t>&lt;p&gt;
&lt;n&gt;  交：&lt;/n&gt;
 &lt;n&gt; &lt;/n&gt;&lt;goto quick="1" id="60152" mapid="3" flagpoint="1" taskid="1586"/&gt;&lt;/p&gt;</t>
  </si>
  <si>
    <t xml:space="preserve"> &lt;p&gt;
&lt;n&gt;  交：&lt;/n&gt;
 &lt;n&gt; &lt;/n&gt;&lt;goto quick="1" id="60152" mapid="3" flagpoint="1" taskid="1591"/&gt;&lt;/p&gt;</t>
  </si>
  <si>
    <t>&lt;p&gt;
&lt;n&gt;  交：&lt;/n&gt;
 &lt;n&gt; &lt;/n&gt;&lt;goto quick="1" id="60153" mapid="3" flagpoint="1" taskid="1592"/&gt;&lt;/p&gt;</t>
  </si>
  <si>
    <t>&lt;p&gt;
&lt;n&gt;  交：&lt;/n&gt;
 &lt;n&gt; &lt;/n&gt;&lt;goto quick="1" id="60153" mapid="3" flagpoint="1" taskid="1593"/&gt;&lt;/p&gt;</t>
  </si>
  <si>
    <t>&lt;p&gt;
&lt;n&gt;  交：&lt;/n&gt;
 &lt;n&gt; &lt;/n&gt;&lt;goto quick="1" id="60152" mapid="3" flagpoint="1" taskid="1594"/&gt;&lt;/p&gt;</t>
  </si>
  <si>
    <t>&lt;p&gt;
&lt;n&gt;  交：&lt;/n&gt;
 &lt;n&gt; &lt;/n&gt;&lt;goto quick="1" id="60000" mapid="3" flagpoint="1" taskid="1601"/&gt;&lt;/p&gt;</t>
  </si>
  <si>
    <t>&lt;p&gt;
&lt;n&gt;  交：&lt;/n&gt;
 &lt;n&gt; &lt;/n&gt;&lt;goto quick="1" id="60093" mapid="6" flagpoint="1" taskid="1611"/&gt;&lt;/p&gt;</t>
  </si>
  <si>
    <t>&lt;p&gt;
&lt;n&gt;  交：&lt;/n&gt;
 &lt;n&gt; &lt;/n&gt;&lt;goto quick="1" id="60093" mapid="6" flagpoint="1" taskid="1622"/&gt;&lt;/p&gt;</t>
  </si>
  <si>
    <t>&lt;p&gt;
&lt;n&gt;  交：&lt;/n&gt;
 &lt;n&gt; &lt;/n&gt;&lt;goto quick="1" id="60000" mapid="3" flagpoint="1" taskid="1623"/&gt;&lt;/p&gt;</t>
  </si>
  <si>
    <t>&lt;p&gt;
&lt;n&gt;  交：&lt;/n&gt;
 &lt;n&gt; &lt;/n&gt;&lt;goto quick="1" id="60000" mapid="3" flagpoint="1" taskid="1625"/&gt;&lt;/p&gt;</t>
  </si>
  <si>
    <t>&lt;p&gt;
&lt;n&gt;  交：&lt;/n&gt;
 &lt;n&gt; &lt;/n&gt;&lt;goto quick="1" id="60099" mapid="6" flagpoint="1" taskid="1621"/&gt;&lt;/p&gt;</t>
  </si>
  <si>
    <t>&lt;p&gt;
&lt;n&gt;  交：&lt;/n&gt;
 &lt;n&gt; &lt;/n&gt;&lt;goto quick="1" id="60155" mapid="6" flagpoint="1" taskid="1630"/&gt;&lt;/p&gt;</t>
  </si>
  <si>
    <t>&lt;p&gt;
&lt;n&gt;  交：&lt;/n&gt;
 &lt;n&gt; &lt;/n&gt;&lt;goto quick="1" id="60155" mapid="6" flagpoint="1" taskid="1631"/&gt;&lt;/p&gt;</t>
  </si>
  <si>
    <t>&lt;p&gt;
&lt;n&gt;  交：&lt;/n&gt;
 &lt;n&gt; &lt;/n&gt;&lt;goto quick="1" id="60155" mapid="6" flagpoint="1" taskid="1632"/&gt;&lt;/p&gt;</t>
  </si>
  <si>
    <t>&lt;p&gt;
&lt;n&gt;  交：&lt;/n&gt;
 &lt;n&gt; &lt;/n&gt;&lt;goto quick="1" id="60156" mapid="6" flagpoint="1" taskid="1633"/&gt;&lt;/p&gt;</t>
  </si>
  <si>
    <t>&lt;p&gt;
&lt;n&gt;  交：&lt;/n&gt;
 &lt;n&gt; &lt;/n&gt;&lt;goto quick="1" id="60159" mapid="6" flagpoint="1" taskid="1641"/&gt;&lt;/p&gt;</t>
  </si>
  <si>
    <t xml:space="preserve"> &lt;p&gt;
&lt;n&gt;  交：&lt;/n&gt;
 &lt;n&gt; &lt;/n&gt;&lt;goto quick="1" id="60159" mapid="6" flagpoint="1" taskid="1651"/&gt;&lt;/p&gt;</t>
  </si>
  <si>
    <t xml:space="preserve"> &lt;p&gt;
&lt;n&gt;  交：&lt;/n&gt;
 &lt;n&gt; &lt;/n&gt;&lt;goto quick="1" id="60159" mapid="6" flagpoint="1" taskid="1652"/&gt;&lt;/p&gt;</t>
  </si>
  <si>
    <t>&lt;p&gt;
&lt;n&gt;  交：&lt;/n&gt;
 &lt;n&gt; &lt;/n&gt;&lt;goto quick="1" id="113" mapid="3" flagpoint="1" taskid="1653"/&gt;&lt;/p&gt;</t>
  </si>
  <si>
    <t>&lt;p&gt;
&lt;n&gt;  交：&lt;/n&gt;
 &lt;n&gt; &lt;/n&gt;&lt;goto quick="1" id="60159" mapid="6" flagpoint="1" taskid="1654"/&gt;&lt;/p&gt;</t>
  </si>
  <si>
    <t xml:space="preserve"> &lt;p&gt;
&lt;n&gt;  交：&lt;/n&gt;
 &lt;n&gt; &lt;/n&gt;&lt;goto quick="1" id="60156" mapid="6" flagpoint="1" taskid="1655"/&gt;&lt;/p&gt;</t>
  </si>
  <si>
    <t>&lt;p&gt;
&lt;n&gt;  交：&lt;/n&gt;
 &lt;n&gt; &lt;/n&gt;&lt;goto quick="1" id="60155" mapid="6" flagpoint="1" taskid="1661"/&gt;&lt;/p&gt;</t>
  </si>
  <si>
    <t>&lt;p&gt;
&lt;n&gt;  交：&lt;/n&gt;
 &lt;n&gt; &lt;/n&gt;&lt;goto quick="1" id="60159" mapid="6" flagpoint="1" taskid="1671"/&gt;&lt;/p&gt;</t>
  </si>
  <si>
    <t>&lt;p&gt;
&lt;n&gt;  交：&lt;/n&gt;
 &lt;n&gt; &lt;/n&gt;&lt;goto quick="1" id="60159" mapid="6" flagpoint="1" taskid="1681"/&gt;&lt;/p&gt;</t>
  </si>
  <si>
    <t>&lt;p&gt;
&lt;n&gt;  交：&lt;/n&gt;
 &lt;n&gt; &lt;/n&gt;&lt;goto quick="1" id="60159" mapid="6" flagpoint="1" taskid="1682"/&gt;&lt;/p&gt;</t>
  </si>
  <si>
    <t>&lt;p&gt;
&lt;n&gt;  交：&lt;/n&gt;
 &lt;n&gt; &lt;/n&gt;&lt;goto quick="1" id="60093" mapid="6" flagpoint="1" taskid="1683"/&gt;&lt;/p&gt;</t>
  </si>
  <si>
    <t xml:space="preserve"> &lt;p&gt;
&lt;n&gt;  交：&lt;/n&gt;
 &lt;n&gt; &lt;/n&gt;&lt;goto quick="1" id="60093" mapid="6" flagpoint="1" taskid="1711"/&gt;&lt;/p&gt;</t>
  </si>
  <si>
    <t>&lt;p&gt;
&lt;n&gt;  交：&lt;/n&gt;
 &lt;n&gt; &lt;/n&gt;&lt;goto quick="1" id="60098" mapid="6" flagpoint="1" taskid="1721"/&gt;&lt;/p&gt;</t>
  </si>
  <si>
    <t>&lt;p&gt;
&lt;n&gt;  交：&lt;/n&gt;
 &lt;n&gt; &lt;/n&gt;&lt;goto quick="1" id="60098" mapid="6" flagpoint="1" taskid="1731"/&gt;&lt;/p&gt;</t>
  </si>
  <si>
    <t>&lt;p&gt;
&lt;n&gt;  交：&lt;/n&gt;
 &lt;n&gt; &lt;/n&gt;&lt;goto quick="1" id="60098" mapid="6" flagpoint="1" taskid="1732"/&gt;&lt;/p&gt;</t>
  </si>
  <si>
    <t>&lt;p&gt;
&lt;n&gt;  交：&lt;/n&gt;
 &lt;n&gt; &lt;/n&gt;&lt;goto quick="1" id="60099" mapid="6" flagpoint="1" taskid="1741"/&gt;&lt;/p&gt;</t>
  </si>
  <si>
    <t>&lt;p&gt;
&lt;n&gt;  交：&lt;/n&gt;
 &lt;n&gt; &lt;/n&gt;&lt;goto quick="1" id="60099" mapid="6" flagpoint="1" taskid="1745"/&gt;&lt;/p&gt;</t>
  </si>
  <si>
    <t>&lt;p&gt;
&lt;n&gt;  交：&lt;/n&gt;
 &lt;n&gt; &lt;/n&gt;&lt;goto quick="1" id="60099" mapid="6" flagpoint="1" taskid="1746"/&gt;&lt;/p&gt;</t>
  </si>
  <si>
    <t>&lt;p&gt;
&lt;n&gt;  交：&lt;/n&gt;
 &lt;n&gt; &lt;/n&gt;&lt;goto quick="1" id="60099" mapid="6" flagpoint="1" taskid="1747"/&gt;&lt;/p&gt;</t>
  </si>
  <si>
    <t>&lt;p&gt;
&lt;n&gt;  交：&lt;/n&gt;
 &lt;n&gt; &lt;/n&gt;&lt;goto quick="1" id="60099" mapid="6" flagpoint="1" taskid="1748"/&gt;&lt;/p&gt;</t>
  </si>
  <si>
    <t>&lt;p&gt;
&lt;n&gt;  交：&lt;/n&gt;
 &lt;n&gt; &lt;/n&gt;&lt;goto quick="1" id="60157" mapid="6" flagpoint="1" taskid="1749"/&gt;&lt;/p&gt;</t>
  </si>
  <si>
    <t>&lt;p&gt;
&lt;n&gt;  交：&lt;/n&gt;
 &lt;n&gt; &lt;/n&gt;&lt;goto quick="1" id="60158" mapid="6" flagpoint="1" taskid="1750"/&gt;&lt;/p&gt;</t>
  </si>
  <si>
    <t>&lt;p&gt;
&lt;n&gt;  交：&lt;/n&gt;
 &lt;n&gt; &lt;/n&gt;&lt;goto quick="1" id="60158" mapid="6" flagpoint="1" taskid="1751"/&gt;&lt;/p&gt;</t>
  </si>
  <si>
    <t>&lt;p&gt;
&lt;n&gt;  交：&lt;/n&gt;
 &lt;n&gt; &lt;/n&gt;&lt;goto quick="1" id="60158" mapid="6" flagpoint="1" taskid="1752"/&gt;&lt;/p&gt;</t>
  </si>
  <si>
    <t>&lt;p&gt;
&lt;n&gt;  交：&lt;/n&gt;
 &lt;n&gt; &lt;/n&gt;&lt;goto quick="1" id="60098" mapid="6" flagpoint="1" taskid="1758" /&gt;
&lt;/p&gt;</t>
  </si>
  <si>
    <t>&lt;p&gt;
&lt;n&gt;  交：&lt;/n&gt;
 &lt;n&gt; &lt;/n&gt;&lt;goto quick="1" id="60158" mapid="6" flagpoint="1" taskid="1759"/&gt;&lt;/p&gt;</t>
  </si>
  <si>
    <t>&lt;p&gt;
&lt;n&gt;  交：&lt;/n&gt;
 &lt;n&gt; &lt;/n&gt;&lt;goto quick="1" id="60158" mapid="6" flagpoint="1" taskid="1753"/&gt;&lt;/p&gt;</t>
  </si>
  <si>
    <t>&lt;p&gt;
&lt;n&gt;  交：&lt;/n&gt;
 &lt;n&gt; &lt;/n&gt;&lt;goto quick="1" id="60158" mapid="6" flagpoint="1" taskid="1754"/&gt;&lt;/p&gt;</t>
  </si>
  <si>
    <t>&lt;p&gt;
&lt;n&gt;  交：&lt;/n&gt;
 &lt;n&gt; &lt;/n&gt;&lt;goto quick="1" id="60158" mapid="6" flagpoint="1" taskid="1755"/&gt;&lt;/p&gt;</t>
  </si>
  <si>
    <t>&lt;p&gt;
&lt;n&gt;  交：&lt;/n&gt;
 &lt;n&gt; &lt;/n&gt;&lt;goto quick="1" id="60157" mapid="6" flagpoint="1" taskid="1756"/&gt;&lt;/p&gt;</t>
  </si>
  <si>
    <t>&lt;p&gt;
&lt;n&gt;  交：&lt;/n&gt;
 &lt;n&gt; &lt;/n&gt;&lt;goto quick="1" id="60157" mapid="6" flagpoint="1" taskid="1757"/&gt;&lt;/p&gt;</t>
  </si>
  <si>
    <t>&lt;p&gt;
&lt;n&gt;  交：&lt;/n&gt;
 &lt;n&gt; &lt;/n&gt;&lt;goto quick="1" id="60000" mapid="3" flagpoint="1" taskid="1762"/&gt;&lt;/p&gt;</t>
  </si>
  <si>
    <t>&lt;p&gt;
&lt;n&gt;  交： &lt;/n&gt;
 &lt;n&gt; &lt;/n&gt;&lt;goto quick="1" id="113" mapid="3" flagpoint="1" taskid="1763" /&gt;
&lt;/p&gt;</t>
  </si>
  <si>
    <t>&lt;p&gt;
&lt;n&gt;  交：&lt;/n&gt;
 &lt;n&gt; &lt;/n&gt;&lt;goto quick="1" id="113" mapid="3" flagpoint="1" taskid="1764"/&gt;&lt;/p&gt;</t>
  </si>
  <si>
    <t>&lt;p&gt;
&lt;n&gt;  交：&lt;/n&gt;
 &lt;n&gt; &lt;/n&gt;&lt;goto quick="1" id="60000" mapid="3" flagpoint="1" taskid="1765"/&gt;&lt;/p&gt;</t>
  </si>
  <si>
    <t>&lt;p&gt;
&lt;n&gt; &lt;/n&gt;&lt;dialog taskid="1766" text="打开角色界面" hotkeyid="1"/&gt; &lt;n&gt;设置特殊属性攻击，&lt;/n&gt;&lt;n&gt;  交： &lt;/n&gt;&lt;goto quick="1" id="113" mapid="3" flagpoint="1" taskid="1766" /&gt;
&lt;/p&gt;</t>
  </si>
  <si>
    <t>&lt;p&gt;
&lt;n&gt;  交：&lt;/n&gt;
 &lt;n&gt; &lt;/n&gt;&lt;goto quick="1" id="60087" mapid="7" flagpoint="1" taskid="1771"/&gt;&lt;/p&gt;</t>
  </si>
  <si>
    <t>&lt;p&gt;
&lt;n&gt;  交：&lt;/n&gt;
 &lt;n&gt; &lt;/n&gt;&lt;goto id="60088" mapid="7" flagpoint="1" taskid="1781"/&gt;&lt;/p&gt;</t>
  </si>
  <si>
    <t xml:space="preserve"> &lt;p&gt;
&lt;n&gt;  交：&lt;/n&gt;
 &lt;n&gt; &lt;/n&gt;&lt;goto id="60088" mapid="7" flagpoint="1" taskid="1791"/&gt;&lt;/p&gt;</t>
  </si>
  <si>
    <t>&lt;p&gt;
&lt;n&gt;  交：&lt;/n&gt;
 &lt;n&gt; &lt;/n&gt;&lt;goto id="60088" mapid="7" flagpoint="1" taskid="1801"/&gt;&lt;/p&gt;</t>
  </si>
  <si>
    <t>&lt;p&gt;
&lt;n&gt;  交：&lt;/n&gt;
 &lt;n&gt; &lt;/n&gt;&lt;goto id="60089" mapid="7" flagpoint="1" taskid="1811"/&gt;&lt;/p&gt;</t>
  </si>
  <si>
    <t>&lt;p&gt;
&lt;n&gt;  交：&lt;/n&gt;
 &lt;n&gt; &lt;/n&gt;&lt;goto id="60085" mapid="7" flagpoint="1" taskid="1821"/&gt;&lt;/p&gt;</t>
  </si>
  <si>
    <t>&lt;p&gt;
&lt;n&gt;  交：&lt;/n&gt;
 &lt;n&gt; &lt;/n&gt;&lt;goto id="60088" mapid="7" flagpoint="1" taskid="1831"/&gt;&lt;/p&gt;</t>
  </si>
  <si>
    <t>&lt;p&gt;
&lt;n&gt;  交：&lt;/n&gt;
 &lt;n&gt; &lt;/n&gt;&lt;goto id="60088" mapid="7" flagpoint="1" taskid="1841"/&gt;&lt;/p&gt;</t>
  </si>
  <si>
    <t>&lt;p&gt;
&lt;n&gt;  交：&lt;/n&gt;
 &lt;n&gt; &lt;/n&gt;&lt;goto id="60000" mapid="3" flagpoint="1" taskid="1842" /&gt;
&lt;/p&gt;</t>
  </si>
  <si>
    <t>&lt;p&gt;
&lt;n&gt;  交：&lt;/n&gt;
 &lt;n&gt; &lt;/n&gt;&lt;goto id="167" mapid="6" flagpoint="1" taskid="1843"/&gt;&lt;/p&gt;</t>
  </si>
  <si>
    <t>&lt;p&gt;
&lt;n&gt;  交：&lt;/n&gt;
 &lt;n&gt; &lt;/n&gt;&lt;goto id="60088" mapid="7" flagpoint="1" taskid="1844"/&gt;&lt;/p&gt;</t>
  </si>
  <si>
    <t>&lt;p&gt;
&lt;n&gt;  交：&lt;/n&gt;
 &lt;n&gt; &lt;/n&gt;&lt;goto id="60086" mapid="7" flagpoint="1" taskid="1851"/&gt;&lt;/p&gt;</t>
  </si>
  <si>
    <t>&lt;p&gt;
&lt;n&gt;  交：&lt;/n&gt;
 &lt;n&gt; &lt;/n&gt;&lt;goto id="60086" mapid="7" flagpoint="1" taskid="1861"/&gt;&lt;/p&gt;</t>
  </si>
  <si>
    <t>&lt;p&gt;
&lt;n&gt;  交：&lt;/n&gt; 
 &lt;n&gt; &lt;/n&gt;&lt;goto id="60089" mapid="7" flagpoint="1" taskid="1871"/&gt;&lt;/p&gt;</t>
  </si>
  <si>
    <t>&lt;p&gt;
&lt;n&gt;  交：&lt;/n&gt; 
 &lt;n&gt; &lt;/n&gt;&lt;goto id="60086" mapid="7" flagpoint="1" taskid="1881"/&gt;&lt;/p&gt;</t>
  </si>
  <si>
    <t xml:space="preserve"> &lt;p&gt;
&lt;n&gt;  交：&lt;/n&gt;
 &lt;n&gt; &lt;/n&gt;&lt;goto id="60086" mapid="7" flagpoint="1" taskid="1891"/&gt;&lt;/p&gt;</t>
  </si>
  <si>
    <t>&lt;p&gt;
&lt;n&gt;  交：&lt;/n&gt; 
 &lt;n&gt; &lt;/n&gt;&lt;goto id="60088" mapid="7" flagpoint="1" taskid="1901"/&gt;&lt;/p&gt;</t>
  </si>
  <si>
    <t>&lt;p&gt;
&lt;n&gt;  交：&lt;/n&gt;
 &lt;n&gt; &lt;/n&gt;&lt;goto id="60088" mapid="7" flagpoint="1" taskid="1911"/&gt;&lt;/p&gt;</t>
  </si>
  <si>
    <t>&lt;p&gt;
&lt;n&gt;  交：&lt;/n&gt; 
 &lt;n&gt; &lt;/n&gt;&lt;goto id="60087" mapid="7" flagpoint="1" taskid="1921"/&gt;&lt;/p&gt;</t>
  </si>
  <si>
    <t xml:space="preserve"> &lt;p&gt;
&lt;n&gt;  交：&lt;/n&gt;
 &lt;n&gt; &lt;/n&gt;&lt;goto id="60087" mapid="7" flagpoint="1" taskid="1931"/&gt;&lt;/p&gt;</t>
  </si>
  <si>
    <t>&lt;p&gt;
&lt;n&gt;  交：&lt;/n&gt; 
 &lt;n&gt; &lt;/n&gt;&lt;goto id="60086" mapid="7" flagpoint="1" taskid="1941"/&gt;&lt;/p&gt;</t>
  </si>
  <si>
    <t>&lt;p&gt;
&lt;n&gt;  交：&lt;/n&gt;
 &lt;n&gt; &lt;/n&gt;&lt;goto id="60086" mapid="7" flagpoint="1" taskid="1951"/&gt;&lt;/p&gt;</t>
  </si>
  <si>
    <t>&lt;p&gt;
&lt;n&gt;  交：&lt;/n&gt; 
 &lt;n&gt; &lt;/n&gt;&lt;goto id="60085" mapid="7" flagpoint="1" taskid="1961"/&gt;&lt;/p&gt;</t>
  </si>
  <si>
    <t>&lt;p&gt;
&lt;n&gt;  交：&lt;/n&gt; 
 &lt;n&gt; &lt;/n&gt;&lt;goto id="60086" mapid="7" flagpoint="1" taskid="1971"/&gt;&lt;/p&gt;</t>
  </si>
  <si>
    <t xml:space="preserve"> &lt;p&gt;
&lt;n&gt;  交：&lt;/n&gt;
 &lt;n&gt; &lt;/n&gt;&lt;goto id="60086" mapid="7" flagpoint="1" taskid="1981"/&gt;&lt;/p&gt;</t>
  </si>
  <si>
    <t>&lt;p&gt;
&lt;n&gt;  交：&lt;/n&gt; 
 &lt;n&gt; &lt;/n&gt;&lt;goto id="60087" mapid="7" flagpoint="1" taskid="1991"/&gt;&lt;/p&gt;</t>
  </si>
  <si>
    <t>&lt;p&gt;
&lt;n&gt;  交：&lt;/n&gt;
 &lt;n&gt; &lt;/n&gt;&lt;goto id="60087" mapid="7" flagpoint="1" taskid="1992"/&gt;&lt;/p&gt;</t>
  </si>
  <si>
    <t>&lt;p&gt;
&lt;n&gt;  交：&lt;/n&gt; 
 &lt;n&gt; &lt;/n&gt;&lt;goto id="60086" mapid="7" flagpoint="1" taskid="2001"/&gt;&lt;/p&gt;</t>
  </si>
  <si>
    <t>&lt;p&gt;
&lt;n&gt;  交：&lt;/n&gt;
 &lt;n&gt; &lt;/n&gt;&lt;goto id="60086" mapid="7" flagpoint="1" taskid="2011"/&gt;&lt;/p&gt;</t>
  </si>
  <si>
    <t>&lt;p&gt;
&lt;n&gt;  交：&lt;/n&gt; 
 &lt;n&gt; &lt;/n&gt;&lt;goto id="60087" mapid="7" flagpoint="1" taskid="2021"/&gt;&lt;/p&gt;</t>
  </si>
  <si>
    <t>&lt;p&gt;
&lt;n&gt;  交：&lt;/n&gt; 
 &lt;n&gt; &lt;/n&gt;&lt;goto id="60088" mapid="7" flagpoint="1" taskid="2031"/&gt;&lt;/p&gt;</t>
  </si>
  <si>
    <t xml:space="preserve"> &lt;p&gt;
&lt;n&gt;  交：&lt;/n&gt;
 &lt;n&gt; &lt;/n&gt;&lt;goto id="60088" mapid="7" flagpoint="1" taskid="2041"/&gt;&lt;/p&gt;</t>
  </si>
  <si>
    <t>&lt;p&gt;
&lt;n&gt;  交：&lt;/n&gt; 
 &lt;n&gt; &lt;/n&gt;&lt;goto id="60087" mapid="7" flagpoint="1" taskid="2051"/&gt;&lt;/p&gt;</t>
  </si>
  <si>
    <t>&lt;p&gt;
&lt;n&gt;  交：&lt;/n&gt; 
 &lt;n&gt; &lt;/n&gt;&lt;goto id="60086" mapid="7" flagpoint="1" taskid="2061"/&gt;&lt;/p&gt;</t>
  </si>
  <si>
    <t>&lt;p&gt;
&lt;n&gt;  交：&lt;/n&gt;
 &lt;n&gt; &lt;/n&gt;&lt;goto id="60086" mapid="7" flagpoint="1" taskid="2071"/&gt;&lt;/p&gt;</t>
  </si>
  <si>
    <t>&lt;p&gt;
&lt;n&gt;  交：&lt;/n&gt;
 &lt;n&gt; &lt;/n&gt;&lt;goto id="60086" mapid="7" flagpoint="1" taskid="2081"/&gt;&lt;/p&gt;</t>
  </si>
  <si>
    <t>&lt;p&gt;
&lt;n&gt;  交：&lt;/n&gt; 
 &lt;n&gt; &lt;/n&gt;&lt;goto id="60087" mapid="7" flagpoint="1" taskid="2091"/&gt;&lt;/p&gt;</t>
  </si>
  <si>
    <t>&lt;p&gt;
&lt;n&gt;  交：&lt;/n&gt; 
 &lt;n&gt; &lt;/n&gt;&lt;goto id="60086" mapid="7" flagpoint="1" taskid="2101"/&gt;&lt;/p&gt;</t>
  </si>
  <si>
    <t>&lt;p&gt;
&lt;n&gt;  交：&lt;/n&gt;
 &lt;n&gt; &lt;/n&gt;&lt;goto id="60086" mapid="7" flagpoint="1" taskid="2111"/&gt;&lt;/p&gt;</t>
  </si>
  <si>
    <t>&lt;p&gt;
&lt;n&gt;  交：&lt;/n&gt; 
 &lt;n&gt; &lt;/n&gt;&lt;goto id="60087" mapid="7" flagpoint="1" taskid="2121"/&gt;&lt;/p&gt;</t>
  </si>
  <si>
    <t>&lt;p&gt;
&lt;n&gt;  交：&lt;/n&gt; 
 &lt;n&gt; &lt;/n&gt;&lt;goto id="60086" mapid="7" flagpoint="1" taskid="2131"/&gt;&lt;/p&gt;</t>
  </si>
  <si>
    <t>&lt;p&gt;
&lt;n&gt;  交：&lt;/n&gt;
 &lt;n&gt; &lt;/n&gt;&lt;goto id="60086" mapid="7" flagpoint="1" taskid="2141"/&gt;&lt;/p&gt;</t>
  </si>
  <si>
    <t>&lt;p&gt;
&lt;n&gt;  交：&lt;/n&gt;
 &lt;n&gt; &lt;/n&gt;&lt;goto id="60086" mapid="7" flagpoint="1" taskid="2142"/&gt;&lt;/p&gt;</t>
  </si>
  <si>
    <t>&lt;p&gt;
&lt;n&gt;  交：&lt;/n&gt; 
 &lt;n&gt; &lt;/n&gt;&lt;goto id="60087" mapid="7" flagpoint="1" taskid="2151"/&gt;&lt;/p&gt;</t>
  </si>
  <si>
    <t xml:space="preserve"> &lt;p&gt;
&lt;n&gt;  交：&lt;/n&gt;
 &lt;n&gt; &lt;/n&gt;&lt;goto id="60087" mapid="7" flagpoint="1" taskid="2161"/&gt;&lt;/p&gt;</t>
  </si>
  <si>
    <t>&lt;p&gt;
&lt;n&gt;  交：&lt;/n&gt; 
 &lt;n&gt; &lt;/n&gt;&lt;goto id="60088" mapid="7" flagpoint="1" taskid="2171"/&gt;&lt;/p&gt;</t>
  </si>
  <si>
    <t>&lt;p&gt;
&lt;n&gt;  交：&lt;/n&gt;
 &lt;n&gt; &lt;/n&gt;&lt;goto id="60088" mapid="7" flagpoint="1" taskid="2181"/&gt;&lt;/p&gt;</t>
  </si>
  <si>
    <t>&lt;p&gt;
&lt;n&gt;  交：&lt;/n&gt; 
 &lt;n&gt; &lt;/n&gt;&lt;goto id="60087" mapid="7" flagpoint="1" taskid="2191"/&gt;&lt;/p&gt;</t>
  </si>
  <si>
    <t>&lt;p&gt;
&lt;n&gt;  交：&lt;/n&gt; 
 &lt;n&gt; &lt;/n&gt;&lt;goto id="60088" mapid="7" flagpoint="1" taskid="2201"/&gt;&lt;/p&gt;</t>
  </si>
  <si>
    <t>&lt;p&gt;
&lt;n&gt;  交：&lt;/n&gt;
 &lt;n&gt; &lt;/n&gt;&lt;goto id="60088" mapid="7" flagpoint="1" taskid="2211"/&gt;&lt;/p&gt;</t>
  </si>
  <si>
    <t>&lt;p&gt;
&lt;n&gt;  交： &lt;/n&gt; 
 &lt;n&gt; &lt;/n&gt;&lt;goto id="60559" mapid="5" flagpoint="1" taskid="4471" /&gt;
&lt;/p&gt;</t>
  </si>
  <si>
    <t>&lt;p&gt;
&lt;n&gt;  交： &lt;/n&gt; 
 &lt;n&gt; &lt;/n&gt;&lt;goto id="60559" mapid="5" flagpoint="1" taskid="4481" /&gt;
&lt;/p&gt;</t>
  </si>
  <si>
    <t>&lt;p&gt;
&lt;n&gt;  交： &lt;/n&gt; 
 &lt;n&gt; &lt;/n&gt;&lt;goto id="60568" mapid="5" flagpoint="1" taskid="4484" /&gt;
&lt;/p&gt;</t>
  </si>
  <si>
    <t>&lt;p&gt;
&lt;n&gt;  交： &lt;/n&gt; 
 &lt;n&gt; &lt;/n&gt;&lt;goto id="60568" mapid="5" flagpoint="1" taskid="4482" /&gt;
&lt;/p&gt;</t>
  </si>
  <si>
    <t>&lt;p&gt;
&lt;n&gt;  交： &lt;/n&gt; 
 &lt;n&gt; &lt;/n&gt;&lt;goto id="60559" mapid="5" flagpoint="1" taskid="4485" /&gt;
&lt;/p&gt;</t>
  </si>
  <si>
    <t>&lt;p&gt;
&lt;n&gt;  交： &lt;/n&gt; 
 &lt;n&gt; &lt;/n&gt;&lt;goto id="60559" mapid="5" flagpoint="1" taskid="4483" /&gt;
&lt;/p&gt;</t>
  </si>
  <si>
    <t>&lt;p&gt;
&lt;n&gt;  交： &lt;/n&gt; 
 &lt;n&gt; &lt;/n&gt;&lt;goto id="60553" mapid="5" flagpoint="1" taskid="4491" /&gt;
&lt;/p&gt;</t>
  </si>
  <si>
    <t>&lt;p&gt;
&lt;n&gt;  交： &lt;/n&gt; 
 &lt;n&gt; &lt;/n&gt;&lt;goto id="60553" mapid="5" flagpoint="1" taskid="4501" /&gt;
&lt;/p&gt;</t>
  </si>
  <si>
    <t>&lt;p&gt;
&lt;n&gt;  交： &lt;/n&gt; 
 &lt;n&gt; &lt;/n&gt;&lt;goto id="60553" mapid="5" flagpoint="1" taskid="4511" /&gt;
&lt;/p&gt;</t>
  </si>
  <si>
    <t>&lt;p&gt;
&lt;n&gt;  交： &lt;/n&gt; 
 &lt;n&gt; &lt;/n&gt;&lt;goto id="60559" mapid="5" flagpoint="1" taskid="4521" /&gt;
&lt;/p&gt;</t>
  </si>
  <si>
    <t>&lt;p&gt;
&lt;n&gt;  交： &lt;/n&gt; 
 &lt;n&gt; &lt;/n&gt;&lt;goto id="60000" mapid="3" flagpoint="1" taskid="4531" /&gt;
&lt;/p&gt;</t>
  </si>
  <si>
    <t>&lt;p&gt;
&lt;n&gt;  交： &lt;/n&gt; 
 &lt;n&gt; &lt;/n&gt;&lt;goto id="60559" mapid="5" flagpoint="1" taskid="4541" /&gt;
&lt;/p&gt;</t>
  </si>
  <si>
    <t>&lt;p&gt;
&lt;n&gt;  交： &lt;/n&gt; 
 &lt;n&gt; &lt;/n&gt;&lt;goto id="60087" mapid="7" flagpoint="1" taskid="4551" /&gt;
&lt;/p&gt;</t>
  </si>
  <si>
    <t>&lt;p&gt;
&lt;n&gt;  交： &lt;/n&gt; 
 &lt;n&gt; &lt;/n&gt;&lt;goto id="60559" mapid="5" flagpoint="1" taskid="4561" /&gt;
&lt;/p&gt;</t>
  </si>
  <si>
    <t>&lt;p&gt;
&lt;n&gt;  交： &lt;/n&gt; 
 &lt;n&gt; &lt;/n&gt;&lt;goto id="60553" mapid="5" flagpoint="1" taskid="4571" /&gt;
&lt;/p&gt;</t>
  </si>
  <si>
    <t>&lt;p&gt;
&lt;n&gt;  交： &lt;/n&gt; 
 &lt;n&gt; &lt;/n&gt;&lt;goto id="60553" mapid="5" flagpoint="1" taskid="4581" /&gt;
&lt;/p&gt;</t>
  </si>
  <si>
    <t>&lt;p&gt;
&lt;n&gt;  交： &lt;/n&gt; 
 &lt;n&gt; &lt;/n&gt;&lt;goto id="60553" mapid="5" flagpoint="1" taskid="4591" /&gt;
&lt;/p&gt;</t>
  </si>
  <si>
    <t>&lt;p&gt;
&lt;n&gt;  交： &lt;/n&gt; 
 &lt;n&gt; &lt;/n&gt;&lt;goto id="60553" mapid="5" flagpoint="1" taskid="4601" /&gt;
&lt;/p&gt;</t>
  </si>
  <si>
    <t>&lt;p&gt;
&lt;n&gt;  交： &lt;/n&gt; 
 &lt;n&gt; &lt;/n&gt;&lt;goto id="60553" mapid="5" flagpoint="1" taskid="4611" /&gt;
&lt;/p&gt;</t>
  </si>
  <si>
    <t>&lt;p&gt;
&lt;n&gt;  交： &lt;/n&gt; 
 &lt;n&gt; &lt;/n&gt;&lt;goto id="60553" mapid="5" flagpoint="1" taskid="4621" /&gt;
&lt;/p&gt;</t>
  </si>
  <si>
    <t>&lt;p&gt;
&lt;n&gt;  交： &lt;/n&gt; 
 &lt;n&gt; &lt;/n&gt;&lt;goto id="60553" mapid="5" flagpoint="1" taskid="4631" /&gt;
&lt;/p&gt;</t>
  </si>
  <si>
    <t>&lt;p&gt;
&lt;n&gt;  交： &lt;/n&gt; 
 &lt;n&gt; &lt;/n&gt;&lt;goto id="60553" mapid="5" flagpoint="1" taskid="4641" /&gt;
&lt;/p&gt;</t>
  </si>
  <si>
    <t>&lt;p&gt;
&lt;n&gt;  交： &lt;/n&gt; 
 &lt;n&gt; &lt;/n&gt;&lt;goto id="60553" mapid="5" flagpoint="1" taskid="4651" /&gt;
&lt;/p&gt;</t>
  </si>
  <si>
    <t>&lt;p&gt;
&lt;n&gt;  交： &lt;/n&gt; 
 &lt;n&gt; &lt;/n&gt;&lt;goto id="60553" mapid="5" flagpoint="1" taskid="4661" /&gt;
&lt;/p&gt;</t>
  </si>
  <si>
    <t>&lt;p&gt;
&lt;n&gt;  交： &lt;/n&gt; 
 &lt;n&gt; &lt;/n&gt;&lt;goto id="60553" mapid="5" flagpoint="1" taskid="4671" /&gt;
&lt;/p&gt;</t>
  </si>
  <si>
    <t>&lt;p&gt;
&lt;n&gt;  交： &lt;/n&gt; 
 &lt;n&gt; &lt;/n&gt;&lt;goto id="60553" mapid="5" flagpoint="1" taskid="4681" /&gt;
&lt;/p&gt;</t>
  </si>
  <si>
    <t>&lt;p&gt;
&lt;n&gt;  交： &lt;/n&gt; 
 &lt;n&gt; &lt;/n&gt;&lt;goto id="60553" mapid="5" flagpoint="1" taskid="4691" /&gt;
&lt;/p&gt;</t>
  </si>
  <si>
    <t>&lt;p&gt;
&lt;n&gt;  交： &lt;/n&gt; 
 &lt;n&gt; &lt;/n&gt;&lt;goto id="60558" mapid="5" flagpoint="1" taskid="4701" /&gt;
&lt;/p&gt;</t>
  </si>
  <si>
    <t>&lt;p&gt;
&lt;n&gt;  交： &lt;/n&gt; 
 &lt;n&gt; &lt;/n&gt;&lt;goto id="60559" mapid="5" flagpoint="1" taskid="4711" /&gt;
&lt;/p&gt;</t>
  </si>
  <si>
    <t>&lt;p&gt;
&lt;n&gt;  交： &lt;/n&gt; 
 &lt;n&gt; &lt;/n&gt;&lt;goto id="60558" mapid="5" flagpoint="1" taskid="4721" /&gt;
&lt;/p&gt;</t>
  </si>
  <si>
    <t>&lt;p&gt;
&lt;n&gt;  交： &lt;/n&gt; 
 &lt;n&gt; &lt;/n&gt;&lt;goto id="60558" mapid="5" flagpoint="1" taskid="4731" /&gt;
&lt;/p&gt;</t>
  </si>
  <si>
    <t>&lt;p&gt;
&lt;n&gt;  交： &lt;/n&gt; 
 &lt;n&gt; &lt;/n&gt;&lt;goto id="60558" mapid="5" flagpoint="1" taskid="4711" /&gt;
&lt;/p&gt;</t>
  </si>
  <si>
    <t>&lt;p&gt;
&lt;n&gt;  交： &lt;/n&gt; 
 &lt;n&gt; &lt;/n&gt;&lt;goto id="60045" mapid="1" flagpoint="1" taskid="4751" /&gt;
&lt;/p&gt;</t>
  </si>
  <si>
    <t>&lt;p&gt;
&lt;n&gt;  交： &lt;/n&gt; 
 &lt;n&gt; &lt;/n&gt;&lt;goto id="60045" mapid="1" flagpoint="1" taskid="4761" /&gt;
&lt;/p&gt;</t>
  </si>
  <si>
    <t>&lt;p&gt;
&lt;n&gt;  交： &lt;/n&gt; 
 &lt;n&gt; &lt;/n&gt;&lt;goto id="60558" mapid="5" flagpoint="1" taskid="4771" /&gt;
&lt;/p&gt;</t>
  </si>
  <si>
    <t>&lt;p&gt;
&lt;n&gt;  交： &lt;/n&gt; 
 &lt;n&gt; &lt;/n&gt;&lt;goto id="60558" mapid="5" flagpoint="1" taskid="4781" /&gt;
&lt;/p&gt;</t>
  </si>
  <si>
    <t>&lt;p&gt;
&lt;n&gt;  交： &lt;/n&gt; 
 &lt;n&gt; &lt;/n&gt;&lt;goto id="60558" mapid="5" flagpoint="1" taskid="4791" /&gt;
&lt;/p&gt;</t>
  </si>
  <si>
    <t>&lt;p&gt;
&lt;n&gt;  交： &lt;/n&gt; 
 &lt;n&gt; &lt;/n&gt;&lt;goto id="60558" mapid="5" flagpoint="1" taskid="4801" /&gt;
&lt;/p&gt;</t>
  </si>
  <si>
    <t>&lt;p&gt;
&lt;n&gt;  交： &lt;/n&gt; 
 &lt;n&gt; &lt;/n&gt;&lt;goto id="60554" mapid="1" flagpoint="1" taskid="4811" /&gt;
&lt;/p&gt;</t>
  </si>
  <si>
    <t>&lt;p&gt;
&lt;n&gt;  交： &lt;/n&gt; 
 &lt;n&gt; &lt;/n&gt;&lt;goto id="60553" mapid="5" flagpoint="1" taskid="4821" /&gt;
&lt;/p&gt;</t>
  </si>
  <si>
    <t>&lt;p&gt;
&lt;n&gt;  交： &lt;/n&gt; 
 &lt;n&gt; &lt;/n&gt;&lt;goto id="60559" mapid="5" flagpoint="1" taskid="4831" /&gt;
&lt;/p&gt;</t>
  </si>
  <si>
    <t>&lt;p&gt;
&lt;n&gt;  交： &lt;/n&gt; 
 &lt;n&gt; &lt;/n&gt;&lt;goto id="60554" mapid="5" flagpoint="1" taskid="4841" /&gt;
&lt;/p&gt;</t>
  </si>
  <si>
    <t>&lt;p&gt;
&lt;n&gt;  交： &lt;/n&gt; 
 &lt;n&gt; &lt;/n&gt;&lt;goto id="60554" mapid="5" flagpoint="1" taskid="4851" /&gt;
&lt;/p&gt;</t>
  </si>
  <si>
    <t>&lt;p&gt;
&lt;n&gt;  交： &lt;/n&gt; 
 &lt;n&gt; &lt;/n&gt;&lt;goto id="60554" mapid="5" flagpoint="1" taskid="4861" /&gt;
&lt;/p&gt;</t>
  </si>
  <si>
    <t>&lt;p&gt;
&lt;n&gt;  交： &lt;/n&gt; 
 &lt;n&gt; &lt;/n&gt;&lt;goto id="60554" mapid="5" flagpoint="1" taskid="4871" /&gt;
&lt;/p&gt;</t>
  </si>
  <si>
    <t>&lt;p&gt;
&lt;n&gt;  交： &lt;/n&gt; 
 &lt;n&gt; &lt;/n&gt;&lt;goto id="60554" mapid="5" flagpoint="1" taskid="4881" /&gt;
&lt;/p&gt;</t>
  </si>
  <si>
    <t>&lt;p&gt;
&lt;n&gt;  交： &lt;/n&gt; 
 &lt;n&gt; &lt;/n&gt;&lt;goto id="60558" mapid="5" flagpoint="1" taskid="4891" /&gt;
&lt;/p&gt;</t>
  </si>
  <si>
    <t>&lt;p&gt;
&lt;n&gt;  交： &lt;/n&gt; 
 &lt;n&gt; &lt;/n&gt;&lt;goto id="60559" mapid="5" flagpoint="1" taskid="4901" /&gt;
&lt;/p&gt;</t>
  </si>
  <si>
    <t>&lt;p&gt;
&lt;n&gt;  交： &lt;/n&gt; 
 &lt;n&gt; &lt;/n&gt;&lt;goto id="60555" mapid="5" flagpoint="1" taskid="4911" /&gt;
&lt;/p&gt;</t>
  </si>
  <si>
    <t>&lt;p&gt;
&lt;n&gt;  交： &lt;/n&gt; 
 &lt;n&gt; &lt;/n&gt;&lt;goto id="60555" mapid="5" flagpoint="1" taskid="4921" /&gt;
&lt;/p&gt;</t>
  </si>
  <si>
    <t>&lt;p&gt;
&lt;n&gt;  交： &lt;/n&gt; 
 &lt;n&gt; &lt;/n&gt;&lt;goto id="60555" mapid="5" flagpoint="1" taskid="4931" /&gt;
&lt;/p&gt;</t>
  </si>
  <si>
    <t>&lt;p&gt;
&lt;n&gt;  交： &lt;/n&gt; 
 &lt;n&gt; &lt;/n&gt;&lt;goto id="60555" mapid="5" flagpoint="1" taskid="4941" /&gt;
&lt;/p&gt;</t>
  </si>
  <si>
    <t>&lt;p&gt;
&lt;n&gt;  交： &lt;/n&gt; 
 &lt;n&gt; &lt;/n&gt;&lt;goto id="60559" mapid="5" flagpoint="1" taskid="4951" /&gt;
&lt;/p&gt;</t>
  </si>
  <si>
    <t>&lt;p&gt;
&lt;n&gt;  交： &lt;/n&gt; 
 &lt;n&gt; &lt;/n&gt;&lt;goto id="60555" mapid="5" flagpoint="1" taskid="4961" /&gt;
&lt;/p&gt;</t>
  </si>
  <si>
    <t>&lt;p&gt;
&lt;n&gt;  交： &lt;/n&gt; 
 &lt;n&gt; &lt;/n&gt;&lt;goto id="60555" mapid="5" flagpoint="1" taskid="4971" /&gt;
&lt;/p&gt;</t>
  </si>
  <si>
    <t>&lt;p&gt;
&lt;n&gt;  交： &lt;/n&gt; 
 &lt;n&gt; &lt;/n&gt;&lt;goto id="60555" mapid="5" flagpoint="1" taskid="4981" /&gt;
&lt;/p&gt;</t>
  </si>
  <si>
    <t>&lt;p&gt;
&lt;n&gt;  交： &lt;/n&gt; 
 &lt;n&gt; &lt;/n&gt;&lt;goto id="60555" mapid="5" flagpoint="1" taskid="4991" /&gt;
&lt;/p&gt;</t>
  </si>
  <si>
    <t>&lt;p&gt;
&lt;n&gt;  交： &lt;/n&gt; 
 &lt;n&gt; &lt;/n&gt;&lt;goto id="60555" mapid="5" flagpoint="1" taskid="5001" /&gt;
&lt;/p&gt;</t>
  </si>
  <si>
    <t>&lt;p&gt;
&lt;n&gt;  交： &lt;/n&gt; 
 &lt;n&gt; &lt;/n&gt;&lt;goto id="60555" mapid="5" flagpoint="1" taskid="5011" /&gt;
&lt;/p&gt;</t>
  </si>
  <si>
    <t>&lt;p&gt;
&lt;n&gt;  交： &lt;/n&gt; 
 &lt;n&gt; &lt;/n&gt;&lt;goto id="60555" mapid="5" flagpoint="1" taskid="5021" /&gt;
&lt;/p&gt;</t>
  </si>
  <si>
    <t>&lt;p&gt;
&lt;n&gt;  交： &lt;/n&gt; 
 &lt;n&gt; &lt;/n&gt;&lt;goto id="60555" mapid="5" flagpoint="1" taskid="5031" /&gt;
&lt;/p&gt;</t>
  </si>
  <si>
    <t>&lt;p&gt;
&lt;n&gt;  交： &lt;/n&gt; 
 &lt;n&gt; &lt;/n&gt;&lt;goto id="60555" mapid="5" flagpoint="1" taskid="5041" /&gt;
&lt;/p&gt;</t>
  </si>
  <si>
    <t>&lt;p&gt;
&lt;n&gt;  交： &lt;/n&gt; 
 &lt;n&gt; &lt;/n&gt;&lt;goto id="60555" mapid="5" flagpoint="1" taskid="5051" /&gt;
&lt;/p&gt;</t>
  </si>
  <si>
    <t>&lt;p&gt;
&lt;n&gt;  交： &lt;/n&gt; 
 &lt;n&gt; &lt;/n&gt;&lt;goto id="60555" mapid="5" flagpoint="1" taskid="5061" /&gt;
&lt;/p&gt;</t>
  </si>
  <si>
    <t>&lt;p&gt;
&lt;n&gt;  交： &lt;/n&gt; 
 &lt;n&gt; &lt;/n&gt;&lt;goto id="60555" mapid="5" flagpoint="1" taskid="5071" /&gt;
&lt;/p&gt;</t>
  </si>
  <si>
    <t>&lt;p&gt;
&lt;n&gt;  交： &lt;/n&gt; 
 &lt;n&gt; &lt;/n&gt;&lt;goto id="60559" mapid="5" flagpoint="1" taskid="5081" /&gt;
&lt;/p&gt;</t>
  </si>
  <si>
    <t>&lt;p&gt;
&lt;n&gt;  交： &lt;/n&gt; 
 &lt;n&gt; &lt;/n&gt;&lt;goto id="60556" mapid="5" flagpoint="1" taskid="5091" /&gt;
&lt;/p&gt;</t>
  </si>
  <si>
    <t>&lt;p&gt;
&lt;n&gt;  交： &lt;/n&gt; 
 &lt;n&gt; &lt;/n&gt;&lt;goto id="60556" mapid="5" flagpoint="1" taskid="5101" /&gt;
&lt;/p&gt;</t>
  </si>
  <si>
    <t>&lt;p&gt;
&lt;n&gt;  交： &lt;/n&gt; 
 &lt;n&gt; &lt;/n&gt;&lt;goto id="60556" mapid="5" flagpoint="1" taskid="5111" /&gt;
&lt;/p&gt;</t>
  </si>
  <si>
    <t>&lt;p&gt;
&lt;n&gt;  交： &lt;/n&gt; 
 &lt;n&gt; &lt;/n&gt;&lt;goto id="60556" mapid="5" flagpoint="1" taskid="5121" /&gt;
&lt;/p&gt;</t>
  </si>
  <si>
    <t>&lt;p&gt;
&lt;n&gt;  交： &lt;/n&gt; 
 &lt;n&gt; &lt;/n&gt;&lt;goto id="60556" mapid="5" flagpoint="1" taskid="5131" /&gt;
&lt;/p&gt;</t>
  </si>
  <si>
    <t>&lt;p&gt;
&lt;n&gt;  交： &lt;/n&gt; 
 &lt;n&gt; &lt;/n&gt;&lt;goto id="60556" mapid="5" flagpoint="1" taskid="5141" /&gt;
&lt;/p&gt;</t>
  </si>
  <si>
    <t>&lt;p&gt;
&lt;n&gt;  交： &lt;/n&gt; 
 &lt;n&gt; &lt;/n&gt;&lt;goto id="60556" mapid="5" flagpoint="1" taskid="5151" /&gt;
&lt;/p&gt;</t>
  </si>
  <si>
    <t>&lt;p&gt;
&lt;n&gt;  交： &lt;/n&gt; 
 &lt;n&gt; &lt;/n&gt;&lt;goto id="60556" mapid="5" flagpoint="1" taskid="5161" /&gt;
&lt;/p&gt;</t>
  </si>
  <si>
    <t>&lt;p&gt;
&lt;n&gt;  交： &lt;/n&gt; 
 &lt;n&gt; &lt;/n&gt;&lt;goto id="60556" mapid="5" flagpoint="1" taskid="5171" /&gt;
&lt;/p&gt;</t>
  </si>
  <si>
    <t>&lt;p&gt;
&lt;n&gt;  交： &lt;/n&gt; 
 &lt;n&gt; &lt;/n&gt;&lt;goto id="60556" mapid="5" flagpoint="1" taskid="5181" /&gt;
&lt;/p&gt;</t>
  </si>
  <si>
    <t>&lt;p&gt;
&lt;n&gt;  交： &lt;/n&gt; 
 &lt;n&gt; &lt;/n&gt;&lt;goto id="60556" mapid="5" flagpoint="1" taskid="5191" /&gt;
&lt;/p&gt;</t>
  </si>
  <si>
    <t>&lt;p&gt;
&lt;n&gt;  交： &lt;/n&gt; 
 &lt;n&gt; &lt;/n&gt;&lt;goto id="60556" mapid="5" flagpoint="1" taskid="5201" /&gt;
&lt;/p&gt;</t>
  </si>
  <si>
    <t>&lt;p&gt;
&lt;n&gt;  交： &lt;/n&gt; 
 &lt;n&gt; &lt;/n&gt;&lt;goto id="60556" mapid="5" flagpoint="1" taskid="5211" /&gt;
&lt;/p&gt;</t>
  </si>
  <si>
    <t>&lt;p&gt;
&lt;n&gt;  交： &lt;/n&gt; 
 &lt;n&gt; &lt;/n&gt;&lt;goto id="60556" mapid="5" flagpoint="1" taskid="5221" /&gt;
&lt;/p&gt;</t>
  </si>
  <si>
    <t>&lt;p&gt;
&lt;n&gt;  交： &lt;/n&gt; 
 &lt;n&gt; &lt;/n&gt;&lt;goto id="60556" mapid="5" flagpoint="1" taskid="5231" /&gt;
&lt;/p&gt;</t>
  </si>
  <si>
    <t>&lt;p&gt;
&lt;n&gt;  交： &lt;/n&gt; 
 &lt;n&gt; &lt;/n&gt;&lt;goto id="60556" mapid="5" flagpoint="1" taskid="5241" /&gt;
&lt;/p&gt;</t>
  </si>
  <si>
    <t>&lt;p&gt;
&lt;n&gt;  交： &lt;/n&gt; 
 &lt;n&gt; &lt;/n&gt;&lt;goto id="60556" mapid="5" flagpoint="1" taskid="5251" /&gt;
&lt;/p&gt;</t>
  </si>
  <si>
    <t>&lt;p&gt;
&lt;n&gt;  交： &lt;/n&gt; 
 &lt;n&gt; &lt;/n&gt;&lt;goto id="60556" mapid="5" flagpoint="1" taskid="5261" /&gt;
&lt;/p&gt;</t>
  </si>
  <si>
    <t>&lt;p&gt;
&lt;n&gt;  交： &lt;/n&gt; 
 &lt;n&gt; &lt;/n&gt;&lt;goto id="60556" mapid="5" flagpoint="1" taskid="5271" /&gt;
&lt;/p&gt;</t>
  </si>
  <si>
    <t>&lt;p&gt;
&lt;n&gt;  交： &lt;/n&gt; 
 &lt;n&gt; &lt;/n&gt;&lt;goto id="60556" mapid="5" flagpoint="1" taskid="5281" /&gt;
&lt;/p&gt;</t>
  </si>
  <si>
    <t>&lt;p&gt;
&lt;n&gt;  交：&lt;/n&gt;
 &lt;n&gt; &lt;/n&gt;&lt;goto id="60065" mapid="3" flagpoint="1" taskid="10000"/&gt;&lt;/p&gt;</t>
  </si>
  <si>
    <t>&lt;p&gt;
&lt;n&gt;  交：&lt;/n&gt;
 &lt;n&gt; &lt;/n&gt;&lt;goto id="60049" mapid="4" flagpoint="1" taskid="10001"/&gt;&lt;/p&gt;</t>
  </si>
  <si>
    <t>&lt;p&gt;
&lt;n&gt;  交：&lt;/n&gt;
 &lt;n&gt; &lt;/n&gt;&lt;goto id="60049" mapid="4" flagpoint="1" taskid="10002"/&gt;&lt;/p&gt;</t>
  </si>
  <si>
    <t>&lt;p&gt;
&lt;n&gt;  交：&lt;/n&gt;
 &lt;n&gt; &lt;/n&gt;&lt;goto id="60000" mapid="3" flagpoint="1" taskid="13052"/&gt;&lt;/p&gt;</t>
  </si>
  <si>
    <t>&lt;p&gt;
&lt;n&gt;  交：&lt;/n&gt;
 &lt;n&gt; &lt;/n&gt;&lt;goto id="60000" mapid="3" flagpoint="1" taskid="13051"/&gt;&lt;/p&gt;</t>
  </si>
  <si>
    <t>&lt;p&gt;
&lt;n&gt;  交：&lt;/n&gt;
 &lt;n&gt; &lt;/n&gt;&lt;goto id="60017" mapid="2" flagpoint="1" taskid="10021"/&gt;&lt;/p&gt;</t>
  </si>
  <si>
    <t>&lt;p&gt;
&lt;n&gt;  交：&lt;/n&gt;
 &lt;n&gt; &lt;/n&gt;&lt;goto id="60098" mapid="6" flagpoint="1" taskid="11571"/&gt;&lt;/p&gt;</t>
  </si>
  <si>
    <t>&lt;p&gt;
&lt;n&gt;  交：&lt;/n&gt;
 &lt;n&gt; &lt;/n&gt;&lt;goto id="60073" mapid="3" flagpoint="1" taskid="11581"/&gt;&lt;/p&gt;</t>
  </si>
  <si>
    <t>&lt;p&gt;
&lt;n&gt;  交：&lt;/n&gt;
 &lt;n&gt; &lt;/n&gt;&lt;goto id="60074" mapid="3" flagpoint="1" taskid="11591"/&gt;&lt;/p&gt;</t>
  </si>
  <si>
    <t>&lt;p&gt;
&lt;n&gt;  交：&lt;/n&gt;
 &lt;n&gt; &lt;/n&gt;&lt;goto id="60078" mapid="3" flagpoint="1" taskid="11601"/&gt;&lt;/p&gt;</t>
  </si>
  <si>
    <t>&lt;p&gt;
&lt;n&gt;  交：&lt;/n&gt;
 &lt;n&gt; &lt;/n&gt;&lt;goto id="60000" mapid="3" flagpoint="1" taskid="11611"/&gt;&lt;/p&gt;</t>
  </si>
  <si>
    <t>&lt;p&gt;
&lt;n&gt;  交：&lt;/n&gt;
 &lt;n&gt; &lt;/n&gt;&lt;goto id="60078" mapid="3" flagpoint="1" taskid="11621"/&gt;&lt;/p&gt;</t>
  </si>
  <si>
    <t>&lt;p&gt;
&lt;n&gt;  交：&lt;/n&gt;
 &lt;n&gt; &lt;/n&gt;&lt;goto id="60074" mapid="3" flagpoint="1" flagdrawrect="1"/&gt; 
&lt;/p&gt;</t>
  </si>
  <si>
    <t>&lt;p&gt;
&lt;n&gt;  交：&lt;/n&gt;
 &lt;n&gt; &lt;/n&gt;&lt;goto id="60073" mapid="3" flagpoint="1" flagdrawrect="1"/&gt; 
&lt;/p&gt;</t>
  </si>
  <si>
    <t>&lt;p&gt;
&lt;n&gt;  交：&lt;/n&gt;
 &lt;n&gt; &lt;/n&gt;&lt;goto id="60074" mapid="3" flagpoint="1" taskid="11631"/&gt;&lt;/p&gt;</t>
  </si>
  <si>
    <t>&lt;p&gt;
&lt;n&gt;  去美食家尼古拉那里要点吃的&lt;/n&gt;
&lt;newline/&gt;
&lt;n&gt;  交：&lt;/n&gt;
 &lt;n&gt; &lt;/n&gt;&lt;goto id="60074" mapid="3" flagpoint="1" taskid="11641"/&gt;&lt;/p&gt;</t>
  </si>
  <si>
    <t>&lt;p&gt;
&lt;n&gt;  交：&lt;/n&gt;
 &lt;n&gt; &lt;/n&gt;&lt;goto id="60074" mapid="3" flagpoint="1" taskid="11651"/&gt;&lt;/p&gt;</t>
  </si>
  <si>
    <t>&lt;p&gt;
&lt;n&gt;  交：&lt;/n&gt;
 &lt;n&gt; &lt;/n&gt;&lt;goto id="60000" mapid="3" flagpoint="1" taskid="11661"/&gt;&lt;/p&gt;</t>
  </si>
  <si>
    <t>&lt;p&gt;
&lt;n&gt;  交：&lt;/n&gt;
 &lt;n&gt; &lt;/n&gt;&lt;goto id="60000" mapid="3" flagpoint="1" taskid="11671"/&gt;&lt;/p&gt;</t>
  </si>
  <si>
    <t>&lt;p&gt;
&lt;n&gt;  交：&lt;/n&gt;
 &lt;n&gt; &lt;/n&gt;&lt;goto id="60074" mapid="3" flagpoint="1" taskid="11681"/&gt;&lt;/p&gt;</t>
  </si>
  <si>
    <t>&lt;p&gt;
&lt;n&gt;  交：&lt;/n&gt;
 &lt;n&gt; &lt;/n&gt;&lt;goto id="60085" mapid="7" flagpoint="1" taskid="11691"/&gt;&lt;/p&gt;</t>
  </si>
  <si>
    <t>&lt;p&gt;
&lt;n&gt;  交：&lt;/n&gt;
 &lt;n&gt; &lt;/n&gt;&lt;goto id="60074" mapid="3" flagpoint="1" taskid="11701"/&gt;&lt;/p&gt;</t>
  </si>
  <si>
    <t>&lt;p&gt;
&lt;n&gt;  交：&lt;/n&gt;
 &lt;n&gt; &lt;/n&gt;&lt;goto id="60088" mapid="7" flagpoint="1" taskid="11731"/&gt;&lt;/p&gt;</t>
  </si>
  <si>
    <t>&lt;p&gt;
&lt;n&gt;  交：&lt;/n&gt;
 &lt;n&gt; &lt;/n&gt;&lt;goto id="60088" mapid="7" flagpoint="1" taskid="11741"/&gt;&lt;/p&gt;</t>
  </si>
  <si>
    <t>&lt;p&gt;
&lt;n&gt;  交：&lt;/n&gt;
 &lt;n&gt; &lt;/n&gt;&lt;goto id="60088" mapid="7" flagpoint="1" taskid="11751"/&gt;&lt;/p&gt;</t>
  </si>
  <si>
    <t>&lt;p&gt;
&lt;n&gt;  交：&lt;/n&gt;
 &lt;n&gt; &lt;/n&gt;&lt;goto id="60087" mapid="7" flagpoint="1" taskid="11761"/&gt;&lt;/p&gt;</t>
  </si>
  <si>
    <t>&lt;p&gt;
&lt;n&gt;  交：&lt;/n&gt;
 &lt;n&gt; &lt;/n&gt;&lt;goto id="60073" mapid="3" flagpoint="1" taskid="11771"/&gt;&lt;/p&gt;</t>
  </si>
  <si>
    <t>&lt;p&gt;
&lt;n&gt;  交：&lt;/n&gt;
 &lt;n&gt; &lt;/n&gt;&lt;goto id="60072" mapid="3" flagpoint="1" taskid="11781"/&gt;&lt;/p&gt;</t>
  </si>
  <si>
    <t>&lt;p&gt;
&lt;n&gt;  交：&lt;/n&gt;
 &lt;n&gt; &lt;/n&gt;&lt;goto id="60093" mapid="6" flagpoint="1" taskid="11791"/&gt;&lt;/p&gt;</t>
  </si>
  <si>
    <t>&lt;p&gt;
&lt;n&gt;  交：&lt;/n&gt;
 &lt;n&gt; &lt;/n&gt;&lt;goto id="60072" mapid="3" flagpoint="1" taskid="11801"/&gt;&lt;/p&gt;</t>
  </si>
  <si>
    <t>&lt;p&gt;
&lt;n&gt;  交：&lt;/n&gt;
 &lt;n&gt; &lt;/n&gt;&lt;goto id="60093" mapid="6" flagpoint="1" taskid="11811"/&gt;&lt;/p&gt;</t>
  </si>
  <si>
    <t>&lt;p&gt;
&lt;n&gt;  交：&lt;/n&gt;
 &lt;n&gt; &lt;/n&gt;&lt;goto id="60072" mapid="3" flagpoint="1" taskid="11821"/&gt;&lt;/p&gt;</t>
  </si>
  <si>
    <t>&lt;p&gt;
&lt;n&gt;  交：&lt;/n&gt;
 &lt;n&gt; &lt;/n&gt;&lt;goto id="60016" mapid="2" flagpoint="1" taskid="10021"/&gt;&lt;/p&gt;</t>
  </si>
  <si>
    <t>&lt;p&gt;
&lt;n&gt;  交：&lt;/n&gt;
 &lt;n&gt; &lt;/n&gt;&lt;goto id="60016" mapid="2" flagpoint="1" taskid="10023"/&gt;&lt;/p&gt;</t>
  </si>
  <si>
    <t>&lt;p&gt;
&lt;n&gt;  交：&lt;/n&gt;
 &lt;n&gt; &lt;/n&gt;&lt;goto id="60042" mapid="2" flagpoint="1" taskid="10022"/&gt;&lt;/p&gt;</t>
  </si>
  <si>
    <t>&lt;p&gt;
&lt;n&gt;  交：&lt;/n&gt;
 &lt;n&gt; &lt;/n&gt;&lt;goto id="60042" mapid="2" flagpoint="1" taskid="10025"/&gt;&lt;/p&gt;</t>
  </si>
  <si>
    <t>&lt;p&gt;
&lt;n&gt;  交：&lt;/n&gt;
 &lt;n&gt; &lt;/n&gt;&lt;goto id="60028" mapid="2" flagpoint="1" taskid="10024"/&gt;&lt;/p&gt;</t>
  </si>
  <si>
    <t>&lt;p&gt;
&lt;n&gt;  交：&lt;/n&gt;
 &lt;n&gt; &lt;/n&gt;&lt;goto id="60028" mapid="2" flagpoint="1" taskid="10026"/&gt;&lt;/p&gt;</t>
  </si>
  <si>
    <t>&lt;p&gt;
&lt;n&gt;  交：&lt;/n&gt;
 &lt;n&gt; &lt;/n&gt;&lt;goto id="60000" mapid="3" flagpoint="1" taskid="10101"/&gt;&lt;/p&gt;</t>
  </si>
  <si>
    <t>&lt;p&gt;
&lt;n&gt;  交：&lt;/n&gt;
 &lt;n&gt; &lt;/n&gt;&lt;goto id="60000" mapid="3" flagpoint="1" taskid="10102"/&gt;&lt;/p&gt;</t>
  </si>
  <si>
    <t>&lt;p&gt;
&lt;n&gt;  交：&lt;/n&gt;
 &lt;n&gt; &lt;/n&gt;&lt;goto id="60055" mapid="3" flagpoint="1" taskid="10105"/&gt;&lt;/p&gt;</t>
  </si>
  <si>
    <t>&lt;p&gt;
&lt;n&gt;  交：&lt;/n&gt;
 &lt;n&gt; &lt;/n&gt;&lt;goto id="60055" mapid="3" flagpoint="1" taskid="10106"/&gt;&lt;/p&gt;</t>
  </si>
  <si>
    <t>&lt;p&gt;
&lt;n&gt;  交：&lt;/n&gt;
 &lt;n&gt; &lt;/n&gt;&lt;goto id="60062" mapid="4" flagpoint="1" taskid="10107"/&gt;&lt;/p&gt;</t>
  </si>
  <si>
    <t>&lt;p&gt;
&lt;n&gt;  交：&lt;/n&gt;
 &lt;n&gt; &lt;/n&gt;&lt;goto id="60062" mapid="3" flagpoint="1" taskid="10108"/&gt;&lt;/p&gt;</t>
  </si>
  <si>
    <t>&lt;p&gt;
&lt;n&gt;  交：&lt;/n&gt;
 &lt;n&gt; &lt;/n&gt;&lt;goto id="60072" mapid="3" flagpoint="1" taskid="10109"/&gt;&lt;/p&gt;</t>
  </si>
  <si>
    <t>&lt;p&gt;
&lt;n&gt;  交：&lt;/n&gt;
 &lt;n&gt; &lt;/n&gt;&lt;goto id="60072" mapid="3" flagpoint="1" taskid="10110"/&gt;&lt;/p&gt;</t>
  </si>
  <si>
    <t>&lt;p&gt;
&lt;n&gt;  交：&lt;/n&gt;
 &lt;n&gt; &lt;/n&gt;&lt;goto id="60075" mapid="3" flagpoint="1" taskid="10111"/&gt;&lt;/p&gt;</t>
  </si>
  <si>
    <t>&lt;p&gt;
&lt;n&gt;  交：&lt;/n&gt;
 &lt;n&gt; &lt;/n&gt;&lt;goto id="60075" mapid="3" flagpoint="1" taskid="10112"/&gt;&lt;/p&gt;</t>
  </si>
  <si>
    <t>&lt;p&gt;
&lt;n&gt;  交：&lt;/n&gt;
 &lt;n&gt; &lt;/n&gt;&lt;goto id="60099" mapid="6" flagpoint="1" taskid="10113"/&gt;&lt;/p&gt;</t>
  </si>
  <si>
    <t>&lt;p&gt;
&lt;n&gt;  交：&lt;/n&gt;
 &lt;n&gt; &lt;/n&gt;&lt;goto id="60099" mapid="6" flagpoint="1" taskid="10114"/&gt;&lt;/p&gt;</t>
  </si>
  <si>
    <t>&lt;p&gt;
&lt;n&gt;  交：&lt;/n&gt;
 &lt;n&gt; &lt;/n&gt;&lt;goto id="165" mapid="7" flagpoint="1" taskid="10115"/&gt;&lt;/p&gt;</t>
  </si>
  <si>
    <t>&lt;p&gt;
&lt;n&gt;  交：&lt;/n&gt;
 &lt;n&gt; &lt;/n&gt;&lt;goto id="165" mapid="7" flagpoint="1" taskid="10116"/&gt;&lt;/p&gt;</t>
  </si>
  <si>
    <t>&lt;p&gt;
&lt;n&gt;  交：&lt;/n&gt;
 &lt;n&gt; &lt;/n&gt;&lt;goto id="60066" mapid="2" flagpoint="1" taskid="10200"/&gt;
&lt;/p&gt;</t>
  </si>
  <si>
    <t>&lt;p&gt;
&lt;n&gt;  交：&lt;/n&gt;
 &lt;n&gt; &lt;/n&gt;&lt;goto id="60066" mapid="3" flagpoint="1" taskid="10201"/&gt;
&lt;/p&gt;</t>
  </si>
  <si>
    <t>&lt;p&gt;
&lt;n&gt;  交：&lt;/n&gt;
 &lt;n&gt; &lt;/n&gt;&lt;goto id="60066" mapid="3" flagpoint="1" taskid="10202"/&gt;
&lt;/p&gt;</t>
  </si>
  <si>
    <t>&lt;p&gt;
&lt;n&gt;  交：&lt;/n&gt;
 &lt;n&gt; &lt;/n&gt;&lt;goto id="60066" mapid="3" flagpoint="1" taskid="10203"/&gt;
&lt;/p&gt;</t>
  </si>
  <si>
    <t>&lt;p&gt;
&lt;n&gt;  交：&lt;/n&gt;
 &lt;n&gt; &lt;/n&gt;&lt;goto id="60061" mapid="3" flagpoint="1" taskid="10325"/&gt;
&lt;/p&gt;</t>
  </si>
  <si>
    <t>&lt;p&gt;
&lt;n&gt;  交：&lt;/n&gt;
 &lt;n&gt; &lt;/n&gt;&lt;goto id="60061" mapid="3" flagpoint="1" taskid="10326"/&gt;
&lt;/p&gt;</t>
  </si>
  <si>
    <t>&lt;p&gt;
&lt;n&gt;  交：&lt;/n&gt;
 &lt;n&gt; &lt;/n&gt;&lt;goto id="60061" mapid="3" flagpoint="1" taskid="10327"/&gt;
&lt;/p&gt;</t>
  </si>
  <si>
    <t>&lt;p&gt;
&lt;n&gt;  交：&lt;/n&gt;
 &lt;n&gt; &lt;/n&gt;&lt;goto id="60061" mapid="3" flagpoint="1" taskid="10328"/&gt;
&lt;/p&gt;</t>
  </si>
  <si>
    <t>&lt;p&gt;
&lt;n&gt;  交：&lt;/n&gt;
 &lt;n&gt; &lt;/n&gt;&lt;goto id="135" mapid="3" flagpoint="1" taskid="10731"/&gt;
&lt;/p&gt;</t>
  </si>
  <si>
    <t>&lt;p&gt;
&lt;n&gt;  带着肚子熊前往&lt;/n&gt;
&lt;newline/&gt;
&lt;n&gt;  交：&lt;/n&gt;
 &lt;n&gt; &lt;/n&gt;&lt;goto id="135" mapid="3" flagpoint="1" flagdrawrect="1" taskid="10732"/&gt;
&lt;/p&gt;</t>
  </si>
  <si>
    <t>&lt;p&gt;
&lt;n&gt;  加入团并进入家族府邸&lt;/n&gt;&lt;newline/&gt;
&lt;n&gt;  交：&lt;/n&gt;
 &lt;n&gt; &lt;/n&gt;&lt;goto id="45110" mapid="101" flagpoint="1" flagdrawrect="1" taskid="12032"/&gt;
&lt;/p&gt;</t>
  </si>
  <si>
    <t>&lt;p&gt;
&lt;n&gt;  交：&lt;/n&gt;
 &lt;n&gt; &lt;/n&gt;&lt;goto id="60163" mapid="3" flagpoint="1" flagdrawrect="1" taskid="10502"/&gt;
&lt;/p&gt;</t>
  </si>
  <si>
    <t>&lt;p&gt;
&lt;n&gt;  交：&lt;/n&gt;
 &lt;n&gt; &lt;/n&gt;&lt;goto id="113" mapid="3" flagpoint="1" flagdrawrect="1" taskid="10713"/&gt;
&lt;/p&gt;</t>
  </si>
  <si>
    <t>&lt;p&gt;
&lt;n&gt;  交：&lt;/n&gt;
 &lt;n&gt; &lt;/n&gt;&lt;goto id="113" mapid="3" flagpoint="1" flagdrawrect="1" taskid="10712"/&gt;
&lt;/p&gt;</t>
  </si>
  <si>
    <t>&lt;p&gt;
&lt;n&gt;  交：&lt;/n&gt;
 &lt;n&gt; &lt;/n&gt;&lt;goto id="60073" mapid="3" flagpoint="1" flagdrawrect="1" taskid="10761"/&gt;
&lt;/p&gt;</t>
  </si>
  <si>
    <t>&lt;p&gt;
&lt;n&gt;  交：&lt;/n&gt;
&lt;goto id="60076" mapid="3" flagpoint="1" flagdrawrect="1" taskid="10762"/&gt;
&lt;newline/&gt;
&lt;n&gt;狄尔一直在移动，你可以在凤城里头碰碰运气&lt;/n&gt;
&lt;/p&gt;</t>
  </si>
  <si>
    <t>&lt;p&gt;
&lt;n&gt;  交：&lt;/n&gt;
&lt;goto id="60076" mapid="3" flagpoint="1" flagdrawrect="1" taskid="10763"/&gt;
&lt;newline/&gt;
&lt;n&gt;狄尔一直在移动，你可以在凤城里头碰碰运气&lt;/n&gt;
&lt;/p&gt;</t>
  </si>
  <si>
    <t>&lt;p&gt;
&lt;n&gt;  交： &lt;/n&gt;
 &lt;n&gt; &lt;/n&gt;&lt;goto id="120" mapid="3" flagpoint="1" taskid="11830" /&gt;
&lt;/p&gt;</t>
  </si>
  <si>
    <t>&lt;p&gt;
&lt;n&gt;  交：&lt;/n&gt;
 &lt;n&gt; &lt;/n&gt;&lt;goto id="60000" mapid="3" flagpoint="1" flagdrawrect="1" taskid="11831"/&gt;
&lt;/p&gt;</t>
  </si>
  <si>
    <t>&lt;p&gt;
&lt;n&gt;  交：&lt;/n&gt;
 &lt;n&gt; &lt;/n&gt;&lt;goto id="135" mapid="3" flagpoint="1" flagdrawrect="1" taskid="11832"/&gt;
&lt;/p&gt;</t>
  </si>
  <si>
    <t>&lt;p&gt;
&lt;n&gt;  交：&lt;/n&gt;
 &lt;n&gt; &lt;/n&gt;&lt;goto id="135" mapid="3" flagpoint="1" flagdrawrect="1" taskid="11833"/&gt;
&lt;/p&gt;</t>
  </si>
  <si>
    <t>&lt;p&gt;
&lt;n&gt;  交： &lt;/n&gt;
 &lt;n&gt; &lt;/n&gt;&lt;goto id="120" mapid="3" flagpoint="1" taskid="11834" /&gt;
&lt;/p&gt;</t>
  </si>
  <si>
    <t>&lt;p&gt;
&lt;n&gt;  寻找5枚矿石碎片&lt;/n&gt;
&lt;newline/&gt;
&lt;n&gt;  交： &lt;/n&gt;
 &lt;n&gt; &lt;/n&gt;&lt;goto id="60049" mapid="3" flagpoint="1" taskid="11900" /&gt;
&lt;/p&gt;</t>
  </si>
  <si>
    <t>&lt;p&gt;
&lt;n&gt;  寻找5枚矿石（1级）&lt;/n&gt;
&lt;newline/&gt;
&lt;n&gt;  交： &lt;/n&gt;
 &lt;n&gt; &lt;/n&gt;&lt;goto id="60049" mapid="3" flagpoint="1" taskid="11901" /&gt;
&lt;/p&gt;</t>
  </si>
  <si>
    <t>&lt;p&gt;
&lt;n&gt;  寻找5枚矿石（2级）&lt;/n&gt;
&lt;newline/&gt;
&lt;n&gt;  交： &lt;/n&gt;
 &lt;n&gt; &lt;/n&gt;&lt;goto id="60049" mapid="3" flagpoint="1" taskid="11902" /&gt;
&lt;/p&gt;</t>
  </si>
  <si>
    <t>&lt;p&gt;
&lt;n&gt;  寻找5枚药材叶子&lt;/n&gt;
&lt;newline/&gt;
&lt;n&gt;  交： &lt;/n&gt;
 &lt;n&gt; &lt;/n&gt;&lt;goto id="60049" mapid="3" flagpoint="1" taskid="11950" /&gt;
&lt;/p&gt;</t>
  </si>
  <si>
    <t>&lt;p&gt;
&lt;n&gt;  寻找5枚药材（1级）&lt;/n&gt;
&lt;newline/&gt;
&lt;n&gt;  交： &lt;/n&gt;
 &lt;n&gt; &lt;/n&gt;&lt;goto id="60049" mapid="3" flagpoint="1" taskid="11951" /&gt;
&lt;/p&gt;</t>
  </si>
  <si>
    <t>&lt;p&gt;
&lt;n&gt;  寻找5枚药材（2级）&lt;/n&gt;
&lt;newline/&gt;
&lt;n&gt;  交： &lt;/n&gt;
 &lt;n&gt; &lt;/n&gt;&lt;goto id="60049" mapid="3" flagpoint="1" taskid="11952" /&gt;
&lt;/p&gt;</t>
  </si>
  <si>
    <t>&lt;p&gt;
&lt;n&gt;  交：&lt;/n&gt;
 &lt;n&gt; &lt;/n&gt;&lt;goto id="60551" mapid="103" flagpoint="1" taskid="14000"/&gt;&lt;/p&gt;</t>
  </si>
  <si>
    <t>&lt;p&gt;
&lt;n&gt;  交：&lt;/n&gt;
 &lt;n&gt; &lt;/n&gt;&lt;goto id="60551" mapid="103" flagpoint="1" taskid="14002"/&gt;&lt;/p&gt;</t>
  </si>
  <si>
    <t>&lt;p&gt;
&lt;n&gt;  交：&lt;/n&gt;
 &lt;n&gt; &lt;/n&gt;&lt;goto id="60049" mapid="3" flagpoint="1" taskid="14003"/&gt;&lt;/p&gt;</t>
  </si>
  <si>
    <t>&lt;p&gt;
&lt;n&gt;  加入团并进入家族府邸&lt;/n&gt;
&lt;newline/&gt;
&lt;n&gt;  交：&lt;/n&gt;
 &lt;n&gt; &lt;/n&gt;&lt;goto id="45110" mapid="101" flagpoint="1" flagdrawrect="1" taskid="12000"/&gt;
&lt;/p&gt;</t>
  </si>
  <si>
    <t>&lt;p&gt;
&lt;n&gt;  交：&lt;/n&gt;
 &lt;n&gt; &lt;/n&gt;&lt;goto id="60552" mapid="132" flagpoint="1" taskid="12020"/&gt;&lt;/p&gt;</t>
  </si>
  <si>
    <t>&lt;p&gt;
&lt;n&gt;  交：&lt;/n&gt;
 &lt;n&gt; &lt;/n&gt;&lt;goto id="60552" mapid="132" flagpoint="1" taskid="12022"/&gt;&lt;/p&gt;</t>
  </si>
  <si>
    <t>&lt;p&gt;
&lt;n&gt;  交：&lt;/n&gt;
 &lt;n&gt; &lt;/n&gt;&lt;goto id="60000" mapid="3" flagpoint="1" taskid="12020"/&gt;&lt;/p&gt;</t>
  </si>
  <si>
    <t>&lt;p&gt;
&lt;n&gt;  在&lt;/n&gt;&lt;dialog taskid="12200" text="勋章商店" hotkeyid="14" tabid="5-0" treeid="111" leafid="1" /&gt;&lt;n&gt;兑换绿色武器&lt;/n&gt;
&lt;newline/&gt;
&lt;n&gt;  交： &lt;/n&gt;
 &lt;n&gt; &lt;/n&gt;&lt;goto id="60164" mapid="4" flagpoint="1" /&gt;
&lt;/p&gt;</t>
  </si>
  <si>
    <t>&lt;p&gt;
&lt;n&gt;  交： &lt;/n&gt;
 &lt;n&gt; &lt;/n&gt;&lt;goto id="126" mapid="7" flagpoint="1" taskid="12300" /&gt;
&lt;/p&gt;</t>
  </si>
  <si>
    <t>&lt;p&gt;
&lt;n&gt;  交： &lt;/n&gt;
 &lt;n&gt; &lt;/n&gt;&lt;goto id="126" mapid="7" flagpoint="1" taskid="12310" /&gt;
&lt;/p&gt;</t>
  </si>
  <si>
    <t>&lt;p&gt;
&lt;n&gt;  交： &lt;/n&gt;
 &lt;n&gt; &lt;/n&gt;&lt;goto id="126" mapid="7" flagpoint="1" taskid="12320" /&gt;
&lt;/p&gt;</t>
  </si>
  <si>
    <t>&lt;p&gt;
&lt;n&gt;  交： &lt;/n&gt;
 &lt;n&gt; &lt;/n&gt;&lt;goto id="197" mapid="7" flagpoint="1" taskid="12330" /&gt;
&lt;/p&gt;</t>
  </si>
  <si>
    <t>&lt;p&gt;
&lt;n&gt;  交： &lt;/n&gt;
 &lt;n&gt; &lt;/n&gt;&lt;goto id="215" mapid="5" flagpoint="1" taskid="12340" /&gt;
&lt;/p&gt;</t>
  </si>
  <si>
    <t>&lt;p&gt;
&lt;n&gt;  寻找1瓶生命药（小）&lt;/n&gt;
&lt;newline/&gt;
&lt;n&gt;  交： &lt;/n&gt;
 &lt;n&gt; &lt;/n&gt;&lt;goto id="60018" mapid="2" flagpoint="1" taskid="13000" /&gt;
&lt;/p&gt;</t>
  </si>
  <si>
    <t>&lt;p&gt;
&lt;n&gt;  寻找1瓶魔力药（小）&lt;/n&gt;
&lt;newline/&gt;
&lt;n&gt;  交： &lt;/n&gt;
 &lt;n&gt; &lt;/n&gt;&lt;goto id="60018" mapid="2" flagpoint="1" taskid="13010"/&gt;
&lt;/p&gt;</t>
  </si>
  <si>
    <t>&lt;p&gt;
&lt;n&gt;  交： &lt;/n&gt;
 &lt;n&gt; &lt;/n&gt;&lt;goto id="60018" mapid="2" flagpoint="1" taskid="13020"/&gt;
&lt;/p&gt;</t>
  </si>
  <si>
    <t>&lt;p&gt;
&lt;n&gt;  寻找1瓶生命药（中）&lt;/n&gt;
&lt;newline/&gt;
&lt;n&gt;  交： &lt;/n&gt;
 &lt;n&gt; &lt;/n&gt;&lt;goto id="60163" mapid="4" flagpoint="1" taskid="13030"/&gt;
&lt;/p&gt;</t>
  </si>
  <si>
    <t>&lt;p&gt;
&lt;n&gt;  寻找1瓶魔力药（中）&lt;/n&gt;
&lt;newline/&gt;
&lt;n&gt;  交： &lt;/n&gt;
 &lt;n&gt; &lt;/n&gt;&lt;goto id="60163" mapid="4" flagpoint="1" taskid="13040"/&gt;
&lt;/p&gt;</t>
  </si>
  <si>
    <t>&lt;p&gt;
&lt;n&gt;  交： &lt;/n&gt;
 &lt;n&gt; &lt;/n&gt;&lt;goto id="60163" mapid="4" flagpoint="1" taskid="13050"/&gt;
&lt;/p&gt;</t>
  </si>
  <si>
    <t>&lt;p&gt;
&lt;n&gt;  交： &lt;/n&gt;
 &lt;n&gt; &lt;/n&gt;&lt;goto id="60152" mapid="3" flagpoint="1" taskid="13060"/&gt;
&lt;/p&gt;</t>
  </si>
  <si>
    <t>&lt;p&gt;
&lt;n&gt;  交： &lt;/n&gt;
 &lt;n&gt; &lt;/n&gt;&lt;goto id="196" mapid="7" flagpoint="1" taskid="13062" /&gt;
&lt;/p&gt;</t>
  </si>
  <si>
    <t>&lt;p&gt;
&lt;n&gt;  交： &lt;/n&gt;
 &lt;n&gt; &lt;/n&gt;&lt;goto id="194" mapid="5" flagpoint="1" taskid="13090" /&gt;
&lt;/p&gt;</t>
  </si>
  <si>
    <t>&lt;p&gt;
&lt;n&gt;  交： &lt;/n&gt;
 &lt;n&gt; &lt;/n&gt;&lt;goto id="60073" mapid="3" flagpoint="1" taskid="13500"/&gt;
&lt;/p&gt;</t>
  </si>
  <si>
    <t>&lt;p&gt;
&lt;n&gt;  交： &lt;/n&gt;
 &lt;n&gt; &lt;/n&gt;&lt;goto id="60559" mapid="5" flagpoint="1" taskid="13501" /&gt;
&lt;/p&gt;</t>
  </si>
  <si>
    <t>&lt;p&gt;
&lt;n&gt;  交： &lt;/n&gt;
 &lt;n&gt; &lt;/n&gt;&lt;goto id="60567" mapid="5" flagpoint="1" taskid="13502" /&gt;
&lt;/p&gt;</t>
  </si>
  <si>
    <t>&lt;p&gt;
&lt;n&gt;  交： &lt;/n&gt;
 &lt;n&gt; &lt;/n&gt;&lt;goto id="60583" mapid="8" flagpoint="1" taskid="13503" /&gt;
&lt;/p&gt;</t>
  </si>
  <si>
    <t>&lt;p&gt;
&lt;n&gt;  交： &lt;/n&gt;
 &lt;n&gt; &lt;/n&gt;&lt;goto id="135" mapid="3" flagpoint="1" taskid="15000"/&gt;
&lt;/p&gt;</t>
  </si>
  <si>
    <t>&lt;p&gt;
&lt;n&gt;  交：&lt;/n&gt;
 &lt;n&gt; &lt;/n&gt;&lt;goto id="60159" mapid="6" flagpoint="1" taskid="15011"/&gt;&lt;/p&gt;</t>
  </si>
  <si>
    <t>&lt;p&gt;
&lt;n&gt;  交：&lt;/n&gt;
 &lt;n&gt; &lt;/n&gt;&lt;goto id="60088" mapid="7" flagpoint="1" taskid="15012"/&gt;&lt;/p&gt;</t>
  </si>
  <si>
    <t>&lt;p&gt;
&lt;n&gt;  交：&lt;/n&gt;
 &lt;n&gt; &lt;/n&gt;&lt;goto id="60088" mapid="7" flagpoint="1" taskid="15013"/&gt;&lt;/p&gt;</t>
  </si>
  <si>
    <t xml:space="preserve"> &lt;p&gt;
&lt;n&gt;  交：&lt;/n&gt;
 &lt;n&gt; &lt;/n&gt;&lt;goto id="60152" mapid="3" flagpoint="1" taskid="15014"/&gt;&lt;/p&gt;</t>
  </si>
  <si>
    <t>&lt;p&gt;
&lt;n&gt;  交： &lt;/n&gt;
 &lt;n&gt; &lt;/n&gt;&lt;goto id="194" mapid="5" flagpoint="1" taskid="15070" /&gt;
&lt;/p&gt;</t>
  </si>
  <si>
    <t>&lt;p&gt;
&lt;n&gt;  交：&lt;/n&gt;
 &lt;n&gt; &lt;/n&gt;&lt;goto id="191" mapid="3" flagpoint="1" taskid="15055" /&gt;
&lt;/p&gt;</t>
  </si>
  <si>
    <t>&lt;p&gt;
&lt;n&gt;  交：&lt;/n&gt;
 &lt;n&gt; &lt;/n&gt;&lt;goto id="191" mapid="3" flagpoint="1" taskid="15056" /&gt;
&lt;/p&gt;</t>
  </si>
  <si>
    <t>&lt;p&gt;
&lt;n&gt;  交：&lt;/n&gt;
 &lt;n&gt; &lt;/n&gt;&lt;goto id="191" mapid="3" flagpoint="1" taskid="15057" /&gt;
&lt;/p&gt;</t>
  </si>
  <si>
    <t>&lt;p&gt;
&lt;n&gt;  交：&lt;/n&gt;
 &lt;n&gt; &lt;/n&gt;&lt;goto id="191" mapid="3" flagpoint="1" taskid="15058" /&gt;
&lt;/p&gt;</t>
  </si>
  <si>
    <t>&lt;p&gt;
&lt;n&gt;  交：&lt;/n&gt;
 &lt;n&gt; &lt;/n&gt;&lt;goto id="191" mapid="3" flagpoint="1" taskid="15059" /&gt;
&lt;/p&gt;</t>
  </si>
  <si>
    <t>&lt;p&gt;
&lt;n&gt;  交：&lt;/n&gt;
 &lt;n&gt; &lt;/n&gt;&lt;goto id="191" mapid="3" flagpoint="1" taskid="15060" /&gt;
&lt;/p&gt;</t>
  </si>
  <si>
    <t>&lt;p&gt;
&lt;n&gt;  交：&lt;/n&gt;
 &lt;n&gt; &lt;/n&gt;&lt;goto id="191" mapid="3" flagpoint="1" taskid="15061" /&gt;
&lt;/p&gt;</t>
  </si>
  <si>
    <t>&lt;p&gt;
&lt;n&gt;  交：&lt;/n&gt;
 &lt;n&gt; &lt;/n&gt;&lt;goto id="191" mapid="3" flagpoint="1" taskid="15062" /&gt;
&lt;/p&gt;</t>
  </si>
  <si>
    <t>&lt;p&gt;
&lt;n&gt;  交：&lt;/n&gt;
 &lt;n&gt; &lt;/n&gt;&lt;goto id="191" mapid="3" flagpoint="1" taskid="15063" /&gt;
&lt;/p&gt;</t>
  </si>
  <si>
    <t>&lt;p&gt;
&lt;n&gt;  交：&lt;/n&gt;
 &lt;n&gt; &lt;/n&gt;&lt;goto id="191" mapid="3" flagpoint="1" taskid="15064" /&gt;
&lt;/p&gt;</t>
  </si>
  <si>
    <t>&lt;p&gt;
&lt;n&gt;  交：&lt;/n&gt;
 &lt;n&gt; &lt;/n&gt;&lt;goto id="193" mapid="3" flagpoint="1" taskid="15065" /&gt;
&lt;/p&gt;</t>
  </si>
  <si>
    <t>&lt;p&gt;
&lt;n&gt;  交：&lt;/n&gt;
 &lt;n&gt; &lt;/n&gt;&lt;goto id="193" mapid="3" flagpoint="1" taskid="15066" /&gt;
&lt;/p&gt;</t>
  </si>
  <si>
    <t>&lt;p&gt;
&lt;n&gt;  交：&lt;/n&gt;
 &lt;n&gt; &lt;/n&gt;&lt;goto id="193" mapid="3" flagpoint="1" taskid="15067" /&gt;
&lt;/p&gt;</t>
  </si>
  <si>
    <t>&lt;p&gt;
&lt;n&gt;  交：&lt;/n&gt;
 &lt;n&gt; &lt;/n&gt;&lt;goto id="206" mapid="3" flagpoint="1" taskid="15067" /&gt;
&lt;/p&gt;</t>
  </si>
  <si>
    <t>&lt;p&gt;
&lt;n&gt;  交：&lt;/n&gt;
 &lt;n&gt; &lt;/n&gt;&lt;goto id="60045" mapid="1" flagpoint="1" taskid="15100" /&gt;
&lt;/p&gt;</t>
  </si>
  <si>
    <t>&lt;p&gt;
&lt;n&gt;  交：&lt;/n&gt;
 &lt;n&gt; &lt;/n&gt;&lt;goto id="60000" mapid="3" flagpoint="1" taskid="15110"/&gt;
&lt;/p&gt;</t>
  </si>
  <si>
    <t>&lt;p&gt;
&lt;n&gt;  交：&lt;/n&gt;
 &lt;n&gt; &lt;/n&gt;&lt;goto id="60000" mapid="3" flagpoint="1" taskid="15120"/&gt;
&lt;/p&gt;</t>
  </si>
  <si>
    <t>&lt;p&gt;
&lt;n&gt;  交：&lt;/n&gt;
 &lt;n&gt; &lt;/n&gt;&lt;goto id="60000" mapid="3" flagpoint="1" taskid="15130"/&gt;
&lt;/p&gt;</t>
  </si>
  <si>
    <t>&lt;p&gt;
&lt;n&gt;  交：&lt;/n&gt;
 &lt;n&gt; &lt;/n&gt;&lt;goto id="135" mapid="3" flagpoint="1" taskid="15140"/&gt;
&lt;/p&gt;</t>
  </si>
  <si>
    <t>&lt;p&gt;
&lt;n&gt;  交：&lt;/n&gt;
 &lt;n&gt; &lt;/n&gt;&lt;goto id="212" mapid="3" flagpoint="1" taskid="15150"/&gt;
&lt;/p&gt;</t>
  </si>
  <si>
    <t>&lt;p&gt;
&lt;n&gt;  交：&lt;/n&gt;
 &lt;n&gt; &lt;/n&gt;&lt;goto id="211" mapid="3" flagpoint="1" taskid="15160"/&gt;
&lt;/p&gt;</t>
  </si>
  <si>
    <t>&lt;p&gt;
&lt;n&gt;  交：&lt;/n&gt;
 &lt;n&gt; &lt;/n&gt;&lt;goto id="198" mapid="3" flagpoint="1" taskid="15170"/&gt;
&lt;/p&gt;</t>
  </si>
  <si>
    <t>&lt;p&gt;
&lt;n&gt;  交：&lt;/n&gt;
 &lt;n&gt; &lt;/n&gt;&lt;goto id="214" mapid="3" flagpoint="1" taskid="15190"/&gt;
&lt;/p&gt;</t>
  </si>
  <si>
    <t>&lt;p&gt;
&lt;n&gt;  交：&lt;/n&gt;
 &lt;n&gt; &lt;/n&gt;&lt;goto id="213" mapid="3" flagpoint="1" taskid="15191"/&gt;
&lt;/p&gt;</t>
  </si>
  <si>
    <t>&lt;p&gt;
&lt;n&gt;  交：&lt;/n&gt;
 &lt;n&gt; &lt;/n&gt;&lt;goto id="198" mapid="3" flagpoint="1" taskid="15195"/&gt;
&lt;/p&gt;</t>
  </si>
  <si>
    <t>&lt;p&gt;
&lt;n&gt;  交：&lt;/n&gt;
 &lt;n&gt; &lt;/n&gt;&lt;goto id="233" mapid="3" flagpoint="1" taskid="15197"/&gt;
&lt;/p&gt;</t>
  </si>
  <si>
    <t>&lt;p&gt;
&lt;n&gt;  交：&lt;/n&gt;
 &lt;n&gt; &lt;/n&gt;&lt;goto id="232" mapid="3" flagpoint="1" taskid="15198"/&gt;
&lt;/p&gt;</t>
  </si>
  <si>
    <t>&lt;p&gt;
&lt;n&gt;  交：&lt;/n&gt;
 &lt;n&gt; &lt;/n&gt;&lt;goto id="112" mapid="3" flagpoint="1" taskid="15200"/&gt;&lt;/p&gt;</t>
  </si>
  <si>
    <t>&lt;p&gt;
&lt;n&gt;  交：&lt;/n&gt;
 &lt;n&gt; &lt;/n&gt;&lt;goto id="135" mapid="3" flagpoint="1" taskid="15205"/&gt;
&lt;/p&gt;</t>
  </si>
  <si>
    <t>&lt;p&gt;
&lt;n&gt;  交：&lt;/n&gt;
 &lt;n&gt; &lt;/n&gt;&lt;goto id="60823" mapid="5" flagpoint="1" taskid="15206"/&gt;
&lt;/p&gt;</t>
  </si>
  <si>
    <t>&lt;p&gt;
&lt;n&gt;  交：&lt;/n&gt;
 &lt;n&gt; &lt;/n&gt;&lt;goto id="60824" mapid="5" flagpoint="1" taskid="15207"/&gt;
&lt;/p&gt;</t>
  </si>
  <si>
    <t>&lt;p&gt;
&lt;n&gt;  交：&lt;/n&gt;&lt;goto id="60825" mapid="5" flagpoint="1" taskid="15208"/&gt;
&lt;/p&gt;</t>
  </si>
  <si>
    <t>&lt;p&gt;
&lt;n&gt;  交：&lt;/n&gt;
 &lt;n&gt; &lt;/n&gt;&lt;goto id="60826" mapid="5" flagpoint="1" taskid="15209"/&gt;
&lt;/p&gt;</t>
  </si>
  <si>
    <t>&lt;p&gt;
&lt;n&gt;  交：&lt;/n&gt;
 &lt;n&gt; &lt;/n&gt;&lt;goto id="60827" mapid="5" flagpoint="1" taskid="15210"/&gt;
&lt;/p&gt;</t>
  </si>
  <si>
    <t>&lt;p&gt;
&lt;n&gt;  交：&lt;/n&gt;&lt;goto id="60828" mapid="5" flagpoint="1" taskid="15211"/&gt;
&lt;/p&gt;</t>
  </si>
  <si>
    <t>&lt;p&gt;
&lt;n&gt;  交：&lt;/n&gt;
 &lt;n&gt; &lt;/n&gt;&lt;goto id="60559" mapid="5" flagpoint="1" taskid="15212"/&gt;
&lt;/p&gt;</t>
  </si>
  <si>
    <t>&lt;p&gt;
&lt;n&gt;  交：&lt;/n&gt;&lt;goto id="60828" mapid="5" flagpoint="1" taskid="15213"/&gt;
&lt;/p&gt;</t>
  </si>
  <si>
    <t>&lt;p&gt;
&lt;n&gt;   需&lt;/n&gt;&lt;dialog taskid="15215" text="绑定手机" hotkeyid="60" tabid="3-2"/&gt;&lt;newline/&gt;
&lt;n&gt;  通过&lt;/n&gt;&lt;dialog taskid="15215" text="聊天界面" hotkeyid="40" /&gt;&lt;newline/&gt;
&lt;n&gt;  点击标签“辅导员”申请&lt;/n&gt;&lt;newline/&gt;
&lt;n&gt;  交：&lt;/n&gt;&lt;goto quick="1" id="60019" mapid="2" flagpoint="1" taskid="15215"/&gt;&lt;/p&gt;</t>
  </si>
  <si>
    <t>&lt;p&gt;
&lt;n&gt;  通过 &lt;/n&gt;&lt;goto id="162" mapid="107" flagpoint="1" /&gt;&lt;n&gt;  离开&lt;/n&gt;
&lt;newline/&gt;
&lt;n&gt; 通过 &lt;/n&gt;&lt;goto id="153" mapid="159" flagpoint="1" /&gt;&lt;n&gt;  返回&lt;/n&gt;
&lt;newline/&gt;
&lt;n&gt; 交：&lt;/n&gt;
 &lt;n&gt; &lt;/n&gt;&lt;goto quick="1" id="60000" mapid="3" flagpoint="1" taskid="4312"/&gt;&lt;/p&gt;</t>
  </si>
  <si>
    <t>&lt;p&gt;
&lt;n&gt; 交：&lt;/n&gt;
 &lt;n&gt; &lt;/n&gt;&lt;goto quick="1" id="60000" mapid="3" flagpoint="1" taskid="15223"/&gt;&lt;/p&gt;</t>
  </si>
  <si>
    <t>&lt;p&gt;
&lt;n&gt;  交： &lt;/n&gt;
 &lt;n&gt; &lt;/n&gt;&lt;goto id="119" mapid="1" flagpoint="1" taskid="16000" /&gt;
&lt;/p&gt;</t>
  </si>
  <si>
    <t>&lt;p&gt;
&lt;n&gt;  交： &lt;/n&gt;
 &lt;n&gt; &lt;/n&gt;&lt;goto id="119" mapid="1" flagpoint="1" taskid="16001" /&gt;
&lt;/p&gt;</t>
  </si>
  <si>
    <t>&lt;p&gt;
&lt;n&gt;  交：&lt;/n&gt;
 &lt;n&gt; &lt;/n&gt;&lt;goto id="113" mapid="2" flagpoint="1" taskid="16006"/&gt;
&lt;/p&gt;</t>
  </si>
  <si>
    <t>&lt;p&gt;
&lt;n&gt;  交： &lt;/n&gt; 
 &lt;n&gt; &lt;/n&gt;&lt;goto id="5089" mapid="5" flagpoint="1" taskid="16008" /&gt;
&lt;/p&gt;</t>
  </si>
  <si>
    <t>&lt;p&gt;
&lt;n&gt;  交：&lt;/n&gt;
 &lt;n&gt; &lt;/n&gt;&lt;goto id="45111" mapid="101" flagpoint="1" taskid="20200"/&gt;&lt;/p&gt;</t>
  </si>
  <si>
    <t>&lt;p&gt;
&lt;n&gt;  交：&lt;/n&gt;
 &lt;n&gt; &lt;/n&gt;&lt;goto id="45111" mapid="101" flagpoint="1" taskid="20201"/&gt;&lt;/p&gt;</t>
  </si>
  <si>
    <t>&lt;p&gt;
&lt;n&gt;  交：&lt;/n&gt;
 &lt;n&gt; &lt;/n&gt;&lt;goto id="45111" mapid="101" flagpoint="1" taskid="20202"/&gt;&lt;/p&gt;</t>
  </si>
  <si>
    <t>&lt;p&gt;
&lt;n&gt;  交：&lt;/n&gt;
 &lt;n&gt; &lt;/n&gt;&lt;goto id="45111" mapid="101" flagpoint="1" taskid="20203" &lt;/p&gt;</t>
  </si>
  <si>
    <t>&lt;p&gt;
&lt;n&gt;  交：&lt;/n&gt;
 &lt;n&gt; &lt;/n&gt;&lt;goto id="45111" mapid="101" flagpoint="1" taskid="20211" &lt;/p&gt;</t>
  </si>
  <si>
    <t>&lt;p&gt;
&lt;n&gt;  交：&lt;/n&gt;
 &lt;n&gt; &lt;/n&gt;&lt;goto id="134" mapid="3" flagpoint="1"/&gt;
&lt;/p&gt;</t>
  </si>
  <si>
    <t>&lt;p&gt;
&lt;n&gt;  交：&lt;/n&gt;
 &lt;n&gt; &lt;/n&gt;&lt;goto id="60066" mapid="3" flagpoint="1" taskid="30007"/&gt;&lt;/p&gt;</t>
  </si>
  <si>
    <t>&lt;p&gt;
&lt;n&gt;  交：&lt;/n&gt;
 &lt;n&gt; &lt;/n&gt;&lt;goto id="60066" mapid="3" flagpoint="1" taskid="30008"/&gt;&lt;/p&gt;</t>
  </si>
  <si>
    <t>&lt;p&gt;
&lt;n&gt;  交：&lt;/n&gt;
 &lt;n&gt; &lt;/n&gt;&lt;goto id="129" mapid="118" flagpoint="1" taskid="30028"/&gt;&lt;/p&gt;</t>
  </si>
  <si>
    <t>&lt;p&gt;
&lt;n&gt;  交：&lt;/n&gt;
 &lt;n&gt; &lt;/n&gt;&lt;goto id="60107" mapid="2" flagpoint="1" taskid="30032"/&gt;&lt;/p&gt;</t>
  </si>
  <si>
    <t>&lt;p&gt;
&lt;n&gt;  交：&lt;/n&gt;
 &lt;n&gt; &lt;/n&gt;&lt;goto id="164" mapid="118" flagpoint="1" taskid="30033"/&gt;&lt;/p&gt;</t>
  </si>
  <si>
    <t>&lt;p&gt;
&lt;n&gt;  交：&lt;/n&gt;
 &lt;n&gt; &lt;/n&gt;&lt;goto id="154" mapid="118" flagpoint="1" taskid="30034"/&gt;&lt;/p&gt;</t>
  </si>
  <si>
    <t>&lt;p&gt;
&lt;n&gt;  交：&lt;/n&gt;
 &lt;n&gt; &lt;/n&gt;&lt;goto id="155" mapid="118" flagpoint="1" taskid="30035"/&gt;&lt;/p&gt;</t>
  </si>
  <si>
    <t>&lt;p&gt;
&lt;n&gt;  交：&lt;/n&gt;
 &lt;n&gt; &lt;/n&gt;&lt;goto id="129" mapid="118" flagpoint="1" taskid="30036"/&gt;&lt;/p&gt;</t>
  </si>
  <si>
    <t>&lt;p&gt;
&lt;n&gt;  交：&lt;/n&gt;
 &lt;n&gt; &lt;/n&gt;&lt;goto id="134" mapid="3" flagpoint="1" taskid="30037"/&gt;&lt;/p&gt;</t>
  </si>
  <si>
    <t>&lt;p&gt;
&lt;n&gt;  交：&lt;/n&gt;
 &lt;n&gt; &lt;/n&gt;&lt;goto id="134" mapid="3" flagpoint="1" taskid="30038"/&gt;&lt;/p&gt;</t>
  </si>
  <si>
    <t>&lt;p&gt;
&lt;n&gt;  交：&lt;/n&gt;
 &lt;n&gt; &lt;/n&gt;&lt;goto id="134" mapid="3" flagpoint="1" taskid="30039"/&gt;&lt;/p&gt;</t>
  </si>
  <si>
    <t>&lt;p&gt;
&lt;n&gt;  交：&lt;/n&gt;
 &lt;n&gt; &lt;/n&gt;&lt;goto id="134" mapid="3" flagpoint="1" taskid="30040"/&gt;&lt;/p&gt;</t>
  </si>
  <si>
    <t>&lt;p&gt;
&lt;n&gt;  交：&lt;/n&gt;
 &lt;n&gt; &lt;/n&gt;&lt;goto id="60099" mapid="6" flagpoint="1" taskid="30041"/&gt;&lt;/p&gt;</t>
  </si>
  <si>
    <t>&lt;p&gt;
&lt;n&gt;  交：&lt;/n&gt;
 &lt;n&gt; &lt;/n&gt;&lt;goto id="60049" mapid="3" flagpoint="1" taskid="30042"/&gt;&lt;/p&gt;</t>
  </si>
  <si>
    <t>&lt;p&gt;
&lt;n&gt;  交：&lt;/n&gt;
 &lt;n&gt; &lt;/n&gt;&lt;goto id="60559" mapid="5" flagpoint="1" taskid="30044"/&gt;&lt;/p&gt;</t>
  </si>
  <si>
    <t>&lt;p&gt;
&lt;n&gt;  交：&lt;/n&gt;
 &lt;n&gt; &lt;/n&gt;&lt;goto id="235" mapid="118" flagpoint="1" taskid="30085"/&gt;&lt;/p&gt;</t>
  </si>
  <si>
    <t>&lt;p&gt;
&lt;n&gt;  交：&lt;/n&gt;
 &lt;n&gt; &lt;/n&gt;&lt;goto id="135" mapid="3" flagpoint="1" taskid="30099"/&gt;
&lt;/p&gt;</t>
  </si>
  <si>
    <t>&lt;p&gt;
&lt;n&gt;  交：&lt;/n&gt;
 &lt;n&gt; &lt;/n&gt;&lt;goto id="60559" mapid="5" flagpoint="1" taskid="30100"/&gt;
&lt;/p&gt;</t>
  </si>
  <si>
    <t>&lt;p&gt;
&lt;n&gt;  交：&lt;/n&gt;
 &lt;n&gt; &lt;/n&gt;&lt;goto id="60559" mapid="5" flagpoint="1" taskid="30101"/&gt;
&lt;/p&gt;</t>
  </si>
  <si>
    <t>&lt;p&gt;
&lt;n&gt;  交：&lt;/n&gt;
 &lt;n&gt; &lt;/n&gt;&lt;goto id="60559" mapid="5" flagpoint="1" taskid="30200"/&gt;
&lt;/p&gt;</t>
  </si>
  <si>
    <t>&lt;p&gt;
&lt;n&gt;  交：&lt;/n&gt;
 &lt;n&gt; &lt;/n&gt;&lt;goto id="60559" mapid="5" flagpoint="1" taskid="30201"/&gt;
&lt;/p&gt;</t>
  </si>
  <si>
    <t>&lt;p&gt;
&lt;n&gt;  交：&lt;/n&gt;
 &lt;n&gt; &lt;/n&gt;&lt;goto id="60560" mapid="8" flagpoint="1" taskid="30046"/&gt;&lt;/p&gt;</t>
  </si>
  <si>
    <t>&lt;p&gt;
&lt;n&gt;  交：&lt;/n&gt;
 &lt;n&gt; &lt;/n&gt;&lt;goto id="126" mapid="7" flagpoint="1" taskid="30220"/&gt;
&lt;/p&gt;</t>
  </si>
  <si>
    <t>&lt;p&gt;
&lt;n&gt;  交：&lt;/n&gt;
 &lt;n&gt; &lt;/n&gt;&lt;goto id="126" mapid="7" flagpoint="1" taskid="30230"/&gt;
&lt;/p&gt;</t>
  </si>
  <si>
    <t>&lt;p&gt;
&lt;n&gt;  交：&lt;/n&gt;
 &lt;n&gt; &lt;/n&gt;&lt;goto id="214" mapid="3" flagpoint="1" taskid="30240"/&gt;
&lt;/p&gt;</t>
  </si>
  <si>
    <t>&lt;p&gt;
&lt;n&gt;  交：&lt;/n&gt;
 &lt;n&gt; &lt;/n&gt;&lt;goto id="213" mapid="3" flagpoint="1" taskid="30241"/&gt;
&lt;/p&gt;</t>
  </si>
  <si>
    <t>&lt;p&gt;
&lt;n&gt;  交：&lt;/n&gt;
 &lt;n&gt; &lt;/n&gt;&lt;goto id="214" mapid="3" flagpoint="1" taskid="30242"/&gt;
&lt;/p&gt;</t>
  </si>
  <si>
    <t>&lt;p&gt;
&lt;n&gt;  交：&lt;/n&gt;
 &lt;n&gt; &lt;/n&gt;&lt;goto id="213" mapid="3" flagpoint="1" taskid="30243"/&gt;
&lt;/p&gt;</t>
  </si>
  <si>
    <t>&lt;p&gt;
&lt;n&gt;  交：&lt;/n&gt;
 &lt;n&gt; &lt;/n&gt;&lt;goto id="233" mapid="3" flagpoint="1" taskid="30245"/&gt;
&lt;/p&gt;</t>
  </si>
  <si>
    <t>&lt;p&gt;
&lt;n&gt;  交：&lt;/n&gt;
 &lt;n&gt; &lt;/n&gt;&lt;goto id="232" mapid="3" flagpoint="1" taskid="30246"/&gt;
&lt;/p&gt;</t>
  </si>
  <si>
    <t>&lt;p&gt;
&lt;n&gt;  交：&lt;/n&gt;
 &lt;n&gt; &lt;/n&gt;&lt;goto id="233" mapid="3" flagpoint="1" taskid="30247"/&gt;
&lt;/p&gt;</t>
  </si>
  <si>
    <t>&lt;p&gt;
&lt;n&gt;  交：&lt;/n&gt;
 &lt;n&gt; &lt;/n&gt;&lt;goto id="232" mapid="3" flagpoint="1" taskid="30248"/&gt;
&lt;/p&gt;</t>
  </si>
  <si>
    <t>&lt;p&gt;
&lt;n&gt;  跳转NPC：&lt;/n&gt;
 &lt;n&gt; &lt;/n&gt;&lt;goto id="126" mapid="7" flagpoint="1" taskid="30250"/&gt;
&lt;newline/&gt;
&lt;n&gt;  交：&lt;/n&gt;
 &lt;n&gt; &lt;/n&gt;&lt;goto id="197" mapid="7" flagpoint="1"/&gt;
&lt;/p&gt;</t>
  </si>
  <si>
    <t>&lt;p&gt;
&lt;n&gt;  交：&lt;/n&gt;
 &lt;n&gt; &lt;/n&gt;&lt;goto id="60000" mapid="3" flagpoint="1" taskid="30260"/&gt;&lt;/p&gt;</t>
  </si>
  <si>
    <t>&lt;p&gt;
&lt;n&gt;  交：&lt;/n&gt;
 &lt;n&gt; &lt;/n&gt;&lt;goto id="60559" mapid="5" flagpoint="1" taskid="30261"/&gt;&lt;/p&gt;</t>
  </si>
  <si>
    <t>&lt;p&gt;
&lt;n&gt;  交：&lt;/n&gt;&lt;goto id="216" mapid="3" flagpoint="1" taskid="30272"/&gt;
&lt;/p&gt;</t>
  </si>
  <si>
    <t>&lt;p&gt;
&lt;n&gt;  交： &lt;/n&gt; 
 &lt;n&gt; &lt;/n&gt;&lt;goto id="216" mapid="3" flagpoint="1" taskid="30273" /&gt;
&lt;/p&gt;</t>
  </si>
  <si>
    <t>&lt;p&gt;
&lt;n&gt;  交： &lt;/n&gt; 
 &lt;n&gt; &lt;/n&gt;&lt;goto id="216" mapid="3" flagpoint="1" taskid="30274" /&gt;
&lt;/p&gt;</t>
  </si>
  <si>
    <t>&lt;p&gt;
&lt;n&gt;  交： &lt;/n&gt; 
 &lt;n&gt; &lt;/n&gt;&lt;goto id="60049" mapid="3" flagpoint="1" taskid="30275" /&gt;
&lt;/p&gt;</t>
  </si>
  <si>
    <t>&lt;p&gt;
&lt;n&gt;  交：&lt;/n&gt;&lt;goto id="320" mapid="3" flagpoint="1" taskid="30331"/&gt;
&lt;/p&gt;</t>
  </si>
  <si>
    <t>&lt;p&gt;
&lt;n&gt;  交：&lt;/n&gt;
 &lt;n&gt; &lt;/n&gt;&lt;goto id="60885" mapid="8" flagpoint="1" taskid="33521"/&gt;&lt;/p&gt;</t>
  </si>
  <si>
    <t>&lt;p&gt;
&lt;n&gt;  找：&lt;/n&gt;
 &lt;n&gt; &lt;/n&gt;&lt;goto quick="1" id="60045" mapid="1" flagpoint="1" taskid="6003" /&gt;
&lt;/p&gt;</t>
  </si>
  <si>
    <t>&lt;p&gt;
&lt;n&gt;  找：&lt;/n&gt;
 &lt;n&gt; &lt;/n&gt;&lt;goto quick="1" id="60007" mapid="1" flagpoint="1" taskid="6014" /&gt;
&lt;/p&gt;</t>
  </si>
  <si>
    <t>&lt;p&gt;
&lt;n&gt;  找：&lt;/n&gt;
 &lt;n&gt; &lt;/n&gt;&lt;goto quick="1" id="10106" mapid="1" flagpoint="1" taskid="6016" /&gt;
&lt;/p&gt;</t>
  </si>
  <si>
    <t>&lt;p&gt;
&lt;n&gt;  找：&lt;/n&gt;
 &lt;n&gt; &lt;/n&gt;&lt;goto quick="1" id="121" mapid="1" flagpoint="1" taskid="6021" /&gt;
&lt;/p&gt;</t>
  </si>
  <si>
    <t>&lt;p&gt;
&lt;n&gt;  找：&lt;/n&gt;
 &lt;n&gt; &lt;/n&gt;&lt;goto quick="1" id="502" mapid="2" flagpoint="1" taskid="6102" /&gt;
&lt;/p&gt;</t>
  </si>
  <si>
    <t>&lt;p&gt;
&lt;n&gt;  找：&lt;/n&gt;
 &lt;n&gt; &lt;/n&gt;&lt;goto quick="1" id="10115" mapid="2" flagpoint="1" taskid="6104" /&gt;
&lt;/p&gt;</t>
  </si>
  <si>
    <t>&lt;p&gt;
&lt;n&gt;  找：&lt;/n&gt;
 &lt;n&gt; &lt;/n&gt;&lt;goto quick="1" id="2006" mapid="2" flagpoint="1" taskid="6106" /&gt;
&lt;/p&gt;</t>
  </si>
  <si>
    <t>&lt;p&gt;
&lt;n&gt;  找：&lt;/n&gt;
 &lt;n&gt; &lt;/n&gt;&lt;goto quick="1" id="505" mapid="2" flagpoint="1" taskid="6107" /&gt;
&lt;/p&gt;</t>
  </si>
  <si>
    <t>&lt;p&gt;
&lt;n&gt;  找：&lt;/n&gt;
 &lt;n&gt; &lt;/n&gt;&lt;goto quick="1" id="2007" mapid="2" flagpoint="1" taskid="6108" /&gt;
&lt;/p&gt;</t>
  </si>
  <si>
    <t>&lt;p&gt;
&lt;n&gt;  找：&lt;/n&gt;
 &lt;n&gt; &lt;/n&gt;&lt;goto quick="1" id="116" mapid="2" flagpoint="1" taskid="6114" /&gt;
&lt;/p&gt;</t>
  </si>
  <si>
    <t>&lt;p&gt;
&lt;n&gt;  找：&lt;/n&gt;
 &lt;n&gt; &lt;/n&gt;&lt;goto quick="1" id="506" mapid="2" flagpoint="1" taskid="6116" /&gt;
&lt;/p&gt;</t>
  </si>
  <si>
    <t>&lt;p&gt;
&lt;n&gt;  找：&lt;/n&gt;
 &lt;n&gt; &lt;/n&gt;&lt;goto quick="1" id="60045" mapid="1" flagpoint="1" taskid="6120" /&gt;
&lt;/p&gt;</t>
  </si>
  <si>
    <t>&lt;p&gt;
&lt;n&gt;  找：&lt;/n&gt;
 &lt;n&gt; &lt;/n&gt;&lt;goto quick="1" id="503" mapid="2" flagpoint="1" taskid="6122" /&gt;
&lt;/p&gt;</t>
  </si>
  <si>
    <t>&lt;p&gt;
&lt;n&gt;  找：&lt;/n&gt;
 &lt;n&gt; &lt;/n&gt;&lt;goto quick="1" id="122" mapid="2" flagpoint="1" taskid="6125" /&gt;
&lt;/p&gt;</t>
  </si>
  <si>
    <t>&lt;p&gt;
&lt;n&gt;  找：&lt;/n&gt;
 &lt;n&gt; &lt;/n&gt;&lt;goto quick="1" id="509" mapid="2" flagpoint="1" taskid="6128" /&gt;
&lt;/p&gt;</t>
  </si>
  <si>
    <t>&lt;p&gt;
&lt;n&gt;  找：&lt;/n&gt;
 &lt;n&gt; &lt;/n&gt;&lt;goto quick="1" id="506" mapid="2" flagpoint="1" taskid="6133" /&gt;
&lt;/p&gt;</t>
  </si>
  <si>
    <t>&lt;p&gt;
&lt;n&gt;  找：&lt;/n&gt;
 &lt;n&gt; &lt;/n&gt;&lt;goto quick="1" id="503" mapid="2" flagpoint="1" taskid="6134" /&gt;
&lt;/p&gt;</t>
  </si>
  <si>
    <t>&lt;p&gt;
&lt;n&gt;  找：&lt;/n&gt;
 &lt;n&gt; &lt;/n&gt;&lt;goto quick="1" id="510" mapid="2" flagpoint="1" taskid="6135" /&gt;
&lt;/p&gt;</t>
  </si>
  <si>
    <t>&lt;p&gt;
&lt;n&gt;  找：&lt;/n&gt;
 &lt;n&gt; &lt;/n&gt;&lt;goto quick="1" id="2013" mapid="2" flagpoint="1" taskid="6136" /&gt;
&lt;/p&gt;</t>
  </si>
  <si>
    <t>&lt;p&gt;
&lt;n&gt;  找：&lt;/n&gt;
 &lt;n&gt; &lt;/n&gt;&lt;goto quick="1" id="503" mapid="2" flagpoint="1" taskid="6137" /&gt;
&lt;/p&gt;</t>
  </si>
  <si>
    <t>&lt;p&gt;
&lt;n&gt;  找：&lt;/n&gt;
 &lt;n&gt; &lt;/n&gt;&lt;goto quick="1" id="510" mapid="2" flagpoint="1" taskid="6140" /&gt;
&lt;/p&gt;</t>
  </si>
  <si>
    <t>&lt;p&gt;
&lt;n&gt;  找：&lt;/n&gt;
 &lt;n&gt; &lt;/n&gt;&lt;goto quick="1" id="2015" mapid="2" flagpoint="1" taskid="6141" /&gt;
&lt;/p&gt;</t>
  </si>
  <si>
    <t>&lt;p&gt;
&lt;n&gt;  找：&lt;/n&gt;
 &lt;n&gt; &lt;/n&gt;&lt;goto quick="1" id="501" mapid="2" flagpoint="1" taskid="6144" /&gt;
&lt;/p&gt;</t>
  </si>
  <si>
    <t>&lt;p&gt;
&lt;n&gt;  找：&lt;/n&gt;
 &lt;n&gt; &lt;/n&gt;&lt;goto quick="1" id="503" mapid="2" flagpoint="1" taskid="6146" /&gt;
&lt;/p&gt;</t>
  </si>
  <si>
    <t>&lt;p&gt;
&lt;n&gt;  找：&lt;/n&gt;
 &lt;n&gt; &lt;/n&gt;&lt;goto quick="1" id="503" mapid="2" flagpoint="1" taskid="6150" /&gt;
&lt;/p&gt;</t>
  </si>
  <si>
    <t>&lt;p&gt;
&lt;n&gt;  找：&lt;/n&gt;
 &lt;n&gt; &lt;/n&gt;&lt;goto quick="1" id="516" mapid="6" flagpoint="1" taskid="6204" /&gt;
&lt;/p&gt;</t>
  </si>
  <si>
    <t>&lt;p&gt;
&lt;n&gt;  找：&lt;/n&gt;
 &lt;n&gt; &lt;/n&gt;&lt;goto quick="1" id="513" mapid="6" flagpoint="1" taskid="6208" /&gt;
&lt;/p&gt;</t>
  </si>
  <si>
    <t>&lt;p&gt;
&lt;n&gt;  找：&lt;/n&gt;
 &lt;n&gt; &lt;/n&gt;&lt;goto quick="1" id="518" mapid="6" flagpoint="1" taskid="6211" /&gt;
&lt;/p&gt;</t>
  </si>
  <si>
    <t>&lt;p&gt;
&lt;n&gt;  找：&lt;/n&gt;
 &lt;n&gt; &lt;/n&gt;&lt;goto quick="1" id="512" mapid="6" flagpoint="1" taskid="6212" /&gt;
&lt;/p&gt;</t>
  </si>
  <si>
    <t>&lt;p&gt;
&lt;n&gt;  找：&lt;/n&gt;
 &lt;n&gt; &lt;/n&gt;&lt;goto quick="1" id="514" mapid="6" flagpoint="1" taskid="6214" /&gt;
&lt;/p&gt;</t>
  </si>
  <si>
    <t>&lt;p&gt;
&lt;n&gt;  找：&lt;/n&gt;
 &lt;n&gt; &lt;/n&gt;&lt;goto quick="1" id="516" mapid="6" flagpoint="1" taskid="6217" /&gt;
&lt;/p&gt;</t>
  </si>
  <si>
    <t>&lt;p&gt;
&lt;n&gt;  找：&lt;/n&gt;
 &lt;n&gt; &lt;/n&gt;&lt;goto quick="1" id="514" mapid="6" flagpoint="1" taskid="6219" /&gt;
&lt;/p&gt;</t>
  </si>
  <si>
    <t>&lt;p&gt;
&lt;n&gt;  找：&lt;/n&gt;
 &lt;n&gt; &lt;/n&gt;&lt;goto quick="1" id="514" mapid="6" flagpoint="1" taskid="6222" /&gt;
&lt;/p&gt;</t>
  </si>
  <si>
    <t>&lt;p&gt;
&lt;n&gt;  找：&lt;/n&gt;
 &lt;n&gt; &lt;/n&gt;&lt;goto quick="1" id="515" mapid="6" flagpoint="1" taskid="6224" /&gt;
&lt;/p&gt;</t>
  </si>
  <si>
    <t>&lt;p&gt;
&lt;n&gt;  找：&lt;/n&gt;
 &lt;n&gt; &lt;/n&gt;&lt;goto quick="1" id="60045" mapid="1" flagpoint="1" taskid="6226" /&gt;
&lt;/p&gt;</t>
  </si>
  <si>
    <t>&lt;p&gt;
&lt;n&gt;  找：&lt;/n&gt;
 &lt;n&gt; &lt;/n&gt;&lt;goto quick="1" id="512" mapid="6" flagpoint="1" taskid="6229" /&gt;
&lt;/p&gt;</t>
  </si>
  <si>
    <t>&lt;p&gt;
&lt;n&gt;  找：&lt;/n&gt;
 &lt;n&gt; &lt;/n&gt;&lt;goto quick="1" id="519" mapid="6" flagpoint="1" taskid="6234" /&gt;
&lt;/p&gt;</t>
  </si>
  <si>
    <t>&lt;p&gt;
&lt;n&gt;  找：&lt;/n&gt;
 &lt;n&gt; &lt;/n&gt;&lt;goto quick="1" id="520" mapid="6" flagpoint="1" taskid="6235" /&gt;
&lt;/p&gt;</t>
  </si>
  <si>
    <t>&lt;p&gt;
&lt;n&gt;  找：&lt;/n&gt;
 &lt;n&gt; &lt;/n&gt;&lt;goto quick="1" id="514" mapid="6" flagpoint="1" taskid="6238" /&gt;
&lt;/p&gt;</t>
  </si>
  <si>
    <t>&lt;p&gt;
&lt;n&gt;  找：&lt;/n&gt;
 &lt;n&gt; &lt;/n&gt;&lt;goto quick="1" id="517" mapid="6" flagpoint="1" taskid="6244" /&gt;
&lt;/p&gt;</t>
  </si>
  <si>
    <t>&lt;p&gt;
&lt;n&gt;  找：&lt;/n&gt;
 &lt;n&gt; &lt;/n&gt;&lt;goto quick="1" id="521" mapid="2" flagpoint="1" taskid="6301" /&gt;
&lt;/p&gt;</t>
  </si>
  <si>
    <t>&lt;p&gt;
&lt;n&gt;  找：&lt;/n&gt;
 &lt;n&gt; &lt;/n&gt;&lt;goto quick="1" id="107" mapid="1" flagpoint="1" taskid="3111" /&gt;
&lt;newline/&gt;
&lt;n&gt;  购买1个生命药（小）&lt;/n&gt;
&lt;/p&gt;</t>
  </si>
  <si>
    <t>&lt;p&gt;
&lt;n&gt;  找：&lt;/n&gt;
 &lt;n&gt; &lt;/n&gt;&lt;goto quick="1" id="111" mapid="1" flagpoint="1" taskid="3112" /&gt;
&lt;/p&gt;</t>
  </si>
  <si>
    <t>&lt;p&gt;
&lt;n&gt;  找：&lt;/n&gt;
 &lt;n&gt; &lt;/n&gt;&lt;goto quick="1" id="60164" mapid="4" flagpoint="1" taskid="4371" /&gt;
&lt;/p&gt;</t>
  </si>
  <si>
    <t>&lt;p&gt;
&lt;n&gt;  找：&lt;/n&gt;
 &lt;n&gt; &lt;/n&gt;&lt;goto quick="1" id="60036" mapid="4" flagpoint="1" taskid="4421" /&gt;
&lt;/p&gt;</t>
  </si>
  <si>
    <t>&lt;p&gt;
&lt;n&gt;  找：&lt;/n&gt;
 &lt;n&gt; &lt;/n&gt;&lt;goto quick="1" id="60165" mapid="4" flagpoint="1" taskid="4431" /&gt;
&lt;/p&gt;</t>
  </si>
  <si>
    <t>&lt;p&gt;
&lt;n&gt;  找：&lt;/n&gt;
 &lt;n&gt; &lt;/n&gt;&lt;goto quick="1" id="60073" mapid="3" flagpoint="1" taskid="1472" /&gt;
&lt;/p&gt;</t>
  </si>
  <si>
    <t>&lt;p&gt;
&lt;n&gt;  找：&lt;/n&gt;
 &lt;n&gt; &lt;/n&gt;&lt;goto quick="1" id="60150" mapid="3" flagpoint="1" taskid="1562" /&gt;
&lt;/p&gt;</t>
  </si>
  <si>
    <t>&lt;p&gt;
&lt;n&gt;  找：&lt;/n&gt;
 &lt;n&gt; &lt;/n&gt;&lt;goto quick="1" id="60000" mapid="3" flagpoint="1" taskid="1493" /&gt;
&lt;/p&gt;</t>
  </si>
  <si>
    <t>&lt;p&gt;
&lt;n&gt;  找：&lt;/n&gt;
 &lt;n&gt; &lt;/n&gt;&lt;goto quick="1" id="60152" mapid="3" flagpoint="1" taskid="1594" /&gt;
&lt;/p&gt;</t>
  </si>
  <si>
    <t>&lt;p&gt;
&lt;n&gt;  找：&lt;/n&gt;
 &lt;n&gt; &lt;/n&gt;&lt;goto quick="1" id="60156" mapid="6" flagpoint="1" taskid="1655" /&gt;
&lt;/p&gt;</t>
  </si>
  <si>
    <t>&lt;p&gt;
 &lt;n&gt;拜访：凤城的&lt;/n&gt;&lt;goto quick="1" id="505" mapid="2" flagpoint="1" taskid="6022" /&gt;
&lt;/p&gt;</t>
    <phoneticPr fontId="6" type="noConversion"/>
  </si>
  <si>
    <t>&lt;p&gt;
&lt;n&gt;  回答：&lt;/n&gt;
 &lt;n&gt; &lt;/n&gt;&lt;goto quick="1" id="504" mapid="2" flagpoint="1" taskid="6111" /&gt;&lt;n&gt;的问题&lt;/n&gt;
&lt;/p&gt;</t>
    <phoneticPr fontId="6" type="noConversion"/>
  </si>
  <si>
    <t>&lt;p&gt;
&lt;n&gt;  采：&lt;/n&gt;
 &lt;n&gt; &lt;/n&gt;&lt;goto quick="1" id="2008" mapid="2" flagpoint="1" taskid="6115" /&gt;
&lt;/p&gt;</t>
  </si>
  <si>
    <t>&lt;p&gt;
&lt;n&gt;  采：&lt;/n&gt;
 &lt;n&gt; &lt;/n&gt;&lt;goto quick="1" id="2011" mapid="2" flagpoint="1" taskid="6130" /&gt;
&lt;/p&gt;</t>
  </si>
  <si>
    <t>&lt;p&gt;
&lt;n&gt;  采：&lt;/n&gt;
 &lt;n&gt; &lt;/n&gt;&lt;goto quick="1" id="2014" mapid="2" flagpoint="1" taskid="6139" /&gt;
&lt;/p&gt;</t>
  </si>
  <si>
    <t>&lt;p&gt;
&lt;n&gt;  采：&lt;/n&gt;
 &lt;n&gt; &lt;/n&gt;&lt;goto quick="1" id="2019" mapid="6" flagpoint="1" taskid="6206" /&gt;
&lt;/p&gt;</t>
  </si>
  <si>
    <t>&lt;p&gt;
&lt;n&gt;  采：&lt;/n&gt;
 &lt;n&gt; &lt;/n&gt;&lt;goto quick="1" id="2020" mapid="6" flagpoint="1" taskid="6209" /&gt;
&lt;/p&gt;</t>
  </si>
  <si>
    <t>&lt;p&gt;
&lt;n&gt;  采：&lt;/n&gt;
 &lt;n&gt; &lt;/n&gt;&lt;goto quick="1" id="2022" mapid="6" flagpoint="1" taskid="6223" /&gt;
&lt;/p&gt;</t>
  </si>
  <si>
    <t>&lt;p&gt;
&lt;n&gt;  采：&lt;/n&gt;
 &lt;n&gt; &lt;/n&gt;&lt;goto quick="1" id="2026" mapid="6" flagpoint="1" taskid="6236" /&gt;
&lt;/p&gt;</t>
  </si>
  <si>
    <t>&lt;p&gt;
&lt;n&gt;  采：2朵&lt;/n&gt;
&lt;goto quick="1" id="60142" mapid="2" flagpoint="1" taskid="3201" /&gt;
&lt;/p&gt;</t>
  </si>
  <si>
    <t>&lt;p&gt;
&lt;n&gt;  &lt;/n&gt;&lt;dialog taskid="4121" text="装备采：工具" hotkeyid="2" /&gt;
&lt;newline/&gt;
&lt;n&gt;  与矿洞探险者对话进入神秘矿洞，收集2棵一级药材&lt;/n&gt;
&lt;/p&gt;</t>
  </si>
  <si>
    <t>&lt;p&gt;
&lt;n&gt;  &lt;/n&gt;&lt;dialog taskid="4161" text="装备采：工具" hotkeyid="2" /&gt;
&lt;newline/&gt;
&lt;n&gt;  与矿洞探险者对话进入神秘矿洞，收集2个一级矿石&lt;/n&gt;
&lt;/p&gt;</t>
  </si>
  <si>
    <t>&lt;p&gt;
&lt;n&gt;  采：3朵营地四周的&lt;/n&gt;
&lt;n&gt; &lt;/n&gt;&lt;goto quick="1" id="60083" mapid="3" flagpoint="1" taskid="1483" /&gt;
&lt;/p&gt;</t>
  </si>
  <si>
    <t>&lt;p&gt;
&lt;n&gt;  采：20朵： &lt;/n&gt; 
 &lt;n&gt; &lt;/n&gt;&lt;goto id="60553" mapid="5" flagpoint="1" taskid="4661" /&gt;
&lt;/p&gt;</t>
  </si>
  <si>
    <t>&lt;p&gt;
&lt;n&gt;  杀：&lt;/n&gt;
 &lt;n&gt; &lt;/n&gt;&lt;goto quick="1" id="10006" mapid="2" flagpoint="1" taskid="6145" /&gt;
&lt;/p&gt;</t>
  </si>
  <si>
    <t>&lt;p&gt;
&lt;n&gt;  杀：&lt;/n&gt;
 &lt;n&gt; &lt;/n&gt;&lt;goto quick="1" id="10007" mapid="2" flagpoint="1" taskid="6149" /&gt;
&lt;/p&gt;</t>
  </si>
  <si>
    <t>&lt;p&gt;
&lt;n&gt;  杀：3只&lt;/n&gt;
 &lt;n&gt; &lt;/n&gt;&lt;goto quick="1" id="10005" mapid="2" flagpoint="1" taskid="3191" /&gt;
&lt;/p&gt;</t>
  </si>
  <si>
    <t>&lt;p&gt;
&lt;n&gt;  杀：4个&lt;/n&gt;
 &lt;n&gt; &lt;/n&gt;&lt;goto quick="1" id="10011" mapid="2" flagpoint="1" taskid="3511" /&gt;
&lt;/p&gt;</t>
  </si>
  <si>
    <t>&lt;p&gt;
&lt;n&gt;  杀：4个&lt;/n&gt;
 &lt;n&gt; &lt;/n&gt;&lt;goto quick="1" id="10011" mapid="2" flagpoint="1" taskid="3512" /&gt;
&lt;/p&gt;</t>
  </si>
  <si>
    <t>&lt;p&gt;
&lt;n&gt;  杀：4个&lt;/n&gt;
 &lt;n&gt; &lt;/n&gt;&lt;goto quick="1" id="10011" mapid="2" flagpoint="1" taskid="3513" /&gt;
&lt;/p&gt;</t>
  </si>
  <si>
    <t>&lt;p&gt;
&lt;n&gt;  杀：4只&lt;/n&gt;
 &lt;n&gt; &lt;/n&gt;&lt;goto quick="1" id="10012" mapid="2" flagpoint="1" taskid="3541" /&gt;
&lt;/p&gt;</t>
  </si>
  <si>
    <t>&lt;p&gt;
&lt;n&gt;  杀：5个&lt;/n&gt;
 &lt;n&gt; &lt;/n&gt;&lt;goto quick="1" id="16005" mapid="106" flagpoint="1" taskid="3671" /&gt;
&lt;/p&gt;</t>
  </si>
  <si>
    <t>&lt;p&gt;
&lt;n&gt;  杀：&lt;/n&gt;
 &lt;n&gt; &lt;/n&gt;&lt;goto quick="1" id="10175" mapid="2" flagpoint="1" taskid="3681" /&gt;
&lt;/p&gt;</t>
  </si>
  <si>
    <t>&lt;p&gt;
&lt;n&gt;  杀：5个&lt;/n&gt;
 &lt;n&gt; &lt;/n&gt;&lt;goto quick="1" id="16006" mapid="106" flagpoint="1" taskid="3701" /&gt;
&lt;/p&gt;</t>
  </si>
  <si>
    <t>&lt;p&gt;
&lt;n&gt;  杀：5个&lt;/n&gt;
 &lt;n&gt; &lt;/n&gt;&lt;goto quick="1" id="10015" mapid="2" flagpoint="1" taskid="3741" /&gt;
&lt;/p&gt;</t>
  </si>
  <si>
    <t>&lt;p&gt;
&lt;n&gt;  杀：10个&lt;/n&gt;
&lt;n&gt; &lt;/n&gt;&lt;goto quick="1" id="10029" mapid="4" flagpoint="1" taskid="3911" /&gt;
&lt;/p&gt;</t>
  </si>
  <si>
    <t>&lt;p&gt;
&lt;n&gt;  杀：10个&lt;/n&gt;
 &lt;n&gt; &lt;/n&gt;&lt;goto quick="1" id="10030" mapid="4" flagpoint="1" taskid="3941" /&gt;
&lt;/p&gt;</t>
  </si>
  <si>
    <t>&lt;p&gt;
&lt;n&gt;  杀：10只&lt;/n&gt;
 &lt;n&gt; &lt;/n&gt;&lt;goto quick="1" id="10033" mapid="4" flagpoint="1" taskid="4231" /&gt;
 &lt;/p&gt;</t>
  </si>
  <si>
    <t>&lt;p&gt;
&lt;n&gt;  杀：20个&lt;/n&gt;
 &lt;n&gt; &lt;/n&gt;&lt;goto quick="1" id="10036" mapid="4" flagpoint="1" taskid="4381" /&gt;
&lt;/p&gt;</t>
  </si>
  <si>
    <t>&lt;p&gt;
&lt;n&gt;  杀：30只&lt;/n&gt;
 &lt;n&gt; &lt;/n&gt;&lt;goto quick="1" id="10041" mapid="4" flagpoint="1" taskid="4441" /&gt;
&lt;/p&gt;</t>
  </si>
  <si>
    <t>&lt;p&gt;
&lt;n&gt;  杀：&lt;/n&gt;
 &lt;n&gt; &lt;/n&gt;&lt;goto quick="1" id="10150" mapid="3" flagpoint="1" taskid="1513" /&gt;
&lt;/p&gt;</t>
  </si>
  <si>
    <t>&lt;p&gt;
&lt;n&gt;  杀：&lt;/n&gt;
 &lt;n&gt; &lt;/n&gt;&lt;goto quick="1" id="10151" mapid="3" flagpoint="1" taskid="1523" /&gt;
&lt;/p&gt;</t>
  </si>
  <si>
    <t>&lt;p&gt;
&lt;n&gt;  杀：&lt;/n&gt;
 &lt;n&gt; &lt;/n&gt;&lt;goto quick="1" id="10152" mapid="3" flagpoint="1" taskid="1563" /&gt;
&lt;/p&gt;</t>
  </si>
  <si>
    <t>&lt;p&gt;
&lt;n&gt;  杀：&lt;/n&gt;
 &lt;n&gt; &lt;/n&gt;&lt;goto quick="1" id="10063" mapid="3" flagpoint="1" taskid="1571" /&gt;
&lt;n&gt;获得安魂花&lt;/n&gt;
&lt;/p&gt;</t>
  </si>
  <si>
    <t>&lt;p&gt;
&lt;n&gt;  杀：&lt;/n&gt;
 &lt;n&gt; &lt;/n&gt;&lt;goto quick="1" id="10138" mapid="3" flagpoint="1" taskid="1583" /&gt;
&lt;/p&gt;</t>
  </si>
  <si>
    <t>&lt;p&gt;
&lt;n&gt;  杀：40个&lt;/n&gt;
 &lt;n&gt; &lt;/n&gt;&lt;goto quick="1" id="10065" mapid="3" flagpoint="1" taskid="1591" /&gt;
&lt;/p&gt;</t>
  </si>
  <si>
    <t>&lt;p&gt;
&lt;n&gt;  杀：&lt;/n&gt;
 &lt;n&gt; &lt;/n&gt;&lt;goto quick="1" id="10154" mapid="3" flagpoint="1" taskid="1593" /&gt;
&lt;/p&gt;</t>
  </si>
  <si>
    <t>&lt;p&gt;
&lt;n&gt;  杀：55个&lt;/n&gt;
 &lt;n&gt; &lt;/n&gt;&lt;goto id="10093" mapid="7" flagpoint="1" taskid="1891" /&gt;
&lt;/p&gt;</t>
  </si>
  <si>
    <t>&lt;p&gt;
&lt;n&gt;  杀：55名&lt;/n&gt;
 &lt;n&gt; &lt;/n&gt;&lt;goto id="10094" mapid="7" flagpoint="1" taskid="1911" /&gt;
&lt;/p&gt;</t>
  </si>
  <si>
    <t>&lt;p&gt;
&lt;n&gt;  杀：55名&lt;/n&gt;
 &lt;n&gt; &lt;/n&gt;&lt;goto id="10095" mapid="7" flagpoint="1" taskid="1931" /&gt;
&lt;/p&gt;</t>
  </si>
  <si>
    <t>&lt;p&gt;
&lt;n&gt;  杀：60只&lt;/n&gt;
 &lt;n&gt; &lt;/n&gt;&lt;goto id="10099" mapid="7" flagpoint="1" taskid="2011" /&gt;
&lt;/p&gt;</t>
  </si>
  <si>
    <t>&lt;p&gt;
&lt;n&gt;  杀：60个&lt;/n&gt;
 &lt;n&gt; &lt;/n&gt;&lt;goto id="10098" mapid="7" flagpoint="1" taskid="2041" /&gt;
&lt;/p&gt;</t>
  </si>
  <si>
    <t>&lt;p&gt;
&lt;n&gt;  杀：60个&lt;/n&gt;
 &lt;n&gt; &lt;/n&gt;&lt;goto id="10102" mapid="7" flagpoint="1" taskid="2111" /&gt;
&lt;/p&gt;</t>
  </si>
  <si>
    <t>&lt;p&gt;
&lt;n&gt;  杀：&lt;/n&gt;
 &lt;n&gt; &lt;/n&gt;&lt;goto id="10172" mapid="132" flagpoint="1"/&gt;
&lt;newline/&gt;
&lt;n&gt;  杀：&lt;/n&gt;
 &lt;n&gt; &lt;/n&gt;&lt;goto id="10173" mapid="133" flagpoint="1" /&gt;
&lt;newline/&gt;
&lt;n&gt;  杀：&lt;/n&gt;
 &lt;n&gt; &lt;/n&gt;&lt;goto id="10174" mapid="134" flagpoint="1" taskid="13052" /&gt;
&lt;newline/&gt;
&lt;n&gt;  获得斗狮零件A、B、C&lt;/n&gt;
&lt;/p&gt;</t>
  </si>
  <si>
    <t>&lt;p&gt;
&lt;n&gt;  杀：&lt;/n&gt;
 &lt;n&gt; &lt;/n&gt;&lt;goto id="10173" mapid="133" flagpoint="1" /&gt;
&lt;/p&gt;</t>
  </si>
  <si>
    <t>&lt;p&gt;
&lt;n&gt;  杀：10只&lt;/n&gt;
 &lt;n&gt; &lt;/n&gt;&lt;goto id="10057" mapid="3" flagpoint="1" taskid="11651" /&gt;
&lt;/p&gt;</t>
  </si>
  <si>
    <t>&lt;p&gt;
&lt;n&gt;  杀：20只&lt;/n&gt;
 &lt;n&gt; &lt;/n&gt;&lt;goto id="10058" mapid="3" flagpoint="1" taskid="11671" /&gt;
&lt;/p&gt;</t>
  </si>
  <si>
    <t>&lt;p&gt;
&lt;n&gt;  杀：20只&lt;/n&gt;
 &lt;n&gt; &lt;/n&gt;&lt;goto id="10095" mapid="7" flagpoint="1" taskid="11741" /&gt;
&lt;/p&gt;</t>
  </si>
  <si>
    <t>&lt;p&gt;
&lt;n&gt;  杀：45头&lt;/n&gt;
 &lt;n&gt; &lt;/n&gt;&lt;goto id="10058" mapid="3" flagpoint="1" taskid="10762" /&gt;
&lt;/p&gt;</t>
  </si>
  <si>
    <t>&lt;p&gt;
&lt;n&gt;  杀：45头&lt;/n&gt;
 &lt;n&gt; &lt;/n&gt;&lt;goto id="10060" mapid="3" flagpoint="1" taskid="10763" /&gt;
&lt;/p&gt;</t>
  </si>
  <si>
    <t>&lt;p&gt;
&lt;n&gt;  杀：&lt;/n&gt;
 &lt;n&gt; &lt;/n&gt;&lt;goto id="10062" mapid="3" flagpoint="1" taskid="10764"/&gt;获取孩子的吊坠
 &lt;newline/&gt;
&lt;n&gt;  杀：&lt;/n&gt;
 &lt;n&gt; &lt;/n&gt;&lt;goto id="10063" mapid="3" flagpoint="1" taskid="10764" /&gt;获取孩子的护符
&lt;/p&gt;</t>
  </si>
  <si>
    <t>&lt;p&gt;
&lt;n&gt;  杀：45头&lt;/n&gt;
 &lt;n&gt; &lt;/n&gt;&lt;goto id="10065" mapid="3" flagpoint="1" taskid="10766" /&gt;
&lt;/p&gt;</t>
  </si>
  <si>
    <t>&lt;p&gt;
&lt;n&gt;  杀：300名&lt;/n&gt;
 &lt;n&gt; &lt;/n&gt;&lt;goto id="10094" mapid="7" flagpoint="1" taskid="15013" /&gt;
&lt;/p&gt;</t>
  </si>
  <si>
    <t>&lt;p&gt;
&lt;n&gt;  杀：100个&lt;/n&gt;
 &lt;n&gt; &lt;/n&gt;&lt;goto id="10065" mapid="3" flagpoint="1" taskid="15014" /&gt;
&lt;/p&gt;</t>
  </si>
  <si>
    <t>&lt;p&gt;
&lt;n&gt;  杀：20个：&lt;/n&gt;&lt;goto id="10201" mapid="5" flagpoint="1" taskid="15208"/&gt;&lt;newline/&gt;
&lt;n&gt;  回复：&lt;/n&gt;&lt;goto id="60825" mapid="5" flagpoint="1" taskid="15208"/&gt;
&lt;/p&gt;</t>
  </si>
  <si>
    <t>&lt;p&gt;
&lt;n&gt;  杀：：&lt;/n&gt;&lt;goto id="60829" mapid="5" flagpoint="1" taskid="15211"/&gt;&lt;newline/&gt;
&lt;n&gt;  回复：&lt;/n&gt;&lt;goto id="60828" mapid="5" flagpoint="1" taskid="15211"/&gt;
&lt;/p&gt;</t>
  </si>
  <si>
    <t>&lt;p&gt;
&lt;n&gt;  杀：20个：&lt;/n&gt;
 &lt;n&gt; &lt;/n&gt;&lt;goto id="10147" mapid="7" flagpoint="1" taskid="30230"/&gt;
&lt;/p&gt;</t>
  </si>
  <si>
    <t>&lt;p&gt;
&lt;n&gt;  战胜：&lt;/n&gt;
 &lt;n&gt; &lt;/n&gt;&lt;goto quick="1" id="10103" mapid="1" flagpoint="1" taskid="6004" /&gt;
&lt;/p&gt;</t>
  </si>
  <si>
    <t>&lt;p&gt;
&lt;n&gt;  战胜：&lt;/n&gt;
 &lt;n&gt; &lt;/n&gt;&lt;goto quick="1" id="10104" mapid="1" flagpoint="1" taskid="6007" /&gt;
&lt;/p&gt;</t>
  </si>
  <si>
    <t>&lt;p&gt;
&lt;n&gt;  战胜：&lt;/n&gt;
 &lt;n&gt; &lt;/n&gt;&lt;goto quick="1" id="10105" mapid="1" flagpoint="1" taskid="6007" /&gt;
&lt;/p&gt;</t>
  </si>
  <si>
    <t>&lt;p&gt;
&lt;n&gt;  战胜：&lt;/n&gt;
 &lt;n&gt; &lt;/n&gt;&lt;goto quick="1" id="10115" mapid="2" flagpoint="1" taskid="6101" /&gt;
&lt;/p&gt;</t>
  </si>
  <si>
    <t>&lt;p&gt;
&lt;n&gt;  战胜：&lt;/n&gt;
 &lt;n&gt; &lt;/n&gt;&lt;goto quick="1" id="10002" mapid="2" flagpoint="1" taskid="6117" /&gt;
&lt;/p&gt;</t>
  </si>
  <si>
    <t>&lt;p&gt;
&lt;n&gt;  战胜：&lt;/n&gt;
 &lt;n&gt; &lt;/n&gt;&lt;goto quick="1" id="10003" mapid="2" flagpoint="1" taskid="6127" /&gt;
&lt;/p&gt;</t>
  </si>
  <si>
    <t>&lt;p&gt;
&lt;n&gt;  战胜：&lt;/n&gt;
 &lt;n&gt; &lt;/n&gt;&lt;goto quick="1" id="10008" mapid="6" flagpoint="1" taskid="6213" /&gt;
&lt;/p&gt;</t>
  </si>
  <si>
    <t>&lt;p&gt;
&lt;n&gt;  战胜：&lt;/n&gt;
 &lt;n&gt; &lt;/n&gt;&lt;goto quick="1" id="10008" mapid="6" flagpoint="1" taskid="6218" /&gt;
&lt;/p&gt;</t>
  </si>
  <si>
    <t>&lt;p&gt;
&lt;n&gt;  战胜：&lt;/n&gt;
 &lt;n&gt; &lt;/n&gt;&lt;goto quick="1" id="10500" mapid="6" flagpoint="1" taskid="6220" /&gt;
&lt;/p&gt;</t>
  </si>
  <si>
    <t>&lt;p&gt;
&lt;n&gt; 战胜：&lt;/n&gt;&lt;goto quick="1" id="10103" mapid="1" flagpoint="1" taskid="3073"  /&gt;
&lt;n&gt;找回诱惑之歌谱&lt;/n&gt;
&lt;/p&gt;</t>
  </si>
  <si>
    <t>&lt;p&gt;
&lt;n&gt;  战胜：： &lt;/n&gt; 
 &lt;n&gt; &lt;/n&gt;&lt;goto id="10205" mapid="5" flagpoint="1" taskid="4781" /&gt;
&lt;newline/&gt;
&lt;n&gt;  获取失落之心 &lt;/n&gt;
&lt;/p&gt;</t>
  </si>
  <si>
    <t>&lt;p&gt;
&lt;n&gt;  战胜：： &lt;/n&gt; 
 &lt;n&gt; &lt;/n&gt;&lt;goto id="10304" mapid="5" flagpoint="1" taskid="4791" /&gt;
&lt;newline/&gt;
&lt;n&gt;  获取真·失落之心 &lt;/n&gt;
&lt;/p&gt;</t>
  </si>
  <si>
    <t>body(   因缘际会，诸事皆有缘法。今天下大乱，妖物肆虐。player()，汝乃天定之人，当力挽狂澜！)</t>
    <phoneticPr fontId="6" type="noConversion"/>
  </si>
  <si>
    <t>title( [1级]召唤)
body(hotyellow_3(任务进程:)newline()
   去找goto(60045,1)。
blankline()hotyellow_3(任务描述:)newline() 
  space()space()space()player()，很高兴你能来到这里。首先，还是找到桃源圣地的司命熟悉一下情况吧！))</t>
    <phoneticPr fontId="6" type="noConversion"/>
  </si>
  <si>
    <t>body(  神兵当饮血，光寒五十州！斩尽狼烟，才不负匠心啊！)</t>
    <phoneticPr fontId="6" type="noConversion"/>
  </si>
  <si>
    <t>body(   我听到铮铮之鸣。神兵需饮血，斩杀妖魔为之开封吧！)</t>
    <phoneticPr fontId="6" type="noConversion"/>
  </si>
  <si>
    <t>body(   宝刀配英雄，吾心甚慰！)</t>
    <phoneticPr fontId="6" type="noConversion"/>
  </si>
  <si>
    <t>body(   我没事！真的没事……)</t>
    <phoneticPr fontId="6" type="noConversion"/>
  </si>
  <si>
    <t>body(   哎，我确有一事需要阁下帮忙。)</t>
    <phoneticPr fontId="6" type="noConversion"/>
  </si>
  <si>
    <t>body(    自夫君殒命，我本想随他而去。但是，司命大人救了我，他说，我夫君命不该绝，机缘到了，我还能再见到他。我夫君的衣冠冢在小河边，能帮我去祭奠下吗？)</t>
    <phoneticPr fontId="6" type="noConversion"/>
  </si>
  <si>
    <t>body(   人如虎，马如龙。人马合一，天下之大，无不可去之地！)</t>
    <phoneticPr fontId="6" type="noConversion"/>
  </si>
  <si>
    <t>&lt;p&gt;
&lt;n&gt;  &lt;/n&gt;
&lt;dialog taskid="6113" text="在合成界面" hotkeyid="12" /&gt;
&lt;n&gt;将5件白装合为1件蓝装&lt;/n&gt;
&lt;/p&gt;</t>
    <phoneticPr fontId="6" type="noConversion"/>
  </si>
  <si>
    <t>任务提示</t>
    <phoneticPr fontId="7" type="noConversion"/>
  </si>
  <si>
    <t>[3级]认可</t>
    <phoneticPr fontId="6" type="noConversion"/>
  </si>
  <si>
    <t>&lt;p&gt;
&lt;n&gt;  交：&lt;/n&gt;
 &lt;n&gt; &lt;/n&gt;&lt;goto quick="1" id="60046" mapid="1" flagpoint="1" taskid="6003"/&gt;&lt;/p&gt;</t>
    <phoneticPr fontId="6" type="noConversion"/>
  </si>
  <si>
    <t>击败怪物后再来找我吧！</t>
    <phoneticPr fontId="6" type="noConversion"/>
  </si>
  <si>
    <t>&lt;p&gt;
&lt;n&gt;  交：&lt;/n&gt;
 &lt;n&gt; &lt;/n&gt;&lt;goto quick="1" id="60046" mapid="1" flagpoint="1" taskid="6004"/&gt;&lt;/p&gt;</t>
    <phoneticPr fontId="6" type="noConversion"/>
  </si>
  <si>
    <t>body(   你的表现，我很满意。)</t>
    <phoneticPr fontId="6" type="noConversion"/>
  </si>
  <si>
    <t>&lt;p&gt;
&lt;n&gt;  找：&lt;/n&gt;
 &lt;n&gt; &lt;/n&gt;&lt;goto quick="1" id="60045" mapid="1" flagpoint="1" taskid="6005" /&gt;
&lt;/p&gt;</t>
    <phoneticPr fontId="6" type="noConversion"/>
  </si>
  <si>
    <t>&lt;p&gt;
&lt;n&gt;  交：&lt;/n&gt;
 &lt;n&gt; &lt;/n&gt;&lt;goto quick="1" id="60045" mapid="1" flagpoint="1" taskid="6005"/&gt;&lt;/p&gt;</t>
    <phoneticPr fontId="6" type="noConversion"/>
  </si>
  <si>
    <t>title([3级]认可)
body(hotyellow_3(任务进程:)newline()
   去找goto(60045,1)。
blankline()hotyellow_3(任务描述:)newline() 
  桃源仙子认可你的表现，让你去找司命复命。)</t>
    <phoneticPr fontId="6" type="noConversion"/>
  </si>
  <si>
    <t>title( [2级]兵威)
body(hotyellow_3(任务进程:)newline()
   击败1个goto(10103,1)后，去找goto(60046,1)。
blankline()hotyellow_3(任务描述:)newline() 
要想发挥兵器的真正威力，必须与兵器多磨合，才能做到心意相通。)</t>
    <phoneticPr fontId="6" type="noConversion"/>
  </si>
  <si>
    <t>"36003-0-1"</t>
    <phoneticPr fontId="6" type="noConversion"/>
  </si>
  <si>
    <t>你召唤出来了么？按G键可以打开宠物界面哦！</t>
    <phoneticPr fontId="6" type="noConversion"/>
  </si>
  <si>
    <t>&lt;p&gt;
&lt;n&gt;  找：&lt;/n&gt;
 &lt;n&gt; &lt;/n&gt;&lt;goto quick="1" id="60046" mapid="1" flagpoint="1" taskid="6012" /&gt;
&lt;/p&gt;</t>
    <phoneticPr fontId="6" type="noConversion"/>
  </si>
  <si>
    <t>&lt;p&gt;
&lt;n&gt;  交：&lt;/n&gt;
 &lt;n&gt; &lt;/n&gt;&lt;goto quick="1" id="502" mapid="2" flagpoint="1" taskid="6101"/&gt;&lt;/p&gt;</t>
    <phoneticPr fontId="6" type="noConversion"/>
  </si>
  <si>
    <t>&lt;p&gt;
&lt;n&gt;  交：&lt;/n&gt;
 &lt;n&gt; &lt;/n&gt;&lt;goto quick="1" id="60031" mapid="1" flagpoint="1" taskid="7011"/&gt;&lt;/p&gt;</t>
    <phoneticPr fontId="6" type="noConversion"/>
  </si>
  <si>
    <t>&lt;p&gt;
&lt;n&gt;  战胜：&lt;/n&gt;
 &lt;n&gt; &lt;/n&gt;&lt;goto quick="1" id="10105" mapid="1" flagpoint="1" taskid="7012" /&gt;
&lt;/p&gt;</t>
    <phoneticPr fontId="6" type="noConversion"/>
  </si>
  <si>
    <t>&lt;p&gt;
&lt;n&gt;  交：&lt;/n&gt;
 &lt;n&gt; &lt;/n&gt;&lt;goto quick="1" id="60031" mapid="1" flagpoint="1" taskid="7012"/&gt;&lt;/p&gt;</t>
    <phoneticPr fontId="6" type="noConversion"/>
  </si>
  <si>
    <t>&lt;p&gt;
&lt;n&gt;  祭奠：&lt;/n&gt;
 &lt;n&gt; &lt;/n&gt;&lt;goto quick="1" id="2004" mapid="1" flagpoint="1" taskid="7015" /&gt;
&lt;/p&gt;</t>
    <phoneticPr fontId="6" type="noConversion"/>
  </si>
  <si>
    <t>&lt;p&gt;
&lt;n&gt;  交：&lt;/n&gt;
 &lt;n&gt; &lt;/n&gt;&lt;goto quick="1" id="60007" mapid="1" flagpoint="1" taskid="7015"/&gt;&lt;/p&gt;</t>
    <phoneticPr fontId="6" type="noConversion"/>
  </si>
  <si>
    <t>&lt;p&gt;
&lt;n&gt;  交：&lt;/n&gt;
 &lt;n&gt; &lt;/n&gt;&lt;goto quick="1" id="60007" mapid="1" flagpoint="1" taskid="7016"/&gt;&lt;/p&gt;</t>
    <phoneticPr fontId="6" type="noConversion"/>
  </si>
  <si>
    <t>&lt;p&gt;
&lt;n&gt;  祭奠：&lt;/n&gt;
 &lt;n&gt; &lt;/n&gt;&lt;goto quick="1" id="2004" mapid="1" flagpoint="1" taskid="7016" /&gt;
&lt;/p&gt;</t>
    <phoneticPr fontId="6" type="noConversion"/>
  </si>
  <si>
    <t>&lt;p&gt;
&lt;n&gt;  祭奠：&lt;/n&gt;
 &lt;n&gt; &lt;/n&gt;&lt;goto quick="1" id="2004" mapid="1" flagpoint="1" taskid="7017" /&gt;
&lt;/p&gt;</t>
    <phoneticPr fontId="6" type="noConversion"/>
  </si>
  <si>
    <t>&lt;p&gt;
&lt;n&gt;  交：&lt;/n&gt;
 &lt;n&gt; &lt;/n&gt;&lt;goto quick="1" id="60007" mapid="1" flagpoint="1" taskid="7017"/&gt;&lt;/p&gt;</t>
    <phoneticPr fontId="6" type="noConversion"/>
  </si>
  <si>
    <t>&lt;p&gt;
&lt;n&gt;  找：&lt;/n&gt;
 &lt;n&gt; &lt;/n&gt;&lt;goto quick="1" id="502" mapid="2" flagpoint="1" taskid="7101" /&gt;
&lt;/p&gt;</t>
    <phoneticPr fontId="6" type="noConversion"/>
  </si>
  <si>
    <t>&lt;p&gt;
&lt;n&gt;  交：&lt;/n&gt;
 &lt;n&gt; &lt;/n&gt;&lt;goto quick="1" id="502" mapid="2" flagpoint="1" taskid="7101"/&gt;&lt;/p&gt;</t>
    <phoneticPr fontId="6" type="noConversion"/>
  </si>
  <si>
    <t>&lt;p&gt;
&lt;n&gt;  找：&lt;/n&gt;
 &lt;n&gt; &lt;/n&gt;&lt;goto quick="1" id="502" mapid="2" flagpoint="1" taskid="7102" /&gt;
&lt;/p&gt;</t>
    <phoneticPr fontId="6" type="noConversion"/>
  </si>
  <si>
    <t>&lt;p&gt;
&lt;n&gt;  交：&lt;/n&gt;
 &lt;n&gt; &lt;/n&gt;&lt;goto quick="1" id="502" mapid="2" flagpoint="1" taskid="7102"/&gt;&lt;/p&gt;</t>
    <phoneticPr fontId="6" type="noConversion"/>
  </si>
  <si>
    <t>&lt;p&gt;
&lt;n&gt;  点燃&lt;/n&gt;
 &lt;n&gt; &lt;/n&gt;&lt;goto quick="1" id="2005" mapid="2" flagpoint="1" taskid="7103" /&gt;
&lt;/p&gt;</t>
    <phoneticPr fontId="6" type="noConversion"/>
  </si>
  <si>
    <t>&lt;p&gt;
&lt;n&gt;  交：&lt;/n&gt;
 &lt;n&gt; &lt;/n&gt;&lt;goto quick="1" id="502" mapid="2" flagpoint="1" taskid="7103"/&gt;&lt;/p&gt;</t>
    <phoneticPr fontId="6" type="noConversion"/>
  </si>
  <si>
    <t>&lt;p&gt;
&lt;n&gt;  交：&lt;/n&gt;
 &lt;n&gt; &lt;/n&gt;&lt;goto quick="1" id="502" mapid="2" flagpoint="1" taskid="7104"/&gt;&lt;/p&gt;</t>
    <phoneticPr fontId="6" type="noConversion"/>
  </si>
  <si>
    <t>&lt;p&gt;
&lt;n&gt;  点燃&lt;/n&gt;
 &lt;n&gt; &lt;/n&gt;&lt;goto quick="1" id="2005" mapid="2" flagpoint="1" taskid="7104" /&gt;
&lt;/p&gt;</t>
    <phoneticPr fontId="6" type="noConversion"/>
  </si>
  <si>
    <t>&lt;p&gt;&lt;n&gt; &lt;/n&gt;&lt;n&gt;骑乘后找&lt;/n&gt;&lt;goto quick="1" id="60046" mapid="1" flagpoint="1" taskid="6019"/&gt;
&lt;/p&gt;</t>
    <phoneticPr fontId="6" type="noConversion"/>
  </si>
  <si>
    <t>&lt;p&gt;
&lt;n&gt;  完成宠物召唤&lt;/n&gt;
&lt;/p&gt;</t>
    <phoneticPr fontId="6" type="noConversion"/>
  </si>
  <si>
    <t>"36005-0-3"</t>
    <phoneticPr fontId="6" type="noConversion"/>
  </si>
  <si>
    <t>body(   我现在缺少九曜石，能找到吗？我可以给你免费开仓库，还送你个极品装备！)</t>
    <phoneticPr fontId="6" type="noConversion"/>
  </si>
  <si>
    <t>"36006-0-1"</t>
    <phoneticPr fontId="6" type="noConversion"/>
  </si>
  <si>
    <t>&lt;p&gt;
&lt;n&gt;  采：&lt;/n&gt;
 &lt;n&gt; &lt;/n&gt;&lt;goto quick="1" id="2008" mapid="2" flagpoint="1" taskid="7115" /&gt;
&lt;/p&gt;</t>
    <phoneticPr fontId="6" type="noConversion"/>
  </si>
  <si>
    <t>&lt;p&gt;
&lt;n&gt;  交：&lt;/n&gt;
 &lt;n&gt; &lt;/n&gt;&lt;goto quick="1" id="116" mapid="2" flagpoint="1" taskid="7115"/&gt;&lt;/p&gt;</t>
    <phoneticPr fontId="6" type="noConversion"/>
  </si>
  <si>
    <t>&lt;p&gt;
&lt;n&gt;  交：&lt;/n&gt;
 &lt;n&gt; &lt;/n&gt;&lt;goto quick="1" id="116" mapid="2" flagpoint="1" taskid="7116"/&gt;&lt;/p&gt;</t>
    <phoneticPr fontId="6" type="noConversion"/>
  </si>
  <si>
    <t>&lt;p&gt;
&lt;n&gt;  采：&lt;/n&gt;
 &lt;n&gt; &lt;/n&gt;&lt;goto quick="1" id="2008" mapid="2" flagpoint="1" taskid="7116" /&gt;
&lt;/p&gt;</t>
    <phoneticPr fontId="6" type="noConversion"/>
  </si>
  <si>
    <t>title(（25级）[23级]金兰石)
body(hotyellow_3(任务进程:)newline()
   寻找3块goto(2010,2)后，回复goto(122,2)
blankline()hotyellow_3(任务描述:)newline() 
  家族是游戏中最重要的后盾，它会陪你共度风雨。Hot(金兰石)是家族情谊的见证。去帮我找3块吧。)</t>
    <phoneticPr fontId="6" type="noConversion"/>
  </si>
  <si>
    <t>"36010-0-3"</t>
    <phoneticPr fontId="6" type="noConversion"/>
  </si>
  <si>
    <t>&lt;p&gt;
&lt;n&gt;  操作&lt;/n&gt;
 &lt;n&gt; &lt;/n&gt;&lt;goto quick="1" id="2016" mapid="2" flagpoint="1" taskid="7140" /&gt;
&lt;/p&gt;</t>
    <phoneticPr fontId="6" type="noConversion"/>
  </si>
  <si>
    <t>&lt;p&gt;
&lt;n&gt;  操作&lt;/n&gt;
 &lt;n&gt; &lt;/n&gt;&lt;goto quick="1" id="2016" mapid="2" flagpoint="1" taskid="7141" /&gt;
&lt;/p&gt;</t>
    <phoneticPr fontId="6" type="noConversion"/>
  </si>
  <si>
    <t>&lt;p&gt;
&lt;n&gt;  操作&lt;/n&gt;
 &lt;n&gt; &lt;/n&gt;&lt;goto quick="1" id="2016" mapid="2" flagpoint="1" taskid="7142" /&gt;
&lt;/p&gt;</t>
    <phoneticPr fontId="6" type="noConversion"/>
  </si>
  <si>
    <t>&lt;p&gt;
&lt;n&gt;  交：&lt;/n&gt;
 &lt;n&gt; &lt;/n&gt;&lt;goto quick="1" id="113" mapid="2" flagpoint="1" taskid="7142"/&gt;&lt;/p&gt;</t>
    <phoneticPr fontId="6" type="noConversion"/>
  </si>
  <si>
    <t>&lt;p&gt;
&lt;n&gt;  交：&lt;/n&gt;
 &lt;n&gt; &lt;/n&gt;&lt;goto quick="1" id="113" mapid="2" flagpoint="1" taskid="7141"/&gt;&lt;/p&gt;</t>
    <phoneticPr fontId="6" type="noConversion"/>
  </si>
  <si>
    <t>&lt;p&gt;
&lt;n&gt;  交：&lt;/n&gt;
 &lt;n&gt; &lt;/n&gt;&lt;goto quick="1" id="113" mapid="2" flagpoint="1" taskid="7140"/&gt;&lt;/p&gt;</t>
    <phoneticPr fontId="6" type="noConversion"/>
  </si>
  <si>
    <t>&lt;p&gt;
&lt;n&gt;  战胜：&lt;/n&gt;
 &lt;n&gt; &lt;/n&gt;&lt;goto quick="1" id="10500" mapid="6" flagpoint="1" taskid="7219" /&gt;
&lt;/p&gt;</t>
    <phoneticPr fontId="6" type="noConversion"/>
  </si>
  <si>
    <t>&lt;p&gt;
&lt;n&gt;  交：&lt;/n&gt;
 &lt;n&gt; &lt;/n&gt;&lt;goto quick="1" id="515" mapid="6" flagpoint="1" taskid="7219"/&gt;&lt;/p&gt;</t>
    <phoneticPr fontId="6" type="noConversion"/>
  </si>
  <si>
    <t>&lt;p&gt;
&lt;n&gt;  战胜：&lt;/n&gt;
 &lt;n&gt; &lt;/n&gt;&lt;goto quick="1" id="10500" mapid="6" flagpoint="1" taskid="7220" /&gt;
&lt;/p&gt;</t>
    <phoneticPr fontId="6" type="noConversion"/>
  </si>
  <si>
    <t>&lt;p&gt;
&lt;n&gt;  交：&lt;/n&gt;
 &lt;n&gt; &lt;/n&gt;&lt;goto quick="1" id="515" mapid="6" flagpoint="1" taskid="7220"/&gt;&lt;/p&gt;</t>
    <phoneticPr fontId="6" type="noConversion"/>
  </si>
  <si>
    <t>"36012-0-3"</t>
    <phoneticPr fontId="6" type="noConversion"/>
  </si>
  <si>
    <t>&lt;p&gt;
&lt;n&gt;  对&lt;/n&gt;
 &lt;n&gt; &lt;/n&gt;&lt;goto quick="1" id="512" mapid="6" flagpoint="1" taskid="6216" /&gt;&lt;n&gt;的诗句&lt;/n&gt;
&lt;/p&gt;</t>
    <phoneticPr fontId="6" type="noConversion"/>
  </si>
  <si>
    <t>"36011-0-3"</t>
    <phoneticPr fontId="6" type="noConversion"/>
  </si>
  <si>
    <t>"36015-0-3"</t>
    <phoneticPr fontId="6" type="noConversion"/>
  </si>
  <si>
    <t>"36020-0-5"</t>
    <phoneticPr fontId="6" type="noConversion"/>
  </si>
  <si>
    <t>&lt;p&gt;
&lt;n&gt;  到凤城找&lt;/n&gt;&lt;goto quick="1" id="503" mapid="2" flagpoint="1" taskid="6121" /&gt;
&lt;/p&gt;</t>
    <phoneticPr fontId="6" type="noConversion"/>
  </si>
  <si>
    <t>&lt;p&gt;
&lt;n&gt;  到凤城找&lt;/n&gt;&lt;goto quick="1" id="503" mapid="2" flagpoint="1" taskid="6121" /&gt;
&lt;/p&gt;</t>
    <phoneticPr fontId="6" type="noConversion"/>
  </si>
  <si>
    <t>&lt;p&gt;
&lt;n&gt;  &lt;/n&gt;&lt;n&gt;去桃源圣地找&lt;/n&gt;&lt;goto quick="1" id="60007" mapid="1" flagpoint="1" taskid="6225" /&gt;
&lt;/p&gt;</t>
    <phoneticPr fontId="14" type="noConversion"/>
  </si>
  <si>
    <t>&lt;p&gt;
&lt;n&gt;  &lt;/n&gt;&lt;n&gt;到夷陵回复&lt;/n&gt;&lt;goto quick="1" id="515" mapid="6" flagpoint="1" taskid="6228" /&gt;
&lt;/p&gt;</t>
    <phoneticPr fontId="14" type="noConversion"/>
  </si>
  <si>
    <t>&lt;p&gt;
&lt;n&gt;  &lt;/n&gt;&lt;n&gt;到凤城回复&lt;/n&gt;&lt;goto quick="1" id="501" mapid="2" flagpoint="1" taskid="6240" /&gt;
&lt;/p&gt;</t>
    <phoneticPr fontId="6" type="noConversion"/>
  </si>
  <si>
    <t>&lt;p&gt;
&lt;n&gt;  &lt;/n&gt;&lt;n&gt;到桃源圣地找&lt;/n&gt;&lt;goto quick="1" id="60200" mapid="1" flagpoint="1" taskid="6246" /&gt;
&lt;/p&gt;</t>
    <phoneticPr fontId="6" type="noConversion"/>
  </si>
  <si>
    <t>&lt;p&gt;
&lt;n&gt;  &lt;/n&gt;&lt;n&gt;到夷陵回复&lt;/n&gt;&lt;goto quick="1" id="517" mapid="6" flagpoint="1" taskid="6248" /&gt;
&lt;/p&gt;</t>
    <phoneticPr fontId="6" type="noConversion"/>
  </si>
  <si>
    <t>&lt;p&gt;
&lt;n&gt;  &lt;/n&gt;&lt;n&gt;到凤城回复&lt;/n&gt;&lt;goto quick="1" id="503" mapid="2" flagpoint="1" taskid="6252" /&gt;
&lt;/p&gt;</t>
    <phoneticPr fontId="6" type="noConversion"/>
  </si>
  <si>
    <t>body(   辛苦了。)</t>
    <phoneticPr fontId="6" type="noConversion"/>
  </si>
  <si>
    <t>title( [50级]因缘)
body(hotyellow_3(任务进程:)newline()
   去找goto(520,6)。
blankline()hotyellow_3(任务描述:)newline() 
  那位樵夫，能如此长寿，并非因为长寿果。而是因为他与我前世的因缘。)</t>
    <phoneticPr fontId="6" type="noConversion"/>
  </si>
  <si>
    <t>body(   那位樵夫，能如此长寿，并非因为长寿果。而是因为他与我前世的因缘。)</t>
    <phoneticPr fontId="6" type="noConversion"/>
  </si>
  <si>
    <t>&lt;p&gt;
&lt;n&gt;  &lt;/n&gt;&lt;n&gt;找：&lt;/n&gt;&lt;goto quick="1" id="520" mapid="6" flagpoint="1" taskid="6243" /&gt;
&lt;/p&gt;</t>
    <phoneticPr fontId="6" type="noConversion"/>
  </si>
  <si>
    <t>&lt;p&gt;
&lt;n&gt;  &lt;/n&gt;&lt;n&gt;交：&lt;/n&gt;&lt;goto quick="1" id="520" mapid="6" flagpoint="1" taskid="6243" /&gt;
&lt;/p&gt;</t>
    <phoneticPr fontId="6" type="noConversion"/>
  </si>
  <si>
    <t>body(   有没有觉得大地突然震动了一下？远处还有轰隆的声音，不会出什么事情了吧？)</t>
    <phoneticPr fontId="6" type="noConversion"/>
  </si>
  <si>
    <t>&lt;p&gt;
&lt;n&gt;  &lt;/n&gt;&lt;n&gt;找：&lt;/n&gt;&lt;goto quick="1" id="519" mapid="6" flagpoint="1" taskid="6250" /&gt;
&lt;/p&gt;</t>
    <phoneticPr fontId="6" type="noConversion"/>
  </si>
  <si>
    <t>&lt;p&gt;
&lt;n&gt;  &lt;/n&gt;&lt;n&gt;交：&lt;/n&gt;&lt;goto quick="1" id="519" mapid="6" flagpoint="1" taskid="6250" /&gt;
&lt;/p&gt;</t>
    <phoneticPr fontId="6" type="noConversion"/>
  </si>
  <si>
    <t>&lt;p&gt;
&lt;n&gt;  找：&lt;/n&gt;
 &lt;n&gt; &lt;/n&gt;&lt;goto quick="1" id="514" mapid="6" flagpoint="1" taskid="6251" /&gt;
&lt;/p&gt;</t>
    <phoneticPr fontId="6" type="noConversion"/>
  </si>
  <si>
    <t>&lt;p&gt;
&lt;n&gt;  交：&lt;/n&gt;
 &lt;n&gt; &lt;/n&gt;&lt;goto quick="1" id="514" mapid="6" flagpoint="1" taskid="6251"/&gt;&lt;/p&gt;</t>
    <phoneticPr fontId="6" type="noConversion"/>
  </si>
  <si>
    <t>title( [52级]山摇地动)
body(hotyellow_3(任务进程:)newline()
   去找goto(519,6)。
blankline()hotyellow_3(任务描述:)newline() 
  有没有觉得大地突然震动了一下？远处还有轰隆的声音，不会出什么事情了吧？)</t>
    <phoneticPr fontId="6" type="noConversion"/>
  </si>
  <si>
    <t>body(   好…好……可……可怕的声音。)</t>
    <phoneticPr fontId="6" type="noConversion"/>
  </si>
  <si>
    <t>北斗</t>
    <phoneticPr fontId="6" type="noConversion"/>
  </si>
  <si>
    <t>赵云</t>
    <phoneticPr fontId="6" type="noConversion"/>
  </si>
  <si>
    <t>嵇康</t>
    <phoneticPr fontId="6" type="noConversion"/>
  </si>
  <si>
    <t>华佗</t>
    <phoneticPr fontId="6" type="noConversion"/>
  </si>
  <si>
    <t>甄姬</t>
    <phoneticPr fontId="6" type="noConversion"/>
  </si>
  <si>
    <t>孙策</t>
    <phoneticPr fontId="6" type="noConversion"/>
  </si>
  <si>
    <t>太史慈</t>
    <phoneticPr fontId="6" type="noConversion"/>
  </si>
  <si>
    <t>大乔</t>
    <phoneticPr fontId="6" type="noConversion"/>
  </si>
  <si>
    <t>司命（先常）</t>
    <phoneticPr fontId="6" type="noConversion"/>
  </si>
  <si>
    <t>桃源仙子</t>
    <phoneticPr fontId="6" type="noConversion"/>
  </si>
  <si>
    <t>貂蝉</t>
    <phoneticPr fontId="6" type="noConversion"/>
  </si>
  <si>
    <t>周瑜</t>
    <phoneticPr fontId="14" type="noConversion"/>
  </si>
  <si>
    <t>小乔</t>
    <phoneticPr fontId="14" type="noConversion"/>
  </si>
  <si>
    <t>左慈</t>
    <phoneticPr fontId="14" type="noConversion"/>
  </si>
  <si>
    <t>&lt;p&gt;
&lt;n&gt;  &lt;/n&gt;&lt;n&gt;到夷陵找&lt;/n&gt;&lt;goto quick="1" id="514" mapid="6" flagpoint="1" taskid="6242" /&gt;
&lt;/p&gt;</t>
    <phoneticPr fontId="6" type="noConversion"/>
  </si>
  <si>
    <t>body(   干的好！)</t>
    <phoneticPr fontId="6" type="noConversion"/>
  </si>
  <si>
    <t>孙策</t>
    <phoneticPr fontId="14" type="noConversion"/>
  </si>
  <si>
    <t>琉璃</t>
    <phoneticPr fontId="6" type="noConversion"/>
  </si>
  <si>
    <t>孙香</t>
    <phoneticPr fontId="6" type="noConversion"/>
  </si>
  <si>
    <t>贪狼</t>
    <phoneticPr fontId="6" type="noConversion"/>
  </si>
  <si>
    <t>曹丕</t>
    <phoneticPr fontId="6" type="noConversion"/>
  </si>
  <si>
    <t>嵇康</t>
    <phoneticPr fontId="6" type="noConversion"/>
  </si>
  <si>
    <t>虎牢守将</t>
    <phoneticPr fontId="6" type="noConversion"/>
  </si>
  <si>
    <t>风萧萧</t>
    <phoneticPr fontId="6" type="noConversion"/>
  </si>
  <si>
    <t>孙策</t>
    <phoneticPr fontId="6" type="noConversion"/>
  </si>
  <si>
    <t>司命（先常）</t>
    <phoneticPr fontId="14" type="noConversion"/>
  </si>
  <si>
    <t>桃源仙子</t>
    <phoneticPr fontId="14" type="noConversion"/>
  </si>
  <si>
    <t>貂蝉</t>
    <phoneticPr fontId="14" type="noConversion"/>
  </si>
  <si>
    <t>阿狸</t>
    <phoneticPr fontId="14" type="noConversion"/>
  </si>
  <si>
    <t>丞相</t>
    <phoneticPr fontId="6" type="noConversion"/>
  </si>
  <si>
    <t>锦绣</t>
    <phoneticPr fontId="6" type="noConversion"/>
  </si>
  <si>
    <t>守将-罗秀</t>
    <phoneticPr fontId="6" type="noConversion"/>
  </si>
  <si>
    <t>body(   将信件送至指定NPC处。)</t>
    <phoneticPr fontId="6" type="noConversion"/>
  </si>
  <si>
    <t>水镜先生</t>
    <phoneticPr fontId="6" type="noConversion"/>
  </si>
  <si>
    <t>贪狼</t>
    <phoneticPr fontId="6" type="noConversion"/>
  </si>
  <si>
    <t>驿站车夫</t>
    <phoneticPr fontId="6" type="noConversion"/>
  </si>
  <si>
    <t>甄姬</t>
    <phoneticPr fontId="6" type="noConversion"/>
  </si>
  <si>
    <t>嵇康</t>
    <phoneticPr fontId="6" type="noConversion"/>
  </si>
  <si>
    <t>华佗</t>
    <phoneticPr fontId="6" type="noConversion"/>
  </si>
  <si>
    <t>李夫人</t>
    <phoneticPr fontId="14" type="noConversion"/>
  </si>
  <si>
    <t>大乔</t>
    <phoneticPr fontId="14" type="noConversion"/>
  </si>
  <si>
    <t>司命（先常）</t>
    <phoneticPr fontId="6" type="noConversion"/>
  </si>
  <si>
    <t>桃源仙子</t>
    <phoneticPr fontId="6" type="noConversion"/>
  </si>
  <si>
    <t>酒庄老板-杜康</t>
    <phoneticPr fontId="14" type="noConversion"/>
  </si>
  <si>
    <t>太常-司空镜</t>
    <phoneticPr fontId="14" type="noConversion"/>
  </si>
  <si>
    <t>百里秋月</t>
    <phoneticPr fontId="14" type="noConversion"/>
  </si>
  <si>
    <t>body(   前往指定区域打磨刀具！)</t>
    <phoneticPr fontId="6" type="noConversion"/>
  </si>
  <si>
    <t>body(   前往指定区域砍柴！)</t>
    <phoneticPr fontId="6" type="noConversion"/>
  </si>
  <si>
    <t>body(   前往指定区域查探！)</t>
    <phoneticPr fontId="6" type="noConversion"/>
  </si>
  <si>
    <t>body(   前往指定区域砍伐桃木！)</t>
    <phoneticPr fontId="6" type="noConversion"/>
  </si>
  <si>
    <t>打磨刀具</t>
    <phoneticPr fontId="6" type="noConversion"/>
  </si>
  <si>
    <t>砍伐木材</t>
    <phoneticPr fontId="6" type="noConversion"/>
  </si>
  <si>
    <t>查探洞口</t>
    <phoneticPr fontId="6" type="noConversion"/>
  </si>
  <si>
    <t>砍伐桃木</t>
    <phoneticPr fontId="6" type="noConversion"/>
  </si>
  <si>
    <t>body(   探查指定地点！)</t>
    <phoneticPr fontId="6" type="noConversion"/>
  </si>
  <si>
    <t>到指定地点进行探查操作</t>
    <phoneticPr fontId="6" type="noConversion"/>
  </si>
  <si>
    <t>我在找我妹妹……</t>
    <phoneticPr fontId="6" type="noConversion"/>
  </si>
  <si>
    <t>body(   如何？司命大人怎么说？（司命石上写着貂蝉此劫避无可避……要告诉她吗？）)</t>
    <phoneticPr fontId="6" type="noConversion"/>
  </si>
  <si>
    <t>&lt;p&gt;
&lt;n&gt;  查看&lt;/n&gt;
 &lt;n&gt; &lt;/n&gt;&lt;goto quick="1" id="2023" mapid="1" flagpoint="1" taskid="6227" /&gt;
&lt;/p&gt;</t>
    <phoneticPr fontId="14" type="noConversion"/>
  </si>
  <si>
    <t>&lt;p&gt;
&lt;n&gt;  交：&lt;/n&gt;
 &lt;n&gt; &lt;/n&gt;&lt;goto quick="1" id="60007" mapid="1" flagpoint="1" taskid="6227"/&gt;&lt;/p&gt;</t>
    <phoneticPr fontId="6" type="noConversion"/>
  </si>
  <si>
    <t>body(   所以，我一直在附近找我妹妹的踪迹。)</t>
    <phoneticPr fontId="6" type="noConversion"/>
  </si>
  <si>
    <t>body(   我在找我妹妹。)</t>
    <phoneticPr fontId="6" type="noConversion"/>
  </si>
  <si>
    <t>body(   blankline()   你好，我是家族建筑师！家族的繁荣度是提升是家族等级的关键。因此交给你们的任务都要认真完成！家族历练任务可删除，但删除后当天可做任务次数会减少！blankline()
hot(小提示:每人每天最多完成10次家族历练任务，每环任务比上1环任务经验额外增加20%。))</t>
    <phoneticPr fontId="6" type="noConversion"/>
  </si>
  <si>
    <t>body(   做得不错，看来你已经适应了家族生涯。记住：有付出才有收获！)</t>
    <phoneticPr fontId="6" type="noConversion"/>
  </si>
  <si>
    <t>[历练]拜访</t>
  </si>
  <si>
    <t>[历练]歼灭I</t>
  </si>
  <si>
    <t>[历练]歼灭II</t>
  </si>
  <si>
    <t>[历练]收集装备</t>
  </si>
  <si>
    <t>[历练]收集武器</t>
  </si>
  <si>
    <t>[历练]护送</t>
  </si>
  <si>
    <t>[历练]送信</t>
  </si>
  <si>
    <t>[历练]取物</t>
  </si>
  <si>
    <t>[历练]开锋</t>
  </si>
  <si>
    <t>[历练]砍柴</t>
  </si>
  <si>
    <t>[历练]标志</t>
  </si>
  <si>
    <t>[历练]桃木</t>
  </si>
  <si>
    <t>[历练]夺回</t>
  </si>
  <si>
    <t>[历练]探查</t>
  </si>
  <si>
    <t>[历练]收集矿石</t>
  </si>
  <si>
    <t>[历练]收集药材</t>
  </si>
  <si>
    <t>[历练]收集地精岩髓</t>
  </si>
  <si>
    <t>[历练]收集彼岸花</t>
  </si>
  <si>
    <t>[历练]收集荆棘果</t>
  </si>
  <si>
    <t>[历练]收集地雷</t>
  </si>
  <si>
    <t>[历练]收集妖莲魔芋</t>
  </si>
  <si>
    <t>[历练]收集龙护腿</t>
  </si>
  <si>
    <t>[历练]打怪（精英）</t>
  </si>
  <si>
    <t>乱世历练任务</t>
    <phoneticPr fontId="6" type="noConversion"/>
  </si>
  <si>
    <t>body(   做得不错，看来你已经适应了乱世生涯。记住：有付出才有收获！)</t>
    <phoneticPr fontId="6" type="noConversion"/>
  </si>
  <si>
    <t>title(讨伐逆贼)
body(hotyellow_3(任务进程:)newline()
   杀死xx个goto(66666,9999)后向goto(504,3)回复。Newline()   hot(（与高于自身等级的其他玩家组队，击杀高等级的讨伐逆贼所需怪物，依然可以完成任务）)
blankline()hotyellow_3(任务描述:)newline() 
   要想在这个世界活下去，只有在敌人战胜你之前先战胜现在的你！只有不断的向前，才能最终将世界踩在脚下！！)</t>
  </si>
  <si>
    <t>&lt;p&gt;
&lt;n&gt;  交：&lt;/n&gt;
 &lt;n&gt; &lt;/n&gt;&lt;goto id="504" mapid="3" flagpoint="1" taskid="30043"/&gt;&lt;/p&gt;</t>
  </si>
  <si>
    <t>title(讨伐逆贼)
body(hotyellow_3(任务进程:)newline()
   杀死xx个goto(66666,9999)后向goto(543,5)回复。可通过goto(187,135)前往地宫的任意层。newline()   hot(（与高于自身等级的其他玩家组队，击杀高等级的讨伐逆贼所需怪物，依然可以完成任务）)
blankline()hotyellow_3(任务描述:)newline() 
   要想在这个世界活下去，只有在敌人战胜你之前先战胜现在的你！只有不断的向前，才能最终将世界踩在脚下！！)</t>
  </si>
  <si>
    <t>&lt;p&gt;
&lt;n&gt;  交：&lt;/n&gt;
 &lt;n&gt; &lt;/n&gt;&lt;goto id="543" mapid="5" flagpoint="1" taskid="30045"/&gt;&lt;/p&gt;</t>
  </si>
  <si>
    <t>前往梦境</t>
  </si>
  <si>
    <t>去找上尉赛特</t>
  </si>
  <si>
    <t>去找指挥官卡玛</t>
  </si>
  <si>
    <t>去找狙击手托奇</t>
  </si>
  <si>
    <t>去找尤利娅</t>
  </si>
  <si>
    <t>去找指挥官拉奥</t>
  </si>
  <si>
    <t>杀死利爪裂纹豹</t>
  </si>
  <si>
    <t>杀死岩浆傀儡</t>
  </si>
  <si>
    <t>杀死爆裂火元素</t>
  </si>
  <si>
    <t>杀死深渊毁灭者</t>
  </si>
  <si>
    <t>杀死火焰蝴蝶</t>
  </si>
  <si>
    <t>杀死坚毅火石怪</t>
  </si>
  <si>
    <t>杀死邪恶火翼鸟</t>
  </si>
  <si>
    <t>杀死火焰震荡者</t>
  </si>
  <si>
    <t>杀死疯狂萤火虫</t>
  </si>
  <si>
    <t>杀死地狱食火者</t>
  </si>
  <si>
    <t>杀死爆裂火焰守卫</t>
  </si>
  <si>
    <t>杀死火焰蝴蝶幼虫</t>
  </si>
  <si>
    <t>杀死异角龙</t>
  </si>
  <si>
    <t>杀死疾走龙</t>
  </si>
  <si>
    <t>杀死翼龙</t>
  </si>
  <si>
    <t>杀死毒蜘蛛</t>
  </si>
  <si>
    <t>杀死狂暴犀牛</t>
  </si>
  <si>
    <t>杀死赤甲蝎</t>
  </si>
  <si>
    <t>杀死巨钳蝎</t>
  </si>
  <si>
    <t>杀死螳螂后</t>
  </si>
  <si>
    <t>杀死震地象</t>
  </si>
  <si>
    <t>杀死魔族游荡者</t>
  </si>
  <si>
    <t>杀死魔族夺魂者</t>
  </si>
  <si>
    <t>杀死重装巨熊</t>
  </si>
  <si>
    <t>杀死魔族掠夺者</t>
  </si>
  <si>
    <t>杀死猎杀者</t>
  </si>
  <si>
    <t>杀死丛林食尸者</t>
  </si>
  <si>
    <t>杀死剧毒虫王</t>
  </si>
  <si>
    <t>杀死唤醒者</t>
  </si>
  <si>
    <t>杀死刚猪</t>
  </si>
  <si>
    <t>去凤城地宫夺回丢失的零件</t>
  </si>
  <si>
    <t>去凤城地宫消灭叛乱的奥尔迪加中尉</t>
  </si>
  <si>
    <t xml:space="preserve"> 返回地球时替卫兵怒风打听家人的消息</t>
  </si>
  <si>
    <t>去凤城外围丛林打探囧rz·莲父亲的消息</t>
  </si>
  <si>
    <t>去隐匿者之森打探囧rz·莲父亲的消息</t>
  </si>
  <si>
    <t>将岩浆傀儡移交到指挥官卡玛那里</t>
  </si>
  <si>
    <t>去死亡沙漠寻找囧rz·莲的父亲</t>
  </si>
  <si>
    <t>找到另一个戒指</t>
  </si>
  <si>
    <t>去找老战宠若山</t>
  </si>
  <si>
    <t>收集5把“狼群”的帮会刀</t>
  </si>
  <si>
    <t>去找参谋官赛特</t>
  </si>
  <si>
    <t>收集5朵彼岸花</t>
  </si>
  <si>
    <t>向美食家歉一要点吃的给佐洛</t>
  </si>
  <si>
    <t>杀死10只异角龙</t>
  </si>
  <si>
    <t>消灭20只疾走龙</t>
  </si>
  <si>
    <t>消灭沙漠狼神</t>
  </si>
  <si>
    <t>听托奇讲述有关勋章的事</t>
  </si>
  <si>
    <t>去找指挥官妮可</t>
  </si>
  <si>
    <t>增加1名新的好友</t>
  </si>
  <si>
    <t>增加3名新的好友</t>
  </si>
  <si>
    <t>增加5名新的好友</t>
  </si>
  <si>
    <t>增加10名新的好友</t>
  </si>
  <si>
    <t>找到藏在箱子里的肚子熊</t>
  </si>
  <si>
    <t>护送肚子熊前往光明祭祀处</t>
  </si>
  <si>
    <t>创建或者加入一个帮会团</t>
  </si>
  <si>
    <t>消灭残破的铁魔人</t>
  </si>
  <si>
    <t>将幸存者护送到情报官零号处</t>
  </si>
  <si>
    <t>去和CEO拉斐尔好好沟通下，让他认识到问题的严重性</t>
  </si>
  <si>
    <t>去问问指挥官赛特是否有关于狄尔儿子的线索</t>
  </si>
  <si>
    <t>击杀45头疾走龙，看看能否找到有关萨尔的线索</t>
  </si>
  <si>
    <t>杀死45只毒蜘蛛，寻找线索</t>
  </si>
  <si>
    <t>杀死巨钳蝎与赤甲蝎</t>
  </si>
  <si>
    <t>将赛特的推理告诉狄尔</t>
  </si>
  <si>
    <t>杀死45个震地象并搜索周围的灌木丛</t>
  </si>
  <si>
    <t>将格姆送到罗斯福里那里</t>
  </si>
  <si>
    <t xml:space="preserve">    获得2个地精岩髓交给勘探员费多。你可以在附近采集那种红色的岩石。</t>
  </si>
  <si>
    <t>获得2朵彼岸花交给勘探员费多</t>
  </si>
  <si>
    <t>获得2个POM-1防步兵跳雷交给勘探员费多</t>
  </si>
  <si>
    <t>达到51级后去找凤城高级杂货商人领取改变属性道具</t>
  </si>
  <si>
    <t>达到55级后去找光明骑士团族长卡尔领取职业套装</t>
  </si>
  <si>
    <t>达到51级后去找光明女祭司</t>
  </si>
  <si>
    <t>达到71级后去找光明女祭司</t>
  </si>
  <si>
    <t>转换斗气要规划好职业哦</t>
  </si>
  <si>
    <t>加入一个家族，并使用返回家族府邸技能进入团</t>
  </si>
  <si>
    <t>与家族府邸中的NPC对话</t>
  </si>
  <si>
    <t>在成长俸禄的商店里兑换31级绿色武器吧！</t>
  </si>
  <si>
    <t>完成任务，将脱离系统保护。</t>
  </si>
  <si>
    <t>完成任务，将重获系统保护，在本国可免受攻击。</t>
  </si>
  <si>
    <t>完成任务，将脱离系统保护，</t>
  </si>
  <si>
    <t>完成任务，将获得战阵夺营卷轴。</t>
  </si>
  <si>
    <t>了解骑魂的作用</t>
  </si>
  <si>
    <t>给我寻找一瓶生命药（小）</t>
  </si>
  <si>
    <t>给我寻找一瓶魔力药（小）</t>
  </si>
  <si>
    <t>尝试回答医生卡西的问题</t>
  </si>
  <si>
    <t>给我寻找一瓶生命药（中）</t>
  </si>
  <si>
    <t>给我寻找一瓶魔力药（中）</t>
  </si>
  <si>
    <t>尝试回答退役的族长艾尔的问题</t>
  </si>
  <si>
    <t>尝试回答波仕的问题</t>
  </si>
  <si>
    <t>德罗尼就在那里，他就在五丈原！去找到他吧！</t>
  </si>
  <si>
    <t>你还想知道什么喃？</t>
  </si>
  <si>
    <t>与钓鱼管理员对话，了解钓鱼功能</t>
  </si>
  <si>
    <t>尝试回答钓鱼管理员的问题</t>
  </si>
  <si>
    <t>获取一份鱼人的遗物交给钓鱼管理员</t>
  </si>
  <si>
    <t>前往王城莉亚娜处设置回城点</t>
  </si>
  <si>
    <t>在中立区帝都查看女武神像</t>
  </si>
  <si>
    <t>获取100份鱼人的遗物交给钓鱼管理员</t>
  </si>
  <si>
    <t>所有玩家可找桃源圣地赠点商人处领取改变职业道具</t>
  </si>
  <si>
    <t>所有玩家可找桃源圣地赠点商人处领取任务补偿道具</t>
  </si>
  <si>
    <t>完成1次讨伐逆贼或完成1次国外救援(80级之后玩家)任务，获取丰厚奖励</t>
  </si>
  <si>
    <t>完成1次刺探任务、1次运镖任务，可获取丰厚奖励</t>
  </si>
  <si>
    <t>完成1次战阵夺营任务</t>
  </si>
  <si>
    <t>进行1次神魂解封</t>
  </si>
  <si>
    <t>去询问不死老兵遇到了什么困难</t>
  </si>
  <si>
    <t>成功鉴定完装备后，去找神秘人米迦勒。</t>
  </si>
  <si>
    <t>成功驯化宠物后，去找神秘人米迦勒。</t>
  </si>
  <si>
    <t>将补给车运送到指定地点</t>
  </si>
  <si>
    <t>收集材料交给矿洞探险者</t>
  </si>
  <si>
    <t>消灭指定的变异生物</t>
  </si>
  <si>
    <t>将物资护送到老兵克鲁尼处</t>
  </si>
  <si>
    <t>将备战情况转告边境防卫官</t>
  </si>
  <si>
    <t>杀死入侵的敌国亡灵士兵</t>
  </si>
  <si>
    <t>寻找1颗紫宝石(1级)</t>
  </si>
  <si>
    <t>寻找1颗蓝宝石(1级)</t>
  </si>
  <si>
    <t>找女性玩家索取曲奇</t>
  </si>
  <si>
    <t>找男性玩家索取乐曲</t>
  </si>
  <si>
    <t>寻找1颗幸运宝石</t>
  </si>
  <si>
    <t>去敌国沙漠杀死指定数量的怪</t>
  </si>
  <si>
    <t>寻找异性玩家帮助</t>
  </si>
  <si>
    <t>找到8只小丑</t>
  </si>
  <si>
    <t>一定要回答错才行</t>
  </si>
  <si>
    <t>转动魔方直到解开魔方</t>
  </si>
  <si>
    <t>快去参加家族冒险副本吧</t>
  </si>
  <si>
    <t>前去安魂拿到三个光</t>
  </si>
  <si>
    <t>完成一次精力值兑换</t>
  </si>
  <si>
    <t>快去积累活力点吧</t>
  </si>
  <si>
    <t>读日记可获得经验</t>
  </si>
  <si>
    <t>寻找拥有营养晶果[B阶]的玩家</t>
  </si>
  <si>
    <t>寻找拥有四叶草的玩家</t>
  </si>
  <si>
    <t>帮助别人合并获得1个“营养胶囊”</t>
  </si>
  <si>
    <t>帮助别人合并获得1个“幸运瓶”</t>
  </si>
  <si>
    <t>找回你的有缘人</t>
  </si>
  <si>
    <t>去敌国王城密道偷取资料</t>
  </si>
  <si>
    <t>将恩赐播洒给你的臣民</t>
  </si>
  <si>
    <t>收集1个护国徽章</t>
  </si>
  <si>
    <t>收集1枚国战勋章</t>
  </si>
  <si>
    <t>收集1个安妮公主的祝福</t>
  </si>
  <si>
    <t>喝酒获得经验</t>
  </si>
  <si>
    <t>将5个足球踢入球门</t>
  </si>
  <si>
    <t>祝您端午节游戏愉快</t>
  </si>
  <si>
    <t>使用1次猎命师手札</t>
  </si>
  <si>
    <t>使用1次舞票</t>
  </si>
  <si>
    <t>收集5个矿石(1级)</t>
  </si>
  <si>
    <t>收集5个药材(1级)</t>
  </si>
  <si>
    <t>收集1个水果</t>
  </si>
  <si>
    <t>杀死1只贪财小妖</t>
  </si>
  <si>
    <t>完成1次情报任务</t>
  </si>
  <si>
    <t>完成1次运镖任务</t>
  </si>
  <si>
    <t>完成1次讨伐逆贼任务</t>
  </si>
  <si>
    <t>祝您奥运游戏愉快</t>
  </si>
  <si>
    <t>向织女领取针线</t>
  </si>
  <si>
    <t>收集1个七夕的祝福</t>
  </si>
  <si>
    <t>寻找丘比特了解恋人</t>
  </si>
  <si>
    <t>寻找维纳斯了解结婚</t>
  </si>
  <si>
    <t>将泉水护送到先锋指挥官</t>
  </si>
  <si>
    <t>去敌国沙漠取酒杯</t>
  </si>
  <si>
    <t>去敌国帮会乐取美酒</t>
  </si>
  <si>
    <t>去敌国沙漠搞破坏</t>
  </si>
  <si>
    <t>去敌国帮会乐搞破坏</t>
  </si>
  <si>
    <t>杀死梦之黑魔</t>
  </si>
  <si>
    <t>祝您节日游戏愉快</t>
  </si>
  <si>
    <t>需要完成1次家族历练任务</t>
  </si>
  <si>
    <t>需要完成1次家族频道发言</t>
  </si>
  <si>
    <t>完成1次国家频道发言</t>
  </si>
  <si>
    <t>完成1次好友私聊</t>
  </si>
  <si>
    <t>完成1次合成装备</t>
  </si>
  <si>
    <t>前往指定国家点燃杰克灯</t>
  </si>
  <si>
    <t>根据任务提示跟随南瓜队伍</t>
  </si>
  <si>
    <t>前往五丈原狩猎狼人</t>
  </si>
  <si>
    <t>寻找与自己相同装扮的玩家组队</t>
  </si>
  <si>
    <t>收集1个生姜饼</t>
  </si>
  <si>
    <t>收集1个烘南瓜子</t>
  </si>
  <si>
    <t>收集1个南瓜馅饼</t>
  </si>
  <si>
    <t>收集1个粟米糖</t>
  </si>
  <si>
    <t>收集1个太妃糖</t>
  </si>
  <si>
    <t>收集1个苹果汁</t>
  </si>
  <si>
    <t>"  战争比拼的是实力，也是人心。能够潜伏多年，为国效力。需要的不仅是勇气，还有对于国家的认可。"</t>
    <phoneticPr fontId="6" type="noConversion"/>
  </si>
  <si>
    <t>[藏书]太平要术</t>
    <phoneticPr fontId="6" type="noConversion"/>
  </si>
  <si>
    <t>书斋老板</t>
    <phoneticPr fontId="6" type="noConversion"/>
  </si>
  <si>
    <t>"36019-0-5"</t>
    <phoneticPr fontId="6" type="noConversion"/>
  </si>
  <si>
    <t>hot(xxx) 对内容xxx颜色高亮显示(绿色),须在body()内嵌套</t>
    <phoneticPr fontId="6" type="noConversion"/>
  </si>
  <si>
    <t>body(收集10本hot(《三略六韬》))</t>
    <phoneticPr fontId="6" type="noConversion"/>
  </si>
  <si>
    <t>&lt;n effect=4 font=2 color=White scolor=Turp&gt;召唤出宠物&lt;/n&gt;</t>
  </si>
  <si>
    <t>&lt;n effect=4 font=2 color=White scolor=Turp&gt;去找九曜石。&lt;/n&gt;</t>
  </si>
  <si>
    <t>&lt;n effect=4 font=2 color=White scolor=Turp&gt;去找贪狼。&lt;/n&gt;</t>
  </si>
  <si>
    <t>&lt;n effect=4 font=2 color=White scolor=Turp&gt;与司命对话。&lt;/n&gt;</t>
  </si>
  <si>
    <t>&lt;n effect=4 font=2 color=White scolor=Turp&gt;与孙香对话。&lt;/n&gt;</t>
  </si>
  <si>
    <t>&lt;n effect=4 font=2 color=White scolor=Turp&gt;与家族长老对话。&lt;/n&gt;</t>
  </si>
  <si>
    <t>&lt;n effect=4 font=2 color=White scolor=Turp&gt;去找孙香。&lt;/n&gt;</t>
  </si>
  <si>
    <t>&lt;n effect=4 font=2 color=White scolor=Turp&gt;去找李忠。&lt;/n&gt;</t>
  </si>
  <si>
    <t>&lt;n effect=4 font=2 color=White scolor=Turp&gt;与装备改造商人对话。&lt;/n&gt;</t>
  </si>
  <si>
    <t>&lt;n effect=4 font=2 color=White scolor=Turp&gt;操作&lt;/n&gt;&lt;goto id=2016 flagpoint=1 mapid=2/&gt;</t>
  </si>
  <si>
    <t>&lt;n effect=4 font=2 color=White scolor=Turp&gt;与北斗对话。&lt;/n&gt;</t>
  </si>
  <si>
    <t>&lt;n effect=4 font=2 color=White scolor=Turp&gt;与曹丕对话。&lt;/n&gt;</t>
  </si>
  <si>
    <t>&lt;n effect=4 font=2 color=White scolor=Turp&gt;采集&lt;/n&gt;&lt;goto id=2019 flagpoint=1 mapid=6/&gt;</t>
  </si>
  <si>
    <t>&lt;n effect=4 font=2 color=White scolor=Turp&gt;与嵇康对话。&lt;/n&gt;</t>
  </si>
  <si>
    <t>&lt;n effect=4 font=2 color=White scolor=Turp&gt;击败&lt;/n&gt;&lt;goto id=10008 flagpoint=1 mapid=6/&gt;</t>
  </si>
  <si>
    <t>&lt;n effect=4 font=2 color=White scolor=Turp&gt;采集&lt;/n&gt;&lt;goto id=10008 flagpoint=1 mapid=6/&gt;</t>
  </si>
  <si>
    <t>&lt;n effect=4 font=2 color=White scolor=Turp&gt;查看&lt;/n&gt;&lt;goto id=2023 flagpoint=1 mapid=6/&gt;</t>
  </si>
  <si>
    <t>&lt;n effect=4 font=2 color=White scolor=Turp&gt;与书生对话。&lt;/n&gt;</t>
  </si>
  <si>
    <t>&lt;n effect=4 font=2 color=White scolor=Turp&gt;与樵夫对话。&lt;/n&gt;</t>
  </si>
  <si>
    <t>&lt;n effect=4 font=2 color=White scolor=Turp&gt;砍伐&lt;/n&gt;&lt;goto id=2027 flagpoint=1 mapid=6/&gt;</t>
  </si>
  <si>
    <t>&lt;n effect=4 font=2 color=White scolor=Turp&gt;击杀&lt;/n&gt;&lt;goto id=10006 flagpoint=1 mapid=6/&gt;</t>
  </si>
  <si>
    <t>&lt;n effect=4 font=2 color=White scolor=Turp&gt;与绿衣对话。&lt;/n&gt;</t>
  </si>
  <si>
    <t>&lt;n effect=4 font=2 color=White scolor=Turp&gt;与踏歌对话。&lt;/n&gt;</t>
  </si>
  <si>
    <t>&lt;n effect=4 font=2 color=White scolor=Turp&gt;查看&lt;/n&gt;&lt;goto id=2029 flagpoint=1 mapid=6/&gt;</t>
  </si>
  <si>
    <t>&lt;n effect=4 font=2 color=White scolor=Turp&gt;与被囚的士兵对话。&lt;/n&gt;</t>
  </si>
  <si>
    <t>&lt;n effect=4 font=2 color=White scolor=Turp&gt;护送军资。&lt;/n&gt;</t>
  </si>
  <si>
    <t>&lt;n effect=4 font=2 color=White scolor=Turp&gt;与赵无暇对话。&lt;/n&gt;</t>
  </si>
  <si>
    <t>&lt;n effect=4 font=2 color=White scolor=Turp&gt;与杜康对话。&lt;/n&gt;</t>
  </si>
  <si>
    <t>&lt;n effect=4 font=2 color=White scolor=Turp&gt;与钱多多对话。&lt;/n&gt;</t>
  </si>
  <si>
    <t>&lt;n effect=4 font=2 color=White scolor=Turp&gt;需要抱起你的恋人1分钟&lt;/n&gt;&lt;book bookid=70014 text=了解交互动作&gt;</t>
  </si>
  <si>
    <t>&lt;n effect=4 font=2 color=White scolor=Turp&gt;需要和你的恋人依偎1分钟以上哦&lt;/n&gt;&lt;book bookid=70014 text=了解交互动作&gt;</t>
  </si>
  <si>
    <t>我想要妖怪的玩具！</t>
    <phoneticPr fontId="6" type="noConversion"/>
  </si>
  <si>
    <t>&lt;n effect=4 font=2 color=White scolor=Turp&gt;收集妖怪做的小玩具&lt;/n&gt;</t>
    <phoneticPr fontId="6" type="noConversion"/>
  </si>
  <si>
    <t>&lt;n effect=4 font=2 color=White scolor=Turp&gt;弹奏一曲&lt;/n&gt;</t>
    <phoneticPr fontId="6" type="noConversion"/>
  </si>
  <si>
    <t>&lt;n effect=4 font=2 color=White scolor=Turp&gt;用山泉洗耳&lt;/n&gt;</t>
    <phoneticPr fontId="6" type="noConversion"/>
  </si>
  <si>
    <t>{{50011,0,1,1,"1-1"}}</t>
    <phoneticPr fontId="6" type="noConversion"/>
  </si>
  <si>
    <t>body(   疾行如火，转战千里。去吧，纵横这天下！)</t>
    <phoneticPr fontId="6" type="noConversion"/>
  </si>
  <si>
    <t>body(   我就知道你会来找我的。)</t>
    <phoneticPr fontId="6" type="noConversion"/>
  </si>
  <si>
    <t xml:space="preserve">                                                                        </t>
    <phoneticPr fontId="6" type="noConversion"/>
  </si>
  <si>
    <t>刺客信条（跨区）</t>
    <phoneticPr fontId="6" type="noConversion"/>
  </si>
  <si>
    <t>跨区任务</t>
    <phoneticPr fontId="6" type="noConversion"/>
  </si>
  <si>
    <t>跨区任务</t>
  </si>
  <si>
    <t>title(刺客信条（跨区）)
body(hotyellow_3(任务进程:)newline()
   通过goto(56015,5)穿梭入其他服，刺杀目标国官员hot(必须其他服官员，刺杀本服官员不计数)。
newline()
blankline()hotyellow_3(任务描述:)newline() 
   blankline()
   在这个平行空间中，有些世界的官员似乎正在肆意妄为，置国民于水深火热之中，现派遣你去教训下他们！)blankline()hot(   成功刺杀后，请在该服寻找跨区任务NPC交付即可完成任务获得旅行点，无需返回原服。))</t>
    <phoneticPr fontId="6" type="noConversion"/>
  </si>
  <si>
    <t>body(   在这个平行空间中，有些世界的官员似乎正在肆意妄为，置国民于水深火热之中，现派遣你去教训下他们！)</t>
    <phoneticPr fontId="6" type="noConversion"/>
  </si>
  <si>
    <t>body(   感谢你，异世界的勇士，我想在你们的努力下，这个世界也会迎来真正的和平。)</t>
    <phoneticPr fontId="6" type="noConversion"/>
  </si>
  <si>
    <t>如果你胆怯，那么你可以放弃，但是我不允许说谎。</t>
    <phoneticPr fontId="6" type="noConversion"/>
  </si>
  <si>
    <t>"穿梭入其他服，刺杀目标官员"</t>
    <phoneticPr fontId="6" type="noConversion"/>
  </si>
  <si>
    <t>&lt;p&gt;
&lt;n&gt;  回复&lt;/n&gt;
 &lt;n&gt; &lt;/n&gt;&lt;goto id="56014" mapid="5" flagpoint="1" taskid="30419" /&gt;
&lt;/p&gt;</t>
    <phoneticPr fontId="6" type="noConversion"/>
  </si>
  <si>
    <t>慕名拜访（跨区）</t>
    <phoneticPr fontId="6" type="noConversion"/>
  </si>
  <si>
    <t>title(慕名拜访（跨区）)
body(hotyellow_3(任务进程:)newline()
   通过goto(56015,5)穿梭入其他服，与goto(60911,8)对话，拜访下世界另一边的皇吧！
newline()
blankline()hotyellow_3(任务描述:)newline() 
   blankline()
   在这个平行空间中，有着无数的世界，每个世界都有一位至高无上的皇！如今的你，已经成为我们公认的勇士了，我想也可以代表我们去拜访下他了！blankline()hot(   与其他服的帝皇雕像对话即可完成任务，获得旅行点。))</t>
    <phoneticPr fontId="6" type="noConversion"/>
  </si>
  <si>
    <t>body(   在这个平行空间中，有着无数的世界，每个世界都有一位至高无上的皇！如今的你，已经成为我们公认的勇士了，我想也可以代表我们去拜访下他了！)</t>
    <phoneticPr fontId="6" type="noConversion"/>
  </si>
  <si>
    <t>body(  面对世界另一边的王，你有何感想？)</t>
    <phoneticPr fontId="6" type="noConversion"/>
  </si>
  <si>
    <t>这个雕相似乎没有理你。</t>
    <phoneticPr fontId="6" type="noConversion"/>
  </si>
  <si>
    <t>"穿梭入其他服，拜访帝皇雕像"</t>
    <phoneticPr fontId="6" type="noConversion"/>
  </si>
  <si>
    <t>&lt;p&gt;
&lt;n&gt;  穿梭入其他服，拜访&lt;/n&gt;
 &lt;n&gt; &lt;/n&gt;&lt;goto id="60911" mapid="8" flagpoint="1" taskid="30420" /&gt;
&lt;/p&gt;</t>
    <phoneticPr fontId="6" type="noConversion"/>
  </si>
  <si>
    <t>&lt;p&gt;
&lt;n&gt;  回复&lt;/n&gt;
 &lt;n&gt; &lt;/n&gt;&lt;goto id="56014" mapid="5" flagpoint="1" taskid="30420" /&gt;
&lt;/p&gt;</t>
    <phoneticPr fontId="6" type="noConversion"/>
  </si>
  <si>
    <t>[日常]前线速递</t>
    <phoneticPr fontId="6" type="noConversion"/>
  </si>
  <si>
    <t>&lt;p&gt;
&lt;n&gt;  回复：&lt;/n&gt;
 &lt;n&gt; &lt;/n&gt;&lt;goto id="129" mapid="118" flagpoint="1" taskid="30028"/&gt;&lt;/p&gt;</t>
    <phoneticPr fontId="6" type="noConversion"/>
  </si>
  <si>
    <t>收集情报</t>
    <phoneticPr fontId="6" type="noConversion"/>
  </si>
  <si>
    <t>[日常]采集任务</t>
    <phoneticPr fontId="6" type="noConversion"/>
  </si>
  <si>
    <t>[日常]生存训练</t>
    <phoneticPr fontId="6" type="noConversion"/>
  </si>
  <si>
    <t>body(   干的好！)</t>
    <phoneticPr fontId="6" type="noConversion"/>
  </si>
  <si>
    <t>封印了吗？</t>
    <phoneticPr fontId="6" type="noConversion"/>
  </si>
  <si>
    <t>body(     哎，最近屡屡发生军粮被劫的事情。你能帮我把军粮运到城里吗？)</t>
    <phoneticPr fontId="6" type="noConversion"/>
  </si>
  <si>
    <t>body(   新征集的兵粮这么快就到了！)</t>
    <phoneticPr fontId="6" type="noConversion"/>
  </si>
  <si>
    <t>[3级]金甲神</t>
    <phoneticPr fontId="6" type="noConversion"/>
  </si>
  <si>
    <t>[6级]阿狸</t>
    <phoneticPr fontId="6" type="noConversion"/>
  </si>
  <si>
    <t>body(   神兵已经等待新的主人很久了。)</t>
    <phoneticPr fontId="6" type="noConversion"/>
  </si>
  <si>
    <t>title( [2级]指点)
body(hotyellow_3(任务进程:)newline()
   去找goto(60046,1)。
blankline()hotyellow_3(任务描述:)newline() 
  如何使用这把神兵，你可要去询问桃源仙子！)</t>
    <phoneticPr fontId="6" type="noConversion"/>
  </si>
  <si>
    <t>body(    如何使用这把神兵，你可要去询问桃源仙子。)</t>
    <phoneticPr fontId="6" type="noConversion"/>
  </si>
  <si>
    <t>body(   想不到，你居然得到了这把神兵！)</t>
    <phoneticPr fontId="6" type="noConversion"/>
  </si>
  <si>
    <t>body(  你果然是神将转世，这么快就能召唤出神兵。你可以去见司命大人了！)</t>
    <phoneticPr fontId="6" type="noConversion"/>
  </si>
  <si>
    <t>body(    整个桃源山摇地动，四周一片火光，看来是金甲神的封印被破开了！)</t>
    <phoneticPr fontId="6" type="noConversion"/>
  </si>
  <si>
    <t>body(   此事说来话长……)</t>
    <phoneticPr fontId="6" type="noConversion"/>
  </si>
  <si>
    <t>[4级]溃逃</t>
    <phoneticPr fontId="6" type="noConversion"/>
  </si>
  <si>
    <t>body(     金甲神的手下还在桃源游荡，请大人消灭他们吧。)</t>
    <phoneticPr fontId="6" type="noConversion"/>
  </si>
  <si>
    <t>那些吊睛老虎好可怕啊！</t>
    <phoneticPr fontId="6" type="noConversion"/>
  </si>
  <si>
    <t>body(    因为金甲神大闹桃源，小白吓的逃走了！能帮我找回来吗？)</t>
    <phoneticPr fontId="6" type="noConversion"/>
  </si>
  <si>
    <t>body(  小白！下次别乱跑了~)</t>
    <phoneticPr fontId="6" type="noConversion"/>
  </si>
  <si>
    <t>找到我的小白了吗？</t>
    <phoneticPr fontId="6" type="noConversion"/>
  </si>
  <si>
    <t>title( [4级]溃逃)
body(hotyellow_3(任务进程:)newline()
   击败3个goto(10104,1)后，去找goto(60200,1)。
blankline()hotyellow_3(任务描述:)newline() 
  金甲神的手下还在桃源游荡，请大人消灭他们吧。)</t>
    <phoneticPr fontId="6" type="noConversion"/>
  </si>
  <si>
    <t>&lt;p&gt;
&lt;n&gt;  交：&lt;/n&gt;
 &lt;n&gt; &lt;/n&gt;&lt;goto quick="1" id="60200" mapid="1" flagpoint="1" taskid="6007"/&gt;&lt;/p&gt;</t>
    <phoneticPr fontId="6" type="noConversion"/>
  </si>
  <si>
    <t>[7级]预感</t>
    <phoneticPr fontId="6" type="noConversion"/>
  </si>
  <si>
    <t>title( [7级]预感)
body(hotyellow_3(任务进程:)newline()
    消灭3个goto(10105,1)后，去找goto(60031,1)。
blankline()hotyellow_3(任务描述:)newline() 
 金甲神破封印而出，总觉得事情没那么简单！)</t>
    <phoneticPr fontId="6" type="noConversion"/>
  </si>
  <si>
    <t>body(   金甲神破封印而出，总觉得事情没那么简单！去问问那群刀客吧！)</t>
    <phoneticPr fontId="6" type="noConversion"/>
  </si>
  <si>
    <t>body(  蚩尤？！)</t>
    <phoneticPr fontId="6" type="noConversion"/>
  </si>
  <si>
    <t>问了那群刀客了吗？</t>
    <phoneticPr fontId="6" type="noConversion"/>
  </si>
  <si>
    <t>少侠试过神力封印之符了吗？</t>
    <phoneticPr fontId="6" type="noConversion"/>
  </si>
  <si>
    <t>&lt;p&gt;
&lt;n&gt;  使用&lt;/n&gt;
 &lt;n&gt; &lt;/n&gt;&lt;goto quick="1" id="2003" mapid="1" flagpoint="1" taskid="6013" /&gt;
&lt;/p&gt;</t>
    <phoneticPr fontId="6" type="noConversion"/>
  </si>
  <si>
    <t>body(    处此乱世之中，各种妖魔也趁机肆虐，去击败他们，并找到调查琴姬的琉璃姑娘。)</t>
    <phoneticPr fontId="6" type="noConversion"/>
  </si>
  <si>
    <t>body(   这些魔化琴姬有古怪。)</t>
    <phoneticPr fontId="6" type="noConversion"/>
  </si>
  <si>
    <t>body(   她们在到处抢“坐骑进阶石”。那可是好东西！)</t>
    <phoneticPr fontId="6" type="noConversion"/>
  </si>
  <si>
    <t>body(    那艘船是魔化琴姬的老窝，请点燃船头的干木柴，把琴姬逼出来吧。)</t>
    <phoneticPr fontId="6" type="noConversion"/>
  </si>
  <si>
    <t>body(  哼，水镜叫你来找我的吗？！)</t>
    <phoneticPr fontId="6" type="noConversion"/>
  </si>
  <si>
    <t>body(  说起凤城，最近出了一件奇怪的事情。河畔的水草居然人卷入河中。请收集一些水草去找王城守卫。)</t>
    <phoneticPr fontId="6" type="noConversion"/>
  </si>
  <si>
    <t>&lt;p&gt;
&lt;n&gt;  找：&lt;/n&gt;
 &lt;n&gt; &lt;/n&gt;&lt;goto quick="1" id="505" mapid="2" flagpoint="1" taskid="6105" /&gt;
&lt;/p&gt;</t>
    <phoneticPr fontId="14" type="noConversion"/>
  </si>
  <si>
    <t>&lt;p&gt;
&lt;n&gt;  交：&lt;/n&gt;
 &lt;n&gt; &lt;/n&gt;&lt;goto quick="1" id="505" mapid="2" flagpoint="1" taskid="6105"/&gt;&lt;/p&gt;</t>
    <phoneticPr fontId="14" type="noConversion"/>
  </si>
  <si>
    <t>&lt;p&gt;
&lt;n&gt;  找：&lt;/n&gt;
 &lt;n&gt; &lt;/n&gt;&lt;goto quick="1" id="502" mapid="2" flagpoint="1" taskid="6152" /&gt;
&lt;/p&gt;</t>
    <phoneticPr fontId="14" type="noConversion"/>
  </si>
  <si>
    <t>&lt;p&gt;
&lt;n&gt;  交：&lt;/n&gt;
 &lt;n&gt; &lt;/n&gt;&lt;goto quick="1" id="502" mapid="2" flagpoint="1" taskid="6152"/&gt;&lt;/p&gt;</t>
    <phoneticPr fontId="14" type="noConversion"/>
  </si>
  <si>
    <t>body(   司马徽是个混蛋！)</t>
    <phoneticPr fontId="6" type="noConversion"/>
  </si>
  <si>
    <t>body(  哎，此事说来话长。)</t>
    <phoneticPr fontId="6" type="noConversion"/>
  </si>
  <si>
    <t>body(  哼，怎么不早点说清楚。)</t>
    <phoneticPr fontId="14" type="noConversion"/>
  </si>
  <si>
    <t>击败那些琴姬！</t>
    <phoneticPr fontId="6" type="noConversion"/>
  </si>
  <si>
    <t>body(    哎，平时能言善辩，一遇到琉璃就紧张了。那天我其实想说，琉璃，你是否愿意……)</t>
    <phoneticPr fontId="14" type="noConversion"/>
  </si>
  <si>
    <t>&lt;n effect=4 font=2 color=White scolor=Turp&gt;弹奏古琴&lt;/n&gt;</t>
    <phoneticPr fontId="14" type="noConversion"/>
  </si>
  <si>
    <t>&lt;n effect=4 font=2 color=White scolor=Turp&gt;找到碎纸片&lt;/n&gt;</t>
    <phoneticPr fontId="14" type="noConversion"/>
  </si>
  <si>
    <t>&lt;n effect=4 font=2 color=White scolor=Turp&gt;采集山泉青果&lt;/n&gt;</t>
    <phoneticPr fontId="14" type="noConversion"/>
  </si>
  <si>
    <t>&lt;n effect=4 font=2 color=White scolor=Turp&gt;操作阵法&lt;/n&gt;</t>
    <phoneticPr fontId="14" type="noConversion"/>
  </si>
  <si>
    <t>&lt;n effect=4 font=2 color=White scolor=Turp&gt;操作魔刀石&lt;/n&gt;</t>
    <phoneticPr fontId="14" type="noConversion"/>
  </si>
  <si>
    <t>body(   金甲神曾经是天界最强的战神。面对强大的敌人，防具非常重要。你可以去防具商人那里看看。)</t>
    <phoneticPr fontId="6" type="noConversion"/>
  </si>
  <si>
    <t>body(  听说您是神将大人转世啊！)</t>
    <phoneticPr fontId="6" type="noConversion"/>
  </si>
  <si>
    <t>[6级]封印</t>
    <phoneticPr fontId="6" type="noConversion"/>
  </si>
  <si>
    <t>[5级]桃源仙子</t>
    <phoneticPr fontId="6" type="noConversion"/>
  </si>
  <si>
    <t>body(   正好有事找你。)</t>
    <phoneticPr fontId="6" type="noConversion"/>
  </si>
  <si>
    <t>&lt;p&gt;
&lt;n&gt;  找：&lt;/n&gt;
 &lt;n&gt; &lt;/n&gt;&lt;goto quick="1" id="60046" mapid="1" flagpoint="1" taskid="6009" /&gt;
&lt;/p&gt;</t>
    <phoneticPr fontId="6" type="noConversion"/>
  </si>
  <si>
    <t>&lt;p&gt;
&lt;n&gt;  交：&lt;/n&gt;
 &lt;n&gt; &lt;/n&gt;&lt;goto quick="1" id="60046" mapid="1" flagpoint="1" taskid="6009" /&gt;
&lt;/p&gt;</t>
    <phoneticPr fontId="6" type="noConversion"/>
  </si>
  <si>
    <t>[21级]琴姬</t>
    <phoneticPr fontId="6" type="noConversion"/>
  </si>
  <si>
    <t>[20级]隐士</t>
    <phoneticPr fontId="6" type="noConversion"/>
  </si>
  <si>
    <t>title( [20级]隐士)
body(hotyellow_3(任务进程:)newline()
   去找goto(505,2)。
blankline()hotyellow_3(任务描述:)newline() 
   很乐意为您服务。)</t>
    <phoneticPr fontId="6" type="noConversion"/>
  </si>
  <si>
    <t>title( [21级]琴姬)
body(hotyellow_3(任务进程:)newline()
   击败goto(10115,2)后，回复goto(502,2)。
blankline()hotyellow_3(任务描述:)newline() 
   如今天下三足鼎立，战乱不断。处此乱世之中，各种妖魔也趁机肆虐。)</t>
    <phoneticPr fontId="6" type="noConversion"/>
  </si>
  <si>
    <t>title( [21级]少女)
body(hotyellow_3(任务进程:)newline()
   与goto(502,2)对话，了解情况。
blankline()hotyellow_3(任务描述:)newline() 
   琉璃姑娘跟踪这些魔化琴姬很久了，她知道琴姬的一些情况，问问她吧！)</t>
    <phoneticPr fontId="6" type="noConversion"/>
  </si>
  <si>
    <t>[21级]少女</t>
    <phoneticPr fontId="6" type="noConversion"/>
  </si>
  <si>
    <t>[22级]火烧</t>
    <phoneticPr fontId="6" type="noConversion"/>
  </si>
  <si>
    <t>title( [22级]火烧)
body(hotyellow_3(任务进程:)newline()
   点燃goto(2005,2)后，回复goto(502,2)。
blankline()hotyellow_3(任务描述:)newline() 
   那艘船是魔化琴姬的老窝，请点燃船头的干木柴，把琴姬逼出来吧。)</t>
    <phoneticPr fontId="6" type="noConversion"/>
  </si>
  <si>
    <t>[22级]火烧</t>
    <phoneticPr fontId="6" type="noConversion"/>
  </si>
  <si>
    <t>[23级]绝杀</t>
    <phoneticPr fontId="6" type="noConversion"/>
  </si>
  <si>
    <t>[23级]混蛋</t>
    <phoneticPr fontId="6" type="noConversion"/>
  </si>
  <si>
    <t>title( [23级]绝杀)
body(hotyellow_3(任务进程:)newline()
   击败goto(10115,2)后，回复goto(502,2)。
blankline()hotyellow_3(任务描述:)newline() 
  那些盗贼从船上逃出来了，去给他们最后一击！)</t>
    <phoneticPr fontId="6" type="noConversion"/>
  </si>
  <si>
    <t>title( [23级]混蛋)
body(hotyellow_3(任务进程:)newline()
   去找goto(505,2)。
blankline()hotyellow_3(任务描述:)newline() 
  司马徽是个混蛋！)</t>
    <phoneticPr fontId="6" type="noConversion"/>
  </si>
  <si>
    <t>[24级]误会</t>
    <phoneticPr fontId="14" type="noConversion"/>
  </si>
  <si>
    <t>[24级]水草</t>
    <phoneticPr fontId="6" type="noConversion"/>
  </si>
  <si>
    <t>title( [24级]误会)
body(hotyellow_3(任务进程:)newline()
   去找goto(502,2)。
blankline()hotyellow_3(任务描述:)newline() 
  哎，平时能言善辩，一遇到琉璃就紧张了。那天我其实想说，琉璃，你是否愿意……)</t>
    <phoneticPr fontId="6" type="noConversion"/>
  </si>
  <si>
    <t>title( [24级]水草)
body(hotyellow_3(任务进程:)newline()
   拔除goto(2006,2)后，回复goto(500,2)。
blankline()hotyellow_3(任务描述:)newline() 
   凤城，最近出了一件奇怪的事情。河畔的水草居然人卷入河中。请收集一些水草去找王城守卫。)</t>
    <phoneticPr fontId="6" type="noConversion"/>
  </si>
  <si>
    <t>[25级]求教</t>
    <phoneticPr fontId="6" type="noConversion"/>
  </si>
  <si>
    <t>title( [25级]求教)
body(hotyellow_3(任务进程:)newline()
   去找goto(505,2)。
blankline()hotyellow_3(任务描述:)newline() 
   水镜先生见多识广，也许他知道这些水草的来历，帮我去问问他。)</t>
    <phoneticPr fontId="6" type="noConversion"/>
  </si>
  <si>
    <t>[26级]护送</t>
    <phoneticPr fontId="6" type="noConversion"/>
  </si>
  <si>
    <t>[26级]青青</t>
    <phoneticPr fontId="6" type="noConversion"/>
  </si>
  <si>
    <t>title( [26级]护送)
body(hotyellow_3(任务进程:)newline()
   护送物资车，去找goto(503,2)。
blankline()hotyellow_3(任务描述:)newline() 
   哎，最近屡屡发生军粮被劫的事情。你能帮我把军粮运到城里吗？)</t>
    <phoneticPr fontId="6" type="noConversion"/>
  </si>
  <si>
    <t>title( [26级]青青)
body(hotyellow_3(任务进程:)newline()
   收集goto(10001,2)做的小玩具后，去找goto(504,2)。
blankline()hotyellow_3(任务描述:)newline() 
   欢迎来到凤城。您可以在四处逛逛。如果您想寻访凤城的武器大师，可以去问青青。不过，你要送一些小礼物给她哦。)</t>
    <phoneticPr fontId="6" type="noConversion"/>
  </si>
  <si>
    <t>[27级]难题</t>
    <phoneticPr fontId="6" type="noConversion"/>
  </si>
  <si>
    <t>title( [27级]难题)
body(hotyellow_3(任务进程:)newline()
   回答青青的问题后，回复goto(504,2)。
blankline()hotyellow_3(任务描述:)newline() 
   回答青青出的刁钻的难题。)</t>
    <phoneticPr fontId="6" type="noConversion"/>
  </si>
  <si>
    <t>[27级]大师</t>
    <phoneticPr fontId="6" type="noConversion"/>
  </si>
  <si>
    <t>title( [27级]大师)
body(hotyellow_3(任务进程:)newline()
   去找goto(113,2)。
blankline()hotyellow_3(任务描述:)newline() 
  凤城有个很有名的铸铁大师，他可以把装备打造的很厉害哦。你可以去询问他关于装备改造的事情。)</t>
    <phoneticPr fontId="6" type="noConversion"/>
  </si>
  <si>
    <t>[27级]合成</t>
    <phoneticPr fontId="6" type="noConversion"/>
  </si>
  <si>
    <t>[28级]慧眼识珠</t>
    <phoneticPr fontId="6" type="noConversion"/>
  </si>
  <si>
    <t>[28级]仓库</t>
    <phoneticPr fontId="6" type="noConversion"/>
  </si>
  <si>
    <t>title( [28级]仓库)
body(hotyellow_3(任务进程:)newline()
   去找goto(116,2)。
blankline()hotyellow_3(任务描述:)newline() 
   当你包裹满了没地方放东西的时候，可以找仓库商人，他会为你提供额外的储存格子。)</t>
    <phoneticPr fontId="6" type="noConversion"/>
  </si>
  <si>
    <t>title( [28级]九曜石)
body(hotyellow_3(任务进程:)newline()
   采集5块goto(2008,2)后，回复goto(116,2)。
blankline()hotyellow_3(任务描述:)newline() 
   想要打造坚固的仓库，必须要有一样东西——九曜石。我现在缺少这个，能找到吗？)</t>
    <phoneticPr fontId="6" type="noConversion"/>
  </si>
  <si>
    <t>title( [28级]慧眼识珠)
body(hotyellow_3(任务进程:)newline()
   去找goto(506,2)。
blankline()hotyellow_3(任务描述:)newline() 
   我喜欢收集奇珍异宝。最近我收购了一颗珍宝，但是hot(贪狼)却说这是仿冒品！那个不知道珍宝的家伙！)</t>
    <phoneticPr fontId="6" type="noConversion"/>
  </si>
  <si>
    <t>[29级]鱼目混珠</t>
    <phoneticPr fontId="6" type="noConversion"/>
  </si>
  <si>
    <t>[29级]飞星逐月</t>
    <phoneticPr fontId="6" type="noConversion"/>
  </si>
  <si>
    <t>title( [29级]鱼目混珠)
body(hotyellow_3(任务进程:)newline()
   击败goto(10002,2)后，去找goto(506,2)。
blankline()hotyellow_3(任务描述:)newline() 
   仓库商人根本就不懂什么是珍宝。那些怪物用障眼法把石头卖给仓库商人。)</t>
    <phoneticPr fontId="6" type="noConversion"/>
  </si>
  <si>
    <t>title( [29级]飞星逐月)
body(hotyellow_3(任务进程:)newline()
   从goto(2009,2)找到珍宝后，交给goto(506,2)。
blankline()hotyellow_3(任务描述:)newline() 
  那些妖怪倒是藏了一些珍宝。他们把所有的宝贝都藏在宝箱里。其中，飞星逐月石是他们珍宝里最好的。)</t>
    <phoneticPr fontId="6" type="noConversion"/>
  </si>
  <si>
    <t>[30级]召唤宠物</t>
    <phoneticPr fontId="6" type="noConversion"/>
  </si>
  <si>
    <t>body(  想不到，他们果然有这个珍宝。)</t>
    <phoneticPr fontId="6" type="noConversion"/>
  </si>
  <si>
    <t>body(   飞星逐月！哈哈，传说拥有神将之力的石头。)</t>
    <phoneticPr fontId="6" type="noConversion"/>
  </si>
  <si>
    <t>body(   你有那么可爱的宠物，怎么不召唤出来看看呢？)</t>
    <phoneticPr fontId="6" type="noConversion"/>
  </si>
  <si>
    <t>body(   世间有各种各样的宠物，就看你是否有这种机缘获得了！)</t>
    <phoneticPr fontId="6" type="noConversion"/>
  </si>
  <si>
    <t>&lt;p&gt;
&lt;n&gt;  找：&lt;/n&gt;
 &lt;n&gt; &lt;/n&gt;&lt;goto quick="1" id="506" mapid="2" flagpoint="1" taskid="6119" /&gt;
&lt;/p&gt;</t>
    <phoneticPr fontId="14" type="noConversion"/>
  </si>
  <si>
    <t>&lt;p&gt;
&lt;n&gt;  交：&lt;/n&gt;
 &lt;n&gt; &lt;/n&gt;&lt;goto quick="1" id="506" mapid="2" flagpoint="1" taskid="6119"/&gt;&lt;/p&gt;</t>
    <phoneticPr fontId="14" type="noConversion"/>
  </si>
  <si>
    <t>[22级]升星</t>
    <phoneticPr fontId="6" type="noConversion"/>
  </si>
  <si>
    <t>装备改造商人</t>
    <phoneticPr fontId="6" type="noConversion"/>
  </si>
  <si>
    <t>[32级]失踪的素素</t>
    <phoneticPr fontId="6" type="noConversion"/>
  </si>
  <si>
    <t>title( [32级]惊鸿一瞥)
body(hotyellow_3(任务进程:)newline()
   去找goto(509,2)。
blankline()hotyellow_3(任务描述:)newline() 
   他真是我见过最风流倜傥的男子。可是他都不肯跟我多说一句话？呜呜呜呜)</t>
    <phoneticPr fontId="6" type="noConversion"/>
  </si>
  <si>
    <t>body(   这……)</t>
    <phoneticPr fontId="6" type="noConversion"/>
  </si>
  <si>
    <t>[32级]惊鸿一瞥</t>
    <phoneticPr fontId="6" type="noConversion"/>
  </si>
  <si>
    <t>[33级]义正言辞</t>
    <phoneticPr fontId="6" type="noConversion"/>
  </si>
  <si>
    <t>title( [33级]义正言辞）)
body(hotyellow_3(任务进程:)newline()
   采集goto(2011,2)，去找goto(508,2)。
blankline()hotyellow_3(任务描述:)newline() 
   如今天下大乱，实在没有心情思考小情小爱。请采几朵小花，谢谢素素姑娘的厚爱。)</t>
    <phoneticPr fontId="6" type="noConversion"/>
  </si>
  <si>
    <t>body(     如今天下大乱，实在没有心情思考小情小爱。请采几朵小花，谢谢素素姑娘的厚爱。)</t>
    <phoneticPr fontId="6" type="noConversion"/>
  </si>
  <si>
    <t>他怎么说？</t>
    <phoneticPr fontId="6" type="noConversion"/>
  </si>
  <si>
    <t>body(  呜呜呜呜……)</t>
    <phoneticPr fontId="6" type="noConversion"/>
  </si>
  <si>
    <t>[33级]鱼怪</t>
    <phoneticPr fontId="6" type="noConversion"/>
  </si>
  <si>
    <t>title( [33级]鱼怪)
body(hotyellow_3(任务进程:)newline()
   回复goto(509,2)。
blankline()hotyellow_3(任务描述:)newline() 
   前几天，我看到一个奇怪的人在前面召唤出了一群鱼怪。那些鱼怪，没有水也能在陆地上行走。)</t>
    <phoneticPr fontId="6" type="noConversion"/>
  </si>
  <si>
    <t>body(    前几天，我看到一个奇怪的人在前面召唤出了一群鱼怪。那些鱼怪，没有水也能在陆地上行走。)</t>
    <phoneticPr fontId="6" type="noConversion"/>
  </si>
  <si>
    <t>body(  鱼怪？)</t>
    <phoneticPr fontId="6" type="noConversion"/>
  </si>
  <si>
    <t>&lt;p&gt;
&lt;n&gt;  找：&lt;/n&gt;
 &lt;n&gt; &lt;/n&gt;&lt;goto quick="1" id="509" mapid="2" flagpoint="1" taskid="6129" /&gt;
&lt;/p&gt;</t>
    <phoneticPr fontId="6" type="noConversion"/>
  </si>
  <si>
    <t>body(       我记得黄巾军有一种咒法，撒豆成兵。把鱼变成鱼怪，可能与他们有关。)</t>
    <phoneticPr fontId="6" type="noConversion"/>
  </si>
  <si>
    <t>body(   看来，跟黄巾军脱不了关系。)</t>
    <phoneticPr fontId="6" type="noConversion"/>
  </si>
  <si>
    <t>&lt;p&gt;
&lt;n&gt;  交：&lt;/n&gt;
 &lt;n&gt; &lt;/n&gt;&lt;goto quick="1" id="509" mapid="2" flagpoint="1" taskid="6131"/&gt;&lt;/p&gt;</t>
    <phoneticPr fontId="6" type="noConversion"/>
  </si>
  <si>
    <t>[34级]全城戒备</t>
    <phoneticPr fontId="6" type="noConversion"/>
  </si>
  <si>
    <t>title( [34级]全城戒备)
body(hotyellow_3(任务进程:)newline()
   去找goto(503,2)。
blankline()hotyellow_3(任务描述:)newline() 
  最近凤城出现了诸多事情，可能与黄巾军有关，请去转告凤城城主，做好戒备。)</t>
    <phoneticPr fontId="6" type="noConversion"/>
  </si>
  <si>
    <t>body(   最近凤城出现了诸多事情，可能与黄巾军有关，请去转告凤城城主，做好戒备。)</t>
    <phoneticPr fontId="6" type="noConversion"/>
  </si>
  <si>
    <t>body(   说起黄巾军，最近凤城的军粮都被他们劫走了。)</t>
    <phoneticPr fontId="6" type="noConversion"/>
  </si>
  <si>
    <t>[35级]守城士兵</t>
    <phoneticPr fontId="6" type="noConversion"/>
  </si>
  <si>
    <t>title( [35级]守城士兵)
body(hotyellow_3(任务进程:)newline()
   去找goto(510,2)。
blankline()hotyellow_3(任务描述:)newline() 
  守城士兵李忠那边好像有什么情况，你去看看吧。)</t>
    <phoneticPr fontId="6" type="noConversion"/>
  </si>
  <si>
    <t>[35级]为民除害</t>
    <phoneticPr fontId="6" type="noConversion"/>
  </si>
  <si>
    <t>title( [35级]为民除害)
body(hotyellow_3(任务进程:)newline()
   杀死goto(10005,2)后，回复goto(510,2)。
blankline()hotyellow_3(任务描述:)newline() 
  那些鬼将一直骚扰附近的居民，请消灭他们吧。)</t>
    <phoneticPr fontId="6" type="noConversion"/>
  </si>
  <si>
    <t>body(     那些鬼将一直骚扰附近的居民，请消灭他们吧。)</t>
    <phoneticPr fontId="6" type="noConversion"/>
  </si>
  <si>
    <t>title( [31级]炼丹大师)
body(hotyellow_3(任务进程:)newline()
   去找goto(501,2)。
blankline()hotyellow_3(任务描述:)newline() 
  凤城外有个神秘的炼丹大师，据说他的丹药能起死回生，有空去探听下。)</t>
    <phoneticPr fontId="6" type="noConversion"/>
  </si>
  <si>
    <t>[36级]炼丹大师</t>
    <phoneticPr fontId="6" type="noConversion"/>
  </si>
  <si>
    <t>&lt;p&gt;
&lt;n&gt;  交：&lt;/n&gt;
 &lt;n&gt; &lt;/n&gt;&lt;goto quick="1" id="506" mapid="2" flagpoint="1" taskid="7013"/&gt;&lt;/p&gt;</t>
    <phoneticPr fontId="6" type="noConversion"/>
  </si>
  <si>
    <t>title( [31级]凤城)
body(hotyellow_3(任务进程:)newline()
   去找goto(503,2)。
blankline()hotyellow_3(任务描述:)newline() 
  听说凤城正在广纳贤才，你可以去试试。)</t>
    <phoneticPr fontId="6" type="noConversion"/>
  </si>
  <si>
    <t>body(      听说凤城正在广纳贤才，你可以去试试。)</t>
    <phoneticPr fontId="6" type="noConversion"/>
  </si>
  <si>
    <t>body(   是谁叫你来找我的？)</t>
    <phoneticPr fontId="6" type="noConversion"/>
  </si>
  <si>
    <t>[36级]起死回生</t>
    <phoneticPr fontId="6" type="noConversion"/>
  </si>
  <si>
    <t>杀死那些怪物了吗？</t>
    <phoneticPr fontId="6" type="noConversion"/>
  </si>
  <si>
    <t>body(    哼，张角这家伙，修改各种歪门邪术，如今凤城发生的事情，十之八九是他做的。)</t>
    <phoneticPr fontId="6" type="noConversion"/>
  </si>
  <si>
    <t>body(  据说他自认为是神将转世，想要用各种方法唤醒神将之力。)</t>
    <phoneticPr fontId="6" type="noConversion"/>
  </si>
  <si>
    <t>[37级]急招</t>
    <phoneticPr fontId="6" type="noConversion"/>
  </si>
  <si>
    <t>&lt;p&gt;
&lt;n&gt;  交：&lt;/n&gt;
 &lt;n&gt; &lt;/n&gt;&lt;goto quick="1" id="501" mapid="2" flagpoint="1" taskid="6146"/&gt;&lt;/p&gt;</t>
    <phoneticPr fontId="6" type="noConversion"/>
  </si>
  <si>
    <t>&lt;p&gt;
&lt;n&gt;  找：&lt;/n&gt;
 &lt;n&gt; &lt;/n&gt;&lt;goto quick="1" id="501" mapid="2" flagpoint="1" taskid="6146" /&gt;
&lt;/p&gt;</t>
    <phoneticPr fontId="6" type="noConversion"/>
  </si>
  <si>
    <t>title( [37级]急招)
body(hotyellow_3(任务进程:)newline()
   去找goto(503,2)。
blankline()hotyellow_3(任务描述:)newline() 
  如今发生的事情越来越频发，恐怕他的邪术即将大成。去告诉凤城城主，要在张角邪术大成前制止他。)</t>
    <phoneticPr fontId="6" type="noConversion"/>
  </si>
  <si>
    <t>body(    如今发生的事情越来越频发，恐怕他的邪术即将大成。去告诉凤城城主，要在张角邪术大成前制止他。)</t>
    <phoneticPr fontId="6" type="noConversion"/>
  </si>
  <si>
    <t>body(  此事还是需要拜托你了。)</t>
    <phoneticPr fontId="6" type="noConversion"/>
  </si>
  <si>
    <t>[38级]物资护送</t>
    <phoneticPr fontId="6" type="noConversion"/>
  </si>
  <si>
    <t>body(   物资车被劫之后，我在驿站附近发现一些空的酒瓶。)</t>
    <phoneticPr fontId="6" type="noConversion"/>
  </si>
  <si>
    <t>body(  看来，那伙人一定在这个附近。)</t>
    <phoneticPr fontId="6" type="noConversion"/>
  </si>
  <si>
    <t>找到酒了吗？</t>
    <phoneticPr fontId="6" type="noConversion"/>
  </si>
  <si>
    <t>[39级]余孽</t>
    <phoneticPr fontId="6" type="noConversion"/>
  </si>
  <si>
    <t>title([39级]余孽)
body(hotyellow_3(任务进程:)newline()
   杀死goto(10007,2)后，去找goto(507,2)。
blankline()hotyellow_3(任务描述:)newline() 
 那些抢劫粮草的黄巾军劫匪，一定要消灭他们啊。)</t>
    <phoneticPr fontId="6" type="noConversion"/>
  </si>
  <si>
    <t>body(    那些抢劫粮草的黄巾军劫匪，一定要消灭他们啊。)</t>
    <phoneticPr fontId="6" type="noConversion"/>
  </si>
  <si>
    <t>body(   哎，可惜找不回粮草了。)</t>
    <phoneticPr fontId="6" type="noConversion"/>
  </si>
  <si>
    <t>消灭黄巾军劫匪了吗？</t>
    <phoneticPr fontId="6" type="noConversion"/>
  </si>
  <si>
    <t>&lt;n effect=4 font=2 color=White scolor=Turp&gt;杀死黄巾军劫匪&lt;/n&gt;</t>
    <phoneticPr fontId="14" type="noConversion"/>
  </si>
  <si>
    <t>[39级]神将张角</t>
    <phoneticPr fontId="6" type="noConversion"/>
  </si>
  <si>
    <t>title( [39级]神将张角)
body(hotyellow_3(任务进程:)newline()
   去找goto(503,2)。
blankline()hotyellow_3(任务描述:)newline() 
  如果整件事情真的和张角有关，那就不好办啊！)</t>
    <phoneticPr fontId="6" type="noConversion"/>
  </si>
  <si>
    <t>body(    如果整件事情真的和张角有关，那就不好办啊！)</t>
    <phoneticPr fontId="6" type="noConversion"/>
  </si>
  <si>
    <t>body(  善恶自有天数啊！)</t>
    <phoneticPr fontId="6" type="noConversion"/>
  </si>
  <si>
    <t>&lt;p&gt;
&lt;n&gt;  找：&lt;/n&gt;
 &lt;n&gt; &lt;/n&gt;&lt;goto quick="1" id="503" mapid="2" flagpoint="1" taskid="6154" /&gt;
&lt;/p&gt;</t>
    <phoneticPr fontId="6" type="noConversion"/>
  </si>
  <si>
    <t>&lt;p&gt;
&lt;n&gt;  交：&lt;/n&gt;
 &lt;n&gt; &lt;/n&gt;&lt;goto quick="1" id="503" mapid="2" flagpoint="1" taskid="6154"/&gt;&lt;/p&gt;</t>
    <phoneticPr fontId="6" type="noConversion"/>
  </si>
  <si>
    <t>[41级]怨憎会苦</t>
    <phoneticPr fontId="6" type="noConversion"/>
  </si>
  <si>
    <t>body(   哇！您居然击败了金甲神的手下！)</t>
    <phoneticPr fontId="6" type="noConversion"/>
  </si>
  <si>
    <t>body(   大人，升级宝石可以提升装备的属性。)</t>
    <phoneticPr fontId="6" type="noConversion"/>
  </si>
  <si>
    <t>body(    升级宝石可以提升装备星级，装备改造商人可以为你解答升星的疑惑。)</t>
    <phoneticPr fontId="6" type="noConversion"/>
  </si>
  <si>
    <t>title( [32级]失踪的素素)
body(hotyellow_3(任务进程:)newline()
   消灭goto(10003,2)后，找到goto(508,2)。
blankline()hotyellow_3(任务描述:)newline() 
   素素失踪了。最后一次看到她，她正要去消灭墨瞳狐。素素应该在那附近。)</t>
    <phoneticPr fontId="6" type="noConversion"/>
  </si>
  <si>
    <t>body(    素素失踪了。最后一次看到她，她正要去消灭墨瞳狐。素素应该在那附近。)</t>
    <phoneticPr fontId="6" type="noConversion"/>
  </si>
  <si>
    <t>&lt;n effect=4 font=2 color=White scolor=Turp&gt;神将转世的你，受到命运召唤来到桃源&lt;/n&gt;</t>
    <phoneticPr fontId="6" type="noConversion"/>
  </si>
  <si>
    <t>&lt;n effect=4 font=2 color=White scolor=Turp&gt;封印的神兵已经等待你很久了&lt;/n&gt;</t>
    <phoneticPr fontId="6" type="noConversion"/>
  </si>
  <si>
    <t>&lt;n effect=4 font=2 color=White scolor=Turp&gt;以血祭奠神兵，为它开锋&lt;/n</t>
    <phoneticPr fontId="6" type="noConversion"/>
  </si>
  <si>
    <t>&lt;n effect=4 font=2 color=White scolor=Turp&gt;司命之神很满意你的表现&lt;/n&gt;</t>
    <phoneticPr fontId="6" type="noConversion"/>
  </si>
  <si>
    <t>&lt;n effect=4 font=2 color=White scolor=Turp&gt;金甲神破封印而出了&lt;/n&gt;</t>
    <phoneticPr fontId="6" type="noConversion"/>
  </si>
  <si>
    <t>&lt;n effect=4 font=2 color=White scolor=Turp&gt;需要好的防具对付金甲神&lt;/n&gt;</t>
    <phoneticPr fontId="6" type="noConversion"/>
  </si>
  <si>
    <t>&lt;n effect=4 font=2 color=White scolor=Turp&gt;追击金甲神的手下&lt;/n&gt;</t>
    <phoneticPr fontId="6" type="noConversion"/>
  </si>
  <si>
    <t>&lt;n effect=4 font=2 color=White scolor=Turp&gt;小白被金甲神吓的走丢了&lt;/n&gt;</t>
    <phoneticPr fontId="6" type="noConversion"/>
  </si>
  <si>
    <t>&lt;n effect=4 font=2 color=White scolor=Turp&gt;去找坏心情的阿狸&lt;/n&gt;</t>
    <phoneticPr fontId="6" type="noConversion"/>
  </si>
  <si>
    <t>&lt;n effect=4 font=2 color=White scolor=Turp&gt;询问桃源刀客金甲神破封印的真相&lt;/n&gt;</t>
    <phoneticPr fontId="14" type="noConversion"/>
  </si>
  <si>
    <t>&lt;n effect=4 font=2 color=White scolor=Turp&gt;貂蝉愁眉不展，有事需要帮忙&lt;/n&gt;</t>
    <phoneticPr fontId="6" type="noConversion"/>
  </si>
  <si>
    <t>&lt;n effect=4 font=2 color=White scolor=Turp&gt;使用吕布神力封印之符咒&lt;/n&gt;</t>
    <phoneticPr fontId="14" type="noConversion"/>
  </si>
  <si>
    <t>[40级]甄姬</t>
    <phoneticPr fontId="6" type="noConversion"/>
  </si>
  <si>
    <t>title( [40级]甄姬)
body(hotyellow_3(任务进程:)newline()
   去找goto(511,6)。
blankline()hotyellow_3(任务描述:)newline() 
  我有一个朋友叫甄姬。几年前，她嫁去了夷陵。但是，前不久她寄了一封信回来，似乎有什么事情需要帮助。如果你去夷陵，帮我看看她的情况。)</t>
    <phoneticPr fontId="6" type="noConversion"/>
  </si>
  <si>
    <t>body(  我有一个朋友叫甄姬。几年前，她嫁去了夷陵。但是，前不久她寄了一封信回来，似乎有什么事情需要帮助。如果你去夷陵，帮我看看她的情况。)</t>
    <phoneticPr fontId="6" type="noConversion"/>
  </si>
  <si>
    <t>&lt;n effect=4 font=2 color=White scolor=Turp&gt;甄姬千里传信，孙香心忧好友&lt;/n&gt;</t>
    <phoneticPr fontId="6" type="noConversion"/>
  </si>
  <si>
    <t>[40级]黄巾匪患</t>
    <phoneticPr fontId="6" type="noConversion"/>
  </si>
  <si>
    <t>title( [40级]黄巾匪患)
body(hotyellow_3(任务进程:)newline()
   击杀goto(10007,6)后，回复goto(511,6)。
blankline()hotyellow_3(任务描述:)newline() 
 不知道孙香妹妹如今怎么样了。前不久夷陵来了一群流匪，各种恶事都做。)</t>
    <phoneticPr fontId="6" type="noConversion"/>
  </si>
  <si>
    <t>body(  不知道孙香妹妹如今怎么样了。前不久夷陵来了一群流匪，各种恶事都做。)</t>
    <phoneticPr fontId="6" type="noConversion"/>
  </si>
  <si>
    <t>body(   这么说来，这些黄巾军的劫匪是从凤城来的！)</t>
    <phoneticPr fontId="6" type="noConversion"/>
  </si>
  <si>
    <t>那些劫匪真是欺人太甚！</t>
    <phoneticPr fontId="6" type="noConversion"/>
  </si>
  <si>
    <t>&lt;n effect=4 font=2 color=White scolor=Turp&gt;杀死流窜的黄巾军劫匪&lt;/n&gt;</t>
    <phoneticPr fontId="6" type="noConversion"/>
  </si>
  <si>
    <t>body(  本来我要去求娶小甄的，结果路上被那群神策军士围攻，耽搁了时间，害的小甄另嫁他人！)</t>
    <phoneticPr fontId="6" type="noConversion"/>
  </si>
  <si>
    <t>[41级]原因</t>
    <phoneticPr fontId="6" type="noConversion"/>
  </si>
  <si>
    <t>title( [41级]原因)
body(hotyellow_3(任务进程:)newline()
   杀死goto(10132,6)后，去找goto(516,6)。
blankline()hotyellow_3(任务描述:)newline() 
 本来我要去求娶小甄的，结果路上被那群神策军士围攻，耽搁了时间，害的小甄另嫁他人！)</t>
    <phoneticPr fontId="6" type="noConversion"/>
  </si>
  <si>
    <t>那群可恶的混蛋！</t>
    <phoneticPr fontId="6" type="noConversion"/>
  </si>
  <si>
    <t>&lt;n effect=4 font=2 color=White scolor=Turp&gt;击败神策军士&lt;/n&gt;</t>
    <phoneticPr fontId="6" type="noConversion"/>
  </si>
  <si>
    <t>[42级]琼露</t>
    <phoneticPr fontId="6" type="noConversion"/>
  </si>
  <si>
    <t>title( [42级]琼露)
body(hotyellow_3(任务进程:)newline()
   采集goto(2019,6)后，去找goto(511,6)。
blankline()hotyellow_3(任务描述:)newline() 
帮我送琼露给甄姬，它是养生的妙药。)</t>
    <phoneticPr fontId="6" type="noConversion"/>
  </si>
  <si>
    <t>body( 我跟子恒相识已久，本来我等着他来娶我，结果等了好久好久他还是没有来。所以，只得听从父母之命嫁人了。)</t>
    <phoneticPr fontId="6" type="noConversion"/>
  </si>
  <si>
    <t>body(   小甄……)</t>
    <phoneticPr fontId="6" type="noConversion"/>
  </si>
  <si>
    <t>&lt;n effect=4 font=2 color=White scolor=Turp&gt;神女有意，襄王无情&lt;/n&gt;</t>
    <phoneticPr fontId="6" type="noConversion"/>
  </si>
  <si>
    <t>[40级]探望</t>
    <phoneticPr fontId="6" type="noConversion"/>
  </si>
  <si>
    <t>&lt;p&gt;
&lt;n&gt;  找：&lt;/n&gt;
 &lt;n&gt; &lt;/n&gt;&lt;goto quick="1" id="516" mapid="6" flagpoint="1" taskid="6203" /&gt;
&lt;/p&gt;</t>
    <phoneticPr fontId="6" type="noConversion"/>
  </si>
  <si>
    <t>&lt;p&gt;
&lt;n&gt;  交：&lt;/n&gt;
 &lt;n&gt; &lt;/n&gt;&lt;goto quick="1" id="516" mapid="6" flagpoint="1" taskid="6203"/&gt;&lt;/p&gt;</t>
    <phoneticPr fontId="6" type="noConversion"/>
  </si>
  <si>
    <t>[41级]百合</t>
    <phoneticPr fontId="6" type="noConversion"/>
  </si>
  <si>
    <t>body(   能帮我送一束百合花给小甄吗？总有一天，我们会在一起的。)</t>
    <phoneticPr fontId="6" type="noConversion"/>
  </si>
  <si>
    <t>body(   哼，就算嫁人了又怎么样！)</t>
    <phoneticPr fontId="6" type="noConversion"/>
  </si>
  <si>
    <t>body(  现在说这些太迟了！)</t>
    <phoneticPr fontId="6" type="noConversion"/>
  </si>
  <si>
    <t>你找我有什么事吗？</t>
    <phoneticPr fontId="6" type="noConversion"/>
  </si>
  <si>
    <t>&lt;n effect=4 font=2 color=White scolor=Turp&gt;送百合花给小甄，表明心迹&lt;/n&gt;</t>
    <phoneticPr fontId="6" type="noConversion"/>
  </si>
  <si>
    <t>&lt;p&gt;
&lt;n&gt;  交：&lt;/n&gt;
 &lt;n&gt; &lt;/n&gt;&lt;goto quick="1" id="511" mapid="6" flagpoint="1" taskid="6202"/&gt;&lt;/p&gt;</t>
    <phoneticPr fontId="6" type="noConversion"/>
  </si>
  <si>
    <t>body(    这辈子我已经有夫君了，叫子恒下辈子赶早！)</t>
    <phoneticPr fontId="6" type="noConversion"/>
  </si>
  <si>
    <t>body(   她果然还在生我的气。)</t>
    <phoneticPr fontId="6" type="noConversion"/>
  </si>
  <si>
    <t>&lt;p&gt;
&lt;n&gt;  找：&lt;/n&gt;
 &lt;n&gt; &lt;/n&gt;&lt;goto quick="1" id="516" mapid="6" flagpoint="1" taskid="6207" /&gt;
&lt;/p&gt;</t>
    <phoneticPr fontId="6" type="noConversion"/>
  </si>
  <si>
    <t>[41级]拒绝</t>
    <phoneticPr fontId="6" type="noConversion"/>
  </si>
  <si>
    <t>body(    夷陵居住着一位绝世神医，也许他有良方能让人一切重来。)</t>
    <phoneticPr fontId="6" type="noConversion"/>
  </si>
  <si>
    <t>[42级]草药</t>
    <phoneticPr fontId="6" type="noConversion"/>
  </si>
  <si>
    <t>title( [42级]草药)
body(hotyellow_3(任务进程:)newline()
   采集goto(2020,6)后，回复goto(513,6)。
blankline()hotyellow_3(任务描述:)newline() 
   我现在缺一味草药，帮我采集一些来吧。)</t>
    <phoneticPr fontId="6" type="noConversion"/>
  </si>
  <si>
    <t>[42级]绝世神医</t>
    <phoneticPr fontId="6" type="noConversion"/>
  </si>
  <si>
    <t>title( [42级]绝世神医)
body(hotyellow_3(任务进程:)newline()
   去找goto(513,6)。
blankline()hotyellow_3(任务描述:)newline() 
  夷陵居住着一位绝世神医，也许他有良方能让人一切重来。)</t>
    <phoneticPr fontId="6" type="noConversion"/>
  </si>
  <si>
    <t>[43级]病症</t>
    <phoneticPr fontId="6" type="noConversion"/>
  </si>
  <si>
    <t>[42级]望闻问切</t>
    <phoneticPr fontId="6" type="noConversion"/>
  </si>
  <si>
    <t>title( [41级]拒绝)
body(hotyellow_3(任务进程:)newline()
   去找goto(516,6)。
blankline()hotyellow_3(任务描述:)newline() 
  这辈子我已经有夫君了，叫子恒下辈子赶早！)</t>
    <phoneticPr fontId="6" type="noConversion"/>
  </si>
  <si>
    <t>title( [42级]望闻问切)
body(hotyellow_3(任务进程:)newline()
   查看goto(2021,6)后，去找goto(2021,1)。
blankline()hotyellow_3(任务描述:)newline() 
  我收留了一个病人，但是他的病情很奇怪，明明应该好了，却又出现了奇怪的症状。我怀疑他的药里被掺了其他东西，去看看倒掉的那些药渣，问问病人情况。)</t>
    <phoneticPr fontId="6" type="noConversion"/>
  </si>
  <si>
    <t>title( [40级]复问)
body(hotyellow_3(任务进程:)newline()
   去找goto(514,6)。
blankline()hotyellow_3(任务描述:)newline() 
  我也有诗想问问应龙，不知道能否对出下句。)</t>
  </si>
  <si>
    <t>body(   我也有诗想问问应龙，不知道能否对出下句。)</t>
  </si>
  <si>
    <t>title( [41级]媒介)
body(hotyellow_3(任务进程:)newline()
   杀死goto(10008,6)后，去找goto(514,6)。
blankline()hotyellow_3(任务描述:)newline() 
   说起改命，我想到一个人，呵呵……应龙说的媒介，应该在那些怪物身上可以找到。)</t>
  </si>
  <si>
    <t>body(    说起改命，我想到一个人，呵呵……应龙说的媒介，应该在那些怪物身上可以找到。)</t>
  </si>
  <si>
    <t>[43级]美酒</t>
    <phoneticPr fontId="6" type="noConversion"/>
  </si>
  <si>
    <t>title([43级]美酒)
body(hotyellow_3(任务进程:)newline()
   击败goto(10008,6)，回复goto(512,6)。
blankline()hotyellow_3(任务描述:)newline() 
  听说天策军士中，有人酿酒非常厉害。贡酒皆出自他之手。不知是否有幸品尝那些美酒。)</t>
    <phoneticPr fontId="6" type="noConversion"/>
  </si>
  <si>
    <t>body(    听说天策军士中，有人酿酒非常厉害。贡酒皆出自他之手。不知是否有幸品尝那些美酒。)</t>
    <phoneticPr fontId="6" type="noConversion"/>
  </si>
  <si>
    <t>body(   如此酿造方法，普通人可想不到。)</t>
    <phoneticPr fontId="6" type="noConversion"/>
  </si>
  <si>
    <t>看到那些天策军士了吗？</t>
    <phoneticPr fontId="6" type="noConversion"/>
  </si>
  <si>
    <t>&lt;n effect=4 font=2 color=White scolor=Turp&gt;查看被倒掉的药渣&lt;/n&gt;</t>
    <phoneticPr fontId="6" type="noConversion"/>
  </si>
  <si>
    <t>&lt;n effect=4 font=2 color=White scolor=Turp&gt;帮华佗采集一些草药&lt;/n&gt;</t>
    <phoneticPr fontId="6" type="noConversion"/>
  </si>
  <si>
    <t>&lt;n effect=4 font=2 color=White scolor=Turp&gt;何以解忧，唯有杜康&lt;/n&gt;</t>
    <phoneticPr fontId="6" type="noConversion"/>
  </si>
  <si>
    <t>[44级]应龙</t>
    <phoneticPr fontId="6" type="noConversion"/>
  </si>
  <si>
    <t>应龙</t>
  </si>
  <si>
    <t>&lt;n effect=4 font=2 color=White scolor=Turp&gt;与应龙对话。&lt;/n&gt;</t>
  </si>
  <si>
    <t>body(   在应龙先生旁边，那些鬼怪就不敢过来。)</t>
  </si>
  <si>
    <t>title( [50级]求教)
body(hotyellow_3(任务进程:)newline()
   去找goto(514,6)。
blankline()hotyellow_3(任务描述:)newline() 
  应龙对生死是如何看的？)</t>
  </si>
  <si>
    <t>body(   应龙对生死是如何看的？)</t>
  </si>
  <si>
    <t>title( [53级]山源之心)
body(hotyellow_3(任务进程:)newline()
   去找goto(514,6)。
blankline()hotyellow_3(任务描述:)newline() 
  这个声音，真是奇怪啊，让人觉得心慌。去问问应龙大人吧。)</t>
  </si>
  <si>
    <t>body(   这个声音，真是奇怪啊，让人觉得心慌。去问问应龙大人吧。)</t>
  </si>
  <si>
    <t>body(   原来尤利娅是应龙佣兵团族长的恋人，难怪身手这么好，打的风牙、雷牙屁滚尿流。blankline()
   我只负责应付敌国的入侵，魔族这种事一直是威格尔负责的，如果碰到沙奥萨，有机会的话我会告诉他的。)</t>
  </si>
  <si>
    <t>[58级]应龙佣兵团</t>
  </si>
  <si>
    <t>title(（58级）应龙佣兵团)
body(hotyellow_3(任务进程:)newline()
   将威格尔的答复告诉goto(60086,7)。
blankline()hotyellow_3(任务描述:)newline() 
   当初卡尔将帮会刚刚平息，形势复杂，无暇顾及才让你们应龙佣兵团逃入沙漠。可不要以为我们光明骑士团怕了你们，现在好好当你的赏金猎人，不听话我就把你的皮扒下来。)</t>
  </si>
  <si>
    <t>body(   这些魔族的余孽，简直得寸进尺。要不是前线吃紧，卡尔将帮会不让动应龙佣兵团，我早就想把他们都抓起来，扒皮灌水银。blankline()space()space()space()player()，你告诉hot(雷伊)，那些叛逃进入沙漠的佣兵，被我抓到，只有死。)</t>
  </si>
  <si>
    <t>title(（60级）怨结)
body(hotyellow_3(任务进程:)newline()
   去找goto(60086,7)。
blankline()hotyellow_3(任务描述:)newline() 
   赏金猎人雷伊和典狱长威格尔之间的事我也听说了，请告诉他首领卡尔只是放弃追究未参与叛乱的应龙佣兵团的佣兵，对于那些参与叛乱的是没有一点挽回的余地的。)</t>
  </si>
  <si>
    <t>body(   雷伊与典狱长之间的事我听说了，我们是不会放弃追剿参与叛乱的应龙佣兵团佣兵的。blankline()   请告诉雷伊，只要他安心的做一名赏金猎人，我们是不会找他麻烦的。)</t>
  </si>
  <si>
    <t>title(（61级）更多的猎人)
body(hotyellow_3(任务进程:)newline()
   去找goto(60085,7)。
blankline()hotyellow_3(任务描述:)newline() 
   尤利娅曾经是神之刺客佣兵团的一员，身手卓越，而且又是应龙佣兵团族长沙奥萨的恋人。我想邀请她加入我们水鸟赏金团，一起商议如何复兴应龙佣兵团。)</t>
  </si>
  <si>
    <t>title( [44级]应龙)
body(hotyellow_3(任务进程:)newline()
   去找goto(514,6)。
blankline()hotyellow_3(任务描述:)newline() 
   我遇到一个人，气度不凡，洒脱不羁，对世事有一番独特的见解。)</t>
    <phoneticPr fontId="6" type="noConversion"/>
  </si>
  <si>
    <t>body(    我遇到一个人，气度不凡，洒脱不羁，对世事有一番独特的见解。)</t>
    <phoneticPr fontId="6" type="noConversion"/>
  </si>
  <si>
    <t>body(  我也久闻嵇康风流不羁，乃真名士也。)</t>
    <phoneticPr fontId="6" type="noConversion"/>
  </si>
  <si>
    <t>[44级]游魂</t>
    <phoneticPr fontId="6" type="noConversion"/>
  </si>
  <si>
    <t>title( [44级]游魂)
body(hotyellow_3(任务进程:)newline()
   去找goto(515,6)。
blankline()hotyellow_3(任务描述:)newline() 
  前面的乱葬岗徘徊着一个游魂。执念太深，一直不肯轮回。)</t>
    <phoneticPr fontId="6" type="noConversion"/>
  </si>
  <si>
    <t>body(   前面的乱葬岗徘徊着一个游魂。执念太深，一直不肯轮回。)</t>
    <phoneticPr fontId="6" type="noConversion"/>
  </si>
  <si>
    <t>body(   你是谁？)</t>
    <phoneticPr fontId="6" type="noConversion"/>
  </si>
  <si>
    <t>[44级]魂兮归来</t>
    <phoneticPr fontId="6" type="noConversion"/>
  </si>
  <si>
    <t>[44级]魂兮归来</t>
    <phoneticPr fontId="6" type="noConversion"/>
  </si>
  <si>
    <t>title( [44级]魂兮归来)
body(hotyellow_3(任务进程:)newline()
   杀死goto(10500,6)后，回复goto(515,6)。
blankline()hotyellow_3(任务描述:)newline() 
  我感觉到有人一直在等我。但是，我记得很多事情了，就好像是灵魂分裂的感觉。)</t>
    <phoneticPr fontId="6" type="noConversion"/>
  </si>
  <si>
    <t>[4级]防具</t>
    <phoneticPr fontId="6" type="noConversion"/>
  </si>
  <si>
    <t>title([4级]防具)
body(hotyellow_3(任务进程:)newline()
   去找goto(111,1)。
blankline()hotyellow_3(任务描述:)newline() 
  金甲神曾经是天界最强的战神。面对强大的敌人，防具非常重要。你可以去防具商人那里看看。)</t>
    <phoneticPr fontId="6" type="noConversion"/>
  </si>
  <si>
    <t>title( [30级]召唤宠物)
body(hotyellow_3(任务进程:)newline()
    打开宠物界面hot(（按G键）)后，召唤宠物。并去找goto(506,2)。
blankline()hotyellow_3(任务描述:)newline() 
  你已经获得了一头可爱的宠物，快召唤出来秀一秀！)</t>
    <phoneticPr fontId="6" type="noConversion"/>
  </si>
  <si>
    <t>[5级]踏歌</t>
    <phoneticPr fontId="6" type="noConversion"/>
  </si>
  <si>
    <t>title( [5级]踏歌)
body(hotyellow_3(任务进程:)newline()
   找到goto(2001,1)后，去找goto(60200,1)。
blankline()hotyellow_3(任务描述:)newline() 
 因为金甲神大闹桃源，小白吓的逃走了！)</t>
    <phoneticPr fontId="6" type="noConversion"/>
  </si>
  <si>
    <t>body(   我想起来了！我是吕布！)</t>
    <phoneticPr fontId="6" type="noConversion"/>
  </si>
  <si>
    <t>[45级]死别离</t>
    <phoneticPr fontId="6" type="noConversion"/>
  </si>
  <si>
    <t>title( [45级]死别离)
body(hotyellow_3(任务进程:)newline()
   与goto(515,6)对话。
blankline()hotyellow_3(任务描述:)newline() 
  当年，我在下邳战败前，曾有言，我若不死，必去找她。随后，我被曹操生擒，缢杀身亡。)</t>
    <phoneticPr fontId="6" type="noConversion"/>
  </si>
  <si>
    <t>body(    当年，我在下邳战败前，曾有言，我若不死，必去找她。随后，我被曹操生擒，缢杀身亡。)</t>
    <phoneticPr fontId="6" type="noConversion"/>
  </si>
  <si>
    <t>[45级]指点</t>
    <phoneticPr fontId="6" type="noConversion"/>
  </si>
  <si>
    <t>[45级]神将吕布</t>
    <phoneticPr fontId="6" type="noConversion"/>
  </si>
  <si>
    <t>body(   如今说这些已无意义了。)</t>
    <phoneticPr fontId="6" type="noConversion"/>
  </si>
  <si>
    <t>[46级]神力觉醒</t>
    <phoneticPr fontId="6" type="noConversion"/>
  </si>
  <si>
    <t>body(   少侠年少有为，这里有夫君身前神力封印之符。也许可以助你一臂之力。)</t>
    <phoneticPr fontId="6" type="noConversion"/>
  </si>
  <si>
    <t>body( 神力封印之符，关键时刻可以用来击败强大的敌人。)</t>
    <phoneticPr fontId="6" type="noConversion"/>
  </si>
  <si>
    <t>body(    天界神将，多数受天帝之命转世人界。还有一部分神将跟我一样，隐居人界。哎，如今的天界乌烟瘴气。吕布也是天上的神将转世。)</t>
    <phoneticPr fontId="6" type="noConversion"/>
  </si>
  <si>
    <t>title( [45级]神将吕布)
body(hotyellow_3(任务进程:)newline()
   去找goto(515,5)。
blankline()hotyellow_3(任务描述:)newline() 
   天界神将，多数受天帝之命转世人界。还有一部分神将跟我一样，隐居人界。哎，如今的天界乌烟瘴气。吕布也是天上的神将转世。)</t>
    <phoneticPr fontId="6" type="noConversion"/>
  </si>
  <si>
    <t>title( [46级]神力觉醒)
body(hotyellow_3(任务进程:)newline()
   去找goto(515,5)。
blankline()hotyellow_3(任务描述:)newline() 
   应龙是否有办法让我重铸肉身？)</t>
    <phoneticPr fontId="6" type="noConversion"/>
  </si>
  <si>
    <t>body(  应龙是否有办法让我重铸肉身？)</t>
    <phoneticPr fontId="6" type="noConversion"/>
  </si>
  <si>
    <t>body(   我帮他觉醒神力即可。)</t>
    <phoneticPr fontId="6" type="noConversion"/>
  </si>
  <si>
    <t>body(      你去桃源圣地跟貂蝉说下吕布的情况，若能促成他们两相见也算还了当年天界吕布的恩情。)</t>
    <phoneticPr fontId="6" type="noConversion"/>
  </si>
  <si>
    <t>[46级]相见</t>
    <phoneticPr fontId="6" type="noConversion"/>
  </si>
  <si>
    <t>title( [46级]相见)
body(hotyellow_3(任务进程:)newline()
   去找goto(60007,1)。
blankline()hotyellow_3(任务描述:)newline() 
  你去桃源圣地跟貂蝉说下吕布的情况，若能促成他们两相见也算还了当年天界吕布的恩情。)</t>
    <phoneticPr fontId="6" type="noConversion"/>
  </si>
  <si>
    <t>[46级]魂梦相依</t>
    <phoneticPr fontId="6" type="noConversion"/>
  </si>
  <si>
    <t>title( [46级]魂梦相依)
body(hotyellow_3(任务进程:)newline()
   去找goto(515,6)。
blankline()hotyellow_3(任务描述:)newline() 
  请带我去见夫君。)</t>
    <phoneticPr fontId="6" type="noConversion"/>
  </si>
  <si>
    <t>[47级]埋骨之恩</t>
    <phoneticPr fontId="6" type="noConversion"/>
  </si>
  <si>
    <t>title( [47级]埋骨之恩)
body(hotyellow_3(任务进程:)newline()
   去找goto(512,6)。
blankline()hotyellow_3(任务描述:)newline() 
  当年我身死之后，是嵇康帮我埋骨此处。此恩来世衔草相报。)</t>
    <phoneticPr fontId="6" type="noConversion"/>
  </si>
  <si>
    <t>[47级]洗耳恭听</t>
    <phoneticPr fontId="6" type="noConversion"/>
  </si>
  <si>
    <t>title( [47级]洗耳恭听)
body(hotyellow_3(任务进程:)newline()
    用goto(2024,6)洗耳后，去找goto(512,6)。
blankline()hotyellow_3(任务描述:)newline() 
  我最近作了一曲，想弹与知己听。我需要焚香静心，阁下可需要洗耳恭听？)</t>
    <phoneticPr fontId="6" type="noConversion"/>
  </si>
  <si>
    <t>body(      是非成败转头空，不如浊酒一壶，赏山间明月。)</t>
    <phoneticPr fontId="6" type="noConversion"/>
  </si>
  <si>
    <t>body(   想不到凡间居然也能遇到此等洒脱之人。)</t>
    <phoneticPr fontId="6" type="noConversion"/>
  </si>
  <si>
    <t>body(   我隐居此处，隐隐感受到蚩尤的魔气。附近居然出现了已经死亡的士兵复活的事情。)</t>
    <phoneticPr fontId="6" type="noConversion"/>
  </si>
  <si>
    <t>body(   魔气入侵，还魂也活不了多久。)</t>
    <phoneticPr fontId="6" type="noConversion"/>
  </si>
  <si>
    <t>查看那些复活的士兵了吗？</t>
    <phoneticPr fontId="6" type="noConversion"/>
  </si>
  <si>
    <t>&lt;n effect=4 font=2 color=White scolor=Turp&gt;依靠蚩尤的魔气还魂的士兵&lt;/n&gt;</t>
    <phoneticPr fontId="6" type="noConversion"/>
  </si>
  <si>
    <t>&lt;p&gt;
&lt;n&gt;  击杀&lt;/n&gt;
 &lt;n&gt; &lt;/n&gt;&lt;goto quick="1" id="10009" mapid="6" flagpoint="1" taskid="6233" /&gt;
&lt;/p&gt;</t>
    <phoneticPr fontId="6" type="noConversion"/>
  </si>
  <si>
    <t>&lt;p&gt;
&lt;n&gt;  交：&lt;/n&gt;
 &lt;n&gt; &lt;/n&gt;&lt;goto quick="1" id="514" mapid="6" flagpoint="1" taskid="6233"/&gt;&lt;/p&gt;</t>
    <phoneticPr fontId="6" type="noConversion"/>
  </si>
  <si>
    <t>[48级]还魂</t>
    <phoneticPr fontId="6" type="noConversion"/>
  </si>
  <si>
    <t>title( [[48级]还魂)
body(hotyellow_3(任务进程:)newline()
   击杀goto(10009,6)后，回复goto(514,6)。
blankline()hotyellow_3(任务描述:)newline() 
  我隐居此处，隐隐感受到蚩尤的魔气。附近居然出现了已经死亡的士兵复活的事情。)</t>
    <phoneticPr fontId="6" type="noConversion"/>
  </si>
  <si>
    <t>[48级]砍柴</t>
    <phoneticPr fontId="6" type="noConversion"/>
  </si>
  <si>
    <t>body(     夷陵有一位樵夫，已有二百五十岁了。凡人的寿命不可能那么长，或许是妖修。)</t>
    <phoneticPr fontId="6" type="noConversion"/>
  </si>
  <si>
    <t>body(  应……应龙上神！)</t>
    <phoneticPr fontId="6" type="noConversion"/>
  </si>
  <si>
    <t>body(     其实我的本体是山间动物，幸得一枚山间灵果，才让我开了灵智。)</t>
    <phoneticPr fontId="6" type="noConversion"/>
  </si>
  <si>
    <t>[49级]蚩尤魔君</t>
    <phoneticPr fontId="6" type="noConversion"/>
  </si>
  <si>
    <t>title( [49级]蚩尤魔君)
body(hotyellow_3(任务进程:)newline()
   去找goto(514,6)。
blankline()hotyellow_3(任务描述:)newline() 
  最近我听到山间其他动物说，蚩尤魔君正在寻找神将转世，想要趁神将还有觉醒的时候，杀死他们。)</t>
    <phoneticPr fontId="6" type="noConversion"/>
  </si>
  <si>
    <t>body(   最近我听到山间的消息说，蚩尤魔君正在寻找神将转世，想要趁神将还有觉醒的时候，杀死他们。)</t>
    <phoneticPr fontId="6" type="noConversion"/>
  </si>
  <si>
    <t>body(   蚩尤不是已经被帝君封印了吗？！)</t>
    <phoneticPr fontId="6" type="noConversion"/>
  </si>
  <si>
    <t>body(    那些轮回邪念，深受蚩尤的魔气吸引而产生的。不应该存在这世上。)</t>
    <phoneticPr fontId="6" type="noConversion"/>
  </si>
  <si>
    <t>body(   如今帝君诛杀功臣，听信谄媚小人……人界又是这般光景，哎。)</t>
    <phoneticPr fontId="6" type="noConversion"/>
  </si>
  <si>
    <t>[49级]生机</t>
    <phoneticPr fontId="6" type="noConversion"/>
  </si>
  <si>
    <t>body(   你本也是天上的神将，想不到转世灵力尽被封住。夷陵山间有一宝物，对你修行大有益处。)</t>
    <phoneticPr fontId="6" type="noConversion"/>
  </si>
  <si>
    <t>&lt;p&gt;
&lt;n&gt;  交：&lt;/n&gt;
 &lt;n&gt; &lt;/n&gt;&lt;goto quick="1" id="514" mapid="6" flagpoint="1" taskid="6249"/&gt;&lt;/p&gt;</t>
    <phoneticPr fontId="6" type="noConversion"/>
  </si>
  <si>
    <t>[50级]祸起</t>
    <phoneticPr fontId="6" type="noConversion"/>
  </si>
  <si>
    <t>title( [50级]祸起)
body(hotyellow_3(任务进程:)newline()
   去找goto(503,2)。
blankline()hotyellow_3(任务描述:)newline() 
  观天象，是乱世之象。张角之死，还只是乱世的开始。)</t>
    <phoneticPr fontId="6" type="noConversion"/>
  </si>
  <si>
    <t>body(    观天象，是乱世之象。张角之死，还只是乱世的开始。)</t>
    <phoneticPr fontId="6" type="noConversion"/>
  </si>
  <si>
    <t>body(   你终于来了！)</t>
    <phoneticPr fontId="6" type="noConversion"/>
  </si>
  <si>
    <t>[48级]是非成败转头空</t>
    <phoneticPr fontId="6" type="noConversion"/>
  </si>
  <si>
    <t>[49级]樵夫</t>
    <phoneticPr fontId="6" type="noConversion"/>
  </si>
  <si>
    <t>[49级]灵果</t>
    <phoneticPr fontId="6" type="noConversion"/>
  </si>
  <si>
    <t>[50级]轮回邪念</t>
    <phoneticPr fontId="6" type="noConversion"/>
  </si>
  <si>
    <t>[50级]宝物</t>
    <phoneticPr fontId="6" type="noConversion"/>
  </si>
  <si>
    <t>[51级]视察虎牢</t>
    <phoneticPr fontId="6" type="noConversion"/>
  </si>
  <si>
    <t>title( [50级]轮回邪念)
body(hotyellow_3(任务进程:)newline()
   击杀goto(10011,6)后，去找goto(514,6)。
blankline()hotyellow_3(任务描述:)newline() 
  那些轮回邪念，深受蚩尤的魔气吸引而产生的。不应该存在这世上。)</t>
    <phoneticPr fontId="6" type="noConversion"/>
  </si>
  <si>
    <t>title( [49级]灵果)
body(hotyellow_3(任务进程:)newline()
    采集goto(2026,6)后，回复goto(520,6)。
blankline()hotyellow_3(任务描述:)newline() 
   其实我的本体是山间动物，幸得一枚山间灵果，才让我开了灵智。)</t>
    <phoneticPr fontId="6" type="noConversion"/>
  </si>
  <si>
    <t>title( [49级]樵夫)
body(hotyellow_3(任务进程:)newline()
   去找goto(520,6)。
blankline()hotyellow_3(任务描述:)newline() 
  夷陵有一位樵夫，已有二百五十岁了。凡人的寿命不可能那么长，或许是妖修。)</t>
    <phoneticPr fontId="6" type="noConversion"/>
  </si>
  <si>
    <t>[56级]江东小霸王</t>
    <phoneticPr fontId="6" type="noConversion"/>
  </si>
  <si>
    <t>[56级]龙果</t>
    <phoneticPr fontId="6" type="noConversion"/>
  </si>
  <si>
    <t>title( [45级]指点)
body(hotyellow_3(任务进程:)newline()
   去找goto(514,6)。
blankline()hotyellow_3(任务描述:)newline() 
   应龙是天界上神，他应该知道貂蝉的近况，可否帮我问问他。)</t>
    <phoneticPr fontId="6" type="noConversion"/>
  </si>
  <si>
    <t>body(  应龙是天界上神，他应该知道貂蝉的近况，可否帮我问问他。)</t>
    <phoneticPr fontId="6" type="noConversion"/>
  </si>
  <si>
    <t>&lt;p&gt;
&lt;n&gt;  交：&lt;/n&gt;
 &lt;n&gt; &lt;/n&gt;&lt;goto quick="1" id="514" mapid="6" flagpoint="1" taskid="6224"/&gt;&lt;/p&gt;</t>
    <phoneticPr fontId="6" type="noConversion"/>
  </si>
  <si>
    <t>&lt;p&gt;
&lt;n&gt;  找：&lt;/n&gt;
 &lt;n&gt; &lt;/n&gt;&lt;goto quick="1" id="514" mapid="6" flagpoint="1" taskid="6224" /&gt;
&lt;/p&gt;</t>
    <phoneticPr fontId="6" type="noConversion"/>
  </si>
  <si>
    <t>&lt;p&gt;
&lt;n&gt;  交：&lt;/n&gt;
 &lt;n&gt; &lt;/n&gt;&lt;goto quick="1" id="514" mapid="6" flagpoint="1" taskid="6232"/&gt;&lt;/p&gt;</t>
    <phoneticPr fontId="6" type="noConversion"/>
  </si>
  <si>
    <t>&lt;p&gt;
&lt;n&gt;  找：&lt;/n&gt;
 &lt;n&gt; &lt;/n&gt;&lt;goto quick="1" id="514" mapid="6" flagpoint="1" taskid="6232" /&gt;
&lt;/p&gt;</t>
    <phoneticPr fontId="6" type="noConversion"/>
  </si>
  <si>
    <t>[51级]求取良策</t>
    <phoneticPr fontId="6" type="noConversion"/>
  </si>
  <si>
    <t>title( [51级]求取良策)
body(hotyellow_3(任务进程:)newline()
   去找goto(505,2)。
blankline()hotyellow_3(任务描述:)newline() 
  虎牢军情紧急，奈何没有良策，请去拜访水镜先生，是否有建议。)</t>
    <phoneticPr fontId="6" type="noConversion"/>
  </si>
  <si>
    <t>body(   虎牢军情紧急，奈何没有良策，请去拜访水镜先生，是否有建议。)</t>
    <phoneticPr fontId="6" type="noConversion"/>
  </si>
  <si>
    <t>body(   大人高看我了，我不过是一个山野村夫而已。)</t>
    <phoneticPr fontId="6" type="noConversion"/>
  </si>
  <si>
    <t>&lt;n effect=4 font=2 color=White scolor=Turp&gt;拜访水镜先生，求取良策&lt;/n&gt;</t>
    <phoneticPr fontId="6" type="noConversion"/>
  </si>
  <si>
    <t>&lt;p&gt;
&lt;n&gt;  找：&lt;/n&gt;
 &lt;n&gt; &lt;/n&gt;&lt;goto quick="1" id="505" mapid="2" flagpoint="1" taskid="6254" /&gt;
&lt;/p&gt;</t>
    <phoneticPr fontId="6" type="noConversion"/>
  </si>
  <si>
    <t>&lt;p&gt;
&lt;n&gt;  交：&lt;/n&gt;
 &lt;n&gt; &lt;/n&gt;&lt;goto quick="1" id="505" mapid="2" flagpoint="1" taskid="6254"/&gt;&lt;/p&gt;</t>
    <phoneticPr fontId="6" type="noConversion"/>
  </si>
  <si>
    <t>[51级]稳固军心</t>
    <phoneticPr fontId="6" type="noConversion"/>
  </si>
  <si>
    <t>title( [51级]稳固军心)
body(hotyellow_3(任务进程:)newline()
   去找goto(503,2)。
blankline()hotyellow_3(任务描述:)newline() 
  想不到刘皇叔也找来了。如今虎牢告急，城主又不能亲临前线，稳固军心才是当务之急。)</t>
    <phoneticPr fontId="6" type="noConversion"/>
  </si>
  <si>
    <t>body(  想不到刘皇叔也找来了。如今虎牢告急，城主又不能亲临前线，稳固军心才是当务之急。)</t>
    <phoneticPr fontId="6" type="noConversion"/>
  </si>
  <si>
    <t>body(   此言甚矣！)</t>
    <phoneticPr fontId="6" type="noConversion"/>
  </si>
  <si>
    <t>&lt;n effect=4 font=2 color=White scolor=Turp&gt;稳固军心，才是当务之急&lt;/n&gt;</t>
    <phoneticPr fontId="6" type="noConversion"/>
  </si>
  <si>
    <t>&lt;p&gt;
&lt;n&gt;  找：&lt;/n&gt;
 &lt;n&gt; &lt;/n&gt;&lt;goto quick="1" id="503" mapid="2" flagpoint="1" taskid="6255" /&gt;
&lt;/p&gt;</t>
    <phoneticPr fontId="6" type="noConversion"/>
  </si>
  <si>
    <t>&lt;p&gt;
&lt;n&gt;  交：&lt;/n&gt;
 &lt;n&gt; &lt;/n&gt;&lt;goto quick="1" id="503" mapid="2" flagpoint="1" taskid="6255"/&gt;&lt;/p&gt;</t>
    <phoneticPr fontId="6" type="noConversion"/>
  </si>
  <si>
    <t>body(   大人，虎牢目前安好，并没有发现大规模敌军)</t>
    <phoneticPr fontId="6" type="noConversion"/>
  </si>
  <si>
    <t>body(   大人，虎牢关最近出现一群奇怪的人，或者说是幽灵，最近闹的人心惶惶。)</t>
    <phoneticPr fontId="6" type="noConversion"/>
  </si>
  <si>
    <t>body(   大人果然好手段！)</t>
    <phoneticPr fontId="6" type="noConversion"/>
  </si>
  <si>
    <t>&lt;n effect=4 font=2 color=White scolor=Turp&gt;击败闹的人心惶惶的幽灵&lt;/n&gt;</t>
    <phoneticPr fontId="6" type="noConversion"/>
  </si>
  <si>
    <t>body(  虎牢关附近有一个乔家庄，乃当地的大户人家。大人可以去此询问民情。)</t>
    <phoneticPr fontId="6" type="noConversion"/>
  </si>
  <si>
    <t>body(   看大人风尘仆仆，一定是从凤城而来。)</t>
    <phoneticPr fontId="6" type="noConversion"/>
  </si>
  <si>
    <t>body(    乔家庄本来是个和平而宁静的村庄，但是最近出现许多鬼怪侵扰的事情。哎，难道是谁做了忤逆老天的事情吗？)</t>
    <phoneticPr fontId="6" type="noConversion"/>
  </si>
  <si>
    <t>body(  想不到大人居然能捉鬼怪，上天保佑！)</t>
    <phoneticPr fontId="6" type="noConversion"/>
  </si>
  <si>
    <t>[34级]诡术</t>
    <phoneticPr fontId="6" type="noConversion"/>
  </si>
  <si>
    <t>body(   一定要采点茱萸辟邪，鬼怪太可怕了。)</t>
    <phoneticPr fontId="6" type="noConversion"/>
  </si>
  <si>
    <t>body(   把这个挂门上，应该会比较好点。)</t>
    <phoneticPr fontId="6" type="noConversion"/>
  </si>
  <si>
    <t>&lt;n effect=4 font=2 color=White scolor=Turp&gt;采集茱萸，用来辟邪&lt;/n&gt;</t>
    <phoneticPr fontId="6" type="noConversion"/>
  </si>
  <si>
    <t>body(   我们乔家庄有两大美人，大乔和小乔，秀外慧中，当年多少人踏破乔家庄想要求娶她们。)</t>
    <phoneticPr fontId="6" type="noConversion"/>
  </si>
  <si>
    <t>body(   你好，远道而来的客人。)</t>
    <phoneticPr fontId="6" type="noConversion"/>
  </si>
  <si>
    <t>body( 我想要为夫君做义工香囊，能帮我采几朵花吗？)</t>
    <phoneticPr fontId="6" type="noConversion"/>
  </si>
  <si>
    <t>body(   荷花清香，磨成花粉末，可以做香囊。)</t>
    <phoneticPr fontId="6" type="noConversion"/>
  </si>
  <si>
    <t>body(   我夫君出远门了。最近有一群蛮夷之徒一直来乔家庄骚扰我。)</t>
    <phoneticPr fontId="6" type="noConversion"/>
  </si>
  <si>
    <t>&lt;n effect=4 font=2 color=White scolor=Turp&gt;大乔需要几朵花做香囊&lt;/n&gt;</t>
    <phoneticPr fontId="6" type="noConversion"/>
  </si>
  <si>
    <t>&lt;n effect=4 font=2 color=White scolor=Turp&gt;打败一直骚扰大乔的蛮夷之徒&lt;/n&gt;</t>
    <phoneticPr fontId="6" type="noConversion"/>
  </si>
  <si>
    <t>body(   多谢大人帮忙。)</t>
    <phoneticPr fontId="6" type="noConversion"/>
  </si>
  <si>
    <t>黄夫人</t>
  </si>
  <si>
    <t>title( [40级]探望)
body(hotyellow_3(任务进程:)newline()
   去找goto(516,6)。
blankline()hotyellow_3(任务描述:)newline() 
  我跟子恒相识已久，本来我等着他来娶我，结果等了好久好久他还是没有来。所以，只得听从父母之命嫁人了。)</t>
    <phoneticPr fontId="6" type="noConversion"/>
  </si>
  <si>
    <t>[37级]神将之力</t>
    <phoneticPr fontId="6" type="noConversion"/>
  </si>
  <si>
    <t>title( [37级]神将之力)
body(hotyellow_3(任务进程:)newline()
   去找goto(501,2)。
blankline()hotyellow_3(任务描述:)newline() 
  哼，张角这家伙，修改各种歪门邪术，如今凤城发生的事情，十之八九是他做的。)</t>
    <phoneticPr fontId="6" type="noConversion"/>
  </si>
  <si>
    <t>title([41级]百合)
body(hotyellow_3(任务进程:)newline()
   采集goto(2018,6)后，回复goto(511,6)。
blankline()hotyellow_3(任务描述:)newline() 
  能帮我送一束百合花给小甄吗？总有一天，我们会在一起的。)</t>
    <phoneticPr fontId="6" type="noConversion"/>
  </si>
  <si>
    <t>&lt;n effect=4 font=2 color=White scolor=Turp&gt;封印的神兵已经等待你很久了&lt;/n&gt;</t>
    <phoneticPr fontId="6" type="noConversion"/>
  </si>
  <si>
    <t>&lt;n effect=4 font=2 color=White scolor=Turp&gt;传送仙子将送你到目的地。&lt;/n&gt;</t>
    <phoneticPr fontId="6" type="noConversion"/>
  </si>
  <si>
    <t>&lt;n effect=4 font=2 color=White scolor=Turp&gt;去拜访水镜先生&lt;/n&gt;</t>
    <phoneticPr fontId="6" type="noConversion"/>
  </si>
  <si>
    <t>消灭那些琴姬了吗？</t>
    <phoneticPr fontId="6" type="noConversion"/>
  </si>
  <si>
    <t>&lt;n effect=4 font=2 color=White scolor=Turp&gt;帮助琉璃姑娘击败魔化琴姬&lt;/n&gt;</t>
    <phoneticPr fontId="14" type="noConversion"/>
  </si>
  <si>
    <t>&lt;n effect=4 font=2 color=White scolor=Turp&gt;那些魔化琴姬有点古怪&lt;/n&gt;</t>
    <phoneticPr fontId="6" type="noConversion"/>
  </si>
  <si>
    <t>&lt;n effect=4 font=2 color=White scolor=Turp&gt;追击那些逃出来的琴姬&lt;/n&gt;</t>
    <phoneticPr fontId="14" type="noConversion"/>
  </si>
  <si>
    <t>&lt;n effect=4 font=2 color=White scolor=Turp&gt;水镜先生居然拒绝琉璃的告白&lt;/n&gt;</t>
    <phoneticPr fontId="6" type="noConversion"/>
  </si>
  <si>
    <t>&lt;n effect=4 font=2 color=White scolor=Turp&gt;帮助吕布灵魂合一，回复记忆&lt;/n&gt;</t>
    <phoneticPr fontId="6" type="noConversion"/>
  </si>
  <si>
    <t>&lt;n effect=4 font=2 color=White scolor=Turp&gt;据说那些水草会吃人&lt;/n</t>
    <phoneticPr fontId="14" type="noConversion"/>
  </si>
  <si>
    <t>&lt;n effect=4 font=2 color=White scolor=Turp&gt;护送兵粮，去找凤城城主&lt;/n&gt;</t>
    <phoneticPr fontId="6" type="noConversion"/>
  </si>
  <si>
    <t>&lt;n effect=4 font=2 color=White scolor=Turp&gt;回答青青刁钻的问题。&lt;/n&gt;</t>
    <phoneticPr fontId="6" type="noConversion"/>
  </si>
  <si>
    <t>&lt;n effect=4 font=2 color=White scolor=Turp&gt;仓库商人误把赝品当宝物&lt;/n&gt;</t>
    <phoneticPr fontId="6" type="noConversion"/>
  </si>
  <si>
    <t>&lt;n effect=4 font=2 color=White scolor=Turp&gt;神猴故意把假物给了仓库商人&lt;/n&gt;</t>
    <phoneticPr fontId="14" type="noConversion"/>
  </si>
  <si>
    <t>&lt;n effect=4 font=2 color=White scolor=Turp&gt;城主要授予你从九品上官职&lt;/n&gt;</t>
    <phoneticPr fontId="6" type="noConversion"/>
  </si>
  <si>
    <t>&lt;n effect=4 font=2 color=White scolor=Turp&gt;赵云真是世间最迷人的男子&lt;/n&gt;</t>
    <phoneticPr fontId="6" type="noConversion"/>
  </si>
  <si>
    <t>&lt;n effect=4 font=2 color=White scolor=Turp&gt;前面出现了奇怪的鱼怪&lt;/n&gt;</t>
    <phoneticPr fontId="14" type="noConversion"/>
  </si>
  <si>
    <t>&lt;n effect=4 font=2 color=White scolor=Turp&gt;那些鱼怪可能跟黄巾军有关&lt;/n&gt;</t>
    <phoneticPr fontId="14" type="noConversion"/>
  </si>
  <si>
    <t>&lt;n effect=4 font=2 color=White scolor=Turp&gt;告诉城主，做好凤城守卫&lt;/n&gt;</t>
    <phoneticPr fontId="6" type="noConversion"/>
  </si>
  <si>
    <t>title( [34级]诡术)
body(hotyellow_3(任务进程:)newline()
   击败goto(10004,2)后，去找goto(509,2)。
blankline()hotyellow_3(任务描述:)newline() 
  我记得黄巾军有一种咒法，撒豆成兵。把鱼变成鱼怪，可能与他们有关。)</t>
    <phoneticPr fontId="6" type="noConversion"/>
  </si>
  <si>
    <t>body(   此处正式用人之际)</t>
    <phoneticPr fontId="6" type="noConversion"/>
  </si>
  <si>
    <t>&lt;n effect=4 font=2 color=White scolor=Turp&gt;前往三国战场&lt;/n&gt;</t>
    <phoneticPr fontId="6" type="noConversion"/>
  </si>
  <si>
    <t>魏·刺史</t>
    <phoneticPr fontId="14" type="noConversion"/>
  </si>
  <si>
    <t>蜀·刺史</t>
    <phoneticPr fontId="14" type="noConversion"/>
  </si>
  <si>
    <t>吴·刺史</t>
    <phoneticPr fontId="14" type="noConversion"/>
  </si>
  <si>
    <t xml:space="preserve">   镖车再不到，就不得不撤离这里了。</t>
  </si>
  <si>
    <t>&lt;n effect=4 font=2 color=White scolor=Turp&gt;前往三国战场&lt;/n&gt;</t>
    <phoneticPr fontId="6" type="noConversion"/>
  </si>
  <si>
    <t>[59级]惊变</t>
    <phoneticPr fontId="6" type="noConversion"/>
  </si>
  <si>
    <t>title( [59级]惊变)
body(hotyellow_3(任务进程:)newline()
   去找goto(525,4)。
blankline()hotyellow_3(任务描述:)newline() 
  快去报告孙策大人这个山洞的情况。)</t>
    <phoneticPr fontId="6" type="noConversion"/>
  </si>
  <si>
    <t>body(    快去报告孙策大人这个山洞的情况。)</t>
    <phoneticPr fontId="6" type="noConversion"/>
  </si>
  <si>
    <t>body(   真是诡异的山洞。)</t>
    <phoneticPr fontId="6" type="noConversion"/>
  </si>
  <si>
    <t>title( [60级]噩耗)
body(hotyellow_3(任务进程:)newline()
   去找goto(523,4)。
blankline()hotyellow_3(任务描述:)newline() 
  孙策不幸殒命，把这个消息告诉大乔。)</t>
    <phoneticPr fontId="6" type="noConversion"/>
  </si>
  <si>
    <t>[61级]黄夫人</t>
    <phoneticPr fontId="6" type="noConversion"/>
  </si>
  <si>
    <t>&lt;n effect=4 font=2 color=White scolor=Turp&gt;山洞口，处处透着诡异&lt;/n&gt;</t>
    <phoneticPr fontId="6" type="noConversion"/>
  </si>
  <si>
    <t>&lt;n effect=4 font=2 color=White scolor=Turp&gt;告诉孙策大人，诡异的山洞&lt;/n&gt;</t>
    <phoneticPr fontId="6" type="noConversion"/>
  </si>
  <si>
    <t>&lt;n effect=4 font=2 color=White scolor=Turp&gt;大乔誓为孙策报仇&lt;/n&gt;</t>
    <phoneticPr fontId="6" type="noConversion"/>
  </si>
  <si>
    <t>body(   不知阁下找我何事？)</t>
    <phoneticPr fontId="6" type="noConversion"/>
  </si>
  <si>
    <t>body(    伯符……)</t>
    <phoneticPr fontId="6" type="noConversion"/>
  </si>
  <si>
    <t>&lt;n effect=4 font=2 color=White scolor=Turp&gt;那些士兵，仿佛僵尸一样&lt;/n&gt;</t>
    <phoneticPr fontId="6" type="noConversion"/>
  </si>
  <si>
    <t>body(   报仇是我唯一活着的原因！)</t>
    <phoneticPr fontId="6" type="noConversion"/>
  </si>
  <si>
    <t>&lt;n effect=4 font=2 color=White scolor=Turp&gt;城门守将急需你的帮助&lt;/n&gt;</t>
    <phoneticPr fontId="6" type="noConversion"/>
  </si>
  <si>
    <t>&lt;n effect=4 font=2 color=White scolor=Turp&gt;偃刀叛将被张角操控了&lt;/n&gt;</t>
    <phoneticPr fontId="14" type="noConversion"/>
  </si>
  <si>
    <t>&lt;n effect=4 font=2 color=White scolor=Turp&gt;必须及时制止张角的作恶&lt;/n&gt;</t>
    <phoneticPr fontId="6" type="noConversion"/>
  </si>
  <si>
    <t>&lt;n effect=4 font=2 color=White scolor=Turp&gt;查看酒瓶&lt;/n&gt;</t>
    <phoneticPr fontId="14" type="noConversion"/>
  </si>
  <si>
    <t>&lt;n effect=4 font=2 color=White scolor=Turp&gt;把这里的情况汇报城主&lt;/n&gt;</t>
    <phoneticPr fontId="6" type="noConversion"/>
  </si>
  <si>
    <t>&lt;n effect=4 font=2 color=White scolor=Turp&gt;天理昭昭，自有定数&lt;/n&gt;</t>
    <phoneticPr fontId="6" type="noConversion"/>
  </si>
  <si>
    <t>&lt;n effect=4 font=2 color=White scolor=Turp&gt;想娶我，下辈子赶早！&lt;/n&gt;</t>
    <phoneticPr fontId="6" type="noConversion"/>
  </si>
  <si>
    <t>&lt;n effect=4 font=2 color=White scolor=Turp&gt;神医华佗能让人忘记烦恼吗&lt;/n&gt;</t>
    <phoneticPr fontId="6" type="noConversion"/>
  </si>
  <si>
    <t>&lt;n effect=4 font=2 color=White scolor=Turp&gt;告诉华佗，查看的结果&lt;/n&gt;</t>
    <phoneticPr fontId="6" type="noConversion"/>
  </si>
  <si>
    <t>&lt;n effect=4 font=2 color=White scolor=Turp&gt;拜访名士嵇康&lt;/n&gt;</t>
    <phoneticPr fontId="6" type="noConversion"/>
  </si>
  <si>
    <t>&lt;n effect=4 font=2 color=White scolor=Turp&gt;世间竟有如此潇洒不羁的人&lt;/n&gt;</t>
    <phoneticPr fontId="6" type="noConversion"/>
  </si>
  <si>
    <t>&lt;n effect=4 font=2 color=White scolor=Turp&gt;乱葬岗上有一个不肯轮回的鬼魂&lt;/n&gt;</t>
    <phoneticPr fontId="6" type="noConversion"/>
  </si>
  <si>
    <t>&lt;n effect=4 font=2 color=White scolor=Turp&gt;吕布诉说与貂蝉离别的情景&lt;/n&gt;</t>
    <phoneticPr fontId="6" type="noConversion"/>
  </si>
  <si>
    <t>&lt;n effect=4 font=2 color=White scolor=Turp&gt;应龙乃天界上神，也许知道貂蝉近况&lt;/n&gt;</t>
    <phoneticPr fontId="6" type="noConversion"/>
  </si>
  <si>
    <t>&lt;n effect=4 font=2 color=White scolor=Turp&gt;原来吕布乃神将转世&lt;/n&gt;</t>
    <phoneticPr fontId="6" type="noConversion"/>
  </si>
  <si>
    <t>&lt;n effect=4 font=2 color=White scolor=Turp&gt;应龙有办法助吕布觉醒神力&lt;/n&gt;</t>
    <phoneticPr fontId="6" type="noConversion"/>
  </si>
  <si>
    <t>&lt;n effect=4 font=2 color=White scolor=Turp&gt;告诉貂蝉吕布的情况&lt;/n&gt;</t>
    <phoneticPr fontId="6" type="noConversion"/>
  </si>
  <si>
    <t>&lt;n effect=4 font=2 color=White scolor=Turp&gt;带貂蝉去见吕布&lt;/n&gt;</t>
    <phoneticPr fontId="6" type="noConversion"/>
  </si>
  <si>
    <t>body(   自古多情空余恨，此恨绵绵无绝期。)</t>
    <phoneticPr fontId="6" type="noConversion"/>
  </si>
  <si>
    <t>&lt;n effect=4 font=2 color=White scolor=Turp&gt;自古多情空余恨，此恨绵绵无绝期&lt;/n&gt;</t>
    <phoneticPr fontId="6" type="noConversion"/>
  </si>
  <si>
    <t>&lt;n effect=4 font=2 color=White scolor=Turp&gt;是非成败转头空&lt;/n&gt;</t>
    <phoneticPr fontId="6" type="noConversion"/>
  </si>
  <si>
    <t>&lt;n effect=4 font=2 color=White scolor=Turp&gt;世间居然有人能活数百岁&lt;/n&gt;</t>
    <phoneticPr fontId="6" type="noConversion"/>
  </si>
  <si>
    <t>&lt;n effect=4 font=2 color=White scolor=Turp&gt;悬崖边上的灵果能延年益寿&lt;/n&gt;</t>
    <phoneticPr fontId="6" type="noConversion"/>
  </si>
  <si>
    <t>&lt;n effect=4 font=2 color=White scolor=Turp&gt;帝君诛杀功臣，宠信小人&lt;/n&gt;</t>
    <phoneticPr fontId="6" type="noConversion"/>
  </si>
  <si>
    <t>&lt;n effect=4 font=2 color=White scolor=Turp&gt;打开宝箱&lt;/n&gt;</t>
    <phoneticPr fontId="6" type="noConversion"/>
  </si>
  <si>
    <t>&lt;n effect=4 font=2 color=White scolor=Turp&gt;张角之死，只是乱世的开端&lt;/n&gt;</t>
    <phoneticPr fontId="6" type="noConversion"/>
  </si>
  <si>
    <t>&lt;n effect=4 font=2 color=White scolor=Turp&gt;去虎牢查看军情&lt;/n&gt;</t>
    <phoneticPr fontId="6" type="noConversion"/>
  </si>
  <si>
    <t>&lt;n effect=4 font=2 color=White scolor=Turp&gt;去乔家庄访问民情&lt;/n&gt;</t>
    <phoneticPr fontId="6" type="noConversion"/>
  </si>
  <si>
    <t>&lt;n effect=4 font=2 color=White scolor=Turp&gt;捕捉那些捣乱的鬼怪&lt;/n&gt;</t>
    <phoneticPr fontId="6" type="noConversion"/>
  </si>
  <si>
    <t>&lt;n effect=4 font=2 color=White scolor=Turp&gt;乔家庄有两大美人，大乔和小乔&lt;/n&gt;</t>
    <phoneticPr fontId="6" type="noConversion"/>
  </si>
  <si>
    <t>&lt;n effect=4 font=2 color=White scolor=Turp&gt;帮初一采集马蹄莲给大乔&lt;/n&gt;</t>
    <phoneticPr fontId="6" type="noConversion"/>
  </si>
  <si>
    <t>&lt;n effect=4 font=2 color=White scolor=Turp&gt;没有建功立业，无颜见大乔&lt;/n&gt;</t>
    <phoneticPr fontId="6" type="noConversion"/>
  </si>
  <si>
    <t>&lt;n effect=4 font=2 color=White scolor=Turp&gt;传说圣果能激发人的潜力&lt;/n&gt;</t>
    <phoneticPr fontId="6" type="noConversion"/>
  </si>
  <si>
    <t>&lt;n effect=4 font=2 color=White scolor=Turp&gt;收集士兵通敌的拯救&lt;/n&gt;</t>
    <phoneticPr fontId="6" type="noConversion"/>
  </si>
  <si>
    <t>&lt;n effect=4 font=2 color=White scolor=Turp&gt;伪装成叛徒，与探子对话&lt;/n&gt;</t>
    <phoneticPr fontId="6" type="noConversion"/>
  </si>
  <si>
    <t>&lt;n effect=4 font=2 color=White scolor=Turp&gt;我若怕你，非孙伯符也&lt;/n&gt;</t>
    <phoneticPr fontId="6" type="noConversion"/>
  </si>
  <si>
    <t>&lt;n effect=4 font=2 color=White scolor=Turp&gt;击杀埋伏的敌人&lt;/n&gt;</t>
    <phoneticPr fontId="6" type="noConversion"/>
  </si>
  <si>
    <t>侍剑</t>
    <phoneticPr fontId="6" type="noConversion"/>
  </si>
  <si>
    <t>&lt;p&gt;
&lt;n&gt;  找：&lt;/n&gt;
 &lt;n&gt; &lt;/n&gt;&lt;goto quick="1" id="596" mapid="1" flagpoint="1" taskid="6002" /&gt;
&lt;/p&gt;</t>
    <phoneticPr fontId="6" type="noConversion"/>
  </si>
  <si>
    <t>&lt;p&gt;
&lt;n&gt;  交：&lt;/n&gt;
 &lt;n&gt; &lt;/n&gt;&lt;goto quick="1" id="596" mapid="1" flagpoint="1" taskid="6002"/&gt;&lt;/p&gt;</t>
    <phoneticPr fontId="6" type="noConversion"/>
  </si>
  <si>
    <t>&lt;p&gt;
&lt;n&gt;  找：&lt;/n&gt;
 &lt;n&gt; &lt;/n&gt;&lt;goto quick="1" id="596" mapid="1" flagpoint="1" taskid="7000" /&gt;
&lt;/p&gt;</t>
    <phoneticPr fontId="6" type="noConversion"/>
  </si>
  <si>
    <t>&lt;p&gt;
&lt;n&gt;  交：&lt;/n&gt;
 &lt;n&gt; &lt;/n&gt;&lt;goto quick="1" id="596" mapid="1" flagpoint="1" taskid="7000"/&gt;&lt;/p&gt;</t>
    <phoneticPr fontId="6" type="noConversion"/>
  </si>
  <si>
    <t>&lt;p&gt;
&lt;n&gt;  找：&lt;/n&gt;
 &lt;n&gt; &lt;/n&gt;&lt;goto quick="1" id="596" mapid="1" flagpoint="1" taskid="7001" /&gt;
&lt;/p&gt;</t>
    <phoneticPr fontId="6" type="noConversion"/>
  </si>
  <si>
    <t>&lt;p&gt;
&lt;n&gt;  交：&lt;/n&gt;
 &lt;n&gt; &lt;/n&gt;&lt;goto quick="1" id="596" mapid="1" flagpoint="1" taskid="7001"/&gt;&lt;/p&gt;</t>
    <phoneticPr fontId="6" type="noConversion"/>
  </si>
  <si>
    <t>&lt;p&gt;
&lt;n&gt;  找：&lt;/n&gt;
 &lt;n&gt; &lt;/n&gt;&lt;goto quick="1" id="596" mapid="1" flagpoint="1" taskid="7002" /&gt;
&lt;/p&gt;</t>
    <phoneticPr fontId="6" type="noConversion"/>
  </si>
  <si>
    <t>&lt;p&gt;
&lt;n&gt;  交：&lt;/n&gt;
 &lt;n&gt; &lt;/n&gt;&lt;goto quick="1" id="596" mapid="1" flagpoint="1" taskid="7002"/&gt;&lt;/p&gt;</t>
    <phoneticPr fontId="6" type="noConversion"/>
  </si>
  <si>
    <t>&lt;p&gt;
&lt;n&gt;  找：&lt;/n&gt;
 &lt;n&gt; &lt;/n&gt;&lt;goto quick="1" id="596" mapid="1" flagpoint="1" taskid="6006" /&gt;
&lt;/p&gt;</t>
    <phoneticPr fontId="6" type="noConversion"/>
  </si>
  <si>
    <t>&lt;p&gt;
&lt;n&gt;  交：&lt;/n&gt;
 &lt;n&gt; &lt;/n&gt;&lt;goto quick="1" id="596" mapid="1" flagpoint="1" taskid="6006"/&gt;&lt;/p&gt;</t>
    <phoneticPr fontId="6" type="noConversion"/>
  </si>
  <si>
    <t>body(  我已经等待你很久了，神将大人！)</t>
    <phoneticPr fontId="6" type="noConversion"/>
  </si>
  <si>
    <t>body(   神兵已经等待新的主人很久了。)</t>
    <phoneticPr fontId="6" type="noConversion"/>
  </si>
  <si>
    <t>body(    神兵已经等待新的主人很久了。)</t>
    <phoneticPr fontId="6" type="noConversion"/>
  </si>
  <si>
    <t>body(  神兵当饮血，光寒五十州！斩尽狼烟，才不负匠心啊！)</t>
    <phoneticPr fontId="6" type="noConversion"/>
  </si>
  <si>
    <t>&lt;n effect=4 font=2 color=White scolor=Turp&gt;询问刀客金甲神破封印的真相&lt;/n&gt;</t>
    <phoneticPr fontId="14" type="noConversion"/>
  </si>
  <si>
    <t>&lt;n effect=4 font=2 color=White scolor=Turp&gt;十年生死两茫茫，不思量&lt;/n&gt;</t>
    <phoneticPr fontId="14" type="noConversion"/>
  </si>
  <si>
    <t>&lt;n effect=4 font=2 color=White scolor=Turp&gt;人中吕布，马中赤兔&lt;/n&gt;</t>
    <phoneticPr fontId="6" type="noConversion"/>
  </si>
  <si>
    <t>&lt;n effect=4 font=2 color=White scolor=Turp&gt;点燃干柴，熏出船上的琴姬&lt;/n&gt;</t>
    <phoneticPr fontId="14" type="noConversion"/>
  </si>
  <si>
    <t>&lt;n effect=4 font=2 color=White scolor=Turp&gt;一遇到琉璃就紧张&lt;/n&gt;</t>
    <phoneticPr fontId="6" type="noConversion"/>
  </si>
  <si>
    <t>&lt;n effect=4 font=2 color=White scolor=Turp&gt;询问水镜先生，水草吃人原因&lt;/n&gt;</t>
    <phoneticPr fontId="6" type="noConversion"/>
  </si>
  <si>
    <t>&lt;n effect=4 font=2 color=White scolor=Turp&gt;通过合成，提升装备品质&lt;/n&gt;</t>
    <phoneticPr fontId="6" type="noConversion"/>
  </si>
  <si>
    <t>&lt;n effect=4 font=2 color=White scolor=Turp&gt;仓库商人处可储存东西&lt;/n&gt;</t>
    <phoneticPr fontId="6" type="noConversion"/>
  </si>
  <si>
    <t>&lt;n effect=4 font=2 color=White scolor=Turp&gt;飞星逐月石蕴藏了神将之力&lt;/n&gt;</t>
    <phoneticPr fontId="6" type="noConversion"/>
  </si>
  <si>
    <t>&lt;n effect=4 font=2 color=White scolor=Turp&gt;凤城正在广纳贤才&lt;/n&gt;</t>
    <phoneticPr fontId="6" type="noConversion"/>
  </si>
  <si>
    <t>&lt;n effect=4 font=2 color=White scolor=Turp&gt;素素失踪了，可能遇到危险&lt;/n&gt;</t>
    <phoneticPr fontId="14" type="noConversion"/>
  </si>
  <si>
    <t>&lt;n effect=4 font=2 color=White scolor=Turp&gt;武器升星，可以提升战力&lt;/n&gt;</t>
    <phoneticPr fontId="6" type="noConversion"/>
  </si>
  <si>
    <t>&lt;n effect=4 font=2 color=White scolor=Turp&gt;赵云义正言辞的拒绝了素素&lt;/n&gt;</t>
    <phoneticPr fontId="14" type="noConversion"/>
  </si>
  <si>
    <t>&lt;n effect=4 font=2 color=White scolor=Turp&gt;那些方锤鬼将被人操控了&lt;/n&gt;</t>
    <phoneticPr fontId="14" type="noConversion"/>
  </si>
  <si>
    <t>&lt;n effect=4 font=2 color=White scolor=Turp&gt;据说北斗有死回生的丹药&lt;/n&gt;</t>
    <phoneticPr fontId="6" type="noConversion"/>
  </si>
  <si>
    <t>&lt;n effect=4 font=2 color=White scolor=Turp&gt;张角修行邪术，想唤醒神力&lt;/n&gt;</t>
    <phoneticPr fontId="6" type="noConversion"/>
  </si>
  <si>
    <t>&lt;n effect=4 font=2 color=White scolor=Turp&gt;黄巾军居然敢劫持军粮&lt;/n&gt;</t>
    <phoneticPr fontId="6" type="noConversion"/>
  </si>
  <si>
    <t>[10级]坐骑进阶</t>
    <phoneticPr fontId="6" type="noConversion"/>
  </si>
  <si>
    <t>body(  这些坐骑进阶丹是那些琴姬掉的吧。)</t>
    <phoneticPr fontId="6" type="noConversion"/>
  </si>
  <si>
    <t>body(   此讨伐令是在凡界修行的妙品，可以增加大量修为，但是每日只能使用5个，希望慎用。)</t>
    <phoneticPr fontId="6" type="noConversion"/>
  </si>
  <si>
    <t>押镖令</t>
    <phoneticPr fontId="6" type="noConversion"/>
  </si>
  <si>
    <t>body(   有一天我在放牧，看到有一伙盗贼抢劫军资，幸亏孙策击退了他们。把这些物资押送给押镖令吧。)</t>
    <phoneticPr fontId="6" type="noConversion"/>
  </si>
  <si>
    <t>body(   这！这不是1个月前丢失的物资吗？！)</t>
    <phoneticPr fontId="6" type="noConversion"/>
  </si>
  <si>
    <t>&lt;n effect=4 font=2 color=White scolor=Turp&gt;把丢失的物资运送至押镖令&lt;/n&gt;</t>
    <phoneticPr fontId="6" type="noConversion"/>
  </si>
  <si>
    <t>body(  如今天下呈三足鼎立之势。三国战场却是平时冲突最激烈的地方。那里正缺大人这样的人才。)</t>
    <phoneticPr fontId="6" type="noConversion"/>
  </si>
  <si>
    <t>&lt;n effect=4 font=2 color=White scolor=Turp&gt;把丢失的藏书送还墨缺&lt;/n&gt;</t>
    <phoneticPr fontId="6" type="noConversion"/>
  </si>
  <si>
    <t>&lt;p&gt;
&lt;n&gt;  交：&lt;/n&gt;
 &lt;n&gt; &lt;/n&gt;&lt;goto quick="1" id="542" mapid="2" flagpoint="1" taskid="6256"/&gt;&lt;/p&gt;</t>
    <phoneticPr fontId="6" type="noConversion"/>
  </si>
  <si>
    <t>body(   呵呵，举手之劳而已。)</t>
    <phoneticPr fontId="6" type="noConversion"/>
  </si>
  <si>
    <t>[30级]凤城</t>
    <phoneticPr fontId="6" type="noConversion"/>
  </si>
  <si>
    <t>&lt;n effect=4 font=2 color=White scolor=Turp&gt;蚩尤正在寻找转世的神将&lt;/n&gt;</t>
    <phoneticPr fontId="6" type="noConversion"/>
  </si>
  <si>
    <t>&lt;n effect=4 font=2 color=White scolor=Turp&gt;大乔想要找初一&lt;/n&gt;</t>
    <phoneticPr fontId="6" type="noConversion"/>
  </si>
  <si>
    <t>&lt;p&gt;
&lt;n&gt;  交：&lt;/n&gt;
 &lt;n&gt; &lt;/n&gt;&lt;goto quick="1" id="595" mapid="7" flagpoint="1" taskid="6329"/&gt;&lt;/p&gt;</t>
    <phoneticPr fontId="6" type="noConversion"/>
  </si>
  <si>
    <t>&lt;n effect=4 font=2 color=White scolor=Turp&gt;去王城外寻找黄夫人&lt;/n&gt;</t>
    <phoneticPr fontId="6" type="noConversion"/>
  </si>
  <si>
    <t>title( [60级]黄夫人)
body(hotyellow_3(任务进程:)newline()
   去找goto(538,5)。
blankline()hotyellow_3(任务描述:)newline() 
  我曾听闻王城之外，有一位黄夫人奇谋百出，算无遗策，算得奇女子。)</t>
    <phoneticPr fontId="6" type="noConversion"/>
  </si>
  <si>
    <t>body(     我曾听闻王城之外，有一位黄夫人奇谋百出，算无遗策，算得奇女子。)</t>
    <phoneticPr fontId="6" type="noConversion"/>
  </si>
  <si>
    <t>&lt;n effect=4 font=2 color=White scolor=Turp&gt;贪狼把你带到了中山王的行宫&lt;/n&gt;</t>
    <phoneticPr fontId="14" type="noConversion"/>
  </si>
  <si>
    <t>body(   如果你肯把飞星追月石给我，我就把你带到中山王行宫寻宝。)</t>
    <phoneticPr fontId="6" type="noConversion"/>
  </si>
  <si>
    <t>[30级]行宫寻宝</t>
    <phoneticPr fontId="6" type="noConversion"/>
  </si>
  <si>
    <t>title( [30级]行宫寻宝)
body(hotyellow_3(任务进程:)newline()
   去找goto(506,2)。
blankline()hotyellow_3(任务描述:)newline() 
   如果你肯把飞星追月石给我，我就把你带到中山王行宫寻宝。)</t>
    <phoneticPr fontId="6" type="noConversion"/>
  </si>
  <si>
    <t>title( [5级]阿狸)
body(hotyellow_3(任务进程:)newline()
   去找goto(60031,1)。
blankline()hotyellow_3(任务描述:)newline() 
   阿狸是司命大人收留的小狐妖。他好像有什么事情需要帮忙。)</t>
    <phoneticPr fontId="6" type="noConversion"/>
  </si>
  <si>
    <t>body(   阿狸心情不好时，会变成狐狸。他现在又变狐狸了，你帮我去看看，她这是怎么了？)</t>
    <phoneticPr fontId="6" type="noConversion"/>
  </si>
  <si>
    <t>&lt;p&gt;
&lt;n&gt;  杀：：&lt;/n&gt;&lt;goto id="60829" mapid="5" flagpoint="1" taskid="15213"/&gt;&lt;newline/&gt;
&lt;n&gt;  回复：&lt;/n&gt;&lt;goto id="60828" mapid="5" flagpoint="1" taskid="15213"/&gt;
&lt;/p&gt;</t>
    <phoneticPr fontId="6" type="noConversion"/>
  </si>
  <si>
    <t>&lt;p&gt;
&lt;n&gt;  消灭200只&lt;/n&gt;
 &lt;n&gt; &lt;/n&gt;&lt;goto id="10079" mapid="6" flagpoint="1" taskid="15011" /&gt;
&lt;/p&gt;</t>
    <phoneticPr fontId="6" type="noConversion"/>
  </si>
  <si>
    <t>title([3级]金甲神)
body(hotyellow_3(任务进程:)newline()
   去找goto(60046,1)。
blankline()hotyellow_3(任务描述:)newline() 
  整个桃源山摇地动，四周一片火光，看来是金甲神的封印被破开了！)</t>
    <phoneticPr fontId="6" type="noConversion"/>
  </si>
  <si>
    <t>&lt;p&gt;
&lt;n&gt;  战胜：&lt;/n&gt;
 &lt;n&gt; &lt;/n&gt;&lt;goto quick="1" id="10105" mapid="1" flagpoint="1" taskid="7011" /&gt;
&lt;/p&gt;</t>
    <phoneticPr fontId="6" type="noConversion"/>
  </si>
  <si>
    <t>&lt;p&gt;
&lt;n&gt;  找：&lt;/n&gt;
 &lt;n&gt; &lt;/n&gt;&lt;goto quick="1" id="60031" mapid="1" flagpoint="1" taskid="6010" /&gt;
&lt;/p&gt;</t>
    <phoneticPr fontId="6" type="noConversion"/>
  </si>
  <si>
    <t>[40级]山寨大营</t>
    <phoneticPr fontId="6" type="noConversion"/>
  </si>
  <si>
    <t>title( [40级]山寨大营)
body(hotyellow_3(任务进程:)newline()
   去找goto(511,6)。
blankline()hotyellow_3(任务描述:)newline() 
  我听说黄巾的山寨大营就在附近，大人可以前往一探。)</t>
    <phoneticPr fontId="6" type="noConversion"/>
  </si>
  <si>
    <t>body( 我听说黄巾的山寨大营就在附近，大人可以前往一探。)</t>
    <phoneticPr fontId="6" type="noConversion"/>
  </si>
  <si>
    <t>body(   想不到他们居然累积了这么多的财宝。)</t>
    <phoneticPr fontId="6" type="noConversion"/>
  </si>
  <si>
    <t>&lt;n effect=4 font=2 color=White scolor=Turp&gt;前往山寨大营一探&lt;/n&gt;</t>
    <phoneticPr fontId="6" type="noConversion"/>
  </si>
  <si>
    <t>&lt;p&gt;
&lt;n&gt;  找：&lt;/n&gt;
 &lt;n&gt; &lt;/n&gt;&lt;goto quick="1" id="511" mapid="6" flagpoint="1" taskid="6258" /&gt;
&lt;/p&gt;</t>
    <phoneticPr fontId="6" type="noConversion"/>
  </si>
  <si>
    <t>&lt;p&gt;
&lt;n&gt;  交：&lt;/n&gt;
 &lt;n&gt; &lt;/n&gt;&lt;goto quick="1" id="511" mapid="6" flagpoint="1" taskid="6258"/&gt;&lt;/p&gt;</t>
    <phoneticPr fontId="6" type="noConversion"/>
  </si>
  <si>
    <t>title( [51级]劫持镖车)
body(hotyellow_3(任务进程:)newline()
   去找goto(521,4)。
blankline()hotyellow_3(任务描述:)newline() 
  最近有一伙盗贼劫持了军用镖车，好像躲在附近的山上了。)</t>
    <phoneticPr fontId="6" type="noConversion"/>
  </si>
  <si>
    <t>body(    最近有一伙盗贼劫持了军用镖车，好像躲在附近的山上了。)</t>
    <phoneticPr fontId="6" type="noConversion"/>
  </si>
  <si>
    <t>body(   大人英明神武！)</t>
    <phoneticPr fontId="6" type="noConversion"/>
  </si>
  <si>
    <t>&lt;n effect=4 font=2 color=White scolor=Turp&gt;抢夺被劫持的镖车&lt;/n&gt;</t>
    <phoneticPr fontId="6" type="noConversion"/>
  </si>
  <si>
    <t>&lt;p&gt;
&lt;n&gt;  交：&lt;/n&gt;
 &lt;n&gt; &lt;/n&gt;&lt;goto quick="1" id="521" mapid="4" flagpoint="1" taskid="6330"/&gt;&lt;/p&gt;</t>
    <phoneticPr fontId="6" type="noConversion"/>
  </si>
  <si>
    <t>body(   十年生死两茫茫，不思量，自难忘。少侠年少有为，这里有夫君生前神力封印之符。也许可以助你一臂之力。)</t>
    <phoneticPr fontId="6" type="noConversion"/>
  </si>
  <si>
    <t>body(   这下，看不把她们熏出来。)</t>
    <phoneticPr fontId="6" type="noConversion"/>
  </si>
  <si>
    <t>"36013-0-1"</t>
    <phoneticPr fontId="6" type="noConversion"/>
  </si>
  <si>
    <t>[60级]噩耗</t>
    <phoneticPr fontId="6" type="noConversion"/>
  </si>
  <si>
    <t>[60级]时空幻境</t>
    <phoneticPr fontId="6" type="noConversion"/>
  </si>
  <si>
    <t>title( [60级]时空幻境)
body(hotyellow_3(任务进程:)newline()
   去找goto(60045,1)。
blankline()hotyellow_3(任务描述:)newline() 
 传闻桃源圣地的司命神可以窥探过去未来。不知道十年之后会如何？)</t>
    <phoneticPr fontId="6" type="noConversion"/>
  </si>
  <si>
    <t>body(    传闻桃源圣地的司命神可以窥探过去未来。不知道十年之后会如何？)</t>
    <phoneticPr fontId="6" type="noConversion"/>
  </si>
  <si>
    <t>body(   我确实有一术法，可以回溯时空。)</t>
    <phoneticPr fontId="6" type="noConversion"/>
  </si>
  <si>
    <t>&lt;n effect=4 font=2 color=White scolor=Turp&gt;司命神能窥探过去未来&lt;/n&gt;</t>
    <phoneticPr fontId="6" type="noConversion"/>
  </si>
  <si>
    <t>[60级]羽翼</t>
    <phoneticPr fontId="6" type="noConversion"/>
  </si>
  <si>
    <t>title( [60级]羽翼)
body(hotyellow_3(任务进程:)newline()
   回复goto(60045,1)。
blankline()hotyellow_3(任务描述:)newline() 
 我用术法带你到10年之后，希望你能找到对付蚩尤的方法。)</t>
    <phoneticPr fontId="6" type="noConversion"/>
  </si>
  <si>
    <t>body(    我用术法带你到10年之后，希望你能找到对付蚩尤的方法。)</t>
    <phoneticPr fontId="6" type="noConversion"/>
  </si>
  <si>
    <t>body(   不过，羽翼确实可以增加非常大的战斗力。)</t>
    <phoneticPr fontId="6" type="noConversion"/>
  </si>
  <si>
    <t>&lt;n effect=4 font=2 color=White scolor=Turp&gt;司命把你带到了十年后&lt;/n&gt;</t>
    <phoneticPr fontId="6" type="noConversion"/>
  </si>
  <si>
    <t>title( [48级]是非成败转头空)
body(hotyellow_3(任务进程:)newline()
   去找goto(514,6)。
blankline()hotyellow_3(任务描述:)newline() 
  是非成败转头空，不如浊酒一壶，赏山间明月。)</t>
    <phoneticPr fontId="6" type="noConversion"/>
  </si>
  <si>
    <t>title( [50级]宝物)
body(hotyellow_3(任务进程:)newline()
   操作goto(2030,6)后，回复goto(514,6)。
blankline()hotyellow_3(任务描述:)newline() 
  你本也是天上的神将，想不到转世灵力尽被封住。夷陵山间有一宝物，对你修行大有益处。)</t>
    <phoneticPr fontId="6" type="noConversion"/>
  </si>
  <si>
    <t>title( [56级]初一)
body(hotyellow_3(任务进程:)newline()
   去找goto(524,4)。
blankline()hotyellow_3(任务描述:)newline() 
  你来的时候有看到初一吗？)</t>
    <phoneticPr fontId="6" type="noConversion"/>
  </si>
  <si>
    <t>title( [56级]龙果)
body(hotyellow_3(任务进程:)newline()
   采集goto(2034,4)后，去找goto(526,4)。
blankline()hotyellow_3(任务描述:)newline() 
  子义与那群怪物打了很久了，恐怕体力不支。我在河畔看到几枚圣果hot(龙果)，可以激发人的潜力。)</t>
    <phoneticPr fontId="6" type="noConversion"/>
  </si>
  <si>
    <t>title( [57级]内应)
body(hotyellow_3(任务进程:)newline()
   去找goto(528,4)。
blankline()hotyellow_3(任务描述:)newline() 
  你既然有他的信，相信也是自己人。此行，一定要杀掉孙策。)</t>
    <phoneticPr fontId="6" type="noConversion"/>
  </si>
  <si>
    <t>[日常]讨伐令</t>
  </si>
  <si>
    <t>&lt;n effect=4 font=2 color=White scolor=Turp&gt;桃源仙子教你给神兵开锋&lt;/n&gt;</t>
    <phoneticPr fontId="6" type="noConversion"/>
  </si>
  <si>
    <t>{{27100,0,20,1,"1-1"}}</t>
    <phoneticPr fontId="6" type="noConversion"/>
  </si>
  <si>
    <t>{{27108,0,20,0,"1-1"}}</t>
    <phoneticPr fontId="6" type="noConversion"/>
  </si>
  <si>
    <t>{{26999,0,10,0,"1-1"}}</t>
    <phoneticPr fontId="6" type="noConversion"/>
  </si>
  <si>
    <t>{{27100,0,10,1,"1-1"}}</t>
    <phoneticPr fontId="6" type="noConversion"/>
  </si>
  <si>
    <t>{{31166,0,10,0,"1-1"}}</t>
    <phoneticPr fontId="6" type="noConversion"/>
  </si>
  <si>
    <t>{{27108,0,20,0,"1-1"}}</t>
    <phoneticPr fontId="6" type="noConversion"/>
  </si>
  <si>
    <t>{{27100,0,10,1,"1-1"}}</t>
    <phoneticPr fontId="6" type="noConversion"/>
  </si>
  <si>
    <t>{{13100,0,1,1,"1-1,7-3"}}</t>
  </si>
  <si>
    <t>{{13200,0,1,1,"1-1,7-3"}}</t>
  </si>
  <si>
    <t>{{14100,3,1,1,"1-1,7-1"},{1000,3,1,1,"1-1,7-2"}}</t>
  </si>
  <si>
    <t>{{14100,3,1,1,"1-1,7-1"},{2000,3,1,1,"1-1,7-2"}}</t>
  </si>
  <si>
    <t>{{14100,3,1,1,"1-1,7-1"},{3000,3,1,1,"1-1,7-2"}}</t>
  </si>
  <si>
    <t>{{14100,3,1,1,"1-1,7-1"},{4000,3,1,1,"1-1,7-2"}}</t>
  </si>
  <si>
    <t>{{14100,3,1,1,"1-1,7-1"},{5000,3,1,1,"1-1,7-2"}}</t>
  </si>
  <si>
    <t>{{14100,3,1,1,"1-1,7-1"},{6000,3,1,1,"1-1,7-2"}}</t>
  </si>
  <si>
    <t>{{16200,0,1,1,"1-1,7-1"}}</t>
  </si>
  <si>
    <t>{{12100,0,1,1,"1-1,7-1"}}</t>
  </si>
  <si>
    <t>{{12200,0,1,1,"1-1,7-1"}}</t>
  </si>
  <si>
    <t>{{15100,0,1,1,"1-1,7-1"}}</t>
  </si>
  <si>
    <t>{{17101,3,1,1,"1-1,7-2"}}</t>
  </si>
  <si>
    <t>{{1001,0,1,2,"1-1,7-2"}}</t>
  </si>
  <si>
    <t>{{2001,0,1,2,"1-1,7-2"}}</t>
  </si>
  <si>
    <t>{{3001,0,1,2,"1-1,7-2"}}</t>
  </si>
  <si>
    <t>{{4001,0,1,2,"1-1,7-2"}}</t>
  </si>
  <si>
    <t>{{5001,0,1,2,"1-1,7-2"}}</t>
  </si>
  <si>
    <t>{{6001,0,1,2,"1-1,7-2"}}</t>
  </si>
  <si>
    <t>{{13101,0,1,2,"1-1,7-1"},{13101,0,1,2,"1-1,7-1"}}</t>
  </si>
  <si>
    <t>{{13201,0,1,2,"1-1,7-1"},{13201,0,1,2,"1-1,7-1"}}</t>
  </si>
  <si>
    <t>{{11101,0,1,2,"1-1,7-2"}}</t>
  </si>
  <si>
    <t>{{11201,0,1,2,"1-1,7-2"}}</t>
  </si>
  <si>
    <t>{{16101,0,1,1,"1-1,7-2"}}</t>
  </si>
  <si>
    <t>{{13102,0,1,2,"1-1,7-2"}}</t>
  </si>
  <si>
    <t>{{13202,0,1,2,"1-1,7-2"}}</t>
  </si>
  <si>
    <t>{{18102,0,1,2,"1-1,7-3"}}</t>
  </si>
  <si>
    <t>{{12102,0,1,2,"1-1,7-2"}}</t>
  </si>
  <si>
    <t>{{12202,0,1,2,"1-1,7-2"}}</t>
  </si>
  <si>
    <t>{{17102,0,1,2,"1-1,7-3"},{17202,0,1,2,"1-1,7-3"}}</t>
  </si>
  <si>
    <t>{{31167,0,1,0,""},{19102,0,1,2,"1-1,7-2"}}</t>
  </si>
  <si>
    <t>{{11102,0,1,2,"1-1,7-2"}}</t>
  </si>
  <si>
    <t>{{11202,0,1,2,"1-1,7-2"}}</t>
  </si>
  <si>
    <t>{{17103,0,1,2,"1-1,7-3"},{17203,0,1,2,"1-1,7-3"}}</t>
  </si>
  <si>
    <t>{{13103,0,1,2,"1-1,7-3"}}</t>
  </si>
  <si>
    <t>{{13203,0,1,2,"1-1,7-3"}}</t>
  </si>
  <si>
    <t>{{14103,0,1,2,"1-1,7-3"}}</t>
  </si>
  <si>
    <t>{{29026,0,20,0,"1-1"},{16203,0,1,2,"1-1,7-3"}}</t>
  </si>
  <si>
    <t>{{17104,0,1,2,"1-1,7-3"},{17204,0,1,2,"1-1,7-3"}}</t>
  </si>
  <si>
    <t>{{13104,0,1,2,"1-1,7-3"}}</t>
  </si>
  <si>
    <t>{{13204,0,1,2,"1-1,7-3"}}</t>
  </si>
  <si>
    <t>{{19104,0,1,2,"1-1,7-3"}}</t>
  </si>
  <si>
    <t>{{29026,0,10,0,"1-1"},{15204,0,1,2,"1-1,7-3"}}</t>
  </si>
  <si>
    <t>{{11104,0,1,2,"1-1,7-3"}}</t>
  </si>
  <si>
    <t>{{11204,0,1,2,"1-1,7-3"}}</t>
  </si>
  <si>
    <t>{{12105,0,1,2,"1-1,7-3"}}</t>
  </si>
  <si>
    <t>{{12205,0,1,2,"1-1,7-3"}}</t>
  </si>
  <si>
    <t>{{26999,0,15,0,"1-1"}}</t>
    <phoneticPr fontId="6" type="noConversion"/>
  </si>
  <si>
    <t>[38级]酒瓶</t>
    <phoneticPr fontId="6" type="noConversion"/>
  </si>
  <si>
    <t>title( [38级]酒瓶)
body(hotyellow_3(任务进程:)newline()
   拿到goto(2017,2)后，回复goto(507,2)。
blankline()hotyellow_3(任务描述:)newline() 
  物资车被劫之后，我在驿站附近发现一些空的酒瓶。)</t>
    <phoneticPr fontId="6" type="noConversion"/>
  </si>
  <si>
    <t>&lt;n effect=4 font=2 color=White scolor=Turp&gt;帮助吕布灵魂合一，恢复记忆&lt;/n&gt;</t>
    <phoneticPr fontId="6" type="noConversion"/>
  </si>
  <si>
    <r>
      <t>&lt;p&gt;
&lt;n&gt;  &lt;/n&gt;&lt;n&gt;  将一件装备升级到</t>
    </r>
    <r>
      <rPr>
        <sz val="10"/>
        <color theme="1"/>
        <rFont val="宋体"/>
        <family val="3"/>
        <charset val="134"/>
        <scheme val="minor"/>
      </rPr>
      <t>1星&lt;/n&gt;
&lt;/p&gt;</t>
    </r>
    <phoneticPr fontId="6" type="noConversion"/>
  </si>
  <si>
    <t>&lt;p&gt;
&lt;n&gt;  &lt;/n&gt;&lt;dialog taskid="3711" text="打开合成界面" hotkeyid="12" /&gt;
&lt;newline/&gt;
&lt;n&gt;  将背包中的5件蓝色装备，合成为1件黄色装备&lt;/n&gt;
&lt;/p&gt;</t>
    <phoneticPr fontId="6" type="noConversion"/>
  </si>
  <si>
    <t>&lt;p&gt;
&lt;n&gt;  &lt;/n&gt;&lt;dialog taskid="3823" text="点击打开升星界面" hotkeyid="103" tabid="4-0" treeid="15" leafid="1" /&gt;
&lt;n&gt;  将一件装备升级到1星&lt;/n&gt;
&lt;/p&gt;</t>
    <phoneticPr fontId="6" type="noConversion"/>
  </si>
  <si>
    <t>title(（53级）升级宝石)
body(hotyellow_3(任务进程:)newline()
   与goto(113,3)了解升级宝石的效果。blankline()hotyellow_3(任务描述:)newline()   改造手头现有的装备，也是提高战斗力的一种方法。具体的，可以去装备改造商人那里看看。)</t>
    <phoneticPr fontId="6" type="noConversion"/>
  </si>
  <si>
    <r>
      <t>body(   感觉怎么样？blankline()   放心吧，多干几次你就麻木了。)</t>
    </r>
    <r>
      <rPr>
        <sz val="9"/>
        <rFont val="宋体"/>
        <family val="3"/>
        <charset val="134"/>
      </rPr>
      <t/>
    </r>
    <phoneticPr fontId="6" type="noConversion"/>
  </si>
  <si>
    <t>&lt;p&gt;
&lt;n&gt;  回复： &lt;/n&gt; 
 &lt;n&gt; &lt;/n&gt;&lt;goto id="60559" mapid="5" flagpoint="1" taskid="4471" /&gt;
&lt;/p&gt;</t>
    <phoneticPr fontId="6" type="noConversion"/>
  </si>
  <si>
    <t>&lt;p&gt;
&lt;n&gt;  回复： &lt;/n&gt; 
 &lt;n&gt; &lt;/n&gt;&lt;goto id="60559" mapid="5" flagpoint="1" taskid="4481" /&gt;
&lt;/p&gt;</t>
    <phoneticPr fontId="6" type="noConversion"/>
  </si>
  <si>
    <t>&lt;p&gt;
&lt;n&gt;  回复： &lt;/n&gt; 
 &lt;n&gt; &lt;/n&gt;&lt;goto id="60568" mapid="5" flagpoint="1" taskid="4484" /&gt;
&lt;/p&gt;</t>
    <phoneticPr fontId="6" type="noConversion"/>
  </si>
  <si>
    <t>&lt;p&gt;
&lt;n&gt;  回复： &lt;/n&gt; 
 &lt;n&gt; &lt;/n&gt;&lt;goto id="60568" mapid="5" flagpoint="1" taskid="4482" /&gt;
&lt;/p&gt;</t>
    <phoneticPr fontId="6" type="noConversion"/>
  </si>
  <si>
    <t>&lt;p&gt;
&lt;n&gt;  回复： &lt;/n&gt; 
 &lt;n&gt; &lt;/n&gt;&lt;goto id="60559" mapid="5" flagpoint="1" taskid="4485" /&gt;
&lt;/p&gt;</t>
    <phoneticPr fontId="6" type="noConversion"/>
  </si>
  <si>
    <t>title(（61级）议长的考验)
body(hotyellow_3(任务进程:)newline()
   去找goto(60559,5)，回答他的提问。
blankline()hotyellow_3(任务描述:)newline() 
   与hot(大议长君士坦丁)对话，回答他的提问。)</t>
    <phoneticPr fontId="6" type="noConversion"/>
  </si>
  <si>
    <t>&lt;p&gt;
&lt;n&gt;  回复： &lt;/n&gt; 
 &lt;n&gt; &lt;/n&gt;&lt;goto id="60559" mapid="5" flagpoint="1" taskid="4483" /&gt;
&lt;/p&gt;</t>
    <phoneticPr fontId="6" type="noConversion"/>
  </si>
  <si>
    <t>&lt;p&gt;
&lt;n&gt;  回复： &lt;/n&gt; 
 &lt;n&gt; &lt;/n&gt;&lt;goto id="60553" mapid="5" flagpoint="1" taskid="4491" /&gt;
&lt;/p&gt;</t>
    <phoneticPr fontId="6" type="noConversion"/>
  </si>
  <si>
    <t>&lt;p&gt;
&lt;n&gt;  与： &lt;/n&gt; 
&lt;goto id="60553" mapid="5" flagpoint="1" taskid="4511" /&gt;&lt;n&gt;  沟通，了解历史&lt;/n&gt; 
&lt;/p&gt;</t>
    <phoneticPr fontId="6" type="noConversion"/>
  </si>
  <si>
    <t>title(（62级）伤感的战士)
body(hotyellow_3(任务进程:)newline()
    hot(受迪特里斯的委托)与goto(60559,5)对话，寻求解决沙漠危机的办法。
blankline()hotyellow_3(任务描述:)newline() 
   与hot(大议长君士坦丁)对话，寻求解决沙漠危机的办法。)</t>
    <phoneticPr fontId="6" type="noConversion"/>
  </si>
  <si>
    <t>&lt;p&gt;
&lt;n&gt;  回复： &lt;/n&gt; 
 &lt;n&gt; &lt;/n&gt;&lt;goto id="60559" mapid="5" flagpoint="1" taskid="4521" /&gt;
&lt;/p&gt;</t>
    <phoneticPr fontId="6" type="noConversion"/>
  </si>
  <si>
    <t>&lt;p&gt;
&lt;n&gt;  回复： &lt;/n&gt; 
 &lt;n&gt; &lt;/n&gt;&lt;goto id="60000" mapid="3" flagpoint="1" taskid="4531" /&gt;
&lt;/p&gt;</t>
    <phoneticPr fontId="6" type="noConversion"/>
  </si>
  <si>
    <t>&lt;p&gt;
&lt;n&gt;  回复： &lt;/n&gt; 
 &lt;n&gt; &lt;/n&gt;&lt;goto id="60559" mapid="5" flagpoint="1" taskid="4541" /&gt;
&lt;/p&gt;</t>
    <phoneticPr fontId="6" type="noConversion"/>
  </si>
  <si>
    <t>&lt;p&gt;
&lt;n&gt;  回复： &lt;/n&gt; 
 &lt;n&gt; &lt;/n&gt;&lt;goto id="60559" mapid="5" flagpoint="1" taskid="4551" /&gt;
&lt;/p&gt;</t>
    <phoneticPr fontId="6" type="noConversion"/>
  </si>
  <si>
    <t>title(（62级）敬意或警告)
body(hotyellow_3(任务进程:)newline()
   hot(受前线指挥官拉奥委托)与goto(60559,5)对话，告知目前前线危机暂时可以应付。
blankline()hotyellow_3(任务描述:)newline() 
   与hot(大议长君士坦丁)对话，告知光明骑士团在沙漠的战略部署。)</t>
    <phoneticPr fontId="6" type="noConversion"/>
  </si>
  <si>
    <t>&lt;p&gt;
&lt;n&gt;  回复： &lt;/n&gt; 
 &lt;n&gt; &lt;/n&gt;&lt;goto id="60559" mapid="5" flagpoint="1" taskid="4561" /&gt;
&lt;/p&gt;</t>
    <phoneticPr fontId="6" type="noConversion"/>
  </si>
  <si>
    <t>&lt;p&gt;
&lt;n&gt;  回复： &lt;/n&gt; 
 &lt;n&gt; &lt;/n&gt;&lt;goto id="60553" mapid="5" flagpoint="1" taskid="4571" /&gt;
&lt;/p&gt;</t>
    <phoneticPr fontId="6" type="noConversion"/>
  </si>
  <si>
    <t>&lt;p&gt;
&lt;n&gt;  击杀1头： &lt;/n&gt; 
 &lt;n&gt; &lt;/n&gt;&lt;goto id="10300" mapid="5" flagpoint="1" taskid="4581" /&gt;
&lt;/p&gt;</t>
    <phoneticPr fontId="6" type="noConversion"/>
  </si>
  <si>
    <t>title(（63级）玩牌)
body(hotyellow_3(任务进程:)newline()
   hot(与神斧战将迪特里斯玩牌)，完成后与goto(60553,5)对话。
blankline()hotyellow_3(任务描述:)newline() 
   与hot(神斧战将迪特里斯)玩牌。)</t>
    <phoneticPr fontId="6" type="noConversion"/>
  </si>
  <si>
    <t>&lt;p&gt;
&lt;n&gt;  与迪特里斯玩牌&lt;/n&gt;
 &lt;newline/&gt;
&lt;n&gt;  结束后回复： &lt;/n&gt; 
 &lt;n&gt; &lt;/n&gt;&lt;goto id="60553" mapid="5" flagpoint="1" taskid="4591" /&gt;
&lt;/p&gt;</t>
    <phoneticPr fontId="6" type="noConversion"/>
  </si>
  <si>
    <t>title(（63级）第二个考验)
body(hotyellow_3(任务进程:)newline()
   hot(受神斧战将迪特里斯委托)，击杀70只goto(10202,5)，完成后与goto(60553,5)对话。
blankline()hotyellow_3(任务描述:)newline() 
   击杀足够数量的钢齿鹰龙，完成后与hot(神斧战将迪特里斯)对话。)</t>
    <phoneticPr fontId="6" type="noConversion"/>
  </si>
  <si>
    <t>&lt;p&gt;
&lt;n&gt;  击杀70只： &lt;/n&gt; 
 &lt;n&gt; &lt;/n&gt;&lt;goto id="10202" mapid="5" flagpoint="1" taskid="4601" /&gt;
&lt;/p&gt;</t>
    <phoneticPr fontId="6" type="noConversion"/>
  </si>
  <si>
    <t>&lt;p&gt;
&lt;n&gt;  回复： &lt;/n&gt; 
 &lt;n&gt; &lt;/n&gt;&lt;goto id="60553" mapid="5" flagpoint="1" taskid="4611" /&gt;
&lt;/p&gt;</t>
    <phoneticPr fontId="6" type="noConversion"/>
  </si>
  <si>
    <t>title(（64级）第三个考验)
body(hotyellow_3(任务进程:)newline()
   hot(接受神斧战将迪特里斯的考验)，击杀1只goto(10301,5)，完成后与goto(60553,5)对话。
blankline()hotyellow_3(任务描述:)newline() 
   完成hot(神斧战将迪特里斯)的第三个考验！)</t>
    <phoneticPr fontId="6" type="noConversion"/>
  </si>
  <si>
    <t>&lt;p&gt;
&lt;n&gt;  击杀1只： &lt;/n&gt; 
 &lt;n&gt; &lt;/n&gt;&lt;goto id="10301" mapid="5" flagpoint="1" taskid="4621" /&gt;
&lt;/p&gt;</t>
    <phoneticPr fontId="6" type="noConversion"/>
  </si>
  <si>
    <t>&lt;p&gt;
&lt;n&gt;  回复： &lt;/n&gt; 
 &lt;n&gt; &lt;/n&gt;&lt;goto id="60553" mapid="5" flagpoint="1" taskid="4631" /&gt;
&lt;/p&gt;</t>
    <phoneticPr fontId="6" type="noConversion"/>
  </si>
  <si>
    <t>title(（65级）王的传说)
body(hotyellow_3(任务进程:)newline()
   hot(与神斧战将迪特里斯对话)，了解关于王的传说。完成后与goto(60553,5)对话。
blankline()hotyellow_3(任务描述:)newline() 
   与hot(神斧战将迪特里斯)对话，了解故事。)</t>
    <phoneticPr fontId="6" type="noConversion"/>
  </si>
  <si>
    <t>&lt;p&gt;
&lt;n&gt;  回复： &lt;/n&gt; 
 &lt;n&gt; &lt;/n&gt;&lt;goto id="60553" mapid="5" flagpoint="1" taskid="4641" /&gt;
&lt;/p&gt;</t>
    <phoneticPr fontId="6" type="noConversion"/>
  </si>
  <si>
    <t>title(（65级）狂狼之牙)
body(hotyellow_3(任务进程:)newline()
   hot(接受神斧战将迪特里斯的委托)，击杀goto(10203,5)获取40枚狂狼之牙。完成后与goto(60553,5)对话。
blankline()hotyellow_3(任务描述:)newline() 
   迪特里斯需要制作特殊的物品，需要你击杀嗜血狂狼获取40枚狂狼之牙。)</t>
    <phoneticPr fontId="6" type="noConversion"/>
  </si>
  <si>
    <t>&lt;p&gt;
&lt;n&gt;  击杀： &lt;/n&gt; 
 &lt;n&gt; &lt;/n&gt;&lt;goto id="10203" mapid="5" flagpoint="1" taskid="4651" /&gt;
 &lt;newline/&gt;
&lt;n&gt;  获取40枚狂狼之牙&lt;/n&gt;
&lt;/p&gt;</t>
    <phoneticPr fontId="6" type="noConversion"/>
  </si>
  <si>
    <t>title(（65级）嗜血妖花)
body(hotyellow_3(任务进程:)newline()
   hot(接受神斧战将迪特里斯的委托)，采集20朵嗜血妖花。完成后与goto(60553,5)对话。
blankline()hotyellow_3(任务描述:)newline() 
   那些盛开的妖花，都绽放在鲜血猩红之处。)</t>
    <phoneticPr fontId="6" type="noConversion"/>
  </si>
  <si>
    <t>title(（66级）安魂药剂)
body(hotyellow_3(任务进程:)newline()
   需要教训一下goto(10302,5)，教训之后与goto(60553,5)对话。
blankline()hotyellow_3(任务描述:)newline() 
   神斧战将需要安静配置安魂药剂，于是便随便找了个理由，给你安排了事情。)</t>
    <phoneticPr fontId="6" type="noConversion"/>
  </si>
  <si>
    <t>&lt;p&gt;
&lt;n&gt;  击杀1头： &lt;/n&gt; 
 &lt;n&gt; &lt;/n&gt;&lt;goto id="10302" mapid="5" flagpoint="1" taskid="4671" /&gt;
&lt;/p&gt;</t>
    <phoneticPr fontId="6" type="noConversion"/>
  </si>
  <si>
    <t>title(（67级）林妖的末日)
body(hotyellow_3(任务进程:)newline()
   hot(接受神斧战将迪特里斯的考验)，击杀goto(10204,5)获取1片“林妖之叶”。击杀goto(10303,5)获取1份“林妖之晶”。完成任务后告知goto(60553,5)。
blankline()hotyellow_3(任务描述:)newline() 
   安魂药剂配制过程中出现了问题，迪特里斯希望你能够寻找使得安魂药剂能够稳定的林妖之叶与林妖之晶。)</t>
    <phoneticPr fontId="6" type="noConversion"/>
  </si>
  <si>
    <t>&lt;p&gt;
&lt;n&gt;  击杀： &lt;/n&gt; 
 &lt;n&gt; &lt;/n&gt;&lt;goto id="10204" mapid="5" flagpoint="1" taskid="4681" /&gt;
&lt;newline/&gt;
&lt;n&gt; 可获得林妖之叶&lt;/n&gt; 
&lt;newline/&gt;
&lt;n&gt; 击杀： &lt;/n&gt; 
 &lt;n&gt; &lt;/n&gt;&lt;goto id="10303" mapid="5" flagpoint="1" taskid="4681" /&gt;
&lt;newline/&gt;
&lt;n&gt; 可获得林妖之晶&lt;/n&gt; 
&lt;/p&gt;</t>
    <phoneticPr fontId="6" type="noConversion"/>
  </si>
  <si>
    <t>"31201-0-1;31202-0-1"</t>
    <phoneticPr fontId="6" type="noConversion"/>
  </si>
  <si>
    <t>&lt;p&gt;
&lt;n&gt;  回复： &lt;/n&gt; 
 &lt;n&gt; &lt;/n&gt;&lt;goto id="60553" mapid="5" flagpoint="1" taskid="4691" /&gt;
&lt;/p&gt;</t>
    <phoneticPr fontId="6" type="noConversion"/>
  </si>
  <si>
    <t>&lt;p&gt;
&lt;n&gt;  将角色等级达到68级 &lt;/n&gt; 
&lt;newline/&gt;
&lt;n&gt;  回复： &lt;/n&gt; 
 &lt;n&gt; &lt;/n&gt;&lt;goto id="60558" mapid="5" flagpoint="1" taskid="4701" /&gt;
&lt;/p&gt;</t>
    <phoneticPr fontId="6" type="noConversion"/>
  </si>
  <si>
    <t>&lt;p&gt;
&lt;n&gt;  回复： &lt;/n&gt; 
 &lt;n&gt; &lt;/n&gt;&lt;goto id="60559" mapid="5" flagpoint="1" taskid="4711" /&gt;
&lt;/p&gt;</t>
    <phoneticPr fontId="6" type="noConversion"/>
  </si>
  <si>
    <t>title(（68级）争理)
body(hotyellow_3(任务进程:)newline()
   与goto(60558,5)对话。
blankline()hotyellow_3(任务描述:)newline() 
   道理谁都明白，可是如何捍卫道理，如何坚守道义，什么是道理，什么是道义又有多少人看法不同。)</t>
    <phoneticPr fontId="6" type="noConversion"/>
  </si>
  <si>
    <t>&lt;p&gt;
&lt;n&gt;  回复： &lt;/n&gt; 
 &lt;n&gt; &lt;/n&gt;&lt;goto id="60558" mapid="5" flagpoint="1" taskid="4721" /&gt;
&lt;/p&gt;</t>
    <phoneticPr fontId="6" type="noConversion"/>
  </si>
  <si>
    <t>&lt;p&gt;
&lt;n&gt;  回复： &lt;/n&gt; 
 &lt;n&gt; &lt;/n&gt;&lt;goto id="60558" mapid="5" flagpoint="1" taskid="4731" /&gt;
&lt;/p&gt;</t>
    <phoneticPr fontId="6" type="noConversion"/>
  </si>
  <si>
    <t>title(（68级）提升实力)
body(hotyellow_3(任务进程:)newline()
   提升自身等级至69级，并将实力提升告知goto(60558,5)。
blankline()hotyellow_3(任务描述:)newline() 
   如果你只是个学者，那对无论是怎么样的实力对你来说都没有益处。而当你是个战士的时刻，无论如何提升实力，对你来说都不为过。)</t>
    <phoneticPr fontId="6" type="noConversion"/>
  </si>
  <si>
    <t>&lt;p&gt;
&lt;n&gt;  提升角色自身等级至69级 &lt;/n&gt; 
&lt;newline/&gt;
&lt;n&gt;  回复： &lt;/n&gt; 
 &lt;n&gt; &lt;/n&gt;&lt;goto id="60558" mapid="5" flagpoint="1" taskid="4741" /&gt;
&lt;/p&gt;</t>
    <phoneticPr fontId="6" type="noConversion"/>
  </si>
  <si>
    <t>title(（69级）取回道具)
body(hotyellow_3(任务进程:)newline()
   前往goto(60172,1)取回道具。并将道具交给goto(60045,1)。
blankline()hotyellow_3(任务描述:)newline() 
   最危险的地方就是最安全的地方，大贤者赫肯将特洛雷西大人寄存的物品放在一个我们曾经触碰过的地方。)</t>
    <phoneticPr fontId="6" type="noConversion"/>
  </si>
  <si>
    <t>&lt;p&gt;
&lt;n&gt;  探索： &lt;/n&gt; 
 &lt;n&gt; &lt;/n&gt;&lt;goto id="60172" mapid="1" flagpoint="1" taskid="4761" /&gt;
&lt;/p&gt;</t>
    <phoneticPr fontId="6" type="noConversion"/>
  </si>
  <si>
    <t>&lt;p&gt;
&lt;n&gt;  回复： &lt;/n&gt; 
 &lt;n&gt; &lt;/n&gt;&lt;goto id="60558" mapid="5" flagpoint="1" taskid="4771" /&gt;
&lt;/p&gt;</t>
    <phoneticPr fontId="6" type="noConversion"/>
  </si>
  <si>
    <t>title(（70级）失落之心)
body(hotyellow_3(任务进程:)newline()
   前往goto(10205,5)的营地寻找失落之心。找到之后，交予goto(60558,5)
blankline()hotyellow_3(任务描述:)newline() 
   失落之心是一件重要的道具，需要尽快找到。目前很有可能是在某个塔克族战士身上。)</t>
    <phoneticPr fontId="6" type="noConversion"/>
  </si>
  <si>
    <t>title(（70级）真·失落之心)
body(hotyellow_3(任务进程:)newline()
   很多人看到goto(10304,5)曾经炫耀过自己的失落之心，从他手中夺回这枚宝石。同时将宝石交给goto(60558,5)。
blankline()hotyellow_3(任务描述:)newline() 
   失手一次还有重来的机会。如果生命丧失，怕是没有机会再来那么一次了。所幸这次情报可靠，应该能有所斩获。)</t>
    <phoneticPr fontId="6" type="noConversion"/>
  </si>
  <si>
    <t>&lt;p&gt;
&lt;n&gt;  回复： &lt;/n&gt; 
 &lt;n&gt; &lt;/n&gt;&lt;goto id="60558" mapid="5" flagpoint="1" taskid="4801" /&gt;
&lt;/p&gt;</t>
    <phoneticPr fontId="6" type="noConversion"/>
  </si>
  <si>
    <t>&lt;p&gt;
&lt;n&gt;  回复： &lt;/n&gt; 
 &lt;n&gt; &lt;/n&gt;&lt;goto id="60554" mapid="1" flagpoint="1" taskid="4811" /&gt;
&lt;/p&gt;</t>
    <phoneticPr fontId="6" type="noConversion"/>
  </si>
  <si>
    <t>&lt;p&gt;
&lt;n&gt;  回复： &lt;/n&gt; 
 &lt;n&gt; &lt;/n&gt;&lt;goto id="60553" mapid="5" flagpoint="1" taskid="4821" /&gt;
&lt;/p&gt;</t>
    <phoneticPr fontId="6" type="noConversion"/>
  </si>
  <si>
    <t>title(（71级）议长的帮助)
body(hotyellow_3(任务进程:)newline()
   受hot(神斧战将迪特里斯)委托，前往goto(60559,5)处寻求帮助。
blankline()hotyellow_3(任务描述:)newline() 
   如今能够给予我们大量帮助的，也就只有身为大议长的君士坦丁了。)</t>
    <phoneticPr fontId="6" type="noConversion"/>
  </si>
  <si>
    <t>&lt;p&gt;
&lt;n&gt;  回复： &lt;/n&gt; 
 &lt;n&gt; &lt;/n&gt;&lt;goto id="60559" mapid="5" flagpoint="1" taskid="4831" /&gt;
&lt;/p&gt;</t>
    <phoneticPr fontId="6" type="noConversion"/>
  </si>
  <si>
    <t>&lt;p&gt;
&lt;n&gt;  回复： &lt;/n&gt; 
 &lt;n&gt; &lt;/n&gt;&lt;goto id="60554" mapid="5" flagpoint="1" taskid="4841" /&gt;
&lt;/p&gt;</t>
    <phoneticPr fontId="6" type="noConversion"/>
  </si>
  <si>
    <t>&lt;p&gt;
&lt;n&gt;  角色等级提升至72级&lt;/n&gt; 
&lt;newline/&gt;
&lt;n&gt;  回复： &lt;/n&gt; 
 &lt;n&gt; &lt;/n&gt;&lt;goto id="60554" mapid="5" flagpoint="1" taskid="4851" /&gt;
&lt;/p&gt;</t>
    <phoneticPr fontId="6" type="noConversion"/>
  </si>
  <si>
    <t>&lt;p&gt;
&lt;n&gt;  击杀1只： &lt;/n&gt; 
 &lt;n&gt; &lt;/n&gt;&lt;goto id="10305" mapid="5" flagpoint="1" taskid="4861" /&gt;
&lt;/p&gt;</t>
    <phoneticPr fontId="6" type="noConversion"/>
  </si>
  <si>
    <t>title(（73级）暗影毒蜂)
body(hotyellow_3(任务进程:)newline()
   击杀70只goto(10207,5)，完成后告知goto(60554,5)。
blankline()hotyellow_3(任务描述:)newline() 
   越来越多的暗影毒蜂铺天盖地地来到这里，他们如同飞蛾扑火般渴望特洛雷西大人的能量。我们守护在这里，你能帮忙处理那边的吗？)</t>
    <phoneticPr fontId="6" type="noConversion"/>
  </si>
  <si>
    <t>&lt;p&gt;
&lt;n&gt;  击杀70只： &lt;/n&gt; 
 &lt;n&gt; &lt;/n&gt;&lt;goto id="10207" mapid="5" flagpoint="1" taskid="4871" /&gt;
&lt;/p&gt;</t>
    <phoneticPr fontId="6" type="noConversion"/>
  </si>
  <si>
    <t>title(（74级）暗影蜂王)
body(hotyellow_3(任务进程:)newline()
   击杀1只goto(10306,5)，完成后告知goto(60554,5)。
blankline()hotyellow_3(任务描述:)newline() 
   需要阻止越来越多的暗影毒蜂，必须要能够击杀他们的首领。暗影蜂王是体型硕大的毒蜂，希望你能够处理。)</t>
    <phoneticPr fontId="6" type="noConversion"/>
  </si>
  <si>
    <t>&lt;p&gt;
&lt;n&gt;  击杀1只： &lt;/n&gt; 
 &lt;n&gt; &lt;/n&gt;&lt;goto id="10306" mapid="5" flagpoint="1" taskid="4881" /&gt;
&lt;/p&gt;</t>
    <phoneticPr fontId="6" type="noConversion"/>
  </si>
  <si>
    <t>title(（74级）祷告完成)
body(hotyellow_3(任务进程:)newline()
   特洛雷西大人的祷告已经完成。你可以与goto(60558,5)对话，了解详细情况。
blankline()hotyellow_3(任务描述:)newline() 
   光芒渐渐平淡，特洛雷西大人已经完成了祷告。)</t>
    <phoneticPr fontId="6" type="noConversion"/>
  </si>
  <si>
    <t>&lt;p&gt;
&lt;n&gt;  回复： &lt;/n&gt; 
 &lt;n&gt; &lt;/n&gt;&lt;goto id="60558" mapid="1" flagpoint="1" taskid="4891" /&gt;
&lt;/p&gt;</t>
    <phoneticPr fontId="6" type="noConversion"/>
  </si>
  <si>
    <t>title(（75级）戛然而止)
body(hotyellow_3(任务进程:)newline()
   神枪战将特洛雷西将你推荐给goto(60559,5)。
blankline()hotyellow_3(任务描述:)newline() 
   特洛雷西大人并没有和你说更多的内容。他将你推荐给大议长君士坦丁。看这情形，恐怕祷告的结果不容乐观。)</t>
    <phoneticPr fontId="6" type="noConversion"/>
  </si>
  <si>
    <t>&lt;p&gt;
&lt;n&gt;  回复： &lt;/n&gt; 
 &lt;n&gt; &lt;/n&gt;&lt;goto id="60559" mapid="1" flagpoint="1" taskid="4901" /&gt;
&lt;/p&gt;</t>
    <phoneticPr fontId="6" type="noConversion"/>
  </si>
  <si>
    <t>&lt;p&gt;
&lt;n&gt;  回复： &lt;/n&gt; 
 &lt;n&gt; &lt;/n&gt;&lt;goto id="60555" mapid="1" flagpoint="1" taskid="4911" /&gt;
&lt;/p&gt;</t>
    <phoneticPr fontId="6" type="noConversion"/>
  </si>
  <si>
    <t>&lt;p&gt;
&lt;n&gt;  击杀70只： &lt;/n&gt; 
 &lt;n&gt; &lt;/n&gt;&lt;goto id="10208" mapid="5" flagpoint="1" taskid="4921" /&gt;
&lt;/p&gt;</t>
    <phoneticPr fontId="6" type="noConversion"/>
  </si>
  <si>
    <t>title(（75级）实力提升)
body(hotyellow_3(任务进程:)newline()
   提升自身等级至76级，完成后告知goto(60555,5)。
blankline()hotyellow_3(任务描述:)newline() 
   只有越来越强的实力才能应付越来越强大的敌人。)</t>
    <phoneticPr fontId="6" type="noConversion"/>
  </si>
  <si>
    <t>&lt;p&gt;
&lt;n&gt;  提升角色等级至76级 &lt;/n&gt;
&lt;newline/&gt; 
&lt;n&gt;  完成后回复：&lt;/n&gt;
 &lt;n&gt; &lt;/n&gt;&lt;goto id="60555" mapid="5" flagpoint="1" taskid="4931" /&gt;
&lt;/p&gt;</t>
    <phoneticPr fontId="6" type="noConversion"/>
  </si>
  <si>
    <t>title(（76级）再次出击)
body(hotyellow_3(任务进程:)newline()
   击杀70只goto(10208,5)，完成后告知goto(60555,5)。
blankline()hotyellow_3(任务描述:)newline() 
   六足速龙虽然之前被压制，但是现在又出现了。大量的六足速龙密密麻麻。迪奥执法官希望你能够再次出击。)</t>
    <phoneticPr fontId="6" type="noConversion"/>
  </si>
  <si>
    <t>&lt;p&gt;
&lt;n&gt;  击杀70只： &lt;/n&gt; 
 &lt;n&gt; &lt;/n&gt;&lt;goto id="10208" mapid="5" flagpoint="1" taskid="4941" /&gt;
&lt;/p&gt;</t>
    <phoneticPr fontId="6" type="noConversion"/>
  </si>
  <si>
    <t>&lt;p&gt;
&lt;n&gt;  回复： &lt;/n&gt; 
 &lt;n&gt; &lt;/n&gt;&lt;goto id="60559" mapid="5" flagpoint="1" taskid="4951" /&gt;
&lt;/p&gt;</t>
    <phoneticPr fontId="6" type="noConversion"/>
  </si>
  <si>
    <t>title(（76级）口头褒奖)
body(hotyellow_3(任务进程:)newline()
   hot(大议长君士坦丁)的委托对迪奥执行官，完成后告知goto(60555,5)。
blankline()hotyellow_3(任务描述:)newline() 
   将大议长君士坦丁的褒奖，告知迪奥执行官。表彰他在面对六足速龙风波中的出色表现。)</t>
    <phoneticPr fontId="6" type="noConversion"/>
  </si>
  <si>
    <t>&lt;p&gt;
&lt;n&gt;  回复： &lt;/n&gt; 
 &lt;n&gt; &lt;/n&gt;&lt;goto id="60555" mapid="5" flagpoint="1" taskid="4961" /&gt;
&lt;/p&gt;</t>
    <phoneticPr fontId="6" type="noConversion"/>
  </si>
  <si>
    <t>title(（77级）难得的休息)
body(hotyellow_3(任务进程:)newline()
   与goto(60555,5)玩一把牌。
blankline()hotyellow_3(任务描述:)newline() 
   战争总是伴随太多的故事。但是忙里偷闲，玩一把牌，也许并没有坏处。)</t>
    <phoneticPr fontId="6" type="noConversion"/>
  </si>
  <si>
    <t>&lt;p&gt;
&lt;n&gt;  回复： &lt;/n&gt; 
 &lt;n&gt; &lt;/n&gt;&lt;goto id="60555" mapid="5" flagpoint="1" taskid="4971" /&gt;
&lt;/p&gt;</t>
    <phoneticPr fontId="6" type="noConversion"/>
  </si>
  <si>
    <t>&lt;p&gt;
&lt;n&gt;  前往： &lt;/n&gt; 
 &lt;n&gt; &lt;/n&gt;&lt;goto id="184" mapid="5" flagpoint="1" taskid="4991" /&gt;
&lt;newline/&gt;
&lt;n&gt; 处购买橄榄油与红酒&lt;/n&gt; 
&lt;newline/&gt;
&lt;n&gt;  回复： &lt;/n&gt; 
 &lt;n&gt; &lt;/n&gt;&lt;goto id="60555" mapid="5" flagpoint="1" taskid="4991" /&gt;
&lt;/p&gt;</t>
    <phoneticPr fontId="6" type="noConversion"/>
  </si>
  <si>
    <t>title(（77级）平静的生活)
body(hotyellow_3(任务进程:)newline()
   与goto(60555,5)对话，品尝野生魔牛肉。
blankline()hotyellow_3(任务描述:)newline() 
   我宁愿这辈子都能生活在平静和谐的世界里，也不希望斗志燃烧直至战斗结束。)</t>
    <phoneticPr fontId="6" type="noConversion"/>
  </si>
  <si>
    <t>&lt;p&gt;
&lt;n&gt;  回复： &lt;/n&gt; 
 &lt;n&gt; &lt;/n&gt;&lt;goto id="60555" mapid="5" flagpoint="1" taskid="5001" /&gt;
&lt;/p&gt;</t>
    <phoneticPr fontId="6" type="noConversion"/>
  </si>
  <si>
    <t>title(（77级）比大小)
body(hotyellow_3(任务进程:)newline()
   与goto(60555,5)玩一把牌。
blankline()hotyellow_3(任务描述:)newline() 
   与迪奥玩一把比大小。)</t>
    <phoneticPr fontId="6" type="noConversion"/>
  </si>
  <si>
    <t>&lt;p&gt;
&lt;n&gt;  回复： &lt;/n&gt; 
 &lt;n&gt; &lt;/n&gt;&lt;goto id="60555" mapid="5" flagpoint="1" taskid="5011" /&gt;
&lt;/p&gt;</t>
    <phoneticPr fontId="6" type="noConversion"/>
  </si>
  <si>
    <t>title(（78级）美食惹的祸)
body(hotyellow_3(任务进程:)newline()
   与goto(60555,5)对话，了解因为野生魔牛肉导致的麻烦。
blankline()hotyellow_3(任务描述:)newline() 
   虽然鲜嫩的牛肉让我难以忘怀，但是谁能想到那批牛居然是魔牛统领的族群。)</t>
    <phoneticPr fontId="6" type="noConversion"/>
  </si>
  <si>
    <t>&lt;p&gt;
&lt;n&gt;  回复： &lt;/n&gt; 
 &lt;n&gt; &lt;/n&gt;&lt;goto id="60555" mapid="5" flagpoint="1" taskid="5021" /&gt;
&lt;/p&gt;</t>
    <phoneticPr fontId="6" type="noConversion"/>
  </si>
  <si>
    <t>title(（78级）魔牛统领)
body(hotyellow_3(任务进程:)newline()
   击杀goto(10308,5)，完成任务后告知goto(60555,5)。
blankline()hotyellow_3(任务描述:)newline() 
   既然魔牛统领送上门来，那我们也别客气。)</t>
    <phoneticPr fontId="6" type="noConversion"/>
  </si>
  <si>
    <t>title(（78级）提升等级)
body(hotyellow_3(任务进程:)newline()
   将自身等级提升至79级，并告知goto(60555,5)。
blankline()hotyellow_3(任务描述:)newline() 
   好日子看来马上要结束了，我们前方的斥候发回了消息。魔族邪豹统领带领着上千的魔族邪豹前来偷袭。此次情报可靠，你需要好好准备一下，将等级提升至79级。)</t>
    <phoneticPr fontId="6" type="noConversion"/>
  </si>
  <si>
    <t>&lt;p&gt;
&lt;n&gt;  提升角色等级至79级&lt;/n&gt; 
&lt;newline/&gt;
&lt;n&gt;  回复： &lt;/n&gt; 
 &lt;n&gt; &lt;/n&gt;&lt;goto id="60555" mapid="5" flagpoint="1" taskid="5041" /&gt;
&lt;/p&gt;</t>
    <phoneticPr fontId="6" type="noConversion"/>
  </si>
  <si>
    <t>title(（79级）魔族邪豹)
body(hotyellow_3(任务进程:)newline()
   击杀70头goto(10210,5)，完成后告知goto(60555,5)。
blankline()hotyellow_3(任务描述:)newline() 
   魔族邪豹是魔族的重要战力，他们的出现说明了不论是六足速龙还是其他的怪物都与魔族存在密不可分的关联。)</t>
    <phoneticPr fontId="6" type="noConversion"/>
  </si>
  <si>
    <t>title(（79级）第二波袭击)
body(hotyellow_3(任务进程:)newline()
   击杀70头goto(10210,5)，完成后告知goto(60555,5)。
blankline()hotyellow_3(任务描述:)newline() 
   魔族邪豹第一轮的进攻只是试探性的，他们在第二轮将会有更加猛烈的进攻！击退他们！)</t>
    <phoneticPr fontId="6" type="noConversion"/>
  </si>
  <si>
    <t>title(（80级）邪豹统领)
body(hotyellow_3(任务进程:)newline()
   击杀goto(10309,5)，并告知goto(60555,5)。
blankline()hotyellow_3(任务描述:)newline() 
   邪豹统领的出现，想必会引发有一场恶战。)</t>
    <phoneticPr fontId="6" type="noConversion"/>
  </si>
  <si>
    <t>&lt;p&gt;
&lt;n&gt;  回复： &lt;/n&gt; 
 &lt;n&gt; &lt;/n&gt;&lt;goto id="60559" mapid="5" flagpoint="1" taskid="5081" /&gt;
&lt;/p&gt;</t>
    <phoneticPr fontId="6" type="noConversion"/>
  </si>
  <si>
    <t>&lt;p&gt;
&lt;n&gt;  完成一次日常装备收集&lt;/n&gt;
&lt;newline/&gt;&lt;n&gt;  回复NPC：&lt;/n&gt;
 &lt;n&gt; &lt;/n&gt;&lt;goto id="60065" mapid="3" flagpoint="1" flagdrawrect="1" taskid="10000"/&gt;
&lt;newline/&gt;&lt;n&gt;  装备出售：&lt;/n&gt;
 &lt;n&gt; &lt;/n&gt;&lt;goto id="102" mapid="3" flagpoint="1" flagdrawrect="1" taskid="10000"/&gt;
&lt;/p&gt;</t>
    <phoneticPr fontId="6" type="noConversion"/>
  </si>
  <si>
    <t>title(（7级）命运的轨迹)
body(hotyellow_3(任务进程:)newline()
   11级后去找goto(60042,2)。blankline()hotyellow_3(任务描述:)newline() 
   hot3(   我和你说的，也许并不是隐藏历史背后的真相。但至少代表了历史的一张脸谱。我希望你能够通过自身实力的增长去解开更多的秘密，将等级提升至11级吧！))</t>
    <phoneticPr fontId="6" type="noConversion"/>
  </si>
  <si>
    <t>title(（11级）命运的轨迹)
body(hotyellow_3(任务进程:)newline()
   询问goto(60042,2)。blankline()hotyellow_3(任务描述:)newline() 
   有什么要问老者盖亚吗？))</t>
    <phoneticPr fontId="6" type="noConversion"/>
  </si>
  <si>
    <r>
      <t>&lt;p&gt;
&lt;n&gt;  护送幸存者到&lt;/n&gt;
 &lt;n&gt; &lt;/n&gt;&lt;goto id="60052" mapid="4" flagpoint="1" taskid="13054" /&gt;
&lt;n&gt;处&lt;/n</t>
    </r>
    <r>
      <rPr>
        <sz val="10"/>
        <color indexed="9"/>
        <rFont val="宋体"/>
        <family val="3"/>
        <charset val="134"/>
      </rPr>
      <t>&gt;
&lt;/p&gt;</t>
    </r>
    <phoneticPr fontId="6" type="noConversion"/>
  </si>
  <si>
    <r>
      <t>&lt;p&gt;
&lt;n&gt;  护送幸存者到&lt;/n&gt;
 &lt;n&gt; &lt;/n&gt;&lt;goto id="60052" mapid="4" flagpoint="1" taskid="13054"/&gt;
&lt;n&gt;处&lt;/n</t>
    </r>
    <r>
      <rPr>
        <sz val="10"/>
        <color indexed="9"/>
        <rFont val="宋体"/>
        <family val="3"/>
        <charset val="134"/>
      </rPr>
      <t>&gt;
&lt;/p&gt;</t>
    </r>
    <phoneticPr fontId="9" type="noConversion"/>
  </si>
  <si>
    <t>body(   好了好了，你已经知道我想和你说什么了。那就快hot(设置回城点)吧！)</t>
    <phoneticPr fontId="6" type="noConversion"/>
  </si>
  <si>
    <t>&lt;p&gt;
&lt;n&gt;  回复： &lt;/n&gt;
 &lt;n&gt; &lt;/n&gt;&lt;goto id="60567" mapid="5" flagpoint="1" taskid="13502" /&gt;
&lt;/p&gt;</t>
    <phoneticPr fontId="6" type="noConversion"/>
  </si>
  <si>
    <t>title(（71级）寻找帝都)
body(hotyellow_3(任务进程:)newline()
   自71级起，您将可以在新场景帝都活动。大议长君士坦丁委托你前去查看goto(60583,8)帝都位于中立区，每个国家的人都可以前往。充满了危险和机遇。您可以通过沙漠边境后方的跳转点前往。
blankline()hotyellow_3(任务描述:)newline() 
   前往帝都，查看女武神像。)</t>
    <phoneticPr fontId="6" type="noConversion"/>
  </si>
  <si>
    <t>body(   player()，我想你应该更多了解这片神秘的大陆。前往帝都是你生命足迹必不可少的一步。通过沙漠可以前往。到了帝都，拜访下hot(女武神像)吧！)</t>
    <phoneticPr fontId="6" type="noConversion"/>
  </si>
  <si>
    <t>body(   光辉的女武神像充斥着光辉，这里并不是永恒光辉所在之地。却依然有着神圣的气息。)</t>
    <phoneticPr fontId="6" type="noConversion"/>
  </si>
  <si>
    <t>&lt;p&gt;
&lt;n&gt;  回复： &lt;/n&gt;
 &lt;n&gt; &lt;/n&gt;&lt;goto id="60583" mapid="8" flagpoint="1" taskid="13503" /&gt;
&lt;/p&gt;</t>
    <phoneticPr fontId="6" type="noConversion"/>
  </si>
  <si>
    <r>
      <t>body(   消耗1张“卡片：中”与1张“卡片：秋”可兑换1份“月饼”。使用月饼后，可随机获取升级宝石，镶嵌宝石等珍贵道具。月饼每天可兑换上限20次。</t>
    </r>
    <r>
      <rPr>
        <sz val="10"/>
        <rFont val="宋体"/>
        <family val="3"/>
        <charset val="134"/>
      </rPr>
      <t>)</t>
    </r>
    <phoneticPr fontId="6" type="noConversion"/>
  </si>
  <si>
    <r>
      <t>body(   消耗1张“卡片：快”与1张“卡片：乐”可兑换1份“月饼”。使用月饼后，可随机获取升级宝石，镶嵌宝石等珍贵道具。月饼每天可兑换上限20次。</t>
    </r>
    <r>
      <rPr>
        <sz val="10"/>
        <rFont val="宋体"/>
        <family val="3"/>
        <charset val="134"/>
      </rPr>
      <t>)</t>
    </r>
    <phoneticPr fontId="6" type="noConversion"/>
  </si>
  <si>
    <r>
      <t>body(   消耗1张“卡片：中”、1张“卡片：秋”、1张“卡片：快”、1张“卡片：乐”，可兑换1份“奥丁月饼”。使用月饼后，可随机获取升级宝石、镶嵌宝石、特殊坐骑碎片、特殊宠物兑换卡等珍贵道具。奥丁月饼每天可兑换上限20次。</t>
    </r>
    <r>
      <rPr>
        <sz val="10"/>
        <rFont val="宋体"/>
        <family val="3"/>
        <charset val="134"/>
      </rPr>
      <t>)</t>
    </r>
    <phoneticPr fontId="6" type="noConversion"/>
  </si>
  <si>
    <r>
      <t>body(   谢谢你的祝福，这是一张承载着幸福希望的卡片。好好收下，去找你的有缘人吧！</t>
    </r>
    <r>
      <rPr>
        <sz val="10"/>
        <rFont val="宋体"/>
        <family val="3"/>
        <charset val="134"/>
      </rPr>
      <t>)</t>
    </r>
    <phoneticPr fontId="6" type="noConversion"/>
  </si>
  <si>
    <r>
      <t>title(（21级）思念的速递员（女）)
body(hotyellow_3(任务进程:)newline()
   space()space()space()player(),真高兴可以看到你，在最近的日子里，越来越多甜蜜的幸福走到了一起，我也越来越想念我的小塞了，(*^__^*) 嘻嘻……newline()
space()space()space()小塞的全名叫goto(212,3)，他是我的恋人，我希望他能看到我送给他的玫瑰花，但是最近玫瑰实在是太热销了，你可以帮我找到hot(9朵红玫瑰)并送给我的恋人么？
blankline()hotyellow_3(任务描述:)newline()
space()space()space()1.</t>
    </r>
    <r>
      <rPr>
        <sz val="10"/>
        <rFont val="宋体"/>
        <family val="3"/>
        <charset val="134"/>
      </rPr>
      <t>帮助goto(211,3)收集9朵红玫瑰，赠送给goto(212,3)。newline()  
space()space()space()2.红玫瑰可通过hot(商城)中的hot(杂货)购得。newline() 
space()space()space()3.红玫瑰可通过hot(主线任务、活动)获得。newline() 
space()space()space()4.完成任务可获得hot(1天)期限的时装、hot(恋爱称号)和小道具。newline()  
)</t>
    </r>
    <phoneticPr fontId="6" type="noConversion"/>
  </si>
  <si>
    <r>
      <t>"</t>
    </r>
    <r>
      <rPr>
        <sz val="10"/>
        <rFont val="宋体"/>
        <family val="3"/>
        <charset val="134"/>
      </rPr>
      <t>29031-0-9"</t>
    </r>
    <phoneticPr fontId="6" type="noConversion"/>
  </si>
  <si>
    <r>
      <t>title(（21级）思念的速递员（男）)
body(hotyellow_3(任务进程:)newline()
space()space()space()player(),大家都是男人，你懂的…我的心被一个女孩牵走了，我有满满的爱意想向她表达！newline()
space()space()space()我的恋人名叫goto(211,3)，我希望用玫瑰花传达我对她的爱意，但是我跑了很多商店都没能买到红玫瑰，你可以帮我找到hot(9朵红玫瑰)并送给我的恋人么？
blankline()hotyellow_3(任务描述:)newline()
space()space()space()</t>
    </r>
    <r>
      <rPr>
        <sz val="10"/>
        <rFont val="宋体"/>
        <family val="3"/>
        <charset val="134"/>
      </rPr>
      <t>1.帮助goto(212,3)收集9朵红玫瑰，赠送给goto(211,3)。newline()  
space()space()space()2.红玫瑰可通过hot(商城)中的hot(杂货)购得。newline() 
space()space()space()3.红玫瑰可通过hot(主线任务、活动)获得。newline() 
space()space()space()4.完成任务可获得hot(1天)期限的时装、hot(恋爱称号)和小道具。newline()
)</t>
    </r>
    <phoneticPr fontId="6" type="noConversion"/>
  </si>
  <si>
    <r>
      <t>{{30008</t>
    </r>
    <r>
      <rPr>
        <sz val="10"/>
        <rFont val="宋体"/>
        <family val="3"/>
        <charset val="134"/>
      </rPr>
      <t>,0,3,0,"1-1"},{31252,0,1,0,"1-1"},{31262,0,1,0,"1-1"}}</t>
    </r>
    <phoneticPr fontId="6" type="noConversion"/>
  </si>
  <si>
    <r>
      <t xml:space="preserve">title(（30级）恋爱吧，少男少女！)
body(hotyellow_3(任务进程:)newline()
space()space()space()player(),爱之神goto(198,3)来了哦，据说它可以满足情侣的愿望哦，相爱的人可以在丘比特处结为情侣。
blankline()hotyellow_3(任务描述:)newline()
</t>
    </r>
    <r>
      <rPr>
        <sz val="10"/>
        <rFont val="宋体"/>
        <family val="3"/>
        <charset val="134"/>
      </rPr>
      <t xml:space="preserve">   找到爱之神goto(198,3)，向它了解情侣的事情。
 )</t>
    </r>
    <phoneticPr fontId="6" type="noConversion"/>
  </si>
  <si>
    <r>
      <t>&lt;p&gt;
&lt;n&gt;  回复：&lt;/n&gt;
 &lt;n&gt; &lt;/n&gt;&lt;goto id="</t>
    </r>
    <r>
      <rPr>
        <sz val="10"/>
        <rFont val="宋体"/>
        <family val="3"/>
        <charset val="134"/>
      </rPr>
      <t>198" mapid="3" flagpoint="1" taskid="15170"/&gt;
&lt;/p&gt;</t>
    </r>
    <phoneticPr fontId="6" type="noConversion"/>
  </si>
  <si>
    <r>
      <t>{{30007</t>
    </r>
    <r>
      <rPr>
        <sz val="10"/>
        <rFont val="宋体"/>
        <family val="3"/>
        <charset val="134"/>
      </rPr>
      <t>,0,3,0,"1-1"},{31260,0,1,0,"1-1"},{31261,0,1,0,"1-1"}}</t>
    </r>
    <phoneticPr fontId="6" type="noConversion"/>
  </si>
  <si>
    <r>
      <t xml:space="preserve">title(（60级）今天我要嫁给你！)
body(hotyellow_3(任务进程:)newline()
space()space()space()player(),婚姻是爱情的天堂，你愿意与你的爱人一起步入婚礼的殿堂吗？如果你想的话，就去找hot(婚礼殿堂)的hot(维纳斯)见证你们的爱情吧。
blankline()hotyellow_3(任务描述:)newline()
</t>
    </r>
    <r>
      <rPr>
        <sz val="10"/>
        <rFont val="宋体"/>
        <family val="3"/>
        <charset val="134"/>
      </rPr>
      <t xml:space="preserve">   在goto(198,3)处跳转到hot(婚礼殿堂)找到goto(199,156)，向它了解结婚的事情。
 )</t>
    </r>
    <phoneticPr fontId="6" type="noConversion"/>
  </si>
  <si>
    <r>
      <t>&lt;p&gt;
&lt;n&gt;  通过</t>
    </r>
    <r>
      <rPr>
        <sz val="10"/>
        <rFont val="宋体"/>
        <family val="3"/>
        <charset val="134"/>
      </rPr>
      <t>：&lt;/n&gt;&lt;goto id="198" mapid="3" flagpoint="1" taskid="15180"/&gt;
 &lt;n&gt;跳转到婚姻殿堂找维纳斯&lt;/n&gt;
&lt;/p&gt;</t>
    </r>
    <phoneticPr fontId="6" type="noConversion"/>
  </si>
  <si>
    <r>
      <t>[</t>
    </r>
    <r>
      <rPr>
        <sz val="10"/>
        <rFont val="宋体"/>
        <family val="3"/>
        <charset val="134"/>
      </rPr>
      <t>21级]爱的礼赞</t>
    </r>
    <phoneticPr fontId="6" type="noConversion"/>
  </si>
  <si>
    <r>
      <t>title(（21</t>
    </r>
    <r>
      <rPr>
        <sz val="10"/>
        <rFont val="宋体"/>
        <family val="3"/>
        <charset val="134"/>
      </rPr>
      <t>级）爱的礼赞)
body(hotyellow_3(任务进程:)newline()
space()space()space()替hot(爱丽丝)向goto(214,3)传递鼓励的曲奇饼干。
blankline()hotyellow_3(任务描述:)newline()
space()space()space()player(),我的新婚丈夫hot(埃尔加)陷入了音乐创作的低谷，尽管不眠不休的思考，但是还是找不到灵感，作出的曲也差强人意，他也渐渐颓靡消沉，我真的非常担心，为了给他鼓励，这是我亲手制作了一盒曲奇饼干，材料用了hot(埃尔加)平时最喜欢的牛油、巧克力、加仑子等，请你帮我带给埃尔加，给他加油！
 )</t>
    </r>
    <phoneticPr fontId="6" type="noConversion"/>
  </si>
  <si>
    <r>
      <t>body(space()space()space()player(),</t>
    </r>
    <r>
      <rPr>
        <sz val="10"/>
        <rFont val="宋体"/>
        <family val="3"/>
        <charset val="134"/>
      </rPr>
      <t>我的新婚丈夫hot(埃尔加)陷入了音乐创作的低谷，尽管不眠不休的思考，但是还是找不到灵感，作出的曲也差强人意，他也渐渐颓靡消沉，我真的非常担心，为了给他鼓励，这是我亲手制作了一盒曲奇饼干，材料用了hot(埃尔加)平时最喜欢的牛油、巧克力、加仑子等，请你帮我带给埃尔加，给他加油！
 )</t>
    </r>
    <phoneticPr fontId="6" type="noConversion"/>
  </si>
  <si>
    <r>
      <t>body(   啊，真是太感谢你了，这饼干色泽金黄，品尝后，甘香松脆，口感香醇！我已经被深深陶醉了，</t>
    </r>
    <r>
      <rPr>
        <sz val="10"/>
        <rFont val="宋体"/>
        <family val="3"/>
        <charset val="134"/>
      </rPr>
      <t>它让我想起了和hot(爱丽丝)在一起时的美好的时光，我已经有了新的灵感，这样吧，这首曲子的名字就叫《爱的礼赞》吧。)</t>
    </r>
    <phoneticPr fontId="6" type="noConversion"/>
  </si>
  <si>
    <r>
      <t>&lt;p&gt;
&lt;n&gt;  回复：&lt;/n&gt;
 &lt;n&gt; &lt;/n&gt;&lt;goto id="</t>
    </r>
    <r>
      <rPr>
        <sz val="10"/>
        <rFont val="宋体"/>
        <family val="3"/>
        <charset val="134"/>
      </rPr>
      <t>214" mapid="3" flagpoint="1" taskid="15190"/&gt;
&lt;/p&gt;</t>
    </r>
    <phoneticPr fontId="6" type="noConversion"/>
  </si>
  <si>
    <r>
      <t>[21</t>
    </r>
    <r>
      <rPr>
        <sz val="10"/>
        <rFont val="宋体"/>
        <family val="3"/>
        <charset val="134"/>
      </rPr>
      <t>级]皇后恋曲</t>
    </r>
    <phoneticPr fontId="6" type="noConversion"/>
  </si>
  <si>
    <r>
      <t>title(（21</t>
    </r>
    <r>
      <rPr>
        <sz val="10"/>
        <rFont val="宋体"/>
        <family val="3"/>
        <charset val="134"/>
      </rPr>
      <t>级）皇后恋曲)
body(hotyellow_3(任务进程:)newline()
space()space()space()替hot(埃尔加)向goto(213,3)表达谢意。
blankline()hotyellow_3(任务描述:)newline()
space()space()space()player(),这是我刚刚创作的曲子《爱的礼赞》，请你将它献给我的爱妻爱丽丝，请你帮我转告她，因为她的存在，我才会有对音乐创作的热情和信心！
 )</t>
    </r>
    <phoneticPr fontId="6" type="noConversion"/>
  </si>
  <si>
    <r>
      <t>body(space()space()space()player(),这是我刚刚</t>
    </r>
    <r>
      <rPr>
        <sz val="10"/>
        <rFont val="宋体"/>
        <family val="3"/>
        <charset val="134"/>
      </rPr>
      <t>创作的曲子《爱的礼赞》，请你将它献给我的爱妻爱丽丝，请你帮我转告她，因为她的存在，我才会有对音乐创作的热情和信心！
 )</t>
    </r>
    <phoneticPr fontId="6" type="noConversion"/>
  </si>
  <si>
    <r>
      <t xml:space="preserve">body(   《爱的礼赞》真是首美妙的乐曲，我在音乐中感受到了浓浓的爱意，我以后也要做更好吃的曲奇饼干，以一个妻子的方式的支持丈夫的音乐创作……newline()
（后记：埃尔加在妻子的支持鼓励下，最终成为皇家御用音乐导师，《爱的礼赞》也传遍世界各地）
</t>
    </r>
    <r>
      <rPr>
        <sz val="10"/>
        <rFont val="宋体"/>
        <family val="3"/>
        <charset val="134"/>
      </rPr>
      <t>)</t>
    </r>
    <phoneticPr fontId="6" type="noConversion"/>
  </si>
  <si>
    <r>
      <t>&lt;p&gt;
&lt;n&gt;  回复：&lt;/n&gt;
 &lt;n&gt; &lt;/n&gt;&lt;goto id="213</t>
    </r>
    <r>
      <rPr>
        <sz val="10"/>
        <rFont val="宋体"/>
        <family val="3"/>
        <charset val="134"/>
      </rPr>
      <t>" mapid="3" flagpoint="1" taskid="15191"/&gt;
&lt;/p&gt;</t>
    </r>
    <phoneticPr fontId="6" type="noConversion"/>
  </si>
  <si>
    <t>[21级]宠物调查</t>
    <phoneticPr fontId="6" type="noConversion"/>
  </si>
  <si>
    <t>&lt;p&gt;
&lt;n&gt;  回答&lt;/n&gt;
 &lt;n&gt; &lt;/n&gt;&lt;goto id="112" mapid="3" flagpoint="1" taskid="15200" /&gt;
&lt;n&gt;的问题&lt;/n&gt;
&lt;/p&gt;</t>
    <phoneticPr fontId="6" type="noConversion"/>
  </si>
  <si>
    <t>{{31181,3,1,0,"1-1"}}</t>
    <phoneticPr fontId="7" type="noConversion"/>
  </si>
  <si>
    <r>
      <t>body(space()space()space()player(),我又想吃曲奇了，你能不能去给我找到一份“爱的恋曲”曲奇来（可向女性玩家索取曲奇）</t>
    </r>
    <r>
      <rPr>
        <sz val="10"/>
        <rFont val="宋体"/>
        <family val="3"/>
        <charset val="134"/>
      </rPr>
      <t xml:space="preserve">
 )</t>
    </r>
    <phoneticPr fontId="6" type="noConversion"/>
  </si>
  <si>
    <r>
      <t>body(space()space()space()埃尔加品尝曲奇之后，对你流露出了感谢的微笑。</t>
    </r>
    <r>
      <rPr>
        <sz val="10"/>
        <rFont val="宋体"/>
        <family val="3"/>
        <charset val="134"/>
      </rPr>
      <t xml:space="preserve">
 )</t>
    </r>
    <phoneticPr fontId="6" type="noConversion"/>
  </si>
  <si>
    <r>
      <t>body(space()space()space()player(),我又想听歌了，你可以给我找一曲《爱的礼赞》来么。（可向男性玩家索取曲子）</t>
    </r>
    <r>
      <rPr>
        <sz val="10"/>
        <rFont val="宋体"/>
        <family val="3"/>
        <charset val="134"/>
      </rPr>
      <t xml:space="preserve">
 )</t>
    </r>
    <phoneticPr fontId="6" type="noConversion"/>
  </si>
  <si>
    <r>
      <t>body(space()space()space()爱丽丝听了歌曲之后，对你流露出了感谢的微笑。</t>
    </r>
    <r>
      <rPr>
        <sz val="10"/>
        <rFont val="宋体"/>
        <family val="3"/>
        <charset val="134"/>
      </rPr>
      <t xml:space="preserve">
 )</t>
    </r>
    <phoneticPr fontId="6" type="noConversion"/>
  </si>
  <si>
    <t>&lt;p&gt;
&lt;n&gt;  击杀： &lt;/n&gt; 
 &lt;n&gt; &lt;/n&gt;&lt;goto id="22907" mapid="109" flagpoint="1" taskid="30273" /&gt;
&lt;/p&gt;</t>
    <phoneticPr fontId="6" type="noConversion"/>
  </si>
  <si>
    <t>title(（31级）精力值兑换)
body(hotyellow_3(任务进程:)newline()
   寻找goto(60049,3)使用精力值兑换一次道具。
blankline()hotyellow_3(任务描述:)newline() 
space()space()space()如果你精力值多的用不掉的话，我可以推荐你见一个人。
)</t>
    <phoneticPr fontId="6" type="noConversion"/>
  </si>
  <si>
    <t>title(（活动）（充满活力的人）)
body(hotyellow_3(任务进程:)newline()
space()space()space()hot(每日参与活动获得活力点)，本日活力点达到80以后，回复goto(229,3)。
blankline()hotyellow_3(任务描述:)newline() 
space()space()space()通过hot(快捷键“E”)打开日常活动，打开该界面中右上角的hot(我的活力点情况)可查询当前的活力点与可或的活力点的任务。newline()
space()space()space()hot(如果您发现任务无法交付的话，请检查下您的活力点是否满足，今日活力点达到80点以后，就可以交付任务了)
)</t>
    <phoneticPr fontId="6" type="noConversion"/>
  </si>
  <si>
    <t>title(（活动）（商人的旅行日记）)
body(hotyellow_3(任务进程:)newline()
   商人的日记记录了风霜的经验，久经历练，右击使用日记可以获得经验，回复goto(229,3)。
blankline()hotyellow_3(任务描述:)newline() 
space()space()space()因为记录的比较零乱，所以每次阅读后都需要一段时间理解，也许会一天都读不完只能慢慢翻阅。（如果将日记页通过“材料合成”整理下，那么就可以加速阅读，瞬间了解故事）
)</t>
    <phoneticPr fontId="6" type="noConversion"/>
  </si>
  <si>
    <t>"您需要寻找一个拥有营养晶果[B阶]的朋友，通过（邀请合并）方式获得装满营养的胶囊"</t>
    <phoneticPr fontId="6" type="noConversion"/>
  </si>
  <si>
    <t>body(    如果您帮助别人，从而获得了更多的“幸运瓶”，请交给我吧！（两个分别拥有“幸运瓶（空）”和“四叶草”的玩家通过邀请合并方式可获得“幸运瓶”）)</t>
    <phoneticPr fontId="6" type="noConversion"/>
  </si>
  <si>
    <r>
      <t>{{30018,3,3</t>
    </r>
    <r>
      <rPr>
        <b/>
        <sz val="10"/>
        <color indexed="10"/>
        <rFont val="宋体"/>
        <family val="3"/>
        <charset val="134"/>
      </rPr>
      <t>,0,"1-1"}}</t>
    </r>
    <phoneticPr fontId="6" type="noConversion"/>
  </si>
  <si>
    <r>
      <t>{{31498,3,108</t>
    </r>
    <r>
      <rPr>
        <b/>
        <sz val="10"/>
        <color indexed="10"/>
        <rFont val="宋体"/>
        <family val="3"/>
        <charset val="134"/>
      </rPr>
      <t>,0,""}}</t>
    </r>
    <phoneticPr fontId="6" type="noConversion"/>
  </si>
  <si>
    <r>
      <t>{{29025,3,3</t>
    </r>
    <r>
      <rPr>
        <b/>
        <sz val="10"/>
        <color indexed="10"/>
        <rFont val="宋体"/>
        <family val="3"/>
        <charset val="134"/>
      </rPr>
      <t>,0,"1-1"}}</t>
    </r>
    <phoneticPr fontId="6" type="noConversion"/>
  </si>
  <si>
    <r>
      <t>{{27125,3,2</t>
    </r>
    <r>
      <rPr>
        <b/>
        <sz val="10"/>
        <color indexed="10"/>
        <rFont val="宋体"/>
        <family val="3"/>
        <charset val="134"/>
      </rPr>
      <t>,0,"1-1"},{27126,3,10,0,"1-1"}}</t>
    </r>
    <phoneticPr fontId="6" type="noConversion"/>
  </si>
  <si>
    <t>body(   在这个战乱的年代，谁也无法逃脱战争的命运，无数的勇者也从这片杀戮的战场中走向了王的宝座。举起剑，战斗吧！我会与你并肩作战，无论是为了开拓国家的疆土或者捍卫帝国的尊严！请收集1枚国战勋章给我。)</t>
    <phoneticPr fontId="6" type="noConversion"/>
  </si>
  <si>
    <r>
      <t>{{30008,3,2</t>
    </r>
    <r>
      <rPr>
        <b/>
        <sz val="10"/>
        <color indexed="10"/>
        <rFont val="宋体"/>
        <family val="3"/>
        <charset val="134"/>
      </rPr>
      <t>,0,"1-1"}}</t>
    </r>
    <phoneticPr fontId="6" type="noConversion"/>
  </si>
  <si>
    <t>body(   我与艾伦王子也是一次战场中相遇的，爱的力量可以使干戈化为玉帛，我希望你也能遇到命中注定的那个人，我真心地祝福你们！去找莎士比亚，看看你的情缘在哪里？)</t>
    <phoneticPr fontId="6" type="noConversion"/>
  </si>
  <si>
    <r>
      <t>{{31490,3,2</t>
    </r>
    <r>
      <rPr>
        <b/>
        <sz val="10"/>
        <color indexed="10"/>
        <rFont val="宋体"/>
        <family val="3"/>
        <charset val="134"/>
      </rPr>
      <t>,0,"1-1"}}</t>
    </r>
    <phoneticPr fontId="6" type="noConversion"/>
  </si>
  <si>
    <t>body(   我总重复着那个悲伤的梦，进入梦境，看看究竟发生了什么……)</t>
    <phoneticPr fontId="6" type="noConversion"/>
  </si>
  <si>
    <t>body(   活动期间，hot(41级)以上玩家每天上线可以在我这里免费领取5壶雄黄酒，品美酒后可以获得大量角色经验。
酒量不好的人，喝1壶后需要休息一阵，酒量好的人，可以找我换成1坛的，一口气把它们喝光哦！)</t>
    <phoneticPr fontId="6" type="noConversion"/>
  </si>
  <si>
    <r>
      <t>{{31508,3,3</t>
    </r>
    <r>
      <rPr>
        <b/>
        <sz val="10"/>
        <color indexed="10"/>
        <rFont val="宋体"/>
        <family val="3"/>
        <charset val="134"/>
      </rPr>
      <t>,0,"1-1"},{31509,3,1,0,"1-1"}}</t>
    </r>
    <phoneticPr fontId="6" type="noConversion"/>
  </si>
  <si>
    <r>
      <t>{{31530,3,3</t>
    </r>
    <r>
      <rPr>
        <b/>
        <sz val="10"/>
        <color indexed="10"/>
        <rFont val="宋体"/>
        <family val="3"/>
        <charset val="134"/>
      </rPr>
      <t>,0,"1-1"}}</t>
    </r>
    <phoneticPr fontId="6" type="noConversion"/>
  </si>
  <si>
    <r>
      <t>{{31542,3,1</t>
    </r>
    <r>
      <rPr>
        <b/>
        <sz val="10"/>
        <color indexed="10"/>
        <rFont val="宋体"/>
        <family val="3"/>
        <charset val="134"/>
      </rPr>
      <t>,0,"1-1"}}</t>
    </r>
    <phoneticPr fontId="6" type="noConversion"/>
  </si>
  <si>
    <t>body(   活动期间，情侣关系的玩家，可前往goto(198,3)处免费领取1次“织女的祝福”礼盒。)</t>
    <phoneticPr fontId="6" type="noConversion"/>
  </si>
  <si>
    <t>body(   喵喵总算回来了，我得罚他今天的晚餐。嗯……就从10条鱼变成9条好了！)</t>
    <phoneticPr fontId="6" type="noConversion"/>
  </si>
  <si>
    <r>
      <t>{{55003,3,2</t>
    </r>
    <r>
      <rPr>
        <b/>
        <sz val="10"/>
        <color indexed="10"/>
        <rFont val="宋体"/>
        <family val="3"/>
        <charset val="134"/>
      </rPr>
      <t>,0,""}}</t>
    </r>
    <phoneticPr fontId="6" type="noConversion"/>
  </si>
  <si>
    <r>
      <t>{{55003,3,2</t>
    </r>
    <r>
      <rPr>
        <b/>
        <sz val="10"/>
        <color indexed="10"/>
        <rFont val="宋体"/>
        <family val="3"/>
        <charset val="134"/>
      </rPr>
      <t>,0,""}}</t>
    </r>
    <r>
      <rPr>
        <sz val="11"/>
        <color theme="1"/>
        <rFont val="宋体"/>
        <family val="2"/>
        <charset val="134"/>
        <scheme val="minor"/>
      </rPr>
      <t/>
    </r>
  </si>
  <si>
    <r>
      <t>{{55001,3,1</t>
    </r>
    <r>
      <rPr>
        <b/>
        <sz val="10"/>
        <color indexed="10"/>
        <rFont val="宋体"/>
        <family val="3"/>
        <charset val="134"/>
      </rPr>
      <t>,0,"1-1"}}</t>
    </r>
    <r>
      <rPr>
        <sz val="11"/>
        <color theme="1"/>
        <rFont val="宋体"/>
        <family val="2"/>
        <charset val="134"/>
        <scheme val="minor"/>
      </rPr>
      <t/>
    </r>
    <phoneticPr fontId="6" type="noConversion"/>
  </si>
  <si>
    <r>
      <t>{{55028,3,1</t>
    </r>
    <r>
      <rPr>
        <b/>
        <sz val="10"/>
        <color indexed="10"/>
        <rFont val="宋体"/>
        <family val="3"/>
        <charset val="134"/>
      </rPr>
      <t>,0,"1-1"}}</t>
    </r>
    <r>
      <rPr>
        <sz val="11"/>
        <color theme="1"/>
        <rFont val="宋体"/>
        <family val="2"/>
        <charset val="134"/>
        <scheme val="minor"/>
      </rPr>
      <t/>
    </r>
    <phoneticPr fontId="6" type="noConversion"/>
  </si>
  <si>
    <r>
      <t>{{55027,3,3</t>
    </r>
    <r>
      <rPr>
        <b/>
        <sz val="10"/>
        <color indexed="10"/>
        <rFont val="宋体"/>
        <family val="3"/>
        <charset val="134"/>
      </rPr>
      <t>,0,""}}</t>
    </r>
    <r>
      <rPr>
        <sz val="11"/>
        <color theme="1"/>
        <rFont val="宋体"/>
        <family val="2"/>
        <charset val="134"/>
        <scheme val="minor"/>
      </rPr>
      <t/>
    </r>
    <phoneticPr fontId="6" type="noConversion"/>
  </si>
  <si>
    <r>
      <t>{{55030,3,5</t>
    </r>
    <r>
      <rPr>
        <b/>
        <sz val="10"/>
        <color indexed="10"/>
        <rFont val="宋体"/>
        <family val="3"/>
        <charset val="134"/>
      </rPr>
      <t>,0,"1-1"}}</t>
    </r>
    <r>
      <rPr>
        <sz val="11"/>
        <color theme="1"/>
        <rFont val="宋体"/>
        <family val="2"/>
        <charset val="134"/>
        <scheme val="minor"/>
      </rPr>
      <t/>
    </r>
    <phoneticPr fontId="6" type="noConversion"/>
  </si>
  <si>
    <r>
      <t>{{55037,3,1</t>
    </r>
    <r>
      <rPr>
        <b/>
        <sz val="10"/>
        <color indexed="10"/>
        <rFont val="宋体"/>
        <family val="3"/>
        <charset val="134"/>
      </rPr>
      <t>,0,"1-1"}}</t>
    </r>
    <r>
      <rPr>
        <sz val="11"/>
        <color theme="1"/>
        <rFont val="宋体"/>
        <family val="2"/>
        <charset val="134"/>
        <scheme val="minor"/>
      </rPr>
      <t/>
    </r>
    <phoneticPr fontId="6" type="noConversion"/>
  </si>
  <si>
    <t>body(   使用神兵残魂，就可以通过合成功能将装备提升到hot(更高的品质)。)</t>
    <phoneticPr fontId="6" type="noConversion"/>
  </si>
  <si>
    <t>title([27级]合成)
body(hotyellow_3(任务进程:)newline()
   将5件白色的hot(紫铜甲)通过hot(合成功能)，合成为一件蓝色的hot(紫铜甲)后交给goto(102,2)。
blankline()hotyellow_3(任务描述:)newline() 
   使用神兵残魂，就可以通过合成功能将装备提升到hot(更高的品质)。)</t>
    <phoneticPr fontId="6" type="noConversion"/>
  </si>
  <si>
    <t>body(   装备根据品质，由低至高分为白色品质，蓝色品质，黄色品质和绿色品质。)</t>
    <phoneticPr fontId="6" type="noConversion"/>
  </si>
  <si>
    <t>&lt;p&gt;&lt;n&gt;合成装备的操作：&lt;/n&gt;&lt;newline/&gt;&lt;n&gt;1.打开“强化”界面；&lt;/n&gt;&lt;newline/&gt;&lt;n&gt;2.左键拖动，或右击本装备自动放入界面中间的“装备”位；&lt;/n&gt;&lt;newline/&gt;&lt;n&gt;3.点击“放入装备”按钮；&lt;/n&gt;&lt;newline/&gt;&lt;n&gt;4.再点击界面右下角“开始”按钮。&lt;/n&gt;&lt;/p&gt;</t>
    <phoneticPr fontId="6" type="noConversion"/>
  </si>
  <si>
    <t>&lt;n effect=4 font=2 color=White scolor=Turp&gt;通过合成，提升装备品质&lt;/n&gt;</t>
    <phoneticPr fontId="6" type="noConversion"/>
  </si>
  <si>
    <t>&lt;p&gt;
&lt;n&gt;  &lt;/n&gt;
&lt;dialog taskid="6113" text="在合成界面" hotkeyid="12" /&gt;
&lt;n&gt;将5件白装合为1件蓝装&lt;/n&gt;
&lt;/p&gt;</t>
    <phoneticPr fontId="6" type="noConversion"/>
  </si>
  <si>
    <t>&lt;p&gt;
&lt;n&gt;  交：&lt;/n&gt;
 &lt;n&gt; &lt;/n&gt;&lt;goto quick="1" id="102" mapid="2" flagpoint="1" taskid="6113"/&gt;&lt;/p&gt;</t>
    <phoneticPr fontId="6" type="noConversion"/>
  </si>
  <si>
    <t>&lt;p&gt;
&lt;n&gt;  交：&lt;/n&gt;
 &lt;n&gt; &lt;/n&gt;&lt;goto quick="1" id="102" mapid="2" flagpoint="1" taskid="7112"/&gt;&lt;/p&gt;</t>
    <phoneticPr fontId="6" type="noConversion"/>
  </si>
  <si>
    <t>&lt;p&gt;
&lt;n&gt;  交：&lt;/n&gt;
 &lt;n&gt; &lt;/n&gt;&lt;goto quick="1" id="102" mapid="2" flagpoint="1" taskid="7113"/&gt;&lt;/p&gt;</t>
    <phoneticPr fontId="6" type="noConversion"/>
  </si>
  <si>
    <t>&lt;p&gt;
&lt;n&gt;  交：&lt;/n&gt;
 &lt;n&gt; &lt;/n&gt;&lt;goto quick="1" id="102" mapid="2" flagpoint="1" taskid="7114"/&gt;&lt;/p&gt;</t>
    <phoneticPr fontId="6" type="noConversion"/>
  </si>
  <si>
    <t>&lt;p&gt;
&lt;n&gt;  找：&lt;/n&gt;
 &lt;n&gt; &lt;/n&gt;&lt;goto quick="1" id="102" mapid="2" flagpoint="1" taskid="6123" /&gt;
&lt;/p&gt;</t>
    <phoneticPr fontId="6" type="noConversion"/>
  </si>
  <si>
    <t>&lt;p&gt;
&lt;n&gt;  交：&lt;/n&gt;
 &lt;n&gt; &lt;/n&gt;&lt;goto quick="1" id="102" mapid="2" flagpoint="1" taskid="6123"/&gt;&lt;/p&gt;</t>
    <phoneticPr fontId="6" type="noConversion"/>
  </si>
  <si>
    <t>{{19100,0,1,0,"1-1,4-1"}}</t>
    <phoneticPr fontId="6" type="noConversion"/>
  </si>
  <si>
    <t>{{17100,0,1,0,"1-1,4-1"}}</t>
    <phoneticPr fontId="6" type="noConversion"/>
  </si>
  <si>
    <t>{{23041,0,25,1,"1-1"}}</t>
    <phoneticPr fontId="6" type="noConversion"/>
  </si>
  <si>
    <t>{{26900,0,25,1,"1-1"}}</t>
    <phoneticPr fontId="6" type="noConversion"/>
  </si>
  <si>
    <t>{{26902,0,25,1,"1-1"}}</t>
    <phoneticPr fontId="6" type="noConversion"/>
  </si>
  <si>
    <t>{{26904,0,25,1,"1-1"}}</t>
    <phoneticPr fontId="6" type="noConversion"/>
  </si>
  <si>
    <t>{{50100,0,1,0,"1-1"}}</t>
    <phoneticPr fontId="6" type="noConversion"/>
  </si>
  <si>
    <t>{{27127,0,2,1,"1-1"}}</t>
    <phoneticPr fontId="6" type="noConversion"/>
  </si>
  <si>
    <t>{{23037,0,25,1,"1-1"}}</t>
    <phoneticPr fontId="6" type="noConversion"/>
  </si>
  <si>
    <t>{{23041,0,25,1,"1-1"}}</t>
    <phoneticPr fontId="6" type="noConversion"/>
  </si>
  <si>
    <t>{{27100,0,10,1,"1-1"}}</t>
    <phoneticPr fontId="6" type="noConversion"/>
  </si>
  <si>
    <t>{{15100,0,1,0,"1-1,4-1"}}</t>
    <phoneticPr fontId="6" type="noConversion"/>
  </si>
  <si>
    <t>{{27127,0,2,1,"1-1"}}</t>
    <phoneticPr fontId="6" type="noConversion"/>
  </si>
  <si>
    <t>{{23037,0,25,1,"1-1"}}</t>
    <phoneticPr fontId="6" type="noConversion"/>
  </si>
  <si>
    <t>{{16100,0,1,0,"1-1,4-1"}}</t>
    <phoneticPr fontId="6" type="noConversion"/>
  </si>
  <si>
    <t>{{18100,0,1,0,"1-1,4-1"}}</t>
    <phoneticPr fontId="6" type="noConversion"/>
  </si>
  <si>
    <t>&lt;n effect=4 font=2 color=White scolor=Turp&gt;铁匠老板对装备很有见解&lt;/n&gt;</t>
    <phoneticPr fontId="6" type="noConversion"/>
  </si>
  <si>
    <t>&lt;p&gt;
&lt;n&gt;  找：&lt;/n&gt;
 &lt;n&gt; &lt;/n&gt;&lt;goto quick="1" id="102" mapid="2" flagpoint="1" taskid="6112" /&gt;
&lt;/p&gt;</t>
    <phoneticPr fontId="6" type="noConversion"/>
  </si>
  <si>
    <t>&lt;p&gt;
&lt;n&gt;  交：&lt;/n&gt;
 &lt;n&gt; &lt;/n&gt;&lt;goto quick="1" id="102" mapid="2" flagpoint="1" taskid="6112"/&gt;&lt;/p&gt;</t>
    <phoneticPr fontId="6" type="noConversion"/>
  </si>
  <si>
    <t>[7级]司命之神</t>
    <phoneticPr fontId="6" type="noConversion"/>
  </si>
  <si>
    <t>[8级]良驹</t>
    <phoneticPr fontId="6" type="noConversion"/>
  </si>
  <si>
    <t>title( [7级]司命之神)
body(hotyellow_3(任务进程:)newline()
   去找goto(60045,1)。
blankline()hotyellow_3(任务描述:)newline() 
  司命之神有事情找你，快去拜访她吧。)</t>
    <phoneticPr fontId="6" type="noConversion"/>
  </si>
  <si>
    <t>body(   司命之神有事情找你。)</t>
    <phoneticPr fontId="6" type="noConversion"/>
  </si>
  <si>
    <t>&lt;n effect=4 font=2 color=White scolor=Turp&gt;司命之神有事找你&lt;/n&gt;</t>
    <phoneticPr fontId="6" type="noConversion"/>
  </si>
  <si>
    <t>&lt;p&gt;
&lt;n&gt;  找：&lt;/n&gt;
 &lt;n&gt; &lt;/n&gt;&lt;goto quick="1" id="60045" mapid="1" flagpoint="1" taskid="6017" /&gt;
&lt;/p&gt;</t>
    <phoneticPr fontId="6" type="noConversion"/>
  </si>
  <si>
    <t>&lt;p&gt;
&lt;n&gt;  交：&lt;/n&gt;
 &lt;n&gt; &lt;/n&gt;&lt;goto quick="1" id="60045" mapid="1" flagpoint="1" taskid="6017"/&gt;&lt;/p&gt;</t>
    <phoneticPr fontId="6" type="noConversion"/>
  </si>
  <si>
    <t>body(   你听说过赤兔马吗？人中吕布，马中赤兔。良驹是战将助力。)</t>
    <phoneticPr fontId="6" type="noConversion"/>
  </si>
  <si>
    <t>body(   此良驹颇通灵性，希望你能善用它。)</t>
    <phoneticPr fontId="6" type="noConversion"/>
  </si>
  <si>
    <t>title( [8级]良驹)
body(hotyellow_3(任务进程:)newline()
   回答坐骑相关问题后，回复goto(60046,1)。
blankline()hotyellow_3(任务描述:)newline() 
    按hot("T"键)可以快速骑乘坐骑。坐骑在背包内，需要点击使用。)</t>
    <phoneticPr fontId="6" type="noConversion"/>
  </si>
  <si>
    <t>&lt;p&gt;
&lt;n&gt;  回答：&lt;/n&gt;&lt;goto quick="1" id="60045" mapid="1" flagpoint="1" taskid="6018"/&gt;
&lt;n&gt;的问题&lt;/n&gt;
&lt;/p&gt;</t>
    <phoneticPr fontId="6" type="noConversion"/>
  </si>
  <si>
    <t>&lt;p&gt;
&lt;n&gt;  回答：&lt;/n&gt;&lt;goto quick="1" id="60045" mapid="1" flagpoint="1" taskid="7018"/&gt;
&lt;n&gt;的问题&lt;/n&gt;
&lt;/p&gt;</t>
    <phoneticPr fontId="6" type="noConversion"/>
  </si>
  <si>
    <t>&lt;p&gt;
&lt;n&gt;  回答：&lt;/n&gt;&lt;goto quick="1" id="60045" mapid="1" flagpoint="1" taskid="7019"/&gt;
&lt;n&gt;的问题&lt;/n&gt;
&lt;/p&gt;</t>
    <phoneticPr fontId="6" type="noConversion"/>
  </si>
  <si>
    <t>&lt;p&gt;
&lt;n&gt;  回答：&lt;/n&gt;&lt;goto quick="1" id="60045" mapid="1" flagpoint="1" taskid="7020"/&gt;
&lt;n&gt;的问题&lt;/n&gt;
&lt;/p&gt;</t>
    <phoneticPr fontId="6" type="noConversion"/>
  </si>
  <si>
    <t>&lt;p&gt;
&lt;n&gt;  交：&lt;/n&gt;
 &lt;n&gt; &lt;/n&gt;&lt;goto quick="1" id="60045" mapid="1" flagpoint="1" taskid="6018"/&gt;&lt;/p&gt;</t>
    <phoneticPr fontId="6" type="noConversion"/>
  </si>
  <si>
    <t>&lt;p&gt;
&lt;n&gt;  交：&lt;/n&gt;
 &lt;n&gt; &lt;/n&gt;&lt;goto quick="1" id="60045" mapid="1" flagpoint="1" taskid="7018"/&gt;&lt;/p&gt;</t>
    <phoneticPr fontId="6" type="noConversion"/>
  </si>
  <si>
    <t>&lt;p&gt;
&lt;n&gt;  交：&lt;/n&gt;
 &lt;n&gt; &lt;/n&gt;&lt;goto quick="1" id="60045" mapid="1" flagpoint="1" taskid="7019"/&gt;&lt;/p&gt;</t>
    <phoneticPr fontId="6" type="noConversion"/>
  </si>
  <si>
    <t>&lt;p&gt;
&lt;n&gt;  交：&lt;/n&gt;
 &lt;n&gt; &lt;/n&gt;&lt;goto quick="1" id="60045" mapid="1" flagpoint="1" taskid="7020"/&gt;&lt;/p&gt;</t>
    <phoneticPr fontId="6" type="noConversion"/>
  </si>
  <si>
    <t>[8级]心事</t>
    <phoneticPr fontId="6" type="noConversion"/>
  </si>
  <si>
    <t>title( [8级]心事)
body(hotyellow_3(任务进程:)newline()
   去找goto(60007,1)。
blankline()hotyellow_3(任务描述:)newline() 
   貂蝉是我机缘巧合之下带到桃源圣地的。但是她整天愁眉不展，哎，红颜薄命啊。 )</t>
    <phoneticPr fontId="6" type="noConversion"/>
  </si>
  <si>
    <t>body(   貂蝉是我机缘巧合之下带到桃源圣地的。但是她整天愁眉不展，哎，红颜薄命啊。)</t>
    <phoneticPr fontId="6" type="noConversion"/>
  </si>
  <si>
    <t>[9级]祭奠</t>
    <phoneticPr fontId="6" type="noConversion"/>
  </si>
  <si>
    <t>[9级]封印之符</t>
    <phoneticPr fontId="6" type="noConversion"/>
  </si>
  <si>
    <t>title( [9级]祭奠)
body(hotyellow_3(任务进程:)newline()
   去goto(2004,1)祭奠后，回复goto(60007,1)。
blankline()hotyellow_3(任务描述:)newline() 
  自从夫君殒命后，我本想随他而去。但是，司命大人救了我，他说，我夫君命不该绝，机缘到了，我还能再见到他。我夫君的衣冠冢在小河边，能帮我去祭奠下吗？)</t>
    <phoneticPr fontId="6" type="noConversion"/>
  </si>
  <si>
    <t>title( [9级]封印之符)
body(hotyellow_3(任务进程:)newline()
   消灭goto(10106,1)后，回复goto(60007,1)。
blankline()hotyellow_3(任务描述:)newline() 
   少侠年少有为，这里有夫君身前神力封印之符。也许可以助你一臂之力。)</t>
    <phoneticPr fontId="6" type="noConversion"/>
  </si>
  <si>
    <t>{{27108,0,40,0,"1-1"}}</t>
    <phoneticPr fontId="6" type="noConversion"/>
  </si>
  <si>
    <t>{{20601,0,1,0,"1-1"},{27125,0,5,0,"1-1"}}</t>
    <phoneticPr fontId="6" type="noConversion"/>
  </si>
  <si>
    <t>{{20606,0,1,0,"1-1"},{27125,0,5,0,"1-1"}}</t>
    <phoneticPr fontId="6" type="noConversion"/>
  </si>
  <si>
    <t>{{20611,0,1,0,"1-1"},{27125,0,5,0,"1-1"}}</t>
    <phoneticPr fontId="6" type="noConversion"/>
  </si>
  <si>
    <t>&lt;n effect=4 font=2 color=White scolor=Turp&gt;封印的神兵已经等待你很久了&lt;/n&gt;</t>
    <phoneticPr fontId="6" type="noConversion"/>
  </si>
  <si>
    <t>&lt;n effect=4 font=2 color=White scolor=Turp&gt;争分夺秒&lt;/n&gt;</t>
  </si>
  <si>
    <t>&lt;n effect=4 font=2 color=White scolor=Turp&gt;&lt;/n&gt;</t>
  </si>
  <si>
    <t>&lt;n effect=4 font=2 color=White scolor=Turp&gt;寻找指定NPC&lt;/n&gt;</t>
  </si>
  <si>
    <t>&lt;n effect=4 font=2 color=White scolor=Turp&gt;击杀指定数量怪物&lt;/n&gt;</t>
  </si>
  <si>
    <t>&lt;n effect=4 font=2 color=White scolor=Turp&gt;寻找装备&lt;/n&gt;</t>
  </si>
  <si>
    <t>&lt;n effect=4 font=2 color=White scolor=Turp&gt;进行护送任务&lt;/n&gt;</t>
  </si>
  <si>
    <t>&lt;n effect=4 font=2 color=White scolor=Turp&gt;进行勘探任务&lt;/n&gt;</t>
  </si>
  <si>
    <t>&lt;n effect=4 font=2 color=White scolor=Turp&gt;收集收集指定的材料&lt;/n&gt;</t>
  </si>
  <si>
    <t>&lt;n effect=4 font=2 color=White scolor=Turp&gt;收集指定的材料&lt;/n&gt;</t>
  </si>
  <si>
    <t>&lt;n effect=4 font=2 color=White scolor=Turp&gt;收集指定的道具&lt;/n&gt;</t>
  </si>
  <si>
    <t>&lt;n effect=4 font=2 color=White scolor=Turp&gt;驯化一只宠物&lt;/n&gt;</t>
  </si>
  <si>
    <t>&lt;n effect=4 font=2 color=White scolor=Turp&gt;击杀指定的精英怪&lt;/n&gt;</t>
  </si>
  <si>
    <t>&lt;n effect=4 font=2 color=White scolor=Turp&gt;破坏对方帮会事装置&lt;/n&gt;</t>
  </si>
  <si>
    <t>&lt;n effect=4 font=2 color=White scolor=Turp&gt;破坏对方生物装置&lt;/n&gt;</t>
  </si>
  <si>
    <t>&lt;n effect=4 font=2 color=White scolor=Turp&gt;破坏对方指挥所&lt;/n&gt;</t>
  </si>
  <si>
    <t>&lt;n effect=4 font=2 color=White scolor=Turp&gt;安装窃听器&lt;/n&gt;</t>
  </si>
  <si>
    <t>&lt;n effect=4 font=2 color=White scolor=Turp&gt;召唤怪物&lt;/n&gt;</t>
  </si>
  <si>
    <t>&lt;n effect=4 font=2 color=White scolor=Turp&gt;收集装备&lt;/n&gt;</t>
  </si>
  <si>
    <t>&lt;n effect=4 font=2 color=White scolor=Turp&gt;收集武器&lt;/n&gt;</t>
  </si>
  <si>
    <t>&lt;n effect=4 font=2 color=White scolor=Turp&gt;护送任务&lt;/n&gt;</t>
  </si>
  <si>
    <t>&lt;n effect=4 font=2 color=White scolor=Turp&gt;秘密信使&lt;/n&gt;</t>
  </si>
  <si>
    <t>&lt;n effect=4 font=2 color=White scolor=Turp&gt;取回物品&lt;/n&gt;</t>
  </si>
  <si>
    <t>&lt;n effect=4 font=2 color=White scolor=Turp&gt;打磨刀具&lt;/n&gt;</t>
  </si>
  <si>
    <t>&lt;n effect=4 font=2 color=White scolor=Turp&gt;砍柴&lt;/n&gt;</t>
  </si>
  <si>
    <t>&lt;n effect=4 font=2 color=White scolor=Turp&gt;查探&lt;/n&gt;</t>
  </si>
  <si>
    <t>&lt;n effect=4 font=2 color=White scolor=Turp&gt;砍伐桃木&lt;/n&gt;</t>
  </si>
  <si>
    <t>&lt;n effect=4 font=2 color=White scolor=Turp&gt;夺回物品&lt;/n&gt;</t>
  </si>
  <si>
    <t>&lt;n effect=4 font=2 color=White scolor=Turp&gt;探查指定的区域&lt;/n&gt;</t>
  </si>
  <si>
    <t>&lt;n effect=4 font=2 color=White scolor=Turp&gt;找到指定道具&lt;/n&gt;</t>
  </si>
  <si>
    <t>&lt;n effect=4 font=2 color=White scolor=Turp&gt;去本国沙漠杀死指定数量的怪&lt;/n&gt;</t>
  </si>
  <si>
    <t>&lt;n effect=4 font=2 color=White scolor=Turp&gt;收集书籍&lt;/n&gt;</t>
  </si>
  <si>
    <t>&lt;n effect=4 font=2 color=White scolor=Turp&gt;搜集指定的装备&lt;/n&gt;</t>
  </si>
  <si>
    <t>body(  藏形变身，自在吾心。盾形幻千，随意所欲。
hot(每人每天最多完成10次乱世历练任务，每环任务比上1环任务经验额外增加20%。))</t>
    <phoneticPr fontId="6" type="noConversion"/>
  </si>
  <si>
    <t>左慈</t>
  </si>
  <si>
    <t>body(    仙人左慈正在凤城，如果能得到他的指点，对你很有帮助。)</t>
    <phoneticPr fontId="6" type="noConversion"/>
  </si>
  <si>
    <t>body(  乱世需要历练啊！)</t>
    <phoneticPr fontId="6" type="noConversion"/>
  </si>
  <si>
    <t>&lt;n effect=4 font=2 color=White scolor=Turp&gt;寻找左慈，完成乱世历练&lt;/n&gt;</t>
    <phoneticPr fontId="6" type="noConversion"/>
  </si>
  <si>
    <t>&lt;p&gt;
&lt;n&gt;  找：&lt;/n&gt;
 &lt;n&gt; &lt;/n&gt;&lt;goto quick="1" id="576" mapid="2" flagpoint="1" taskid="6155" /&gt;
&lt;/p&gt;</t>
    <phoneticPr fontId="6" type="noConversion"/>
  </si>
  <si>
    <t>&lt;p&gt;
&lt;n&gt;  交：&lt;/n&gt;
 &lt;n&gt; &lt;/n&gt;&lt;goto quick="1" id="576" mapid="2" flagpoint="1" taskid="6155"/&gt;&lt;/p&gt;</t>
    <phoneticPr fontId="6" type="noConversion"/>
  </si>
  <si>
    <t>[39级]藏书</t>
    <phoneticPr fontId="6" type="noConversion"/>
  </si>
  <si>
    <t>[40级]致谢</t>
    <phoneticPr fontId="6" type="noConversion"/>
  </si>
  <si>
    <t>&lt;n effect=4 font=2 color=White scolor=Turp&gt;墨缺感谢城主找回丢失书籍&lt;/n&gt;</t>
    <phoneticPr fontId="6" type="noConversion"/>
  </si>
  <si>
    <t>&lt;p&gt;
&lt;n&gt;  找：&lt;/n&gt;
 &lt;n&gt; &lt;/n&gt;&lt;goto quick="1" id="542" mapid="2" flagpoint="1" taskid="6256" /&gt;
&lt;/p&gt;</t>
    <phoneticPr fontId="6" type="noConversion"/>
  </si>
  <si>
    <t>&lt;p&gt;
&lt;n&gt;  找：&lt;/n&gt;
 &lt;n&gt; &lt;/n&gt;&lt;goto quick="1" id="503" mapid="2" flagpoint="1" taskid="6257" /&gt;
&lt;/p&gt;</t>
    <phoneticPr fontId="6" type="noConversion"/>
  </si>
  <si>
    <t>&lt;p&gt;
&lt;n&gt;  交：&lt;/n&gt;
 &lt;n&gt; &lt;/n&gt;&lt;goto quick="1" id="503" mapid="2" flagpoint="1" taskid="6257"/&gt;&lt;/p&gt;</t>
    <phoneticPr fontId="6" type="noConversion"/>
  </si>
  <si>
    <t>[47级]乱世历练</t>
    <phoneticPr fontId="6" type="noConversion"/>
  </si>
  <si>
    <t>title( [47级]乱世历练)
body(hotyellow_3(任务进程:)newline()
   去找goto(576,2)。
blankline()hotyellow_3(任务描述:)newline() 
  仙人左慈正在凤城，如果能得到他的指点，对你很有帮助。)</t>
    <phoneticPr fontId="6" type="noConversion"/>
  </si>
  <si>
    <t>[51级]劫持镖车</t>
    <phoneticPr fontId="6" type="noConversion"/>
  </si>
  <si>
    <t>[52级]押镖令</t>
    <phoneticPr fontId="6" type="noConversion"/>
  </si>
  <si>
    <t>[53级]三足鼎立</t>
    <phoneticPr fontId="6" type="noConversion"/>
  </si>
  <si>
    <t>[53级]情报刺探</t>
    <phoneticPr fontId="6" type="noConversion"/>
  </si>
  <si>
    <t>魏·校尉</t>
    <phoneticPr fontId="14" type="noConversion"/>
  </si>
  <si>
    <t>body(  想要在三国战场压制其他两国，情报非常重要，所谓知己知彼，百战不殆。)</t>
    <phoneticPr fontId="6" type="noConversion"/>
  </si>
  <si>
    <t>body(   为了我大魏国，一定要收集到情报！)</t>
    <phoneticPr fontId="6" type="noConversion"/>
  </si>
  <si>
    <t>title( [53级]情报刺探)
body(hotyellow_3(任务进程:)newline()
   去找goto(584,15)。
blankline()hotyellow_3(任务描述:)newline() 
  想要在三国战场压制其他两国，情报非常重要，所谓知己知彼，百战不殆。)</t>
    <phoneticPr fontId="6" type="noConversion"/>
  </si>
  <si>
    <t>title( [53级]情报刺探)
body(hotyellow_3(任务进程:)newline()
   去找goto(586,15)。
blankline()hotyellow_3(任务描述:)newline() 
  想要在三国战场压制其他两国，情报非常重要，所谓知己知彼，百战不殆。)</t>
    <phoneticPr fontId="6" type="noConversion"/>
  </si>
  <si>
    <t>title( [53级]情报刺探)
body(hotyellow_3(任务进程:)newline()
   去找goto(588,15)。
blankline()hotyellow_3(任务描述:)newline() 
  想要在三国战场压制其他两国，情报非常重要，所谓知己知彼，百战不殆。)</t>
    <phoneticPr fontId="6" type="noConversion"/>
  </si>
  <si>
    <t>&lt;n effect=4 font=2 color=White scolor=Turp&gt;收集情报，非常重要&lt;/n&gt;</t>
    <phoneticPr fontId="6" type="noConversion"/>
  </si>
  <si>
    <t>[54级]虎牢军情</t>
    <phoneticPr fontId="6" type="noConversion"/>
  </si>
  <si>
    <t>title( [54级]虎牢军情)
body(hotyellow_3(任务进程:)newline()
   去找goto(521,4)。
blankline()hotyellow_3(任务描述:)newline() 
  虎牢关有新情况，请去支援。)</t>
    <phoneticPr fontId="6" type="noConversion"/>
  </si>
  <si>
    <t>body(  虎牢关有新情况，请去支援。)</t>
    <phoneticPr fontId="6" type="noConversion"/>
  </si>
  <si>
    <t>body(   大人，最近虎牢确实有一点异动。)</t>
    <phoneticPr fontId="6" type="noConversion"/>
  </si>
  <si>
    <t>&lt;n effect=4 font=2 color=White scolor=Turp&gt;虎牢出现新的状况&lt;/n&gt;</t>
    <phoneticPr fontId="6" type="noConversion"/>
  </si>
  <si>
    <t>[54级]幽灵</t>
    <phoneticPr fontId="6" type="noConversion"/>
  </si>
  <si>
    <t>[54级]乔家庄</t>
    <phoneticPr fontId="6" type="noConversion"/>
  </si>
  <si>
    <t>title( [54级]乔家庄)
body(hotyellow_3(任务进程:)newline()
   去找goto(522,4)。
blankline()hotyellow_3(任务描述:)newline() 
  虎牢关附近有一个乔家庄，乃当地的大户人家。大人可以去此询问民情。)</t>
    <phoneticPr fontId="6" type="noConversion"/>
  </si>
  <si>
    <t>title( [52级]押镖令)
body(hotyellow_3(任务进程:)newline()
   押送物资，去找五丈原的goto(595,7)。
blankline()hotyellow_3(任务描述:)newline() 
  有一天我在放牧，看到有一伙盗贼抢劫军资，幸亏孙策击退了他们。把这些物资押送给押镖令吧。)</t>
    <phoneticPr fontId="6" type="noConversion"/>
  </si>
  <si>
    <t>title( [53级]三足鼎立)
body(hotyellow_3(任务进程:)newline()
   去找goto(503,2)。
blankline()hotyellow_3(任务描述:)newline() 
  如今天下呈三足鼎立之势。三国战场却是平时冲突最激烈的地方。希望你能为本国效力。)</t>
    <phoneticPr fontId="6" type="noConversion"/>
  </si>
  <si>
    <t>title( [53级]三足鼎立)
body(hotyellow_3(任务进程:)newline()
   去找goto(585,15)。
blankline()hotyellow_3(任务描述:)newline() 
  如今天下呈三足鼎立之势。三国战场却是平时冲突最激烈的地方。希望你能为本国效力。)</t>
    <phoneticPr fontId="6" type="noConversion"/>
  </si>
  <si>
    <t>title( [53级]三足鼎立)
body(hotyellow_3(任务进程:)newline()
   去找goto(587,15)。
blankline()hotyellow_3(任务描述:)newline() 
  如今天下呈三足鼎立之势。三国战场却是平时冲突最激烈的地方。希望你能为本国效力。)</t>
    <phoneticPr fontId="6" type="noConversion"/>
  </si>
  <si>
    <t>title( [53级]三足鼎立)
body(hotyellow_3(任务进程:)newline()
   去找goto(589,15)。
blankline()hotyellow_3(任务描述:)newline() 
  如今天下呈三足鼎立之势。三国战场却是平时冲突最激烈的地方。希望你能为本国效力。)</t>
    <phoneticPr fontId="6" type="noConversion"/>
  </si>
  <si>
    <t>title( [51级]视察虎牢)
body(hotyellow_3(任务进程:)newline()
   去找goto(521,4)。
blankline()hotyellow_3(任务描述:)newline() 
  去找虎牢守将，询问虎牢关的情况。)</t>
    <phoneticPr fontId="6" type="noConversion"/>
  </si>
  <si>
    <t>[54级]闹鬼</t>
    <phoneticPr fontId="6" type="noConversion"/>
  </si>
  <si>
    <t>title( [54级]闹鬼)
body(hotyellow_3(任务进程:)newline()
   击杀goto(10012,4)后，回复goto(522,4)。
blankline()hotyellow_3(任务描述:)newline() 
   乔家庄本来是个和平而宁静的村庄，但是最近出现许多鬼怪侵扰的事情。哎，难道是谁做了忤逆老天的事情吗？)</t>
    <phoneticPr fontId="6" type="noConversion"/>
  </si>
  <si>
    <t>[55级驱邪</t>
    <phoneticPr fontId="6" type="noConversion"/>
  </si>
  <si>
    <t>[55级]大乔</t>
    <phoneticPr fontId="6" type="noConversion"/>
  </si>
  <si>
    <t>[55级]采花</t>
    <phoneticPr fontId="6" type="noConversion"/>
  </si>
  <si>
    <t>[55级]大乔之怒</t>
    <phoneticPr fontId="6" type="noConversion"/>
  </si>
  <si>
    <t>[56级]初一</t>
    <phoneticPr fontId="6" type="noConversion"/>
  </si>
  <si>
    <t>[56级]马蹄莲</t>
    <phoneticPr fontId="6" type="noConversion"/>
  </si>
  <si>
    <t>title( [55级驱邪)
body(hotyellow_3(任务进程:)newline()
   采集goto(2031,4)后，去找goto(522,4)。
blankline()hotyellow_3(任务描述:)newline() 
  一定要采点茱萸辟邪，鬼怪太可怕了。)</t>
    <phoneticPr fontId="6" type="noConversion"/>
  </si>
  <si>
    <t>title( [55级]大乔)
body(hotyellow_3(任务进程:)newline()
   去找goto(523,4)。
blankline()hotyellow_3(任务描述:)newline() 
  我们乔家庄有两大美人，大乔和小乔，秀外慧中，当年多少人踏破乔家庄想要求娶她们。)</t>
    <phoneticPr fontId="6" type="noConversion"/>
  </si>
  <si>
    <t>title( [55级]采花)
body(hotyellow_3(任务进程:)newline()
    采集goto(2032,4)后，去找goto(523,4)。
blankline()hotyellow_3(任务描述:)newline() 
  我想要为夫君做义工香囊，能帮我采几朵花吗？)</t>
    <phoneticPr fontId="6" type="noConversion"/>
  </si>
  <si>
    <t>title( [55级]大乔之怒)
body(hotyellow_3(任务进程:)newline()
    击杀goto(10013,4)后，去找goto(523,4)。
blankline()hotyellow_3(任务描述:)newline() 
  我夫君出远门了。最近有一群蛮夷之徒一直来乔家庄骚扰我。)</t>
    <phoneticPr fontId="6" type="noConversion"/>
  </si>
  <si>
    <t>"36017-0-1"</t>
    <phoneticPr fontId="6" type="noConversion"/>
  </si>
  <si>
    <t>蜀·校尉</t>
    <phoneticPr fontId="14" type="noConversion"/>
  </si>
  <si>
    <t>吴·校尉</t>
    <phoneticPr fontId="14" type="noConversion"/>
  </si>
  <si>
    <t>&lt;p&gt;
&lt;n&gt;  找：&lt;/n&gt;
 &lt;n&gt; &lt;/n&gt;&lt;goto quick="1" id="502" mapid="2" flagpoint="1" taskid="7117" /&gt;
&lt;/p&gt;</t>
    <phoneticPr fontId="14" type="noConversion"/>
  </si>
  <si>
    <t>&lt;p&gt;
&lt;n&gt;  找：&lt;/n&gt;
 &lt;n&gt; &lt;/n&gt;&lt;goto quick="1" id="502" mapid="2" flagpoint="1" taskid="7118" /&gt;
&lt;/p&gt;</t>
    <phoneticPr fontId="14" type="noConversion"/>
  </si>
  <si>
    <t>&lt;p&gt;
&lt;n&gt;  交：&lt;/n&gt;
 &lt;n&gt; &lt;/n&gt;&lt;goto quick="1" id="502" mapid="2" flagpoint="1" taskid="7117"/&gt;&lt;/p&gt;</t>
    <phoneticPr fontId="14" type="noConversion"/>
  </si>
  <si>
    <t>&lt;p&gt;
&lt;n&gt;  交：&lt;/n&gt;
 &lt;n&gt; &lt;/n&gt;&lt;goto quick="1" id="502" mapid="2" flagpoint="1" taskid="7118"/&gt;&lt;/p&gt;</t>
    <phoneticPr fontId="14" type="noConversion"/>
  </si>
  <si>
    <t>{{27127,0,4,1,"1-1"}}</t>
    <phoneticPr fontId="6" type="noConversion"/>
  </si>
  <si>
    <t>&lt;p&gt;
&lt;n&gt;  收集10本《三略六韬》&lt;/n&gt;&lt;newline/&gt;&lt;n&gt;  击杀91-110级怪掉落&lt;/n&gt;&lt;newline/&gt;
&lt;n&gt;  回复：&lt;/n&gt;&lt;goto id="542" mapid="2" flagpoint="1" taskid="23003"/&gt;
&lt;/p&gt;</t>
    <phoneticPr fontId="6" type="noConversion"/>
  </si>
  <si>
    <t>&lt;p&gt;
&lt;n&gt;  交：&lt;/n&gt;
 &lt;n&gt; &lt;/n&gt;&lt;goto id="542" mapid="2" flagpoint="1" taskid="23001"/&gt;&lt;/p&gt;</t>
    <phoneticPr fontId="6" type="noConversion"/>
  </si>
  <si>
    <t>&lt;p&gt;
&lt;n&gt;  交：&lt;/n&gt;
 &lt;n&gt; &lt;/n&gt;&lt;goto id="542" mapid="2" flagpoint="1" taskid="23002"/&gt;&lt;/p&gt;</t>
    <phoneticPr fontId="6" type="noConversion"/>
  </si>
  <si>
    <t>&lt;p&gt;
&lt;n&gt;  交：&lt;/n&gt;
 &lt;n&gt; &lt;/n&gt;&lt;goto id="542" mapid="2" flagpoint="1" taskid="23003"/&gt;&lt;/p&gt;</t>
    <phoneticPr fontId="6" type="noConversion"/>
  </si>
  <si>
    <t>&lt;p&gt;
&lt;n&gt;  交：&lt;/n&gt;
 &lt;n&gt; &lt;/n&gt;&lt;goto id="542" mapid="2" flagpoint="1" taskid="23004"/&gt;&lt;/p&gt;</t>
    <phoneticPr fontId="6" type="noConversion"/>
  </si>
  <si>
    <t>&lt;p&gt;
&lt;n&gt;  交：&lt;/n&gt;
 &lt;n&gt; &lt;/n&gt;&lt;goto id="542" mapid="2" flagpoint="1" taskid="23005"/&gt;&lt;/p&gt;</t>
    <phoneticPr fontId="6" type="noConversion"/>
  </si>
  <si>
    <t>{{47008,0,5,1,"1-1,7-3"}}</t>
    <phoneticPr fontId="6" type="noConversion"/>
  </si>
  <si>
    <t>国家</t>
    <phoneticPr fontId="6" type="noConversion"/>
  </si>
  <si>
    <t>&lt;p&gt;
&lt;n&gt;  交：&lt;/n&gt;
 &lt;n&gt; &lt;/n&gt;&lt;goto quick="1" cid="15" id="521" mapid="4" flagpoint="1" taskid="6339"/&gt;&lt;/p&gt;</t>
    <phoneticPr fontId="6" type="noConversion"/>
  </si>
  <si>
    <t>&lt;p&gt;
&lt;n&gt;  找：&lt;/n&gt;
 &lt;n&gt; &lt;/n&gt;&lt;goto quick="1" cid="15" id="521" mapid="4" flagpoint="1" taskid="6340" /&gt;
&lt;/p&gt;</t>
    <phoneticPr fontId="6" type="noConversion"/>
  </si>
  <si>
    <t>&lt;p&gt;
&lt;n&gt;  交：&lt;/n&gt;
 &lt;n&gt; &lt;/n&gt;&lt;goto quick="1" cid="15" id="521" mapid="4" flagpoint="1" taskid="6340"/&gt;&lt;/p&gt;</t>
    <phoneticPr fontId="6" type="noConversion"/>
  </si>
  <si>
    <t>&lt;p&gt;
&lt;n&gt;  交：&lt;/n&gt;
 &lt;n&gt; &lt;/n&gt;&lt;goto quick="1" cid="15" id="521" mapid="4" flagpoint="1" taskid="6341"/&gt;&lt;/p&gt;</t>
    <phoneticPr fontId="6" type="noConversion"/>
  </si>
  <si>
    <t>[日常]藏书</t>
    <phoneticPr fontId="6" type="noConversion"/>
  </si>
  <si>
    <t>&lt;p&gt;
&lt;n&gt;  回复NPC：&lt;/n&gt;
 &lt;n&gt; &lt;/n&gt;&lt;goto id="542" mapid="2" flagpoint="1" taskid="30059" /&gt;
&lt;/p&gt;</t>
    <phoneticPr fontId="6" type="noConversion"/>
  </si>
  <si>
    <t>&lt;p&gt;
&lt;n&gt;  交：&lt;/n&gt;
 &lt;n&gt; &lt;/n&gt;&lt;goto id="542" mapid="2" flagpoint="1" taskid="30059"/&gt;&lt;/p&gt;</t>
    <phoneticPr fontId="6" type="noConversion"/>
  </si>
  <si>
    <t>&lt;p&gt;
&lt;n&gt;  找：&lt;/n&gt;
 &lt;n&gt; &lt;/n&gt;&lt;goto id="584" mapid="15" flagpoint="1" taskid="6336" /&gt;
&lt;/p&gt;</t>
    <phoneticPr fontId="6" type="noConversion"/>
  </si>
  <si>
    <t>&lt;p&gt;
&lt;n&gt;  找：&lt;/n&gt;
 &lt;n&gt; &lt;/n&gt;&lt;goto id="586" mapid="15" flagpoint="1" taskid="6337" /&gt;
&lt;/p&gt;</t>
    <phoneticPr fontId="6" type="noConversion"/>
  </si>
  <si>
    <t>&lt;p&gt;
&lt;n&gt;  找：&lt;/n&gt;
 &lt;n&gt; &lt;/n&gt;&lt;goto id="586" mapid="15" flagpoint="1" taskid="6330" /&gt;
&lt;/p&gt;</t>
    <phoneticPr fontId="6" type="noConversion"/>
  </si>
  <si>
    <t>&lt;p&gt;
&lt;n&gt;  交：&lt;/n&gt;
 &lt;n&gt; &lt;/n&gt;&lt;goto id="586" mapid="15" flagpoint="1" taskid="6330" /&gt;&lt;/p&gt;</t>
    <phoneticPr fontId="6" type="noConversion"/>
  </si>
  <si>
    <t>[副本]通天路</t>
    <phoneticPr fontId="6" type="noConversion"/>
  </si>
  <si>
    <t>&lt;p&gt;
&lt;n&gt;  回复NPC：&lt;/n&gt;
 &lt;n&gt; &lt;/n&gt;&lt;goto id="346" mapid="160" flagpoint="1" taskid="30029" /&gt;
&lt;/p&gt;</t>
    <phoneticPr fontId="6" type="noConversion"/>
  </si>
  <si>
    <t>&lt;p&gt;
&lt;n&gt;  回复NPC：&lt;/n&gt;
 &lt;n&gt; &lt;/n&gt;&lt;goto id="307" mapid="346" flagpoint="1" taskid="30029" /&gt;
&lt;/p&gt;</t>
    <phoneticPr fontId="6" type="noConversion"/>
  </si>
  <si>
    <t>&lt;p&gt;
&lt;n color=GXColorGreenLight&gt;[三国战场]&lt;/n&gt;&lt;goto id="585" mapid="15" flagpoint="1" taskid="6325" /&gt;
&lt;/p&gt;</t>
    <phoneticPr fontId="6" type="noConversion"/>
  </si>
  <si>
    <t>&lt;p&gt;
&lt;n color=GXColorGreenLight&gt;[三国战场]&lt;/n&gt;&lt;goto id="587" mapid="15" flagpoint="1" taskid="6326" /&gt;
&lt;/p&gt;</t>
    <phoneticPr fontId="6" type="noConversion"/>
  </si>
  <si>
    <t>&lt;p&gt;
&lt;n color=GXColorGreenLight&gt;[三国战场]&lt;/n&gt;&lt;goto id="589" mapid="15" flagpoint="1" taskid="6327" /&gt;
&lt;/p&gt;</t>
    <phoneticPr fontId="6" type="noConversion"/>
  </si>
  <si>
    <t>&lt;p&gt;
&lt;n color=GXColorGreenLight&gt;[三国战场]&lt;/n&gt;&lt;goto id="585" mapid="15" flagpoint="1" taskid="6325"/&gt;&lt;/p&gt;</t>
    <phoneticPr fontId="6" type="noConversion"/>
  </si>
  <si>
    <t>&lt;p&gt;
&lt;n color=GXColorGreenLight&gt;[三国战场]&lt;/n&gt;&lt;goto id="587" mapid="15" flagpoint="1" taskid="6326"/&gt;&lt;/p&gt;</t>
    <phoneticPr fontId="6" type="noConversion"/>
  </si>
  <si>
    <t>&lt;p&gt;
&lt;n color=GXColorGreenLight&gt;[三国战场]&lt;/n&gt;&lt;goto id="589" mapid="15" flagpoint="1" taskid="6327"/&gt;&lt;/p&gt;</t>
    <phoneticPr fontId="6" type="noConversion"/>
  </si>
  <si>
    <t>&lt;p&gt;
&lt;n&gt;  找：&lt;/n&gt;
 &lt;n&gt; &lt;/n&gt;&lt;goto id="503" mapid="2" flagpoint="1" taskid="6109" /&gt;
&lt;/p&gt;</t>
    <phoneticPr fontId="6" type="noConversion"/>
  </si>
  <si>
    <t>&lt;p&gt;
&lt;n&gt;  交：&lt;/n&gt;
 &lt;n&gt; &lt;/n&gt;&lt;goto id="503" mapid="2" flagpoint="1" taskid="6109"/&gt;&lt;/p&gt;</t>
    <phoneticPr fontId="6" type="noConversion"/>
  </si>
  <si>
    <t>&lt;p&gt;
&lt;n&gt;  找：&lt;/n&gt;
 &lt;n&gt; &lt;/n&gt;&lt;goto quick="1" id="521" mapid="4" cid="15"
 flagpoint="1" taskid="6339" /&gt;
&lt;/p&gt;</t>
    <phoneticPr fontId="6" type="noConversion"/>
  </si>
  <si>
    <t>&lt;p&gt;
&lt;n&gt;  找：&lt;/n&gt;
 &lt;n&gt; &lt;/n&gt;&lt;goto quick="1" id="10012" mapid="4" cid="15" flagpoint="1" taskid="6302" /&gt;
&lt;/p&gt;</t>
    <phoneticPr fontId="6" type="noConversion"/>
  </si>
  <si>
    <t>&lt;p&gt;
&lt;n&gt;  交：&lt;/n&gt;
 &lt;n&gt; &lt;/n&gt;&lt;goto quick="1" cid="15" id="521" mapid="4" flagpoint="1" taskid="6302"/&gt;&lt;/p&gt;</t>
    <phoneticPr fontId="6" type="noConversion"/>
  </si>
  <si>
    <t>&lt;p&gt;
&lt;n&gt;  找：&lt;/n&gt;
 &lt;n&gt; &lt;/n&gt;&lt;goto quick="1" cid="15" id="522" mapid="4" flagpoint="1" taskid="6303" /&gt;
&lt;/p&gt;</t>
    <phoneticPr fontId="6" type="noConversion"/>
  </si>
  <si>
    <t>&lt;p&gt;
&lt;n&gt;  交：&lt;/n&gt;
 &lt;n&gt; &lt;/n&gt;&lt;goto quick="1" cid="15" id="522" mapid="4" flagpoint="1" taskid="6303"/&gt;&lt;/p&gt;</t>
    <phoneticPr fontId="6" type="noConversion"/>
  </si>
  <si>
    <t>&lt;p&gt;
&lt;n&gt;  击杀&lt;/n&gt;
 &lt;n&gt; &lt;/n&gt;&lt;goto quick="1" id="10012" mapid="4" cid="15" flagpoint="1" taskid="6304" /&gt;
&lt;/p&gt;</t>
    <phoneticPr fontId="6" type="noConversion"/>
  </si>
  <si>
    <t>&lt;p&gt;
&lt;n&gt;  交：&lt;/n&gt;
 &lt;n&gt; &lt;/n&gt;&lt;goto quick="1" cid="15" id="522" mapid="4" flagpoint="1" taskid="6304"/&gt;&lt;/p&gt;</t>
    <phoneticPr fontId="6" type="noConversion"/>
  </si>
  <si>
    <t>&lt;p&gt;
&lt;n&gt;  采：&lt;/n&gt;
 &lt;n&gt; &lt;/n&gt;&lt;goto cid="15" quick="1" id="2031" mapid="4" flagpoint="1" taskid="6305" /&gt;
&lt;/p&gt;</t>
    <phoneticPr fontId="6" type="noConversion"/>
  </si>
  <si>
    <t>&lt;p&gt;
&lt;n&gt;  交：&lt;/n&gt;
 &lt;n&gt; &lt;/n&gt;&lt;goto cid="15" quick="1" id="522" mapid="4" flagpoint="1" taskid="6305"/&gt;&lt;/p&gt;</t>
    <phoneticPr fontId="6" type="noConversion"/>
  </si>
  <si>
    <t>&lt;p&gt;
&lt;n&gt;  找：&lt;/n&gt;
 &lt;n&gt; &lt;/n&gt;&lt;goto cid="15" quick="1" id="523" mapid="4" flagpoint="1" taskid="6306" /&gt;
&lt;/p&gt;</t>
    <phoneticPr fontId="6" type="noConversion"/>
  </si>
  <si>
    <t>&lt;p&gt;
&lt;n&gt;  交：&lt;/n&gt;
 &lt;n&gt; &lt;/n&gt;&lt;goto quick="1" cid="15" id="523" mapid="4" flagpoint="1" taskid="6306"/&gt;&lt;/p&gt;</t>
    <phoneticPr fontId="6" type="noConversion"/>
  </si>
  <si>
    <t>&lt;p&gt;
&lt;n&gt;  采：&lt;/n&gt;
 &lt;n&gt; &lt;/n&gt;&lt;goto cid="15" quick="1" id="2032" mapid="4" flagpoint="1" taskid="6307" /&gt;
&lt;/p&gt;</t>
    <phoneticPr fontId="6" type="noConversion"/>
  </si>
  <si>
    <t>&lt;p&gt;
&lt;n&gt;  交：&lt;/n&gt;
 &lt;n&gt; &lt;/n&gt;&lt;goto cid="15" quick="1" id="523" mapid="4" flagpoint="1" taskid="6307"/&gt;&lt;/p&gt;</t>
    <phoneticPr fontId="6" type="noConversion"/>
  </si>
  <si>
    <t>&lt;p&gt;
&lt;n&gt;  找：&lt;/n&gt;
 &lt;n&gt; &lt;/n&gt;&lt;goto cid="15" quick="1" id="10013" mapid="4" flagpoint="1" taskid="6308" /&gt;
&lt;/p&gt;</t>
    <phoneticPr fontId="6" type="noConversion"/>
  </si>
  <si>
    <t>&lt;p&gt;
&lt;n&gt;  交：&lt;/n&gt;
 &lt;n&gt; &lt;/n&gt;&lt;goto cid="15" quick="1" id="523" mapid="4" flagpoint="1" taskid="6308"/&gt;&lt;/p&gt;</t>
    <phoneticPr fontId="6" type="noConversion"/>
  </si>
  <si>
    <t>&lt;p&gt;
&lt;n&gt;  交：&lt;/n&gt;
 &lt;n&gt; &lt;/n&gt;&lt;goto cid="15" quick="1" id="524" mapid="4" flagpoint="1" taskid="6309"/&gt;&lt;/p&gt;</t>
    <phoneticPr fontId="6" type="noConversion"/>
  </si>
  <si>
    <t>&lt;p&gt;
&lt;n&gt;  找：&lt;/n&gt;
 &lt;n&gt; &lt;/n&gt;&lt;goto cid="15" quick="1" id="524" mapid="4" flagpoint="1" taskid="6309" /&gt;
&lt;/p&gt;</t>
    <phoneticPr fontId="6" type="noConversion"/>
  </si>
  <si>
    <t>&lt;p&gt;
&lt;n&gt;  采：&lt;/n&gt;
 &lt;n&gt; &lt;/n&gt;&lt;goto quick="1" cid="15" id="2033" mapid="4" flagpoint="1" taskid="6310" /&gt;
&lt;/p&gt;</t>
    <phoneticPr fontId="6" type="noConversion"/>
  </si>
  <si>
    <t>&lt;p&gt;
&lt;n&gt;  交：&lt;/n&gt;
 &lt;n&gt; &lt;/n&gt;&lt;goto quick="1" cid="15" id="524" mapid="4" flagpoint="1" taskid="6310"/&gt;&lt;/p&gt;</t>
    <phoneticPr fontId="6" type="noConversion"/>
  </si>
  <si>
    <t>&lt;p&gt;
&lt;n&gt;  找：&lt;/n&gt;
 &lt;n&gt; &lt;/n&gt;&lt;goto cid="15" quick="1" id="525" mapid="4" flagpoint="1" taskid="6311" /&gt;
&lt;/p&gt;</t>
    <phoneticPr fontId="6" type="noConversion"/>
  </si>
  <si>
    <t>&lt;p&gt;
&lt;n&gt;  交：&lt;/n&gt;
 &lt;n&gt; &lt;/n&gt;&lt;goto quick="1" cid="15" id="525" mapid="4" flagpoint="1" taskid="6311"/&gt;&lt;/p&gt;</t>
    <phoneticPr fontId="6" type="noConversion"/>
  </si>
  <si>
    <t>&lt;p&gt;
&lt;n&gt;  找：&lt;/n&gt;
 &lt;n&gt; &lt;/n&gt;&lt;goto cid="15" quick="1" id="2034" mapid="4" flagpoint="1" taskid="6312" /&gt;
&lt;/p&gt;</t>
    <phoneticPr fontId="6" type="noConversion"/>
  </si>
  <si>
    <t>&lt;p&gt;
&lt;n&gt;  交：&lt;/n&gt;
 &lt;n&gt; &lt;/n&gt;&lt;goto quick="1" cid="15" id="526" mapid="4" flagpoint="1" taskid="6312"/&gt;&lt;/p&gt;</t>
    <phoneticPr fontId="6" type="noConversion"/>
  </si>
  <si>
    <t>&lt;p&gt;
&lt;n&gt;  采：&lt;/n&gt;
 &lt;n&gt; &lt;/n&gt;&lt;goto cid="15" quick="1" id="2035" mapid="4" flagpoint="1" taskid="6313" /&gt;
&lt;/p&gt;</t>
    <phoneticPr fontId="6" type="noConversion"/>
  </si>
  <si>
    <t>&lt;p&gt;
&lt;n&gt;  交：&lt;/n&gt;
 &lt;n&gt; &lt;/n&gt;&lt;goto quick="1" cid="15" id="528" mapid="4" flagpoint="1" taskid="6313"/&gt;&lt;/p&gt;</t>
    <phoneticPr fontId="6" type="noConversion"/>
  </si>
  <si>
    <t>&lt;p&gt;
&lt;n&gt;  找：&lt;/n&gt;
 &lt;n&gt; &lt;/n&gt;&lt;goto cid="15" quick="1" id="529" mapid="4" flagpoint="1" taskid="6314" /&gt;
&lt;/p&gt;</t>
    <phoneticPr fontId="6" type="noConversion"/>
  </si>
  <si>
    <t>&lt;p&gt;
&lt;n&gt;  交：&lt;/n&gt;
 &lt;n&gt; &lt;/n&gt;&lt;goto quick="1" cid="15" id="529" mapid="4" flagpoint="1" taskid="6314"/&gt;&lt;/p&gt;</t>
    <phoneticPr fontId="6" type="noConversion"/>
  </si>
  <si>
    <t>&lt;p&gt;
&lt;n&gt;  找：&lt;/n&gt;
 &lt;n&gt; &lt;/n&gt;&lt;goto cid="15" quick="1" id="528" mapid="4" flagpoint="1" taskid="6315" /&gt;
&lt;/p&gt;</t>
    <phoneticPr fontId="6" type="noConversion"/>
  </si>
  <si>
    <t>&lt;p&gt;
&lt;n&gt;  交：&lt;/n&gt;
 &lt;n&gt; &lt;/n&gt;&lt;goto quick="1" cid="15" id="528" mapid="4" flagpoint="1" taskid="6315"/&gt;&lt;/p&gt;</t>
    <phoneticPr fontId="6" type="noConversion"/>
  </si>
  <si>
    <t>&lt;p&gt;
&lt;n&gt;  找：&lt;/n&gt;
 &lt;n&gt; &lt;/n&gt;&lt;goto quick="1" cid="15" id="525" mapid="4" flagpoint="1" taskid="6316" /&gt;
&lt;/p&gt;</t>
    <phoneticPr fontId="6" type="noConversion"/>
  </si>
  <si>
    <t>&lt;p&gt;
&lt;n&gt;  交：&lt;/n&gt;
 &lt;n&gt; &lt;/n&gt;&lt;goto quick="1" cid="15" id="525" mapid="4" flagpoint="1" taskid="6316"/&gt;&lt;/p&gt;</t>
    <phoneticPr fontId="6" type="noConversion"/>
  </si>
  <si>
    <t>&lt;p&gt;
&lt;n&gt;  击杀&lt;/n&gt;
 &lt;n&gt; &lt;/n&gt;&lt;goto quick="1" cid="15" id="10014" mapid="4" flagpoint="1" taskid="6317" /&gt;
&lt;/p&gt;</t>
    <phoneticPr fontId="6" type="noConversion"/>
  </si>
  <si>
    <t>&lt;p&gt;
&lt;n&gt;  交：&lt;/n&gt;
 &lt;n&gt; &lt;/n&gt;&lt;goto quick="1" cid="15" id="525" mapid="4" flagpoint="1" taskid="6317"/&gt;&lt;/p&gt;</t>
    <phoneticPr fontId="6" type="noConversion"/>
  </si>
  <si>
    <t>&lt;p&gt;
&lt;n&gt;  找：&lt;/n&gt;
 &lt;n&gt; &lt;/n&gt;&lt;goto quick="1" cid="15" id="503" mapid="2" flagpoint="1" taskid="6318" /&gt;
&lt;/p&gt;</t>
    <phoneticPr fontId="6" type="noConversion"/>
  </si>
  <si>
    <t>&lt;p&gt;
&lt;n&gt;  交：&lt;/n&gt;
 &lt;n&gt; &lt;/n&gt;&lt;goto quick="1" cid="15" id="503" mapid="2" flagpoint="1" taskid="6318"/&gt;&lt;/p&gt;</t>
    <phoneticPr fontId="6" type="noConversion"/>
  </si>
  <si>
    <t>&lt;p&gt;
&lt;n&gt;  找：&lt;/n&gt;
 &lt;n&gt; &lt;/n&gt;&lt;goto quick="1" cid="15" id="525" mapid="4" flagpoint="1" taskid="6319" /&gt;
&lt;/p&gt;</t>
    <phoneticPr fontId="6" type="noConversion"/>
  </si>
  <si>
    <t>&lt;p&gt;
&lt;n&gt;  交：&lt;/n&gt;
 &lt;n&gt; &lt;/n&gt;&lt;goto quick="1" cid="15" id="525" mapid="4" flagpoint="1" taskid="6319"/&gt;&lt;/p&gt;</t>
    <phoneticPr fontId="6" type="noConversion"/>
  </si>
  <si>
    <t>&lt;p&gt;
&lt;n&gt;  击杀&lt;/n&gt;
 &lt;n&gt; &lt;/n&gt;&lt;goto quick="1" id="10014" mapid="4" cid="15" flagpoint="1" taskid="6320" /&gt;
&lt;/p&gt;</t>
    <phoneticPr fontId="6" type="noConversion"/>
  </si>
  <si>
    <t>&lt;p&gt;
&lt;n&gt;  交：&lt;/n&gt;
 &lt;n&gt; &lt;/n&gt;&lt;goto quick="1" cid="15" id="527" mapid="4" flagpoint="1" taskid="6320"/&gt;&lt;/p&gt;</t>
    <phoneticPr fontId="6" type="noConversion"/>
  </si>
  <si>
    <t>&lt;p&gt;
&lt;n&gt;  查看&lt;/n&gt;
 &lt;n&gt; &lt;/n&gt;&lt;goto quick="1" cid="15" id="2036" mapid="4" flagpoint="1" taskid="6321" /&gt;
&lt;/p&gt;</t>
    <phoneticPr fontId="6" type="noConversion"/>
  </si>
  <si>
    <t>&lt;p&gt;
&lt;n&gt;  交：&lt;/n&gt;
 &lt;n&gt; &lt;/n&gt;&lt;goto quick="1" cid="15" id="527" mapid="4" flagpoint="1" taskid="6321"/&gt;&lt;/p&gt;</t>
    <phoneticPr fontId="6" type="noConversion"/>
  </si>
  <si>
    <t>&lt;p&gt;
&lt;n&gt;  找：&lt;/n&gt;
 &lt;n&gt; &lt;/n&gt;&lt;goto quick="1" cid="15" id="525" mapid="4" flagpoint="1" taskid="6322" /&gt;
&lt;/p&gt;</t>
    <phoneticPr fontId="6" type="noConversion"/>
  </si>
  <si>
    <t>&lt;p&gt;
&lt;n&gt;  交：&lt;/n&gt;
 &lt;n&gt; &lt;/n&gt;&lt;goto quick="1" cid="15" id="525" mapid="4" flagpoint="1" taskid="6322"/&gt;&lt;/p&gt;</t>
    <phoneticPr fontId="6" type="noConversion"/>
  </si>
  <si>
    <t>&lt;p&gt;
&lt;n&gt;  找：&lt;/n&gt;
 &lt;n&gt; &lt;/n&gt;&lt;goto quick="1" cid="15" id="523" mapid="4" flagpoint="1" taskid="6322" /&gt;
&lt;/p&gt;</t>
    <phoneticPr fontId="6" type="noConversion"/>
  </si>
  <si>
    <t>&lt;p&gt;
&lt;n&gt;  交：&lt;/n&gt;
 &lt;n&gt; &lt;/n&gt;&lt;goto quick="1" cid="15" id="523" mapid="4" flagpoint="1" taskid="6322"/&gt;&lt;/p&gt;</t>
    <phoneticPr fontId="6" type="noConversion"/>
  </si>
  <si>
    <t>&lt;p&gt;
&lt;n&gt;  交：&lt;/n&gt;
 &lt;n&gt; &lt;/n&gt;&lt;goto quick="1" cid="15" id="60045" mapid="1" flagpoint="1" taskid="6331"/&gt;&lt;/p&gt;</t>
    <phoneticPr fontId="6" type="noConversion"/>
  </si>
  <si>
    <t>&lt;p&gt;
&lt;n&gt;  找：&lt;/n&gt;
 &lt;n&gt; &lt;/n&gt;&lt;goto quick="1" cid="15" id="60045" mapid="1" flagpoint="1" taskid="6331" /&gt;
&lt;/p&gt;</t>
    <phoneticPr fontId="6" type="noConversion"/>
  </si>
  <si>
    <t>&lt;p&gt;
&lt;n&gt;  找：王城&lt;/n&gt;
 &lt;n&gt; &lt;/n&gt;&lt;goto quick="1" cid="15" id="538" mapid="5" flagpoint="1" taskid="6323" /&gt;
&lt;/p&gt;</t>
    <phoneticPr fontId="6" type="noConversion"/>
  </si>
  <si>
    <t>&lt;p&gt;
&lt;n&gt;  去找王城&lt;/n&gt;
 &lt;n&gt; &lt;/n&gt;&lt;goto quick="1" cid="15" id="538" mapid="5" flagpoint="1" taskid="6323" /&gt;
&lt;/p&gt;</t>
    <phoneticPr fontId="6" type="noConversion"/>
  </si>
  <si>
    <t>&lt;p&gt;
&lt;n&gt;  交：&lt;/n&gt;
 &lt;n&gt; &lt;/n&gt;&lt;goto id="586" mapid="15" flagpoint="1" taskid="6337" /&gt;&lt;/p&gt;</t>
    <phoneticPr fontId="6" type="noConversion"/>
  </si>
  <si>
    <t>&lt;p&gt;
&lt;n&gt;  交：&lt;/n&gt;
 &lt;n&gt; &lt;/n&gt;&lt;goto id="584" mapid="15" flagpoint="1" taskid="6336" /&gt;&lt;/p&gt;</t>
    <phoneticPr fontId="6" type="noConversion"/>
  </si>
  <si>
    <t>名称</t>
    <phoneticPr fontId="7" type="noConversion"/>
  </si>
  <si>
    <t>绑银</t>
    <phoneticPr fontId="14" type="noConversion"/>
  </si>
  <si>
    <t>经验</t>
    <phoneticPr fontId="14" type="noConversion"/>
  </si>
  <si>
    <t>绑银</t>
    <phoneticPr fontId="14" type="noConversion"/>
  </si>
  <si>
    <t>经验</t>
    <phoneticPr fontId="14" type="noConversion"/>
  </si>
  <si>
    <t>body(space()space()space()player()，请帮助我们将镖车运送到前线。newline()   按照惯例，我要收取一部分的hot(定金)，在镖车到达目的地后去会将定金再还给你的。newline()   需要押金$FOREGIFT枚银子。)</t>
    <phoneticPr fontId="6" type="noConversion"/>
  </si>
  <si>
    <t>title( [58级]策反)
body(hotyellow_3(任务进程:)newline()
   去找goto(525,4)。
blankline()hotyellow_3(任务描述:)newline() 
  去告诉孙策大人，有人想要杀他，小心。那个人就是……！不……我不能说……)</t>
    <phoneticPr fontId="6" type="noConversion"/>
  </si>
  <si>
    <t>[每日]升星3次</t>
    <phoneticPr fontId="6" type="noConversion"/>
  </si>
  <si>
    <t>每日必做任务</t>
    <phoneticPr fontId="6" type="noConversion"/>
  </si>
  <si>
    <t>[每日]世界聊天1次</t>
    <phoneticPr fontId="6" type="noConversion"/>
  </si>
  <si>
    <t>[每日]赠送一次鲜花</t>
    <phoneticPr fontId="6" type="noConversion"/>
  </si>
  <si>
    <t>[每日]使用1次坐骑进阶</t>
    <phoneticPr fontId="6" type="noConversion"/>
  </si>
  <si>
    <t>[每日]商城消费</t>
    <phoneticPr fontId="6" type="noConversion"/>
  </si>
  <si>
    <t>[每日]每日抽奖</t>
    <phoneticPr fontId="6" type="noConversion"/>
  </si>
  <si>
    <t>[61级]算计</t>
    <phoneticPr fontId="6" type="noConversion"/>
  </si>
  <si>
    <t>title( [[61级]算计)
body(hotyellow_3(任务进程:)newline()
   去找goto(538,5)。
blankline()hotyellow_3(任务描述:)newline() 
  江东有两位美娇娘，大乔和小乔。想不到她的夫君居然不幸早亡……哎)</t>
    <phoneticPr fontId="6" type="noConversion"/>
  </si>
  <si>
    <t>body(   早就听闻大乔的美名，想不到她的夫君居然不幸早亡……哎)</t>
    <phoneticPr fontId="6" type="noConversion"/>
  </si>
  <si>
    <t>body(  不过，你说的那种魔物，似乎在哪里听过。)</t>
    <phoneticPr fontId="6" type="noConversion"/>
  </si>
  <si>
    <t>&lt;n effect=4 font=2 color=White scolor=Turp&gt;自古红颜多薄命&lt;/n&gt;</t>
    <phoneticPr fontId="6" type="noConversion"/>
  </si>
  <si>
    <t>[61级]卜卦</t>
    <phoneticPr fontId="6" type="noConversion"/>
  </si>
  <si>
    <t>title( [[61级]卜卦)
body(hotyellow_3(任务进程:)newline()
   击杀goto(10015,5)后。回复goto(538,5)。
blankline()hotyellow_3(任务描述:)newline() 
  近日在下占卜了一卦，卦象显示为大凶之召。而卦象显示的方向被玄之营的怪物占领了，请去探查下。)</t>
    <phoneticPr fontId="6" type="noConversion"/>
  </si>
  <si>
    <t>body(   近日在下占卜了一卦，卦象显示为大凶之召。而卦象显示的方向被玄之营的怪物占领了，请去探查下。)</t>
    <phoneticPr fontId="6" type="noConversion"/>
  </si>
  <si>
    <t>body(   山野之地，怎么会无端有这么多军士聚集。)</t>
    <phoneticPr fontId="6" type="noConversion"/>
  </si>
  <si>
    <t>&lt;n effect=4 font=2 color=White scolor=Turp&gt;山野之地，聚集了大量军士&lt;/n&gt;</t>
    <phoneticPr fontId="6" type="noConversion"/>
  </si>
  <si>
    <t>[61级]洛水河神</t>
    <phoneticPr fontId="6" type="noConversion"/>
  </si>
  <si>
    <t>body(  你看见河里的鱼了吗？那些鱼异常肥美。不知是何原因？)</t>
    <phoneticPr fontId="6" type="noConversion"/>
  </si>
  <si>
    <t>body(  洛水河神！)</t>
    <phoneticPr fontId="6" type="noConversion"/>
  </si>
  <si>
    <t>&lt;n effect=4 font=2 color=White scolor=Turp&gt;河里的鱼长的异常肥美&lt;/n&gt;</t>
    <phoneticPr fontId="6" type="noConversion"/>
  </si>
  <si>
    <t>"36024-0-5"</t>
    <phoneticPr fontId="6" type="noConversion"/>
  </si>
  <si>
    <t>[62级]仙人</t>
    <phoneticPr fontId="6" type="noConversion"/>
  </si>
  <si>
    <t>左慈</t>
    <phoneticPr fontId="14" type="noConversion"/>
  </si>
  <si>
    <t>title( [62级]仙人)
body(hotyellow_3(任务进程:)newline()
   去找goto(537,5)。
blankline()hotyellow_3(任务描述:)newline() 
 想不到我在久居此地，居然不知道这里有河神。不过，我倒知道一个仙人。)</t>
    <phoneticPr fontId="6" type="noConversion"/>
  </si>
  <si>
    <t>body(   想不到我在久居此地，居然不知道这里有河神。不过，我倒知道一个仙人。)</t>
    <phoneticPr fontId="6" type="noConversion"/>
  </si>
  <si>
    <t>body(  黄夫人过誉了，贫道不过一介凡人。)</t>
    <phoneticPr fontId="6" type="noConversion"/>
  </si>
  <si>
    <t>&lt;n effect=4 font=2 color=White scolor=Turp&gt;据说左慈拥有仙人的能力&lt;/n&gt;</t>
    <phoneticPr fontId="6" type="noConversion"/>
  </si>
  <si>
    <t>[62级]天机不可泄露</t>
    <phoneticPr fontId="6" type="noConversion"/>
  </si>
  <si>
    <t>百里秋月</t>
    <phoneticPr fontId="14" type="noConversion"/>
  </si>
  <si>
    <t>title( [62级]天机不可泄露)
body(hotyellow_3(任务进程:)newline()
   去找goto(539,5)。
blankline()hotyellow_3(任务描述:)newline() 
  所谓天机不可泄露，我又怎能告诉你囚禁河神力量的原因呢？不可说，不可说……不过，如果你能帮我从百里秋月那里问到一个秘密，也许……)</t>
    <phoneticPr fontId="6" type="noConversion"/>
  </si>
  <si>
    <t>body(  所谓天机不可泄露，我又怎能告诉你囚禁河神力量的原因呢？不可说，不可说……不过，如果你能帮我从百里秋月那里问到一个秘密，也许……)</t>
    <phoneticPr fontId="6" type="noConversion"/>
  </si>
  <si>
    <t>body(   哼，左慈那个伪仙人。)</t>
    <phoneticPr fontId="6" type="noConversion"/>
  </si>
  <si>
    <t>&lt;n effect=4 font=2 color=White scolor=Turp&gt;左慈想知道百里的秘密&lt;/n&gt;</t>
    <phoneticPr fontId="6" type="noConversion"/>
  </si>
  <si>
    <t>[62级]胸口碎大石</t>
    <phoneticPr fontId="6" type="noConversion"/>
  </si>
  <si>
    <t>百里秋月</t>
    <phoneticPr fontId="14" type="noConversion"/>
  </si>
  <si>
    <t>title( [62级]胸口碎大石)
body(hotyellow_3(任务进程:)newline()
    采集goto(2038,5)后，去找goto(539,5)。
blankline()hotyellow_3(任务描述:)newline() 
  左慈让你来找我的？那家伙就是个江湖骗子。刚才给我表演什么胸口碎大石，我怀疑那个石头有问题。)</t>
    <phoneticPr fontId="6" type="noConversion"/>
  </si>
  <si>
    <t>body(  左慈让你来找我的？那家伙就是个江湖骗子。刚才给我表演什么胸口碎大石，我怀疑那个石头有问题。)</t>
    <phoneticPr fontId="6" type="noConversion"/>
  </si>
  <si>
    <t>body(   果然是石灰石，那个骗子。)</t>
    <phoneticPr fontId="6" type="noConversion"/>
  </si>
  <si>
    <t>&lt;n effect=4 font=2 color=White scolor=Turp&gt;查看那些石头&lt;/n&gt;</t>
    <phoneticPr fontId="6" type="noConversion"/>
  </si>
  <si>
    <t>"36025-0-5"</t>
    <phoneticPr fontId="6" type="noConversion"/>
  </si>
  <si>
    <t>[63级]万变不离其宗</t>
    <phoneticPr fontId="6" type="noConversion"/>
  </si>
  <si>
    <t>百里秋月</t>
    <phoneticPr fontId="14" type="noConversion"/>
  </si>
  <si>
    <t>左慈</t>
    <phoneticPr fontId="14" type="noConversion"/>
  </si>
  <si>
    <t>title( [63级]万变不离其宗)
body(hotyellow_3(任务进程:)newline()
   去找goto(537,5)。
blankline()hotyellow_3(任务描述:)newline() 
  左慈擅幻化之术，但是万变不离其宗，每次变幻的时候，他身上的气味不会变。)</t>
    <phoneticPr fontId="6" type="noConversion"/>
  </si>
  <si>
    <t>body(   左慈擅幻化之术，但是万变不离其宗，每次变幻的时候，他身上的气味不会变。)</t>
    <phoneticPr fontId="6" type="noConversion"/>
  </si>
  <si>
    <t>body(   贫道已经十年没有洗澡了，体味是重了一点。)</t>
    <phoneticPr fontId="6" type="noConversion"/>
  </si>
  <si>
    <t>&lt;n effect=4 font=2 color=White scolor=Turp&gt;原来破绽在气味上面&lt;/n&gt;</t>
    <phoneticPr fontId="6" type="noConversion"/>
  </si>
  <si>
    <t>body(  每当有异宝出世，天地间都会有异动。玄之营的军士已经在寻找那件异宝了。)</t>
    <phoneticPr fontId="6" type="noConversion"/>
  </si>
  <si>
    <t>body(   可惜啊，凡夫俗子是没有机缘获得这种异宝的。)</t>
    <phoneticPr fontId="6" type="noConversion"/>
  </si>
  <si>
    <t>&lt;n effect=4 font=2 color=White scolor=Turp&gt;玄之营军士正在寻找异宝&lt;/n&gt;</t>
    <phoneticPr fontId="6" type="noConversion"/>
  </si>
  <si>
    <t>[63级]鸿蒙之盘</t>
    <phoneticPr fontId="6" type="noConversion"/>
  </si>
  <si>
    <t>锦绣</t>
    <phoneticPr fontId="14" type="noConversion"/>
  </si>
  <si>
    <t>title( [63级]鸿蒙之盘)
body(hotyellow_3(任务进程:)newline()
   去找goto(536,5)。
blankline()hotyellow_3(任务描述:)newline() 
  当年我能修成大道，也是借助了此物——鸿蒙之盘。它蕴含着天地间古老的力量。不过，不知道发生了什么事情，它居然碎成了许多片，散落人界。目前其中有一块碎片正在王城里。)</t>
    <phoneticPr fontId="6" type="noConversion"/>
  </si>
  <si>
    <t>body(    当年我能修成大道，也是借助了此物——鸿蒙之盘。它蕴含着天地间古老的力量。不过，不知道发生了什么事情，它居然碎成了许多片，散落人界。目前其中有一块碎片正在王城里。)</t>
    <phoneticPr fontId="6" type="noConversion"/>
  </si>
  <si>
    <t>body(   鸿蒙之盘？那是什么餐盘？。)</t>
    <phoneticPr fontId="6" type="noConversion"/>
  </si>
  <si>
    <t>&lt;n effect=4 font=2 color=White scolor=Turp&gt;鸿蒙之盘蕴含着古老力量&lt;/n&gt;</t>
    <phoneticPr fontId="6" type="noConversion"/>
  </si>
  <si>
    <t>[64级]华服</t>
    <phoneticPr fontId="6" type="noConversion"/>
  </si>
  <si>
    <t>title( [64级]华服)
body(hotyellow_3(任务进程:)newline()
    击杀goto(10016,5)后，去找goto(536,5)。
blankline()hotyellow_3(任务描述:)newline() 
  客官，我这里制作的服饰精美华丽，是王城最好的。但是最近缺少一些布料……)</t>
    <phoneticPr fontId="6" type="noConversion"/>
  </si>
  <si>
    <t>body(  客官，我这里制作的服饰精美华丽，是王城最好的。但是最近缺少一些布料……)</t>
    <phoneticPr fontId="6" type="noConversion"/>
  </si>
  <si>
    <t>body(   真不知道那群怪物抢布料干嘛！)</t>
    <phoneticPr fontId="6" type="noConversion"/>
  </si>
  <si>
    <t>&lt;n effect=4 font=2 color=White scolor=Turp&gt;黄之营最近夺了一批布料&lt;/n&gt;</t>
    <phoneticPr fontId="6" type="noConversion"/>
  </si>
  <si>
    <t>[64级]奇怪的布料</t>
    <phoneticPr fontId="6" type="noConversion"/>
  </si>
  <si>
    <t>锦绣</t>
    <phoneticPr fontId="14" type="noConversion"/>
  </si>
  <si>
    <t>title( [64级]奇怪的布料)
body(hotyellow_3(任务进程:)newline()
   去找goto(534,5)。
blankline()hotyellow_3(任务描述:)newline() 
  前几天，有位客人交给我一块奇怪的布料，那布料水火不侵，刀枪不入。不知道哪里能得到这种布料。)</t>
    <phoneticPr fontId="6" type="noConversion"/>
  </si>
  <si>
    <t>body(   前几天，有位客人交给我一块奇怪的布料，那布料水火不侵，刀枪不入。不知道哪里能得到这种布料。)</t>
    <phoneticPr fontId="6" type="noConversion"/>
  </si>
  <si>
    <t>body(   那块布？我是机缘巧合之下得到的。)</t>
    <phoneticPr fontId="6" type="noConversion"/>
  </si>
  <si>
    <t>&lt;n effect=4 font=2 color=White scolor=Turp&gt;这块布料水火不侵&lt;/n&gt;</t>
    <phoneticPr fontId="6" type="noConversion"/>
  </si>
  <si>
    <t>[64级]有点意思</t>
    <phoneticPr fontId="6" type="noConversion"/>
  </si>
  <si>
    <t>title( [64级]有点意思)
body(hotyellow_3(任务进程:)newline()
   去找goto(535,5)。
blankline()hotyellow_3(任务描述:)newline() 
  小乔真是个有趣的女子。)</t>
    <phoneticPr fontId="6" type="noConversion"/>
  </si>
  <si>
    <t>body(  小乔真是个有趣的女子。)</t>
    <phoneticPr fontId="6" type="noConversion"/>
  </si>
  <si>
    <t>body(  嗯哼，周公瑾武艺也是不凡。)</t>
    <phoneticPr fontId="6" type="noConversion"/>
  </si>
  <si>
    <t>&lt;n effect=4 font=2 color=White scolor=Turp&gt;小乔是个有点意思的姑娘&lt;/n&gt;</t>
    <phoneticPr fontId="6" type="noConversion"/>
  </si>
  <si>
    <t>&lt;p&gt;
&lt;n&gt;  交：&lt;/n&gt;
 &lt;n&gt; &lt;/n&gt;&lt;goto quick="1" id="535" mapid="5" flagpoint="1" taskid="6412"/&gt;&lt;/p&gt;</t>
    <phoneticPr fontId="6" type="noConversion"/>
  </si>
  <si>
    <t>[65级]力量</t>
    <phoneticPr fontId="6" type="noConversion"/>
  </si>
  <si>
    <t>body(   近来，我觉得身体很怪异，感觉有什么力量要挣脱出身体。)</t>
    <phoneticPr fontId="6" type="noConversion"/>
  </si>
  <si>
    <t>body(   难道是那个老道说的事情？)</t>
    <phoneticPr fontId="6" type="noConversion"/>
  </si>
  <si>
    <t>&lt;n effect=4 font=2 color=White scolor=Turp&gt;一种奇怪的力量在身体里&lt;/n&gt;</t>
    <phoneticPr fontId="6" type="noConversion"/>
  </si>
  <si>
    <t>[65级]老道</t>
    <phoneticPr fontId="6" type="noConversion"/>
  </si>
  <si>
    <t>左慈</t>
    <phoneticPr fontId="14" type="noConversion"/>
  </si>
  <si>
    <t>title( [65级]老道)
body(hotyellow_3(任务进程:)newline()
   去找goto(537,5)。
blankline()hotyellow_3(任务描述:)newline() 
  那个老道给了我一块火浣布，让我把它送给小乔。还神神叨叨说什么涅槃之类的。)</t>
    <phoneticPr fontId="6" type="noConversion"/>
  </si>
  <si>
    <t>body(   那个老道给了我一块火浣布，让我把它送给小乔。还神神叨叨说什么涅槃之类的。)</t>
    <phoneticPr fontId="6" type="noConversion"/>
  </si>
  <si>
    <t>body(   这个嘛，还是跟鸿蒙之盘有关。)</t>
    <phoneticPr fontId="6" type="noConversion"/>
  </si>
  <si>
    <t>&lt;n effect=4 font=2 color=White scolor=Turp&gt;鸿蒙之盘发生的异变&lt;/n&gt;</t>
    <phoneticPr fontId="6" type="noConversion"/>
  </si>
  <si>
    <t>[65级]太常</t>
    <phoneticPr fontId="6" type="noConversion"/>
  </si>
  <si>
    <t>左慈</t>
    <phoneticPr fontId="14" type="noConversion"/>
  </si>
  <si>
    <t>body(    据闻王城的太常司空镜有一本无字天书。能知前世今生，贫道垂涎已久。如果你能……)</t>
    <phoneticPr fontId="6" type="noConversion"/>
  </si>
  <si>
    <t>body(  哼……我敢把天书放这里，就不怕人偷。)</t>
    <phoneticPr fontId="6" type="noConversion"/>
  </si>
  <si>
    <t>&lt;n effect=4 font=2 color=White scolor=Turp&gt;左慈垂涎无字天书许久了&lt;/n&gt;</t>
    <phoneticPr fontId="6" type="noConversion"/>
  </si>
  <si>
    <t>"36027-0-1"</t>
    <phoneticPr fontId="6" type="noConversion"/>
  </si>
  <si>
    <t>[65级]道友</t>
    <phoneticPr fontId="6" type="noConversion"/>
  </si>
  <si>
    <t>左慈</t>
    <phoneticPr fontId="14" type="noConversion"/>
  </si>
  <si>
    <t>body(    呵呵呵，道友又打我的无字天书的主意，小坏蛋。)</t>
    <phoneticPr fontId="6" type="noConversion"/>
  </si>
  <si>
    <t>body(   那个家伙年纪比我还大！老不死的。)</t>
    <phoneticPr fontId="6" type="noConversion"/>
  </si>
  <si>
    <t>&lt;n effect=4 font=2 color=White scolor=Turp&gt;司空镜竟然是左慈的道友&lt;/n&gt;</t>
    <phoneticPr fontId="6" type="noConversion"/>
  </si>
  <si>
    <t>[66级]神之力</t>
    <phoneticPr fontId="6" type="noConversion"/>
  </si>
  <si>
    <t>左慈</t>
    <phoneticPr fontId="14" type="noConversion"/>
  </si>
  <si>
    <t>title( [66级]神之力)
body(hotyellow_3(任务进程:)newline()
   击杀goto(10016,5)后，去找goto(531,5)。
blankline()hotyellow_3(任务描述:)newline() 
  鸿蒙之盘能够激发神将之力。小乔也许是神将转世。去黄之营士兵处搜集点有用信息吧。)</t>
    <phoneticPr fontId="6" type="noConversion"/>
  </si>
  <si>
    <t>body(    鸿蒙之盘能够激发神将之力。小乔也许是神将转世。去黄之营士兵处搜集点有用信息吧。)</t>
    <phoneticPr fontId="6" type="noConversion"/>
  </si>
  <si>
    <t>body(   不错，我久居王城，确实也发现神将之力即将苏醒。询问天书，也许可以给你解答。)</t>
    <phoneticPr fontId="6" type="noConversion"/>
  </si>
  <si>
    <t>&lt;n effect=4 font=2 color=White scolor=Turp&gt;王城隐隐有神力苏醒的征兆&lt;/n&gt;</t>
    <phoneticPr fontId="6" type="noConversion"/>
  </si>
  <si>
    <t>[66级]天书的预言</t>
    <phoneticPr fontId="6" type="noConversion"/>
  </si>
  <si>
    <t>司空镜</t>
    <phoneticPr fontId="6" type="noConversion"/>
  </si>
  <si>
    <t>body(   我这本无字天书，上知天文，下知地理，王城八卦，无所不知。)</t>
    <phoneticPr fontId="6" type="noConversion"/>
  </si>
  <si>
    <t>body(   原来如此……)</t>
    <phoneticPr fontId="6" type="noConversion"/>
  </si>
  <si>
    <t>&lt;n effect=4 font=2 color=White scolor=Turp&gt;询问无字天书王城八卦&lt;/n&gt;</t>
    <phoneticPr fontId="6" type="noConversion"/>
  </si>
  <si>
    <t>"36028-0-1"</t>
    <phoneticPr fontId="6" type="noConversion"/>
  </si>
  <si>
    <t>[67级]神将</t>
    <phoneticPr fontId="6" type="noConversion"/>
  </si>
  <si>
    <t>司空镜</t>
    <phoneticPr fontId="6" type="noConversion"/>
  </si>
  <si>
    <t>太尉</t>
    <phoneticPr fontId="14" type="noConversion"/>
  </si>
  <si>
    <t>body(    看来，小乔也是神将转世。据说最近王城有奇怪的事情发生，去询问太尉大人吧。)</t>
    <phoneticPr fontId="6" type="noConversion"/>
  </si>
  <si>
    <t>body(   确实如此。)</t>
    <phoneticPr fontId="6" type="noConversion"/>
  </si>
  <si>
    <t>&lt;n effect=4 font=2 color=White scolor=Turp&gt;太尉需要帮手&lt;/n&gt;</t>
    <phoneticPr fontId="6" type="noConversion"/>
  </si>
  <si>
    <t>[67级]声东击西</t>
    <phoneticPr fontId="6" type="noConversion"/>
  </si>
  <si>
    <t>太尉</t>
    <phoneticPr fontId="14" type="noConversion"/>
  </si>
  <si>
    <t>title( [67级]声东击西)
body(hotyellow_3(任务进程:)newline()
   击杀goto(10027,5)后，去找goto(134,5)。
blankline()hotyellow_3(任务描述:)newline() 
  据卫尉来报，那天他们正在巡逻，结果听到很凄厉的救命声，就被引开了。王城外的怪物和那天的事情有关。)</t>
    <phoneticPr fontId="6" type="noConversion"/>
  </si>
  <si>
    <t>body(   据卫尉来报，那天他们正在巡逻，结果听到很凄厉的救命声，就被引开了。王城外的怪物和那天的事情有关。)</t>
    <phoneticPr fontId="6" type="noConversion"/>
  </si>
  <si>
    <t>body(   可惜没抓到幕后。)</t>
    <phoneticPr fontId="6" type="noConversion"/>
  </si>
  <si>
    <t>&lt;n effect=4 font=2 color=White scolor=Turp&gt;王城出现了恐怖的妖物&lt;/n&gt;</t>
    <phoneticPr fontId="6" type="noConversion"/>
  </si>
  <si>
    <t>[67级]安全第一</t>
    <phoneticPr fontId="6" type="noConversion"/>
  </si>
  <si>
    <t>太尉</t>
    <phoneticPr fontId="14" type="noConversion"/>
  </si>
  <si>
    <t>title( [67级]安全第一)
body(hotyellow_3(任务进程:)newline()
   去找goto(532,5)。
blankline()hotyellow_3(任务描述:)newline() 
  看来，要让卫尉注意城防安全了。)</t>
    <phoneticPr fontId="6" type="noConversion"/>
  </si>
  <si>
    <t>body(  看来，要让卫尉注意城防安全了。)</t>
    <phoneticPr fontId="6" type="noConversion"/>
  </si>
  <si>
    <t>body(   太尉大人放心，吾等一定誓死守卫王城。)</t>
    <phoneticPr fontId="6" type="noConversion"/>
  </si>
  <si>
    <t>[68级]王城美酒</t>
    <phoneticPr fontId="6" type="noConversion"/>
  </si>
  <si>
    <t>title( [68级]王城美酒)
body(hotyellow_3(任务进程:)newline()
   去找goto(540,5)。
blankline()hotyellow_3(任务描述:)newline() 
  你知道王城最好的酒是谁酿的吗？)</t>
    <phoneticPr fontId="6" type="noConversion"/>
  </si>
  <si>
    <t>body(   你知道王城最好的酒是谁酿的吗？)</t>
    <phoneticPr fontId="6" type="noConversion"/>
  </si>
  <si>
    <t>body(   我会酿酒，但是酒量却很差。)</t>
    <phoneticPr fontId="6" type="noConversion"/>
  </si>
  <si>
    <t>[68级]山泉水</t>
    <phoneticPr fontId="6" type="noConversion"/>
  </si>
  <si>
    <t>title( [68级]山泉水)
body(hotyellow_3(任务进程:)newline()
   使用goto(2042,5)获得山泉水后，去找goto(540,5)。
blankline()hotyellow_3(任务描述:)newline() 
  不同的水酿造酒，会影响酒的口感。比如同样是秋露白酒，用王城的水酿造的酒，会比凤城的水酿造的香甜。)</t>
    <phoneticPr fontId="6" type="noConversion"/>
  </si>
  <si>
    <t>body(   不同的水酿造酒，会影响酒的口感。比如同样是秋露白酒，用王城的水酿造的酒，会比凤城的水酿造的香甜。)</t>
    <phoneticPr fontId="6" type="noConversion"/>
  </si>
  <si>
    <t>body(   这个是王城上流的水啊。)</t>
    <phoneticPr fontId="6" type="noConversion"/>
  </si>
  <si>
    <t>"36029-0-8"</t>
    <phoneticPr fontId="6" type="noConversion"/>
  </si>
  <si>
    <t>[68级]杜康酒</t>
    <phoneticPr fontId="6" type="noConversion"/>
  </si>
  <si>
    <t>body(   我最近酿了一种酒，我称它为“杜康酒”，阁下要尝尝吗？)</t>
    <phoneticPr fontId="6" type="noConversion"/>
  </si>
  <si>
    <t>body(  杜康酒是我酿造过的最香醇的酒，因为我喝一杯酒能睡上一天。)</t>
    <phoneticPr fontId="6" type="noConversion"/>
  </si>
  <si>
    <t>"36030-0-8"</t>
    <phoneticPr fontId="6" type="noConversion"/>
  </si>
  <si>
    <t>[69级]嗜酒</t>
    <phoneticPr fontId="6" type="noConversion"/>
  </si>
  <si>
    <t>title( [69级]嗜酒)
body(hotyellow_3(任务进程:)newline()
   去找goto(532,5)。
blankline()hotyellow_3(任务描述:)newline() 
  王城卫尉赵无暇嗜酒，把这瓶新酿造的杜康酒送给他吧。)</t>
    <phoneticPr fontId="6" type="noConversion"/>
  </si>
  <si>
    <t>body(   王城卫尉赵无暇嗜酒，把这瓶新酿造的杜康酒送给他吧。)</t>
    <phoneticPr fontId="6" type="noConversion"/>
  </si>
  <si>
    <t>body(   虽然还未打开酒瓶，但是已经闻到香味了。)</t>
    <phoneticPr fontId="6" type="noConversion"/>
  </si>
  <si>
    <t>[69级]嗜钱</t>
    <phoneticPr fontId="6" type="noConversion"/>
  </si>
  <si>
    <t>title( [69级]嗜钱)
body(hotyellow_3(任务进程:)newline()
   去找goto(533,5)。
blankline()hotyellow_3(任务描述:)newline() 
  我有一个兄弟叫钱多多，平时特喜欢贪小便宜，最近他好像遇到麻烦了。)</t>
    <phoneticPr fontId="6" type="noConversion"/>
  </si>
  <si>
    <t>body(   我有一个兄弟叫钱多多，平时特喜欢贪小便宜，最近他好像遇到麻烦了。)</t>
    <phoneticPr fontId="6" type="noConversion"/>
  </si>
  <si>
    <t>body(   哎，怎么办，怎么办！)</t>
    <phoneticPr fontId="6" type="noConversion"/>
  </si>
  <si>
    <t>[69级]疑神疑鬼</t>
    <phoneticPr fontId="6" type="noConversion"/>
  </si>
  <si>
    <t>title( [69级]疑神疑鬼)
body(hotyellow_3(任务进程:)newline()
   击杀goto(10027,5)后，去找goto(533,5)。
blankline()hotyellow_3(任务描述:)newline() 
  最近总有个奇怪的东西跟着我，太可怕了……它们正在王城外面。)</t>
    <phoneticPr fontId="6" type="noConversion"/>
  </si>
  <si>
    <t>body(  最近总有个奇怪的东西跟着我，太可怕了……它们正在王城外面。)</t>
    <phoneticPr fontId="6" type="noConversion"/>
  </si>
  <si>
    <t>body(   哎，我就是偷偷拿了小乔的东西，结果招惹了那些怪物。)</t>
    <phoneticPr fontId="6" type="noConversion"/>
  </si>
  <si>
    <t>&lt;n effect=4 font=2 color=White scolor=Turp&gt;钱多多疑神疑鬼&lt;/n&gt;</t>
    <phoneticPr fontId="6" type="noConversion"/>
  </si>
  <si>
    <t>[70级]噬灵</t>
    <phoneticPr fontId="6" type="noConversion"/>
  </si>
  <si>
    <t>title( [70级]噬灵)
body(hotyellow_3(任务进程:)newline()
   去找goto(535,5)。
blankline()hotyellow_3(任务描述:)newline() 
  小乔太邪门了。身边总跟奇奇怪怪的东西。)</t>
    <phoneticPr fontId="6" type="noConversion"/>
  </si>
  <si>
    <t>body(   小乔太邪门了。身边总跟奇奇怪怪的东西。)</t>
    <phoneticPr fontId="6" type="noConversion"/>
  </si>
  <si>
    <t>body(  哼，本姑娘的东西，能随便偷拿吗！)</t>
    <phoneticPr fontId="6" type="noConversion"/>
  </si>
  <si>
    <t>&lt;n effect=4 font=2 color=White scolor=Turp&gt;小乔的东西不能随便拿&lt;/n&gt;</t>
    <phoneticPr fontId="6" type="noConversion"/>
  </si>
  <si>
    <t>1.主线
2.支线
3.日常
4.军团（除科技任务）
5.成就
6.每日必做</t>
    <phoneticPr fontId="10" type="noConversion"/>
  </si>
  <si>
    <t>[70级]凤舞九天</t>
    <phoneticPr fontId="6" type="noConversion"/>
  </si>
  <si>
    <t>title( [70级]凤舞九天)
body(hotyellow_3(任务进程:)newline()
   查看goto(2044,5)后，回复goto(535,5)。
blankline()hotyellow_3(任务描述:)newline() 
  呵呵，这一切都是因为鸿蒙之盘的缘故。你猜鸿蒙之盘是什么样子的？)</t>
    <phoneticPr fontId="6" type="noConversion"/>
  </si>
  <si>
    <t>body(   呵呵，这一切都是因为鸿蒙之盘的缘故。你猜鸿蒙之盘是什么样子的？)</t>
    <phoneticPr fontId="6" type="noConversion"/>
  </si>
  <si>
    <t>body(   我已经想起了很多前世之事。呵呵，想不到周瑜也是……)</t>
    <phoneticPr fontId="6" type="noConversion"/>
  </si>
  <si>
    <t>&lt;n effect=4 font=2 color=White scolor=Turp&gt;观察那朵奇怪的荷花&lt;/n&gt;</t>
    <phoneticPr fontId="6" type="noConversion"/>
  </si>
  <si>
    <t>[70级]真相</t>
    <phoneticPr fontId="6" type="noConversion"/>
  </si>
  <si>
    <t>body(    呵呵，如今的天界，早已不是当年的天界了。天帝是蚩尤的化身了。)</t>
    <phoneticPr fontId="6" type="noConversion"/>
  </si>
  <si>
    <t>body(  那些蚩尤的走狗！)</t>
    <phoneticPr fontId="6" type="noConversion"/>
  </si>
  <si>
    <t>&lt;n effect=4 font=2 color=White scolor=Turp&gt;天帝居然是蚩尤的化身&lt;/n&gt;</t>
    <phoneticPr fontId="6" type="noConversion"/>
  </si>
  <si>
    <t>[71级]失踪</t>
    <phoneticPr fontId="6" type="noConversion"/>
  </si>
  <si>
    <t>锦绣</t>
    <phoneticPr fontId="14" type="noConversion"/>
  </si>
  <si>
    <t>古董商-钱誉</t>
    <phoneticPr fontId="14" type="noConversion"/>
  </si>
  <si>
    <t>title( [71级]失踪)
body(hotyellow_3(任务进程:)newline()
   去找goto(543,3)。
blankline()hotyellow_3(任务描述:)newline() 
  那个死鬼说要去剑阁做古董生意，结果都过去一个多月了，他还没有回来。)</t>
    <phoneticPr fontId="6" type="noConversion"/>
  </si>
  <si>
    <t>body(   那个死鬼说要去剑阁做古董生意，结果都过去一个多月了，他还没有回来。)</t>
    <phoneticPr fontId="6" type="noConversion"/>
  </si>
  <si>
    <t>body(   啊！我实在是被这个棋局谜住了，忘了时间。)</t>
    <phoneticPr fontId="6" type="noConversion"/>
  </si>
  <si>
    <t>&lt;n effect=4 font=2 color=White scolor=Turp&gt;一个多月了，古董商还没回来&lt;/n&gt;</t>
    <phoneticPr fontId="6" type="noConversion"/>
  </si>
  <si>
    <t>[71级]怎么办</t>
    <phoneticPr fontId="6" type="noConversion"/>
  </si>
  <si>
    <t>body(  怎么办，怎么办，怎么办！老婆要生气，怎么办。)</t>
    <phoneticPr fontId="6" type="noConversion"/>
  </si>
  <si>
    <t>body(   总觉得送花对她没用。)</t>
    <phoneticPr fontId="6" type="noConversion"/>
  </si>
  <si>
    <t>&lt;n effect=4 font=2 color=White scolor=Turp&gt;息怒啊，夫人&lt;/n&gt;</t>
    <phoneticPr fontId="6" type="noConversion"/>
  </si>
  <si>
    <t>"36031-0-8"</t>
    <phoneticPr fontId="6" type="noConversion"/>
  </si>
  <si>
    <t>[71级]黑脸</t>
    <phoneticPr fontId="6" type="noConversion"/>
  </si>
  <si>
    <t>张飞</t>
    <phoneticPr fontId="14" type="noConversion"/>
  </si>
  <si>
    <t>title( [71级]黑脸)
body(hotyellow_3(任务进程:)newline()
   去找goto(619,3)。
blankline()hotyellow_3(任务描述:)newline() 
  我来到剑阁，遇到了个奇怪的人，长的孔武有力，但是脸黑如墨。)</t>
    <phoneticPr fontId="6" type="noConversion"/>
  </si>
  <si>
    <t>body(   我来到剑阁，遇到了个奇怪的人，长的孔武有力，但是脸黑如墨。)</t>
    <phoneticPr fontId="6" type="noConversion"/>
  </si>
  <si>
    <t>body(  诸葛匹夫，就是不肯跟我大哥出山。)</t>
    <phoneticPr fontId="6" type="noConversion"/>
  </si>
  <si>
    <t>&lt;n effect=4 font=2 color=White scolor=Turp&gt;剑阁偶遇张飞一行&lt;/n&gt;</t>
    <phoneticPr fontId="6" type="noConversion"/>
  </si>
  <si>
    <t>[72级]难题</t>
    <phoneticPr fontId="6" type="noConversion"/>
  </si>
  <si>
    <t>诸葛亮</t>
    <phoneticPr fontId="14" type="noConversion"/>
  </si>
  <si>
    <t>title( [72级]难题)
body(hotyellow_3(任务进程:)newline()
   去找goto(619,3)。
blankline()hotyellow_3(任务描述:)newline() 
  实在是非亮不肯出山，剑阁最近不太平，亮放心不下。)</t>
    <phoneticPr fontId="6" type="noConversion"/>
  </si>
  <si>
    <t>body(    实在是非亮不肯出山，剑阁最近不太平，亮放心不下。)</t>
    <phoneticPr fontId="6" type="noConversion"/>
  </si>
  <si>
    <t>body(   区区几只猴子而已。)</t>
    <phoneticPr fontId="6" type="noConversion"/>
  </si>
  <si>
    <t>&lt;n effect=4 font=2 color=White scolor=Turp&gt;诸葛亮自有一番苦衷&lt;/n&gt;</t>
    <phoneticPr fontId="6" type="noConversion"/>
  </si>
  <si>
    <t>[72级]答复</t>
    <phoneticPr fontId="6" type="noConversion"/>
  </si>
  <si>
    <t>title( [72级]答复)
body(hotyellow_3(任务进程:)newline()
   击杀goto(10028,3)后，去找goto(614,3)。
blankline()hotyellow_3(任务描述:)newline() 
  请帮忙击退那些猴子。)</t>
    <phoneticPr fontId="6" type="noConversion"/>
  </si>
  <si>
    <t>body(  请帮忙击退那些猴子。)</t>
    <phoneticPr fontId="6" type="noConversion"/>
  </si>
  <si>
    <t>body(   张将军果然武艺惊人。)</t>
    <phoneticPr fontId="6" type="noConversion"/>
  </si>
  <si>
    <t>&lt;n effect=4 font=2 color=White scolor=Turp&gt;击杀那些捣乱的猴子&lt;/n&gt;</t>
    <phoneticPr fontId="6" type="noConversion"/>
  </si>
  <si>
    <t>[72级]求答</t>
    <phoneticPr fontId="6" type="noConversion"/>
  </si>
  <si>
    <t>关羽</t>
    <phoneticPr fontId="14" type="noConversion"/>
  </si>
  <si>
    <t>body(   剑阁之地，遍布草药。最近侍从发现一种新的草药，不知是何用？)</t>
    <phoneticPr fontId="6" type="noConversion"/>
  </si>
  <si>
    <t>body(   此物看起来很眼熟。)</t>
    <phoneticPr fontId="6" type="noConversion"/>
  </si>
  <si>
    <t>&lt;n effect=4 font=2 color=White scolor=Turp&gt;采集一些草药给关羽&lt;/n&gt;</t>
    <phoneticPr fontId="6" type="noConversion"/>
  </si>
  <si>
    <t>"36032-0-8"</t>
    <phoneticPr fontId="6" type="noConversion"/>
  </si>
  <si>
    <t>[73级]麻沸散</t>
    <phoneticPr fontId="6" type="noConversion"/>
  </si>
  <si>
    <t>title( [73级]麻沸散)
body(hotyellow_3(任务进程:)newline()
   去找goto(614,3)。
blankline()hotyellow_3(任务描述:)newline() 
  曾听华佗说过，此物乃麻沸散，有止痛。麻醉功效。)</t>
    <phoneticPr fontId="6" type="noConversion"/>
  </si>
  <si>
    <t>body(     曾听华佗说过，此物乃麻沸散，有止痛。麻醉功效。)</t>
    <phoneticPr fontId="6" type="noConversion"/>
  </si>
  <si>
    <t>body(   关将军真是见多识广。)</t>
    <phoneticPr fontId="6" type="noConversion"/>
  </si>
  <si>
    <t>&lt;n effect=4 font=2 color=White scolor=Turp&gt;告知诸葛亮&lt;/n&gt;</t>
    <phoneticPr fontId="6" type="noConversion"/>
  </si>
  <si>
    <t>[73级]狐假虎威</t>
    <phoneticPr fontId="6" type="noConversion"/>
  </si>
  <si>
    <t>title( [73级]狐假虎威)
body(hotyellow_3(任务进程:)newline()
   击杀goto(10029,5)后，去找goto(620,3)。
blankline()hotyellow_3(任务描述:)newline() 
  狐狸假借老虎的威势，作威作福，该当如何？)</t>
    <phoneticPr fontId="6" type="noConversion"/>
  </si>
  <si>
    <t>body(   狐狸假借老虎的威势，作威作福，该当如何？)</t>
    <phoneticPr fontId="6" type="noConversion"/>
  </si>
  <si>
    <t>body(   借匡扶正道之名，清君侧。)</t>
    <phoneticPr fontId="6" type="noConversion"/>
  </si>
  <si>
    <t>&lt;n effect=4 font=2 color=White scolor=Turp&gt;面对狐假虎威之徒，该如何&lt;/n&gt;</t>
    <phoneticPr fontId="6" type="noConversion"/>
  </si>
  <si>
    <t>[73级]三顾</t>
    <phoneticPr fontId="6" type="noConversion"/>
  </si>
  <si>
    <t>刘备</t>
    <phoneticPr fontId="14" type="noConversion"/>
  </si>
  <si>
    <t>title( [73级]三顾)
body(hotyellow_3(任务进程:)newline()
   去找goto(618,3)。
blankline()hotyellow_3(任务描述:)newline() 
  哎，我们已经来次拜访孔明先生多次了，但是先生总是借口各种事情，退却出山。)</t>
    <phoneticPr fontId="6" type="noConversion"/>
  </si>
  <si>
    <t>body(   哎，我们已经来次拜访孔明先生多次了，但是先生总是借口各种事情，退却出山。)</t>
    <phoneticPr fontId="6" type="noConversion"/>
  </si>
  <si>
    <t>body(   只要能拜得孔明出山，多来几次又何妨？)</t>
    <phoneticPr fontId="6" type="noConversion"/>
  </si>
  <si>
    <t>&lt;n effect=4 font=2 color=White scolor=Turp&gt;多次拜访孔明，却无结果&lt;/n&gt;</t>
    <phoneticPr fontId="6" type="noConversion"/>
  </si>
  <si>
    <t>[74级]乞丐讥笑</t>
    <phoneticPr fontId="6" type="noConversion"/>
  </si>
  <si>
    <t>乞丐</t>
    <phoneticPr fontId="14" type="noConversion"/>
  </si>
  <si>
    <t>title( [74级]乞丐讥笑)
body(hotyellow_3(任务进程:)newline()
   去找goto(618,3)。
blankline()hotyellow_3(任务描述:)newline() 
  我看对面那三个汉子已经在这里很久了，孔明先生可没那么容易出山。)</t>
    <phoneticPr fontId="6" type="noConversion"/>
  </si>
  <si>
    <t>body(    我看对面那三个汉子已经在这里很久了，孔明先生可没那么容易出山。)</t>
    <phoneticPr fontId="6" type="noConversion"/>
  </si>
  <si>
    <t>body(   这……还请赐教！)</t>
    <phoneticPr fontId="6" type="noConversion"/>
  </si>
  <si>
    <t>&lt;n effect=4 font=2 color=White scolor=Turp&gt;乞丐讥笑刘备一行&lt;/n&gt;</t>
    <phoneticPr fontId="6" type="noConversion"/>
  </si>
  <si>
    <t>[74级]苦恼</t>
    <phoneticPr fontId="6" type="noConversion"/>
  </si>
  <si>
    <t>title( [74级]苦恼)
body(hotyellow_3(任务进程:)newline()
   去找goto(613,3)。
blankline()hotyellow_3(任务描述:)newline() 
  我们多次拜访，但是孔明拒而不出，实在无可奈何了。)</t>
    <phoneticPr fontId="6" type="noConversion"/>
  </si>
  <si>
    <t>body(    我们多次拜访，但是孔明拒而不出，实在无可奈何了。)</t>
    <phoneticPr fontId="6" type="noConversion"/>
  </si>
  <si>
    <t>body(   你可知孔明的夫人是何人？)</t>
    <phoneticPr fontId="6" type="noConversion"/>
  </si>
  <si>
    <t>&lt;n effect=4 font=2 color=White scolor=Turp&gt;刘备向乞丐求助&lt;/n&gt;</t>
    <phoneticPr fontId="6" type="noConversion"/>
  </si>
  <si>
    <t>[75级]鲜美果实</t>
    <phoneticPr fontId="6" type="noConversion"/>
  </si>
  <si>
    <t>body(   剑阁的风水养出的果实异常鲜美。)</t>
    <phoneticPr fontId="6" type="noConversion"/>
  </si>
  <si>
    <t>body(   果然美味。)</t>
    <phoneticPr fontId="6" type="noConversion"/>
  </si>
  <si>
    <t>&lt;n effect=4 font=2 color=White scolor=Turp&gt;采集一些水果给老乞丐&lt;/n&gt;</t>
    <phoneticPr fontId="6" type="noConversion"/>
  </si>
  <si>
    <t>"36033-0-10"</t>
    <phoneticPr fontId="6" type="noConversion"/>
  </si>
  <si>
    <t>[75级]黄夫人</t>
    <phoneticPr fontId="6" type="noConversion"/>
  </si>
  <si>
    <t>黄夫人</t>
    <phoneticPr fontId="14" type="noConversion"/>
  </si>
  <si>
    <t>title( [75级]黄夫人)
body(hotyellow_3(任务进程:)newline()
   去找goto(538,3)。
blankline()hotyellow_3(任务描述:)newline() 
  孔明有一位夫人，为人，比较……咳，严肃。孔明有两位侍女，为人，比较活泼。结果，黄夫人一怒之下就离家出走了。)</t>
    <phoneticPr fontId="6" type="noConversion"/>
  </si>
  <si>
    <t>body(    孔明有一位夫人，为人，比较……咳，严肃。孔明有两位侍女，为人，比较活泼。结果，黄夫人一怒之下就离家出走了。)</t>
    <phoneticPr fontId="6" type="noConversion"/>
  </si>
  <si>
    <t>body(   嗯哼！)</t>
    <phoneticPr fontId="6" type="noConversion"/>
  </si>
  <si>
    <t>&lt;n effect=4 font=2 color=White scolor=Turp&gt;一位黄夫人，两位侍女&lt;/n&gt;</t>
    <phoneticPr fontId="6" type="noConversion"/>
  </si>
  <si>
    <t>[75级]怒火</t>
    <phoneticPr fontId="6" type="noConversion"/>
  </si>
  <si>
    <t>title( [75级]怒火)
body(hotyellow_3(任务进程:)newline()
   去找goto(614,3)。
blankline()hotyellow_3(任务描述:)newline() 
  他居然敢收两个侍女！还对那两个侍女笑的那么灿烂！)</t>
    <phoneticPr fontId="6" type="noConversion"/>
  </si>
  <si>
    <t>body(   他居然敢收两个侍女！还对那两个侍女笑的那么灿烂！)</t>
    <phoneticPr fontId="6" type="noConversion"/>
  </si>
  <si>
    <t>body(   夫……夫人冤枉啊！亮对夫人的心意，天地可鉴！)</t>
    <phoneticPr fontId="6" type="noConversion"/>
  </si>
  <si>
    <t>&lt;n effect=4 font=2 color=White scolor=Turp&gt;黄夫人对那两个侍女怒火中烧&lt;/n&gt;</t>
    <phoneticPr fontId="6" type="noConversion"/>
  </si>
  <si>
    <t>[75级]解释</t>
    <phoneticPr fontId="6" type="noConversion"/>
  </si>
  <si>
    <t>title([75级]解释)
body(hotyellow_3(任务进程:)newline()
   去找goto(538,3)。
blankline()hotyellow_3(任务描述:)newline() 
  本来夫人一离家亮就想去把夫人找回来。但是中途遇到一些事情，越拖越不敢面对夫人。)</t>
    <phoneticPr fontId="6" type="noConversion"/>
  </si>
  <si>
    <t>body(   本来夫人一离家亮就想去把夫人找回来。但是中途遇到一些事情，越拖越不敢面对夫人。)</t>
    <phoneticPr fontId="6" type="noConversion"/>
  </si>
  <si>
    <t>body(   有什么事情，比我还重要吗？)</t>
    <phoneticPr fontId="6" type="noConversion"/>
  </si>
  <si>
    <t>&lt;n effect=4 font=2 color=White scolor=Turp&gt;孔明向月英解释原因&lt;/n&gt;</t>
    <phoneticPr fontId="6" type="noConversion"/>
  </si>
  <si>
    <t>[75级]责问</t>
    <phoneticPr fontId="6" type="noConversion"/>
  </si>
  <si>
    <t>title( [75级]责问)
body(hotyellow_3(任务进程:)newline()
   去找goto(614,3)。
blankline()hotyellow_3(任务描述:)newline() 
  又是拖拉的毛病。)</t>
    <phoneticPr fontId="6" type="noConversion"/>
  </si>
  <si>
    <t>body(   又是拖拉的毛病。)</t>
    <phoneticPr fontId="6" type="noConversion"/>
  </si>
  <si>
    <t>body(   是是，夫人教训的是。)</t>
    <phoneticPr fontId="6" type="noConversion"/>
  </si>
  <si>
    <t>&lt;n effect=4 font=2 color=White scolor=Turp&gt;月英再次训斥孔明&lt;/n&gt;</t>
    <phoneticPr fontId="6" type="noConversion"/>
  </si>
  <si>
    <t>[75级]王城拜访</t>
    <phoneticPr fontId="6" type="noConversion"/>
  </si>
  <si>
    <t>侍女</t>
    <phoneticPr fontId="14" type="noConversion"/>
  </si>
  <si>
    <t>title( [75级]王城拜访)
body(hotyellow_3(任务进程:)newline()
   去找goto(615,3)。
blankline()hotyellow_3(任务描述:)newline() 
  王城的太常司空镜大人，近日邀约，奈何亮实在没有时间。请让我的侍女代为拜访。)</t>
    <phoneticPr fontId="6" type="noConversion"/>
  </si>
  <si>
    <t>body(   王城的太常司空镜大人，近日邀约，奈何亮实在没有时间。请让我的侍女代为拜访。)</t>
    <phoneticPr fontId="6" type="noConversion"/>
  </si>
  <si>
    <t>body(   是，先生。)</t>
    <phoneticPr fontId="6" type="noConversion"/>
  </si>
  <si>
    <t>&lt;n effect=4 font=2 color=White scolor=Turp&gt;孔明让侍女代为拜访&lt;/n&gt;</t>
    <phoneticPr fontId="6" type="noConversion"/>
  </si>
  <si>
    <t>[76级]凤城拜访</t>
    <phoneticPr fontId="6" type="noConversion"/>
  </si>
  <si>
    <t>title( [76级]凤城拜访)
body(hotyellow_3(任务进程:)newline()
   去找goto(530,4)。
blankline()hotyellow_3(任务描述:)newline() 
  凤城的城主，近日邀约，奈何亮实在没有时间。请让我的侍女代为拜访。)</t>
    <phoneticPr fontId="6" type="noConversion"/>
  </si>
  <si>
    <t>body(   凤城的城主，近日邀约，奈何亮实在没有时间。请让我的侍女代为拜访。)</t>
    <phoneticPr fontId="6" type="noConversion"/>
  </si>
  <si>
    <t>[76级]天妒红颜</t>
    <phoneticPr fontId="6" type="noConversion"/>
  </si>
  <si>
    <t>title( [76级]天妒红颜)
body(hotyellow_3(任务进程:)newline()
   去找goto(616,3)。
blankline()hotyellow_3(任务描述:)newline() 
  其实，我知道是夫人想要打发我们出去。哎，天妒红颜。)</t>
    <phoneticPr fontId="6" type="noConversion"/>
  </si>
  <si>
    <t>body(   其实，我知道是夫人想要打发我们出去。哎，天妒红颜。)</t>
    <phoneticPr fontId="6" type="noConversion"/>
  </si>
  <si>
    <t>body(   剑阁的鱼也是异常鲜美的。)</t>
    <phoneticPr fontId="6" type="noConversion"/>
  </si>
  <si>
    <t>&lt;n effect=4 font=2 color=White scolor=Turp&gt;哎，天妒红颜啊&lt;/n&gt;</t>
    <phoneticPr fontId="6" type="noConversion"/>
  </si>
  <si>
    <t>[76级]乞丐戏言</t>
    <phoneticPr fontId="6" type="noConversion"/>
  </si>
  <si>
    <t>title( [76级]乞丐戏言)
body(hotyellow_3(任务进程:)newline()
   去找goto(619,3)。
blankline()hotyellow_3(任务描述:)newline() 
  乞丐何曾有二妻？邻家焉得许多鸡？孔明先生再聪慧也享不了二妻，哈哈哈)</t>
    <phoneticPr fontId="6" type="noConversion"/>
  </si>
  <si>
    <t>body(   乞丐何曾有二妻？邻家焉得许多鸡？孔明先生再聪慧也享不了二妻，哈哈哈)</t>
    <phoneticPr fontId="6" type="noConversion"/>
  </si>
  <si>
    <t>body(   高见。)</t>
    <phoneticPr fontId="6" type="noConversion"/>
  </si>
  <si>
    <t>&lt;n effect=4 font=2 color=White scolor=Turp&gt;乞丐何曾有二妻？&lt;/n&gt;</t>
    <phoneticPr fontId="6" type="noConversion"/>
  </si>
  <si>
    <t>[76级]仙鹤</t>
    <phoneticPr fontId="6" type="noConversion"/>
  </si>
  <si>
    <t>title( [76级]仙鹤)
body(hotyellow_3(任务进程:)newline()
   捕捉goto(2048,3)后，去找goto(618,3)。
blankline()hotyellow_3(任务描述:)newline() 
  我在山崖边发现了一只仙鹤，也许送给孔明，他叫肯出山了。)</t>
    <phoneticPr fontId="6" type="noConversion"/>
  </si>
  <si>
    <t>body(   我在山崖边发现了一只仙鹤，也许送给孔明，他叫肯出山了。)</t>
    <phoneticPr fontId="6" type="noConversion"/>
  </si>
  <si>
    <t>body(   三弟鲁莽，这仙鹤一看就是有人饲养的。)</t>
    <phoneticPr fontId="6" type="noConversion"/>
  </si>
  <si>
    <t>&lt;n effect=4 font=2 color=White scolor=Turp&gt;山崖边发现一只仙鹤&lt;/n&gt;</t>
    <phoneticPr fontId="6" type="noConversion"/>
  </si>
  <si>
    <t>[77级]致歉</t>
    <phoneticPr fontId="6" type="noConversion"/>
  </si>
  <si>
    <t>title( [77级]致歉)
body(hotyellow_3(任务进程:)newline()
   去找goto(614,3)。
blankline()hotyellow_3(任务描述:)newline() 
  三弟莽撞捉了先生饲养的仙鹤，万分抱歉。)</t>
    <phoneticPr fontId="6" type="noConversion"/>
  </si>
  <si>
    <t>body(   三弟莽撞捉了先生饲养的仙鹤，万分抱歉。)</t>
    <phoneticPr fontId="6" type="noConversion"/>
  </si>
  <si>
    <t>body(   无妨，无妨……等等~！你说仙鹤？！！)</t>
    <phoneticPr fontId="6" type="noConversion"/>
  </si>
  <si>
    <t>&lt;n effect=4 font=2 color=White scolor=Turp&gt;向孔明致歉&lt;/n&gt;</t>
    <phoneticPr fontId="6" type="noConversion"/>
  </si>
  <si>
    <t>[77级]惨了</t>
    <phoneticPr fontId="6" type="noConversion"/>
  </si>
  <si>
    <t>title( [77级]惨了)
body(hotyellow_3(任务进程:)newline()
   采集goto(2049,3)去找goto(614,3)。
blankline()hotyellow_3(任务描述:)newline() 
  这只仙鹤是夫人的最爱。万一夫人回来看到了……)</t>
    <phoneticPr fontId="6" type="noConversion"/>
  </si>
  <si>
    <t>body(   这只仙鹤是夫人的最爱。万一夫人回来看到了……)</t>
    <phoneticPr fontId="6" type="noConversion"/>
  </si>
  <si>
    <t>body(   希望这些草药有用。)</t>
    <phoneticPr fontId="6" type="noConversion"/>
  </si>
  <si>
    <t>&lt;n effect=4 font=2 color=White scolor=Turp&gt;采集草药，治疗仙鹤&lt;/n&gt;</t>
    <phoneticPr fontId="6" type="noConversion"/>
  </si>
  <si>
    <t>"36034-0-10"</t>
    <phoneticPr fontId="6" type="noConversion"/>
  </si>
  <si>
    <t>[77级]机关之术</t>
    <phoneticPr fontId="6" type="noConversion"/>
  </si>
  <si>
    <t>凌尘</t>
    <phoneticPr fontId="14" type="noConversion"/>
  </si>
  <si>
    <t>title( [77级]机关术)
body(hotyellow_3(任务进程:)newline()
   去找goto(535,3)。
blankline()hotyellow_3(任务描述:)newline() 
  近日我有一位老友到访，他精通机关之术。有兴趣可以去拜访他。)</t>
    <phoneticPr fontId="6" type="noConversion"/>
  </si>
  <si>
    <t>body(   近日我有一位老友到访，他精通机关之术。有兴趣可以去拜访他。)</t>
    <phoneticPr fontId="6" type="noConversion"/>
  </si>
  <si>
    <t>body(   孔明的朋友，即是我的朋友。)</t>
    <phoneticPr fontId="6" type="noConversion"/>
  </si>
  <si>
    <t>&lt;n effect=4 font=2 color=White scolor=Turp&gt;凌尘精通机关之术&lt;/n&gt;</t>
    <phoneticPr fontId="6" type="noConversion"/>
  </si>
  <si>
    <t>[78级]修复</t>
    <phoneticPr fontId="6" type="noConversion"/>
  </si>
  <si>
    <t>title( [78级]修复)
body(hotyellow_3(任务进程:)newline()
   击杀goto(10030,3)后，去找goto(545,3)。
blankline()hotyellow_3(任务描述:)newline() 
  我身后的这个机关兽出了问题，需要一些特殊材料修复。)</t>
    <phoneticPr fontId="6" type="noConversion"/>
  </si>
  <si>
    <t>body(   我身后的这个机关兽出了问题，需要一些特殊材料修复。)</t>
    <phoneticPr fontId="6" type="noConversion"/>
  </si>
  <si>
    <t>body(   希望能够修复。)</t>
    <phoneticPr fontId="6" type="noConversion"/>
  </si>
  <si>
    <t>&lt;n effect=4 font=2 color=White scolor=Turp&gt;需要一些材料修复机关兽&lt;/n&gt;</t>
    <phoneticPr fontId="6" type="noConversion"/>
  </si>
  <si>
    <t>[78级]机关兽</t>
    <phoneticPr fontId="6" type="noConversion"/>
  </si>
  <si>
    <t>机关兽</t>
    <phoneticPr fontId="14" type="noConversion"/>
  </si>
  <si>
    <t>title( [78级]机关兽)
body(hotyellow_3(任务进程:)newline()
   去找goto(617,3)。
blankline()hotyellow_3(任务描述:)newline() 
  好了，修复完毕。你可以看看这只机关兽。它是我今生最得意之作。)</t>
    <phoneticPr fontId="6" type="noConversion"/>
  </si>
  <si>
    <t>body(   好了，修复完毕。你可以看看这只机关兽。它是我今生最得意之作。)</t>
    <phoneticPr fontId="6" type="noConversion"/>
  </si>
  <si>
    <t>body(   桀桀桀桀……（无责任翻译：我很厉害的哦）)</t>
    <phoneticPr fontId="6" type="noConversion"/>
  </si>
  <si>
    <t>&lt;n effect=4 font=2 color=White scolor=Turp&gt;去查看修复好的机关兽&lt;/n&gt;</t>
    <phoneticPr fontId="6" type="noConversion"/>
  </si>
  <si>
    <t>[78级]交流？</t>
    <phoneticPr fontId="6" type="noConversion"/>
  </si>
  <si>
    <t>title( [78级]交流？)
body(hotyellow_3(任务进程:)newline()
   去找goto(545,3)。
blankline()hotyellow_3(任务描述:)newline() 
  桀桀桀桀……)</t>
    <phoneticPr fontId="6" type="noConversion"/>
  </si>
  <si>
    <t>body(   桀桀桀桀桀桀桀桀……)</t>
    <phoneticPr fontId="6" type="noConversion"/>
  </si>
  <si>
    <t>body(   桀桀桀桀桀桀桀桀！（这样也可以交流？！）)</t>
    <phoneticPr fontId="6" type="noConversion"/>
  </si>
  <si>
    <t>&lt;n effect=4 font=2 color=White scolor=Turp&gt;跨区物种的交流&lt;/n&gt;</t>
    <phoneticPr fontId="6" type="noConversion"/>
  </si>
  <si>
    <t>[79级]增强性能</t>
    <phoneticPr fontId="6" type="noConversion"/>
  </si>
  <si>
    <t>body(   通过刚才与机关兽的交流，我找到一个办法，可以增强它的性能。)</t>
    <phoneticPr fontId="6" type="noConversion"/>
  </si>
  <si>
    <t>body(   嗯，有了这些，应该足够了。)</t>
    <phoneticPr fontId="6" type="noConversion"/>
  </si>
  <si>
    <t>&lt;n effect=4 font=2 color=White scolor=Turp&gt;需要一些材料来增强性能&lt;/n&gt;</t>
    <phoneticPr fontId="6" type="noConversion"/>
  </si>
  <si>
    <t>[79级]传授</t>
    <phoneticPr fontId="6" type="noConversion"/>
  </si>
  <si>
    <t>title( [79级]传授)
body(hotyellow_3(任务进程:)newline()
   去找goto(545,3)。
blankline()hotyellow_3(任务描述:)newline() 
  看阁下也是可塑之才，我把这卷机关兽的制作卷轴传授给你。)</t>
    <phoneticPr fontId="6" type="noConversion"/>
  </si>
  <si>
    <t>body(   看阁下也是可塑之才，我把这卷机关兽的制作卷轴传授给你。)</t>
    <phoneticPr fontId="6" type="noConversion"/>
  </si>
  <si>
    <t>body(   你我有缘。)</t>
    <phoneticPr fontId="6" type="noConversion"/>
  </si>
  <si>
    <t>&lt;n effect=4 font=2 color=White scolor=Turp&gt;凌尘传授你机关之术&lt;/n&gt;</t>
    <phoneticPr fontId="6" type="noConversion"/>
  </si>
  <si>
    <t>[79级]机关材料</t>
    <phoneticPr fontId="6" type="noConversion"/>
  </si>
  <si>
    <t>title( [79级]机关材料)
body(hotyellow_3(任务进程:)newline()
   去找goto(538,3)。
blankline()hotyellow_3(任务描述:)newline() 
  有了这个增强版的机关兽，此生无憾了。帮我把剩下的材料送给黄夫人吧。她也是个中高手。)</t>
    <phoneticPr fontId="6" type="noConversion"/>
  </si>
  <si>
    <t>body(   有了这个增强版的机关兽，此生无憾了。帮我把剩下的材料送给黄夫人吧。她也是个中高手。)</t>
    <phoneticPr fontId="6" type="noConversion"/>
  </si>
  <si>
    <t>body(   想不到凌尘居然先于我制作出了强大的机关兽。佩服。)</t>
    <phoneticPr fontId="6" type="noConversion"/>
  </si>
  <si>
    <t>&lt;n effect=4 font=2 color=White scolor=Turp&gt;把剩下的材料送给黄夫人&lt;/n&gt;</t>
    <phoneticPr fontId="6" type="noConversion"/>
  </si>
  <si>
    <t>&lt;p&gt;
&lt;n&gt;  交：&lt;/n&gt;
 &lt;n&gt; &lt;/n&gt;&lt;goto quick="1" id="534" mapid="5" flagpoint="1" taskid="6413"/&gt;&lt;/p&gt;</t>
    <phoneticPr fontId="6" type="noConversion"/>
  </si>
  <si>
    <t>&lt;p&gt;
&lt;n&gt;  找：&lt;/n&gt;
 &lt;n&gt; &lt;/n&gt;&lt;goto quick="1" id="535" mapid="5" flagpoint="1" taskid="6412" /&gt;
&lt;/p&gt;</t>
  </si>
  <si>
    <t>&lt;p&gt;
&lt;n&gt;  找：&lt;/n&gt;
 &lt;n&gt; &lt;/n&gt;&lt;goto quick="1" id="534" mapid="5" flagpoint="1" taskid="6413" /&gt;
&lt;/p&gt;</t>
  </si>
  <si>
    <t>&lt;p&gt;
&lt;n&gt;  找：&lt;/n&gt;
 &lt;n&gt; &lt;/n&gt;&lt;goto quick="1" id="537" mapid="5" flagpoint="1" taskid="6414" /&gt;
&lt;/p&gt;</t>
  </si>
  <si>
    <t>[80级]昔年</t>
    <phoneticPr fontId="6" type="noConversion"/>
  </si>
  <si>
    <t>黄夫人</t>
    <phoneticPr fontId="14" type="noConversion"/>
  </si>
  <si>
    <t>title( [80级]昔年)
body(hotyellow_3(任务进程:)newline()
   去找goto(538,3)。
blankline()hotyellow_3(任务描述:)newline() 
  昔年我与孔明，凌尘师从墨家仙师。我与孔明曾被师傅最为看好，可惜心太杂，什么都想学，结果还是比不过凌尘。)</t>
    <phoneticPr fontId="6" type="noConversion"/>
  </si>
  <si>
    <t>body(   昔年我与孔明，凌尘师从墨家仙师。我与孔明曾被师傅最为看好，可惜心太杂，什么都想学，结果还是比不过凌尘。)</t>
    <phoneticPr fontId="6" type="noConversion"/>
  </si>
  <si>
    <t>body(   呵呵，聪明人未必就能做好东西。)</t>
    <phoneticPr fontId="6" type="noConversion"/>
  </si>
  <si>
    <t>&lt;n effect=4 font=2 color=White scolor=Turp&gt;黄夫人回忆当年&lt;/n&gt;</t>
    <phoneticPr fontId="6" type="noConversion"/>
  </si>
  <si>
    <t>[80级]朱果</t>
    <phoneticPr fontId="6" type="noConversion"/>
  </si>
  <si>
    <t>黄夫人</t>
    <phoneticPr fontId="14" type="noConversion"/>
  </si>
  <si>
    <t>凌尘</t>
    <phoneticPr fontId="14" type="noConversion"/>
  </si>
  <si>
    <t>title( [80级]朱果)
body(hotyellow_3(任务进程:)newline()
   采集goto(2050,3)，去找goto(545,3)。
blankline()hotyellow_3(任务描述:)newline() 
  我培养了几株朱果，请帮我送给凌尘，表示改谢。)</t>
    <phoneticPr fontId="6" type="noConversion"/>
  </si>
  <si>
    <t>body(   我培养了几株朱果，请帮我送给凌尘，表示改谢。)</t>
    <phoneticPr fontId="6" type="noConversion"/>
  </si>
  <si>
    <t>body(   月英……黄夫人客气了。)</t>
    <phoneticPr fontId="6" type="noConversion"/>
  </si>
  <si>
    <t>&lt;n effect=4 font=2 color=White scolor=Turp&gt;黄夫人送谢礼给凌尘&lt;/n&gt;</t>
    <phoneticPr fontId="6" type="noConversion"/>
  </si>
  <si>
    <t>"36035-0-10"</t>
    <phoneticPr fontId="6" type="noConversion"/>
  </si>
  <si>
    <t>[80级]出山</t>
    <phoneticPr fontId="6" type="noConversion"/>
  </si>
  <si>
    <t>诸葛亮</t>
    <phoneticPr fontId="14" type="noConversion"/>
  </si>
  <si>
    <t>刘备</t>
    <phoneticPr fontId="14" type="noConversion"/>
  </si>
  <si>
    <t>body(   久居于此……是时候去外面走走看看了。)</t>
    <phoneticPr fontId="6" type="noConversion"/>
  </si>
  <si>
    <t>body(   必不令先生失望。)</t>
    <phoneticPr fontId="6" type="noConversion"/>
  </si>
  <si>
    <t>&lt;n effect=4 font=2 color=White scolor=Turp&gt;也许该出去走走看看了&lt;/n&gt;</t>
    <phoneticPr fontId="6" type="noConversion"/>
  </si>
  <si>
    <t>[81级]望梅止渴</t>
    <phoneticPr fontId="6" type="noConversion"/>
  </si>
  <si>
    <t>丞相</t>
    <phoneticPr fontId="14" type="noConversion"/>
  </si>
  <si>
    <t>五丈原守将</t>
    <phoneticPr fontId="14" type="noConversion"/>
  </si>
  <si>
    <t>body(   五丈原自古都是荒凉之地。如果你要去五丈原，请带些王城的青果给五丈原的将士。)</t>
    <phoneticPr fontId="6" type="noConversion"/>
  </si>
  <si>
    <t>body(   鲜嫩多汁的青果，好久没见到了。)</t>
    <phoneticPr fontId="6" type="noConversion"/>
  </si>
  <si>
    <t>&lt;n effect=4 font=2 color=White scolor=Turp&gt;把青果送给五丈原守将&lt;/n&gt;</t>
    <phoneticPr fontId="6" type="noConversion"/>
  </si>
  <si>
    <t>[81级]奇怪的姑娘</t>
    <phoneticPr fontId="6" type="noConversion"/>
  </si>
  <si>
    <t>叶情</t>
    <phoneticPr fontId="6" type="noConversion"/>
  </si>
  <si>
    <t>title( [81级]奇怪的姑娘)
body(hotyellow_3(任务进程:)newline()
   去找goto(622,7)。
blankline()hotyellow_3(任务描述:)newline() 
  边陲小镇有一个奇怪的姑娘，好像在等人。)</t>
    <phoneticPr fontId="6" type="noConversion"/>
  </si>
  <si>
    <t>body(   边陲小镇有一个奇怪的姑娘，好像在等人。)</t>
    <phoneticPr fontId="6" type="noConversion"/>
  </si>
  <si>
    <t>body(   你终于来了！)</t>
    <phoneticPr fontId="6" type="noConversion"/>
  </si>
  <si>
    <t>&lt;n effect=4 font=2 color=White scolor=Turp&gt;有一个奇怪的姑娘在等人&lt;/n&gt;</t>
    <phoneticPr fontId="6" type="noConversion"/>
  </si>
  <si>
    <t>[82级]金甲神之谜</t>
    <phoneticPr fontId="6" type="noConversion"/>
  </si>
  <si>
    <t>title( [82级]金甲神之谜)
body(hotyellow_3(任务进程:)newline()
   去找goto(622,7)。
blankline()hotyellow_3(任务描述:)newline() 
  听说你在桃源很威武的封印了金甲神？)</t>
    <phoneticPr fontId="6" type="noConversion"/>
  </si>
  <si>
    <t>body(   听说你在桃源很威武的封印了金甲神？)</t>
    <phoneticPr fontId="6" type="noConversion"/>
  </si>
  <si>
    <t>body(   果然，你们这群被蚩尤迷惑的人。)</t>
    <phoneticPr fontId="6" type="noConversion"/>
  </si>
  <si>
    <t>&lt;n effect=4 font=2 color=White scolor=Turp&gt;叶情重提金甲神被封印之事&lt;/n&gt;</t>
    <phoneticPr fontId="6" type="noConversion"/>
  </si>
  <si>
    <t>[82级]我是谁</t>
    <phoneticPr fontId="6" type="noConversion"/>
  </si>
  <si>
    <t>body(   老娘是谁，你不用管。总之，你现在要去把金甲神放出来。去之前，先帮我把那些怪物清理下。)</t>
    <phoneticPr fontId="6" type="noConversion"/>
  </si>
  <si>
    <t>body(   哼，我乃天界玄女下凡。)</t>
    <phoneticPr fontId="6" type="noConversion"/>
  </si>
  <si>
    <t>[82级]遭劫</t>
    <phoneticPr fontId="6" type="noConversion"/>
  </si>
  <si>
    <t>title( [82级]遭劫)
body(hotyellow_3(任务进程:)newline()
   去找goto(623,7)。
blankline()hotyellow_3(任务描述:)newline() 
  哎，现在真正的天帝不知道去哪了，天界乱成一团。)</t>
    <phoneticPr fontId="6" type="noConversion"/>
  </si>
  <si>
    <t>body(   哎，现在真正的天帝不知道去哪了，天界乱成一团。)</t>
    <phoneticPr fontId="6" type="noConversion"/>
  </si>
  <si>
    <t>body(   希望找到那些转世的神将，能改变这种状况。)</t>
    <phoneticPr fontId="6" type="noConversion"/>
  </si>
  <si>
    <t>&lt;n effect=4 font=2 color=White scolor=Turp&gt;天帝失踪，天界乱成一团&lt;/n&gt;</t>
    <phoneticPr fontId="6" type="noConversion"/>
  </si>
  <si>
    <t>[83级]奇怪的人</t>
    <phoneticPr fontId="6" type="noConversion"/>
  </si>
  <si>
    <t>吴缘</t>
    <phoneticPr fontId="14" type="noConversion"/>
  </si>
  <si>
    <t>title( [83级]奇怪的人)
body(hotyellow_3(任务进程:)newline()
   去找goto(623,7)。
blankline()hotyellow_3(任务描述:)newline() 
  我隔壁的那个人好奇怪啊，我走到哪跟到哪，要不是在人界不能随便用法力……)</t>
    <phoneticPr fontId="6" type="noConversion"/>
  </si>
  <si>
    <t>body(   我隔壁的那个人好奇怪啊，我走到哪跟到哪，要不是在人界不能随便用法力……)</t>
    <phoneticPr fontId="6" type="noConversion"/>
  </si>
  <si>
    <t>body(   哈哈，这个姑娘果然有趣。)</t>
    <phoneticPr fontId="6" type="noConversion"/>
  </si>
  <si>
    <t>&lt;n effect=4 font=2 color=White scolor=Turp&gt;那个家伙真是奇怪&lt;/n&gt;</t>
    <phoneticPr fontId="6" type="noConversion"/>
  </si>
  <si>
    <t>[83级]教训</t>
    <phoneticPr fontId="6" type="noConversion"/>
  </si>
  <si>
    <t>title( [83级]教训)
body(hotyellow_3(任务进程:)newline()
   去找goto(623,7)。
blankline()hotyellow_3(任务描述:)newline() 
  既然玄女姑娘这么讨厌那些怪物，再去教训下他们吧。)</t>
    <phoneticPr fontId="6" type="noConversion"/>
  </si>
  <si>
    <t>body(   既然玄女姑娘这么讨厌那些怪物，再去教训下他们吧。)</t>
    <phoneticPr fontId="6" type="noConversion"/>
  </si>
  <si>
    <t>body(   干的不错。)</t>
    <phoneticPr fontId="6" type="noConversion"/>
  </si>
  <si>
    <t>&lt;n effect=4 font=2 color=White scolor=Turp&gt;替玄女行道&lt;/n&gt;</t>
    <phoneticPr fontId="6" type="noConversion"/>
  </si>
  <si>
    <t>[84级]蛮夷王子</t>
    <phoneticPr fontId="6" type="noConversion"/>
  </si>
  <si>
    <t>蛮夷王子</t>
    <phoneticPr fontId="14" type="noConversion"/>
  </si>
  <si>
    <t>title( [84级]蛮夷王子)
body(hotyellow_3(任务进程:)newline()
   去找goto(624,7)。
blankline()hotyellow_3(任务描述:)newline() 
  呵呵，在五丈原我巧遇一个人，蛮夷的王子。)</t>
    <phoneticPr fontId="6" type="noConversion"/>
  </si>
  <si>
    <t>body(   呵呵，在五丈原我巧遇一个人，蛮夷的王子。)</t>
    <phoneticPr fontId="6" type="noConversion"/>
  </si>
  <si>
    <t>body(   我是来找人的。)</t>
    <phoneticPr fontId="6" type="noConversion"/>
  </si>
  <si>
    <t>&lt;n effect=4 font=2 color=White scolor=Turp&gt;蛮夷王子正在沙漠&lt;/n&gt;</t>
    <phoneticPr fontId="6" type="noConversion"/>
  </si>
  <si>
    <t>[84级]国师</t>
    <phoneticPr fontId="6" type="noConversion"/>
  </si>
  <si>
    <t>title( [84级]国师)
body(hotyellow_3(任务进程:)newline()
   去找goto(624,7)。
blankline()hotyellow_3(任务描述:)newline() 
  我国国师失踪了，据说有人在五丈原看到过他。)</t>
    <phoneticPr fontId="6" type="noConversion"/>
  </si>
  <si>
    <t>body(   我国国师失踪了，据说有人在五丈原看到过他。)</t>
    <phoneticPr fontId="6" type="noConversion"/>
  </si>
  <si>
    <t>body(   国师乃德高望重之人，突然失踪，大家都很惶恐。)</t>
    <phoneticPr fontId="6" type="noConversion"/>
  </si>
  <si>
    <t>&lt;n effect=4 font=2 color=White scolor=Turp&gt;王子是来寻找国师的&lt;/n&gt;</t>
    <phoneticPr fontId="6" type="noConversion"/>
  </si>
  <si>
    <t>[84级]沙漠珍宝</t>
    <phoneticPr fontId="6" type="noConversion"/>
  </si>
  <si>
    <t>title( [84级]沙漠珍宝)
body(hotyellow_3(任务进程:)newline()
   采集goto(2052,7)后，去找goto(624,7)。
blankline()hotyellow_3(任务描述:)newline() 
  国师曾说过，沙漠中如果能结出果实，那一定是珍宝。)</t>
    <phoneticPr fontId="6" type="noConversion"/>
  </si>
  <si>
    <t>body(   国师曾说过，沙漠中如果能结出果实，那一定是珍宝。)</t>
    <phoneticPr fontId="6" type="noConversion"/>
  </si>
  <si>
    <t>body(   这个果子好奇怪啊。)</t>
    <phoneticPr fontId="6" type="noConversion"/>
  </si>
  <si>
    <t>&lt;n effect=4 font=2 color=White scolor=Turp&gt;采集沙漠珍宝&lt;/n&gt;</t>
    <phoneticPr fontId="6" type="noConversion"/>
  </si>
  <si>
    <t>"36036-0-10"</t>
    <phoneticPr fontId="6" type="noConversion"/>
  </si>
  <si>
    <t>[84级]证人</t>
    <phoneticPr fontId="6" type="noConversion"/>
  </si>
  <si>
    <t>title( [84级]证人)
body(hotyellow_3(任务进程:)newline()
   去找goto(623,7)。
blankline()hotyellow_3(任务描述:)newline() 
  我听吴缘说，他在沙漠这里遇到过国师。)</t>
    <phoneticPr fontId="6" type="noConversion"/>
  </si>
  <si>
    <t>body(   我听吴缘说，他在沙漠这里遇到过国师。)</t>
    <phoneticPr fontId="6" type="noConversion"/>
  </si>
  <si>
    <t>body(   呵呵，他们那个国师是路痴。)</t>
    <phoneticPr fontId="6" type="noConversion"/>
  </si>
  <si>
    <t>&lt;n effect=4 font=2 color=White scolor=Turp&gt;吴缘曾经遇到过国师&lt;/n&gt;</t>
    <phoneticPr fontId="6" type="noConversion"/>
  </si>
  <si>
    <t>[85级]遇难</t>
    <phoneticPr fontId="6" type="noConversion"/>
  </si>
  <si>
    <t>title( [85级]遇难)
body(hotyellow_3(任务进程:)newline()
   去找goto(622,7)。
blankline()hotyellow_3(任务描述:)newline() 
  哎，那个国师倒是个可怜可叹可笑之人。已经死在沙漠了。)</t>
    <phoneticPr fontId="6" type="noConversion"/>
  </si>
  <si>
    <t>body(   哎，那个国师倒是个可怜可叹可笑之人。已经死在沙漠了。)</t>
    <phoneticPr fontId="6" type="noConversion"/>
  </si>
  <si>
    <t>body(   那个国师非凡人。)</t>
    <phoneticPr fontId="6" type="noConversion"/>
  </si>
  <si>
    <t>&lt;n effect=4 font=2 color=White scolor=Turp&gt;可怜、可笑、可叹的国师&lt;/n&gt;</t>
    <phoneticPr fontId="6" type="noConversion"/>
  </si>
  <si>
    <t>[85级]凶手</t>
    <phoneticPr fontId="6" type="noConversion"/>
  </si>
  <si>
    <t>title( [85级]凶手)
body(hotyellow_3(任务进程:)newline()
   击杀goto(10033,7)后，去找goto(622,7)。
blankline()hotyellow_3(任务描述:)newline() 
  蛮夷之国的国师遇难，是受到了沙漠中的那些怪物的袭击。)</t>
    <phoneticPr fontId="6" type="noConversion"/>
  </si>
  <si>
    <t>body(   蛮夷之国的国师遇难，是受到了沙漠中的那些怪物的袭击。)</t>
    <phoneticPr fontId="6" type="noConversion"/>
  </si>
  <si>
    <t>body(   安息……)</t>
    <phoneticPr fontId="6" type="noConversion"/>
  </si>
  <si>
    <t>&lt;n effect=4 font=2 color=White scolor=Turp&gt;消灭那些凶手&lt;/n&gt;</t>
    <phoneticPr fontId="6" type="noConversion"/>
  </si>
  <si>
    <t>&lt;p&gt;
&lt;n&gt;  消灭：&lt;/n&gt;
 &lt;n&gt; &lt;/n&gt;&lt;goto quick="1" id="10033" mapid="7" flagpoint="1" taskid="6476" /&gt;
&lt;/p&gt;</t>
    <phoneticPr fontId="6" type="noConversion"/>
  </si>
  <si>
    <t>&lt;p&gt;
&lt;n&gt;  交：&lt;/n&gt;
 &lt;n&gt; &lt;/n&gt;&lt;goto quick="1" id="622" mapid="7" flagpoint="1" taskid="6476"/&gt;&lt;/p&gt;</t>
    <phoneticPr fontId="6" type="noConversion"/>
  </si>
  <si>
    <t>[85级]告知</t>
    <phoneticPr fontId="6" type="noConversion"/>
  </si>
  <si>
    <t>title( [85级]告知)
body(hotyellow_3(任务进程:)newline()
   去找goto(624,7)。
blankline()hotyellow_3(任务描述:)newline() 
  去告诉那个蛮夷王子，关于他们国师的下落吧。)</t>
    <phoneticPr fontId="6" type="noConversion"/>
  </si>
  <si>
    <t>body(   去告诉那个蛮夷王子，关于他们国师的下落吧。)</t>
    <phoneticPr fontId="6" type="noConversion"/>
  </si>
  <si>
    <t>body(   肯定是你们这群中原人杀死国师的。)</t>
    <phoneticPr fontId="6" type="noConversion"/>
  </si>
  <si>
    <t>&lt;n effect=4 font=2 color=White scolor=Turp&gt;蛮夷王子怒不可遏&lt;/n&gt;</t>
    <phoneticPr fontId="6" type="noConversion"/>
  </si>
  <si>
    <t>[85级]宣战</t>
    <phoneticPr fontId="6" type="noConversion"/>
  </si>
  <si>
    <t>title( [85级]宣战)
body(hotyellow_3(任务进程:)newline()
   去找goto(621,7)。
blankline()hotyellow_3(任务描述:)newline() 
  我必将踏破中土之地，你们欺人太甚！)</t>
    <phoneticPr fontId="6" type="noConversion"/>
  </si>
  <si>
    <t>body(   我必将踏破中土之地，你们欺人太甚！)</t>
    <phoneticPr fontId="6" type="noConversion"/>
  </si>
  <si>
    <t>body(   哼，区区蛮夷，怕你作甚！)</t>
    <phoneticPr fontId="6" type="noConversion"/>
  </si>
  <si>
    <t>&lt;n effect=4 font=2 color=White scolor=Turp&gt;蛮夷将踏平中土&lt;/n&gt;</t>
    <phoneticPr fontId="6" type="noConversion"/>
  </si>
  <si>
    <t>[86级]破除封印</t>
    <phoneticPr fontId="6" type="noConversion"/>
  </si>
  <si>
    <t>title( [86级]破除封印)
body(hotyellow_3(任务进程:)newline()
   解除goto(2003,1)封印，去找goto(622,7)。
blankline()hotyellow_3(任务描述:)newline() 
  快！去！破！除！金甲神封印！)</t>
    <phoneticPr fontId="6" type="noConversion"/>
  </si>
  <si>
    <t>body(   快！去！破！除！金甲神封印！)</t>
    <phoneticPr fontId="6" type="noConversion"/>
  </si>
  <si>
    <t>body(   嘿嘿，这下热闹了，金甲神可不是省油的灯。)</t>
    <phoneticPr fontId="6" type="noConversion"/>
  </si>
  <si>
    <t>&lt;n effect=4 font=2 color=White scolor=Turp&gt;破除金甲神的封印&lt;/n&gt;</t>
    <phoneticPr fontId="6" type="noConversion"/>
  </si>
  <si>
    <t>[86级]小哥哥</t>
    <phoneticPr fontId="6" type="noConversion"/>
  </si>
  <si>
    <t>title( [86级]小哥哥)
body(hotyellow_3(任务进程:)newline()
   去找goto(623,7)。
blankline()hotyellow_3(任务描述:)newline() 
  小哥哥你从哪来，要去向哪里？)</t>
    <phoneticPr fontId="6" type="noConversion"/>
  </si>
  <si>
    <t>body(   小哥哥你从哪来，要去向哪里？)</t>
    <phoneticPr fontId="6" type="noConversion"/>
  </si>
  <si>
    <t>body(   从你的过去而来，寻找未来的你。)</t>
    <phoneticPr fontId="6" type="noConversion"/>
  </si>
  <si>
    <t>&lt;n effect=4 font=2 color=White scolor=Turp&gt;小哥哥从哪来&lt;/n&gt;</t>
    <phoneticPr fontId="6" type="noConversion"/>
  </si>
  <si>
    <t>[86级]我是好人</t>
    <phoneticPr fontId="6" type="noConversion"/>
  </si>
  <si>
    <t>title( [86级]我是好人)
body(hotyellow_3(任务进程:)newline()
   去找goto(622,7)。
blankline()hotyellow_3(任务描述:)newline() 
  呵呵，让玄女姑娘放心，我不会害他的。)</t>
    <phoneticPr fontId="6" type="noConversion"/>
  </si>
  <si>
    <t>body(   呵呵，让玄女姑娘放心，我不会害他的。)</t>
    <phoneticPr fontId="6" type="noConversion"/>
  </si>
  <si>
    <t>body(   老子信你了个邪，说好人就是好人啊。)</t>
    <phoneticPr fontId="6" type="noConversion"/>
  </si>
  <si>
    <t>&lt;n effect=4 font=2 color=White scolor=Turp&gt;我是好人&lt;/n&gt;</t>
    <phoneticPr fontId="6" type="noConversion"/>
  </si>
  <si>
    <t>[87级]守卫</t>
    <phoneticPr fontId="6" type="noConversion"/>
  </si>
  <si>
    <t>赵武</t>
    <phoneticPr fontId="14" type="noConversion"/>
  </si>
  <si>
    <t>body(   五丈原的守卫老疑神疑鬼的，压力太大了。)</t>
    <phoneticPr fontId="6" type="noConversion"/>
  </si>
  <si>
    <t>body(   责任大，压力大。)</t>
    <phoneticPr fontId="6" type="noConversion"/>
  </si>
  <si>
    <t>&lt;n effect=4 font=2 color=White scolor=Turp&gt;责任大，压力大&lt;/n&gt;</t>
    <phoneticPr fontId="6" type="noConversion"/>
  </si>
  <si>
    <t>[87级]蛮夷士兵</t>
    <phoneticPr fontId="6" type="noConversion"/>
  </si>
  <si>
    <t>body(   自从上次蛮夷王子宣战后，所有人都提高警惕，防止他们偷袭。)</t>
    <phoneticPr fontId="6" type="noConversion"/>
  </si>
  <si>
    <t>body(   果然有他们的埋伏。)</t>
    <phoneticPr fontId="6" type="noConversion"/>
  </si>
  <si>
    <t>&lt;n effect=4 font=2 color=White scolor=Turp&gt;提高警惕，防止蛮夷偷袭&lt;/n&gt;</t>
    <phoneticPr fontId="6" type="noConversion"/>
  </si>
  <si>
    <t>[88级]将军</t>
    <phoneticPr fontId="6" type="noConversion"/>
  </si>
  <si>
    <t>title( [88级]将军)
body(hotyellow_3(任务进程:)newline()
   去找goto(621,7)。
blankline()hotyellow_3(任务描述:)newline() 
  将军大人非常仇视蛮夷，据说他的亲人死在了蛮夷的铁骑之下。)</t>
    <phoneticPr fontId="6" type="noConversion"/>
  </si>
  <si>
    <t>body(   将军大人非常仇视蛮夷，据说他的亲人死在了蛮夷的铁骑之下。)</t>
    <phoneticPr fontId="6" type="noConversion"/>
  </si>
  <si>
    <t>body(   此生不灭蛮夷，不回中原。)</t>
    <phoneticPr fontId="6" type="noConversion"/>
  </si>
  <si>
    <t>&lt;n effect=4 font=2 color=White scolor=Turp&gt;与蛮夷有不共戴天之仇&lt;/n&gt;</t>
    <phoneticPr fontId="6" type="noConversion"/>
  </si>
  <si>
    <t>[88级]加强巡逻</t>
    <phoneticPr fontId="6" type="noConversion"/>
  </si>
  <si>
    <t>钱力</t>
    <phoneticPr fontId="14" type="noConversion"/>
  </si>
  <si>
    <t>title( [88级]加强巡逻)
body(hotyellow_3(任务进程:)newline()
   去找goto(626,7)。
blankline()hotyellow_3(任务描述:)newline() 
  边陲小镇附近需要加强巡逻。)</t>
    <phoneticPr fontId="6" type="noConversion"/>
  </si>
  <si>
    <t>body(   边陲小镇附近需要加强巡逻。)</t>
    <phoneticPr fontId="6" type="noConversion"/>
  </si>
  <si>
    <t>&lt;n effect=4 font=2 color=White scolor=Turp&gt;五丈原需要加强巡逻&lt;/n&gt;</t>
    <phoneticPr fontId="6" type="noConversion"/>
  </si>
  <si>
    <t>[88级]杀敌</t>
    <phoneticPr fontId="6" type="noConversion"/>
  </si>
  <si>
    <t>title( [88级]杀敌)
body(hotyellow_3(任务进程:)newline()
   击杀goto(10034,7)后，去找goto(626,7)。
blankline()hotyellow_3(任务描述:)newline() 
  请去击杀附近的那些入侵者。)</t>
    <phoneticPr fontId="6" type="noConversion"/>
  </si>
  <si>
    <t>body(   请去击杀附近的那些入侵者。)</t>
    <phoneticPr fontId="6" type="noConversion"/>
  </si>
  <si>
    <t>body(   阁下身手不凡。)</t>
    <phoneticPr fontId="6" type="noConversion"/>
  </si>
  <si>
    <t>&lt;n effect=4 font=2 color=White scolor=Turp&gt;击杀那些入侵者&lt;/n&gt;</t>
    <phoneticPr fontId="6" type="noConversion"/>
  </si>
  <si>
    <t>[89级]投石</t>
    <phoneticPr fontId="6" type="noConversion"/>
  </si>
  <si>
    <t>title( [89级]投石)
body(hotyellow_3(任务进程:)newline()
   收集goto(2054,7)后，去找goto(626,7)。
blankline()hotyellow_3(任务描述:)newline() 
  我发现一处石头，可以攻城投石之用。)</t>
    <phoneticPr fontId="6" type="noConversion"/>
  </si>
  <si>
    <t>body(   我发现一处石头，可以攻城投石之用。)</t>
    <phoneticPr fontId="6" type="noConversion"/>
  </si>
  <si>
    <t>body(   有这些，攻城略低，方便多了。)</t>
    <phoneticPr fontId="6" type="noConversion"/>
  </si>
  <si>
    <t>&lt;n effect=4 font=2 color=White scolor=Turp&gt;投石可用于攻城略地&lt;/n&gt;</t>
    <phoneticPr fontId="6" type="noConversion"/>
  </si>
  <si>
    <t>"36037-0-10"</t>
    <phoneticPr fontId="6" type="noConversion"/>
  </si>
  <si>
    <t>[89级]回报</t>
    <phoneticPr fontId="6" type="noConversion"/>
  </si>
  <si>
    <t>title( [89级]回报)
body(hotyellow_3(任务进程:)newline()
   去找goto(621,7)。
blankline()hotyellow_3(任务描述:)newline() 
  回报将军，五丈原目前没有异常。)</t>
    <phoneticPr fontId="6" type="noConversion"/>
  </si>
  <si>
    <t>body(   回报将军，五丈原目前没有异常。)</t>
    <phoneticPr fontId="6" type="noConversion"/>
  </si>
  <si>
    <t>body(   干的好！)</t>
    <phoneticPr fontId="6" type="noConversion"/>
  </si>
  <si>
    <t>&lt;n effect=4 font=2 color=White scolor=Turp&gt;五丈原目前一切正常&lt;/n&gt;</t>
    <phoneticPr fontId="6" type="noConversion"/>
  </si>
  <si>
    <t>[90级]怀疑</t>
    <phoneticPr fontId="6" type="noConversion"/>
  </si>
  <si>
    <t>title( [90级]怀疑)
body(hotyellow_3(任务进程:)newline()
   去找goto(621,7)。
blankline()hotyellow_3(任务描述:)newline() 
  蛮夷突然入侵五丈原，此事有点蹊跷。先叫守将仔细查查，有何原因。)</t>
    <phoneticPr fontId="6" type="noConversion"/>
  </si>
  <si>
    <t>body(    蛮夷突然入侵五丈原，此事有点蹊跷。先叫守将仔细查查，有何原因。)</t>
    <phoneticPr fontId="6" type="noConversion"/>
  </si>
  <si>
    <t>body(   将在外，军令有所不受。)</t>
    <phoneticPr fontId="6" type="noConversion"/>
  </si>
  <si>
    <t>&lt;n effect=4 font=2 color=White scolor=Turp&gt;蛮夷入侵，十分可疑&lt;/n&gt;</t>
    <phoneticPr fontId="6" type="noConversion"/>
  </si>
  <si>
    <t>title( [90级]杀戮)
body(hotyellow_3(任务进程:)newline()
   击杀goto(10034,7)后，去找goto(621,7)。
blankline()hotyellow_3(任务描述:)newline() 
  击杀那些蛮夷之徒，无论是何原因。)</t>
    <phoneticPr fontId="6" type="noConversion"/>
  </si>
  <si>
    <t>body(   击杀那些蛮夷之徒，无论是何原因。)</t>
    <phoneticPr fontId="6" type="noConversion"/>
  </si>
  <si>
    <t>body(   对他们不用讲仁义。)</t>
    <phoneticPr fontId="6" type="noConversion"/>
  </si>
  <si>
    <t>&lt;n effect=4 font=2 color=White scolor=Turp&gt;击杀那些蛮夷之徒&lt;/n&gt;</t>
    <phoneticPr fontId="6" type="noConversion"/>
  </si>
  <si>
    <t>title( [[61级]洛水河神)
body(hotyellow_3(任务进程:)newline()
   使用goto(2037,5)后，回复goto(538,5)。
blankline()hotyellow_3(任务描述:)newline() 
  你看见河里的鱼了吗？那些鱼异常肥美。不知是何原因？)</t>
    <phoneticPr fontId="6" type="noConversion"/>
  </si>
  <si>
    <t>[63级]异动</t>
    <phoneticPr fontId="6" type="noConversion"/>
  </si>
  <si>
    <t>title( [63级]异动)
body(hotyellow_3(任务进程:)newline()
      击杀goto(10015,5)后，回复goto(537,5)。
blankline()hotyellow_3(任务描述:)newline() 
 每当有异宝出世，天地间都会有异动。玄之营的军士已经在寻找那件异宝了。)</t>
    <phoneticPr fontId="6" type="noConversion"/>
  </si>
  <si>
    <t>title( [65级]力量)
body(hotyellow_3(任务进程:)newline()
   去找goto(534,5)。
blankline()hotyellow_3(任务描述:)newline() 
  近来，我觉得身体很怪异，感觉有什么力量要挣脱出身体。)</t>
    <phoneticPr fontId="6" type="noConversion"/>
  </si>
  <si>
    <t>title( [65级]太常)
body(hotyellow_3(任务进程:)newline()
   采集goto(2040,5)后，去找goto(531,5)。
blankline()hotyellow_3(任务描述:)newline() 
  据闻王城的太常司空镜有一本无字天书。能知前世今生，贫道垂涎已久。如果你能……)</t>
    <phoneticPr fontId="6" type="noConversion"/>
  </si>
  <si>
    <t>title( [65级]道友)
body(hotyellow_3(任务进程:)newline()
   去找goto(537,5)。
blankline()hotyellow_3(任务描述:)newline() 
  呵呵呵，道友又打我的无字天书的主意，小坏蛋。)</t>
    <phoneticPr fontId="6" type="noConversion"/>
  </si>
  <si>
    <t>title( [66级]天书的预言)
body(hotyellow_3(任务进程:)newline()
   查看goto(2040,5)后，回复goto(531,5)。
blankline()hotyellow_3(任务描述:)newline() 
  我这本无字天书，上知天文，下知地理，王城八卦，无所不知。)</t>
    <phoneticPr fontId="6" type="noConversion"/>
  </si>
  <si>
    <t>title( [67级]神将)
body(hotyellow_3(任务进程:)newline()
   去找goto(134,5)。
blankline()hotyellow_3(任务描述:)newline() 
  看来，小乔也是神将转世。据说最近王城有奇怪的事情发生，去询问太尉大人吧。)</t>
    <phoneticPr fontId="6" type="noConversion"/>
  </si>
  <si>
    <t>title( [68级]杜康酒)
body(hotyellow_3(任务进程:)newline()
   取出goto(2043,5)里的酒后，回复goto(540,5)。
blankline()hotyellow_3(任务描述:)newline() 
  我最近酿了一种酒，我称它为“杜康酒”，阁下要尝尝吗？)</t>
    <phoneticPr fontId="6" type="noConversion"/>
  </si>
  <si>
    <t>title( [70级]真相)
body(hotyellow_3(任务进程:)newline()
   击杀goto(10028,5)去找goto(535,7)。
blankline()hotyellow_3(任务描述:)newline() 
  呵呵，如今的天界，早已不是当年的天界了。天帝是蚩尤的化身了。)</t>
    <phoneticPr fontId="6" type="noConversion"/>
  </si>
  <si>
    <t>title( [75级]鲜美果实)
body(hotyellow_3(任务进程:)newline()
   采集goto(2047,3)后，回复goto(613,3)。
blankline()hotyellow_3(任务描述:)newline() 
  剑阁的风水养出的果实异常鲜美。)</t>
    <phoneticPr fontId="6" type="noConversion"/>
  </si>
  <si>
    <t>title( [79级]增强性能)
body(hotyellow_3(任务进程:)newline()
   击杀goto(10031,3)后，去找goto(545,3)。
blankline()hotyellow_3(任务描述:)newline() 
  通过刚才与机关兽的交流，我找到一个办法，可以增强它的性能。)</t>
    <phoneticPr fontId="6" type="noConversion"/>
  </si>
  <si>
    <t>title( [80级]出山)
body(hotyellow_3(任务进程:)newline()
   去找goto(618,3)。
blankline()hotyellow_3(任务描述:)newline() 
  久居于此……是时候去外面走走看看了。)</t>
    <phoneticPr fontId="6" type="noConversion"/>
  </si>
  <si>
    <t>&lt;n effect=4 font=2 color=White scolor=Turp&gt;使用木桶打山泉水&lt;/n&gt;</t>
    <phoneticPr fontId="6" type="noConversion"/>
  </si>
  <si>
    <t>&lt;n effect=4 font=2 color=White scolor=Turp&gt;打开香醇的杜康酒&lt;/n&gt;</t>
    <phoneticPr fontId="6" type="noConversion"/>
  </si>
  <si>
    <t>&lt;n effect=4 font=2 color=White scolor=Turp&gt;赵无暇非常的嗜酒&lt;/n&gt;</t>
    <phoneticPr fontId="6" type="noConversion"/>
  </si>
  <si>
    <t>&lt;n effect=4 font=2 color=White scolor=Turp&gt;清理那些叛将&lt;/n&gt;</t>
    <phoneticPr fontId="6" type="noConversion"/>
  </si>
  <si>
    <t>body(   是，将军。)</t>
    <phoneticPr fontId="6" type="noConversion"/>
  </si>
  <si>
    <t>[31级]升星</t>
    <phoneticPr fontId="6" type="noConversion"/>
  </si>
  <si>
    <t>title( [31级]升星)
body(hotyellow_3(任务进程:)newline()
   去找goto(102,2)。
blankline()hotyellow_3(任务描述:)newline() 
  升级宝石可以提升装备星级，提升战力。)</t>
    <phoneticPr fontId="6" type="noConversion"/>
  </si>
  <si>
    <t>[43级]名士风流</t>
    <phoneticPr fontId="6" type="noConversion"/>
  </si>
  <si>
    <t>title( [43级]名士风流)
body(hotyellow_3(任务进程:)newline()
   去找goto(512,6)。
blankline()hotyellow_3(任务描述:)newline() 
  嵇康目前正在夷陵，你可以去拜访他。他可是真正的名士风流。)</t>
    <phoneticPr fontId="6" type="noConversion"/>
  </si>
  <si>
    <t>title( [39级]藏书)
body(hotyellow_3(任务进程:)newline()
   去找goto(542,2)。
blankline()hotyellow_3(任务描述:)newline() 
  天下第一藏书阁“天禄阁”的藏书频频失窃，我有幸得到书·太平要术数卷，请把它交给藏书阁阁主墨缺。他正在凤城。)</t>
  </si>
  <si>
    <t>body(      天下第一藏书阁“天禄阁”的藏书频频失窃，我有幸得到书·太平要术数卷，请把它交给藏书阁阁主墨缺。他正在凤城。)</t>
  </si>
  <si>
    <t>body(   书·太平要术！这不是藏书阁丢失的书籍吗？)</t>
  </si>
  <si>
    <t>title( [40级]致谢)
body(hotyellow_3(任务进程:)newline()
   去找goto(503,2)。
blankline()hotyellow_3(任务描述:)newline() 
  因为城主的帮助，藏书阁才能收集到书·太平要术，请帮我向她表示感谢。)</t>
  </si>
  <si>
    <t>body(     因为城主的帮助，藏书阁才能收集到书·太平要术，请帮我向她表示感谢。)</t>
  </si>
  <si>
    <t>body(收集10本hot(书·太平要术))</t>
  </si>
  <si>
    <t>&lt;p&gt;
&lt;n&gt;  收集10本书·太平要术&lt;/n&gt;&lt;newline/&gt;&lt;n&gt;  击杀30-60级怪掉落&lt;/n&gt;&lt;newline/&gt;
&lt;n&gt;  回复：&lt;/n&gt;&lt;goto id="542" mapid="2" flagpoint="1" taskid="23001"/&gt;
&lt;/p&gt;</t>
  </si>
  <si>
    <t>[藏书]遁甲天书</t>
    <phoneticPr fontId="6" type="noConversion"/>
  </si>
  <si>
    <t>body(收集10本hot(书·遁甲天书))</t>
  </si>
  <si>
    <t>&lt;p&gt;
&lt;n&gt;  收集10本书·遁甲天书&lt;/n&gt;&lt;newline/&gt;&lt;n&gt;  击杀61-90级怪掉落&lt;/n&gt;&lt;newline/&gt;
&lt;n&gt;  回复：&lt;/n&gt;&lt;goto id="542" mapid="2" flagpoint="1" taskid="23002"/&gt;
&lt;/p&gt;</t>
  </si>
  <si>
    <t>[藏书]三略六韬</t>
    <phoneticPr fontId="6" type="noConversion"/>
  </si>
  <si>
    <t>[藏书]青囊书</t>
    <phoneticPr fontId="6" type="noConversion"/>
  </si>
  <si>
    <t>body(收集10本hot(书·青囊书))</t>
  </si>
  <si>
    <t>&lt;p&gt;
&lt;n&gt;  收集10本书·青囊书&lt;/n&gt;&lt;newline/&gt;&lt;n&gt;  击杀111-130级怪掉落&lt;/n&gt;&lt;newline/&gt;
&lt;n&gt;  回复：&lt;/n&gt;&lt;goto id="542" mapid="2" flagpoint="1" taskid="23004"/&gt;
&lt;/p&gt;</t>
  </si>
  <si>
    <t>[藏书]兵书</t>
    <phoneticPr fontId="6" type="noConversion"/>
  </si>
  <si>
    <t>body(收集10本hot(书·兵书))</t>
  </si>
  <si>
    <t>&lt;p&gt;
&lt;n&gt;  收集10本书·兵书&lt;/n&gt;&lt;newline/&gt;&lt;n&gt;  击杀131-150级怪掉落&lt;/n&gt;&lt;newline/&gt;
&lt;n&gt;  回复：&lt;/n&gt;&lt;goto id="542" mapid="2" flagpoint="1" taskid="23005"/&gt;
&lt;/p&gt;</t>
  </si>
  <si>
    <t>title( [72级]求答)
body(hotyellow_3(任务进程:)newline()
   查看goto(2049,3)后，去找goto(620,3)。
blankline()hotyellow_3(任务描述:)newline() 
  剑阁之地，遍布草药。最近侍从发现一种新的草药，不知是何用？)</t>
    <phoneticPr fontId="6" type="noConversion"/>
  </si>
  <si>
    <t>title( [71级]怎么办)
body(hotyellow_3(任务进程:)newline()
   采集goto(2045,3)，去找goto(543,3)。
blankline()hotyellow_3(任务描述:)newline() 
  怎么办，怎么办，怎么办！老婆要生气，怎么办。)</t>
    <phoneticPr fontId="6" type="noConversion"/>
  </si>
  <si>
    <t>title( [81级]望梅止渴)
body(hotyellow_3(任务进程:)newline()
   采集goto(2051,5)后，去找goto(621,7)。
blankline()hotyellow_3(任务描述:)newline() 
  五丈原自古都是荒凉之地。如果你要去五丈原，请带些王城的青果给五丈原的将士。)</t>
    <phoneticPr fontId="6" type="noConversion"/>
  </si>
  <si>
    <t>title( [82级]我是谁)
body(hotyellow_3(任务进程:)newline()
   击杀goto(10032,7)后，去找goto(622,7)。
blankline()hotyellow_3(任务描述:)newline() 
  老娘是谁，你不用管。总之，你现在要去把金甲神放出来。去之前，先帮我把那些怪物清理下。)</t>
    <phoneticPr fontId="6" type="noConversion"/>
  </si>
  <si>
    <t>title( [87级]守卫)
body(hotyellow_3(任务进程:)newline()
   去找goto(625,7)。
blankline()hotyellow_3(任务描述:)newline() 
  五丈原的守卫老疑神疑鬼的，压力太大了。)</t>
    <phoneticPr fontId="6" type="noConversion"/>
  </si>
  <si>
    <t>title( [87级]蛮夷士兵)
body(hotyellow_3(任务进程:)newline()
   击杀goto(10033,7)后，去找goto(625,7)。
blankline()hotyellow_3(任务描述:)newline() 
  自从上次蛮夷王子宣战后，所有人都提高警惕，防止他们偷袭。)</t>
    <phoneticPr fontId="6" type="noConversion"/>
  </si>
  <si>
    <t>[90级]杀戮</t>
    <phoneticPr fontId="6" type="noConversion"/>
  </si>
  <si>
    <t>包打听</t>
    <phoneticPr fontId="14" type="noConversion"/>
  </si>
  <si>
    <t>五丈原守将</t>
    <phoneticPr fontId="14" type="noConversion"/>
  </si>
  <si>
    <t>客栈老板</t>
    <phoneticPr fontId="14" type="noConversion"/>
  </si>
  <si>
    <t>老乞丐</t>
    <phoneticPr fontId="14" type="noConversion"/>
  </si>
  <si>
    <t>南门守卫</t>
    <phoneticPr fontId="14" type="noConversion"/>
  </si>
  <si>
    <t>西门守卫</t>
    <phoneticPr fontId="14" type="noConversion"/>
  </si>
  <si>
    <t>炼狱使者</t>
    <phoneticPr fontId="14" type="noConversion"/>
  </si>
  <si>
    <t>困兽</t>
    <phoneticPr fontId="14" type="noConversion"/>
  </si>
  <si>
    <t>北门守卫</t>
    <phoneticPr fontId="14" type="noConversion"/>
  </si>
  <si>
    <t>东门守卫</t>
    <phoneticPr fontId="14" type="noConversion"/>
  </si>
  <si>
    <t>神隐者</t>
    <phoneticPr fontId="14" type="noConversion"/>
  </si>
  <si>
    <t>地宫侍从</t>
    <phoneticPr fontId="14" type="noConversion"/>
  </si>
  <si>
    <t>女神</t>
    <phoneticPr fontId="14" type="noConversion"/>
  </si>
  <si>
    <t>御史大夫</t>
    <phoneticPr fontId="14" type="noConversion"/>
  </si>
  <si>
    <t>&lt;p&gt;
&lt;n&gt;  找：&lt;/n&gt;
 &lt;n&gt; &lt;/n&gt;&lt;goto quick="1" id="627" mapid="8" flagpoint="1" taskid="8029" /&gt;
&lt;/p&gt;</t>
  </si>
  <si>
    <t>&lt;p&gt;
&lt;n&gt;  交：&lt;/n&gt;
 &lt;n&gt; &lt;/n&gt;&lt;goto quick="1" id="627" mapid="8" flagpoint="1" taskid="8002"/&gt;&lt;/p&gt;</t>
    <phoneticPr fontId="6" type="noConversion"/>
  </si>
  <si>
    <t>&lt;p&gt;
&lt;n&gt;  交：&lt;/n&gt;
 &lt;n&gt; &lt;/n&gt;&lt;goto quick="1" id="627" mapid="8" flagpoint="1" taskid="8017"/&gt;&lt;/p&gt;</t>
  </si>
  <si>
    <t>&lt;p&gt;
&lt;n&gt;  交：&lt;/n&gt;
 &lt;n&gt; &lt;/n&gt;&lt;goto quick="1" id="627" mapid="8" flagpoint="1" taskid="8029"/&gt;&lt;/p&gt;</t>
  </si>
  <si>
    <t>&lt;p&gt;
&lt;n&gt;  交：&lt;/n&gt;
 &lt;n&gt; &lt;/n&gt;&lt;goto quick="1" id="627" mapid="8" flagpoint="1" taskid="8030"/&gt;&lt;/p&gt;</t>
  </si>
  <si>
    <t>&lt;p&gt;
&lt;n&gt;  找：&lt;/n&gt;
 &lt;n&gt; &lt;/n&gt;&lt;goto quick="1" id="628" mapid="8" flagpoint="1" taskid="8003" /&gt;
&lt;/p&gt;</t>
    <phoneticPr fontId="6" type="noConversion"/>
  </si>
  <si>
    <t>&lt;p&gt;
&lt;n&gt;  交：&lt;/n&gt;
 &lt;n&gt; &lt;/n&gt;&lt;goto quick="1" id="628" mapid="8" flagpoint="1" taskid="8003"/&gt;&lt;/p&gt;</t>
    <phoneticPr fontId="6" type="noConversion"/>
  </si>
  <si>
    <t>&lt;p&gt;
&lt;n&gt;  交：&lt;/n&gt;
 &lt;n&gt; &lt;/n&gt;&lt;goto quick="1" id="628" mapid="8" flagpoint="1" taskid="8004"/&gt;&lt;/p&gt;</t>
    <phoneticPr fontId="6" type="noConversion"/>
  </si>
  <si>
    <t>&lt;p&gt;
&lt;n&gt;  击杀：&lt;/n&gt;
 &lt;n&gt; &lt;/n&gt;&lt;goto quick="1" id="10035" mapid="8" flagpoint="1" taskid="8004" /&gt;
&lt;/p&gt;</t>
    <phoneticPr fontId="6" type="noConversion"/>
  </si>
  <si>
    <t>&lt;p&gt;
&lt;n&gt;  找：&lt;/n&gt;
 &lt;n&gt; &lt;/n&gt;&lt;goto quick="1" id="633" mapid="8" flagpoint="1" taskid="8005" /&gt;
&lt;/p&gt;</t>
    <phoneticPr fontId="6" type="noConversion"/>
  </si>
  <si>
    <t>&lt;p&gt;
&lt;n&gt;  交：&lt;/n&gt;
 &lt;n&gt; &lt;/n&gt;&lt;goto quick="1" id="633" mapid="8" flagpoint="1" taskid="8005"/&gt;&lt;/p&gt;</t>
    <phoneticPr fontId="6" type="noConversion"/>
  </si>
  <si>
    <t>&lt;p&gt;
&lt;n&gt;  击杀：&lt;/n&gt;
 &lt;n&gt; &lt;/n&gt;&lt;goto quick="1" id="10035" mapid="8" flagpoint="1" taskid="8006" /&gt;
&lt;/p&gt;</t>
    <phoneticPr fontId="6" type="noConversion"/>
  </si>
  <si>
    <t>&lt;p&gt;
&lt;n&gt;  交：&lt;/n&gt;
 &lt;n&gt; &lt;/n&gt;&lt;goto quick="1" id="633" mapid="8" flagpoint="1" taskid="8006"/&gt;&lt;/p&gt;</t>
    <phoneticPr fontId="6" type="noConversion"/>
  </si>
  <si>
    <t>&lt;p&gt;
&lt;n&gt;  找：&lt;/n&gt;
 &lt;n&gt; &lt;/n&gt;&lt;goto quick="1" id="628" mapid="8" flagpoint="1" taskid="8007" /&gt;
&lt;/p&gt;</t>
    <phoneticPr fontId="6" type="noConversion"/>
  </si>
  <si>
    <t>&lt;p&gt;
&lt;n&gt;  交：&lt;/n&gt;
 &lt;n&gt; &lt;/n&gt;&lt;goto quick="1" id="628" mapid="8" flagpoint="1" taskid="8007"/&gt;&lt;/p&gt;</t>
    <phoneticPr fontId="6" type="noConversion"/>
  </si>
  <si>
    <t>&lt;p&gt;
&lt;n&gt;  击杀：&lt;/n&gt;
 &lt;n&gt; &lt;/n&gt;&lt;goto quick="1" id="10036" mapid="8" flagpoint="1" taskid="8008" /&gt;
&lt;/p&gt;</t>
    <phoneticPr fontId="6" type="noConversion"/>
  </si>
  <si>
    <t>&lt;p&gt;
&lt;n&gt;  交：&lt;/n&gt;
 &lt;n&gt; &lt;/n&gt;&lt;goto quick="1" id="627" mapid="8" flagpoint="1" taskid="8008"/&gt;&lt;/p&gt;</t>
    <phoneticPr fontId="6" type="noConversion"/>
  </si>
  <si>
    <t>&lt;p&gt;
&lt;n&gt;  找：&lt;/n&gt;
 &lt;n&gt; &lt;/n&gt;&lt;goto quick="1" id="629" mapid="8" flagpoint="1" taskid="8009" /&gt;
&lt;/p&gt;</t>
    <phoneticPr fontId="6" type="noConversion"/>
  </si>
  <si>
    <t>&lt;p&gt;
&lt;n&gt;  交：&lt;/n&gt;
 &lt;n&gt; &lt;/n&gt;&lt;goto quick="1" id="629" mapid="8" flagpoint="1" taskid="8009"/&gt;&lt;/p&gt;</t>
    <phoneticPr fontId="6" type="noConversion"/>
  </si>
  <si>
    <t>&lt;p&gt;
&lt;n&gt;  击杀：&lt;/n&gt;
 &lt;n&gt; &lt;/n&gt;&lt;goto quick="1" id="10036" mapid="8" flagpoint="1" taskid="8010" /&gt;
&lt;/p&gt;</t>
    <phoneticPr fontId="6" type="noConversion"/>
  </si>
  <si>
    <t>&lt;p&gt;
&lt;n&gt;  交：&lt;/n&gt;
 &lt;n&gt; &lt;/n&gt;&lt;goto quick="1" id="630" mapid="8" flagpoint="1" taskid="8010"/&gt;&lt;/p&gt;</t>
    <phoneticPr fontId="6" type="noConversion"/>
  </si>
  <si>
    <t>&lt;p&gt;
&lt;n&gt;  找：&lt;/n&gt;
 &lt;n&gt; &lt;/n&gt;&lt;goto quick="1" id="635" mapid="8" flagpoint="1" taskid="8011" /&gt;
&lt;/p&gt;</t>
    <phoneticPr fontId="6" type="noConversion"/>
  </si>
  <si>
    <t>&lt;p&gt;
&lt;n&gt;  采：&lt;/n&gt;
 &lt;n&gt; &lt;/n&gt;&lt;goto quick="1" id="2055" mapid="8" flagpoint="1" taskid="8012" /&gt;
&lt;/p&gt;</t>
    <phoneticPr fontId="6" type="noConversion"/>
  </si>
  <si>
    <t>&lt;p&gt;
&lt;n&gt;  交：&lt;/n&gt;
 &lt;n&gt; &lt;/n&gt;&lt;goto quick="1" id="635" mapid="8" flagpoint="1" taskid="8012"/&gt;&lt;/p&gt;</t>
    <phoneticPr fontId="6" type="noConversion"/>
  </si>
  <si>
    <t>&lt;p&gt;
&lt;n&gt;  找：&lt;/n&gt;
 &lt;n&gt; &lt;/n&gt;&lt;goto quick="1" id="635" mapid="8" flagpoint="1" taskid="8013" /&gt;
&lt;/p&gt;</t>
    <phoneticPr fontId="6" type="noConversion"/>
  </si>
  <si>
    <t>&lt;p&gt;
&lt;n&gt;  交：&lt;/n&gt;
 &lt;n&gt; &lt;/n&gt;&lt;goto quick="1" id="635" mapid="8" flagpoint="1" taskid="8013"/&gt;&lt;/p&gt;</t>
    <phoneticPr fontId="6" type="noConversion"/>
  </si>
  <si>
    <t>&lt;p&gt;
&lt;n&gt;  击杀：&lt;/n&gt;
 &lt;n&gt; &lt;/n&gt;&lt;goto quick="1" id="10037" mapid="8" flagpoint="1" taskid="8014" /&gt;
&lt;/p&gt;</t>
    <phoneticPr fontId="6" type="noConversion"/>
  </si>
  <si>
    <t>&lt;p&gt;
&lt;n&gt;  交：&lt;/n&gt;
 &lt;n&gt; &lt;/n&gt;&lt;goto quick="1" id="635" mapid="8" flagpoint="1" taskid="8014"/&gt;&lt;/p&gt;</t>
    <phoneticPr fontId="6" type="noConversion"/>
  </si>
  <si>
    <t>&lt;p&gt;
&lt;n&gt;  找：&lt;/n&gt;
 &lt;n&gt; &lt;/n&gt;&lt;goto quick="1" id="634" mapid="8" flagpoint="1" taskid="8015" /&gt;
&lt;/p&gt;</t>
    <phoneticPr fontId="6" type="noConversion"/>
  </si>
  <si>
    <t>&lt;p&gt;
&lt;n&gt;  交：&lt;/n&gt;
 &lt;n&gt; &lt;/n&gt;&lt;goto quick="1" id="634" mapid="8" flagpoint="1" taskid="8015"/&gt;&lt;/p&gt;</t>
    <phoneticPr fontId="6" type="noConversion"/>
  </si>
  <si>
    <t>&lt;p&gt;
&lt;n&gt;  击杀：&lt;/n&gt;
 &lt;n&gt; &lt;/n&gt;&lt;goto quick="1" id="10037" mapid="8" flagpoint="1" taskid="8016" /&gt;
&lt;/p&gt;</t>
    <phoneticPr fontId="6" type="noConversion"/>
  </si>
  <si>
    <t>&lt;p&gt;
&lt;n&gt;  交：&lt;/n&gt;
 &lt;n&gt; &lt;/n&gt;&lt;goto quick="1" id="634" mapid="8" flagpoint="1" taskid="8016"/&gt;&lt;/p&gt;</t>
    <phoneticPr fontId="6" type="noConversion"/>
  </si>
  <si>
    <t>&lt;p&gt;
&lt;n&gt;  找：&lt;/n&gt;
 &lt;n&gt; &lt;/n&gt;&lt;goto quick="1" id="627" mapid="8" flagpoint="1" taskid="8017" /&gt;
&lt;/p&gt;</t>
    <phoneticPr fontId="6" type="noConversion"/>
  </si>
  <si>
    <t>&lt;p&gt;
&lt;n&gt;  交：&lt;/n&gt;
 &lt;n&gt; &lt;/n&gt;&lt;goto quick="1" id="635" mapid="8" flagpoint="1" taskid="8018"/&gt;&lt;/p&gt;</t>
    <phoneticPr fontId="6" type="noConversion"/>
  </si>
  <si>
    <t>&lt;p&gt;
&lt;n&gt;  找：&lt;/n&gt;
 &lt;n&gt; &lt;/n&gt;&lt;goto quick="1" id="634" mapid="8" flagpoint="1" taskid="8019" /&gt;
&lt;/p&gt;</t>
    <phoneticPr fontId="6" type="noConversion"/>
  </si>
  <si>
    <t>&lt;p&gt;
&lt;n&gt;  击杀：&lt;/n&gt;
 &lt;n&gt; &lt;/n&gt;&lt;goto quick="1" id="10037" mapid="8" flagpoint="1" taskid="8018" /&gt;
&lt;/p&gt;</t>
    <phoneticPr fontId="6" type="noConversion"/>
  </si>
  <si>
    <t>&lt;p&gt;
&lt;n&gt;  交：&lt;/n&gt;
 &lt;n&gt; &lt;/n&gt;&lt;goto quick="1" id="634" mapid="8" flagpoint="1" taskid="8019"/&gt;&lt;/p&gt;</t>
    <phoneticPr fontId="6" type="noConversion"/>
  </si>
  <si>
    <t>&lt;p&gt;
&lt;n&gt;  采：&lt;/n&gt;
 &lt;n&gt; &lt;/n&gt;&lt;goto quick="1" id="2056" mapid="8" flagpoint="1" taskid="8020" /&gt;
&lt;/p&gt;</t>
    <phoneticPr fontId="6" type="noConversion"/>
  </si>
  <si>
    <t>&lt;p&gt;
&lt;n&gt;  交：&lt;/n&gt;
 &lt;n&gt; &lt;/n&gt;&lt;goto quick="1" id="634" mapid="8" flagpoint="1" taskid="8020"/&gt;&lt;/p&gt;</t>
    <phoneticPr fontId="6" type="noConversion"/>
  </si>
  <si>
    <t>&lt;p&gt;
&lt;n&gt;  找：&lt;/n&gt;
 &lt;n&gt; &lt;/n&gt;&lt;goto quick="1" id="636" mapid="8" flagpoint="1" taskid="8021" /&gt;
&lt;/p&gt;</t>
    <phoneticPr fontId="6" type="noConversion"/>
  </si>
  <si>
    <t>&lt;p&gt;
&lt;n&gt;  交：&lt;/n&gt;
 &lt;n&gt; &lt;/n&gt;&lt;goto quick="1" id="636" mapid="8" flagpoint="1" taskid="8021"/&gt;&lt;/p&gt;</t>
    <phoneticPr fontId="6" type="noConversion"/>
  </si>
  <si>
    <t>&lt;p&gt;
&lt;n&gt;  交：&lt;/n&gt;
 &lt;n&gt; &lt;/n&gt;&lt;goto quick="1" id="636" mapid="8" flagpoint="1" taskid="8022"/&gt;&lt;/p&gt;</t>
    <phoneticPr fontId="6" type="noConversion"/>
  </si>
  <si>
    <t>&lt;p&gt;
&lt;n&gt;  找：&lt;/n&gt;
 &lt;n&gt; &lt;/n&gt;&lt;goto quick="1" id="10041" mapid="8" flagpoint="1" taskid="8022" /&gt;
&lt;/p&gt;</t>
    <phoneticPr fontId="6" type="noConversion"/>
  </si>
  <si>
    <t>&lt;p&gt;
&lt;n&gt;  找：&lt;/n&gt;
 &lt;n&gt; &lt;/n&gt;&lt;goto quick="1" id="634" mapid="8" flagpoint="1" taskid="8023" /&gt;
&lt;/p&gt;</t>
    <phoneticPr fontId="6" type="noConversion"/>
  </si>
  <si>
    <t>&lt;p&gt;
&lt;n&gt;  交：&lt;/n&gt;
 &lt;n&gt; &lt;/n&gt;&lt;goto quick="1" id="634" mapid="8" flagpoint="1" taskid="8023"/&gt;&lt;/p&gt;</t>
    <phoneticPr fontId="6" type="noConversion"/>
  </si>
  <si>
    <t>&lt;p&gt;
&lt;n&gt;  找：&lt;/n&gt;
 &lt;n&gt; &lt;/n&gt;&lt;goto quick="1" id="10041" mapid="8" flagpoint="1" taskid="8024" /&gt;
&lt;/p&gt;</t>
    <phoneticPr fontId="6" type="noConversion"/>
  </si>
  <si>
    <t>&lt;p&gt;
&lt;n&gt;  交：&lt;/n&gt;
 &lt;n&gt; &lt;/n&gt;&lt;goto quick="1" id="631" mapid="8" flagpoint="1" taskid="8024"/&gt;&lt;/p&gt;</t>
    <phoneticPr fontId="6" type="noConversion"/>
  </si>
  <si>
    <t>&lt;p&gt;
&lt;n&gt;  找：&lt;/n&gt;
 &lt;n&gt; &lt;/n&gt;&lt;goto quick="1" id="632" mapid="8" flagpoint="1" taskid="8025" /&gt;
&lt;/p&gt;</t>
    <phoneticPr fontId="6" type="noConversion"/>
  </si>
  <si>
    <t>&lt;p&gt;
&lt;n&gt;  交：&lt;/n&gt;
 &lt;n&gt; &lt;/n&gt;&lt;goto quick="1" id="632" mapid="8" flagpoint="1" taskid="8025"/&gt;&lt;/p&gt;</t>
    <phoneticPr fontId="6" type="noConversion"/>
  </si>
  <si>
    <t>&lt;p&gt;
&lt;n&gt;  找：&lt;/n&gt;
 &lt;n&gt; &lt;/n&gt;&lt;goto quick="1" id="10057" mapid="8" flagpoint="1" taskid="8026" /&gt;
&lt;/p&gt;</t>
    <phoneticPr fontId="6" type="noConversion"/>
  </si>
  <si>
    <t>&lt;p&gt;
&lt;n&gt;  交：&lt;/n&gt;
 &lt;n&gt; &lt;/n&gt;&lt;goto quick="1" id="632" mapid="8" flagpoint="1" taskid="8026"/&gt;&lt;/p&gt;</t>
    <phoneticPr fontId="6" type="noConversion"/>
  </si>
  <si>
    <t>&lt;p&gt;
&lt;n&gt;  找：&lt;/n&gt;
 &lt;n&gt; &lt;/n&gt;&lt;goto quick="1" id="628" mapid="8" flagpoint="1" taskid="8027" /&gt;
&lt;/p&gt;</t>
    <phoneticPr fontId="6" type="noConversion"/>
  </si>
  <si>
    <t>&lt;p&gt;
&lt;n&gt;  交：&lt;/n&gt;
 &lt;n&gt; &lt;/n&gt;&lt;goto quick="1" id="628" mapid="8" flagpoint="1" taskid="8027"/&gt;&lt;/p&gt;</t>
    <phoneticPr fontId="6" type="noConversion"/>
  </si>
  <si>
    <t>&lt;p&gt;
&lt;n&gt;  找：&lt;/n&gt;
 &lt;n&gt; &lt;/n&gt;&lt;goto quick="1" id="10057" mapid="8" flagpoint="1" taskid="8028" /&gt;
&lt;/p&gt;</t>
    <phoneticPr fontId="6" type="noConversion"/>
  </si>
  <si>
    <t>&lt;p&gt;
&lt;n&gt;  交：&lt;/n&gt;
 &lt;n&gt; &lt;/n&gt;&lt;goto quick="1" id="628" mapid="8" flagpoint="1" taskid="8028"/&gt;&lt;/p&gt;</t>
    <phoneticPr fontId="6" type="noConversion"/>
  </si>
  <si>
    <t>&lt;p&gt;
&lt;n&gt;  采：&lt;/n&gt;
 &lt;n&gt; &lt;/n&gt;&lt;goto quick="1" id="2057" mapid="8" flagpoint="1" taskid="8030" /&gt;
&lt;/p&gt;</t>
    <phoneticPr fontId="6" type="noConversion"/>
  </si>
  <si>
    <t>&lt;p&gt;
&lt;n&gt;  找：&lt;/n&gt;
 &lt;n&gt; &lt;/n&gt;&lt;goto quick="1" id="637" mapid="8" flagpoint="1" taskid="8031" /&gt;
&lt;/p&gt;</t>
    <phoneticPr fontId="6" type="noConversion"/>
  </si>
  <si>
    <t>&lt;p&gt;
&lt;n&gt;  交：&lt;/n&gt;
 &lt;n&gt; &lt;/n&gt;&lt;goto quick="1" id="637" mapid="8" flagpoint="1" taskid="8031"/&gt;&lt;/p&gt;</t>
    <phoneticPr fontId="6" type="noConversion"/>
  </si>
  <si>
    <t>&lt;p&gt;
&lt;n&gt;  击杀：&lt;/n&gt;
 &lt;n&gt; &lt;/n&gt;&lt;goto quick="1" id="10058" mapid="8" flagpoint="1" taskid="8032" /&gt;
&lt;/p&gt;</t>
    <phoneticPr fontId="6" type="noConversion"/>
  </si>
  <si>
    <t>&lt;p&gt;
&lt;n&gt;  交：&lt;/n&gt;
 &lt;n&gt; &lt;/n&gt;&lt;goto quick="1" id="637" mapid="8" flagpoint="1" taskid="8032"/&gt;&lt;/p&gt;</t>
    <phoneticPr fontId="6" type="noConversion"/>
  </si>
  <si>
    <t>&lt;p&gt;
&lt;n&gt;  找：&lt;/n&gt;
 &lt;n&gt; &lt;/n&gt;&lt;goto quick="1" id="638" mapid="8" flagpoint="1" taskid="8033" /&gt;
&lt;/p&gt;</t>
    <phoneticPr fontId="6" type="noConversion"/>
  </si>
  <si>
    <t>&lt;p&gt;
&lt;n&gt;  交：&lt;/n&gt;
 &lt;n&gt; &lt;/n&gt;&lt;goto quick="1" id="638" mapid="8" flagpoint="1" taskid="8033"/&gt;&lt;/p&gt;</t>
    <phoneticPr fontId="6" type="noConversion"/>
  </si>
  <si>
    <t>&lt;p&gt;
&lt;n&gt;  击杀：&lt;/n&gt;
 &lt;n&gt; &lt;/n&gt;&lt;goto quick="1" id="10058" mapid="8" flagpoint="1" taskid="8034" /&gt;
&lt;/p&gt;</t>
    <phoneticPr fontId="6" type="noConversion"/>
  </si>
  <si>
    <t>&lt;p&gt;
&lt;n&gt;  交：&lt;/n&gt;
 &lt;n&gt; &lt;/n&gt;&lt;goto quick="1" id="638" mapid="8" flagpoint="1" taskid="8034"/&gt;&lt;/p&gt;</t>
    <phoneticPr fontId="6" type="noConversion"/>
  </si>
  <si>
    <t>&lt;p&gt;
&lt;n&gt;  找：&lt;/n&gt;
 &lt;n&gt; &lt;/n&gt;&lt;goto quick="1" id="639" mapid="8" flagpoint="1" taskid="8035" /&gt;
&lt;/p&gt;</t>
    <phoneticPr fontId="6" type="noConversion"/>
  </si>
  <si>
    <t>&lt;p&gt;
&lt;n&gt;  交：&lt;/n&gt;
 &lt;n&gt; &lt;/n&gt;&lt;goto quick="1" id="639" mapid="8" flagpoint="1" taskid="8035"/&gt;&lt;/p&gt;</t>
    <phoneticPr fontId="6" type="noConversion"/>
  </si>
  <si>
    <t>&lt;p&gt;
&lt;n&gt;  击杀：&lt;/n&gt;
 &lt;n&gt; &lt;/n&gt;&lt;goto quick="1" id="10058" mapid="8" flagpoint="1" taskid="8036" /&gt;
&lt;/p&gt;</t>
    <phoneticPr fontId="6" type="noConversion"/>
  </si>
  <si>
    <t>&lt;p&gt;
&lt;n&gt;  交：&lt;/n&gt;
 &lt;n&gt; &lt;/n&gt;&lt;goto quick="1" id="639" mapid="8" flagpoint="1" taskid="8036"/&gt;&lt;/p&gt;</t>
    <phoneticPr fontId="6" type="noConversion"/>
  </si>
  <si>
    <t>&lt;p&gt;
&lt;n&gt;  找：&lt;/n&gt;
 &lt;n&gt; &lt;/n&gt;&lt;goto quick="1" id="637" mapid="8" flagpoint="1" taskid="8037" /&gt;
&lt;/p&gt;</t>
    <phoneticPr fontId="6" type="noConversion"/>
  </si>
  <si>
    <t>&lt;p&gt;
&lt;n&gt;  交：&lt;/n&gt;
 &lt;n&gt; &lt;/n&gt;&lt;goto quick="1" id="637" mapid="8" flagpoint="1" taskid="8037"/&gt;&lt;/p&gt;</t>
    <phoneticPr fontId="6" type="noConversion"/>
  </si>
  <si>
    <t>&lt;p&gt;
&lt;n&gt;  击杀：&lt;/n&gt;
 &lt;n&gt; &lt;/n&gt;&lt;goto quick="1" id="10059" mapid="8" flagpoint="1" taskid="8038" /&gt;
&lt;/p&gt;</t>
    <phoneticPr fontId="6" type="noConversion"/>
  </si>
  <si>
    <t>&lt;p&gt;
&lt;n&gt;  交：&lt;/n&gt;
 &lt;n&gt; &lt;/n&gt;&lt;goto quick="1" id="639" mapid="8" flagpoint="1" taskid="8038"/&gt;&lt;/p&gt;</t>
    <phoneticPr fontId="6" type="noConversion"/>
  </si>
  <si>
    <t>&lt;p&gt;
&lt;n&gt;  找：&lt;/n&gt;
 &lt;n&gt; &lt;/n&gt;&lt;goto quick="1" id="638" mapid="8" flagpoint="1" taskid="8039" /&gt;
&lt;/p&gt;</t>
    <phoneticPr fontId="6" type="noConversion"/>
  </si>
  <si>
    <t>&lt;p&gt;
&lt;n&gt;  交：&lt;/n&gt;
 &lt;n&gt; &lt;/n&gt;&lt;goto quick="1" id="638" mapid="8" flagpoint="1" taskid="8039"/&gt;&lt;/p&gt;</t>
    <phoneticPr fontId="6" type="noConversion"/>
  </si>
  <si>
    <t>&lt;p&gt;
&lt;n&gt;  采：&lt;/n&gt;
 &lt;n&gt; &lt;/n&gt;&lt;goto quick="1" id="2058" mapid="8" flagpoint="1" taskid="8040" /&gt;
&lt;/p&gt;</t>
    <phoneticPr fontId="6" type="noConversion"/>
  </si>
  <si>
    <t>&lt;p&gt;
&lt;n&gt;  交：&lt;/n&gt;
 &lt;n&gt; &lt;/n&gt;&lt;goto quick="1" id="638" mapid="8" flagpoint="1" taskid="8040"/&gt;&lt;/p&gt;</t>
    <phoneticPr fontId="6" type="noConversion"/>
  </si>
  <si>
    <t>&lt;p&gt;
&lt;n&gt;  找：&lt;/n&gt;
 &lt;n&gt; &lt;/n&gt;&lt;goto quick="1" id="639" mapid="8" flagpoint="1" taskid="8041" /&gt;
&lt;/p&gt;</t>
    <phoneticPr fontId="6" type="noConversion"/>
  </si>
  <si>
    <t>&lt;p&gt;
&lt;n&gt;  交：&lt;/n&gt;
 &lt;n&gt; &lt;/n&gt;&lt;goto quick="1" id="639" mapid="8" flagpoint="1" taskid="8041"/&gt;&lt;/p&gt;</t>
    <phoneticPr fontId="6" type="noConversion"/>
  </si>
  <si>
    <t>&lt;p&gt;
&lt;n&gt;  击杀：&lt;/n&gt;
 &lt;n&gt; &lt;/n&gt;&lt;goto quick="1" id="10059" mapid="8" flagpoint="1" taskid="8042" /&gt;
&lt;/p&gt;</t>
    <phoneticPr fontId="6" type="noConversion"/>
  </si>
  <si>
    <t>&lt;p&gt;
&lt;n&gt;  交：&lt;/n&gt;
 &lt;n&gt; &lt;/n&gt;&lt;goto quick="1" id="640" mapid="8" flagpoint="1" taskid="8042"/&gt;&lt;/p&gt;</t>
    <phoneticPr fontId="6" type="noConversion"/>
  </si>
  <si>
    <t>&lt;p&gt;
&lt;n&gt;  找：&lt;/n&gt;
 &lt;n&gt; &lt;/n&gt;&lt;goto quick="1" id="640" mapid="8" flagpoint="1" taskid="8043" /&gt;
&lt;/p&gt;</t>
    <phoneticPr fontId="6" type="noConversion"/>
  </si>
  <si>
    <t>&lt;p&gt;
&lt;n&gt;  交：&lt;/n&gt;
 &lt;n&gt; &lt;/n&gt;&lt;goto quick="1" id="640" mapid="8" flagpoint="1" taskid="8043"/&gt;&lt;/p&gt;</t>
    <phoneticPr fontId="6" type="noConversion"/>
  </si>
  <si>
    <t>&lt;p&gt;
&lt;n&gt;  击杀：&lt;/n&gt;
 &lt;n&gt; &lt;/n&gt;&lt;goto quick="1" id="10060" mapid="8" flagpoint="1" taskid="8044" /&gt;
&lt;/p&gt;</t>
    <phoneticPr fontId="6" type="noConversion"/>
  </si>
  <si>
    <t>&lt;p&gt;
&lt;n&gt;  交：&lt;/n&gt;
 &lt;n&gt; &lt;/n&gt;&lt;goto quick="1" id="640" mapid="8" flagpoint="1" taskid="8044"/&gt;&lt;/p&gt;</t>
    <phoneticPr fontId="6" type="noConversion"/>
  </si>
  <si>
    <t>&lt;p&gt;
&lt;n&gt;  找：&lt;/n&gt;
 &lt;n&gt; &lt;/n&gt;&lt;goto quick="1" id="631" mapid="8" flagpoint="1" taskid="8045" /&gt;
&lt;/p&gt;</t>
    <phoneticPr fontId="6" type="noConversion"/>
  </si>
  <si>
    <t>&lt;p&gt;
&lt;n&gt;  交：&lt;/n&gt;
 &lt;n&gt; &lt;/n&gt;&lt;goto quick="1" id="631" mapid="8" flagpoint="1" taskid="8045"/&gt;&lt;/p&gt;</t>
    <phoneticPr fontId="6" type="noConversion"/>
  </si>
  <si>
    <t>&lt;p&gt;
&lt;n&gt;  击杀：&lt;/n&gt;
 &lt;n&gt; &lt;/n&gt;&lt;goto quick="1" id="10060" mapid="8" flagpoint="1" taskid="8046" /&gt;
&lt;/p&gt;</t>
    <phoneticPr fontId="6" type="noConversion"/>
  </si>
  <si>
    <t>&lt;p&gt;
&lt;n&gt;  交：&lt;/n&gt;
 &lt;n&gt; &lt;/n&gt;&lt;goto quick="1" id="631" mapid="8" flagpoint="1" taskid="8046"/&gt;&lt;/p&gt;</t>
    <phoneticPr fontId="6" type="noConversion"/>
  </si>
  <si>
    <t>&lt;p&gt;
&lt;n&gt;  找：&lt;/n&gt;
 &lt;n&gt; &lt;/n&gt;&lt;goto quick="1" id="632" mapid="8" flagpoint="1" taskid="8047" /&gt;
&lt;/p&gt;</t>
    <phoneticPr fontId="6" type="noConversion"/>
  </si>
  <si>
    <t>&lt;p&gt;
&lt;n&gt;  交：&lt;/n&gt;
 &lt;n&gt; &lt;/n&gt;&lt;goto quick="1" id="632" mapid="8" flagpoint="1" taskid="8047"/&gt;&lt;/p&gt;</t>
    <phoneticPr fontId="6" type="noConversion"/>
  </si>
  <si>
    <t>&lt;p&gt;
&lt;n&gt;  击杀：&lt;/n&gt;
 &lt;n&gt; &lt;/n&gt;&lt;goto quick="1" id="10060" mapid="8" flagpoint="1" taskid="8048" /&gt;
&lt;/p&gt;</t>
    <phoneticPr fontId="6" type="noConversion"/>
  </si>
  <si>
    <t>&lt;p&gt;
&lt;n&gt;  交：&lt;/n&gt;
 &lt;n&gt; &lt;/n&gt;&lt;goto quick="1" id="632" mapid="8" flagpoint="1" taskid="8048"/&gt;&lt;/p&gt;</t>
    <phoneticPr fontId="6" type="noConversion"/>
  </si>
  <si>
    <t>&lt;p&gt;
&lt;n&gt;  找：&lt;/n&gt;
 &lt;n&gt; &lt;/n&gt;&lt;goto quick="1" id="629" mapid="8" flagpoint="1" taskid="8049" /&gt;
&lt;/p&gt;</t>
    <phoneticPr fontId="6" type="noConversion"/>
  </si>
  <si>
    <t>&lt;p&gt;
&lt;n&gt;  交：&lt;/n&gt;
 &lt;n&gt; &lt;/n&gt;&lt;goto quick="1" id="629" mapid="8" flagpoint="1" taskid="8049"/&gt;&lt;/p&gt;</t>
    <phoneticPr fontId="6" type="noConversion"/>
  </si>
  <si>
    <t>&lt;p&gt;
&lt;n&gt;  采集：&lt;/n&gt;
 &lt;n&gt; &lt;/n&gt;&lt;goto quick="1" id="2059" mapid="8" flagpoint="1" taskid="8050" /&gt;
&lt;/p&gt;</t>
    <phoneticPr fontId="6" type="noConversion"/>
  </si>
  <si>
    <t>&lt;p&gt;
&lt;n&gt;  交：&lt;/n&gt;
 &lt;n&gt; &lt;/n&gt;&lt;goto quick="1" id="629" mapid="8" flagpoint="1" taskid="8050"/&gt;&lt;/p&gt;</t>
    <phoneticPr fontId="6" type="noConversion"/>
  </si>
  <si>
    <t>&lt;p&gt;
&lt;n&gt;  找：&lt;/n&gt;
 &lt;n&gt; &lt;/n&gt;&lt;goto quick="1" id="633" mapid="8" flagpoint="1" taskid="8051" /&gt;
&lt;/p&gt;</t>
    <phoneticPr fontId="6" type="noConversion"/>
  </si>
  <si>
    <t>&lt;p&gt;
&lt;n&gt;  交：&lt;/n&gt;
 &lt;n&gt; &lt;/n&gt;&lt;goto quick="1" id="633" mapid="8" flagpoint="1" taskid="8051"/&gt;&lt;/p&gt;</t>
    <phoneticPr fontId="6" type="noConversion"/>
  </si>
  <si>
    <t>&lt;p&gt;
&lt;n&gt;  击杀：&lt;/n&gt;
 &lt;n&gt; &lt;/n&gt;&lt;goto quick="1" id="10061" mapid="8" flagpoint="1" taskid="8052" /&gt;
&lt;/p&gt;</t>
    <phoneticPr fontId="6" type="noConversion"/>
  </si>
  <si>
    <t>&lt;p&gt;
&lt;n&gt;  交：&lt;/n&gt;
 &lt;n&gt; &lt;/n&gt;&lt;goto quick="1" id="633" mapid="8" flagpoint="1" taskid="8052"/&gt;&lt;/p&gt;</t>
    <phoneticPr fontId="6" type="noConversion"/>
  </si>
  <si>
    <t>&lt;p&gt;
&lt;n&gt;  找：&lt;/n&gt;
 &lt;n&gt; &lt;/n&gt;&lt;goto quick="1" id="638" mapid="8" flagpoint="1" taskid="8053" /&gt;
&lt;/p&gt;</t>
    <phoneticPr fontId="6" type="noConversion"/>
  </si>
  <si>
    <t>&lt;p&gt;
&lt;n&gt;  交：&lt;/n&gt;
 &lt;n&gt; &lt;/n&gt;&lt;goto quick="1" id="638" mapid="8" flagpoint="1" taskid="8053"/&gt;&lt;/p&gt;</t>
    <phoneticPr fontId="6" type="noConversion"/>
  </si>
  <si>
    <t>&lt;p&gt;
&lt;n&gt;  击杀：&lt;/n&gt;
 &lt;n&gt; &lt;/n&gt;&lt;goto quick="1" id="10061" mapid="8" flagpoint="1" taskid="8054" /&gt;
&lt;/p&gt;</t>
    <phoneticPr fontId="6" type="noConversion"/>
  </si>
  <si>
    <t>&lt;p&gt;
&lt;n&gt;  交：&lt;/n&gt;
 &lt;n&gt; &lt;/n&gt;&lt;goto quick="1" id="638" mapid="8" flagpoint="1" taskid="8054"/&gt;&lt;/p&gt;</t>
    <phoneticPr fontId="6" type="noConversion"/>
  </si>
  <si>
    <t>&lt;p&gt;
&lt;n&gt;  找：&lt;/n&gt;
 &lt;n&gt; &lt;/n&gt;&lt;goto quick="1" id="639" mapid="8" flagpoint="1" taskid="8055" /&gt;
&lt;/p&gt;</t>
    <phoneticPr fontId="6" type="noConversion"/>
  </si>
  <si>
    <t>&lt;p&gt;
&lt;n&gt;  交：&lt;/n&gt;
 &lt;n&gt; &lt;/n&gt;&lt;goto quick="1" id="639" mapid="8" flagpoint="1" taskid="8055"/&gt;&lt;/p&gt;</t>
    <phoneticPr fontId="6" type="noConversion"/>
  </si>
  <si>
    <t>&lt;p&gt;
&lt;n&gt;  击杀：&lt;/n&gt;
 &lt;n&gt; &lt;/n&gt;&lt;goto quick="1" id="10062" mapid="8" flagpoint="1" taskid="8056" /&gt;
&lt;/p&gt;</t>
    <phoneticPr fontId="6" type="noConversion"/>
  </si>
  <si>
    <t>&lt;p&gt;
&lt;n&gt;  交：&lt;/n&gt;
 &lt;n&gt; &lt;/n&gt;&lt;goto quick="1" id="639" mapid="8" flagpoint="1" taskid="8056"/&gt;&lt;/p&gt;</t>
    <phoneticPr fontId="6" type="noConversion"/>
  </si>
  <si>
    <t>&lt;p&gt;
&lt;n&gt;  找：&lt;/n&gt;
 &lt;n&gt; &lt;/n&gt;&lt;goto quick="1" id="634" mapid="8" flagpoint="1" taskid="8057" /&gt;
&lt;/p&gt;</t>
    <phoneticPr fontId="6" type="noConversion"/>
  </si>
  <si>
    <t>&lt;p&gt;
&lt;n&gt;  交：&lt;/n&gt;
 &lt;n&gt; &lt;/n&gt;&lt;goto quick="1" id="634" mapid="8" flagpoint="1" taskid="8057"/&gt;&lt;/p&gt;</t>
    <phoneticPr fontId="6" type="noConversion"/>
  </si>
  <si>
    <t>&lt;p&gt;
&lt;n&gt;  击杀：&lt;/n&gt;
 &lt;n&gt; &lt;/n&gt;&lt;goto quick="1" id="10062" mapid="8" flagpoint="1" taskid="8058" /&gt;
&lt;/p&gt;</t>
    <phoneticPr fontId="6" type="noConversion"/>
  </si>
  <si>
    <t>&lt;p&gt;
&lt;n&gt;  交：&lt;/n&gt;
 &lt;n&gt; &lt;/n&gt;&lt;goto quick="1" id="634" mapid="8" flagpoint="1" taskid="8058"/&gt;&lt;/p&gt;</t>
    <phoneticPr fontId="6" type="noConversion"/>
  </si>
  <si>
    <t>&lt;p&gt;
&lt;n&gt;  采集：&lt;/n&gt;
 &lt;n&gt; &lt;/n&gt;&lt;goto quick="1" id="2060" mapid="8" flagpoint="1" taskid="8060" /&gt;
&lt;/p&gt;</t>
    <phoneticPr fontId="6" type="noConversion"/>
  </si>
  <si>
    <t>&lt;n effect=4 font=2 color=White scolor=Turp&gt;一定要将情报带回来&lt;/n&gt;</t>
    <phoneticPr fontId="6" type="noConversion"/>
  </si>
  <si>
    <t>body(   据说帝都有个包打听，将军可去找他打探下消息！)</t>
    <phoneticPr fontId="6" type="noConversion"/>
  </si>
  <si>
    <t>body(   我这里什么消息都能知道！)</t>
    <phoneticPr fontId="6" type="noConversion"/>
  </si>
  <si>
    <t>&lt;n effect=4 font=2 color=White scolor=Turp&gt;包打听在帝都城&lt;/n&gt;</t>
    <phoneticPr fontId="6" type="noConversion"/>
  </si>
  <si>
    <t>[91级]行尸走肉</t>
    <phoneticPr fontId="6" type="noConversion"/>
  </si>
  <si>
    <t>body(   东门外被魔物堵住，无法出城打探消息！)</t>
    <phoneticPr fontId="6" type="noConversion"/>
  </si>
  <si>
    <t>body(   这样一来，出城打探消息就不怕了！)</t>
    <phoneticPr fontId="6" type="noConversion"/>
  </si>
  <si>
    <t>&lt;n effect=4 font=2 color=White scolor=Turp&gt;消灭一批东门外的魔物&lt;/n&gt;</t>
    <phoneticPr fontId="6" type="noConversion"/>
  </si>
  <si>
    <t>[92级]暂避</t>
    <phoneticPr fontId="6" type="noConversion"/>
  </si>
  <si>
    <t>body(   听说蚩尤派遣了大量魔物在四处寻找将军，请先去城内客栈躲避一下！)</t>
    <phoneticPr fontId="6" type="noConversion"/>
  </si>
  <si>
    <t>body(   将军盖世无双，可也不能住霸王店啊！)</t>
    <phoneticPr fontId="6" type="noConversion"/>
  </si>
  <si>
    <t>&lt;n effect=4 font=2 color=White scolor=Turp&gt;听说帝都这家客栈十分豪华&lt;/n&gt;</t>
    <phoneticPr fontId="6" type="noConversion"/>
  </si>
  <si>
    <t>[92级]囊中羞涩</t>
    <phoneticPr fontId="6" type="noConversion"/>
  </si>
  <si>
    <t>title( [92级]暂避)
body(hotyellow_3(任务进程:)newline()
   去找goto(628,8)。
blankline()hotyellow_3(任务描述:)newline() 
  听说蚩尤派遣了大量魔物在四处寻找将军，请先去城内客栈躲避一下！)</t>
    <phoneticPr fontId="6" type="noConversion"/>
  </si>
  <si>
    <t>title( [91级]行尸走肉)
body(hotyellow_3(任务进程:)newline()
   击杀goto(10035,8)后，去找goto(627,8)。
blankline()hotyellow_3(任务描述:)newline() 
  东门外被魔物堵住，无法出城打探消息！)</t>
    <phoneticPr fontId="6" type="noConversion"/>
  </si>
  <si>
    <t>title( [91级]打探消息)
body(hotyellow_3(任务进程:)newline()
   去找goto(627,8)。
blankline()hotyellow_3(任务描述:)newline() 
  据说帝都有个包打听，将军可去找他打探下消息！)</t>
    <phoneticPr fontId="6" type="noConversion"/>
  </si>
  <si>
    <t>title( [92级]囊中羞涩)
body(hotyellow_3(任务进程:)newline()
   击杀goto(10035,8)后，去找goto(628,8)。
blankline()hotyellow_3(任务描述:)newline() 
  将军如若囊中羞涩，可否替小人消灭一些城外的魔物，此乃小店粮道！)</t>
    <phoneticPr fontId="6" type="noConversion"/>
  </si>
  <si>
    <t>body(   将军如若囊中羞涩，可否替小人消灭一些城外的魔物，此乃小店粮道！)</t>
    <phoneticPr fontId="6" type="noConversion"/>
  </si>
  <si>
    <t>body(   本店乃超半星级奢华大客栈！)</t>
    <phoneticPr fontId="6" type="noConversion"/>
  </si>
  <si>
    <t>&lt;n effect=4 font=2 color=White scolor=Turp&gt;半两银子难道英雄汉&lt;/n&gt;</t>
    <phoneticPr fontId="6" type="noConversion"/>
  </si>
  <si>
    <t>[92级]老乞丐</t>
    <phoneticPr fontId="6" type="noConversion"/>
  </si>
  <si>
    <t>title( [92级]老乞丐)
body(hotyellow_3(任务进程:)newline()
   去找goto(633,8)。
blankline()hotyellow_3(任务描述:)newline() 
  有个乞丐说是替包打听来传话的，将军可去找他一问究竟！)</t>
    <phoneticPr fontId="6" type="noConversion"/>
  </si>
  <si>
    <t>body(   有个乞丐说是替包打听来传话的，将军可去找他一问究竟！)</t>
    <phoneticPr fontId="6" type="noConversion"/>
  </si>
  <si>
    <t>body(   救命啊~救~命~)</t>
    <phoneticPr fontId="6" type="noConversion"/>
  </si>
  <si>
    <t>&lt;n effect=4 font=2 color=White scolor=Turp&gt;听说传话的是个老乞丐&lt;/n&gt;</t>
    <phoneticPr fontId="6" type="noConversion"/>
  </si>
  <si>
    <t>[93级]解围</t>
    <phoneticPr fontId="6" type="noConversion"/>
  </si>
  <si>
    <t>title( [93级]解围)
body(hotyellow_3(任务进程:)newline()
   击杀goto(10035,8)后，去找goto(633,8)。
blankline()hotyellow_3(任务描述:)newline() 
  将军救我，四周的魔物将我围困住了！)</t>
    <phoneticPr fontId="6" type="noConversion"/>
  </si>
  <si>
    <t>body(   将军救我，四周的魔物将我围困住了！)</t>
    <phoneticPr fontId="6" type="noConversion"/>
  </si>
  <si>
    <t>body(   多谢将军出手相救，顺便赏个半两银子花花吧！)</t>
    <phoneticPr fontId="6" type="noConversion"/>
  </si>
  <si>
    <t>[93级]传话</t>
    <phoneticPr fontId="6" type="noConversion"/>
  </si>
  <si>
    <t>title( [93级]传话)
body(hotyellow_3(任务进程:)newline()
   去找goto(628,8)。
blankline()hotyellow_3(任务描述:)newline() 
  包打听正在皇宫内替将军打探消息，请在客栈守候片刻！)</t>
    <phoneticPr fontId="6" type="noConversion"/>
  </si>
  <si>
    <t>body(   包打听正在皇宫内替将军打探消息，请在客栈守候片刻！)</t>
    <phoneticPr fontId="6" type="noConversion"/>
  </si>
  <si>
    <t>body(   哟~将军您回来啦！)</t>
    <phoneticPr fontId="6" type="noConversion"/>
  </si>
  <si>
    <t>&lt;n effect=4 font=2 color=White scolor=Turp&gt;皇宫的消息都能打探到&lt;/n&gt;</t>
    <phoneticPr fontId="6" type="noConversion"/>
  </si>
  <si>
    <t>body(   多谢将军出手相救，我有要事相告！)</t>
    <phoneticPr fontId="6" type="noConversion"/>
  </si>
  <si>
    <t>&lt;n effect=4 font=2 color=White scolor=Turp&gt;南门外的魔物更厉害&lt;/n&gt;</t>
    <phoneticPr fontId="6" type="noConversion"/>
  </si>
  <si>
    <t>[94级]遇袭</t>
    <phoneticPr fontId="6" type="noConversion"/>
  </si>
  <si>
    <t>[94级]要事相告</t>
    <phoneticPr fontId="6" type="noConversion"/>
  </si>
  <si>
    <t>title( [94级]要事相告)
body(hotyellow_3(任务进程:)newline()
   去找goto(629,8)。
blankline()hotyellow_3(任务描述:)newline() 
  宫内近期十分动荡，听说献帝情绪大变，将军先去各守将处看看！)</t>
    <phoneticPr fontId="6" type="noConversion"/>
  </si>
  <si>
    <t>body(   宫内近期十分动荡，听说献帝情绪大变，将军先去各守将处看看！)</t>
    <phoneticPr fontId="6" type="noConversion"/>
  </si>
  <si>
    <t>body(   我这里坐北朝南，通透凉爽，景色优美！)</t>
    <phoneticPr fontId="6" type="noConversion"/>
  </si>
  <si>
    <t>[95级]再次遇袭</t>
    <phoneticPr fontId="6" type="noConversion"/>
  </si>
  <si>
    <t>[95级]隐士</t>
    <phoneticPr fontId="6" type="noConversion"/>
  </si>
  <si>
    <t>title( [95级]线索)
body(hotyellow_3(任务进程:)newline()
   去找goto(635,8)。
blankline()hotyellow_3(任务描述:)newline() 
  城外有位隐士，据说会施巫术，将军请去看看是否有线索！)</t>
    <phoneticPr fontId="6" type="noConversion"/>
  </si>
  <si>
    <t>body(   城外有位隐士，据说会施巫术，将军请去看看是否有线索！)</t>
    <phoneticPr fontId="6" type="noConversion"/>
  </si>
  <si>
    <t>body(   惜哉~兮哉~！)</t>
    <phoneticPr fontId="6" type="noConversion"/>
  </si>
  <si>
    <t>&lt;n effect=4 font=2 color=White scolor=Turp&gt;隐约感觉到东北方向妖气浓重&lt;/n&gt;</t>
    <phoneticPr fontId="6" type="noConversion"/>
  </si>
  <si>
    <t>[96级]池中莲花</t>
    <phoneticPr fontId="6" type="noConversion"/>
  </si>
  <si>
    <t>body(   莲花~莲花~终于找到你了，多谢！)</t>
    <phoneticPr fontId="6" type="noConversion"/>
  </si>
  <si>
    <t>[96级]炼丹</t>
    <phoneticPr fontId="6" type="noConversion"/>
  </si>
  <si>
    <t>title( [96级]炼丹)
body(hotyellow_3(任务进程:)newline()
   去找goto(635,8)。
blankline()hotyellow_3(任务描述:)newline() 
  将军果然英勇，池周围的魔物没有为难你么！)</t>
    <phoneticPr fontId="6" type="noConversion"/>
  </si>
  <si>
    <t>body(   将军果然英勇，池周围的魔物没有为难你么！)</t>
    <phoneticPr fontId="6" type="noConversion"/>
  </si>
  <si>
    <t>body(   这并非普通的莲花，有了它就可以炼制丹药了！)</t>
    <phoneticPr fontId="6" type="noConversion"/>
  </si>
  <si>
    <t>&lt;n effect=4 font=2 color=White scolor=Turp&gt;神奇的莲花有什么用呢&lt;/n&gt;</t>
    <phoneticPr fontId="6" type="noConversion"/>
  </si>
  <si>
    <t>[97级]树人</t>
    <phoneticPr fontId="6" type="noConversion"/>
  </si>
  <si>
    <t>title( [97级]树人)
body(hotyellow_3(任务进程:)newline()
   击杀goto(10037,8)后，去找goto(635,8)。
blankline()hotyellow_3(任务描述:)newline() 
  树人经常在我炼丹时来袭扰，去消灭它们！)</t>
    <phoneticPr fontId="6" type="noConversion"/>
  </si>
  <si>
    <t>body(   树人经常在我炼丹时来袭扰，去消灭它们！)</t>
    <phoneticPr fontId="6" type="noConversion"/>
  </si>
  <si>
    <t>body(   想要知道我炼制什么丹药么，就不告诉你)</t>
    <phoneticPr fontId="6" type="noConversion"/>
  </si>
  <si>
    <t>&lt;n effect=4 font=2 color=White scolor=Turp&gt;神秘的丹药，到底有何效果呢&lt;/n&gt;</t>
    <phoneticPr fontId="6" type="noConversion"/>
  </si>
  <si>
    <t>[97级]困兽</t>
    <phoneticPr fontId="6" type="noConversion"/>
  </si>
  <si>
    <t>[98级]大吃一惊</t>
    <phoneticPr fontId="6" type="noConversion"/>
  </si>
  <si>
    <t>[98级]困惑</t>
    <phoneticPr fontId="6" type="noConversion"/>
  </si>
  <si>
    <t>[99级]真相</t>
    <phoneticPr fontId="6" type="noConversion"/>
  </si>
  <si>
    <t>[100级]帮助</t>
    <phoneticPr fontId="6" type="noConversion"/>
  </si>
  <si>
    <t>title( [97级]困兽)
body(hotyellow_3(任务进程:)newline()
   去找goto(634,8)。
blankline()hotyellow_3(任务描述:)newline() 
  附近有只猛兽，是献帝派人用铁锁困在那的，应该跟宫内近来所发生的事有关！)</t>
    <phoneticPr fontId="6" type="noConversion"/>
  </si>
  <si>
    <t>body(   吼~吼~你是~谁~！)</t>
    <phoneticPr fontId="6" type="noConversion"/>
  </si>
  <si>
    <t>title( [98级]大吃一惊)
body(hotyellow_3(任务进程:)newline()
   击杀goto(10037,8)后，去找goto(634,8)。
blankline()hotyellow_3(任务描述:)newline() 
  去~去让周围的树人安~安静点！)</t>
    <phoneticPr fontId="6" type="noConversion"/>
  </si>
  <si>
    <t>title( [99级]真相)
body(hotyellow_3(任务进程:)newline()
   去找goto(634,8)。
blankline()hotyellow_3(任务描述:)newline() 
  将军息怒，献帝命我在此看守困兽！)</t>
    <phoneticPr fontId="6" type="noConversion"/>
  </si>
  <si>
    <t>body(   水~水~口~口渴！)</t>
    <phoneticPr fontId="6" type="noConversion"/>
  </si>
  <si>
    <t>body(   将军息怒，献帝命我在此看守困兽！)</t>
    <phoneticPr fontId="6" type="noConversion"/>
  </si>
  <si>
    <t>body(   去~去让周围的树人安~安静点！)</t>
    <phoneticPr fontId="6" type="noConversion"/>
  </si>
  <si>
    <t>body(   附近有只猛兽，是献帝派人用铁锁困在那的，应该跟宫内近来所发生的事有关！)</t>
    <phoneticPr fontId="6" type="noConversion"/>
  </si>
  <si>
    <t>body(   这~这个世界终于安静了！)</t>
    <phoneticPr fontId="6" type="noConversion"/>
  </si>
  <si>
    <t>body(   将军还真是执着，我确有难言之隐啊！)</t>
    <phoneticPr fontId="6" type="noConversion"/>
  </si>
  <si>
    <t>body(   我是~是谁~，为什么~在~在这儿)</t>
    <phoneticPr fontId="6" type="noConversion"/>
  </si>
  <si>
    <t>body(   为什么我会变成这般模样！)</t>
    <phoneticPr fontId="6" type="noConversion"/>
  </si>
  <si>
    <t>&lt;n effect=4 font=2 color=White scolor=Turp&gt;可怜啊,还是为它打点水来吧&lt;/n&gt;</t>
    <phoneticPr fontId="6" type="noConversion"/>
  </si>
  <si>
    <t>&lt;n effect=4 font=2 color=White scolor=Turp&gt;原来如此，还是先去看看困兽吧&lt;/n&gt;</t>
    <phoneticPr fontId="6" type="noConversion"/>
  </si>
  <si>
    <t>&lt;n effect=4 font=2 color=White scolor=Turp&gt;被耍了，找到炼狱使者算账去&lt;/n&gt;</t>
    <phoneticPr fontId="6" type="noConversion"/>
  </si>
  <si>
    <t>&lt;n effect=4 font=2 color=White scolor=Turp&gt;还是先找包打听问问情况吧&lt;/n&gt;</t>
    <phoneticPr fontId="6" type="noConversion"/>
  </si>
  <si>
    <t>&lt;n effect=4 font=2 color=White scolor=Turp&gt;它居然会说话，太惊奇了&lt;/n&gt;</t>
    <phoneticPr fontId="6" type="noConversion"/>
  </si>
  <si>
    <t>&lt;n effect=4 font=2 color=White scolor=Turp&gt;先找到困兽&lt;/n&gt;</t>
    <phoneticPr fontId="6" type="noConversion"/>
  </si>
  <si>
    <t>[100级]小女孩</t>
    <phoneticPr fontId="6" type="noConversion"/>
  </si>
  <si>
    <t>title( [100级]小女孩)
body(hotyellow_3(任务进程:)newline()
   去找goto(636,8)。
blankline()hotyellow_3(任务描述:)newline() 
  我~我什么都不记得了，女~女儿~树林里玩~玩耍！)</t>
    <phoneticPr fontId="6" type="noConversion"/>
  </si>
  <si>
    <t>body(   我~我什么都不记得了，女~女儿~树林里玩~玩耍！)</t>
    <phoneticPr fontId="6" type="noConversion"/>
  </si>
  <si>
    <t>&lt;n effect=4 font=2 color=White scolor=Turp&gt;还是很难沟通，先去树人附近看看吧&lt;/n&gt;</t>
    <phoneticPr fontId="6" type="noConversion"/>
  </si>
  <si>
    <t>body(   呜~呜呜，我听到爹爹的声音了，爹爹~你在哪儿！)</t>
    <phoneticPr fontId="6" type="noConversion"/>
  </si>
  <si>
    <t>[101级]火男</t>
    <phoneticPr fontId="6" type="noConversion"/>
  </si>
  <si>
    <t>body(   爹爹带我出来玩，发现城西的人很奇怪，身上燃烧着火焰，然后爹爹就不见了！)</t>
    <phoneticPr fontId="6" type="noConversion"/>
  </si>
  <si>
    <t>title( [101级]火男)
body(hotyellow_3(任务进程:)newline()
   击杀goto(10041,8)后，去找goto(636,8)。
blankline()hotyellow_3(任务描述:)newline() 
  爹爹带我出来玩，发现城西的人很奇怪，身上燃烧着火焰，然后爹爹就不见了！)</t>
    <phoneticPr fontId="6" type="noConversion"/>
  </si>
  <si>
    <t>body(   有爹爹的消息吗~)</t>
    <phoneticPr fontId="6" type="noConversion"/>
  </si>
  <si>
    <t>[101级]真相大白</t>
    <phoneticPr fontId="6" type="noConversion"/>
  </si>
  <si>
    <t>title( [101级]真相大白)
body(hotyellow_3(任务进程:)newline()
   去找goto(634,8)。
blankline()hotyellow_3(任务描述:)newline() 
  什么？爹爹的声音是那野兽发出的，不管怎样找到爹爹了，多谢将军！)</t>
    <phoneticPr fontId="6" type="noConversion"/>
  </si>
  <si>
    <t>body(   什么？爹爹的声音是那野兽发出的，不管怎样找到爹爹了，多谢将军！)</t>
    <phoneticPr fontId="6" type="noConversion"/>
  </si>
  <si>
    <t>&lt;n effect=4 font=2 color=White scolor=Turp&gt;还是去转告下那野兽吧&lt;/n&gt;</t>
    <phoneticPr fontId="6" type="noConversion"/>
  </si>
  <si>
    <t>[102级]调查</t>
    <phoneticPr fontId="6" type="noConversion"/>
  </si>
  <si>
    <t>title( [102级]调查)
body(hotyellow_3(任务进程:)newline()
   击杀goto(10041,8)后，去找goto(631,8)。
blankline()hotyellow_3(任务描述:)newline() 
  西门外那些着火的人很可疑，去调查一下吧！)</t>
    <phoneticPr fontId="6" type="noConversion"/>
  </si>
  <si>
    <t>body(   西门外那些着火的人很可疑，去调查一下吧！)</t>
    <phoneticPr fontId="6" type="noConversion"/>
  </si>
  <si>
    <t>&lt;n effect=4 font=2 color=White scolor=Turp&gt;找火男调查下吧&lt;/n&gt;</t>
    <phoneticPr fontId="6" type="noConversion"/>
  </si>
  <si>
    <t>[102级]请求</t>
    <phoneticPr fontId="6" type="noConversion"/>
  </si>
  <si>
    <t>body(   将军终于来啦~！)</t>
    <phoneticPr fontId="6" type="noConversion"/>
  </si>
  <si>
    <t>&lt;n effect=4 font=2 color=White scolor=Turp&gt;找我办事，还要本将军亲自跑一趟&lt;/n&gt;</t>
    <phoneticPr fontId="6" type="noConversion"/>
  </si>
  <si>
    <t>[103级]火女</t>
    <phoneticPr fontId="6" type="noConversion"/>
  </si>
  <si>
    <t>title( [103级]火女)
body(hotyellow_3(任务进程:)newline()
   击杀goto(10057,8)后，去找goto(632,8)。
blankline()hotyellow_3(任务描述:)newline() 
  最近城外出现了一群身背弓箭，被火焰围绕的女人，为保帝都安全请将军去消灭他们！)</t>
    <phoneticPr fontId="6" type="noConversion"/>
  </si>
  <si>
    <t>body(   最近城外出现了一群身背弓箭，被火焰围绕的女人，为保帝都安全请将军去消灭他们！)</t>
    <phoneticPr fontId="6" type="noConversion"/>
  </si>
  <si>
    <t>body(   您的衣服都烧焦了~！)</t>
    <phoneticPr fontId="6" type="noConversion"/>
  </si>
  <si>
    <t>&lt;n effect=4 font=2 color=White scolor=Turp&gt;最近一直跟火打交道，皮肤好干&lt;/n&gt;</t>
    <phoneticPr fontId="6" type="noConversion"/>
  </si>
  <si>
    <t>title( [103级]又回客栈)
body(hotyellow_3(任务进程:)newline()
   去找goto(628,8)。
blankline()hotyellow_3(任务描述:)newline() 
  恭喜将军~陛下要表彰您斩妖除魔的功绩，请先去客栈歇息，等待召见！)</t>
    <phoneticPr fontId="6" type="noConversion"/>
  </si>
  <si>
    <t>body(   恭喜将军~陛下要表彰您斩妖除魔的功绩，请先去客栈歇息，等待召见！)</t>
    <phoneticPr fontId="6" type="noConversion"/>
  </si>
  <si>
    <t>[103级]召见</t>
    <phoneticPr fontId="6" type="noConversion"/>
  </si>
  <si>
    <t>body(   将军来啦~已为您备好上房！)</t>
    <phoneticPr fontId="6" type="noConversion"/>
  </si>
  <si>
    <t>&lt;n effect=4 font=2 color=White scolor=Turp&gt;苦干实干，终于得到认可了&lt;/n&gt;</t>
    <phoneticPr fontId="6" type="noConversion"/>
  </si>
  <si>
    <t>[104级]还敢再来</t>
    <phoneticPr fontId="6" type="noConversion"/>
  </si>
  <si>
    <t>body(   这样一来，他们应该不敢再犯了！)</t>
    <phoneticPr fontId="6" type="noConversion"/>
  </si>
  <si>
    <t>&lt;n effect=4 font=2 color=White scolor=Turp&gt;还敢再来，当本将军是病猫啊&lt;/n&gt;</t>
    <phoneticPr fontId="6" type="noConversion"/>
  </si>
  <si>
    <t>[104级]小道消息</t>
    <phoneticPr fontId="6" type="noConversion"/>
  </si>
  <si>
    <t>title( [104级]小道消息)
body(hotyellow_3(任务进程:)newline()
   去找goto(627,8)。
blankline()hotyellow_3(任务描述:)newline() 
  包打听找您，他虽然消息很多，但大多是小道消息！)</t>
    <phoneticPr fontId="6" type="noConversion"/>
  </si>
  <si>
    <t>body(   包打听找您，他虽然消息很多，但大多是小道消息！)</t>
    <phoneticPr fontId="6" type="noConversion"/>
  </si>
  <si>
    <t>body(   我有个小道~哦不，重要消息要告诉您！)</t>
    <phoneticPr fontId="6" type="noConversion"/>
  </si>
  <si>
    <t>[105级]酒桶</t>
    <phoneticPr fontId="6" type="noConversion"/>
  </si>
  <si>
    <t>title( [100级]帮助)
body(hotyellow_3(任务进程:)newline()
   收集goto(2056,8)后，去找goto(634,8)。
blankline()hotyellow_3(任务描述:)newline() 
  水~水~口~口渴！)</t>
    <phoneticPr fontId="6" type="noConversion"/>
  </si>
  <si>
    <t>body(   什么？酒桶都是空的！)</t>
    <phoneticPr fontId="6" type="noConversion"/>
  </si>
  <si>
    <t>&lt;n effect=4 font=2 color=White scolor=Turp&gt;调查下酒桶吧，正好想喝酒了&lt;/n&gt;</t>
    <phoneticPr fontId="6" type="noConversion"/>
  </si>
  <si>
    <t>[105级]神隐者</t>
    <phoneticPr fontId="6" type="noConversion"/>
  </si>
  <si>
    <t>body(   我入皇宫如入无人之境！)</t>
    <phoneticPr fontId="6" type="noConversion"/>
  </si>
  <si>
    <t>&lt;n effect=4 font=2 color=White scolor=Turp&gt;隐身之术，我也想学&lt;/n&gt;</t>
    <phoneticPr fontId="6" type="noConversion"/>
  </si>
  <si>
    <t>[106级]死对头</t>
    <phoneticPr fontId="6" type="noConversion"/>
  </si>
  <si>
    <t>title( [106级]死对头)
body(hotyellow_3(任务进程:)newline()
   击杀goto(10058,8)后，去找goto(637,8)。
blankline()hotyellow_3(任务描述:)newline() 
  附近有个地宫，我曾试图接近过，可守卫的一群魔法法师能识破我的隐身！)</t>
    <phoneticPr fontId="6" type="noConversion"/>
  </si>
  <si>
    <t>body(   附近有个地宫，我曾试图接近过，可守卫的一群魔法法师能识破我的隐身！)</t>
    <phoneticPr fontId="6" type="noConversion"/>
  </si>
  <si>
    <t>body(   这样一来，我就能任意穿梭在城内的各个街道了！)</t>
    <phoneticPr fontId="6" type="noConversion"/>
  </si>
  <si>
    <t>&lt;n effect=4 font=2 color=White scolor=Turp&gt;地宫内定有蹊跷，先打击下魔法法师&lt;/n&gt;</t>
    <phoneticPr fontId="6" type="noConversion"/>
  </si>
  <si>
    <t>[106级]探寻地宫</t>
    <phoneticPr fontId="6" type="noConversion"/>
  </si>
  <si>
    <t>title( [106级]探寻地宫)
body(hotyellow_3(任务进程:)newline()
   去找goto(638,8)。
blankline()hotyellow_3(任务描述:)newline() 
  感谢将军为我打击了死对头，让我指引你找到地宫入口吧！)</t>
    <phoneticPr fontId="6" type="noConversion"/>
  </si>
  <si>
    <t>body(   感谢将军为我打击了死对头，让我指引你找到地宫入口吧！)</t>
    <phoneticPr fontId="6" type="noConversion"/>
  </si>
  <si>
    <t>&lt;n effect=4 font=2 color=White scolor=Turp&gt;紧跟着神隐者，找到地宫入口&lt;/n&gt;</t>
    <phoneticPr fontId="6" type="noConversion"/>
  </si>
  <si>
    <t>[107级]守卫地宫</t>
    <phoneticPr fontId="6" type="noConversion"/>
  </si>
  <si>
    <t>title( [107级]守卫地宫)
body(hotyellow_3(任务进程:)newline()
   击杀goto(10058,8)后，去找goto(638,8)。
blankline()hotyellow_3(任务描述:)newline() 
  魔法法师是陛下派来守卫地宫的，可最近他们有些失控！)</t>
    <phoneticPr fontId="6" type="noConversion"/>
  </si>
  <si>
    <t>body(   魔法法师是陛下派来守卫地宫的，可最近他们有些失控！)</t>
    <phoneticPr fontId="6" type="noConversion"/>
  </si>
  <si>
    <t>body(   禀告将军，地宫是陛下作法的地方，每次只带几个巫师进入！)</t>
    <phoneticPr fontId="6" type="noConversion"/>
  </si>
  <si>
    <t>&lt;n effect=4 font=2 color=White scolor=Turp&gt;对付魔法法师要格外小心&lt;/n&gt;</t>
    <phoneticPr fontId="6" type="noConversion"/>
  </si>
  <si>
    <t>[107级]哀嚎</t>
    <phoneticPr fontId="6" type="noConversion"/>
  </si>
  <si>
    <t>body(   本尊从未见过此阵，请给我点时间！)</t>
    <phoneticPr fontId="6" type="noConversion"/>
  </si>
  <si>
    <t>body(   在我潜心研究阵法时，请将军为我抵挡那边的魔法法师的滋扰！)</t>
    <phoneticPr fontId="6" type="noConversion"/>
  </si>
  <si>
    <t>body(   此阵我已有破解之法！)</t>
    <phoneticPr fontId="6" type="noConversion"/>
  </si>
  <si>
    <t>&lt;n effect=4 font=2 color=White scolor=Turp&gt;又打那货，很危险耶&lt;/n&gt;</t>
    <phoneticPr fontId="6" type="noConversion"/>
  </si>
  <si>
    <t>[108级]破阵之法</t>
    <phoneticPr fontId="6" type="noConversion"/>
  </si>
  <si>
    <t>title( [108级]破阵之法)
body(hotyellow_3(任务进程:)newline()
   去找goto(637,8)。
blankline()hotyellow_3(任务描述:)newline() 
  我虽已有破阵之法，但需会隐身之术才行！)</t>
    <phoneticPr fontId="6" type="noConversion"/>
  </si>
  <si>
    <t>body(   我虽已有破阵之法，但需会隐身之术才行！)</t>
    <phoneticPr fontId="6" type="noConversion"/>
  </si>
  <si>
    <t>body(   想学隐身术？那可是我的看家本领呢！)</t>
    <phoneticPr fontId="6" type="noConversion"/>
  </si>
  <si>
    <t>&lt;n effect=4 font=2 color=White scolor=Turp&gt;不知神隐者是否肯传授此术&lt;/n&gt;</t>
    <phoneticPr fontId="6" type="noConversion"/>
  </si>
  <si>
    <t>[109级]玄冥营</t>
    <phoneticPr fontId="6" type="noConversion"/>
  </si>
  <si>
    <t>body(   先前隐身者前来，已传我隐身术！)</t>
    <phoneticPr fontId="6" type="noConversion"/>
  </si>
  <si>
    <t>&lt;n effect=4 font=2 color=White scolor=Turp&gt;远处玄冥营的那些家伙好恐怖&lt;/n&gt;</t>
    <phoneticPr fontId="6" type="noConversion"/>
  </si>
  <si>
    <t>[109级]百年晨露</t>
    <phoneticPr fontId="6" type="noConversion"/>
  </si>
  <si>
    <t>body(   获得破阵之法了吗？)</t>
    <phoneticPr fontId="6" type="noConversion"/>
  </si>
  <si>
    <t>&lt;n effect=4 font=2 color=White scolor=Turp&gt;百年晨露长啥样呢&lt;/n&gt;</t>
    <phoneticPr fontId="6" type="noConversion"/>
  </si>
  <si>
    <t>[110级]药坛寻露</t>
    <phoneticPr fontId="6" type="noConversion"/>
  </si>
  <si>
    <t>title( [110级]药坛寻露)
body(hotyellow_3(任务进程:)newline()
   收集goto(2058,8)后，去找goto(638,8)。
blankline()hotyellow_3(任务描述:)newline() 
  那边的药坛是陛下用来装晨露的，将军可去查看下是否有剩余！)</t>
    <phoneticPr fontId="6" type="noConversion"/>
  </si>
  <si>
    <t>body(   那边的药坛是陛下用来装晨露的，将军可去查看下是否有剩余！)</t>
    <phoneticPr fontId="6" type="noConversion"/>
  </si>
  <si>
    <t>body(   果然找到了，太好了！)</t>
    <phoneticPr fontId="6" type="noConversion"/>
  </si>
  <si>
    <t>&lt;n effect=4 font=2 color=White scolor=Turp&gt;药坛传来恶心的药味&lt;/n&gt;</t>
    <phoneticPr fontId="6" type="noConversion"/>
  </si>
  <si>
    <t>[110级]万事俱备</t>
    <phoneticPr fontId="6" type="noConversion"/>
  </si>
  <si>
    <t>body(   破阵需耗时七天七夜，本尊这就去！)</t>
    <phoneticPr fontId="6" type="noConversion"/>
  </si>
  <si>
    <t>[111级]忠臣</t>
    <phoneticPr fontId="6" type="noConversion"/>
  </si>
  <si>
    <t>title( [111级]忠臣)
body(hotyellow_3(任务进程:)newline()
   击杀goto(10059,8)后，去找goto(640,8)。
blankline()hotyellow_3(任务描述:)newline() 
  本朝御史是一代忠臣，可水匪军师正将其围困，将军快去解救他吧！)</t>
    <phoneticPr fontId="6" type="noConversion"/>
  </si>
  <si>
    <t>body(   本朝御史是一代忠臣，可水匪军师正将其围困，将军快去解救他吧！)</t>
    <phoneticPr fontId="6" type="noConversion"/>
  </si>
  <si>
    <t>body(   孔曰成仁，孟曰取义，为臣者需忠君爱国！)</t>
    <phoneticPr fontId="6" type="noConversion"/>
  </si>
  <si>
    <t>&lt;n effect=4 font=2 color=White scolor=Turp&gt;水匪军师不是献帝部下么~为何要&lt;/n&gt;</t>
    <phoneticPr fontId="6" type="noConversion"/>
  </si>
  <si>
    <t>[111级]杀身之祸</t>
    <phoneticPr fontId="6" type="noConversion"/>
  </si>
  <si>
    <t>title( [111级]杀身之祸)
body(hotyellow_3(任务进程:)newline()
   去找goto(640,8)。
blankline()hotyellow_3(任务描述:)newline() 
  陛下整日设坛作法，不理朝政，下官进言却惹杀身之祸！)</t>
    <phoneticPr fontId="6" type="noConversion"/>
  </si>
  <si>
    <t>body(   陛下整日设坛作法，不理朝政，下官进言却惹杀身之祸！)</t>
    <phoneticPr fontId="6" type="noConversion"/>
  </si>
  <si>
    <t>body(   唉~本官无愧于陛下，竟遭如此境遇！)</t>
    <phoneticPr fontId="6" type="noConversion"/>
  </si>
  <si>
    <t>&lt;n effect=4 font=2 color=White scolor=Turp&gt;献帝生性善良，为何要残害忠良&lt;/n&gt;</t>
    <phoneticPr fontId="6" type="noConversion"/>
  </si>
  <si>
    <t>[112级]大刀土匪</t>
    <phoneticPr fontId="6" type="noConversion"/>
  </si>
  <si>
    <t>title( [112级]大刀土匪)
body(hotyellow_3(任务进程:)newline()
   击杀goto(10060,8)后，去找goto(640,8)。
blankline()hotyellow_3(任务描述:)newline() 
  下官听闻城外时常有手持大刀的土匪，袭击路人！)</t>
    <phoneticPr fontId="6" type="noConversion"/>
  </si>
  <si>
    <t>body(   下官听闻城外时常有手持大刀的土匪，袭击路人！)</t>
    <phoneticPr fontId="6" type="noConversion"/>
  </si>
  <si>
    <t>body(   将军真乃神将也，我定会奏明陛下！)</t>
    <phoneticPr fontId="6" type="noConversion"/>
  </si>
  <si>
    <t>&lt;n effect=4 font=2 color=White scolor=Turp&gt;无论如何，先去驱赶土匪吧&lt;/n&gt;</t>
    <phoneticPr fontId="6" type="noConversion"/>
  </si>
  <si>
    <t>[112级]匪情严重</t>
    <phoneticPr fontId="6" type="noConversion"/>
  </si>
  <si>
    <t>title( [112级]匪情严重)
body(hotyellow_3(任务进程:)newline()
   去找goto(631,8)。
blankline()hotyellow_3(任务描述:)newline() 
  各门守卫奏报，城外匪情严重，作乱危害百姓，将军可先去北门看看！)</t>
    <phoneticPr fontId="6" type="noConversion"/>
  </si>
  <si>
    <t>body(   各门守卫奏报，城外匪情严重，作乱危害百姓，将军可先去北门看看！)</t>
    <phoneticPr fontId="6" type="noConversion"/>
  </si>
  <si>
    <t>body(   匪情严重，陛下却坐视不理！)</t>
    <phoneticPr fontId="6" type="noConversion"/>
  </si>
  <si>
    <t>&lt;n effect=4 font=2 color=White scolor=Turp&gt;找北门守卫询问下匪情&lt;/n&gt;</t>
    <phoneticPr fontId="6" type="noConversion"/>
  </si>
  <si>
    <t>[113级]剿匪</t>
    <phoneticPr fontId="6" type="noConversion"/>
  </si>
  <si>
    <t>title( [113级]剿匪)
body(hotyellow_3(任务进程:)newline()
   击杀goto(10060,8)后，去找goto(631,8)。
blankline()hotyellow_3(任务描述:)newline() 
  请将军去剿灭匪徒，但一定要小心！)</t>
    <phoneticPr fontId="6" type="noConversion"/>
  </si>
  <si>
    <t>body(   请将军去剿灭匪徒，但一定要小心！)</t>
    <phoneticPr fontId="6" type="noConversion"/>
  </si>
  <si>
    <t>body(   多谢将军，北门的匪情已暂时缓解！)</t>
    <phoneticPr fontId="6" type="noConversion"/>
  </si>
  <si>
    <t>&lt;n effect=4 font=2 color=White scolor=Turp&gt;别以为提着大刀就能当土匪&lt;/n&gt;</t>
    <phoneticPr fontId="6" type="noConversion"/>
  </si>
  <si>
    <t>[113级]东门告急</t>
    <phoneticPr fontId="6" type="noConversion"/>
  </si>
  <si>
    <t>title( [113级]东门告急)
body(hotyellow_3(任务进程:)newline()
   去找goto(632,8)。
blankline()hotyellow_3(任务描述:)newline() 
  土匪都逃窜到东面去了！)</t>
    <phoneticPr fontId="6" type="noConversion"/>
  </si>
  <si>
    <t>body(   土匪都逃窜到东面去了！)</t>
    <phoneticPr fontId="6" type="noConversion"/>
  </si>
  <si>
    <t>body(   乱世之秋幸得将军之力，百姓之福！)</t>
    <phoneticPr fontId="6" type="noConversion"/>
  </si>
  <si>
    <t>&lt;n effect=4 font=2 color=White scolor=Turp&gt;火速赶到东门，与守卫合力抗匪&lt;/n&gt;</t>
    <phoneticPr fontId="6" type="noConversion"/>
  </si>
  <si>
    <t>[114级]东门土匪</t>
    <phoneticPr fontId="6" type="noConversion"/>
  </si>
  <si>
    <t>body(   请将军先去把城门外土匪驱赶一下吧！)</t>
    <phoneticPr fontId="6" type="noConversion"/>
  </si>
  <si>
    <t>body(   听闻这群土匪在研制攻城武器！)</t>
    <phoneticPr fontId="6" type="noConversion"/>
  </si>
  <si>
    <t>&lt;n effect=4 font=2 color=White scolor=Turp&gt;为何匪情如此严重&lt;/n&gt;</t>
    <phoneticPr fontId="6" type="noConversion"/>
  </si>
  <si>
    <t>[114级]攻城</t>
    <phoneticPr fontId="6" type="noConversion"/>
  </si>
  <si>
    <t>title( [114级]攻城)
body(hotyellow_3(任务进程:)newline()
   去找goto(629,8)。
blankline()hotyellow_3(任务描述:)newline() 
  南门的守卫最为薄弱，土匪如若攻城定从那里下手！)</t>
    <phoneticPr fontId="6" type="noConversion"/>
  </si>
  <si>
    <t>body(   南门的守卫最为薄弱，土匪如若攻城定从那里下手！)</t>
    <phoneticPr fontId="6" type="noConversion"/>
  </si>
  <si>
    <t>body(   此处城墙年久失修！)</t>
    <phoneticPr fontId="6" type="noConversion"/>
  </si>
  <si>
    <t>[115级]天外飞石</t>
    <phoneticPr fontId="6" type="noConversion"/>
  </si>
  <si>
    <t>body(   听闻不远处有块巨大的天外飞石，用此石修补城墙，定当坚固无比！)</t>
    <phoneticPr fontId="6" type="noConversion"/>
  </si>
  <si>
    <t>&lt;n effect=4 font=2 color=White scolor=Turp&gt;找寻天外飞石的下落&lt;/n&gt;</t>
    <phoneticPr fontId="6" type="noConversion"/>
  </si>
  <si>
    <t>哭泣的小女孩</t>
    <phoneticPr fontId="14" type="noConversion"/>
  </si>
  <si>
    <t>仙姑</t>
    <phoneticPr fontId="14" type="noConversion"/>
  </si>
  <si>
    <t>title( [107级]哀嚎)
body(hotyellow_3(任务进程:)newline()
   去找goto(639,8)。
blankline()hotyellow_3(任务描述:)newline() 
  地宫深处时常传出凄凉的哀嚎，真相一探究竟，可门口有符文阵，听闻附近的仙姑法力无边！)</t>
    <phoneticPr fontId="6" type="noConversion"/>
  </si>
  <si>
    <t>body(   地宫深处时常传出凄凉的哀嚎，真相一探究竟，可门口有符文阵，听闻附近的仙姑法力无边！)</t>
    <phoneticPr fontId="6" type="noConversion"/>
  </si>
  <si>
    <t>&lt;n effect=4 font=2 color=White scolor=Turp&gt;仙姑一定貌若天仙&lt;/n&gt;</t>
    <phoneticPr fontId="6" type="noConversion"/>
  </si>
  <si>
    <t>[108级]仙姑</t>
    <phoneticPr fontId="6" type="noConversion"/>
  </si>
  <si>
    <t>title( [108级]仙姑)
body(hotyellow_3(任务进程:)newline()
   击杀goto(10058,8)后，去找goto(639,8)。
blankline()hotyellow_3(任务描述:)newline() 
  在我潜心研究阵法时，请将军为我抵挡那边的魔法法师的滋扰！)</t>
    <phoneticPr fontId="6" type="noConversion"/>
  </si>
  <si>
    <t>title( [109级]玄冥营)
body(hotyellow_3(任务进程:)newline()
   击杀goto(10059,8)后，去找goto(639,8)。
blankline()hotyellow_3(任务描述:)newline() 
  听闻献帝又派了玄冥营水匪军师前来，将军快去阻挡一下，然后与仙姑会合！)</t>
    <phoneticPr fontId="6" type="noConversion"/>
  </si>
  <si>
    <t>body(   听闻献帝又派了玄冥营水匪军师前来，将军快去阻挡一下，然后与仙姑会合！)</t>
    <phoneticPr fontId="6" type="noConversion"/>
  </si>
  <si>
    <t>body(   我们已经得到百年陈露，快请仙姑来破阵吧！)</t>
    <phoneticPr fontId="6" type="noConversion"/>
  </si>
  <si>
    <t>title( [110级]万事俱备)
body(hotyellow_3(任务进程:)newline()
   去找goto(639,8)。
blankline()hotyellow_3(任务描述:)newline() 
  我们已经得到百年陈露，快请仙姑来破阵吧！)</t>
    <phoneticPr fontId="6" type="noConversion"/>
  </si>
  <si>
    <t>&lt;n effect=4 font=2 color=White scolor=Turp&gt;万事俱备，只等仙姑&lt;/n&gt;</t>
    <phoneticPr fontId="6" type="noConversion"/>
  </si>
  <si>
    <t>[115级]丐帮</t>
    <phoneticPr fontId="6" type="noConversion"/>
  </si>
  <si>
    <t>[116级]妖花</t>
    <phoneticPr fontId="6" type="noConversion"/>
  </si>
  <si>
    <t>title( [114级]东门土匪)
body(hotyellow_3(任务进程:)newline()
   击杀goto(10060,8)后，去找goto(632,8)。
blankline()hotyellow_3(任务描述:)newline() 
  请将军先去把城门外土匪驱赶一下吧！)</t>
    <phoneticPr fontId="6" type="noConversion"/>
  </si>
  <si>
    <t>body(   城墙已经加固，土匪再也攻不进来了！)</t>
    <phoneticPr fontId="6" type="noConversion"/>
  </si>
  <si>
    <t>title( [115级]丐帮)
body(hotyellow_3(任务进程:)newline()
   去找goto(633,8)。
blankline()hotyellow_3(任务描述:)newline() 
  陛下要召见将军，使者已经在客栈等候，请~请小心！)</t>
    <phoneticPr fontId="6" type="noConversion"/>
  </si>
  <si>
    <t>body(   陛下要召见将军，使者已经在客栈等候，请~请小心！)</t>
    <phoneticPr fontId="6" type="noConversion"/>
  </si>
  <si>
    <t>body(   我要把乞丐都团结起来，组成个帮派，取名丐帮！)</t>
    <phoneticPr fontId="6" type="noConversion"/>
  </si>
  <si>
    <t>&lt;n effect=4 font=2 color=White scolor=Turp&gt;觐见陛下为何要小心，找老乞丐问问&lt;/n&gt;</t>
    <phoneticPr fontId="6" type="noConversion"/>
  </si>
  <si>
    <t>body(   帮中兄弟打探到，陛下召见可能要对将军不利！)</t>
    <phoneticPr fontId="6" type="noConversion"/>
  </si>
  <si>
    <t>&lt;n effect=4 font=2 color=White scolor=Turp&gt;乱世之秋，妖魔四起，必诛之&lt;/n&gt;</t>
    <phoneticPr fontId="6" type="noConversion"/>
  </si>
  <si>
    <t>body(   听闻地宫之阵已破除，将军可去一探究竟！)</t>
    <phoneticPr fontId="6" type="noConversion"/>
  </si>
  <si>
    <t>body(   将军~您来了，阵法已破！)</t>
    <phoneticPr fontId="6" type="noConversion"/>
  </si>
  <si>
    <t>&lt;n effect=4 font=2 color=White scolor=Turp&gt;地宫中一定有许多宝藏吧&lt;/n&gt;</t>
    <phoneticPr fontId="6" type="noConversion"/>
  </si>
  <si>
    <t>[117级]袭击</t>
    <phoneticPr fontId="6" type="noConversion"/>
  </si>
  <si>
    <t>[117级]对策</t>
    <phoneticPr fontId="6" type="noConversion"/>
  </si>
  <si>
    <t>body(   陛下很快会知道此事，将军速去与仙姑商议对策！)</t>
    <phoneticPr fontId="6" type="noConversion"/>
  </si>
  <si>
    <t>body(   什么？这些原来都是献帝所为！)</t>
    <phoneticPr fontId="6" type="noConversion"/>
  </si>
  <si>
    <t>&lt;n effect=4 font=2 color=White scolor=Turp&gt;献帝为何要残害自己的百姓&lt;/n&gt;</t>
    <phoneticPr fontId="6" type="noConversion"/>
  </si>
  <si>
    <t>title( [117级]对策)
body(hotyellow_3(任务进程:)newline()
   去找goto(639,8)。
blankline()hotyellow_3(任务描述:)newline() 
  陛下很快会知道此事，将军速去与仙姑商议对策！)</t>
    <phoneticPr fontId="6" type="noConversion"/>
  </si>
  <si>
    <t>[118级]符人</t>
    <phoneticPr fontId="6" type="noConversion"/>
  </si>
  <si>
    <t>[116级]地宫的秘密</t>
    <phoneticPr fontId="6" type="noConversion"/>
  </si>
  <si>
    <t>title( [116级]地宫的秘密)
body(hotyellow_3(任务进程:)newline()
   去找goto(638,8)。
blankline()hotyellow_3(任务描述:)newline() 
  听闻地宫之阵已破除，将军可去一探究竟！)</t>
    <phoneticPr fontId="6" type="noConversion"/>
  </si>
  <si>
    <t>title( [118级]符人)
body(hotyellow_3(任务进程:)newline()
   击杀goto(10062,8)后，去找goto(639,8)。
blankline()hotyellow_3(任务描述:)newline() 
  看来陛下已得知地宫的秘密泄露，符人已杀到！)</t>
    <phoneticPr fontId="6" type="noConversion"/>
  </si>
  <si>
    <t>body(   看来陛下已得知地宫的秘密泄露，符人已杀到！)</t>
    <phoneticPr fontId="6" type="noConversion"/>
  </si>
  <si>
    <t>&lt;n effect=4 font=2 color=White scolor=Turp&gt;消灭那群脸缠符文的家伙&lt;/n&gt;</t>
    <phoneticPr fontId="6" type="noConversion"/>
  </si>
  <si>
    <t>[118级]弱点</t>
    <phoneticPr fontId="6" type="noConversion"/>
  </si>
  <si>
    <t>title( [118级]弱点)
body(hotyellow_3(任务进程:)newline()
   去找goto(634,8)。
blankline()hotyellow_3(任务描述:)newline() 
  妖魔虽凶残，但一定有弱点，找到弱点应该很好对付！)</t>
    <phoneticPr fontId="6" type="noConversion"/>
  </si>
  <si>
    <t>body(   妖魔虽凶残，但一定有弱点，找到弱点应该很好对付！)</t>
    <phoneticPr fontId="6" type="noConversion"/>
  </si>
  <si>
    <t>body(   多谢将军，为我找到女儿！)</t>
    <phoneticPr fontId="6" type="noConversion"/>
  </si>
  <si>
    <t>body(   看来它们是得知了破阵之事！)</t>
    <phoneticPr fontId="6" type="noConversion"/>
  </si>
  <si>
    <t>&lt;n effect=4 font=2 color=White scolor=Turp&gt;那头困兽应该就是陛下造就，去找它吧&lt;/n&gt;</t>
    <phoneticPr fontId="6" type="noConversion"/>
  </si>
  <si>
    <t>[119级]符人再袭</t>
    <phoneticPr fontId="6" type="noConversion"/>
  </si>
  <si>
    <t>title( [119级]符人再袭)
body(hotyellow_3(任务进程:)newline()
   击杀goto(10062,8)后，去找goto(634,8)。
blankline()hotyellow_3(任务描述:)newline() 
  不好了，符人已经追来了~！)</t>
    <phoneticPr fontId="6" type="noConversion"/>
  </si>
  <si>
    <t>body(   不好了，符人已经追来了~！)</t>
    <phoneticPr fontId="6" type="noConversion"/>
  </si>
  <si>
    <t>body(   弱点~我的弱点究竟是何物呢！)</t>
    <phoneticPr fontId="6" type="noConversion"/>
  </si>
  <si>
    <t>&lt;n effect=4 font=2 color=White scolor=Turp&gt;缠人的符人，这次一定要彻底消灭&lt;/n&gt;</t>
    <phoneticPr fontId="6" type="noConversion"/>
  </si>
  <si>
    <t>仙姑</t>
    <phoneticPr fontId="14" type="noConversion"/>
  </si>
  <si>
    <t>[119级]火焰</t>
    <phoneticPr fontId="6" type="noConversion"/>
  </si>
  <si>
    <t>body(   我想起来了，变成这般模样后就十分害怕火焰！)</t>
    <phoneticPr fontId="6" type="noConversion"/>
  </si>
  <si>
    <t>body(   火焰？想必普通的火焰应该无法彻底消灭那些妖魔！)</t>
    <phoneticPr fontId="6" type="noConversion"/>
  </si>
  <si>
    <t>&lt;n effect=4 font=2 color=White scolor=Turp&gt;居然是火焰，快把此时告知仙姑&lt;/n&gt;</t>
    <phoneticPr fontId="6" type="noConversion"/>
  </si>
  <si>
    <t>[120级]三昧真火</t>
    <phoneticPr fontId="6" type="noConversion"/>
  </si>
  <si>
    <t>title( [115级]天外飞石)
body(hotyellow_3(任务进程:)newline()
   收集goto(2059,8)后，去找goto(629,8)。
blankline()hotyellow_3(任务描述:)newline() 
  听闻不远处有块巨大的天外飞石，用此石修补城墙，定当坚固无比！)</t>
    <phoneticPr fontId="6" type="noConversion"/>
  </si>
  <si>
    <t>title( [120级]三昧真火)
body(hotyellow_3(任务进程:)newline()
   收集goto(2060,8)后，去找goto(639,8)。
blankline()hotyellow_3(任务描述:)newline() 
  北方深处有团上古天神流落人间的三昧真火，将军可去搜寻下！)</t>
    <phoneticPr fontId="6" type="noConversion"/>
  </si>
  <si>
    <t>body(   北方深处有团上古天神流落人间的三昧真火，将军可去搜寻下！)</t>
    <phoneticPr fontId="6" type="noConversion"/>
  </si>
  <si>
    <t>body(   有了三昧真火，一定能彻底清除这群妖魔！)</t>
    <phoneticPr fontId="6" type="noConversion"/>
  </si>
  <si>
    <t>&lt;n effect=4 font=2 color=White scolor=Turp&gt;北方远处传来紫红色火光&lt;/n&gt;</t>
    <phoneticPr fontId="6" type="noConversion"/>
  </si>
  <si>
    <t>客栈老板</t>
    <phoneticPr fontId="14" type="noConversion"/>
  </si>
  <si>
    <t>title( [120级]觐见献帝)
body(hotyellow_3(任务进程:)newline()
   去找goto(628,8)。
blankline()hotyellow_3(任务描述:)newline() 
  将军先回客栈吧，但觐见献帝时一定要小心啊！)</t>
    <phoneticPr fontId="6" type="noConversion"/>
  </si>
  <si>
    <t>body(   将军先回客栈吧，但觐见献帝时一定要小心啊！)</t>
    <phoneticPr fontId="6" type="noConversion"/>
  </si>
  <si>
    <t>body(   将军终于回来啦，陛下派的使者等候多时了！)</t>
    <phoneticPr fontId="6" type="noConversion"/>
  </si>
  <si>
    <t>&lt;n effect=4 font=2 color=White scolor=Turp&gt;终于要见到献帝了&lt;/n&gt;</t>
    <phoneticPr fontId="6" type="noConversion"/>
  </si>
  <si>
    <t>&lt;p&gt;
&lt;n&gt;  找：&lt;/n&gt;
 &lt;n&gt; &lt;/n&gt;&lt;goto quick="1" id="639" mapid="8" flagpoint="1" taskid="8059" /&gt;
&lt;/p&gt;</t>
    <phoneticPr fontId="6" type="noConversion"/>
  </si>
  <si>
    <t>&lt;p&gt;
&lt;n&gt;  找：&lt;/n&gt;
 &lt;n&gt; &lt;/n&gt;&lt;goto quick="1" id="628" mapid="8" flagpoint="1" taskid="8061" /&gt;
&lt;/p&gt;</t>
    <phoneticPr fontId="6" type="noConversion"/>
  </si>
  <si>
    <t>[120级]觐见献帝</t>
    <phoneticPr fontId="6" type="noConversion"/>
  </si>
  <si>
    <t>&lt;n effect=4 font=2 color=White scolor=Turp&gt;先替乞丐消灭附近的魔物&lt;/n&gt;</t>
    <phoneticPr fontId="6" type="noConversion"/>
  </si>
  <si>
    <t>title( [94级]遇袭)
body(hotyellow_3(任务进程:)newline()
   击杀goto(10036,8)后，去找goto(627,8)。
blankline()hotyellow_3(任务描述:)newline() 
  南门外大量魔物正在袭击入城的人，听说包打听也被困在那里！)</t>
    <phoneticPr fontId="6" type="noConversion"/>
  </si>
  <si>
    <t>body(   南门外大量魔物正在袭击入城的人，听说包打听也被困在那里！)</t>
    <phoneticPr fontId="6" type="noConversion"/>
  </si>
  <si>
    <t>&lt;n effect=4 font=2 color=White scolor=Turp&gt;先到南门找守卫唠唠嗑吧&lt;/n&gt;</t>
    <phoneticPr fontId="6" type="noConversion"/>
  </si>
  <si>
    <t>body(   那些胖胖的毒怪十分讨厌，时常袭击出城的人，请去消灭它们！)</t>
    <phoneticPr fontId="6" type="noConversion"/>
  </si>
  <si>
    <t>title( [95级]再次遇袭)
body(hotyellow_3(任务进程:)newline()
   击杀goto(10036,8)后，去找goto(630,8)。
blankline()hotyellow_3(任务描述:)newline() 
  那些胖胖的毒怪十分讨厌，时常袭击出城的人，请去消灭它们！)</t>
    <phoneticPr fontId="6" type="noConversion"/>
  </si>
  <si>
    <t>&lt;n effect=4 font=2 color=White scolor=Turp&gt;先把毒怪消灭了再说&lt;/n&gt;</t>
    <phoneticPr fontId="6" type="noConversion"/>
  </si>
  <si>
    <t>body(   我听闻最近皇宫内巫师设坛作法！)</t>
    <phoneticPr fontId="6" type="noConversion"/>
  </si>
  <si>
    <t>title( [96级]池中莲花)
body(hotyellow_3(任务进程:)newline()
   收集goto(2055,8)后，去找goto(635,8)。
blankline()hotyellow_3(任务描述:)newline() 
  想从我这里打探宫内作法之事，先替我办几件事，首先去城南池中摘朵莲花来。)</t>
    <phoneticPr fontId="6" type="noConversion"/>
  </si>
  <si>
    <t>body(   想从我这里打探宫内作法之事，先替我办几件事，首先去城南池中摘朵莲花来。)</t>
    <phoneticPr fontId="6" type="noConversion"/>
  </si>
  <si>
    <t>&lt;n effect=4 font=2 color=White scolor=Turp&gt;刚教训巫毒胖似乎看到边上有池塘&lt;/n&gt;</t>
    <phoneticPr fontId="6" type="noConversion"/>
  </si>
  <si>
    <t>body(   你~你是谁，我~我是谁，他~他是谁！)</t>
    <phoneticPr fontId="6" type="noConversion"/>
  </si>
  <si>
    <t>title( [98级]困惑)
body(hotyellow_3(任务进程:)newline()
   去找goto(627,8)。
blankline()hotyellow_3(任务描述:)newline() 
  你~你是谁，我~我是谁，他~他是谁！)</t>
    <phoneticPr fontId="6" type="noConversion"/>
  </si>
  <si>
    <t>body(   什么~你遇到会说话的猛兽，那你有遇到看守它的炼狱使者吗？)</t>
    <phoneticPr fontId="6" type="noConversion"/>
  </si>
  <si>
    <t>body(   炼狱使者最讨厌那些树人，为表诚意去教训些树人再去找他追问困兽之事！)</t>
    <phoneticPr fontId="6" type="noConversion"/>
  </si>
  <si>
    <t>[99级]诚意</t>
    <phoneticPr fontId="6" type="noConversion"/>
  </si>
  <si>
    <t>title( [99级]诚意)
body(hotyellow_3(任务进程:)newline()
   击杀goto(10037,8)后，去找goto(635,8)。
blankline()hotyellow_3(任务描述:)newline() 
  炼狱使者最讨厌那些树人，为表诚意去教训些树人再去找他追问困兽之事！)</t>
    <phoneticPr fontId="6" type="noConversion"/>
  </si>
  <si>
    <t>&lt;n effect=4 font=2 color=White scolor=Turp&gt;困兽或许与小姑娘爹爹失踪有关&lt;/n&gt;</t>
    <phoneticPr fontId="6" type="noConversion"/>
  </si>
  <si>
    <t>body(   我的女~儿啊，女~儿！)</t>
    <phoneticPr fontId="6" type="noConversion"/>
  </si>
  <si>
    <t>body(   不能让这群火人再危害周围百姓了！)</t>
    <phoneticPr fontId="6" type="noConversion"/>
  </si>
  <si>
    <t>body(   将军英勇~请去东门找守卫，他有事相求！)</t>
    <phoneticPr fontId="6" type="noConversion"/>
  </si>
  <si>
    <t>title( [102级]请求)
body(hotyellow_3(任务进程:)newline()
   去找goto(632,8)。
blankline()hotyellow_3(任务描述:)newline() 
  将军英勇~请去东门找守卫，他有事相求！)</t>
    <phoneticPr fontId="6" type="noConversion"/>
  </si>
  <si>
    <t>title( [104级]还敢再来)
body(hotyellow_3(任务进程:)newline()
   击杀goto(10057,8)后，去找goto(628,8)。
blankline()hotyellow_3(任务描述:)newline() 
  最近城内百姓一直遭到城外带火的女弓箭手袭击！)</t>
    <phoneticPr fontId="6" type="noConversion"/>
  </si>
  <si>
    <t>body(   最近城内百姓一直遭到城外带火的女弓箭手袭击！)</t>
    <phoneticPr fontId="6" type="noConversion"/>
  </si>
  <si>
    <t>&lt;n effect=4 font=2 color=White scolor=Turp&gt;不管小道大道，还是先看看是什么消息&lt;/n&gt;</t>
    <phoneticPr fontId="6" type="noConversion"/>
  </si>
  <si>
    <t>title( [105级]酒桶)
body(hotyellow_3(任务进程:)newline()
   收集goto(2057,8)后，去找goto(627,8)。
blankline()hotyellow_3(任务描述:)newline() 
  每次巫师在宫内作法，都会带大量的酒桶，去调查下应该有收获！)</t>
    <phoneticPr fontId="6" type="noConversion"/>
  </si>
  <si>
    <t>body(   每次巫师在宫内作法，都会带大量的酒桶，去调查下应该有收获！)</t>
    <phoneticPr fontId="6" type="noConversion"/>
  </si>
  <si>
    <t>title( [105级]神隐者)
body(hotyellow_3(任务进程:)newline()
   去找goto(637,8)。
blankline()hotyellow_3(任务描述:)newline() 
  城外有位神隐者，会隐身之术，听说他在巫师作法时偷偷潜入过皇宫！)</t>
    <phoneticPr fontId="6" type="noConversion"/>
  </si>
  <si>
    <t>body(   城外有位神隐者，会隐身之术，听说他在巫师作法时偷偷潜入过皇宫！)</t>
    <phoneticPr fontId="6" type="noConversion"/>
  </si>
  <si>
    <t>body(   什么~为何您能找到这里！)</t>
    <phoneticPr fontId="6" type="noConversion"/>
  </si>
  <si>
    <t>body(   破阵之后还需百年晨露才能开启大门，但十分稀有，询问地宫侍从如何获得！)</t>
    <phoneticPr fontId="6" type="noConversion"/>
  </si>
  <si>
    <t>title( [109级]百年晨露)
body(hotyellow_3(任务进程:)newline()
   去找goto(638,8)。
blankline()hotyellow_3(任务描述:)newline() 
  破阵之后还需百年晨露才能开启大门，但十分稀有，询问地宫侍从如何获得！)</t>
    <phoneticPr fontId="6" type="noConversion"/>
  </si>
  <si>
    <t>&lt;n effect=4 font=2 color=White scolor=Turp&gt;南边的城墙竟如此破旧&lt;/n&gt;</t>
    <phoneticPr fontId="6" type="noConversion"/>
  </si>
  <si>
    <t>title( [116级]妖花)
body(hotyellow_3(任务进程:)newline()
   击杀goto(10061,8)后，去找goto(633,8)。
blankline()hotyellow_3(任务描述:)newline() 
  帮中兄弟发现北面出现人形面容的妖花，十分恐怖！)</t>
    <phoneticPr fontId="6" type="noConversion"/>
  </si>
  <si>
    <t>body(   帮中兄弟发现北面出现人形面容的妖花，十分恐怖！)</t>
    <phoneticPr fontId="6" type="noConversion"/>
  </si>
  <si>
    <t>body(   妖魔四起，原来都是陛下作法所为~不好了，妖花朝这边袭来！)</t>
    <phoneticPr fontId="6" type="noConversion"/>
  </si>
  <si>
    <t>title( [117级]袭击)
body(hotyellow_3(任务进程:)newline()
   击杀goto(10061,8)后，去找goto(638,8)。
blankline()hotyellow_3(任务描述:)newline() 
  妖魔四起，原来都是陛下作法所为~不好了，妖花朝这边袭来！)</t>
    <phoneticPr fontId="6" type="noConversion"/>
  </si>
  <si>
    <t>&lt;n effect=4 font=2 color=White scolor=Turp&gt;丑陋的妖花，让本将军来消灭你们&lt;/n&gt;</t>
    <phoneticPr fontId="6" type="noConversion"/>
  </si>
  <si>
    <t>body(   将军虽然英勇，但敌众我寡~该如何是好！)</t>
    <phoneticPr fontId="6" type="noConversion"/>
  </si>
  <si>
    <t>title( [119级]火焰)
body(hotyellow_3(任务进程:)newline()
   去找goto(639,8)。
blankline()hotyellow_3(任务描述:)newline() 
  我想起来了，变成这般模样后就十分害怕火焰！)</t>
    <phoneticPr fontId="6" type="noConversion"/>
  </si>
  <si>
    <t>&lt;p&gt;
&lt;n&gt;  交：&lt;/n&gt;
 &lt;n&gt; &lt;/n&gt;&lt;goto quick="1" id="639" mapid="8" flagpoint="1" taskid="8059"/&gt;&lt;/p&gt;</t>
    <phoneticPr fontId="6" type="noConversion"/>
  </si>
  <si>
    <t>&lt;p&gt;
&lt;n&gt;  交：&lt;/n&gt;
 &lt;n&gt; &lt;/n&gt;&lt;goto quick="1" id="639" mapid="8" flagpoint="1" taskid="8060"/&gt;&lt;/p&gt;</t>
    <phoneticPr fontId="6" type="noConversion"/>
  </si>
  <si>
    <t>&lt;p&gt;
&lt;n&gt;  交：&lt;/n&gt;
 &lt;n&gt; &lt;/n&gt;&lt;goto quick="1" id="628" mapid="8" flagpoint="1" taskid="8061"/&gt;&lt;/p&gt;</t>
    <phoneticPr fontId="6" type="noConversion"/>
  </si>
  <si>
    <t>&lt;n effect=4 font=2 color=White scolor=Turp&gt;用儿歌三百首让人们冷静一下&lt;/n&gt;</t>
    <phoneticPr fontId="14" type="noConversion"/>
  </si>
  <si>
    <t>[25级]冷静一下</t>
    <phoneticPr fontId="6" type="noConversion"/>
  </si>
  <si>
    <t>body(   哎，这些水草是人们的愤怒。)</t>
    <phoneticPr fontId="6" type="noConversion"/>
  </si>
  <si>
    <t>title( [25级]冷静一下)
body(hotyellow_3(任务进程:)newline()
   收集3份goto(2007,2)后，回复goto(500,2)。
blankline()hotyellow_3(任务描述:)newline() 
   这些是人们的怨气。如果对什么不满，就会产生怨气。想不到怨气的力量也这么可怕。儿歌三百首可以平息人的怨气，使人心平气和。)</t>
    <phoneticPr fontId="6" type="noConversion"/>
  </si>
  <si>
    <t>body(   这些人们的怨气。如果对什么不满，就会产生怨气。想不到怨气的力量也这么可怕。儿歌三百首可以平息人的怨气，使人心平气和。)</t>
    <phoneticPr fontId="6" type="noConversion"/>
  </si>
  <si>
    <t>title( [36级]起死回生)
body(hotyellow_3(任务进程:)newline()
   杀死goto(10006,2)，回复goto(501,2)。
blankline()hotyellow_3(任务描述:)newline() 
    这世上没有什么起死回生的丹药，不过，黄巾军的张角倒是会……)</t>
    <phoneticPr fontId="6" type="noConversion"/>
  </si>
  <si>
    <t>body(    这世上没有什么起死回生的丹药，不过，黄巾军的张角倒是会……)</t>
    <phoneticPr fontId="6" type="noConversion"/>
  </si>
  <si>
    <t>body(  看到那些神将了吧？他们跟真人几乎一模一样。)</t>
    <phoneticPr fontId="6" type="noConversion"/>
  </si>
  <si>
    <t>&lt;p&gt;
&lt;n&gt;  交：&lt;/n&gt;
 &lt;n&gt; &lt;/n&gt;&lt;goto quick="1" id="635" mapid="8" flagpoint="1" taskid="8011"/&gt;&lt;/p&gt;</t>
    <phoneticPr fontId="6" type="noConversion"/>
  </si>
  <si>
    <t>[副本]天龙台</t>
    <phoneticPr fontId="6" type="noConversion"/>
  </si>
  <si>
    <t>[每日]领取一次官衔工资</t>
  </si>
  <si>
    <t>[每日]每日福袋</t>
    <phoneticPr fontId="6" type="noConversion"/>
  </si>
  <si>
    <t>[每日]每日击鼓</t>
    <phoneticPr fontId="6" type="noConversion"/>
  </si>
  <si>
    <t>[副本]神秘矿洞</t>
    <phoneticPr fontId="6" type="noConversion"/>
  </si>
  <si>
    <t>家族委托任务</t>
    <phoneticPr fontId="6" type="noConversion"/>
  </si>
  <si>
    <t>body(  藏形变身，自在吾心。盾形幻千，随意所欲。
hot(每人每天最多完成6次家族委托任务，每环任务比上1环任务经验额外增加20%。))</t>
    <phoneticPr fontId="6" type="noConversion"/>
  </si>
  <si>
    <t>body(   做得不错，你为家族的建设出了一份力。记住：家族是你家，爱护你我他！)</t>
    <phoneticPr fontId="6" type="noConversion"/>
  </si>
  <si>
    <t>家族委托任务</t>
    <phoneticPr fontId="6" type="noConversion"/>
  </si>
  <si>
    <t>[委托]提亲</t>
    <phoneticPr fontId="6" type="noConversion"/>
  </si>
  <si>
    <t>"华少急死了，快去吧！"</t>
    <phoneticPr fontId="6" type="noConversion"/>
  </si>
  <si>
    <t>[委托]慰问</t>
    <phoneticPr fontId="6" type="noConversion"/>
  </si>
  <si>
    <t>"慰问过劳大叔吗，快去吧！"</t>
    <phoneticPr fontId="6" type="noConversion"/>
  </si>
  <si>
    <t>[委托]绣球的意义</t>
    <phoneticPr fontId="6" type="noConversion"/>
  </si>
  <si>
    <t>[委托]丢失的元宝</t>
    <phoneticPr fontId="6" type="noConversion"/>
  </si>
  <si>
    <t>"还木有找到绣球吗！"</t>
    <phoneticPr fontId="6" type="noConversion"/>
  </si>
  <si>
    <t>&lt;n effect=4 font=2 color=White scolor=Turp&gt;找到绣球&lt;/n&gt;</t>
    <phoneticPr fontId="6" type="noConversion"/>
  </si>
  <si>
    <t>找绣球</t>
    <phoneticPr fontId="6" type="noConversion"/>
  </si>
  <si>
    <t>找元宝</t>
    <phoneticPr fontId="6" type="noConversion"/>
  </si>
  <si>
    <t>body(   辛苦了,这件事情对我来说非常的重要。)</t>
    <phoneticPr fontId="6" type="noConversion"/>
  </si>
  <si>
    <t>"我一年的俸禄啊，急死人了！"</t>
    <phoneticPr fontId="6" type="noConversion"/>
  </si>
  <si>
    <t>&lt;n effect=4 font=2 color=White scolor=Turp&gt;找到丢失的元宝&lt;/n&gt;</t>
    <phoneticPr fontId="6" type="noConversion"/>
  </si>
  <si>
    <t>[委托]尾随</t>
    <phoneticPr fontId="6" type="noConversion"/>
  </si>
  <si>
    <t>[委托]灭鼠</t>
    <phoneticPr fontId="6" type="noConversion"/>
  </si>
  <si>
    <t>body(   辛苦了,这下姑娘回家路上就安全了。)</t>
    <phoneticPr fontId="6" type="noConversion"/>
  </si>
  <si>
    <t>body(   辛苦了,这下农田保住了。)</t>
    <phoneticPr fontId="6" type="noConversion"/>
  </si>
  <si>
    <t>"还没有消灭它吗！"</t>
    <phoneticPr fontId="6" type="noConversion"/>
  </si>
  <si>
    <t>&lt;n effect=4 font=2 color=White scolor=Turp&gt;教训尾随者&lt;/n&gt;</t>
    <phoneticPr fontId="6" type="noConversion"/>
  </si>
  <si>
    <t>&lt;n effect=4 font=2 color=White scolor=Turp&gt;教训破坏农田的老鼠&lt;/n&gt;</t>
    <phoneticPr fontId="6" type="noConversion"/>
  </si>
  <si>
    <t>击杀指定怪物</t>
    <phoneticPr fontId="6" type="noConversion"/>
  </si>
  <si>
    <t>body(   寻找指定NPC。)</t>
    <phoneticPr fontId="6" type="noConversion"/>
  </si>
  <si>
    <t>&lt;n effect=4 font=2 color=White scolor=Turp&gt;替华少提亲&lt;/n&gt;</t>
    <phoneticPr fontId="6" type="noConversion"/>
  </si>
  <si>
    <t>&lt;n effect=4 font=2 color=White scolor=Turp&gt;替家族慰问辛勤的劳大叔&lt;/n&gt;</t>
    <phoneticPr fontId="6" type="noConversion"/>
  </si>
  <si>
    <t>{s_taskCustom,{0,0,0,0}}</t>
    <phoneticPr fontId="6" type="noConversion"/>
  </si>
  <si>
    <t>&lt;p&gt;
&lt;n&gt;  找：&lt;/n&gt;
 &lt;n&gt; &lt;/n&gt;&lt;goto quick="1" id="2018" mapid="6" flagpoint="1" taskid="6202" /&gt;
&lt;/p&gt;</t>
    <phoneticPr fontId="6" type="noConversion"/>
  </si>
  <si>
    <t>&lt;p&gt;
&lt;n&gt;  回复：&lt;/n&gt;
 &lt;n&gt; &lt;/n&gt;&lt;goto id="232" mapid="3" flagpoint="1" taskid="15198"/&gt;
&lt;/p&gt;</t>
    <phoneticPr fontId="6" type="noConversion"/>
  </si>
  <si>
    <t>title( [1级]神兵)
body(hotyellow_3(任务进程:)newline()
   去找goto(596,1)。
blankline()hotyellow_3(任务描述:)newline() 
  要想独步天下，必须要有一把顺手的兵器。)</t>
    <phoneticPr fontId="6" type="noConversion"/>
  </si>
  <si>
    <t>body(      家族内的华灵梦让我替他向夕颜提亲，能帮我跑一趟吗。无限发挥你的口才吧，成功后不要忘记回来告诉我。)</t>
    <phoneticPr fontId="6" type="noConversion"/>
  </si>
  <si>
    <t>body(   帮我去慰问下农场管理员劳大叔吧，他长年累月日晒雨淋，真是辛苦啊，慰问完不要忘记回来告诉我。)</t>
    <phoneticPr fontId="6" type="noConversion"/>
  </si>
  <si>
    <t>body(   华少丢失了绣球，十分着急，快去为他找到丢失的绣球吧，不然没法成亲了。找到之后，带给华灵梦！)</t>
    <phoneticPr fontId="6" type="noConversion"/>
  </si>
  <si>
    <t>body(   劳大叔的元宝丢路上了，这可是他一年的俸禄啊，请去帮他找到丢失的元宝。完成之后，告知劳宫大叔！)</t>
    <phoneticPr fontId="6" type="noConversion"/>
  </si>
  <si>
    <t>body(   辛苦了,我十分的感谢你。)</t>
    <phoneticPr fontId="6" type="noConversion"/>
  </si>
  <si>
    <t>body(   负责家族训练的源宗正告诉我，岛国细作最近一直尾随在她回家，去教训这个家伙。然后转告源姑娘吧！)</t>
    <phoneticPr fontId="6" type="noConversion"/>
  </si>
  <si>
    <t>"还没有教训他吗！"</t>
    <phoneticPr fontId="6" type="noConversion"/>
  </si>
  <si>
    <t>body(   家族的农场遭到了小黑鼠的袭击,劳大叔十分伤心，去教训下吧。然后转告劳大叔吧！！)</t>
    <phoneticPr fontId="6" type="noConversion"/>
  </si>
  <si>
    <t>[委托]蝴蝶飘飘</t>
    <phoneticPr fontId="6" type="noConversion"/>
  </si>
  <si>
    <t>"还没去找她吗！"</t>
    <phoneticPr fontId="6" type="noConversion"/>
  </si>
  <si>
    <t>&lt;n effect=4 font=2 color=White scolor=Turp&gt;源姑娘邀请看七彩蝶&lt;/n&gt;</t>
    <phoneticPr fontId="6" type="noConversion"/>
  </si>
  <si>
    <t>body(  回来啦，七彩蝶好看么。)</t>
    <phoneticPr fontId="6" type="noConversion"/>
  </si>
  <si>
    <t>[委托]萤火虫虫</t>
    <phoneticPr fontId="6" type="noConversion"/>
  </si>
  <si>
    <t>body(  回来啦，萤火虫为什么会发光呢。)</t>
    <phoneticPr fontId="6" type="noConversion"/>
  </si>
  <si>
    <t>"还没去找他吗！"</t>
    <phoneticPr fontId="6" type="noConversion"/>
  </si>
  <si>
    <t>&lt;n effect=4 font=2 color=White scolor=Turp&gt;劳宫邀看萤火虫&lt;/n&gt;</t>
    <phoneticPr fontId="6" type="noConversion"/>
  </si>
  <si>
    <t>[每日]每日浇水</t>
    <phoneticPr fontId="6" type="noConversion"/>
  </si>
  <si>
    <t>[委托]解释</t>
    <phoneticPr fontId="6" type="noConversion"/>
  </si>
  <si>
    <t>"跟源姑娘解释过了吗！"</t>
    <phoneticPr fontId="6" type="noConversion"/>
  </si>
  <si>
    <t>[委托]清理小石子</t>
    <phoneticPr fontId="6" type="noConversion"/>
  </si>
  <si>
    <t>[委托]锄草</t>
    <phoneticPr fontId="6" type="noConversion"/>
  </si>
  <si>
    <t>[委托]清理杂草</t>
    <phoneticPr fontId="6" type="noConversion"/>
  </si>
  <si>
    <t>[委托]大扫除</t>
    <phoneticPr fontId="6" type="noConversion"/>
  </si>
  <si>
    <t>body(   辛苦了,猪哥哥会很高兴吧。)</t>
    <phoneticPr fontId="6" type="noConversion"/>
  </si>
  <si>
    <t>"还没去大扫除么！"</t>
    <phoneticPr fontId="6" type="noConversion"/>
  </si>
  <si>
    <t>&lt;n effect=4 font=2 color=White scolor=Turp&gt;猪哥哥乐园大扫除&lt;/n&gt;</t>
    <phoneticPr fontId="6" type="noConversion"/>
  </si>
  <si>
    <t>body(   辛苦了,我替养殖大师感谢你。)</t>
    <phoneticPr fontId="6" type="noConversion"/>
  </si>
  <si>
    <t>"还没去吗，养殖大师又来催了！"</t>
    <phoneticPr fontId="6" type="noConversion"/>
  </si>
  <si>
    <t>&lt;n effect=4 font=2 color=White scolor=Turp&gt;清理小石子&lt;/n&gt;</t>
    <phoneticPr fontId="6" type="noConversion"/>
  </si>
  <si>
    <t>body(   辛苦了,看着家族树林茂密一定很开心吧。)</t>
    <phoneticPr fontId="6" type="noConversion"/>
  </si>
  <si>
    <t>"还没去吗！"</t>
    <phoneticPr fontId="6" type="noConversion"/>
  </si>
  <si>
    <t>"杂草快要长到我脚下了！"</t>
    <phoneticPr fontId="6" type="noConversion"/>
  </si>
  <si>
    <t>&lt;n effect=4 font=2 color=White scolor=Turp&gt;锄草大行动&lt;/n&gt;</t>
    <phoneticPr fontId="6" type="noConversion"/>
  </si>
  <si>
    <t>&lt;n effect=4 font=2 color=White scolor=Turp&gt;清理杂草&lt;/n&gt;</t>
    <phoneticPr fontId="6" type="noConversion"/>
  </si>
  <si>
    <t>&lt;n effect=4 font=2 color=White scolor=Turp&gt;替佳龙解释下&lt;/n&gt;</t>
    <phoneticPr fontId="6" type="noConversion"/>
  </si>
  <si>
    <t>[委托]爽约</t>
    <phoneticPr fontId="6" type="noConversion"/>
  </si>
  <si>
    <t>body(   真是好兄弟啊。)</t>
    <phoneticPr fontId="6" type="noConversion"/>
  </si>
  <si>
    <t>"找过佳龙了吗！"</t>
    <phoneticPr fontId="6" type="noConversion"/>
  </si>
  <si>
    <t>[委托]借狗</t>
    <phoneticPr fontId="6" type="noConversion"/>
  </si>
  <si>
    <t>body(   太感谢你了。)</t>
    <phoneticPr fontId="6" type="noConversion"/>
  </si>
  <si>
    <t>"狗借来了吗！"</t>
    <phoneticPr fontId="6" type="noConversion"/>
  </si>
  <si>
    <t>&lt;n effect=4 font=2 color=White scolor=Turp&gt;猫狗大战的好戏&lt;/n&gt;</t>
    <phoneticPr fontId="6" type="noConversion"/>
  </si>
  <si>
    <t>[委托]感谢</t>
    <phoneticPr fontId="6" type="noConversion"/>
  </si>
  <si>
    <t>body(   自从借来狗狗，厨房的食物就没丢过。)</t>
    <phoneticPr fontId="6" type="noConversion"/>
  </si>
  <si>
    <t>"去找过她了吗！"</t>
    <phoneticPr fontId="6" type="noConversion"/>
  </si>
  <si>
    <t>&lt;n effect=4 font=2 color=White scolor=Turp&gt;感谢源宗正借狗&lt;/n&gt;</t>
    <phoneticPr fontId="6" type="noConversion"/>
  </si>
  <si>
    <t>&lt;n effect=4 font=2 color=White scolor=Turp&gt;爽约仓老师巡演真是过分&lt;/n&gt;</t>
    <phoneticPr fontId="6" type="noConversion"/>
  </si>
  <si>
    <t>[委托]捍卫爱情</t>
    <phoneticPr fontId="6" type="noConversion"/>
  </si>
  <si>
    <t>[委托]黑猫咪</t>
    <phoneticPr fontId="6" type="noConversion"/>
  </si>
  <si>
    <t>body(   辛苦了,看的出他是真心的。)</t>
    <phoneticPr fontId="6" type="noConversion"/>
  </si>
  <si>
    <t>"还没去试探他吗！"</t>
    <phoneticPr fontId="6" type="noConversion"/>
  </si>
  <si>
    <t>&lt;n effect=4 font=2 color=White scolor=Turp&gt;恐吓李牙砰来试探下&lt;/n&gt;</t>
    <phoneticPr fontId="6" type="noConversion"/>
  </si>
  <si>
    <t>body(   辛苦了,黑猫咪应该会老实点了。)</t>
    <phoneticPr fontId="6" type="noConversion"/>
  </si>
  <si>
    <t>"还没有教训它吗！"</t>
    <phoneticPr fontId="6" type="noConversion"/>
  </si>
  <si>
    <t>&lt;n effect=4 font=2 color=White scolor=Turp&gt;教训偷吃的馋猫&lt;/n&gt;</t>
    <phoneticPr fontId="6" type="noConversion"/>
  </si>
  <si>
    <t>[10级]营救五虎</t>
    <phoneticPr fontId="6" type="noConversion"/>
  </si>
  <si>
    <t>body(   去天龙台营救五虎。)</t>
    <phoneticPr fontId="6" type="noConversion"/>
  </si>
  <si>
    <t>body(   少年，你已获得五虎传你十年功力。希望你早日结束乱世。)</t>
    <phoneticPr fontId="6" type="noConversion"/>
  </si>
  <si>
    <t>&lt;n effect=4 font=2 color=White scolor=Turp&gt;五虎危亦，速去解救&lt;/n&gt;</t>
    <phoneticPr fontId="6" type="noConversion"/>
  </si>
  <si>
    <t>&lt;p&gt;
&lt;n&gt;  找：&lt;/n&gt;
 &lt;n&gt; &lt;/n&gt;&lt;goto quick="1" id="60045" mapid="1" flagpoint="1" taskid="6020" /&gt;
&lt;/p&gt;</t>
    <phoneticPr fontId="6" type="noConversion"/>
  </si>
  <si>
    <t>title( [10级]营救五虎)
body(hotyellow_3(任务进程:)newline()
   去天龙台营救五虎上将，据说蚩尤会对他们不利，完成后去找goto(60045,1)。
blankline()hotyellow_3(任务描述:)newline() 
   先去解救五虎上将，然后找先常大人，他有事要交代于你。)</t>
    <phoneticPr fontId="6" type="noConversion"/>
  </si>
  <si>
    <t>{{59102,0,1,0,"1-1"}}</t>
    <phoneticPr fontId="6" type="noConversion"/>
  </si>
  <si>
    <t>body(   好吧，这个月佳龙得卖力表现才行。)</t>
    <phoneticPr fontId="6" type="noConversion"/>
  </si>
  <si>
    <t>body(   好吧我答应了，其实我仰慕华大侠已久。)</t>
    <phoneticPr fontId="6" type="noConversion"/>
  </si>
  <si>
    <t>body(   家族农田责无旁贷，感谢组织关心。)</t>
    <phoneticPr fontId="6" type="noConversion"/>
  </si>
  <si>
    <t>[每日]每日采集</t>
    <phoneticPr fontId="6" type="noConversion"/>
  </si>
  <si>
    <t>&lt;n effect=4 font=2 color=White scolor=Turp&gt;将镖车运送到指定地点&lt;/n&gt;</t>
    <phoneticPr fontId="6" type="noConversion"/>
  </si>
  <si>
    <t>&lt;p&gt;
&lt;n&gt;团升到八级&lt;/n&gt;
&lt;/p&gt;</t>
    <phoneticPr fontId="6" type="noConversion"/>
  </si>
  <si>
    <t>&lt;p&gt;
&lt;n&gt;  交：&lt;/n&gt;
 &lt;n&gt; &lt;/n&gt;&lt;goto quick=1 id="576" mapid="2" flagpoint="1" taskid="21102"/&gt;&lt;/p&gt;</t>
    <phoneticPr fontId="6" type="noConversion"/>
  </si>
  <si>
    <t>&lt;p&gt;
&lt;n&gt;  交：&lt;/n&gt;
 &lt;n&gt; &lt;/n&gt;&lt;goto quick=1 id="576" mapid="2" flagpoint="1" taskid="21103"/&gt;&lt;/p&gt;</t>
  </si>
  <si>
    <t>&lt;p&gt;
&lt;n&gt;  交：&lt;/n&gt;
 &lt;n&gt; &lt;/n&gt;&lt;goto quick=1 id="576" mapid="2" flagpoint="1" taskid="21104"/&gt;&lt;/p&gt;</t>
  </si>
  <si>
    <t>&lt;p&gt;
&lt;n&gt;  交：&lt;/n&gt;
 &lt;n&gt; &lt;/n&gt;&lt;goto quick=1 id="576" mapid="2" flagpoint="1" taskid="21105"/&gt;&lt;/p&gt;</t>
    <phoneticPr fontId="6" type="noConversion"/>
  </si>
  <si>
    <t>&lt;p&gt;
&lt;n&gt;  交：&lt;/n&gt;
 &lt;n&gt; &lt;/n&gt;&lt;goto quick=1 id="576" mapid="2" flagpoint="1" taskid="21106"/&gt;&lt;/p&gt;</t>
    <phoneticPr fontId="6" type="noConversion"/>
  </si>
  <si>
    <t>&lt;p&gt;
&lt;n&gt;  交：&lt;/n&gt;
 &lt;n&gt; &lt;/n&gt;&lt;goto quick=1 id="576" mapid="2" flagpoint="1" taskid="21108"/&gt;&lt;/p&gt;</t>
    <phoneticPr fontId="6" type="noConversion"/>
  </si>
  <si>
    <t>&lt;p&gt;
&lt;n&gt;  交：&lt;/n&gt;
 &lt;n&gt; &lt;/n&gt;&lt;goto quick=1 id="576" mapid="2" flagpoint="1" taskid="21107"/&gt;&lt;/p&gt;</t>
    <phoneticPr fontId="6" type="noConversion"/>
  </si>
  <si>
    <t>&lt;p&gt;
&lt;n&gt;  交：&lt;/n&gt;
 &lt;n&gt; &lt;/n&gt;&lt;goto quick=1 id="576" mapid="2" flagpoint="1" taskid="21109"/&gt;&lt;/p&gt;</t>
  </si>
  <si>
    <t>&lt;p&gt;
&lt;n&gt;  交：&lt;/n&gt;
 &lt;n&gt; &lt;/n&gt;&lt;goto quick=1 id="576" mapid="2" flagpoint="1" taskid="21110"/&gt;&lt;/p&gt;</t>
  </si>
  <si>
    <t>&lt;p&gt;
&lt;n&gt;  交：&lt;/n&gt;
 &lt;n&gt; &lt;/n&gt;&lt;goto quick=1 id="576" mapid="2" flagpoint="1" taskid="21111"/&gt;&lt;/p&gt;</t>
  </si>
  <si>
    <t>&lt;p&gt;
&lt;n&gt;  交：&lt;/n&gt;
 &lt;n&gt; &lt;/n&gt;&lt;goto quick=1 id="576" mapid="2" flagpoint="1" taskid="21112"/&gt;&lt;/p&gt;</t>
  </si>
  <si>
    <t>&lt;p&gt;
&lt;n&gt;  交：&lt;/n&gt;
 &lt;n&gt; &lt;/n&gt;&lt;goto quick=1 id="576" mapid="2" flagpoint="1" taskid="21113"/&gt;&lt;/p&gt;</t>
  </si>
  <si>
    <t>&lt;p&gt;
&lt;n&gt;  交：&lt;/n&gt;
 &lt;n&gt; &lt;/n&gt;&lt;goto quick=1 id="576" mapid="2" flagpoint="1" taskid="21114"/&gt;&lt;/p&gt;</t>
  </si>
  <si>
    <t>&lt;p&gt;
&lt;n&gt;  交：&lt;/n&gt;
 &lt;n&gt; &lt;/n&gt;&lt;goto quick=1 id="576" mapid="2" flagpoint="1" taskid="21115"/&gt;&lt;/p&gt;</t>
  </si>
  <si>
    <t>&lt;p&gt;
&lt;n&gt;  交：&lt;/n&gt;
 &lt;n&gt; &lt;/n&gt;&lt;goto quick=1 id="576" mapid="2" flagpoint="1" taskid="21116"/&gt;&lt;/p&gt;</t>
  </si>
  <si>
    <t>&lt;p&gt;
&lt;n&gt;  交：&lt;/n&gt;
 &lt;n&gt; &lt;/n&gt;&lt;goto quick=1 id="576" mapid="2" flagpoint="1" taskid="21201"/&gt;&lt;/p&gt;</t>
    <phoneticPr fontId="6" type="noConversion"/>
  </si>
  <si>
    <t>&lt;p&gt;
&lt;n&gt;  交：&lt;/n&gt;
 &lt;n&gt; &lt;/n&gt;&lt;goto quick=1 id="576" mapid="2" flagpoint="1" taskid="21202"/&gt;&lt;/p&gt;</t>
  </si>
  <si>
    <t>&lt;p&gt;
&lt;n&gt;  交：&lt;/n&gt;
 &lt;n&gt; &lt;/n&gt;&lt;goto quick=1 id="576" mapid="2" flagpoint="1" taskid="21203"/&gt;&lt;/p&gt;</t>
  </si>
  <si>
    <t>&lt;p&gt;
&lt;n&gt;  交：&lt;/n&gt;
 &lt;n&gt; &lt;/n&gt;&lt;goto quick=1 id="576" mapid="2" flagpoint="1" taskid="21204"/&gt;&lt;/p&gt;</t>
  </si>
  <si>
    <t>&lt;p&gt;
&lt;n&gt;  交：&lt;/n&gt;
 &lt;n&gt; &lt;/n&gt;&lt;goto quick=1 id="576" mapid="2" flagpoint="1" taskid="21205"/&gt;&lt;/p&gt;</t>
  </si>
  <si>
    <t>&lt;p&gt;
&lt;n&gt;  交：&lt;/n&gt;
 &lt;n&gt; &lt;/n&gt;&lt;goto quick=1 id="576" mapid="2" flagpoint="1" taskid="21206"/&gt;&lt;/p&gt;</t>
  </si>
  <si>
    <t>&lt;p&gt;
&lt;n&gt;  交：&lt;/n&gt;
 &lt;n&gt; &lt;/n&gt;&lt;goto quick=1 id="576" mapid="2" flagpoint="1" taskid="21207"/&gt;&lt;/p&gt;</t>
  </si>
  <si>
    <t>&lt;p&gt;
&lt;n&gt;  交：&lt;/n&gt;
 &lt;n&gt; &lt;/n&gt;&lt;goto quick=1 id="576" mapid="2" flagpoint="1" taskid="21208"/&gt;&lt;/p&gt;</t>
  </si>
  <si>
    <t>&lt;p&gt;
&lt;n&gt;  交：&lt;/n&gt;
 &lt;n&gt; &lt;/n&gt;&lt;goto quick=1 id="576" mapid="2" flagpoint="1" taskid="21209"/&gt;&lt;/p&gt;</t>
  </si>
  <si>
    <t>&lt;p&gt;
&lt;n&gt;  交：&lt;/n&gt;
 &lt;n&gt; &lt;/n&gt;&lt;goto quick=1 id="576" mapid="2" flagpoint="1" taskid="21210"/&gt;&lt;/p&gt;</t>
  </si>
  <si>
    <t>&lt;p&gt;
&lt;n&gt;  交：&lt;/n&gt;
 &lt;n&gt; &lt;/n&gt;&lt;goto quick=1 id="576" mapid="2" flagpoint="1" taskid="21211"/&gt;&lt;/p&gt;</t>
  </si>
  <si>
    <t>&lt;p&gt;
&lt;n&gt;  交：&lt;/n&gt;
 &lt;n&gt; &lt;/n&gt;&lt;goto quick=1 id="576" mapid="2" flagpoint="1" taskid="21212"/&gt;&lt;/p&gt;</t>
  </si>
  <si>
    <t>&lt;p&gt;
&lt;n&gt;  交：&lt;/n&gt;
 &lt;n&gt; &lt;/n&gt;&lt;goto quick=1 id="576" mapid="2" flagpoint="1" taskid="21213"/&gt;&lt;/p&gt;</t>
  </si>
  <si>
    <t>&lt;p&gt;
&lt;n&gt;  交：&lt;/n&gt;
 &lt;n&gt; &lt;/n&gt;&lt;goto quick=1 id="576" mapid="2" flagpoint="1" taskid="21214"/&gt;&lt;/p&gt;</t>
  </si>
  <si>
    <t>&lt;p&gt;
&lt;n&gt;  交：&lt;/n&gt;
 &lt;n&gt; &lt;/n&gt;&lt;goto quick=1 id="576" mapid="2" flagpoint="1" taskid="21215"/&gt;&lt;/p&gt;</t>
  </si>
  <si>
    <t>&lt;p&gt;
&lt;n&gt;  交：&lt;/n&gt;
 &lt;n&gt; &lt;/n&gt;&lt;goto quick=1 id="576" mapid="2" flagpoint="1" taskid="21216"/&gt;&lt;/p&gt;</t>
  </si>
  <si>
    <t>&lt;p&gt;
&lt;n&gt;  交：&lt;/n&gt;
 &lt;n&gt; &lt;/n&gt;&lt;goto quick=1 id="576" mapid="2" flagpoint="1" taskid="21101"/&gt;&lt;/p&gt;</t>
    <phoneticPr fontId="6" type="noConversion"/>
  </si>
  <si>
    <t>body(   我们设立在凤城外围的前线营地的所有补给都依赖于我们的补给车队。player()，请帮助我们将补给车运送到前线。blankline()   虽然我十分信任你，但是按照惯例，我还是要收取一部分的hot(定金)，在物资车到达目的地后去会将定金再还给你的。blankline()   需要押金$FOREGIFT枚银子。)</t>
    <phoneticPr fontId="6" type="noConversion"/>
  </si>
  <si>
    <t>title(运镖)
body(hotyellow_3(任务进程:)newline()
   将补给车运到goto(99999,66666)处。17:00-22:00可在goto(226,3)处投保。blankline()hot(   押金$FOREGIFT枚银子。)
newline()hot(   周日可额外进行1次运镖)
blankline()hotyellow_3(任务描述:)newline() 
   任何帮会队只要三天不吃东西就会直接出局。由于生存环境恶劣，我们设立在凤城外围的营地的所有补给都完全依赖于我们的补给车队。blankline()
   护送物资车的沿途充满了危险，除了那些无处不在的变异生物，还有敌国的那些贪婪的士兵，请一路小心。blankline()hot(   定金会在顺利完成任务时返回，请不用担心)。blankline()hot(   在完成该任务前，无法接取下一个护送类任务。))</t>
    <phoneticPr fontId="6" type="noConversion"/>
  </si>
  <si>
    <t>body(player()，前往指定国家的goto(593,7))</t>
    <phoneticPr fontId="6" type="noConversion"/>
  </si>
  <si>
    <t>body(player()，在指定敌国寻找我国的卧底)</t>
    <phoneticPr fontId="6" type="noConversion"/>
  </si>
  <si>
    <t>body(player()，击杀指定国一定数量的怪物)</t>
    <phoneticPr fontId="6" type="noConversion"/>
  </si>
  <si>
    <t>[日常]寻找萌萌</t>
    <phoneticPr fontId="6" type="noConversion"/>
  </si>
  <si>
    <t>小乔</t>
    <phoneticPr fontId="6" type="noConversion"/>
  </si>
  <si>
    <t>&lt;n effect=4 font=2 color=White scolor=Turp&gt;通过马绳的线索找到萌萌&lt;/n&gt;</t>
    <phoneticPr fontId="6" type="noConversion"/>
  </si>
  <si>
    <t>&lt;p&gt;&lt;n&gt;  通过马绳找到萌萌&lt;/n&gt;&lt;newline/&gt;
&lt;n&gt;  回复：&lt;/n&gt;&lt;goto id="535" mapid="5" flagpoint="1" taskid="30401"/&gt;
&lt;/p&gt;</t>
    <phoneticPr fontId="6" type="noConversion"/>
  </si>
  <si>
    <t>&lt;p&gt;&lt;n&gt;  通过马绳找到萌萌&lt;/n&gt;&lt;newline/&gt;
&lt;n&gt;  回复：&lt;/n&gt;&lt;goto id="535" mapid="5" flagpoint="1" taskid="30402"/&gt;
&lt;/p&gt;</t>
    <phoneticPr fontId="6" type="noConversion"/>
  </si>
  <si>
    <t>&lt;p&gt;&lt;n&gt;  回复：&lt;/n&gt;&lt;goto quick=1 id="535" mapid="5" flagpoint="1" taskid="30400"/&gt;
&lt;/p&gt;</t>
    <phoneticPr fontId="6" type="noConversion"/>
  </si>
  <si>
    <t>&lt;p&gt;&lt;n&gt;  回复：&lt;/n&gt;&lt;goto quick=1 id="535" mapid="5" flagpoint="1" taskid="30401"/&gt;
&lt;/p&gt;</t>
    <phoneticPr fontId="6" type="noConversion"/>
  </si>
  <si>
    <t>&lt;p&gt;&lt;n&gt;  回复：&lt;/n&gt;&lt;goto quick=1 id="535" mapid="5" flagpoint="1" taskid="30402"/&gt;
&lt;/p&gt;</t>
    <phoneticPr fontId="6" type="noConversion"/>
  </si>
  <si>
    <t>&lt;p&gt;
&lt;n&gt;  找：&lt;/n&gt;
 &lt;n&gt; &lt;/n&gt;&lt;goto quick="1" cid="15" id="521" mapid="4" flagpoint="1" taskid="6341" /&gt;
&lt;/p&gt;</t>
    <phoneticPr fontId="6" type="noConversion"/>
  </si>
  <si>
    <t>&lt;p&gt;
&lt;n&gt;  找：&lt;/n&gt;
 &lt;n&gt; &lt;/n&gt;&lt;goto quick="1" cid="15" id="538" mapid="5" flagpoint="1" taskid="6401" /&gt;
&lt;/p&gt;</t>
    <phoneticPr fontId="6" type="noConversion"/>
  </si>
  <si>
    <t>&lt;p&gt;
&lt;n&gt;  交：&lt;/n&gt;
 &lt;n&gt; &lt;/n&gt;&lt;goto quick="1" cid="15" id="538" mapid="5" flagpoint="1" taskid="6401"/&gt;&lt;/p&gt;</t>
    <phoneticPr fontId="6" type="noConversion"/>
  </si>
  <si>
    <t>&lt;p&gt;
&lt;n&gt;  击杀&lt;/n&gt;
 &lt;n&gt; &lt;/n&gt;&lt;goto quick="1" cid="15" id="10015" mapid="5" flagpoint="1" taskid="6402" /&gt;
&lt;/p&gt;</t>
    <phoneticPr fontId="6" type="noConversion"/>
  </si>
  <si>
    <t>&lt;p&gt;
&lt;n&gt;  交：&lt;/n&gt;
 &lt;n&gt; &lt;/n&gt;&lt;goto quick="1" id="538" cid="15" mapid="5" flagpoint="1" taskid="6402"/&gt;&lt;/p&gt;</t>
    <phoneticPr fontId="6" type="noConversion"/>
  </si>
  <si>
    <t>&lt;p&gt;
&lt;n&gt;  使用&lt;/n&gt;
 &lt;n&gt; &lt;/n&gt;&lt;goto quick="1" cid="15" id="2037" mapid="5" flagpoint="1" taskid="6403" /&gt;
&lt;/p&gt;</t>
    <phoneticPr fontId="6" type="noConversion"/>
  </si>
  <si>
    <t>&lt;p&gt;
&lt;n&gt;  交：&lt;/n&gt;
 &lt;n&gt; &lt;/n&gt;&lt;goto quick="1" cid="15" id="538" mapid="5" flagpoint="1" taskid="6403"/&gt;&lt;/p&gt;</t>
    <phoneticPr fontId="6" type="noConversion"/>
  </si>
  <si>
    <t>&lt;p&gt;
&lt;n&gt;  找：&lt;/n&gt;
 &lt;n&gt; &lt;/n&gt;&lt;goto quick="1" cid="15" id="537" mapid="5" flagpoint="1" taskid="6404" /&gt;
&lt;/p&gt;</t>
    <phoneticPr fontId="6" type="noConversion"/>
  </si>
  <si>
    <t>&lt;p&gt;
&lt;n&gt;  交：&lt;/n&gt;
 &lt;n&gt; &lt;/n&gt;&lt;goto quick="1" cid="15" id="537" mapid="5" flagpoint="1" taskid="6404"/&gt;&lt;/p&gt;</t>
    <phoneticPr fontId="6" type="noConversion"/>
  </si>
  <si>
    <t>&lt;p&gt;
&lt;n&gt;  找：&lt;/n&gt;
 &lt;n&gt; &lt;/n&gt;&lt;goto quick="1" cid="15" id="539" mapid="5" flagpoint="1" taskid="6405" /&gt;
&lt;/p&gt;</t>
    <phoneticPr fontId="6" type="noConversion"/>
  </si>
  <si>
    <t>&lt;p&gt;
&lt;n&gt;  交：&lt;/n&gt;
 &lt;n&gt; &lt;/n&gt;&lt;goto quick="1" cid="15" id="539" mapid="5" flagpoint="1" taskid="6405"/&gt;&lt;/p&gt;</t>
    <phoneticPr fontId="6" type="noConversion"/>
  </si>
  <si>
    <t>&lt;p&gt;
&lt;n&gt;  采：&lt;/n&gt;
 &lt;n&gt; &lt;/n&gt;&lt;goto quick="1" cid="15" id="2038" mapid="5" flagpoint="1" taskid="6406" /&gt;
&lt;/p&gt;</t>
    <phoneticPr fontId="6" type="noConversion"/>
  </si>
  <si>
    <t>&lt;p&gt;
&lt;n&gt;  交：&lt;/n&gt;
 &lt;n&gt; &lt;/n&gt;&lt;goto quick="1" cid="15" id="539" mapid="5" flagpoint="1" taskid="6406"/&gt;&lt;/p&gt;</t>
    <phoneticPr fontId="6" type="noConversion"/>
  </si>
  <si>
    <t>&lt;p&gt;
&lt;n&gt;  找：&lt;/n&gt;
 &lt;n&gt; &lt;/n&gt;&lt;goto quick="1" cid="15" id="537" mapid="5" flagpoint="1" taskid="6407" /&gt;
&lt;/p&gt;</t>
    <phoneticPr fontId="6" type="noConversion"/>
  </si>
  <si>
    <t>&lt;p&gt;
&lt;n&gt;  交：&lt;/n&gt;
 &lt;n&gt; &lt;/n&gt;&lt;goto quick="1" cid="15" id="537" mapid="5" flagpoint="1" taskid="6407"/&gt;&lt;/p&gt;</t>
    <phoneticPr fontId="6" type="noConversion"/>
  </si>
  <si>
    <t>&lt;p&gt;
&lt;n&gt;  击杀&lt;/n&gt;
 &lt;n&gt; &lt;/n&gt;&lt;goto quick="1" cid="15" id="10015" mapid="5" flagpoint="1" taskid="6408" /&gt;
&lt;/p&gt;</t>
    <phoneticPr fontId="6" type="noConversion"/>
  </si>
  <si>
    <t>&lt;p&gt;
&lt;n&gt;  交：&lt;/n&gt;
 &lt;n&gt; &lt;/n&gt;&lt;goto quick="1" cid="15" id="537" mapid="5" flagpoint="1" taskid="6408"/&gt;&lt;/p&gt;</t>
    <phoneticPr fontId="6" type="noConversion"/>
  </si>
  <si>
    <t>&lt;p&gt;
&lt;n&gt;  找：&lt;/n&gt;
 &lt;n&gt; &lt;/n&gt;&lt;goto quick="1" cid="15" id="536" mapid="5" flagpoint="1" taskid="6409" /&gt;
&lt;/p&gt;</t>
    <phoneticPr fontId="6" type="noConversion"/>
  </si>
  <si>
    <t>&lt;p&gt;
&lt;n&gt;  交：&lt;/n&gt;
 &lt;n&gt; &lt;/n&gt;&lt;goto quick="1" cid="15" id="536" mapid="5" flagpoint="1" taskid="6409"/&gt;&lt;/p&gt;</t>
    <phoneticPr fontId="6" type="noConversion"/>
  </si>
  <si>
    <t>&lt;p&gt;
&lt;n&gt;  击杀&lt;/n&gt;
 &lt;n&gt; &lt;/n&gt;&lt;goto quick="1" cid="15" id="10016" mapid="5" flagpoint="1" taskid="6410" /&gt;
&lt;/p&gt;</t>
    <phoneticPr fontId="6" type="noConversion"/>
  </si>
  <si>
    <t>&lt;p&gt;
&lt;n&gt;  交：&lt;/n&gt;
 &lt;n&gt; &lt;/n&gt;&lt;goto quick="1" cid="15" id="536" mapid="5" flagpoint="1" taskid="6410"/&gt;&lt;/p&gt;</t>
    <phoneticPr fontId="6" type="noConversion"/>
  </si>
  <si>
    <t>&lt;p&gt;
&lt;n&gt;  找：&lt;/n&gt;
 &lt;n&gt; &lt;/n&gt;&lt;goto quick="1" cid="15" id="534" mapid="5" flagpoint="1" taskid="6411" /&gt;
&lt;/p&gt;</t>
    <phoneticPr fontId="6" type="noConversion"/>
  </si>
  <si>
    <t>&lt;p&gt;
&lt;n&gt;  交：&lt;/n&gt;
 &lt;n&gt; &lt;/n&gt;&lt;goto quick="1" id="534" mapid="5" flagpoint="1" taskid="6411"/&gt;&lt;/p&gt;</t>
    <phoneticPr fontId="6" type="noConversion"/>
  </si>
  <si>
    <t>&lt;p&gt;
&lt;n&gt;  交：&lt;/n&gt;
 &lt;n&gt; &lt;/n&gt;&lt;goto quick="1" cid="15" id="537" mapid="5" flagpoint="1" taskid="6414"/&gt;&lt;/p&gt;</t>
    <phoneticPr fontId="6" type="noConversion"/>
  </si>
  <si>
    <t>&lt;p&gt;
&lt;n&gt;  采：&lt;/n&gt;
 &lt;n&gt; &lt;/n&gt;&lt;goto quick="1" cid="15" id="2040" mapid="5" flagpoint="1" taskid="6415" /&gt;
&lt;/p&gt;</t>
    <phoneticPr fontId="6" type="noConversion"/>
  </si>
  <si>
    <t>&lt;p&gt;
&lt;n&gt;  交：&lt;/n&gt;
 &lt;n&gt; &lt;/n&gt;&lt;goto quick="1" cid="15" id="531" mapid="5" flagpoint="1" taskid="6415"/&gt;&lt;/p&gt;</t>
    <phoneticPr fontId="6" type="noConversion"/>
  </si>
  <si>
    <t>&lt;p&gt;
&lt;n&gt;  找：&lt;/n&gt;
 &lt;n&gt; &lt;/n&gt;&lt;goto quick="1" cid="15" id="537" mapid="5" flagpoint="1" taskid="6416" /&gt;
&lt;/p&gt;</t>
    <phoneticPr fontId="6" type="noConversion"/>
  </si>
  <si>
    <t>&lt;p&gt;
&lt;n&gt;  交：&lt;/n&gt;
 &lt;n&gt; &lt;/n&gt;&lt;goto quick="1" cid="15" id="537" mapid="5" flagpoint="1" taskid="6416"/&gt;&lt;/p&gt;</t>
    <phoneticPr fontId="6" type="noConversion"/>
  </si>
  <si>
    <t>&lt;p&gt;
&lt;n&gt;  击杀&lt;/n&gt;
 &lt;n&gt; &lt;/n&gt;&lt;goto quick="1" cid="15" id="10016" mapid="5" flagpoint="1" taskid="6417" /&gt;
&lt;/p&gt;</t>
    <phoneticPr fontId="6" type="noConversion"/>
  </si>
  <si>
    <t>&lt;p&gt;
&lt;n&gt;  交：&lt;/n&gt;
 &lt;n&gt; &lt;/n&gt;&lt;goto quick="1" cid="15" id="531" mapid="5" flagpoint="1" taskid="6417"/&gt;&lt;/p&gt;</t>
    <phoneticPr fontId="6" type="noConversion"/>
  </si>
  <si>
    <t>&lt;p&gt;
&lt;n&gt;  找：&lt;/n&gt;
 &lt;n&gt; &lt;/n&gt;&lt;goto quick="1" cid="15" id="2040" mapid="5" flagpoint="1" taskid="6418" /&gt;
&lt;/p&gt;</t>
    <phoneticPr fontId="6" type="noConversion"/>
  </si>
  <si>
    <t>&lt;p&gt;
&lt;n&gt;  交：&lt;/n&gt;
 &lt;n&gt; &lt;/n&gt;&lt;goto quick="1" cid="15" id="531" mapid="5" flagpoint="1" taskid="6418"/&gt;&lt;/p&gt;</t>
    <phoneticPr fontId="6" type="noConversion"/>
  </si>
  <si>
    <t>&lt;p&gt;
&lt;n&gt;  找：&lt;/n&gt;
 &lt;n&gt; &lt;/n&gt;&lt;goto quick="1" cid="15" id="134" mapid="5" flagpoint="1" taskid="6419" /&gt;
&lt;/p&gt;</t>
    <phoneticPr fontId="6" type="noConversion"/>
  </si>
  <si>
    <t>&lt;p&gt;
&lt;n&gt;  交：&lt;/n&gt;
 &lt;n&gt; &lt;/n&gt;&lt;goto quick="1" cid="15" id="134" mapid="5" flagpoint="1" taskid="6419"/&gt;&lt;/p&gt;</t>
    <phoneticPr fontId="6" type="noConversion"/>
  </si>
  <si>
    <t>&lt;p&gt;
&lt;n&gt;  击杀&lt;/n&gt;
 &lt;n&gt; &lt;/n&gt;&lt;goto quick="1" cid="15" id="10027" mapid="5" flagpoint="1" taskid="6420" /&gt;
&lt;/p&gt;</t>
    <phoneticPr fontId="6" type="noConversion"/>
  </si>
  <si>
    <t>&lt;p&gt;
&lt;n&gt;  交：&lt;/n&gt;
 &lt;n&gt; &lt;/n&gt;&lt;goto quick="1" cid="15" id="134" mapid="5" flagpoint="1" taskid="6420"/&gt;&lt;/p&gt;</t>
    <phoneticPr fontId="6" type="noConversion"/>
  </si>
  <si>
    <t>&lt;p&gt;
&lt;n&gt;  找：&lt;/n&gt;
 &lt;n&gt; &lt;/n&gt;&lt;goto quick="1" cid="15" id="532" mapid="5" flagpoint="1" taskid="6421" /&gt;
&lt;/p&gt;</t>
    <phoneticPr fontId="6" type="noConversion"/>
  </si>
  <si>
    <t>&lt;p&gt;
&lt;n&gt;  交：&lt;/n&gt;
 &lt;n&gt; &lt;/n&gt;&lt;goto quick="1" cid="15" id="532" mapid="5" flagpoint="1" taskid="6421"/&gt;&lt;/p&gt;</t>
    <phoneticPr fontId="6" type="noConversion"/>
  </si>
  <si>
    <t>&lt;p&gt;
&lt;n&gt;  找：&lt;/n&gt;
 &lt;n&gt; &lt;/n&gt;&lt;goto quick="1" cid="15" id="540" mapid="5" flagpoint="1" taskid="6422" /&gt;
&lt;/p&gt;</t>
    <phoneticPr fontId="6" type="noConversion"/>
  </si>
  <si>
    <t>&lt;p&gt;
&lt;n&gt;  交：&lt;/n&gt;
 &lt;n&gt; &lt;/n&gt;&lt;goto quick="1" cid="15" id="540" mapid="5" flagpoint="1" taskid="6422"/&gt;&lt;/p&gt;</t>
    <phoneticPr fontId="6" type="noConversion"/>
  </si>
  <si>
    <t>&lt;p&gt;
&lt;n&gt;  使用&lt;/n&gt;
 &lt;n&gt; &lt;/n&gt;&lt;goto quick="1" cid="15" id="2042" mapid="5" flagpoint="1" taskid="6423" /&gt;
&lt;/p&gt;</t>
    <phoneticPr fontId="6" type="noConversion"/>
  </si>
  <si>
    <t>&lt;p&gt;
&lt;n&gt;  交：&lt;/n&gt;
 &lt;n&gt; &lt;/n&gt;&lt;goto quick="1" cid="15" id="540" mapid="5" flagpoint="1" taskid="6423"/&gt;&lt;/p&gt;</t>
    <phoneticPr fontId="6" type="noConversion"/>
  </si>
  <si>
    <t>&lt;p&gt;
&lt;n&gt;  打开&lt;/n&gt;
 &lt;n&gt; &lt;/n&gt;&lt;goto quick="1" cid="15" id="2043" mapid="5" flagpoint="1" taskid="6424" /&gt;
&lt;/p&gt;</t>
    <phoneticPr fontId="6" type="noConversion"/>
  </si>
  <si>
    <t>&lt;p&gt;
&lt;n&gt;  交：&lt;/n&gt;
 &lt;n&gt; &lt;/n&gt;&lt;goto quick="1" cid="15" id="540" mapid="5" flagpoint="1" taskid="6424"/&gt;&lt;/p&gt;</t>
    <phoneticPr fontId="6" type="noConversion"/>
  </si>
  <si>
    <t>&lt;p&gt;
&lt;n&gt;  找：&lt;/n&gt;
 &lt;n&gt; &lt;/n&gt;&lt;goto quick="1" cid="15" id="532" mapid="5" flagpoint="1" taskid="6425" /&gt;
&lt;/p&gt;</t>
    <phoneticPr fontId="6" type="noConversion"/>
  </si>
  <si>
    <t>&lt;p&gt;
&lt;n&gt;  交：&lt;/n&gt;
 &lt;n&gt; &lt;/n&gt;&lt;goto quick="1" cid="15" id="532" mapid="5" flagpoint="1" taskid="6425"/&gt;&lt;/p&gt;</t>
    <phoneticPr fontId="6" type="noConversion"/>
  </si>
  <si>
    <t>&lt;p&gt;
&lt;n&gt;  找：&lt;/n&gt;
 &lt;n&gt; &lt;/n&gt;&lt;goto quick="1" cid="15" id="533" mapid="5" flagpoint="1" taskid="6426" /&gt;
&lt;/p&gt;</t>
    <phoneticPr fontId="6" type="noConversion"/>
  </si>
  <si>
    <t>&lt;p&gt;
&lt;n&gt;  交：&lt;/n&gt;
 &lt;n&gt; &lt;/n&gt;&lt;goto quick="1" cid="15" id="533" mapid="5" flagpoint="1" taskid="6426"/&gt;&lt;/p&gt;</t>
    <phoneticPr fontId="6" type="noConversion"/>
  </si>
  <si>
    <t>&lt;p&gt;
&lt;n&gt;  找：&lt;/n&gt;
 &lt;n&gt; &lt;/n&gt;&lt;goto quick="1" cid="15" id="10027" mapid="5" flagpoint="1" taskid="6427" /&gt;
&lt;/p&gt;</t>
    <phoneticPr fontId="6" type="noConversion"/>
  </si>
  <si>
    <t>&lt;p&gt;
&lt;n&gt;  交：&lt;/n&gt;
 &lt;n&gt; &lt;/n&gt;&lt;goto quick="1" cid="15" id="533" mapid="5" flagpoint="1" taskid="6427"/&gt;&lt;/p&gt;</t>
    <phoneticPr fontId="6" type="noConversion"/>
  </si>
  <si>
    <t>&lt;p&gt;
&lt;n&gt;  找：&lt;/n&gt;
 &lt;n&gt; &lt;/n&gt;&lt;goto quick="1" cid="15" id="535" mapid="5" flagpoint="1" taskid="6428" /&gt;
&lt;/p&gt;</t>
    <phoneticPr fontId="6" type="noConversion"/>
  </si>
  <si>
    <t>&lt;p&gt;
&lt;n&gt;  交：&lt;/n&gt;
 &lt;n&gt; &lt;/n&gt;&lt;goto quick="1" cid="15" id="535" mapid="5" flagpoint="1" taskid="6428"/&gt;&lt;/p&gt;</t>
    <phoneticPr fontId="6" type="noConversion"/>
  </si>
  <si>
    <t>&lt;p&gt;
&lt;n&gt;  查看&lt;/n&gt;
 &lt;n&gt; &lt;/n&gt;&lt;goto quick="1" cid="15" id="2044" mapid="5" flagpoint="1" taskid="6429" /&gt;
&lt;/p&gt;</t>
    <phoneticPr fontId="6" type="noConversion"/>
  </si>
  <si>
    <t>&lt;p&gt;
&lt;n&gt;  交：&lt;/n&gt;
 &lt;n&gt; &lt;/n&gt;&lt;goto quick="1" cid="15" id="535" mapid="5" flagpoint="1" taskid="6429"/&gt;&lt;/p&gt;</t>
    <phoneticPr fontId="6" type="noConversion"/>
  </si>
  <si>
    <t>&lt;p&gt;
&lt;n&gt;  击杀&lt;/n&gt;
 &lt;n&gt; &lt;/n&gt;&lt;goto quick="1" cid="15" id="10028" mapid="5" flagpoint="1" taskid="6430" /&gt;
&lt;/p&gt;</t>
    <phoneticPr fontId="6" type="noConversion"/>
  </si>
  <si>
    <t>&lt;p&gt;
&lt;n&gt;  交：&lt;/n&gt;
 &lt;n&gt; &lt;/n&gt;&lt;goto quick="1" cid="15" id="535" mapid="5" flagpoint="1" taskid="6430"/&gt;&lt;/p&gt;</t>
    <phoneticPr fontId="6" type="noConversion"/>
  </si>
  <si>
    <t>&lt;p&gt;
&lt;n&gt;  找：&lt;/n&gt;
 &lt;n&gt; &lt;/n&gt;&lt;goto quick="1" cid="15" id="543" mapid="3" flagpoint="1" taskid="6431" /&gt;
&lt;/p&gt;</t>
    <phoneticPr fontId="6" type="noConversion"/>
  </si>
  <si>
    <t>&lt;p&gt;
&lt;n&gt;  交：&lt;/n&gt;
 &lt;n&gt; &lt;/n&gt;&lt;goto quick="1" cid="15" id="543" mapid="3" flagpoint="1" taskid="6431"/&gt;&lt;/p&gt;</t>
    <phoneticPr fontId="6" type="noConversion"/>
  </si>
  <si>
    <t>&lt;p&gt;
&lt;n&gt;  采：&lt;/n&gt;
 &lt;n&gt; &lt;/n&gt;&lt;goto quick="1" cid="15" id="2045" mapid="3" flagpoint="1" taskid="6432" /&gt;
&lt;/p&gt;</t>
    <phoneticPr fontId="6" type="noConversion"/>
  </si>
  <si>
    <t>&lt;p&gt;
&lt;n&gt;  交：&lt;/n&gt;
 &lt;n&gt; &lt;/n&gt;&lt;goto quick="1" cid="15" id="543" mapid="3" flagpoint="1" taskid="6432"/&gt;&lt;/p&gt;</t>
    <phoneticPr fontId="6" type="noConversion"/>
  </si>
  <si>
    <t>&lt;p&gt;
&lt;n&gt;  找：&lt;/n&gt;
 &lt;n&gt; &lt;/n&gt;&lt;goto quick="1" cid="15" id="619" mapid="3" flagpoint="1" taskid="6433" /&gt;
&lt;/p&gt;</t>
    <phoneticPr fontId="6" type="noConversion"/>
  </si>
  <si>
    <t>&lt;p&gt;
&lt;n&gt;  交：&lt;/n&gt;
 &lt;n&gt; &lt;/n&gt;&lt;goto quick="1" cid="15" id="619" mapid="3" flagpoint="1" taskid="6433"/&gt;&lt;/p&gt;</t>
    <phoneticPr fontId="6" type="noConversion"/>
  </si>
  <si>
    <t>&lt;p&gt;
&lt;n&gt;  找：&lt;/n&gt;
 &lt;n&gt; &lt;/n&gt;&lt;goto quick="1" cid="15" id="619" mapid="3" flagpoint="1" taskid="6434" /&gt;
&lt;/p&gt;</t>
    <phoneticPr fontId="6" type="noConversion"/>
  </si>
  <si>
    <t>&lt;p&gt;
&lt;n&gt;  交：&lt;/n&gt;
 &lt;n&gt; &lt;/n&gt;&lt;goto quick="1" cid="15" id="619" mapid="3" flagpoint="1" taskid="6434"/&gt;&lt;/p&gt;</t>
    <phoneticPr fontId="6" type="noConversion"/>
  </si>
  <si>
    <t>&lt;p&gt;
&lt;n&gt;  找：&lt;/n&gt;
 &lt;n&gt; &lt;/n&gt;&lt;goto quick="1" cid="15" id="10028" mapid="3" flagpoint="1" taskid="6435" /&gt;
&lt;/p&gt;</t>
    <phoneticPr fontId="6" type="noConversion"/>
  </si>
  <si>
    <t>&lt;p&gt;
&lt;n&gt;  交：&lt;/n&gt;
 &lt;n&gt; &lt;/n&gt;&lt;goto quick="1" cid="15" id="614" mapid="3" flagpoint="1" taskid="6435"/&gt;&lt;/p&gt;</t>
    <phoneticPr fontId="6" type="noConversion"/>
  </si>
  <si>
    <t>&lt;p&gt;
&lt;n&gt;  收集&lt;/n&gt;
 &lt;n&gt; &lt;/n&gt;&lt;goto quick="1" cid="15" id="2049" mapid="3" flagpoint="1" taskid="6436" /&gt;
&lt;/p&gt;</t>
    <phoneticPr fontId="6" type="noConversion"/>
  </si>
  <si>
    <t>&lt;p&gt;
&lt;n&gt;  交：&lt;/n&gt;
 &lt;n&gt; &lt;/n&gt;&lt;goto quick="1" cid="15" id="620" mapid="3" flagpoint="1" taskid="6436"/&gt;&lt;/p&gt;</t>
    <phoneticPr fontId="6" type="noConversion"/>
  </si>
  <si>
    <t>&lt;p&gt;
&lt;n&gt;  找：&lt;/n&gt;
 &lt;n&gt; &lt;/n&gt;&lt;goto quick="1" cid="15" id="614" mapid="3" flagpoint="1" taskid="6437" /&gt;
&lt;/p&gt;</t>
    <phoneticPr fontId="6" type="noConversion"/>
  </si>
  <si>
    <t>&lt;p&gt;
&lt;n&gt;  交：&lt;/n&gt;
 &lt;n&gt; &lt;/n&gt;&lt;goto quick="1" cid="15" id="614" mapid="3" flagpoint="1" taskid="6437"/&gt;&lt;/p&gt;</t>
    <phoneticPr fontId="6" type="noConversion"/>
  </si>
  <si>
    <t>&lt;p&gt;
&lt;n&gt;  击杀&lt;/n&gt;
 &lt;n&gt; &lt;/n&gt;&lt;goto quick="1" cid="15" id="10029" mapid="3" flagpoint="1" taskid="6438" /&gt;
&lt;/p&gt;</t>
    <phoneticPr fontId="6" type="noConversion"/>
  </si>
  <si>
    <t>&lt;p&gt;
&lt;n&gt;  交：&lt;/n&gt;
 &lt;n&gt; &lt;/n&gt;&lt;goto quick="1" cid="15" id="620" mapid="3" flagpoint="1" taskid="6438"/&gt;&lt;/p&gt;</t>
    <phoneticPr fontId="6" type="noConversion"/>
  </si>
  <si>
    <t>&lt;p&gt;
&lt;n&gt;  找：&lt;/n&gt;
 &lt;n&gt; &lt;/n&gt;&lt;goto quick="1" cid="15" id="618" mapid="3" flagpoint="1" taskid="6439" /&gt;
&lt;/p&gt;</t>
    <phoneticPr fontId="6" type="noConversion"/>
  </si>
  <si>
    <t>&lt;p&gt;
&lt;n&gt;  交：&lt;/n&gt;
 &lt;n&gt; &lt;/n&gt;&lt;goto quick="1" cid="15" id="618" mapid="3" flagpoint="1" taskid="6439"/&gt;&lt;/p&gt;</t>
    <phoneticPr fontId="6" type="noConversion"/>
  </si>
  <si>
    <t>&lt;p&gt;
&lt;n&gt;  找：&lt;/n&gt;
 &lt;n&gt; &lt;/n&gt;&lt;goto quick="1" cid="15" id="618" mapid="3" flagpoint="1" taskid="6440" /&gt;
&lt;/p&gt;</t>
    <phoneticPr fontId="6" type="noConversion"/>
  </si>
  <si>
    <t>&lt;p&gt;
&lt;n&gt;  交：&lt;/n&gt;
 &lt;n&gt; &lt;/n&gt;&lt;goto quick="1" cid="15" id="618" mapid="3" flagpoint="1" taskid="6440"/&gt;&lt;/p&gt;</t>
    <phoneticPr fontId="6" type="noConversion"/>
  </si>
  <si>
    <t>&lt;p&gt;
&lt;n&gt;  找：&lt;/n&gt;
 &lt;n&gt; &lt;/n&gt;&lt;goto quick="1" cid="15" id="613" mapid="3" flagpoint="1" taskid="6441" /&gt;
&lt;/p&gt;</t>
    <phoneticPr fontId="6" type="noConversion"/>
  </si>
  <si>
    <t>&lt;p&gt;
&lt;n&gt;  交：&lt;/n&gt;
 &lt;n&gt; &lt;/n&gt;&lt;goto quick="1" cid="15" id="613" mapid="3" flagpoint="1" taskid="6441"/&gt;&lt;/p&gt;</t>
    <phoneticPr fontId="6" type="noConversion"/>
  </si>
  <si>
    <t>&lt;p&gt;
&lt;n&gt;  采集&lt;/n&gt;
 &lt;n&gt; &lt;/n&gt;&lt;goto quick="1" cid="15" id="2047" mapid="3" flagpoint="1" taskid="6442" /&gt;
&lt;/p&gt;</t>
    <phoneticPr fontId="6" type="noConversion"/>
  </si>
  <si>
    <t>&lt;p&gt;
&lt;n&gt;  交：&lt;/n&gt;
 &lt;n&gt; &lt;/n&gt;&lt;goto quick="1" cid="15" id="613" mapid="3" flagpoint="1" taskid="6442"/&gt;&lt;/p&gt;</t>
    <phoneticPr fontId="6" type="noConversion"/>
  </si>
  <si>
    <t>&lt;p&gt;
&lt;n&gt;  找：&lt;/n&gt;
 &lt;n&gt; &lt;/n&gt;&lt;goto quick="1" cid="15" id="538" mapid="3" flagpoint="1" taskid="6443" /&gt;
&lt;/p&gt;</t>
    <phoneticPr fontId="6" type="noConversion"/>
  </si>
  <si>
    <t>&lt;p&gt;
&lt;n&gt;  交：&lt;/n&gt;
 &lt;n&gt; &lt;/n&gt;&lt;goto quick="1" cid="15" id="538" mapid="3" flagpoint="1" taskid="6443"/&gt;&lt;/p&gt;</t>
    <phoneticPr fontId="6" type="noConversion"/>
  </si>
  <si>
    <t>&lt;p&gt;
&lt;n&gt;  找：&lt;/n&gt;
 &lt;n&gt; &lt;/n&gt;&lt;goto quick="1" cid="15" id="614" mapid="3" flagpoint="1" taskid="6444" /&gt;
&lt;/p&gt;</t>
    <phoneticPr fontId="6" type="noConversion"/>
  </si>
  <si>
    <t>&lt;p&gt;
&lt;n&gt;  交：&lt;/n&gt;
 &lt;n&gt; &lt;/n&gt;&lt;goto quick="1" cid="15" id="614" mapid="3" flagpoint="1" taskid="6444"/&gt;&lt;/p&gt;</t>
    <phoneticPr fontId="6" type="noConversion"/>
  </si>
  <si>
    <t>&lt;p&gt;
&lt;n&gt;  找：&lt;/n&gt;
 &lt;n&gt; &lt;/n&gt;&lt;goto quick="1" cid="15" id="538" mapid="3" flagpoint="1" taskid="6445" /&gt;
&lt;/p&gt;</t>
    <phoneticPr fontId="6" type="noConversion"/>
  </si>
  <si>
    <t>&lt;p&gt;
&lt;n&gt;  交：&lt;/n&gt;
 &lt;n&gt; &lt;/n&gt;&lt;goto quick="1" cid="15" id="538" mapid="3" flagpoint="1" taskid="6445"/&gt;&lt;/p&gt;</t>
    <phoneticPr fontId="6" type="noConversion"/>
  </si>
  <si>
    <t>&lt;p&gt;
&lt;n&gt;  找：&lt;/n&gt;
 &lt;n&gt; &lt;/n&gt;&lt;goto quick="1" cid="15" id="614" mapid="3" flagpoint="1" taskid="6446" /&gt;
&lt;/p&gt;</t>
    <phoneticPr fontId="6" type="noConversion"/>
  </si>
  <si>
    <t>&lt;p&gt;
&lt;n&gt;  交：&lt;/n&gt;
 &lt;n&gt; &lt;/n&gt;&lt;goto quick="1" cid="15" id="614" mapid="3" flagpoint="1" taskid="6446"/&gt;&lt;/p&gt;</t>
    <phoneticPr fontId="6" type="noConversion"/>
  </si>
  <si>
    <t>&lt;p&gt;
&lt;n&gt;  找：&lt;/n&gt;
 &lt;n&gt; &lt;/n&gt;&lt;goto quick="1" cid="15" id="615" mapid="3" flagpoint="1" taskid="6447" /&gt;
&lt;/p&gt;</t>
    <phoneticPr fontId="6" type="noConversion"/>
  </si>
  <si>
    <t>&lt;p&gt;
&lt;n&gt;  交：&lt;/n&gt;
 &lt;n&gt; &lt;/n&gt;&lt;goto quick="1" cid="15" id="615" mapid="3" flagpoint="1" taskid="6447"/&gt;&lt;/p&gt;</t>
    <phoneticPr fontId="6" type="noConversion"/>
  </si>
  <si>
    <t>&lt;p&gt;
&lt;n&gt;  找：&lt;/n&gt;
 &lt;n&gt; &lt;/n&gt;&lt;goto quick="1" cid="15" id="616" mapid="3" flagpoint="1" taskid="6448" /&gt;
&lt;/p&gt;</t>
    <phoneticPr fontId="6" type="noConversion"/>
  </si>
  <si>
    <t>&lt;p&gt;
&lt;n&gt;  交：&lt;/n&gt;
 &lt;n&gt; &lt;/n&gt;&lt;goto quick="1" cid="15" id="616" mapid="3" flagpoint="1" taskid="6448"/&gt;&lt;/p&gt;</t>
    <phoneticPr fontId="6" type="noConversion"/>
  </si>
  <si>
    <t>&lt;p&gt;
&lt;n&gt;  找：&lt;/n&gt;
 &lt;n&gt; &lt;/n&gt;&lt;goto quick="1" cid="15" id="10030" mapid="3" flagpoint="1" taskid="6449" /&gt;
&lt;/p&gt;</t>
    <phoneticPr fontId="6" type="noConversion"/>
  </si>
  <si>
    <t>&lt;p&gt;
&lt;n&gt;  交：&lt;/n&gt;
 &lt;n&gt; &lt;/n&gt;&lt;goto quick="1" cid="15" id="616" mapid="3" flagpoint="1" taskid="6449"/&gt;&lt;/p&gt;</t>
    <phoneticPr fontId="6" type="noConversion"/>
  </si>
  <si>
    <t>&lt;p&gt;
&lt;n&gt;  找：&lt;/n&gt;
 &lt;n&gt; &lt;/n&gt;&lt;goto quick="1" cid="15" id="619" mapid="3" flagpoint="1" taskid="6450" /&gt;
&lt;/p&gt;</t>
    <phoneticPr fontId="6" type="noConversion"/>
  </si>
  <si>
    <t>&lt;p&gt;
&lt;n&gt;  交：&lt;/n&gt;
 &lt;n&gt; &lt;/n&gt;&lt;goto quick="1" cid="15" id="619" mapid="3" flagpoint="1" taskid="6450"/&gt;&lt;/p&gt;</t>
    <phoneticPr fontId="6" type="noConversion"/>
  </si>
  <si>
    <t>&lt;p&gt;
&lt;n&gt;  找：&lt;/n&gt;
 &lt;n&gt; &lt;/n&gt;&lt;goto quick="1" cid="15" id="2048" mapid="3" flagpoint="1" taskid="6451" /&gt;
&lt;/p&gt;</t>
    <phoneticPr fontId="6" type="noConversion"/>
  </si>
  <si>
    <t>&lt;p&gt;
&lt;n&gt;  交：&lt;/n&gt;
 &lt;n&gt; &lt;/n&gt;&lt;goto quick="1" cid="15" id="618" mapid="3" flagpoint="1" taskid="6451"/&gt;&lt;/p&gt;</t>
    <phoneticPr fontId="6" type="noConversion"/>
  </si>
  <si>
    <t>&lt;p&gt;
&lt;n&gt;  找：&lt;/n&gt;
 &lt;n&gt; &lt;/n&gt;&lt;goto quick="1" cid="15" id="614" mapid="3" flagpoint="1" taskid="6452" /&gt;
&lt;/p&gt;</t>
    <phoneticPr fontId="6" type="noConversion"/>
  </si>
  <si>
    <t>&lt;p&gt;
&lt;n&gt;  交：&lt;/n&gt;
 &lt;n&gt; &lt;/n&gt;&lt;goto quick="1" cid="15" id="614" mapid="3" flagpoint="1" taskid="6452"/&gt;&lt;/p&gt;</t>
    <phoneticPr fontId="6" type="noConversion"/>
  </si>
  <si>
    <t>&lt;p&gt;
&lt;n&gt;  找：&lt;/n&gt;
 &lt;n&gt; &lt;/n&gt;&lt;goto quick="1" cid="15" id="2049" mapid="3" flagpoint="1" taskid="6453" /&gt;
&lt;/p&gt;</t>
    <phoneticPr fontId="6" type="noConversion"/>
  </si>
  <si>
    <t>&lt;p&gt;
&lt;n&gt;  交：&lt;/n&gt;
 &lt;n&gt; &lt;/n&gt;&lt;goto quick="1" cid="15" id="614" mapid="3" flagpoint="1" taskid="6453"/&gt;&lt;/p&gt;</t>
    <phoneticPr fontId="6" type="noConversion"/>
  </si>
  <si>
    <t>&lt;p&gt;
&lt;n&gt;  找：&lt;/n&gt;
 &lt;n&gt; &lt;/n&gt;&lt;goto quick="1" cid="15" id="545" mapid="3" flagpoint="1" taskid="6454" /&gt;
&lt;/p&gt;</t>
    <phoneticPr fontId="6" type="noConversion"/>
  </si>
  <si>
    <t>&lt;p&gt;
&lt;n&gt;  交：&lt;/n&gt;
 &lt;n&gt; &lt;/n&gt;&lt;goto quick="1" cid="15" id="545" mapid="3" flagpoint="1" taskid="6454"/&gt;&lt;/p&gt;</t>
    <phoneticPr fontId="6" type="noConversion"/>
  </si>
  <si>
    <t>&lt;p&gt;
&lt;n&gt;  找：&lt;/n&gt;
 &lt;n&gt; &lt;/n&gt;&lt;goto quick="1" cid="15" id="10030" mapid="3" flagpoint="1" taskid="6455" /&gt;
&lt;/p&gt;</t>
    <phoneticPr fontId="6" type="noConversion"/>
  </si>
  <si>
    <t>&lt;p&gt;
&lt;n&gt;  交：&lt;/n&gt;
 &lt;n&gt; &lt;/n&gt;&lt;goto quick="1" cid="15" id="545" mapid="3" flagpoint="1" taskid="6455"/&gt;&lt;/p&gt;</t>
    <phoneticPr fontId="6" type="noConversion"/>
  </si>
  <si>
    <t>&lt;p&gt;
&lt;n&gt;  找：&lt;/n&gt;
 &lt;n&gt; &lt;/n&gt;&lt;goto quick="1" cid="15" id="617" mapid="3" flagpoint="1" taskid="6456" /&gt;
&lt;/p&gt;</t>
    <phoneticPr fontId="6" type="noConversion"/>
  </si>
  <si>
    <t>&lt;p&gt;
&lt;n&gt;  交：&lt;/n&gt;
 &lt;n&gt; &lt;/n&gt;&lt;goto quick="1" cid="15" id="617" mapid="3" flagpoint="1" taskid="6456"/&gt;&lt;/p&gt;</t>
    <phoneticPr fontId="6" type="noConversion"/>
  </si>
  <si>
    <t>&lt;p&gt;
&lt;n&gt;  找：&lt;/n&gt;
 &lt;n&gt; &lt;/n&gt;&lt;goto quick="1" cid="15" id="545" mapid="3" flagpoint="1" taskid="6457" /&gt;
&lt;/p&gt;</t>
    <phoneticPr fontId="6" type="noConversion"/>
  </si>
  <si>
    <t>&lt;p&gt;
&lt;n&gt;  交：&lt;/n&gt;
 &lt;n&gt; &lt;/n&gt;&lt;goto quick="1" cid="15" id="545" mapid="3" flagpoint="1" taskid="6457"/&gt;&lt;/p&gt;</t>
    <phoneticPr fontId="6" type="noConversion"/>
  </si>
  <si>
    <t>&lt;p&gt;
&lt;n&gt;  找：&lt;/n&gt;
 &lt;n&gt; &lt;/n&gt;&lt;goto quick="1" cid="15" id="10031" mapid="3" flagpoint="1" taskid="6458" /&gt;
&lt;/p&gt;</t>
    <phoneticPr fontId="6" type="noConversion"/>
  </si>
  <si>
    <t>&lt;p&gt;
&lt;n&gt;  交：&lt;/n&gt;
 &lt;n&gt; &lt;/n&gt;&lt;goto quick="1" cid="15" id="545" mapid="3" flagpoint="1" taskid="6458"/&gt;&lt;/p&gt;</t>
    <phoneticPr fontId="6" type="noConversion"/>
  </si>
  <si>
    <t>&lt;p&gt;
&lt;n&gt;  找：&lt;/n&gt;
 &lt;n&gt; &lt;/n&gt;&lt;goto quick="1" cid="15" id="545" mapid="3" flagpoint="1" taskid="6459" /&gt;
&lt;/p&gt;</t>
    <phoneticPr fontId="6" type="noConversion"/>
  </si>
  <si>
    <t>&lt;p&gt;
&lt;n&gt;  交：&lt;/n&gt;
 &lt;n&gt; &lt;/n&gt;&lt;goto quick="1" cid="15" id="545" mapid="3" flagpoint="1" taskid="6459"/&gt;&lt;/p&gt;</t>
    <phoneticPr fontId="6" type="noConversion"/>
  </si>
  <si>
    <t>&lt;p&gt;
&lt;n&gt;  找：&lt;/n&gt;
 &lt;n&gt; &lt;/n&gt;&lt;goto quick="1" cid="15" id="538" mapid="3" flagpoint="1" taskid="6460" /&gt;
&lt;/p&gt;</t>
    <phoneticPr fontId="6" type="noConversion"/>
  </si>
  <si>
    <t>&lt;p&gt;
&lt;n&gt;  交：&lt;/n&gt;
 &lt;n&gt; &lt;/n&gt;&lt;goto quick="1" cid="15" id="538" mapid="3" flagpoint="1" taskid="6460"/&gt;&lt;/p&gt;</t>
    <phoneticPr fontId="6" type="noConversion"/>
  </si>
  <si>
    <t>&lt;p&gt;
&lt;n&gt;  找：&lt;/n&gt;
 &lt;n&gt; &lt;/n&gt;&lt;goto quick="1" cid="15" id="538" mapid="3" flagpoint="1" taskid="6461" /&gt;
&lt;/p&gt;</t>
    <phoneticPr fontId="6" type="noConversion"/>
  </si>
  <si>
    <t>&lt;p&gt;
&lt;n&gt;  交：&lt;/n&gt;
 &lt;n&gt; &lt;/n&gt;&lt;goto quick="1" cid="15" id="538" mapid="3" flagpoint="1" taskid="6461"/&gt;&lt;/p&gt;</t>
    <phoneticPr fontId="6" type="noConversion"/>
  </si>
  <si>
    <t>&lt;p&gt;
&lt;n&gt;  采集：&lt;/n&gt;
 &lt;n&gt; &lt;/n&gt;&lt;goto quick="1" cid="15" id="2050" mapid="3" flagpoint="1" taskid="6462" /&gt;
&lt;/p&gt;</t>
    <phoneticPr fontId="6" type="noConversion"/>
  </si>
  <si>
    <t>&lt;p&gt;
&lt;n&gt;  交：&lt;/n&gt;
 &lt;n&gt; &lt;/n&gt;&lt;goto quick="1" cid="15" id="545" mapid="3" flagpoint="1" taskid="6462"/&gt;&lt;/p&gt;</t>
    <phoneticPr fontId="6" type="noConversion"/>
  </si>
  <si>
    <t>&lt;p&gt;
&lt;n&gt;  找：&lt;/n&gt;
 &lt;n&gt; &lt;/n&gt;&lt;goto quick="1" cid="15" id="618" mapid="3" flagpoint="1" taskid="6463" /&gt;
&lt;/p&gt;</t>
    <phoneticPr fontId="6" type="noConversion"/>
  </si>
  <si>
    <t>&lt;p&gt;
&lt;n&gt;  交：&lt;/n&gt;
 &lt;n&gt; &lt;/n&gt;&lt;goto quick="1" cid="15" id="618" mapid="3" flagpoint="1" taskid="6463"/&gt;&lt;/p&gt;</t>
    <phoneticPr fontId="6" type="noConversion"/>
  </si>
  <si>
    <t>&lt;p&gt;
&lt;n&gt;  找：&lt;/n&gt;
 &lt;n&gt; &lt;/n&gt;&lt;goto quick="1" cid="15" id="2051" mapid="5" flagpoint="1" taskid="6464" /&gt;
&lt;/p&gt;</t>
    <phoneticPr fontId="6" type="noConversion"/>
  </si>
  <si>
    <t>&lt;p&gt;
&lt;n&gt;  交：&lt;/n&gt;
 &lt;n&gt; &lt;/n&gt;&lt;goto quick="1" cid="15" id="621" mapid="7" flagpoint="1" taskid="6464"/&gt;&lt;/p&gt;</t>
    <phoneticPr fontId="6" type="noConversion"/>
  </si>
  <si>
    <t>&lt;p&gt;
&lt;n&gt;  找：&lt;/n&gt;
 &lt;n&gt; &lt;/n&gt;&lt;goto quick="1" cid="15" id="622" mapid="7" flagpoint="1" taskid="6465" /&gt;
&lt;/p&gt;</t>
    <phoneticPr fontId="6" type="noConversion"/>
  </si>
  <si>
    <t>&lt;p&gt;
&lt;n&gt;  交：&lt;/n&gt;
 &lt;n&gt; &lt;/n&gt;&lt;goto quick="1" cid="15" id="622" mapid="7" flagpoint="1" taskid="6465"/&gt;&lt;/p&gt;</t>
    <phoneticPr fontId="6" type="noConversion"/>
  </si>
  <si>
    <t>&lt;p&gt;
&lt;n&gt;  找：&lt;/n&gt;
 &lt;n&gt; &lt;/n&gt;&lt;goto quick="1" cid="15" id="622" mapid="7" flagpoint="1" taskid="6466" /&gt;
&lt;/p&gt;</t>
    <phoneticPr fontId="6" type="noConversion"/>
  </si>
  <si>
    <t>&lt;p&gt;
&lt;n&gt;  交：&lt;/n&gt;
 &lt;n&gt; &lt;/n&gt;&lt;goto quick="1" cid="15" id="622" mapid="7" flagpoint="1" taskid="6466"/&gt;&lt;/p&gt;</t>
    <phoneticPr fontId="6" type="noConversion"/>
  </si>
  <si>
    <t>&lt;p&gt;
&lt;n&gt;  找：&lt;/n&gt;
 &lt;n&gt; &lt;/n&gt;&lt;goto quick="1" cid="15" id="10032" mapid="7" flagpoint="1" taskid="6467" /&gt;
&lt;/p&gt;</t>
    <phoneticPr fontId="6" type="noConversion"/>
  </si>
  <si>
    <t>&lt;p&gt;
&lt;n&gt;  交：&lt;/n&gt;
 &lt;n&gt; &lt;/n&gt;&lt;goto quick="1" cid="15" id="622" mapid="7" flagpoint="1" taskid="6467"/&gt;&lt;/p&gt;</t>
    <phoneticPr fontId="6" type="noConversion"/>
  </si>
  <si>
    <t>&lt;p&gt;
&lt;n&gt;  找：&lt;/n&gt;
 &lt;n&gt; &lt;/n&gt;&lt;goto quick="1" cid="15" id="622" mapid="7" flagpoint="1" taskid="6468" /&gt;
&lt;/p&gt;</t>
    <phoneticPr fontId="6" type="noConversion"/>
  </si>
  <si>
    <t>&lt;p&gt;
&lt;n&gt;  交：&lt;/n&gt;
 &lt;n&gt; &lt;/n&gt;&lt;goto quick="1" cid="15" id="622" mapid="7" flagpoint="1" taskid="6468"/&gt;&lt;/p&gt;</t>
    <phoneticPr fontId="6" type="noConversion"/>
  </si>
  <si>
    <t>&lt;p&gt;
&lt;n&gt;  找：&lt;/n&gt;
 &lt;n&gt; &lt;/n&gt;&lt;goto quick="1" cid="15" id="623" mapid="7" flagpoint="1" taskid="6469" /&gt;
&lt;/p&gt;</t>
    <phoneticPr fontId="6" type="noConversion"/>
  </si>
  <si>
    <t>&lt;p&gt;
&lt;n&gt;  交：&lt;/n&gt;
 &lt;n&gt; &lt;/n&gt;&lt;goto quick="1" cid="15" id="623" mapid="7" flagpoint="1" taskid="6469"/&gt;&lt;/p&gt;</t>
    <phoneticPr fontId="6" type="noConversion"/>
  </si>
  <si>
    <t>&lt;p&gt;
&lt;n&gt;  找：&lt;/n&gt;
 &lt;n&gt; &lt;/n&gt;&lt;goto quick="1" cid="15" id="10032" mapid="7" flagpoint="1" taskid="6470" /&gt;
&lt;/p&gt;</t>
    <phoneticPr fontId="6" type="noConversion"/>
  </si>
  <si>
    <t>&lt;p&gt;
&lt;n&gt;  交：&lt;/n&gt;
 &lt;n&gt; &lt;/n&gt;&lt;goto quick="1" cid="15" id="623" mapid="7" flagpoint="1" taskid="6470"/&gt;&lt;/p&gt;</t>
    <phoneticPr fontId="6" type="noConversion"/>
  </si>
  <si>
    <t>&lt;p&gt;
&lt;n&gt;  找：&lt;/n&gt;
 &lt;n&gt; &lt;/n&gt;&lt;goto quick="1" cid="15" id="624" mapid="7" flagpoint="1" taskid="6471" /&gt;
&lt;/p&gt;</t>
    <phoneticPr fontId="6" type="noConversion"/>
  </si>
  <si>
    <t>&lt;p&gt;
&lt;n&gt;  交：&lt;/n&gt;
 &lt;n&gt; &lt;/n&gt;&lt;goto quick="1" cid="15" id="624" mapid="7" flagpoint="1" taskid="6471"/&gt;&lt;/p&gt;</t>
    <phoneticPr fontId="6" type="noConversion"/>
  </si>
  <si>
    <t>&lt;p&gt;
&lt;n&gt;  找：&lt;/n&gt;
 &lt;n&gt; &lt;/n&gt;&lt;goto quick="1" cid="15" id="624" mapid="7" flagpoint="1" taskid="6472" /&gt;
&lt;/p&gt;</t>
    <phoneticPr fontId="6" type="noConversion"/>
  </si>
  <si>
    <t>&lt;p&gt;
&lt;n&gt;  交：&lt;/n&gt;
 &lt;n&gt; &lt;/n&gt;&lt;goto quick="1" cid="15" id="624" mapid="7" flagpoint="1" taskid="6472"/&gt;&lt;/p&gt;</t>
    <phoneticPr fontId="6" type="noConversion"/>
  </si>
  <si>
    <t>&lt;p&gt;
&lt;n&gt;  采集：&lt;/n&gt;
 &lt;n&gt; &lt;/n&gt;&lt;goto quick="1" cid="15" id="2052" mapid="7" flagpoint="1" taskid="6473" /&gt;
&lt;/p&gt;</t>
    <phoneticPr fontId="6" type="noConversion"/>
  </si>
  <si>
    <t>&lt;p&gt;
&lt;n&gt;  交：&lt;/n&gt;
 &lt;n&gt; &lt;/n&gt;&lt;goto quick="1" cid="15" id="624" mapid="7" flagpoint="1" taskid="6473"/&gt;&lt;/p&gt;</t>
    <phoneticPr fontId="6" type="noConversion"/>
  </si>
  <si>
    <t>&lt;p&gt;
&lt;n&gt;  找：&lt;/n&gt;
 &lt;n&gt; &lt;/n&gt;&lt;goto quick="1" cid="15" id="623" mapid="7" flagpoint="1" taskid="6474" /&gt;
&lt;/p&gt;</t>
    <phoneticPr fontId="6" type="noConversion"/>
  </si>
  <si>
    <t>&lt;p&gt;
&lt;n&gt;  交：&lt;/n&gt;
 &lt;n&gt; &lt;/n&gt;&lt;goto quick="1" cid="15" id="623" mapid="7" flagpoint="1" taskid="6474"/&gt;&lt;/p&gt;</t>
    <phoneticPr fontId="6" type="noConversion"/>
  </si>
  <si>
    <t>&lt;p&gt;
&lt;n&gt;  找：&lt;/n&gt;
 &lt;n&gt; &lt;/n&gt;&lt;goto quick="1" cid="15" id="622" mapid="7" flagpoint="1" taskid="6475" /&gt;
&lt;/p&gt;</t>
    <phoneticPr fontId="6" type="noConversion"/>
  </si>
  <si>
    <t>&lt;p&gt;
&lt;n&gt;  交：&lt;/n&gt;
 &lt;n&gt; &lt;/n&gt;&lt;goto quick="1" cid="15" id="622" mapid="7" flagpoint="1" taskid="6475"/&gt;&lt;/p&gt;</t>
    <phoneticPr fontId="6" type="noConversion"/>
  </si>
  <si>
    <t>&lt;p&gt;
&lt;n&gt;  找：&lt;/n&gt;
 &lt;n&gt; &lt;/n&gt;&lt;goto quick="1" cid="15" id="624" mapid="7" flagpoint="1" taskid="6477" /&gt;
&lt;/p&gt;</t>
    <phoneticPr fontId="6" type="noConversion"/>
  </si>
  <si>
    <t>&lt;p&gt;
&lt;n&gt;  交：&lt;/n&gt;
 &lt;n&gt; &lt;/n&gt;&lt;goto quick="1" cid="15" id="624" mapid="7" flagpoint="1" taskid="6477"/&gt;&lt;/p&gt;</t>
    <phoneticPr fontId="6" type="noConversion"/>
  </si>
  <si>
    <t>&lt;p&gt;
&lt;n&gt;  找：&lt;/n&gt;
 &lt;n&gt; &lt;/n&gt;&lt;goto quick="1" cid="15" id="621" mapid="7" flagpoint="1" taskid="6478" /&gt;
&lt;/p&gt;</t>
    <phoneticPr fontId="6" type="noConversion"/>
  </si>
  <si>
    <t>&lt;p&gt;
&lt;n&gt;  交：&lt;/n&gt;
 &lt;n&gt; &lt;/n&gt;&lt;goto quick="1" cid="15" id="621" mapid="7" flagpoint="1" taskid="6478"/&gt;&lt;/p&gt;</t>
    <phoneticPr fontId="6" type="noConversion"/>
  </si>
  <si>
    <t>&lt;p&gt;
&lt;n&gt;  破除：&lt;/n&gt;
 &lt;n&gt; &lt;/n&gt;&lt;goto quick="1" cid="15" id="2003" mapid="1" flagpoint="1" taskid="6479" /&gt;
&lt;/p&gt;</t>
    <phoneticPr fontId="6" type="noConversion"/>
  </si>
  <si>
    <t>&lt;p&gt;
&lt;n&gt;  交：&lt;/n&gt;
 &lt;n&gt; &lt;/n&gt;&lt;goto quick="1" cid="15" id="622" mapid="7" flagpoint="1" taskid="6479"/&gt;&lt;/p&gt;</t>
    <phoneticPr fontId="6" type="noConversion"/>
  </si>
  <si>
    <t>&lt;p&gt;
&lt;n&gt;  找：&lt;/n&gt;
 &lt;n&gt; &lt;/n&gt;&lt;goto quick="1" cid="15" id="623" mapid="7" flagpoint="1" taskid="6480" /&gt;
&lt;/p&gt;</t>
    <phoneticPr fontId="6" type="noConversion"/>
  </si>
  <si>
    <t>&lt;p&gt;
&lt;n&gt;  交：&lt;/n&gt;
 &lt;n&gt; &lt;/n&gt;&lt;goto quick="1" cid="15" id="623" mapid="7" flagpoint="1" taskid="6480"/&gt;&lt;/p&gt;</t>
    <phoneticPr fontId="6" type="noConversion"/>
  </si>
  <si>
    <t>&lt;p&gt;
&lt;n&gt;  找：&lt;/n&gt;
 &lt;n&gt; &lt;/n&gt;&lt;goto quick="1" cid="15" id="622" mapid="7" flagpoint="1" taskid="6481" /&gt;
&lt;/p&gt;</t>
    <phoneticPr fontId="6" type="noConversion"/>
  </si>
  <si>
    <t>&lt;p&gt;
&lt;n&gt;  交：&lt;/n&gt;
 &lt;n&gt; &lt;/n&gt;&lt;goto quick="1" cid="15" id="622" mapid="7" flagpoint="1" taskid="6481"/&gt;&lt;/p&gt;</t>
    <phoneticPr fontId="6" type="noConversion"/>
  </si>
  <si>
    <t>&lt;p&gt;
&lt;n&gt;  找：&lt;/n&gt;
 &lt;n&gt; &lt;/n&gt;&lt;goto quick="1" cid="15" id="625" mapid="7" flagpoint="1" taskid="6482" /&gt;
&lt;/p&gt;</t>
    <phoneticPr fontId="6" type="noConversion"/>
  </si>
  <si>
    <t>&lt;p&gt;
&lt;n&gt;  交：&lt;/n&gt;
 &lt;n&gt; &lt;/n&gt;&lt;goto quick="1" cid="15" id="625" mapid="7" flagpoint="1" taskid="6482"/&gt;&lt;/p&gt;</t>
    <phoneticPr fontId="6" type="noConversion"/>
  </si>
  <si>
    <t>&lt;p&gt;
&lt;n&gt;  击杀：&lt;/n&gt;
 &lt;n&gt; &lt;/n&gt;&lt;goto quick="1" cid="15" id="10033" mapid="7" flagpoint="1" taskid="6483" /&gt;
&lt;/p&gt;</t>
    <phoneticPr fontId="6" type="noConversion"/>
  </si>
  <si>
    <t>&lt;p&gt;
&lt;n&gt;  交：&lt;/n&gt;
 &lt;n&gt; &lt;/n&gt;&lt;goto quick="1" cid="15" id="625" mapid="7" flagpoint="1" taskid="6483"/&gt;&lt;/p&gt;</t>
    <phoneticPr fontId="6" type="noConversion"/>
  </si>
  <si>
    <t>&lt;p&gt;
&lt;n&gt;  找：&lt;/n&gt;
 &lt;n&gt; &lt;/n&gt;&lt;goto quick="1" cid="15" id="621" mapid="7" flagpoint="1" taskid="6484" /&gt;
&lt;/p&gt;</t>
    <phoneticPr fontId="6" type="noConversion"/>
  </si>
  <si>
    <t>&lt;p&gt;
&lt;n&gt;  交：&lt;/n&gt;
 &lt;n&gt; &lt;/n&gt;&lt;goto quick="1" cid="15" id="621" mapid="7" flagpoint="1" taskid="6484"/&gt;&lt;/p&gt;</t>
    <phoneticPr fontId="6" type="noConversion"/>
  </si>
  <si>
    <t>&lt;p&gt;
&lt;n&gt;  找：&lt;/n&gt;
 &lt;n&gt; &lt;/n&gt;&lt;goto quick="1" cid="15" id="626" mapid="7" flagpoint="1" taskid="6485" /&gt;
&lt;/p&gt;</t>
    <phoneticPr fontId="6" type="noConversion"/>
  </si>
  <si>
    <t>&lt;p&gt;
&lt;n&gt;  交：&lt;/n&gt;
 &lt;n&gt; &lt;/n&gt;&lt;goto quick="1" cid="15" id="626" mapid="7" flagpoint="1" taskid="6485"/&gt;&lt;/p&gt;</t>
    <phoneticPr fontId="6" type="noConversion"/>
  </si>
  <si>
    <t>&lt;p&gt;
&lt;n&gt;  击杀：&lt;/n&gt;
 &lt;n&gt; &lt;/n&gt;&lt;goto quick="1" cid="15" id="10034" mapid="7" flagpoint="1" taskid="6486" /&gt;
&lt;/p&gt;</t>
    <phoneticPr fontId="6" type="noConversion"/>
  </si>
  <si>
    <t>&lt;p&gt;
&lt;n&gt;  交：&lt;/n&gt;
 &lt;n&gt; &lt;/n&gt;&lt;goto quick="1" cid="15" id="626" mapid="7" flagpoint="1" taskid="6486"/&gt;&lt;/p&gt;</t>
    <phoneticPr fontId="6" type="noConversion"/>
  </si>
  <si>
    <t>&lt;p&gt;
&lt;n&gt;  采集：&lt;/n&gt;
 &lt;n&gt; &lt;/n&gt;&lt;goto quick="1" cid="15" id="2054" mapid="7" flagpoint="1" taskid="6487" /&gt;
&lt;/p&gt;</t>
    <phoneticPr fontId="6" type="noConversion"/>
  </si>
  <si>
    <t>&lt;p&gt;
&lt;n&gt;  交：&lt;/n&gt;
 &lt;n&gt; &lt;/n&gt;&lt;goto quick="1" cid="15" id="626" mapid="7" flagpoint="1" taskid="6487"/&gt;&lt;/p&gt;</t>
    <phoneticPr fontId="6" type="noConversion"/>
  </si>
  <si>
    <t>&lt;p&gt;
&lt;n&gt;  找：&lt;/n&gt;
 &lt;n&gt; &lt;/n&gt;&lt;goto quick="1" cid="15" id="621" mapid="7" flagpoint="1" taskid="6488" /&gt;
&lt;/p&gt;</t>
    <phoneticPr fontId="6" type="noConversion"/>
  </si>
  <si>
    <t>&lt;p&gt;
&lt;n&gt;  交：&lt;/n&gt;
 &lt;n&gt; &lt;/n&gt;&lt;goto quick="1" cid="15" id="621" mapid="7" flagpoint="1" taskid="6488"/&gt;&lt;/p&gt;</t>
    <phoneticPr fontId="6" type="noConversion"/>
  </si>
  <si>
    <t>&lt;p&gt;
&lt;n&gt;  找：&lt;/n&gt;
 &lt;n&gt; &lt;/n&gt;&lt;goto quick="1" cid="15" id="621" mapid="7" flagpoint="1" taskid="6489" /&gt;
&lt;/p&gt;</t>
    <phoneticPr fontId="6" type="noConversion"/>
  </si>
  <si>
    <t>&lt;p&gt;
&lt;n&gt;  交：&lt;/n&gt;
 &lt;n&gt; &lt;/n&gt;&lt;goto quick="1" cid="15" id="621" mapid="7" flagpoint="1" taskid="6489"/&gt;&lt;/p&gt;</t>
    <phoneticPr fontId="6" type="noConversion"/>
  </si>
  <si>
    <t>&lt;n&gt;  交：&lt;/n&gt;
 &lt;n&gt; &lt;/n&gt;&lt;goto id="45112" mapid="101" flagpoint="1" taskid="25302"/&gt;&lt;/p&gt;</t>
    <phoneticPr fontId="6" type="noConversion"/>
  </si>
  <si>
    <t>&lt;n&gt;  交：&lt;/n&gt;
 &lt;n&gt; &lt;/n&gt;&lt;goto id="45112" mapid="101" flagpoint="1" taskid="25303"/&gt;&lt;/p&gt;</t>
    <phoneticPr fontId="6" type="noConversion"/>
  </si>
  <si>
    <t>&lt;n&gt;  交：&lt;/n&gt;
 &lt;n&gt; &lt;/n&gt;&lt;goto id="45112" mapid="101" flagpoint="1" taskid="25304"/&gt;&lt;/p&gt;</t>
    <phoneticPr fontId="6" type="noConversion"/>
  </si>
  <si>
    <t>&lt;n&gt;  交：&lt;/n&gt;
 &lt;n&gt; &lt;/n&gt;&lt;goto id="45112" mapid="101" flagpoint="1" taskid="25305"/&gt;&lt;/p&gt;</t>
    <phoneticPr fontId="6" type="noConversion"/>
  </si>
  <si>
    <t>&lt;n&gt;  交：&lt;/n&gt;
 &lt;n&gt; &lt;/n&gt;&lt;goto id="45112" mapid="101" flagpoint="1" taskid="25306"/&gt;&lt;/p&gt;</t>
    <phoneticPr fontId="6" type="noConversion"/>
  </si>
  <si>
    <t>&lt;n&gt;  交：&lt;/n&gt;
 &lt;n&gt; &lt;/n&gt;&lt;goto id="45112" mapid="101" flagpoint="1" taskid="25501"/&gt;&lt;/p&gt;</t>
    <phoneticPr fontId="6" type="noConversion"/>
  </si>
  <si>
    <t>&lt;n&gt;  交：&lt;/n&gt;
 &lt;n&gt; &lt;/n&gt;&lt;goto id="45112" mapid="101" flagpoint="1" taskid="25502"/&gt;&lt;/p&gt;</t>
    <phoneticPr fontId="6" type="noConversion"/>
  </si>
  <si>
    <t>&lt;n&gt;  交：&lt;/n&gt;
 &lt;n&gt; &lt;/n&gt;&lt;goto id="45112" mapid="101" flagpoint="1" taskid="25503"/&gt;&lt;/p&gt;</t>
    <phoneticPr fontId="6" type="noConversion"/>
  </si>
  <si>
    <t>&lt;n&gt;  交：&lt;/n&gt;
 &lt;n&gt; &lt;/n&gt;&lt;goto id="45112" mapid="101" flagpoint="1" taskid="25504"/&gt;&lt;/p&gt;</t>
    <phoneticPr fontId="6" type="noConversion"/>
  </si>
  <si>
    <t>&lt;p&gt;
&lt;n&gt;  交：&lt;/n&gt;
 &lt;n&gt; &lt;/n&gt;&lt;goto id="45112" mapid="101" flagpoint="1" taskid="25301"/&gt;&lt;/p&gt;</t>
    <phoneticPr fontId="6" type="noConversion"/>
  </si>
  <si>
    <t>&lt;p&gt;
&lt;n effect=2&gt;  找到：&lt;/n&gt;&lt;n&gt;&lt;/n&gt;&lt;goto id="45119" mapid="101" flagpoint="1" taskid="25101"/&gt;
&lt;n effect=2&gt;替华少提亲&lt;/n&gt;
&lt;/p&gt;</t>
    <phoneticPr fontId="6" type="noConversion"/>
  </si>
  <si>
    <t>&lt;p&gt;
&lt;n effect=2&gt;  找到：&lt;/n&gt;&lt;n&gt;&lt;/n&gt;&lt;goto id="45113" mapid="101" flagpoint="1" taskid="25103"/&gt;
&lt;n effect=2&gt;慰问劳大叔&lt;/n&gt;
&lt;/p&gt;</t>
    <phoneticPr fontId="6" type="noConversion"/>
  </si>
  <si>
    <t>&lt;p&gt;
&lt;n effect=2&gt;  找到：&lt;/n&gt;&lt;n&gt;&lt;/n&gt;&lt;goto id="45113" mapid="101" flagpoint="1" taskid="25103"/&gt;
&lt;n effect=2&gt;替佳龙解释下&lt;/n&gt;
&lt;/p&gt;</t>
    <phoneticPr fontId="6" type="noConversion"/>
  </si>
  <si>
    <t>&lt;p&gt;
&lt;n effect=2&gt;  找到：&lt;/n&gt;&lt;n&gt;&lt;/n&gt;&lt;goto id="45129" mapid="101" flagpoint="1" taskid="25104"/&gt;
&lt;n effect=2&gt;替劳宫解释爽约的缘由&lt;/n&gt;
&lt;/p&gt;</t>
    <phoneticPr fontId="6" type="noConversion"/>
  </si>
  <si>
    <t>&lt;p&gt;
&lt;n effect=2&gt;  找到：&lt;/n&gt;&lt;n&gt;&lt;/n&gt;&lt;goto id="45113" mapid="101" flagpoint="1" taskid="25105"/&gt;
&lt;n effect=2&gt;借用下她的狗狗&lt;/n&gt;
&lt;/p&gt;</t>
    <phoneticPr fontId="6" type="noConversion"/>
  </si>
  <si>
    <t>&lt;p&gt;
&lt;n effect=2&gt;  找到：&lt;/n&gt;&lt;n&gt;&lt;/n&gt;&lt;goto id="45113" mapid="101" flagpoint="1" taskid="25106"/&gt;
&lt;n effect=2&gt;感谢借狗&lt;/n&gt;
&lt;/p&gt;</t>
    <phoneticPr fontId="6" type="noConversion"/>
  </si>
  <si>
    <t>&lt;p&gt;
&lt;n effect=2&gt;  找到：&lt;/n&gt;
 &lt;n&gt; &lt;/n&gt;&lt;goto id="45113" mapid="101" flagpoint="1" taskid="25601" /&gt;
&lt;n effect=2&gt; 陪源姑娘看彩蝶，需打坐1分钟&lt;/n&gt;
&lt;/p&gt;</t>
    <phoneticPr fontId="6" type="noConversion"/>
  </si>
  <si>
    <t>&lt;p&gt;
&lt;n effect=2&gt;  找到：&lt;/n&gt;
 &lt;n&gt; &lt;/n&gt;&lt;goto id="45118" mapid="101" flagpoint="1" taskid="25602" /&gt;
&lt;n effect=2&gt; 陪劳宫看萤火虫，需打坐1分钟&lt;/n&gt;
&lt;/p&gt;</t>
    <phoneticPr fontId="6" type="noConversion"/>
  </si>
  <si>
    <t>&lt;p&gt;
&lt;n effect=2&gt;  前往：&lt;/n&gt;
 &lt;n&gt; &lt;/n&gt;&lt;goto id="539" mapid="5" flagpoint="1" taskid="21719" /&gt;
&lt;/p&gt;</t>
    <phoneticPr fontId="6" type="noConversion"/>
  </si>
  <si>
    <t>&lt;p&gt;
&lt;n effect=2&gt;  前往：&lt;/n&gt;
 &lt;n&gt; &lt;/n&gt;&lt;goto id="531" mapid="5" flagpoint="1" taskid="21718" /&gt;
&lt;/p&gt;</t>
    <phoneticPr fontId="6" type="noConversion"/>
  </si>
  <si>
    <t>&lt;p&gt;
&lt;n effect=2&gt;  前往：&lt;/n&gt;
 &lt;n&gt; &lt;/n&gt;&lt;goto id="540" mapid="5" flagpoint="1" taskid="21717" /&gt;
&lt;/p&gt;</t>
    <phoneticPr fontId="6" type="noConversion"/>
  </si>
  <si>
    <t>&lt;p&gt;
&lt;n effect=2&gt;  前往：&lt;/n&gt;
 &lt;n&gt; &lt;/n&gt;&lt;goto id="60046" mapid="1" flagpoint="1" taskid="21711" /&gt;
&lt;/p&gt;</t>
    <phoneticPr fontId="6" type="noConversion"/>
  </si>
  <si>
    <t>&lt;p&gt;
&lt;n effect=2&gt;  前往：&lt;/n&gt;
 &lt;n&gt; &lt;/n&gt;&lt;goto id="60045" mapid="1" flagpoint="1" taskid="21710" /&gt;
&lt;/p&gt;</t>
    <phoneticPr fontId="6" type="noConversion"/>
  </si>
  <si>
    <t>&lt;p&gt;
&lt;n effect=2&gt;  前往：&lt;/n&gt;
 &lt;n&gt; &lt;/n&gt;&lt;goto id="525" mapid="4" flagpoint="1" taskid="21709" /&gt;
&lt;/p&gt;</t>
    <phoneticPr fontId="6" type="noConversion"/>
  </si>
  <si>
    <t>&lt;p&gt;
&lt;n effect=2&gt;  前往：&lt;/n&gt;
 &lt;n&gt; &lt;/n&gt;&lt;goto id="523" mapid="4" flagpoint="1" taskid="21708" /&gt;
&lt;/p&gt;</t>
    <phoneticPr fontId="6" type="noConversion"/>
  </si>
  <si>
    <t>&lt;p&gt;
&lt;n effect=2&gt;  前往：&lt;/n&gt;
 &lt;n&gt; &lt;/n&gt;&lt;goto id="522" mapid="4" flagpoint="1" taskid="21707" /&gt;
&lt;/p&gt;</t>
    <phoneticPr fontId="6" type="noConversion"/>
  </si>
  <si>
    <t>&lt;p&gt;
&lt;n effect=2&gt;  前往：&lt;/n&gt;
 &lt;n&gt; &lt;/n&gt;&lt;goto id="513" mapid="6" flagpoint="1" taskid="21706" /&gt;
&lt;/p&gt;</t>
    <phoneticPr fontId="6" type="noConversion"/>
  </si>
  <si>
    <t>&lt;p&gt;
&lt;n effect=2&gt;  前往：&lt;/n&gt;
 &lt;n&gt; &lt;/n&gt;&lt;goto id="512" mapid="6" flagpoint="1" taskid="21705" /&gt;
&lt;/p&gt;</t>
    <phoneticPr fontId="6" type="noConversion"/>
  </si>
  <si>
    <t>&lt;p&gt;
&lt;n effect=2&gt;  前往：&lt;/n&gt;
 &lt;n&gt; &lt;/n&gt;&lt;goto id="511" mapid="6" flagpoint="1" taskid="21704" /&gt;
&lt;/p&gt;</t>
    <phoneticPr fontId="6" type="noConversion"/>
  </si>
  <si>
    <t>&lt;p&gt;
&lt;n effect=2&gt;  前往：&lt;/n&gt;
 &lt;n&gt; &lt;/n&gt;&lt;goto id="507" mapid="2" flagpoint="1" taskid="21703" /&gt;
&lt;/p&gt;</t>
    <phoneticPr fontId="6" type="noConversion"/>
  </si>
  <si>
    <t>&lt;p&gt;
&lt;n effect=2&gt;  前往：&lt;/n&gt;
 &lt;n&gt; &lt;/n&gt;&lt;goto id="506" mapid="2" flagpoint="1" taskid="21702" /&gt;
&lt;/p&gt;</t>
    <phoneticPr fontId="6" type="noConversion"/>
  </si>
  <si>
    <t>&lt;p&gt;
&lt;n effect=2&gt;  前往：&lt;/n&gt;
 &lt;n&gt; &lt;/n&gt;&lt;goto id="505" mapid="2" flagpoint="1" taskid="21701" /&gt;
&lt;/p&gt;</t>
    <phoneticPr fontId="6" type="noConversion"/>
  </si>
  <si>
    <t>&lt;p&gt;
&lt;n effect=2&gt;  送信给：&lt;/n&gt;
 &lt;n&gt; &lt;/n&gt;&lt;goto id="541" mapid="5" flagpoint="1" taskid="21619" /&gt;
&lt;/p&gt;</t>
    <phoneticPr fontId="6" type="noConversion"/>
  </si>
  <si>
    <t>&lt;p&gt;
&lt;n effect=2&gt;  送信给：&lt;/n&gt;
 &lt;n&gt; &lt;/n&gt;&lt;goto id="536" mapid="5" flagpoint="1" taskid="21618" /&gt;
&lt;/p&gt;</t>
    <phoneticPr fontId="6" type="noConversion"/>
  </si>
  <si>
    <t>&lt;p&gt;
&lt;n effect=2&gt;  送信给：&lt;/n&gt;
 &lt;n&gt; &lt;/n&gt;&lt;goto id="60559" mapid="5" flagpoint="1" taskid="21617" /&gt;
&lt;/p&gt;</t>
    <phoneticPr fontId="6" type="noConversion"/>
  </si>
  <si>
    <t>&lt;p&gt;
&lt;n effect=2&gt;  送信给：&lt;/n&gt;
 &lt;n&gt; &lt;/n&gt;&lt;goto id="60031" mapid="1" flagpoint="1" taskid="21613" /&gt;
&lt;/p&gt;</t>
    <phoneticPr fontId="6" type="noConversion"/>
  </si>
  <si>
    <t>&lt;p&gt;
&lt;n effect=2&gt;  送信给：&lt;/n&gt;
 &lt;n&gt; &lt;/n&gt;&lt;goto id="60007" mapid="1" flagpoint="1" taskid="21612" /&gt;
&lt;/p&gt;</t>
    <phoneticPr fontId="6" type="noConversion"/>
  </si>
  <si>
    <t>&lt;p&gt;
&lt;n effect=2&gt;  送信给：&lt;/n&gt;
 &lt;n&gt; &lt;/n&gt;&lt;goto id="60046" mapid="1" flagpoint="1" taskid="21611" /&gt;
&lt;/p&gt;</t>
    <phoneticPr fontId="6" type="noConversion"/>
  </si>
  <si>
    <t>&lt;p&gt;
&lt;n effect=2&gt;  送信给：&lt;/n&gt;
 &lt;n&gt; &lt;/n&gt;&lt;goto id="60045" mapid="1" flagpoint="1" taskid="21610" /&gt;
&lt;/p&gt;</t>
    <phoneticPr fontId="6" type="noConversion"/>
  </si>
  <si>
    <t>&lt;p&gt;
&lt;n effect=2&gt;  送信给：&lt;/n&gt;
 &lt;n&gt; &lt;/n&gt;&lt;goto id="525" mapid="4" flagpoint="1" taskid="21609" /&gt;
&lt;/p&gt;</t>
    <phoneticPr fontId="6" type="noConversion"/>
  </si>
  <si>
    <t>&lt;p&gt;
&lt;n effect=2&gt;  送信给：&lt;/n&gt;
 &lt;n&gt; &lt;/n&gt;&lt;goto id="530" mapid="4" flagpoint="1" taskid="21608" /&gt;
&lt;/p&gt;</t>
    <phoneticPr fontId="6" type="noConversion"/>
  </si>
  <si>
    <t>&lt;p&gt;
&lt;n effect=2&gt;  送信给：&lt;/n&gt;
 &lt;n&gt; &lt;/n&gt;&lt;goto id="521" mapid="4" flagpoint="1" taskid="21607" /&gt;
&lt;/p&gt;</t>
    <phoneticPr fontId="6" type="noConversion"/>
  </si>
  <si>
    <t>&lt;p&gt;
&lt;n effect=2&gt;  送信给：&lt;/n&gt;
 &lt;n&gt; &lt;/n&gt;&lt;goto id="512" mapid="6" flagpoint="1" taskid="21606" /&gt;
&lt;/p&gt;</t>
    <phoneticPr fontId="6" type="noConversion"/>
  </si>
  <si>
    <t>&lt;p&gt;
&lt;n effect=2&gt;  送信给：&lt;/n&gt;
 &lt;n&gt; &lt;/n&gt;&lt;goto id="516" mapid="6" flagpoint="1" taskid="21605" /&gt;
&lt;/p&gt;</t>
    <phoneticPr fontId="6" type="noConversion"/>
  </si>
  <si>
    <t>&lt;p&gt;
&lt;n effect=2&gt;  送信给：&lt;/n&gt;
 &lt;n&gt; &lt;/n&gt;&lt;goto id="514" mapid="6" flagpoint="1" taskid="21604" /&gt;
&lt;/p&gt;</t>
    <phoneticPr fontId="6" type="noConversion"/>
  </si>
  <si>
    <t>&lt;p&gt;
&lt;n effect=2&gt;  送信给：&lt;/n&gt;
 &lt;n&gt; &lt;/n&gt;&lt;goto id="506" mapid="2" flagpoint="1" taskid="21603" /&gt;
&lt;/p&gt;</t>
    <phoneticPr fontId="6" type="noConversion"/>
  </si>
  <si>
    <t>&lt;p&gt;
&lt;n effect=2&gt;  送信给：&lt;/n&gt;
 &lt;n&gt; &lt;/n&gt;&lt;goto id="503" mapid="2" flagpoint="1" taskid="21602" /&gt;
&lt;/p&gt;</t>
    <phoneticPr fontId="6" type="noConversion"/>
  </si>
  <si>
    <t>&lt;p&gt;
&lt;n effect=2&gt;  送信给：&lt;/n&gt;
 &lt;n&gt; &lt;/n&gt;&lt;goto id="502" mapid="2" flagpoint="1" taskid="21601" /&gt;
&lt;/p&gt;</t>
    <phoneticPr fontId="6" type="noConversion"/>
  </si>
  <si>
    <t>&lt;p&gt;
&lt;n effect=2&gt;  拜访：&lt;/n&gt;
 &lt;n&gt; &lt;/n&gt;&lt;goto id="534" mapid="5" flagpoint="1" taskid="21017" /&gt;
&lt;/p&gt;</t>
    <phoneticPr fontId="6" type="noConversion"/>
  </si>
  <si>
    <t>&lt;p&gt;
&lt;n effect=2&gt;  拜访：&lt;/n&gt;
 &lt;n&gt; &lt;/n&gt;&lt;goto id="535" mapid="5" flagpoint="1" taskid="21018" /&gt;
&lt;/p&gt;</t>
    <phoneticPr fontId="6" type="noConversion"/>
  </si>
  <si>
    <t>&lt;p&gt;
&lt;n effect=2&gt;  拜访：&lt;/n&gt;
 &lt;n&gt; &lt;/n&gt;&lt;goto id="537" mapid="5" flagpoint="1" taskid="21019" /&gt;
&lt;/p&gt;</t>
    <phoneticPr fontId="6" type="noConversion"/>
  </si>
  <si>
    <t>&lt;p&gt;
&lt;n effect=2&gt;  拜访：&lt;/n&gt;
 &lt;n&gt; &lt;/n&gt;&lt;goto id="505" mapid="2" flagpoint="1" taskid="21001" /&gt;
&lt;/p&gt;</t>
    <phoneticPr fontId="6" type="noConversion"/>
  </si>
  <si>
    <t>&lt;p&gt;
&lt;n effect=2&gt;  拜访：&lt;/n&gt;
 &lt;n&gt; &lt;/n&gt;&lt;goto id="501" mapid="2" flagpoint="1" taskid="21002" /&gt;
&lt;/p&gt;</t>
    <phoneticPr fontId="6" type="noConversion"/>
  </si>
  <si>
    <t>&lt;p&gt;
&lt;n effect=2&gt;  拜访：&lt;/n&gt;
 &lt;n&gt; &lt;/n&gt;&lt;goto id="509" mapid="2" flagpoint="1" taskid="21003" /&gt;
&lt;/p&gt;</t>
    <phoneticPr fontId="6" type="noConversion"/>
  </si>
  <si>
    <t>&lt;p&gt;
&lt;n effect=2&gt;  拜访：&lt;/n&gt;
 &lt;n&gt; &lt;/n&gt;&lt;goto id="512" mapid="6" flagpoint="1" taskid="21004" /&gt;
&lt;/p&gt;</t>
    <phoneticPr fontId="6" type="noConversion"/>
  </si>
  <si>
    <t>&lt;p&gt;
&lt;n effect=2&gt;  拜访：&lt;/n&gt;
 &lt;n&gt; &lt;/n&gt;&lt;goto id="513" mapid="6" flagpoint="1" taskid="21005" /&gt;
&lt;/p&gt;</t>
    <phoneticPr fontId="6" type="noConversion"/>
  </si>
  <si>
    <t>&lt;p&gt;
&lt;n effect=2&gt;  拜访：&lt;/n&gt;
 &lt;n&gt; &lt;/n&gt;&lt;goto id="511" mapid="6" flagpoint="1" taskid="21006" /&gt;
&lt;/p&gt;</t>
    <phoneticPr fontId="6" type="noConversion"/>
  </si>
  <si>
    <t>&lt;p&gt;
&lt;n effect=2&gt;  拜访：&lt;/n&gt;
 &lt;n&gt; &lt;/n&gt;&lt;goto id="525" mapid="4" flagpoint="1" taskid="21007" /&gt;
&lt;/p&gt;</t>
    <phoneticPr fontId="6" type="noConversion"/>
  </si>
  <si>
    <t>&lt;p&gt;
&lt;n effect=2&gt;  拜访：&lt;/n&gt;
 &lt;n&gt; &lt;/n&gt;&lt;goto id="526" mapid="4" flagpoint="1" taskid="21008" /&gt;
&lt;/p&gt;</t>
    <phoneticPr fontId="6" type="noConversion"/>
  </si>
  <si>
    <t>&lt;p&gt;
&lt;n effect=2&gt;  拜访：&lt;/n&gt;
 &lt;n&gt; &lt;/n&gt;&lt;goto id="523" mapid="4" flagpoint="1" taskid="21009" /&gt;
&lt;/p&gt;</t>
    <phoneticPr fontId="6" type="noConversion"/>
  </si>
  <si>
    <t>&lt;p&gt;
&lt;n effect=2&gt;  拜访：&lt;/n&gt;
 &lt;n&gt; &lt;/n&gt;&lt;goto id="60045" mapid="1" flagpoint="1" taskid="21010" /&gt;
&lt;/p&gt;</t>
    <phoneticPr fontId="6" type="noConversion"/>
  </si>
  <si>
    <t>&lt;p&gt;
&lt;n effect=2&gt;  拜访：&lt;/n&gt;
 &lt;n&gt; &lt;/n&gt;&lt;goto id="60046" mapid="1" flagpoint="1" taskid="21011" /&gt;
&lt;/p&gt;</t>
    <phoneticPr fontId="6" type="noConversion"/>
  </si>
  <si>
    <t>&lt;p&gt;
&lt;n effect=2&gt;  拜访：&lt;/n&gt;
 &lt;n&gt; &lt;/n&gt;&lt;goto id="60007" mapid="1" flagpoint="1" taskid="21012" /&gt;
&lt;/p&gt;</t>
    <phoneticPr fontId="6" type="noConversion"/>
  </si>
  <si>
    <t>body(   萌萌总算回来了，看来……它还是在乎我的！)</t>
    <phoneticPr fontId="6" type="noConversion"/>
  </si>
  <si>
    <t>&lt;p&gt;&lt;n color='GXColorYellow' effect=2&gt;     寻找萌萌需要通过马绳上的线索&lt;/n&gt;&lt;newline/&gt;&lt;n color='GXColorYellow' effect=2&gt;   1.萌萌的盒子内有随机品质的马绳。&lt;/n&gt;&lt;newline/&gt;&lt;n color='GXColorYellow' effect=2&gt;   2.点击马绳后，再点击右下角信息栏的坐标指引就可以去到萌萌所在的位置。&lt;/n&gt;&lt;newline/&gt;&lt;n color='GXColorYellow' effect=2&gt;   3.到指定坐标再点击马绳就可找到萌萌。&lt;/n&gt;&lt;/p&gt;</t>
    <phoneticPr fontId="6" type="noConversion"/>
  </si>
  <si>
    <t>&lt;p&gt;&lt;n&gt;  通过马绳找到萌萌&lt;/n&gt;
&lt;n&gt;  回复：&lt;/n&gt;&lt;goto id="535" mapid="5" flagpoint="1" taskid="30400"/&gt;
&lt;/p&gt;</t>
    <phoneticPr fontId="6" type="noConversion"/>
  </si>
  <si>
    <t>&lt;n&gt;  交：&lt;/n&gt;
 &lt;n&gt; &lt;/n&gt;&lt;goto quick=1 id="576" mapid="2" flagpoint="1" taskid="21901"/&gt;&lt;/p&gt;</t>
    <phoneticPr fontId="6" type="noConversion"/>
  </si>
  <si>
    <t>&lt;n&gt;  交：&lt;/n&gt;
 &lt;n&gt; &lt;/n&gt;&lt;goto quick=1 id="576" mapid="2" flagpoint="1" taskid="21902"/&gt;&lt;/p&gt;</t>
    <phoneticPr fontId="6" type="noConversion"/>
  </si>
  <si>
    <t>&lt;n&gt;  交：&lt;/n&gt;
 &lt;n&gt; &lt;/n&gt;&lt;goto quick=1 id="576" mapid="2" flagpoint="1" taskid="21903"/&gt;&lt;/p&gt;</t>
    <phoneticPr fontId="6" type="noConversion"/>
  </si>
  <si>
    <t>&lt;n&gt;  交：&lt;/n&gt;
 &lt;n&gt; &lt;/n&gt;&lt;goto quick=1 id="576" mapid="2" flagpoint="1" taskid="21904"/&gt;&lt;/p&gt;</t>
    <phoneticPr fontId="6" type="noConversion"/>
  </si>
  <si>
    <t>&lt;n&gt;  交：&lt;/n&gt;
 &lt;n&gt; &lt;/n&gt;&lt;goto quick=1 id="576" mapid="2" flagpoint="1" taskid="21905"/&gt;&lt;/p&gt;</t>
    <phoneticPr fontId="6" type="noConversion"/>
  </si>
  <si>
    <t>&lt;n&gt;  交：&lt;/n&gt;
 &lt;n&gt; &lt;/n&gt;&lt;goto quick=1 id="576" mapid="2" flagpoint="1" taskid="21906"/&gt;&lt;/p&gt;</t>
    <phoneticPr fontId="6" type="noConversion"/>
  </si>
  <si>
    <t>&lt;n&gt;  交：&lt;/n&gt;
 &lt;n&gt; &lt;/n&gt;&lt;goto quick=1 id="576" mapid="2" flagpoint="1" taskid="21907"/&gt;&lt;/p&gt;</t>
    <phoneticPr fontId="6" type="noConversion"/>
  </si>
  <si>
    <t>&lt;n&gt;  交：&lt;/n&gt;
 &lt;n&gt; &lt;/n&gt;&lt;goto quick=1 id="576" mapid="2" flagpoint="1" taskid="21908"/&gt;&lt;/p&gt;</t>
    <phoneticPr fontId="6" type="noConversion"/>
  </si>
  <si>
    <t>&lt;n&gt;  交：&lt;/n&gt;
 &lt;n&gt; &lt;/n&gt;&lt;goto quick=1 id="576" mapid="2" flagpoint="1" taskid="21909"/&gt;&lt;/p&gt;</t>
    <phoneticPr fontId="6" type="noConversion"/>
  </si>
  <si>
    <t>&lt;n&gt;  交：&lt;/n&gt;
 &lt;n&gt; &lt;/n&gt;&lt;goto quick=1 id="576" mapid="2" flagpoint="1" taskid="21910"/&gt;&lt;/p&gt;</t>
    <phoneticPr fontId="6" type="noConversion"/>
  </si>
  <si>
    <t>&lt;n&gt;  交：&lt;/n&gt;
 &lt;n&gt; &lt;/n&gt;&lt;goto quick=1 id="576" mapid="2" flagpoint="1" taskid="21911"/&gt;&lt;/p&gt;</t>
    <phoneticPr fontId="6" type="noConversion"/>
  </si>
  <si>
    <t>&lt;n&gt;  交：&lt;/n&gt;
 &lt;n&gt; &lt;/n&gt;&lt;goto quick=1 id="576" mapid="2" flagpoint="1" taskid="21912"/&gt;&lt;/p&gt;</t>
    <phoneticPr fontId="6" type="noConversion"/>
  </si>
  <si>
    <t>&lt;n&gt;  交：&lt;/n&gt;
 &lt;n&gt; &lt;/n&gt;&lt;goto quick=1 id="576" mapid="2" flagpoint="1" taskid="21913"/&gt;&lt;/p&gt;</t>
    <phoneticPr fontId="6" type="noConversion"/>
  </si>
  <si>
    <t>&lt;n&gt;  交：&lt;/n&gt;
 &lt;n&gt; &lt;/n&gt;&lt;goto quick=1 id="576" mapid="2" flagpoint="1" taskid="21914"/&gt;&lt;/p&gt;</t>
    <phoneticPr fontId="6" type="noConversion"/>
  </si>
  <si>
    <t>&lt;n&gt;  交：&lt;/n&gt;
 &lt;n&gt; &lt;/n&gt;&lt;goto quick=1 id="576" mapid="2" flagpoint="1" taskid="21915"/&gt;&lt;/p&gt;</t>
    <phoneticPr fontId="6" type="noConversion"/>
  </si>
  <si>
    <t>&lt;n&gt;  交：&lt;/n&gt;
 &lt;n&gt; &lt;/n&gt;&lt;goto quick=1 id="576" mapid="2" flagpoint="1" taskid="21916"/&gt;&lt;/p&gt;</t>
    <phoneticPr fontId="6" type="noConversion"/>
  </si>
  <si>
    <t>&lt;n&gt;  交：&lt;/n&gt;
 &lt;n&gt; &lt;/n&gt;&lt;goto quick=1 id="576" mapid="2" flagpoint="1" taskid="21917"/&gt;&lt;/p&gt;</t>
    <phoneticPr fontId="6" type="noConversion"/>
  </si>
  <si>
    <t>&lt;n&gt;  交：&lt;/n&gt;
 &lt;n&gt; &lt;/n&gt;&lt;goto quick=1 id="576" mapid="2" flagpoint="1" taskid="21918"/&gt;&lt;/p&gt;</t>
    <phoneticPr fontId="6" type="noConversion"/>
  </si>
  <si>
    <t>&lt;n&gt;  交：&lt;/n&gt;
 &lt;n&gt; &lt;/n&gt;&lt;goto quick=1 id="576" mapid="2" flagpoint="1" taskid="21919"/&gt;&lt;/p&gt;</t>
    <phoneticPr fontId="6" type="noConversion"/>
  </si>
  <si>
    <t>&lt;n&gt;  交：&lt;/n&gt;
 &lt;n&gt; &lt;/n&gt;&lt;goto quick=1 id="576" mapid="2" flagpoint="1" taskid="21920"/&gt;&lt;/p&gt;</t>
    <phoneticPr fontId="6" type="noConversion"/>
  </si>
  <si>
    <t>[节日]全民英雄</t>
    <phoneticPr fontId="6" type="noConversion"/>
  </si>
  <si>
    <t>活动大使</t>
    <phoneticPr fontId="6" type="noConversion"/>
  </si>
  <si>
    <r>
      <t>{{31508,3,3</t>
    </r>
    <r>
      <rPr>
        <b/>
        <sz val="10"/>
        <color indexed="10"/>
        <rFont val="宋体"/>
        <family val="3"/>
        <charset val="134"/>
      </rPr>
      <t>,0,"1-1"},{31509,3,1,0,"1-1"}}</t>
    </r>
    <phoneticPr fontId="6" type="noConversion"/>
  </si>
  <si>
    <r>
      <t>{{27125,3,10</t>
    </r>
    <r>
      <rPr>
        <b/>
        <sz val="10"/>
        <color indexed="10"/>
        <rFont val="宋体"/>
        <family val="3"/>
        <charset val="134"/>
      </rPr>
      <t>,0,"1-1"},{10,3,5,0,"1-1"}}</t>
    </r>
    <r>
      <rPr>
        <sz val="11"/>
        <color theme="1"/>
        <rFont val="宋体"/>
        <family val="2"/>
        <charset val="134"/>
        <scheme val="minor"/>
      </rPr>
      <t/>
    </r>
    <phoneticPr fontId="6" type="noConversion"/>
  </si>
  <si>
    <t>body(      亲爱player()，接取任务后会获得一个变身道具，请查看您的包裹，使用变身道具变身为指定英雄即可完成任务哦~)</t>
    <phoneticPr fontId="6" type="noConversion"/>
  </si>
  <si>
    <t>"你需要使用包裹中的变身道具变身为指定英雄交付任务"</t>
    <phoneticPr fontId="6" type="noConversion"/>
  </si>
  <si>
    <t>body(      亲爱player()，对你来说挺简单啊。)</t>
    <phoneticPr fontId="6" type="noConversion"/>
  </si>
  <si>
    <r>
      <t>{{60012,3,1</t>
    </r>
    <r>
      <rPr>
        <b/>
        <sz val="10"/>
        <color indexed="10"/>
        <rFont val="宋体"/>
        <family val="3"/>
        <charset val="134"/>
      </rPr>
      <t>,0,"1-1"}}</t>
    </r>
    <r>
      <rPr>
        <sz val="11"/>
        <color theme="1"/>
        <rFont val="宋体"/>
        <family val="2"/>
        <charset val="134"/>
        <scheme val="minor"/>
      </rPr>
      <t/>
    </r>
    <phoneticPr fontId="6" type="noConversion"/>
  </si>
  <si>
    <t>title([节日]亡灵骑士VS狼人帮会团)
body(hotyellow_3(任务进程:)newline()
space()space()space()前往hot(五丈原)杀死10个hot(狼人士兵)，（杀死goto(60943,7)随机出现任务怪物），回复goto(337,3).
blankline()hotyellow_3(任务描述:)newline() 
space()space()space()在这特殊的时刻，五丈原的遗忘之门又打开了，这次，狼人头领率领帮会团来到奥丁大陆捣乱了，还抢劫了很多万圣节礼物，正准备运送回去呢，遵从亡灵骑士的命令，前去击退那些不友善的来访者吧！newline() 
space()space()space()hot4(51级)以上的玩家，具有接受委托的资格，击杀指定的目标后，即可获得奖励，甚至还有可能获得稀有的亡灵骑士专属坐骑：hot(恶灵鬼马坐骑时装)！
)"</t>
    <phoneticPr fontId="6" type="noConversion"/>
  </si>
  <si>
    <t>title(（14级）未来的种子)
body(hotyellow_3(任务进程:)newline()
   替goto(60019,2)前往pos(163,314,2)完成种子的种植。blankline()   在迷雾废墟坐标点（163，314）使用道具小麦种子。
blankline()hotyellow_3(任务描述:)newline() 
   被诅咒的迷雾废墟，缺少粮食和药物。如果你想改变这一切，就需要将希望的种子播撒。他能够抵御诅咒，成长为我们的粮食。不要问我从哪里得到，这是我的秘密。)</t>
    <phoneticPr fontId="6" type="noConversion"/>
  </si>
  <si>
    <t>&lt;n effect=4 font=2 color=White scolor=Turp&gt;通过马绳的线索找到萌萌&lt;/n&gt;</t>
    <phoneticPr fontId="6" type="noConversion"/>
  </si>
  <si>
    <t>&lt;n effect=4 font=2 color=White scolor=Turp&gt;根据任务提示变身为指定英雄&lt;/n&gt;</t>
    <phoneticPr fontId="6" type="noConversion"/>
  </si>
  <si>
    <t>&lt;p&gt;
&lt;n&gt;  击杀：&lt;/n&gt;
 &lt;n&gt; &lt;/n&gt;&lt;goto quick="1" cid="15" id="10034" mapid="7" flagpoint="1" taskid="6490" /&gt;
&lt;/p&gt;</t>
    <phoneticPr fontId="6" type="noConversion"/>
  </si>
  <si>
    <t>&lt;p&gt;
&lt;n&gt;  击杀：&lt;/n&gt;
 &lt;n&gt; &lt;/n&gt;&lt;goto quick="1" id="10035" mapid="8" flagpoint="1" taskid="8002" /&gt;
&lt;/p&gt;</t>
    <phoneticPr fontId="6" type="noConversion"/>
  </si>
  <si>
    <t>[91级]打探消息</t>
    <phoneticPr fontId="6" type="noConversion"/>
  </si>
  <si>
    <t>&lt;p&gt;
&lt;n&gt;  交：&lt;/n&gt;
 &lt;n&gt; &lt;/n&gt;&lt;goto quick="1" cid="15" id="621" mapid="7" flagpoint="1" taskid="6490"/&gt;&lt;/p&gt;</t>
    <phoneticPr fontId="6" type="noConversion"/>
  </si>
  <si>
    <t>&lt;p&gt;
&lt;n&gt;  找：&lt;/n&gt;
 &lt;n&gt; &lt;/n&gt;&lt;goto quick="1" id="521" mapid="4" flagpoint="1" taskid="6330" /&gt;
&lt;/p&gt;</t>
    <phoneticPr fontId="6" type="noConversion"/>
  </si>
  <si>
    <t>&lt;p&gt;
&lt;n&gt;  找：&lt;/n&gt;
 &lt;n&gt; &lt;/n&gt;&lt;goto id="595" quick="1" mapid="7" flagpoint="1" taskid="6329" /&gt;
&lt;/p&gt;</t>
    <phoneticPr fontId="6" type="noConversion"/>
  </si>
  <si>
    <t>&lt;p&gt;
&lt;n&gt;  找：&lt;/n&gt;
 &lt;n&gt; &lt;/n&gt;&lt;goto id="627" mapid="8" flagpoint="1" taskid="8001" /&gt;
&lt;/p&gt;</t>
    <phoneticPr fontId="6" type="noConversion"/>
  </si>
  <si>
    <t>&lt;p&gt;
&lt;n&gt;  交：&lt;/n&gt;
 &lt;n&gt; &lt;/n&gt;&lt;goto id="627" cid="15" mapid="8" flagpoint="1" taskid="8001"/&gt;&lt;/p&gt;</t>
    <phoneticPr fontId="6" type="noConversion"/>
  </si>
  <si>
    <t>[日常]战阵夺营</t>
    <phoneticPr fontId="6" type="noConversion"/>
  </si>
  <si>
    <t>左慈大人</t>
    <phoneticPr fontId="6" type="noConversion"/>
  </si>
  <si>
    <t>书斋老板</t>
    <phoneticPr fontId="6" type="noConversion"/>
  </si>
  <si>
    <t>title( [5级]桃源仙子)
body(hotyellow_3(任务进程:)newline()
   回复goto(60046,1)。
blankline()hotyellow_3(任务描述:)newline() 
  千年前，金甲神叛，被天帝封印在石像里，想不到他居然出来了，白玉瓶可将其封印，但只有小白能接近白玉瓶。)</t>
    <phoneticPr fontId="6" type="noConversion"/>
  </si>
  <si>
    <t>body(   千年前，金甲神叛，被天帝封印在石像里，想不到他居然出来了，白玉瓶可将其封印，但只有小白能接近白玉瓶。)</t>
    <phoneticPr fontId="6" type="noConversion"/>
  </si>
  <si>
    <t>&lt;n effect=4 font=2 color=White scolor=Turp&gt;桃源仙子有办法封印金甲神&lt;/n&gt;</t>
    <phoneticPr fontId="14" type="noConversion"/>
  </si>
  <si>
    <t>title( [6级]封印)
body(hotyellow_3(任务进程:)newline()
    操作goto(2003,1)封印金甲神后，去找goto(60046,1)。
blankline()hotyellow_3(任务描述:)newline() 
 我可暂时将你变成小白模样，你可趁机接近白玉瓶，用白玉瓶封印金甲。)</t>
    <phoneticPr fontId="6" type="noConversion"/>
  </si>
  <si>
    <t>body(    我可暂时将你变成小白模样，你可趁机接近白玉瓶，用白玉瓶封印金甲。)</t>
    <phoneticPr fontId="6" type="noConversion"/>
  </si>
  <si>
    <t>&lt;n effect=4 font=2 color=White scolor=Turp&gt;变成小白，使用白玉瓶封印金甲&lt;/n&gt;</t>
    <phoneticPr fontId="6" type="noConversion"/>
  </si>
  <si>
    <t>[20级]入世</t>
    <phoneticPr fontId="6" type="noConversion"/>
  </si>
  <si>
    <t>title( [38级]物资护送)
body(hotyellow_3(任务进程:)newline()
   护送goto(60044,2)到goto(507,2)。
blankline()hotyellow_3(任务描述:)newline() 
   边境战况紧急，继续物资支援。请把这些物资护送到驿站车夫那里。)</t>
    <phoneticPr fontId="6" type="noConversion"/>
  </si>
  <si>
    <t>[39级]伪装花轿</t>
    <phoneticPr fontId="6" type="noConversion"/>
  </si>
  <si>
    <t>title( [39级]伪装花轿)
body(hotyellow_3(任务进程:)newline()
   去找goto(503,2)。
blankline()hotyellow_3(任务描述:)newline() 
  请将前线的重要情报送给孙香大人，为了躲避张角的破坏，将你伪装成花轿轿夫。)</t>
    <phoneticPr fontId="6" type="noConversion"/>
  </si>
  <si>
    <t>body(    请将前线的重要情报送给孙香大人，为了躲避张角的破坏，将你伪装成花轿轿夫。)</t>
    <phoneticPr fontId="6" type="noConversion"/>
  </si>
  <si>
    <t>body(   好！希望前线战事顺利。)</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</si>
</sst>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39" x14ac:knownFonts="1">
    <font>
      <sz val="11"/>
      <color theme="1"/>
      <name val="宋体"/>
      <charset val="134"/>
      <scheme val="minor"/>
    </font>
    <font>
      <sz val="11"/>
      <color theme="1"/>
      <name val="宋体"/>
      <family val="2"/>
      <charset val="134"/>
      <scheme val="minor"/>
    </font>
    <font>
      <sz val="10"/>
      <color theme="1"/>
      <name val="微软雅黑"/>
      <family val="2"/>
      <charset val="134"/>
    </font>
    <font>
      <sz val="10"/>
      <color theme="1"/>
      <name val="微软雅黑"/>
      <family val="2"/>
      <charset val="134"/>
    </font>
    <font>
      <sz val="10"/>
      <color theme="1"/>
      <name val="微软雅黑"/>
      <family val="2"/>
      <charset val="134"/>
    </font>
    <font>
      <sz val="11"/>
      <color theme="1"/>
      <name val="宋体"/>
      <family val="2"/>
      <charset val="134"/>
      <scheme val="minor"/>
    </font>
    <font>
      <sz val="9"/>
      <name val="宋体"/>
      <family val="3"/>
      <charset val="134"/>
    </font>
    <font>
      <sz val="9"/>
      <name val="宋体"/>
      <family val="3"/>
      <charset val="134"/>
    </font>
    <font>
      <sz val="12"/>
      <name val="宋体"/>
      <family val="3"/>
      <charset val="134"/>
    </font>
    <font>
      <sz val="9"/>
      <name val="宋体"/>
      <family val="3"/>
      <charset val="134"/>
    </font>
    <font>
      <sz val="9"/>
      <name val="宋体"/>
      <family val="3"/>
      <charset val="134"/>
    </font>
    <font>
      <sz val="9"/>
      <name val="宋体"/>
      <family val="3"/>
      <charset val="134"/>
    </font>
    <font>
      <sz val="9"/>
      <name val="宋体"/>
      <family val="3"/>
      <charset val="134"/>
    </font>
    <font>
      <sz val="11"/>
      <color theme="1"/>
      <name val="宋体"/>
      <family val="3"/>
      <charset val="134"/>
      <scheme val="minor"/>
    </font>
    <font>
      <sz val="9"/>
      <name val="宋体"/>
      <family val="3"/>
      <charset val="134"/>
      <scheme val="minor"/>
    </font>
    <font>
      <sz val="11"/>
      <color theme="1"/>
      <name val="宋体"/>
      <family val="2"/>
      <scheme val="minor"/>
    </font>
    <font>
      <b/>
      <sz val="9"/>
      <color indexed="81"/>
      <name val="宋体"/>
      <family val="3"/>
      <charset val="134"/>
    </font>
    <font>
      <sz val="10"/>
      <color rgb="FF000000"/>
      <name val="宋体"/>
      <family val="3"/>
      <charset val="134"/>
    </font>
    <font>
      <sz val="10"/>
      <color theme="1"/>
      <name val="宋体"/>
      <family val="3"/>
      <charset val="134"/>
    </font>
    <font>
      <sz val="10"/>
      <name val="宋体"/>
      <family val="3"/>
      <charset val="134"/>
    </font>
    <font>
      <b/>
      <sz val="10"/>
      <color rgb="FFFF0000"/>
      <name val="宋体"/>
      <family val="3"/>
      <charset val="134"/>
    </font>
    <font>
      <sz val="10"/>
      <color indexed="8"/>
      <name val="宋体"/>
      <family val="3"/>
      <charset val="134"/>
    </font>
    <font>
      <sz val="10"/>
      <color theme="1"/>
      <name val="宋体"/>
      <family val="3"/>
      <charset val="134"/>
      <scheme val="minor"/>
    </font>
    <font>
      <b/>
      <sz val="10"/>
      <name val="宋体"/>
      <family val="3"/>
      <charset val="134"/>
    </font>
    <font>
      <b/>
      <sz val="10"/>
      <color theme="8" tint="-0.249977111117893"/>
      <name val="宋体"/>
      <family val="3"/>
      <charset val="134"/>
      <scheme val="minor"/>
    </font>
    <font>
      <b/>
      <sz val="10"/>
      <color theme="9" tint="-0.249977111117893"/>
      <name val="宋体"/>
      <family val="3"/>
      <charset val="134"/>
      <scheme val="minor"/>
    </font>
    <font>
      <b/>
      <sz val="10"/>
      <color rgb="FF0E9437"/>
      <name val="宋体"/>
      <family val="3"/>
      <charset val="134"/>
      <scheme val="minor"/>
    </font>
    <font>
      <sz val="10"/>
      <color rgb="FFFF0000"/>
      <name val="宋体"/>
      <family val="3"/>
      <charset val="134"/>
    </font>
    <font>
      <sz val="10"/>
      <color indexed="10"/>
      <name val="宋体"/>
      <family val="3"/>
      <charset val="134"/>
    </font>
    <font>
      <b/>
      <sz val="10"/>
      <color rgb="FFFF0000"/>
      <name val="宋体"/>
      <family val="3"/>
      <charset val="134"/>
      <scheme val="minor"/>
    </font>
    <font>
      <b/>
      <sz val="10"/>
      <color theme="1"/>
      <name val="宋体"/>
      <family val="3"/>
      <charset val="134"/>
    </font>
    <font>
      <b/>
      <sz val="10"/>
      <color theme="3" tint="0.39997558519241921"/>
      <name val="宋体"/>
      <family val="3"/>
      <charset val="134"/>
    </font>
    <font>
      <sz val="10"/>
      <color theme="0"/>
      <name val="宋体"/>
      <family val="3"/>
      <charset val="134"/>
    </font>
    <font>
      <sz val="10"/>
      <color indexed="9"/>
      <name val="宋体"/>
      <family val="3"/>
      <charset val="134"/>
    </font>
    <font>
      <b/>
      <sz val="10"/>
      <color rgb="FF000000"/>
      <name val="宋体"/>
      <family val="3"/>
      <charset val="134"/>
    </font>
    <font>
      <b/>
      <sz val="10"/>
      <color indexed="10"/>
      <name val="宋体"/>
      <family val="3"/>
      <charset val="134"/>
    </font>
    <font>
      <sz val="10"/>
      <name val="微软雅黑"/>
      <family val="2"/>
      <charset val="134"/>
    </font>
    <font>
      <b/>
      <sz val="10"/>
      <color theme="1"/>
      <name val="微软雅黑"/>
      <family val="2"/>
      <charset val="134"/>
    </font>
    <font>
      <sz val="9"/>
      <color theme="1"/>
      <name val="宋体"/>
      <family val="3"/>
      <charset val="134"/>
      <scheme val="minor"/>
    </font>
  </fonts>
  <fills count="71">
    <fill>
      <patternFill patternType="none"/>
    </fill>
    <fill>
      <patternFill patternType="gray125"/>
    </fill>
    <fill>
      <patternFill patternType="solid">
        <fgColor indexed="55"/>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49"/>
        <bgColor indexed="64"/>
      </patternFill>
    </fill>
    <fill>
      <patternFill patternType="solid">
        <fgColor indexed="62"/>
        <bgColor indexed="64"/>
      </patternFill>
    </fill>
    <fill>
      <patternFill patternType="solid">
        <fgColor indexed="43"/>
        <bgColor indexed="26"/>
      </patternFill>
    </fill>
    <fill>
      <patternFill patternType="solid">
        <fgColor rgb="FFFFFF0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1"/>
        <bgColor indexed="64"/>
      </patternFill>
    </fill>
    <fill>
      <patternFill patternType="solid">
        <fgColor theme="7" tint="0.79998168889431442"/>
        <bgColor indexed="64"/>
      </patternFill>
    </fill>
    <fill>
      <patternFill patternType="solid">
        <fgColor theme="7" tint="0.79998168889431442"/>
        <bgColor indexed="26"/>
      </patternFill>
    </fill>
    <fill>
      <patternFill patternType="solid">
        <fgColor rgb="FF7030A0"/>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rgb="FFFFFF00"/>
        <bgColor indexed="26"/>
      </patternFill>
    </fill>
    <fill>
      <patternFill patternType="solid">
        <fgColor theme="9" tint="0.39997558519241921"/>
        <bgColor indexed="64"/>
      </patternFill>
    </fill>
    <fill>
      <patternFill patternType="solid">
        <fgColor theme="9" tint="0.39997558519241921"/>
        <bgColor indexed="26"/>
      </patternFill>
    </fill>
    <fill>
      <patternFill patternType="solid">
        <fgColor rgb="FF0070C0"/>
        <bgColor indexed="64"/>
      </patternFill>
    </fill>
    <fill>
      <patternFill patternType="solid">
        <fgColor rgb="FF0070C0"/>
        <bgColor indexed="26"/>
      </patternFill>
    </fill>
    <fill>
      <patternFill patternType="solid">
        <fgColor theme="7"/>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8"/>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theme="6" tint="0.39997558519241921"/>
        <bgColor indexed="64"/>
      </patternFill>
    </fill>
    <fill>
      <patternFill patternType="solid">
        <fgColor theme="6" tint="0.39997558519241921"/>
        <bgColor indexed="26"/>
      </patternFill>
    </fill>
    <fill>
      <patternFill patternType="solid">
        <fgColor theme="9" tint="0.59999389629810485"/>
        <bgColor indexed="26"/>
      </patternFill>
    </fill>
    <fill>
      <patternFill patternType="solid">
        <fgColor theme="9" tint="0.79998168889431442"/>
        <bgColor indexed="64"/>
      </patternFill>
    </fill>
    <fill>
      <patternFill patternType="solid">
        <fgColor theme="9" tint="0.79998168889431442"/>
        <bgColor indexed="26"/>
      </patternFill>
    </fill>
    <fill>
      <patternFill patternType="solid">
        <fgColor theme="3" tint="0.39997558519241921"/>
        <bgColor indexed="64"/>
      </patternFill>
    </fill>
    <fill>
      <patternFill patternType="solid">
        <fgColor theme="3" tint="0.39997558519241921"/>
        <bgColor indexed="26"/>
      </patternFill>
    </fill>
    <fill>
      <patternFill patternType="solid">
        <fgColor theme="5" tint="0.39997558519241921"/>
        <bgColor indexed="64"/>
      </patternFill>
    </fill>
    <fill>
      <patternFill patternType="solid">
        <fgColor rgb="FFFFC000"/>
        <bgColor indexed="26"/>
      </patternFill>
    </fill>
    <fill>
      <patternFill patternType="solid">
        <fgColor theme="0"/>
        <bgColor indexed="64"/>
      </patternFill>
    </fill>
    <fill>
      <patternFill patternType="solid">
        <fgColor theme="4" tint="0.59999389629810485"/>
        <bgColor indexed="64"/>
      </patternFill>
    </fill>
    <fill>
      <patternFill patternType="solid">
        <fgColor theme="4" tint="0.59999389629810485"/>
        <bgColor indexed="26"/>
      </patternFill>
    </fill>
    <fill>
      <patternFill patternType="solid">
        <fgColor theme="0" tint="-0.34998626667073579"/>
        <bgColor indexed="64"/>
      </patternFill>
    </fill>
    <fill>
      <patternFill patternType="solid">
        <fgColor theme="0" tint="-0.34998626667073579"/>
        <bgColor indexed="26"/>
      </patternFill>
    </fill>
    <fill>
      <patternFill patternType="solid">
        <fgColor theme="9" tint="-0.249977111117893"/>
        <bgColor indexed="64"/>
      </patternFill>
    </fill>
    <fill>
      <patternFill patternType="solid">
        <fgColor theme="9" tint="-0.249977111117893"/>
        <bgColor indexed="26"/>
      </patternFill>
    </fill>
    <fill>
      <patternFill patternType="solid">
        <fgColor rgb="FFFF0000"/>
        <bgColor indexed="26"/>
      </patternFill>
    </fill>
    <fill>
      <patternFill patternType="solid">
        <fgColor theme="5" tint="0.79998168889431442"/>
        <bgColor indexed="64"/>
      </patternFill>
    </fill>
    <fill>
      <patternFill patternType="solid">
        <fgColor theme="5" tint="0.79998168889431442"/>
        <bgColor indexed="26"/>
      </patternFill>
    </fill>
    <fill>
      <patternFill patternType="solid">
        <fgColor theme="8" tint="0.79998168889431442"/>
        <bgColor indexed="26"/>
      </patternFill>
    </fill>
    <fill>
      <patternFill patternType="solid">
        <fgColor theme="9" tint="-0.24994659260841701"/>
        <bgColor indexed="64"/>
      </patternFill>
    </fill>
    <fill>
      <patternFill patternType="solid">
        <fgColor theme="2" tint="-0.249977111117893"/>
        <bgColor indexed="64"/>
      </patternFill>
    </fill>
    <fill>
      <patternFill patternType="solid">
        <fgColor theme="9" tint="-0.24994659260841701"/>
        <bgColor indexed="26"/>
      </patternFill>
    </fill>
    <fill>
      <patternFill patternType="solid">
        <fgColor rgb="FF7030A0"/>
        <bgColor indexed="26"/>
      </patternFill>
    </fill>
    <fill>
      <patternFill patternType="solid">
        <fgColor theme="7" tint="0.39994506668294322"/>
        <bgColor indexed="64"/>
      </patternFill>
    </fill>
    <fill>
      <patternFill patternType="solid">
        <fgColor theme="7" tint="0.39994506668294322"/>
        <bgColor indexed="26"/>
      </patternFill>
    </fill>
    <fill>
      <patternFill patternType="solid">
        <fgColor theme="6" tint="0.39994506668294322"/>
        <bgColor indexed="64"/>
      </patternFill>
    </fill>
    <fill>
      <patternFill patternType="solid">
        <fgColor theme="6" tint="0.39994506668294322"/>
        <bgColor indexed="26"/>
      </patternFill>
    </fill>
    <fill>
      <patternFill patternType="solid">
        <fgColor rgb="FF348DA5"/>
        <bgColor indexed="64"/>
      </patternFill>
    </fill>
    <fill>
      <patternFill patternType="solid">
        <fgColor rgb="FFFDE9D9"/>
        <bgColor indexed="64"/>
      </patternFill>
    </fill>
    <fill>
      <patternFill patternType="solid">
        <fgColor rgb="FFFEF4EC"/>
        <bgColor indexed="64"/>
      </patternFill>
    </fill>
    <fill>
      <patternFill patternType="solid">
        <fgColor rgb="FF92D050"/>
        <bgColor indexed="64"/>
      </patternFill>
    </fill>
    <fill>
      <patternFill patternType="solid">
        <fgColor theme="8" tint="0.39997558519241921"/>
        <bgColor indexed="26"/>
      </patternFill>
    </fill>
    <fill>
      <patternFill patternType="solid">
        <fgColor theme="7" tint="0.59999389629810485"/>
        <bgColor indexed="26"/>
      </patternFill>
    </fill>
  </fills>
  <borders count="30">
    <border>
      <left/>
      <right/>
      <top/>
      <bottom/>
      <diagonal/>
    </border>
    <border>
      <left/>
      <right/>
      <top style="medium">
        <color indexed="64"/>
      </top>
      <bottom/>
      <diagonal/>
    </border>
    <border>
      <left/>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8"/>
      </top>
      <bottom/>
      <diagonal/>
    </border>
    <border>
      <left/>
      <right/>
      <top/>
      <bottom style="medium">
        <color indexed="8"/>
      </bottom>
      <diagonal/>
    </border>
    <border>
      <left/>
      <right/>
      <top style="medium">
        <color indexed="8"/>
      </top>
      <bottom style="medium">
        <color indexed="8"/>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thick">
        <color rgb="FFFFFFFF"/>
      </bottom>
      <diagonal/>
    </border>
  </borders>
  <cellStyleXfs count="7">
    <xf numFmtId="0" fontId="0" fillId="0" borderId="0">
      <alignment vertical="center"/>
    </xf>
    <xf numFmtId="0" fontId="8" fillId="0" borderId="0"/>
    <xf numFmtId="0" fontId="8" fillId="0" borderId="0"/>
    <xf numFmtId="0" fontId="8" fillId="0" borderId="0"/>
    <xf numFmtId="0" fontId="13" fillId="0" borderId="0">
      <alignment vertical="center"/>
    </xf>
    <xf numFmtId="0" fontId="5" fillId="0" borderId="0">
      <alignment vertical="center"/>
    </xf>
    <xf numFmtId="0" fontId="15" fillId="0" borderId="0"/>
  </cellStyleXfs>
  <cellXfs count="893">
    <xf numFmtId="0" fontId="0" fillId="0" borderId="0" xfId="0">
      <alignment vertical="center"/>
    </xf>
    <xf numFmtId="0" fontId="8" fillId="0" borderId="0" xfId="3"/>
    <xf numFmtId="0" fontId="8" fillId="0" borderId="0" xfId="3" applyAlignment="1">
      <alignment wrapText="1"/>
    </xf>
    <xf numFmtId="0" fontId="8" fillId="0" borderId="0" xfId="3" applyAlignment="1">
      <alignment shrinkToFit="1"/>
    </xf>
    <xf numFmtId="0" fontId="8" fillId="0" borderId="0" xfId="1"/>
    <xf numFmtId="0" fontId="8" fillId="9" borderId="0" xfId="3" applyFill="1" applyAlignment="1">
      <alignment wrapText="1"/>
    </xf>
    <xf numFmtId="0" fontId="17" fillId="65" borderId="29" xfId="0" applyFont="1" applyFill="1" applyBorder="1" applyAlignment="1">
      <alignment horizontal="center" vertical="center"/>
    </xf>
    <xf numFmtId="0" fontId="17" fillId="66" borderId="0" xfId="0" applyFont="1" applyFill="1" applyAlignment="1">
      <alignment horizontal="center" vertical="center"/>
    </xf>
    <xf numFmtId="0" fontId="17" fillId="67" borderId="0" xfId="0" applyFont="1" applyFill="1" applyAlignment="1">
      <alignment horizontal="center" vertical="center"/>
    </xf>
    <xf numFmtId="0" fontId="18" fillId="0" borderId="0" xfId="0" applyFont="1" applyFill="1" applyAlignment="1">
      <alignment vertical="center" wrapText="1"/>
    </xf>
    <xf numFmtId="0" fontId="19" fillId="11" borderId="0" xfId="0" applyFont="1" applyFill="1" applyAlignment="1">
      <alignment vertical="center" wrapText="1"/>
    </xf>
    <xf numFmtId="0" fontId="19" fillId="11" borderId="0" xfId="0" applyFont="1" applyFill="1" applyAlignment="1">
      <alignment horizontal="center" vertical="center" wrapText="1"/>
    </xf>
    <xf numFmtId="0" fontId="20" fillId="11" borderId="5" xfId="0" applyFont="1" applyFill="1" applyBorder="1" applyAlignment="1">
      <alignment vertical="center" wrapText="1"/>
    </xf>
    <xf numFmtId="0" fontId="19" fillId="11" borderId="15" xfId="0" applyFont="1" applyFill="1" applyBorder="1" applyAlignment="1">
      <alignment horizontal="left" vertical="center" wrapText="1"/>
    </xf>
    <xf numFmtId="49" fontId="19" fillId="11" borderId="15" xfId="0" applyNumberFormat="1" applyFont="1" applyFill="1" applyBorder="1" applyAlignment="1">
      <alignment vertical="center" wrapText="1"/>
    </xf>
    <xf numFmtId="0" fontId="19" fillId="11" borderId="15" xfId="0" applyFont="1" applyFill="1" applyBorder="1" applyAlignment="1">
      <alignment vertical="center" wrapText="1"/>
    </xf>
    <xf numFmtId="0" fontId="18" fillId="54" borderId="0" xfId="0" applyFont="1" applyFill="1" applyAlignment="1">
      <alignment vertical="center" wrapText="1"/>
    </xf>
    <xf numFmtId="0" fontId="19" fillId="54" borderId="0" xfId="0" applyFont="1" applyFill="1" applyAlignment="1">
      <alignment vertical="center" wrapText="1"/>
    </xf>
    <xf numFmtId="0" fontId="19" fillId="54" borderId="0" xfId="0" applyFont="1" applyFill="1" applyAlignment="1">
      <alignment horizontal="center" vertical="center" wrapText="1"/>
    </xf>
    <xf numFmtId="0" fontId="20" fillId="54" borderId="6" xfId="0" applyFont="1" applyFill="1" applyBorder="1" applyAlignment="1">
      <alignment vertical="center" wrapText="1"/>
    </xf>
    <xf numFmtId="0" fontId="20" fillId="54" borderId="0" xfId="0" applyFont="1" applyFill="1" applyAlignment="1">
      <alignment vertical="center" wrapText="1"/>
    </xf>
    <xf numFmtId="0" fontId="19" fillId="54" borderId="12" xfId="0" applyFont="1" applyFill="1" applyBorder="1" applyAlignment="1">
      <alignment horizontal="left" vertical="center" wrapText="1"/>
    </xf>
    <xf numFmtId="0" fontId="19" fillId="54" borderId="12" xfId="0" applyFont="1" applyFill="1" applyBorder="1" applyAlignment="1">
      <alignment vertical="center" wrapText="1"/>
    </xf>
    <xf numFmtId="0" fontId="20" fillId="54" borderId="12" xfId="0" applyFont="1" applyFill="1" applyBorder="1" applyAlignment="1">
      <alignment vertical="center" wrapText="1"/>
    </xf>
    <xf numFmtId="0" fontId="19" fillId="55" borderId="0" xfId="0" applyFont="1" applyFill="1" applyAlignment="1">
      <alignment vertical="center" wrapText="1"/>
    </xf>
    <xf numFmtId="0" fontId="19" fillId="20" borderId="0" xfId="0" applyFont="1" applyFill="1" applyAlignment="1">
      <alignment vertical="center" wrapText="1"/>
    </xf>
    <xf numFmtId="0" fontId="19" fillId="15" borderId="0" xfId="0" applyFont="1" applyFill="1" applyAlignment="1">
      <alignment vertical="center" wrapText="1"/>
    </xf>
    <xf numFmtId="49" fontId="19" fillId="54" borderId="0" xfId="0" applyNumberFormat="1" applyFont="1" applyFill="1" applyAlignment="1">
      <alignment vertical="center" wrapText="1"/>
    </xf>
    <xf numFmtId="0" fontId="18" fillId="49" borderId="0" xfId="0" applyFont="1" applyFill="1" applyAlignment="1">
      <alignment vertical="center" wrapText="1"/>
    </xf>
    <xf numFmtId="0" fontId="19" fillId="49" borderId="0" xfId="0" applyFont="1" applyFill="1" applyAlignment="1">
      <alignment vertical="center" wrapText="1"/>
    </xf>
    <xf numFmtId="0" fontId="19" fillId="49" borderId="0" xfId="0" applyFont="1" applyFill="1" applyAlignment="1">
      <alignment horizontal="center" vertical="center" wrapText="1"/>
    </xf>
    <xf numFmtId="0" fontId="18" fillId="17" borderId="0" xfId="0" applyFont="1" applyFill="1" applyAlignment="1">
      <alignment vertical="center" wrapText="1"/>
    </xf>
    <xf numFmtId="0" fontId="19" fillId="17" borderId="0" xfId="0" applyFont="1" applyFill="1" applyAlignment="1">
      <alignment vertical="center" wrapText="1"/>
    </xf>
    <xf numFmtId="0" fontId="19" fillId="17" borderId="0" xfId="0" applyFont="1" applyFill="1" applyAlignment="1">
      <alignment horizontal="center" vertical="center" wrapText="1"/>
    </xf>
    <xf numFmtId="0" fontId="20" fillId="17" borderId="6" xfId="0" applyFont="1" applyFill="1" applyBorder="1" applyAlignment="1">
      <alignment vertical="center" wrapText="1"/>
    </xf>
    <xf numFmtId="0" fontId="20" fillId="17" borderId="0" xfId="0" applyFont="1" applyFill="1" applyAlignment="1">
      <alignment vertical="center" wrapText="1"/>
    </xf>
    <xf numFmtId="0" fontId="19" fillId="17" borderId="12" xfId="0" applyFont="1" applyFill="1" applyBorder="1" applyAlignment="1">
      <alignment vertical="center" wrapText="1"/>
    </xf>
    <xf numFmtId="0" fontId="19" fillId="18" borderId="0" xfId="0" applyFont="1" applyFill="1" applyAlignment="1">
      <alignment vertical="center" wrapText="1"/>
    </xf>
    <xf numFmtId="0" fontId="18" fillId="17" borderId="0" xfId="0" applyFont="1" applyFill="1" applyAlignment="1">
      <alignment horizontal="center" vertical="center" wrapText="1"/>
    </xf>
    <xf numFmtId="0" fontId="18" fillId="15" borderId="0" xfId="0" applyFont="1" applyFill="1" applyAlignment="1">
      <alignment vertical="center" wrapText="1"/>
    </xf>
    <xf numFmtId="0" fontId="18" fillId="15" borderId="0" xfId="0" applyFont="1" applyFill="1" applyAlignment="1">
      <alignment horizontal="center" vertical="center" wrapText="1"/>
    </xf>
    <xf numFmtId="0" fontId="18" fillId="15" borderId="0" xfId="0" applyFont="1" applyFill="1" applyAlignment="1">
      <alignment horizontal="right" vertical="center" wrapText="1"/>
    </xf>
    <xf numFmtId="0" fontId="18" fillId="15" borderId="0" xfId="0" applyFont="1" applyFill="1" applyAlignment="1">
      <alignment horizontal="left" vertical="center" wrapText="1"/>
    </xf>
    <xf numFmtId="0" fontId="20" fillId="15" borderId="6" xfId="0" applyFont="1" applyFill="1" applyBorder="1" applyAlignment="1">
      <alignment vertical="center" wrapText="1"/>
    </xf>
    <xf numFmtId="0" fontId="20" fillId="15" borderId="0" xfId="0" applyFont="1" applyFill="1" applyAlignment="1">
      <alignment vertical="center" wrapText="1"/>
    </xf>
    <xf numFmtId="0" fontId="19" fillId="15" borderId="12" xfId="0" applyFont="1" applyFill="1" applyBorder="1" applyAlignment="1">
      <alignment vertical="center" wrapText="1"/>
    </xf>
    <xf numFmtId="0" fontId="20" fillId="15" borderId="12" xfId="0" applyFont="1" applyFill="1" applyBorder="1" applyAlignment="1">
      <alignment vertical="center" wrapText="1"/>
    </xf>
    <xf numFmtId="0" fontId="19" fillId="69" borderId="0" xfId="0" applyFont="1" applyFill="1" applyAlignment="1">
      <alignment vertical="center" wrapText="1"/>
    </xf>
    <xf numFmtId="0" fontId="19" fillId="15" borderId="0" xfId="0" applyFont="1" applyFill="1" applyAlignment="1">
      <alignment horizontal="center" vertical="center" wrapText="1"/>
    </xf>
    <xf numFmtId="0" fontId="20" fillId="17" borderId="6" xfId="0" applyFont="1" applyFill="1" applyBorder="1" applyAlignment="1">
      <alignment horizontal="left" vertical="center" wrapText="1"/>
    </xf>
    <xf numFmtId="0" fontId="19" fillId="12" borderId="0" xfId="0" applyFont="1" applyFill="1" applyAlignment="1">
      <alignment vertical="center" wrapText="1"/>
    </xf>
    <xf numFmtId="0" fontId="20" fillId="20" borderId="0" xfId="0" applyFont="1" applyFill="1" applyAlignment="1">
      <alignment vertical="center" wrapText="1"/>
    </xf>
    <xf numFmtId="0" fontId="21" fillId="9" borderId="0" xfId="0" applyFont="1" applyFill="1" applyBorder="1" applyAlignment="1">
      <alignment vertical="center"/>
    </xf>
    <xf numFmtId="0" fontId="21" fillId="9" borderId="0" xfId="0" applyFont="1" applyFill="1" applyBorder="1" applyAlignment="1">
      <alignment horizontal="center" vertical="center"/>
    </xf>
    <xf numFmtId="0" fontId="21" fillId="9" borderId="0" xfId="0" applyFont="1" applyFill="1" applyBorder="1" applyAlignment="1">
      <alignment vertical="center" wrapText="1"/>
    </xf>
    <xf numFmtId="0" fontId="18" fillId="36" borderId="0" xfId="0" applyFont="1" applyFill="1" applyAlignment="1">
      <alignment vertical="center" wrapText="1"/>
    </xf>
    <xf numFmtId="0" fontId="19" fillId="36" borderId="0" xfId="0" applyFont="1" applyFill="1" applyAlignment="1">
      <alignment vertical="center" wrapText="1"/>
    </xf>
    <xf numFmtId="0" fontId="18" fillId="36" borderId="0" xfId="0" applyFont="1" applyFill="1" applyAlignment="1">
      <alignment horizontal="center" vertical="center" wrapText="1"/>
    </xf>
    <xf numFmtId="0" fontId="19" fillId="34" borderId="0" xfId="0" applyFont="1" applyFill="1" applyAlignment="1">
      <alignment vertical="center" wrapText="1"/>
    </xf>
    <xf numFmtId="0" fontId="20" fillId="34" borderId="0" xfId="0" applyFont="1" applyFill="1" applyAlignment="1">
      <alignment vertical="center" wrapText="1"/>
    </xf>
    <xf numFmtId="0" fontId="19" fillId="36" borderId="0" xfId="0" applyFont="1" applyFill="1" applyAlignment="1">
      <alignment horizontal="center" vertical="center" wrapText="1"/>
    </xf>
    <xf numFmtId="0" fontId="19" fillId="18" borderId="0" xfId="0" applyFont="1" applyFill="1" applyAlignment="1">
      <alignment horizontal="center" vertical="center" wrapText="1"/>
    </xf>
    <xf numFmtId="0" fontId="19" fillId="8" borderId="0" xfId="0" applyFont="1" applyFill="1" applyBorder="1" applyAlignment="1">
      <alignment vertical="center" wrapText="1"/>
    </xf>
    <xf numFmtId="0" fontId="19" fillId="51" borderId="0" xfId="0" applyFont="1" applyFill="1" applyAlignment="1">
      <alignment vertical="center" wrapText="1"/>
    </xf>
    <xf numFmtId="0" fontId="23" fillId="17" borderId="0" xfId="0" applyFont="1" applyFill="1" applyAlignment="1">
      <alignment vertical="center" wrapText="1"/>
    </xf>
    <xf numFmtId="0" fontId="18" fillId="35" borderId="0" xfId="0" applyFont="1" applyFill="1" applyAlignment="1">
      <alignment vertical="center" wrapText="1"/>
    </xf>
    <xf numFmtId="0" fontId="19" fillId="35" borderId="0" xfId="0" applyFont="1" applyFill="1" applyAlignment="1">
      <alignment vertical="center" wrapText="1"/>
    </xf>
    <xf numFmtId="0" fontId="19" fillId="35" borderId="0" xfId="0" applyFont="1" applyFill="1" applyAlignment="1">
      <alignment horizontal="center" vertical="center" wrapText="1"/>
    </xf>
    <xf numFmtId="0" fontId="20" fillId="35" borderId="6" xfId="0" applyFont="1" applyFill="1" applyBorder="1" applyAlignment="1">
      <alignment vertical="center" wrapText="1"/>
    </xf>
    <xf numFmtId="0" fontId="20" fillId="35" borderId="0" xfId="0" applyFont="1" applyFill="1" applyAlignment="1">
      <alignment vertical="center" wrapText="1"/>
    </xf>
    <xf numFmtId="0" fontId="19" fillId="35" borderId="12" xfId="0" applyFont="1" applyFill="1" applyBorder="1" applyAlignment="1">
      <alignment vertical="center" wrapText="1"/>
    </xf>
    <xf numFmtId="0" fontId="19" fillId="56" borderId="0" xfId="0" applyFont="1" applyFill="1" applyAlignment="1">
      <alignment vertical="center" wrapText="1"/>
    </xf>
    <xf numFmtId="0" fontId="18" fillId="9" borderId="0" xfId="0" applyFont="1" applyFill="1" applyAlignment="1">
      <alignment vertical="center" wrapText="1"/>
    </xf>
    <xf numFmtId="0" fontId="19" fillId="9" borderId="0" xfId="0" applyFont="1" applyFill="1" applyAlignment="1">
      <alignment vertical="center" wrapText="1"/>
    </xf>
    <xf numFmtId="0" fontId="19" fillId="62" borderId="0" xfId="0" applyFont="1" applyFill="1" applyAlignment="1">
      <alignment vertical="center" wrapText="1"/>
    </xf>
    <xf numFmtId="0" fontId="19" fillId="61" borderId="0" xfId="0" applyFont="1" applyFill="1" applyAlignment="1">
      <alignment vertical="center" wrapText="1"/>
    </xf>
    <xf numFmtId="0" fontId="18" fillId="51" borderId="0" xfId="0" applyFont="1" applyFill="1" applyAlignment="1">
      <alignment vertical="center" wrapText="1"/>
    </xf>
    <xf numFmtId="0" fontId="19" fillId="51" borderId="0" xfId="0" applyFont="1" applyFill="1" applyAlignment="1">
      <alignment horizontal="center" vertical="center" wrapText="1"/>
    </xf>
    <xf numFmtId="0" fontId="19" fillId="40" borderId="0" xfId="0" applyFont="1" applyFill="1" applyAlignment="1">
      <alignment vertical="center" wrapText="1"/>
    </xf>
    <xf numFmtId="0" fontId="20" fillId="40" borderId="0" xfId="0" applyFont="1" applyFill="1" applyAlignment="1">
      <alignment vertical="center" wrapText="1"/>
    </xf>
    <xf numFmtId="0" fontId="19" fillId="9" borderId="0" xfId="0" applyFont="1" applyFill="1" applyAlignment="1">
      <alignment horizontal="center" vertical="center" wrapText="1"/>
    </xf>
    <xf numFmtId="0" fontId="18" fillId="24" borderId="0" xfId="0" applyFont="1" applyFill="1" applyBorder="1" applyAlignment="1">
      <alignment vertical="center" wrapText="1"/>
    </xf>
    <xf numFmtId="0" fontId="19" fillId="24" borderId="0" xfId="0" applyFont="1" applyFill="1" applyBorder="1" applyAlignment="1">
      <alignment vertical="center" wrapText="1"/>
    </xf>
    <xf numFmtId="0" fontId="19" fillId="24" borderId="0" xfId="0" applyFont="1" applyFill="1" applyBorder="1" applyAlignment="1">
      <alignment horizontal="center" vertical="center" wrapText="1"/>
    </xf>
    <xf numFmtId="0" fontId="20" fillId="24" borderId="0" xfId="0" applyFont="1" applyFill="1" applyBorder="1" applyAlignment="1">
      <alignment vertical="center" wrapText="1"/>
    </xf>
    <xf numFmtId="0" fontId="19" fillId="24" borderId="0" xfId="0" applyFont="1" applyFill="1" applyBorder="1" applyAlignment="1">
      <alignment horizontal="left" vertical="center" wrapText="1"/>
    </xf>
    <xf numFmtId="0" fontId="19" fillId="25" borderId="0" xfId="0" applyFont="1" applyFill="1" applyBorder="1" applyAlignment="1">
      <alignment vertical="center" wrapText="1"/>
    </xf>
    <xf numFmtId="0" fontId="19" fillId="47" borderId="0" xfId="0" applyFont="1" applyFill="1" applyAlignment="1">
      <alignment vertical="center" wrapText="1"/>
    </xf>
    <xf numFmtId="0" fontId="18" fillId="40" borderId="0" xfId="0" applyFont="1" applyFill="1" applyAlignment="1">
      <alignment vertical="center" wrapText="1"/>
    </xf>
    <xf numFmtId="0" fontId="19" fillId="10" borderId="28" xfId="0" applyFont="1" applyFill="1" applyBorder="1" applyAlignment="1">
      <alignment horizontal="center" vertical="center"/>
    </xf>
    <xf numFmtId="0" fontId="24" fillId="0" borderId="0" xfId="0" applyFont="1" applyAlignment="1">
      <alignment horizontal="center"/>
    </xf>
    <xf numFmtId="0" fontId="20" fillId="40" borderId="6" xfId="0" applyFont="1" applyFill="1" applyBorder="1" applyAlignment="1">
      <alignment vertical="center" wrapText="1"/>
    </xf>
    <xf numFmtId="0" fontId="19" fillId="40" borderId="12" xfId="0" applyFont="1" applyFill="1" applyBorder="1" applyAlignment="1">
      <alignment vertical="center" wrapText="1"/>
    </xf>
    <xf numFmtId="0" fontId="19" fillId="41" borderId="0" xfId="0" applyFont="1" applyFill="1" applyAlignment="1">
      <alignment vertical="center" wrapText="1"/>
    </xf>
    <xf numFmtId="0" fontId="19" fillId="40" borderId="0" xfId="0" applyFont="1" applyFill="1" applyAlignment="1">
      <alignment horizontal="center" vertical="center" wrapText="1"/>
    </xf>
    <xf numFmtId="0" fontId="25" fillId="0" borderId="0" xfId="0" applyFont="1" applyAlignment="1">
      <alignment horizontal="center"/>
    </xf>
    <xf numFmtId="0" fontId="19" fillId="57" borderId="0" xfId="0" applyFont="1" applyFill="1" applyAlignment="1">
      <alignment vertical="center" wrapText="1"/>
    </xf>
    <xf numFmtId="0" fontId="19" fillId="63" borderId="0" xfId="0" applyFont="1" applyFill="1" applyAlignment="1">
      <alignment vertical="center" wrapText="1"/>
    </xf>
    <xf numFmtId="0" fontId="19" fillId="64" borderId="0" xfId="0" applyFont="1" applyFill="1" applyAlignment="1">
      <alignment vertical="center" wrapText="1"/>
    </xf>
    <xf numFmtId="0" fontId="19" fillId="22" borderId="0" xfId="0" applyFont="1" applyFill="1" applyAlignment="1">
      <alignment vertical="center" wrapText="1"/>
    </xf>
    <xf numFmtId="0" fontId="18" fillId="24" borderId="0" xfId="0" applyFont="1" applyFill="1" applyAlignment="1">
      <alignment vertical="center" wrapText="1"/>
    </xf>
    <xf numFmtId="0" fontId="19" fillId="24" borderId="0" xfId="0" applyFont="1" applyFill="1" applyAlignment="1">
      <alignment vertical="center" wrapText="1"/>
    </xf>
    <xf numFmtId="0" fontId="20" fillId="24" borderId="6" xfId="0" applyFont="1" applyFill="1" applyBorder="1" applyAlignment="1">
      <alignment vertical="center" wrapText="1"/>
    </xf>
    <xf numFmtId="0" fontId="20" fillId="24" borderId="0" xfId="0" applyFont="1" applyFill="1" applyAlignment="1">
      <alignment vertical="center" wrapText="1"/>
    </xf>
    <xf numFmtId="0" fontId="19" fillId="24" borderId="12" xfId="0" applyFont="1" applyFill="1" applyBorder="1" applyAlignment="1">
      <alignment horizontal="left" vertical="center" wrapText="1"/>
    </xf>
    <xf numFmtId="0" fontId="19" fillId="24" borderId="12" xfId="0" applyFont="1" applyFill="1" applyBorder="1" applyAlignment="1">
      <alignment vertical="center" wrapText="1"/>
    </xf>
    <xf numFmtId="0" fontId="20" fillId="24" borderId="12" xfId="0" applyFont="1" applyFill="1" applyBorder="1" applyAlignment="1">
      <alignment vertical="center" wrapText="1"/>
    </xf>
    <xf numFmtId="0" fontId="19" fillId="25" borderId="0" xfId="0" applyFont="1" applyFill="1" applyAlignment="1">
      <alignment vertical="center" wrapText="1"/>
    </xf>
    <xf numFmtId="0" fontId="19" fillId="24" borderId="0" xfId="0" applyFont="1" applyFill="1" applyAlignment="1">
      <alignment horizontal="center" vertical="center" wrapText="1"/>
    </xf>
    <xf numFmtId="0" fontId="19" fillId="19" borderId="0" xfId="0" applyFont="1" applyFill="1" applyAlignment="1">
      <alignment vertical="center" wrapText="1"/>
    </xf>
    <xf numFmtId="0" fontId="19" fillId="60" borderId="0" xfId="0" applyFont="1" applyFill="1" applyAlignment="1">
      <alignment vertical="center" wrapText="1"/>
    </xf>
    <xf numFmtId="0" fontId="18" fillId="47" borderId="0" xfId="0" applyFont="1" applyFill="1" applyAlignment="1">
      <alignment vertical="center" wrapText="1"/>
    </xf>
    <xf numFmtId="0" fontId="19" fillId="47" borderId="0" xfId="0" applyFont="1" applyFill="1" applyAlignment="1">
      <alignment horizontal="center" vertical="center" wrapText="1"/>
    </xf>
    <xf numFmtId="0" fontId="20" fillId="47" borderId="6" xfId="0" applyFont="1" applyFill="1" applyBorder="1" applyAlignment="1">
      <alignment vertical="center" wrapText="1"/>
    </xf>
    <xf numFmtId="0" fontId="20" fillId="47" borderId="0" xfId="0" applyFont="1" applyFill="1" applyAlignment="1">
      <alignment vertical="center" wrapText="1"/>
    </xf>
    <xf numFmtId="0" fontId="19" fillId="47" borderId="12" xfId="0" applyFont="1" applyFill="1" applyBorder="1" applyAlignment="1">
      <alignment vertical="center" wrapText="1"/>
    </xf>
    <xf numFmtId="0" fontId="19" fillId="59" borderId="0" xfId="0" applyFont="1" applyFill="1" applyAlignment="1">
      <alignment vertical="center" wrapText="1"/>
    </xf>
    <xf numFmtId="0" fontId="19" fillId="48" borderId="0" xfId="0" applyFont="1" applyFill="1" applyAlignment="1">
      <alignment vertical="center" wrapText="1"/>
    </xf>
    <xf numFmtId="0" fontId="19" fillId="47" borderId="0" xfId="0" applyFont="1" applyFill="1" applyBorder="1" applyAlignment="1">
      <alignment vertical="center"/>
    </xf>
    <xf numFmtId="0" fontId="19" fillId="58" borderId="0" xfId="0" applyFont="1" applyFill="1" applyAlignment="1">
      <alignment vertical="center" wrapText="1"/>
    </xf>
    <xf numFmtId="0" fontId="19" fillId="12" borderId="0" xfId="0" applyFont="1" applyFill="1" applyAlignment="1">
      <alignment horizontal="center" vertical="center" wrapText="1"/>
    </xf>
    <xf numFmtId="0" fontId="20" fillId="12" borderId="6" xfId="0" applyFont="1" applyFill="1" applyBorder="1" applyAlignment="1">
      <alignment vertical="center" wrapText="1"/>
    </xf>
    <xf numFmtId="0" fontId="20" fillId="12" borderId="0" xfId="0" applyFont="1" applyFill="1" applyAlignment="1">
      <alignment vertical="center" wrapText="1"/>
    </xf>
    <xf numFmtId="0" fontId="19" fillId="12" borderId="12" xfId="0" applyFont="1" applyFill="1" applyBorder="1" applyAlignment="1">
      <alignment horizontal="left" vertical="center" wrapText="1"/>
    </xf>
    <xf numFmtId="0" fontId="19" fillId="12" borderId="12" xfId="0" applyFont="1" applyFill="1" applyBorder="1" applyAlignment="1">
      <alignment vertical="center" wrapText="1"/>
    </xf>
    <xf numFmtId="0" fontId="20" fillId="12" borderId="12" xfId="0" applyFont="1" applyFill="1" applyBorder="1" applyAlignment="1">
      <alignment vertical="center" wrapText="1"/>
    </xf>
    <xf numFmtId="0" fontId="19" fillId="8" borderId="0" xfId="0" applyFont="1" applyFill="1" applyAlignment="1">
      <alignment vertical="center" wrapText="1"/>
    </xf>
    <xf numFmtId="0" fontId="19" fillId="12" borderId="0" xfId="0" applyFont="1" applyFill="1" applyBorder="1" applyAlignment="1">
      <alignment vertical="center" wrapText="1"/>
    </xf>
    <xf numFmtId="0" fontId="20" fillId="12" borderId="0" xfId="0" applyFont="1" applyFill="1" applyBorder="1" applyAlignment="1">
      <alignment vertical="center" wrapText="1"/>
    </xf>
    <xf numFmtId="0" fontId="19" fillId="49" borderId="0" xfId="0" applyFont="1" applyFill="1" applyBorder="1" applyAlignment="1">
      <alignment vertical="center" wrapText="1"/>
    </xf>
    <xf numFmtId="0" fontId="20" fillId="49" borderId="6" xfId="0" applyFont="1" applyFill="1" applyBorder="1" applyAlignment="1">
      <alignment vertical="center" wrapText="1"/>
    </xf>
    <xf numFmtId="0" fontId="20" fillId="49" borderId="0" xfId="0" applyFont="1" applyFill="1" applyAlignment="1">
      <alignment vertical="center" wrapText="1"/>
    </xf>
    <xf numFmtId="0" fontId="19" fillId="49" borderId="12" xfId="0" applyFont="1" applyFill="1" applyBorder="1" applyAlignment="1">
      <alignment horizontal="left" vertical="center" wrapText="1"/>
    </xf>
    <xf numFmtId="0" fontId="19" fillId="49" borderId="12" xfId="0" applyFont="1" applyFill="1" applyBorder="1" applyAlignment="1">
      <alignment vertical="center" wrapText="1"/>
    </xf>
    <xf numFmtId="0" fontId="20" fillId="49" borderId="12" xfId="0" applyFont="1" applyFill="1" applyBorder="1" applyAlignment="1">
      <alignment vertical="center" wrapText="1"/>
    </xf>
    <xf numFmtId="0" fontId="19" fillId="50" borderId="0" xfId="0" applyFont="1" applyFill="1" applyBorder="1" applyAlignment="1">
      <alignment vertical="center" wrapText="1"/>
    </xf>
    <xf numFmtId="0" fontId="27" fillId="12" borderId="0" xfId="0" applyFont="1" applyFill="1" applyAlignment="1">
      <alignment horizontal="center" vertical="center" wrapText="1"/>
    </xf>
    <xf numFmtId="0" fontId="18" fillId="49" borderId="0" xfId="0" applyFont="1" applyFill="1" applyBorder="1" applyAlignment="1">
      <alignment vertical="center" wrapText="1"/>
    </xf>
    <xf numFmtId="0" fontId="19" fillId="49" borderId="0" xfId="0" applyFont="1" applyFill="1" applyBorder="1" applyAlignment="1">
      <alignment horizontal="center" vertical="center" wrapText="1"/>
    </xf>
    <xf numFmtId="0" fontId="20" fillId="49" borderId="0" xfId="0" applyFont="1" applyFill="1" applyBorder="1" applyAlignment="1">
      <alignment vertical="center" wrapText="1"/>
    </xf>
    <xf numFmtId="0" fontId="20" fillId="9" borderId="6" xfId="0" applyFont="1" applyFill="1" applyBorder="1" applyAlignment="1">
      <alignment vertical="center" wrapText="1"/>
    </xf>
    <xf numFmtId="0" fontId="20" fillId="9" borderId="0" xfId="0" applyFont="1" applyFill="1" applyAlignment="1">
      <alignment vertical="center" wrapText="1"/>
    </xf>
    <xf numFmtId="0" fontId="19" fillId="9" borderId="12" xfId="0" applyFont="1" applyFill="1" applyBorder="1" applyAlignment="1">
      <alignment horizontal="left" vertical="center" wrapText="1"/>
    </xf>
    <xf numFmtId="0" fontId="19" fillId="9" borderId="12" xfId="0" applyFont="1" applyFill="1" applyBorder="1" applyAlignment="1">
      <alignment vertical="center" wrapText="1"/>
    </xf>
    <xf numFmtId="0" fontId="20" fillId="9" borderId="12" xfId="0" applyFont="1" applyFill="1" applyBorder="1" applyAlignment="1">
      <alignment vertical="center" wrapText="1"/>
    </xf>
    <xf numFmtId="0" fontId="19" fillId="23" borderId="0" xfId="0" applyFont="1" applyFill="1" applyAlignment="1">
      <alignment vertical="center" wrapText="1"/>
    </xf>
    <xf numFmtId="0" fontId="19" fillId="23" borderId="0" xfId="0" applyFont="1" applyFill="1" applyBorder="1" applyAlignment="1">
      <alignment vertical="center" wrapText="1"/>
    </xf>
    <xf numFmtId="0" fontId="19" fillId="9" borderId="0" xfId="0" applyFont="1" applyFill="1" applyBorder="1" applyAlignment="1">
      <alignment vertical="center" wrapText="1"/>
    </xf>
    <xf numFmtId="0" fontId="20" fillId="37" borderId="0" xfId="0" applyFont="1" applyFill="1" applyAlignment="1">
      <alignment vertical="center" wrapText="1"/>
    </xf>
    <xf numFmtId="0" fontId="18" fillId="22" borderId="0" xfId="0" applyFont="1" applyFill="1" applyAlignment="1">
      <alignment vertical="center" wrapText="1"/>
    </xf>
    <xf numFmtId="0" fontId="19" fillId="22" borderId="0" xfId="0" applyFont="1" applyFill="1" applyAlignment="1">
      <alignment horizontal="center" vertical="center" wrapText="1"/>
    </xf>
    <xf numFmtId="0" fontId="20" fillId="22" borderId="6" xfId="0" applyFont="1" applyFill="1" applyBorder="1" applyAlignment="1">
      <alignment vertical="center" wrapText="1"/>
    </xf>
    <xf numFmtId="0" fontId="20" fillId="22" borderId="0" xfId="0" applyFont="1" applyFill="1" applyAlignment="1">
      <alignment vertical="center" wrapText="1"/>
    </xf>
    <xf numFmtId="0" fontId="19" fillId="22" borderId="12" xfId="0" applyFont="1" applyFill="1" applyBorder="1" applyAlignment="1">
      <alignment horizontal="left" vertical="center" wrapText="1"/>
    </xf>
    <xf numFmtId="0" fontId="19" fillId="22" borderId="12" xfId="0" applyFont="1" applyFill="1" applyBorder="1" applyAlignment="1">
      <alignment vertical="center" wrapText="1"/>
    </xf>
    <xf numFmtId="0" fontId="20" fillId="22" borderId="12" xfId="0" applyFont="1" applyFill="1" applyBorder="1" applyAlignment="1">
      <alignment vertical="center" wrapText="1"/>
    </xf>
    <xf numFmtId="0" fontId="19" fillId="53" borderId="0" xfId="0" applyFont="1" applyFill="1" applyAlignment="1">
      <alignment vertical="center" wrapText="1"/>
    </xf>
    <xf numFmtId="0" fontId="19" fillId="22" borderId="0" xfId="0" applyFont="1" applyFill="1" applyBorder="1" applyAlignment="1">
      <alignment vertical="center" wrapText="1"/>
    </xf>
    <xf numFmtId="0" fontId="20" fillId="51" borderId="6" xfId="0" applyFont="1" applyFill="1" applyBorder="1" applyAlignment="1">
      <alignment vertical="center" wrapText="1"/>
    </xf>
    <xf numFmtId="0" fontId="27" fillId="51" borderId="0" xfId="0" applyFont="1" applyFill="1" applyBorder="1" applyAlignment="1">
      <alignment vertical="center" wrapText="1"/>
    </xf>
    <xf numFmtId="0" fontId="20" fillId="51" borderId="0" xfId="0" applyFont="1" applyFill="1" applyAlignment="1">
      <alignment vertical="center" wrapText="1"/>
    </xf>
    <xf numFmtId="0" fontId="27" fillId="51" borderId="12" xfId="0" applyFont="1" applyFill="1" applyBorder="1" applyAlignment="1">
      <alignment horizontal="left" vertical="center" wrapText="1"/>
    </xf>
    <xf numFmtId="0" fontId="27" fillId="51" borderId="12" xfId="0" applyFont="1" applyFill="1" applyBorder="1" applyAlignment="1">
      <alignment vertical="center" wrapText="1"/>
    </xf>
    <xf numFmtId="0" fontId="20" fillId="51" borderId="12" xfId="0" applyFont="1" applyFill="1" applyBorder="1" applyAlignment="1">
      <alignment vertical="center" wrapText="1"/>
    </xf>
    <xf numFmtId="0" fontId="20" fillId="51" borderId="0" xfId="0" applyFont="1" applyFill="1" applyBorder="1" applyAlignment="1">
      <alignment vertical="center" wrapText="1"/>
    </xf>
    <xf numFmtId="0" fontId="19" fillId="52" borderId="0" xfId="0" applyFont="1" applyFill="1" applyBorder="1" applyAlignment="1">
      <alignment vertical="center" wrapText="1"/>
    </xf>
    <xf numFmtId="0" fontId="19" fillId="51" borderId="0" xfId="0" applyFont="1" applyFill="1" applyBorder="1" applyAlignment="1">
      <alignment vertical="center" wrapText="1"/>
    </xf>
    <xf numFmtId="0" fontId="18" fillId="0" borderId="16" xfId="0" applyFont="1" applyFill="1" applyBorder="1" applyAlignment="1">
      <alignment vertical="center" wrapText="1"/>
    </xf>
    <xf numFmtId="0" fontId="27" fillId="12" borderId="3" xfId="0" applyFont="1" applyFill="1" applyBorder="1" applyAlignment="1">
      <alignment vertical="center"/>
    </xf>
    <xf numFmtId="0" fontId="27" fillId="12" borderId="3" xfId="0" applyFont="1" applyFill="1" applyBorder="1" applyAlignment="1">
      <alignment vertical="center" wrapText="1"/>
    </xf>
    <xf numFmtId="0" fontId="27" fillId="12" borderId="3" xfId="0" applyFont="1" applyFill="1" applyBorder="1" applyAlignment="1">
      <alignment horizontal="center" vertical="center" wrapText="1"/>
    </xf>
    <xf numFmtId="0" fontId="20" fillId="12" borderId="4" xfId="0" applyFont="1" applyFill="1" applyBorder="1" applyAlignment="1">
      <alignment vertical="center"/>
    </xf>
    <xf numFmtId="0" fontId="27" fillId="12" borderId="14" xfId="0" applyFont="1" applyFill="1" applyBorder="1" applyAlignment="1">
      <alignment horizontal="left" vertical="center" wrapText="1"/>
    </xf>
    <xf numFmtId="0" fontId="27" fillId="12" borderId="14" xfId="0" applyFont="1" applyFill="1" applyBorder="1" applyAlignment="1">
      <alignment vertical="center"/>
    </xf>
    <xf numFmtId="0" fontId="20" fillId="12" borderId="14" xfId="0" applyFont="1" applyFill="1" applyBorder="1" applyAlignment="1">
      <alignment vertical="center"/>
    </xf>
    <xf numFmtId="0" fontId="20" fillId="12" borderId="3" xfId="0" applyFont="1" applyFill="1" applyBorder="1" applyAlignment="1">
      <alignment vertical="center" wrapText="1"/>
    </xf>
    <xf numFmtId="0" fontId="28" fillId="8" borderId="3" xfId="0" applyFont="1" applyFill="1" applyBorder="1" applyAlignment="1">
      <alignment vertical="center" wrapText="1"/>
    </xf>
    <xf numFmtId="0" fontId="22" fillId="8" borderId="3" xfId="0" applyFont="1" applyFill="1" applyBorder="1" applyAlignment="1">
      <alignment vertical="center" wrapText="1"/>
    </xf>
    <xf numFmtId="0" fontId="22" fillId="8" borderId="3" xfId="0" applyFont="1" applyFill="1" applyBorder="1" applyAlignment="1">
      <alignment vertical="center"/>
    </xf>
    <xf numFmtId="0" fontId="21" fillId="12" borderId="3" xfId="0" applyFont="1" applyFill="1" applyBorder="1" applyAlignment="1">
      <alignment horizontal="center" vertical="center"/>
    </xf>
    <xf numFmtId="0" fontId="21" fillId="12" borderId="3" xfId="0" applyFont="1" applyFill="1" applyBorder="1" applyAlignment="1">
      <alignment vertical="center" wrapText="1"/>
    </xf>
    <xf numFmtId="0" fontId="21" fillId="12" borderId="3" xfId="0" applyFont="1" applyFill="1" applyBorder="1" applyAlignment="1">
      <alignment vertical="center"/>
    </xf>
    <xf numFmtId="0" fontId="18" fillId="9" borderId="0" xfId="0" applyFont="1" applyFill="1" applyBorder="1" applyAlignment="1">
      <alignment vertical="center" wrapText="1"/>
    </xf>
    <xf numFmtId="0" fontId="19" fillId="9" borderId="0" xfId="0" applyFont="1" applyFill="1" applyBorder="1" applyAlignment="1">
      <alignment horizontal="center" vertical="center" wrapText="1"/>
    </xf>
    <xf numFmtId="0" fontId="20" fillId="9" borderId="6" xfId="0" applyFont="1" applyFill="1" applyBorder="1" applyAlignment="1">
      <alignment vertical="center"/>
    </xf>
    <xf numFmtId="0" fontId="21" fillId="9" borderId="12" xfId="0" applyFont="1" applyFill="1" applyBorder="1" applyAlignment="1">
      <alignment vertical="center"/>
    </xf>
    <xf numFmtId="0" fontId="20" fillId="9" borderId="12" xfId="0" applyFont="1" applyFill="1" applyBorder="1" applyAlignment="1">
      <alignment vertical="center"/>
    </xf>
    <xf numFmtId="0" fontId="20" fillId="9" borderId="0" xfId="0" applyFont="1" applyFill="1" applyBorder="1" applyAlignment="1">
      <alignment vertical="center" wrapText="1"/>
    </xf>
    <xf numFmtId="0" fontId="22" fillId="23" borderId="0" xfId="0" applyFont="1" applyFill="1" applyBorder="1" applyAlignment="1">
      <alignment vertical="center" wrapText="1"/>
    </xf>
    <xf numFmtId="0" fontId="22" fillId="23" borderId="0" xfId="0" applyFont="1" applyFill="1" applyBorder="1" applyAlignment="1">
      <alignment vertical="center"/>
    </xf>
    <xf numFmtId="0" fontId="18" fillId="37" borderId="0" xfId="0" applyFont="1" applyFill="1" applyAlignment="1">
      <alignment vertical="center" wrapText="1"/>
    </xf>
    <xf numFmtId="0" fontId="19" fillId="37" borderId="0" xfId="0" applyFont="1" applyFill="1" applyAlignment="1">
      <alignment vertical="center" wrapText="1"/>
    </xf>
    <xf numFmtId="0" fontId="19" fillId="37" borderId="0" xfId="0" applyFont="1" applyFill="1" applyAlignment="1">
      <alignment horizontal="center" vertical="center" wrapText="1"/>
    </xf>
    <xf numFmtId="0" fontId="20" fillId="37" borderId="6" xfId="0" applyFont="1" applyFill="1" applyBorder="1" applyAlignment="1">
      <alignment vertical="center" wrapText="1"/>
    </xf>
    <xf numFmtId="0" fontId="19" fillId="37" borderId="12" xfId="0" applyFont="1" applyFill="1" applyBorder="1" applyAlignment="1">
      <alignment horizontal="left" vertical="center" wrapText="1"/>
    </xf>
    <xf numFmtId="0" fontId="19" fillId="37" borderId="12" xfId="0" applyFont="1" applyFill="1" applyBorder="1" applyAlignment="1">
      <alignment vertical="center" wrapText="1"/>
    </xf>
    <xf numFmtId="0" fontId="20" fillId="37" borderId="12" xfId="0" applyFont="1" applyFill="1" applyBorder="1" applyAlignment="1">
      <alignment vertical="center" wrapText="1"/>
    </xf>
    <xf numFmtId="0" fontId="19" fillId="38" borderId="0" xfId="0" applyFont="1" applyFill="1" applyAlignment="1">
      <alignment vertical="center" wrapText="1"/>
    </xf>
    <xf numFmtId="0" fontId="19" fillId="37" borderId="0" xfId="0" applyFont="1" applyFill="1" applyBorder="1" applyAlignment="1">
      <alignment vertical="center" wrapText="1"/>
    </xf>
    <xf numFmtId="0" fontId="18" fillId="9" borderId="0" xfId="0" applyFont="1" applyFill="1" applyBorder="1" applyAlignment="1">
      <alignment vertical="center"/>
    </xf>
    <xf numFmtId="0" fontId="18" fillId="0" borderId="0" xfId="0" applyFont="1" applyFill="1" applyAlignment="1">
      <alignment vertical="center"/>
    </xf>
    <xf numFmtId="0" fontId="21" fillId="12" borderId="0" xfId="0" applyFont="1" applyFill="1" applyAlignment="1">
      <alignment horizontal="center" vertical="center"/>
    </xf>
    <xf numFmtId="0" fontId="19" fillId="50" borderId="0" xfId="0" applyFont="1" applyFill="1" applyAlignment="1">
      <alignment vertical="center" wrapText="1"/>
    </xf>
    <xf numFmtId="0" fontId="21" fillId="49" borderId="0" xfId="0" applyFont="1" applyFill="1" applyAlignment="1">
      <alignment horizontal="center" vertical="center"/>
    </xf>
    <xf numFmtId="0" fontId="27" fillId="12" borderId="0" xfId="0" applyFont="1" applyFill="1" applyBorder="1" applyAlignment="1">
      <alignment vertical="center" wrapText="1"/>
    </xf>
    <xf numFmtId="0" fontId="27" fillId="12" borderId="0" xfId="0" applyFont="1" applyFill="1" applyAlignment="1">
      <alignment vertical="center" wrapText="1"/>
    </xf>
    <xf numFmtId="0" fontId="27" fillId="12" borderId="12" xfId="0" applyFont="1" applyFill="1" applyBorder="1" applyAlignment="1">
      <alignment horizontal="left" vertical="center" wrapText="1"/>
    </xf>
    <xf numFmtId="0" fontId="27" fillId="12" borderId="12" xfId="0" applyFont="1" applyFill="1" applyBorder="1" applyAlignment="1">
      <alignment vertical="center" wrapText="1"/>
    </xf>
    <xf numFmtId="0" fontId="28" fillId="8" borderId="0" xfId="0" applyFont="1" applyFill="1" applyBorder="1" applyAlignment="1">
      <alignment vertical="center" wrapText="1"/>
    </xf>
    <xf numFmtId="0" fontId="18" fillId="49" borderId="0" xfId="0" applyFont="1" applyFill="1" applyBorder="1" applyAlignment="1">
      <alignment vertical="center"/>
    </xf>
    <xf numFmtId="0" fontId="21" fillId="49" borderId="0" xfId="0" applyFont="1" applyFill="1" applyBorder="1" applyAlignment="1">
      <alignment vertical="center"/>
    </xf>
    <xf numFmtId="0" fontId="21" fillId="49" borderId="0" xfId="0" applyFont="1" applyFill="1" applyBorder="1" applyAlignment="1">
      <alignment vertical="center" wrapText="1"/>
    </xf>
    <xf numFmtId="0" fontId="21" fillId="49" borderId="0" xfId="0" applyFont="1" applyFill="1" applyBorder="1" applyAlignment="1">
      <alignment horizontal="center" vertical="center"/>
    </xf>
    <xf numFmtId="0" fontId="20" fillId="49" borderId="6" xfId="0" applyFont="1" applyFill="1" applyBorder="1" applyAlignment="1">
      <alignment vertical="center"/>
    </xf>
    <xf numFmtId="0" fontId="21" fillId="49" borderId="12" xfId="0" applyFont="1" applyFill="1" applyBorder="1" applyAlignment="1">
      <alignment vertical="center"/>
    </xf>
    <xf numFmtId="0" fontId="20" fillId="49" borderId="12" xfId="0" applyFont="1" applyFill="1" applyBorder="1" applyAlignment="1">
      <alignment vertical="center"/>
    </xf>
    <xf numFmtId="0" fontId="22" fillId="50" borderId="0" xfId="0" applyFont="1" applyFill="1" applyBorder="1" applyAlignment="1">
      <alignment vertical="center" wrapText="1"/>
    </xf>
    <xf numFmtId="0" fontId="22" fillId="50" borderId="0" xfId="0" applyFont="1" applyFill="1" applyBorder="1" applyAlignment="1">
      <alignment vertical="center"/>
    </xf>
    <xf numFmtId="0" fontId="21" fillId="12" borderId="0" xfId="0" applyFont="1" applyFill="1" applyAlignment="1">
      <alignment vertical="center"/>
    </xf>
    <xf numFmtId="0" fontId="21" fillId="12" borderId="0" xfId="0" applyFont="1" applyFill="1" applyAlignment="1">
      <alignment vertical="center" wrapText="1"/>
    </xf>
    <xf numFmtId="0" fontId="20" fillId="12" borderId="6" xfId="0" applyFont="1" applyFill="1" applyBorder="1" applyAlignment="1">
      <alignment vertical="center"/>
    </xf>
    <xf numFmtId="0" fontId="21" fillId="12" borderId="12" xfId="0" applyFont="1" applyFill="1" applyBorder="1" applyAlignment="1">
      <alignment vertical="center"/>
    </xf>
    <xf numFmtId="0" fontId="20" fillId="12" borderId="12" xfId="0" applyFont="1" applyFill="1" applyBorder="1" applyAlignment="1">
      <alignment vertical="center"/>
    </xf>
    <xf numFmtId="0" fontId="22" fillId="8" borderId="0" xfId="0" applyFont="1" applyFill="1" applyAlignment="1">
      <alignment vertical="center" wrapText="1"/>
    </xf>
    <xf numFmtId="0" fontId="22" fillId="8" borderId="0" xfId="0" applyFont="1" applyFill="1" applyAlignment="1">
      <alignment vertical="center"/>
    </xf>
    <xf numFmtId="0" fontId="18" fillId="10" borderId="0" xfId="0" applyFont="1" applyFill="1" applyAlignment="1">
      <alignment vertical="center"/>
    </xf>
    <xf numFmtId="0" fontId="19" fillId="10" borderId="0" xfId="0" applyFont="1" applyFill="1" applyAlignment="1">
      <alignment vertical="center" wrapText="1"/>
    </xf>
    <xf numFmtId="0" fontId="21" fillId="10" borderId="0" xfId="0" applyFont="1" applyFill="1" applyAlignment="1">
      <alignment horizontal="center" vertical="center"/>
    </xf>
    <xf numFmtId="0" fontId="20" fillId="10" borderId="6" xfId="0" applyFont="1" applyFill="1" applyBorder="1" applyAlignment="1">
      <alignment vertical="center" wrapText="1"/>
    </xf>
    <xf numFmtId="0" fontId="20" fillId="10" borderId="0" xfId="0" applyFont="1" applyFill="1" applyAlignment="1">
      <alignment vertical="center" wrapText="1"/>
    </xf>
    <xf numFmtId="0" fontId="19" fillId="10" borderId="12" xfId="0" applyFont="1" applyFill="1" applyBorder="1" applyAlignment="1">
      <alignment horizontal="left" vertical="center" wrapText="1"/>
    </xf>
    <xf numFmtId="0" fontId="19" fillId="10" borderId="12" xfId="0" applyFont="1" applyFill="1" applyBorder="1" applyAlignment="1">
      <alignment vertical="center" wrapText="1"/>
    </xf>
    <xf numFmtId="0" fontId="20" fillId="10" borderId="12" xfId="0" applyFont="1" applyFill="1" applyBorder="1" applyAlignment="1">
      <alignment vertical="center" wrapText="1"/>
    </xf>
    <xf numFmtId="0" fontId="19" fillId="39" borderId="0" xfId="0" applyFont="1" applyFill="1" applyAlignment="1">
      <alignment vertical="center" wrapText="1"/>
    </xf>
    <xf numFmtId="0" fontId="19" fillId="10" borderId="0" xfId="0" applyFont="1" applyFill="1" applyAlignment="1">
      <alignment horizontal="center" vertical="center" wrapText="1"/>
    </xf>
    <xf numFmtId="0" fontId="19" fillId="10" borderId="0" xfId="0" applyFont="1" applyFill="1" applyBorder="1" applyAlignment="1">
      <alignment vertical="center" wrapText="1"/>
    </xf>
    <xf numFmtId="0" fontId="18" fillId="49" borderId="0" xfId="0" applyFont="1" applyFill="1" applyAlignment="1">
      <alignment vertical="center"/>
    </xf>
    <xf numFmtId="0" fontId="18" fillId="0" borderId="0" xfId="0" applyFont="1" applyFill="1" applyBorder="1" applyAlignment="1">
      <alignment vertical="center"/>
    </xf>
    <xf numFmtId="0" fontId="21" fillId="12" borderId="0" xfId="0" applyFont="1" applyFill="1" applyBorder="1" applyAlignment="1">
      <alignment horizontal="center" vertical="center"/>
    </xf>
    <xf numFmtId="0" fontId="19" fillId="12" borderId="0" xfId="0" applyFont="1" applyFill="1" applyBorder="1" applyAlignment="1">
      <alignment horizontal="center" vertical="center" wrapText="1"/>
    </xf>
    <xf numFmtId="0" fontId="18" fillId="10" borderId="0" xfId="0" applyFont="1" applyFill="1" applyAlignment="1">
      <alignment vertical="center" wrapText="1"/>
    </xf>
    <xf numFmtId="0" fontId="18" fillId="0" borderId="17" xfId="0" applyFont="1" applyFill="1" applyBorder="1" applyAlignment="1">
      <alignment vertical="center"/>
    </xf>
    <xf numFmtId="0" fontId="19" fillId="12" borderId="1" xfId="0" applyFont="1" applyFill="1" applyBorder="1" applyAlignment="1">
      <alignment vertical="center" wrapText="1"/>
    </xf>
    <xf numFmtId="0" fontId="21" fillId="12" borderId="1" xfId="0" applyFont="1" applyFill="1" applyBorder="1" applyAlignment="1">
      <alignment horizontal="center" vertical="center"/>
    </xf>
    <xf numFmtId="0" fontId="20" fillId="12" borderId="5" xfId="0" applyFont="1" applyFill="1" applyBorder="1" applyAlignment="1">
      <alignment vertical="center" wrapText="1"/>
    </xf>
    <xf numFmtId="0" fontId="19" fillId="12" borderId="11" xfId="0" applyFont="1" applyFill="1" applyBorder="1" applyAlignment="1">
      <alignment horizontal="left" vertical="center" wrapText="1"/>
    </xf>
    <xf numFmtId="0" fontId="19" fillId="12" borderId="11" xfId="0" applyFont="1" applyFill="1" applyBorder="1" applyAlignment="1">
      <alignment vertical="center" wrapText="1"/>
    </xf>
    <xf numFmtId="0" fontId="20" fillId="12" borderId="11" xfId="0" applyFont="1" applyFill="1" applyBorder="1" applyAlignment="1">
      <alignment vertical="center" wrapText="1"/>
    </xf>
    <xf numFmtId="0" fontId="19" fillId="8" borderId="8" xfId="0" applyFont="1" applyFill="1" applyBorder="1" applyAlignment="1">
      <alignment vertical="center" wrapText="1"/>
    </xf>
    <xf numFmtId="0" fontId="19" fillId="12" borderId="1" xfId="0" applyFont="1" applyFill="1" applyBorder="1" applyAlignment="1">
      <alignment horizontal="center" vertical="center" wrapText="1"/>
    </xf>
    <xf numFmtId="0" fontId="18" fillId="0" borderId="18" xfId="0" applyFont="1" applyFill="1" applyBorder="1" applyAlignment="1">
      <alignment vertical="center"/>
    </xf>
    <xf numFmtId="0" fontId="18" fillId="0" borderId="18" xfId="0" applyFont="1" applyFill="1" applyBorder="1" applyAlignment="1">
      <alignment vertical="center" wrapText="1"/>
    </xf>
    <xf numFmtId="0" fontId="27" fillId="12" borderId="0" xfId="0" applyFont="1" applyFill="1" applyBorder="1" applyAlignment="1">
      <alignment horizontal="center" vertical="center"/>
    </xf>
    <xf numFmtId="0" fontId="27" fillId="20" borderId="0" xfId="0" applyFont="1" applyFill="1" applyBorder="1" applyAlignment="1">
      <alignment vertical="center" wrapText="1"/>
    </xf>
    <xf numFmtId="0" fontId="27" fillId="12" borderId="0" xfId="0" applyFont="1" applyFill="1" applyBorder="1" applyAlignment="1">
      <alignment horizontal="center" vertical="center" wrapText="1"/>
    </xf>
    <xf numFmtId="0" fontId="18" fillId="0" borderId="0" xfId="0" applyFont="1" applyFill="1" applyBorder="1" applyAlignment="1">
      <alignment vertical="center" wrapText="1"/>
    </xf>
    <xf numFmtId="0" fontId="21" fillId="9" borderId="0" xfId="0" applyFont="1" applyFill="1" applyAlignment="1">
      <alignment horizontal="center" vertical="center"/>
    </xf>
    <xf numFmtId="0" fontId="18" fillId="9" borderId="0" xfId="0" applyFont="1" applyFill="1" applyAlignment="1">
      <alignment vertical="center"/>
    </xf>
    <xf numFmtId="0" fontId="20" fillId="9" borderId="1" xfId="0" applyFont="1" applyFill="1" applyBorder="1" applyAlignment="1">
      <alignment vertical="center" wrapText="1"/>
    </xf>
    <xf numFmtId="0" fontId="21" fillId="12" borderId="0" xfId="0" applyFont="1" applyFill="1" applyBorder="1" applyAlignment="1">
      <alignment vertical="center"/>
    </xf>
    <xf numFmtId="0" fontId="22" fillId="8" borderId="0" xfId="0" applyFont="1" applyFill="1" applyBorder="1" applyAlignment="1">
      <alignment vertical="center" wrapText="1"/>
    </xf>
    <xf numFmtId="0" fontId="21" fillId="12" borderId="0" xfId="0" applyFont="1" applyFill="1" applyBorder="1" applyAlignment="1">
      <alignment vertical="center" wrapText="1"/>
    </xf>
    <xf numFmtId="0" fontId="18" fillId="9" borderId="16" xfId="0" applyFont="1" applyFill="1" applyBorder="1" applyAlignment="1">
      <alignment vertical="center" wrapText="1"/>
    </xf>
    <xf numFmtId="0" fontId="21" fillId="9" borderId="3" xfId="0" applyFont="1" applyFill="1" applyBorder="1" applyAlignment="1">
      <alignment vertical="center"/>
    </xf>
    <xf numFmtId="0" fontId="19" fillId="9" borderId="3" xfId="0" applyFont="1" applyFill="1" applyBorder="1" applyAlignment="1">
      <alignment vertical="center" wrapText="1"/>
    </xf>
    <xf numFmtId="0" fontId="19" fillId="9" borderId="3" xfId="0" applyFont="1" applyFill="1" applyBorder="1" applyAlignment="1">
      <alignment horizontal="center" vertical="center" wrapText="1"/>
    </xf>
    <xf numFmtId="0" fontId="20" fillId="9" borderId="4" xfId="0" applyFont="1" applyFill="1" applyBorder="1" applyAlignment="1">
      <alignment vertical="center"/>
    </xf>
    <xf numFmtId="0" fontId="19" fillId="9" borderId="14" xfId="0" applyFont="1" applyFill="1" applyBorder="1" applyAlignment="1">
      <alignment horizontal="left" vertical="center" wrapText="1"/>
    </xf>
    <xf numFmtId="0" fontId="21" fillId="9" borderId="14" xfId="0" applyFont="1" applyFill="1" applyBorder="1" applyAlignment="1">
      <alignment vertical="center"/>
    </xf>
    <xf numFmtId="0" fontId="20" fillId="9" borderId="14" xfId="0" applyFont="1" applyFill="1" applyBorder="1" applyAlignment="1">
      <alignment vertical="center"/>
    </xf>
    <xf numFmtId="0" fontId="20" fillId="9" borderId="3" xfId="0" applyFont="1" applyFill="1" applyBorder="1" applyAlignment="1">
      <alignment vertical="center" wrapText="1"/>
    </xf>
    <xf numFmtId="0" fontId="22" fillId="23" borderId="3" xfId="0" applyFont="1" applyFill="1" applyBorder="1" applyAlignment="1">
      <alignment vertical="center" wrapText="1"/>
    </xf>
    <xf numFmtId="0" fontId="22" fillId="23" borderId="3" xfId="0" applyFont="1" applyFill="1" applyBorder="1" applyAlignment="1">
      <alignment vertical="center"/>
    </xf>
    <xf numFmtId="0" fontId="21" fillId="9" borderId="3" xfId="0" applyFont="1" applyFill="1" applyBorder="1" applyAlignment="1">
      <alignment horizontal="center" vertical="center"/>
    </xf>
    <xf numFmtId="0" fontId="21" fillId="9" borderId="3" xfId="0" applyFont="1" applyFill="1" applyBorder="1" applyAlignment="1">
      <alignment vertical="center" wrapText="1"/>
    </xf>
    <xf numFmtId="0" fontId="19" fillId="15" borderId="0" xfId="0" applyFont="1" applyFill="1" applyBorder="1" applyAlignment="1">
      <alignment vertical="center" wrapText="1"/>
    </xf>
    <xf numFmtId="0" fontId="18" fillId="15" borderId="0" xfId="0" applyFont="1" applyFill="1" applyBorder="1" applyAlignment="1">
      <alignment vertical="center" wrapText="1"/>
    </xf>
    <xf numFmtId="0" fontId="21" fillId="15" borderId="0" xfId="0" applyFont="1" applyFill="1" applyBorder="1" applyAlignment="1">
      <alignment horizontal="center" vertical="center"/>
    </xf>
    <xf numFmtId="0" fontId="19" fillId="15" borderId="12" xfId="0" applyFont="1" applyFill="1" applyBorder="1" applyAlignment="1">
      <alignment horizontal="left" vertical="center" wrapText="1"/>
    </xf>
    <xf numFmtId="0" fontId="22" fillId="9" borderId="0" xfId="0" applyFont="1" applyFill="1" applyBorder="1" applyAlignment="1">
      <alignment vertical="center"/>
    </xf>
    <xf numFmtId="0" fontId="22" fillId="9" borderId="0" xfId="0" applyFont="1" applyFill="1" applyBorder="1" applyAlignment="1">
      <alignment horizontal="center" vertical="center"/>
    </xf>
    <xf numFmtId="0" fontId="22" fillId="9" borderId="0" xfId="0" applyFont="1" applyFill="1" applyBorder="1" applyAlignment="1">
      <alignment vertical="center" wrapText="1"/>
    </xf>
    <xf numFmtId="0" fontId="18" fillId="10" borderId="0" xfId="0" applyFont="1" applyFill="1" applyAlignment="1">
      <alignment horizontal="left" vertical="top" wrapText="1"/>
    </xf>
    <xf numFmtId="0" fontId="19" fillId="10" borderId="0" xfId="0" applyFont="1" applyFill="1" applyAlignment="1">
      <alignment horizontal="left" vertical="top" wrapText="1"/>
    </xf>
    <xf numFmtId="0" fontId="19" fillId="10" borderId="0" xfId="0" applyFont="1" applyFill="1" applyAlignment="1">
      <alignment horizontal="center" vertical="top" wrapText="1"/>
    </xf>
    <xf numFmtId="0" fontId="20" fillId="10" borderId="6" xfId="0" applyFont="1" applyFill="1" applyBorder="1" applyAlignment="1">
      <alignment horizontal="left" vertical="top" wrapText="1"/>
    </xf>
    <xf numFmtId="0" fontId="19" fillId="20" borderId="0" xfId="0" applyFont="1" applyFill="1" applyAlignment="1">
      <alignment horizontal="left" vertical="top" wrapText="1"/>
    </xf>
    <xf numFmtId="0" fontId="19" fillId="10" borderId="12" xfId="0" applyFont="1" applyFill="1" applyBorder="1" applyAlignment="1">
      <alignment horizontal="left" vertical="top" wrapText="1"/>
    </xf>
    <xf numFmtId="0" fontId="20" fillId="10" borderId="12" xfId="0" applyFont="1" applyFill="1" applyBorder="1" applyAlignment="1">
      <alignment horizontal="left" vertical="top" wrapText="1"/>
    </xf>
    <xf numFmtId="0" fontId="19" fillId="39" borderId="0" xfId="0" applyFont="1" applyFill="1" applyAlignment="1">
      <alignment horizontal="left" vertical="top" wrapText="1"/>
    </xf>
    <xf numFmtId="0" fontId="19" fillId="10" borderId="0" xfId="0" applyFont="1" applyFill="1" applyBorder="1" applyAlignment="1">
      <alignment horizontal="left" vertical="top" wrapText="1"/>
    </xf>
    <xf numFmtId="0" fontId="18" fillId="0" borderId="0" xfId="0" applyFont="1" applyFill="1" applyAlignment="1">
      <alignment horizontal="left" vertical="top" wrapText="1"/>
    </xf>
    <xf numFmtId="0" fontId="19" fillId="12" borderId="0" xfId="0" applyFont="1" applyFill="1" applyAlignment="1">
      <alignment horizontal="left" vertical="top" wrapText="1"/>
    </xf>
    <xf numFmtId="0" fontId="19" fillId="12" borderId="0" xfId="0" applyFont="1" applyFill="1" applyAlignment="1">
      <alignment horizontal="center" vertical="top" wrapText="1"/>
    </xf>
    <xf numFmtId="0" fontId="20" fillId="12" borderId="6" xfId="0" applyFont="1" applyFill="1" applyBorder="1" applyAlignment="1">
      <alignment horizontal="left" vertical="top" wrapText="1"/>
    </xf>
    <xf numFmtId="0" fontId="19" fillId="12" borderId="12" xfId="0" applyFont="1" applyFill="1" applyBorder="1" applyAlignment="1">
      <alignment horizontal="left" vertical="top" wrapText="1"/>
    </xf>
    <xf numFmtId="0" fontId="20" fillId="12" borderId="12" xfId="0" applyFont="1" applyFill="1" applyBorder="1" applyAlignment="1">
      <alignment horizontal="left" vertical="top" wrapText="1"/>
    </xf>
    <xf numFmtId="0" fontId="19" fillId="8" borderId="0" xfId="0" applyFont="1" applyFill="1" applyAlignment="1">
      <alignment horizontal="left" vertical="top" wrapText="1"/>
    </xf>
    <xf numFmtId="0" fontId="19" fillId="12" borderId="0" xfId="0" applyFont="1" applyFill="1" applyBorder="1" applyAlignment="1">
      <alignment horizontal="left" vertical="top" wrapText="1"/>
    </xf>
    <xf numFmtId="0" fontId="29" fillId="9" borderId="6" xfId="0" applyFont="1" applyFill="1" applyBorder="1" applyAlignment="1">
      <alignment vertical="center"/>
    </xf>
    <xf numFmtId="0" fontId="22" fillId="9" borderId="12" xfId="0" applyFont="1" applyFill="1" applyBorder="1" applyAlignment="1">
      <alignment vertical="center"/>
    </xf>
    <xf numFmtId="0" fontId="29" fillId="9" borderId="12" xfId="0" applyFont="1" applyFill="1" applyBorder="1" applyAlignment="1">
      <alignment vertical="center"/>
    </xf>
    <xf numFmtId="0" fontId="22" fillId="12" borderId="0" xfId="0" applyFont="1" applyFill="1" applyBorder="1" applyAlignment="1">
      <alignment vertical="center"/>
    </xf>
    <xf numFmtId="0" fontId="29" fillId="12" borderId="6" xfId="0" applyFont="1" applyFill="1" applyBorder="1" applyAlignment="1">
      <alignment vertical="center"/>
    </xf>
    <xf numFmtId="0" fontId="29" fillId="12" borderId="12" xfId="0" applyFont="1" applyFill="1" applyBorder="1" applyAlignment="1">
      <alignment vertical="center"/>
    </xf>
    <xf numFmtId="0" fontId="22" fillId="8" borderId="0" xfId="0" applyFont="1" applyFill="1" applyBorder="1" applyAlignment="1">
      <alignment vertical="center"/>
    </xf>
    <xf numFmtId="0" fontId="22" fillId="12" borderId="0" xfId="0" applyFont="1" applyFill="1" applyBorder="1" applyAlignment="1">
      <alignment horizontal="center" vertical="center"/>
    </xf>
    <xf numFmtId="0" fontId="22" fillId="12" borderId="0" xfId="0" applyFont="1" applyFill="1" applyBorder="1" applyAlignment="1">
      <alignment vertical="center" wrapText="1"/>
    </xf>
    <xf numFmtId="0" fontId="22" fillId="12" borderId="0" xfId="0" applyFont="1" applyFill="1" applyAlignment="1">
      <alignment vertical="center"/>
    </xf>
    <xf numFmtId="0" fontId="22" fillId="12" borderId="12" xfId="0" applyFont="1" applyFill="1" applyBorder="1" applyAlignment="1">
      <alignment vertical="center"/>
    </xf>
    <xf numFmtId="0" fontId="22" fillId="12" borderId="0" xfId="0" applyFont="1" applyFill="1" applyAlignment="1">
      <alignment horizontal="center" vertical="center"/>
    </xf>
    <xf numFmtId="0" fontId="22" fillId="12" borderId="0" xfId="0" applyFont="1" applyFill="1" applyAlignment="1">
      <alignment vertical="center" wrapText="1"/>
    </xf>
    <xf numFmtId="0" fontId="18" fillId="24" borderId="0" xfId="0" applyFont="1" applyFill="1" applyAlignment="1">
      <alignment vertical="center"/>
    </xf>
    <xf numFmtId="0" fontId="21" fillId="24" borderId="0" xfId="0" applyFont="1" applyFill="1" applyAlignment="1">
      <alignment horizontal="center" vertical="center"/>
    </xf>
    <xf numFmtId="0" fontId="18" fillId="9" borderId="17" xfId="0" applyFont="1" applyFill="1" applyBorder="1" applyAlignment="1">
      <alignment vertical="center"/>
    </xf>
    <xf numFmtId="0" fontId="19" fillId="9" borderId="1" xfId="0" applyFont="1" applyFill="1" applyBorder="1" applyAlignment="1">
      <alignment vertical="center" wrapText="1"/>
    </xf>
    <xf numFmtId="0" fontId="21" fillId="9" borderId="1" xfId="0" applyFont="1" applyFill="1" applyBorder="1" applyAlignment="1">
      <alignment horizontal="center" vertical="center"/>
    </xf>
    <xf numFmtId="0" fontId="20" fillId="9" borderId="5" xfId="0" applyFont="1" applyFill="1" applyBorder="1" applyAlignment="1">
      <alignment vertical="center" wrapText="1"/>
    </xf>
    <xf numFmtId="0" fontId="19" fillId="9" borderId="11" xfId="0" applyFont="1" applyFill="1" applyBorder="1" applyAlignment="1">
      <alignment horizontal="left" vertical="center" wrapText="1"/>
    </xf>
    <xf numFmtId="0" fontId="19" fillId="9" borderId="11" xfId="0" applyFont="1" applyFill="1" applyBorder="1" applyAlignment="1">
      <alignment vertical="center" wrapText="1"/>
    </xf>
    <xf numFmtId="0" fontId="19" fillId="23" borderId="8" xfId="0" applyFont="1" applyFill="1" applyBorder="1" applyAlignment="1">
      <alignment vertical="center" wrapText="1"/>
    </xf>
    <xf numFmtId="0" fontId="19" fillId="9" borderId="1" xfId="0" applyFont="1" applyFill="1" applyBorder="1" applyAlignment="1">
      <alignment horizontal="center" vertical="center" wrapText="1"/>
    </xf>
    <xf numFmtId="0" fontId="18" fillId="9" borderId="18" xfId="0" applyFont="1" applyFill="1" applyBorder="1" applyAlignment="1">
      <alignment vertical="center" wrapText="1"/>
    </xf>
    <xf numFmtId="0" fontId="18" fillId="9" borderId="18" xfId="0" applyFont="1" applyFill="1" applyBorder="1" applyAlignment="1">
      <alignment vertical="center"/>
    </xf>
    <xf numFmtId="0" fontId="18" fillId="0" borderId="19" xfId="0" applyFont="1" applyFill="1" applyBorder="1" applyAlignment="1">
      <alignment vertical="center" wrapText="1"/>
    </xf>
    <xf numFmtId="0" fontId="19" fillId="12" borderId="2" xfId="0" applyFont="1" applyFill="1" applyBorder="1" applyAlignment="1">
      <alignment vertical="center" wrapText="1"/>
    </xf>
    <xf numFmtId="0" fontId="21" fillId="12" borderId="2" xfId="0" applyFont="1" applyFill="1" applyBorder="1" applyAlignment="1">
      <alignment horizontal="center" vertical="center"/>
    </xf>
    <xf numFmtId="0" fontId="20" fillId="12" borderId="7" xfId="0" applyFont="1" applyFill="1" applyBorder="1" applyAlignment="1">
      <alignment vertical="center" wrapText="1"/>
    </xf>
    <xf numFmtId="0" fontId="19" fillId="12" borderId="13" xfId="0" applyFont="1" applyFill="1" applyBorder="1" applyAlignment="1">
      <alignment horizontal="left" vertical="center" wrapText="1"/>
    </xf>
    <xf numFmtId="0" fontId="19" fillId="12" borderId="13" xfId="0" applyFont="1" applyFill="1" applyBorder="1" applyAlignment="1">
      <alignment vertical="center" wrapText="1"/>
    </xf>
    <xf numFmtId="0" fontId="19" fillId="8" borderId="9" xfId="0" applyFont="1" applyFill="1" applyBorder="1" applyAlignment="1">
      <alignment vertical="center" wrapText="1"/>
    </xf>
    <xf numFmtId="0" fontId="19" fillId="12" borderId="2" xfId="0" applyFont="1" applyFill="1" applyBorder="1" applyAlignment="1">
      <alignment horizontal="center" vertical="center" wrapText="1"/>
    </xf>
    <xf numFmtId="0" fontId="19" fillId="12" borderId="1" xfId="0" applyFont="1" applyFill="1" applyBorder="1" applyAlignment="1">
      <alignment horizontal="left" vertical="center" wrapText="1"/>
    </xf>
    <xf numFmtId="0" fontId="18" fillId="9" borderId="19" xfId="0" applyFont="1" applyFill="1" applyBorder="1" applyAlignment="1">
      <alignment vertical="center" wrapText="1"/>
    </xf>
    <xf numFmtId="0" fontId="19" fillId="9" borderId="2" xfId="0" applyFont="1" applyFill="1" applyBorder="1" applyAlignment="1">
      <alignment vertical="center" wrapText="1"/>
    </xf>
    <xf numFmtId="0" fontId="21" fillId="9" borderId="2" xfId="0" applyFont="1" applyFill="1" applyBorder="1" applyAlignment="1">
      <alignment horizontal="center" vertical="center"/>
    </xf>
    <xf numFmtId="0" fontId="20" fillId="9" borderId="7" xfId="0" applyFont="1" applyFill="1" applyBorder="1" applyAlignment="1">
      <alignment vertical="center" wrapText="1"/>
    </xf>
    <xf numFmtId="0" fontId="19" fillId="9" borderId="13" xfId="0" applyFont="1" applyFill="1" applyBorder="1" applyAlignment="1">
      <alignment horizontal="left" vertical="center" wrapText="1"/>
    </xf>
    <xf numFmtId="0" fontId="19" fillId="9" borderId="13" xfId="0" applyFont="1" applyFill="1" applyBorder="1" applyAlignment="1">
      <alignment vertical="center" wrapText="1"/>
    </xf>
    <xf numFmtId="0" fontId="19" fillId="23" borderId="9" xfId="0" applyFont="1" applyFill="1" applyBorder="1" applyAlignment="1">
      <alignment vertical="center" wrapText="1"/>
    </xf>
    <xf numFmtId="0" fontId="19" fillId="9" borderId="2" xfId="0" applyFont="1" applyFill="1" applyBorder="1" applyAlignment="1">
      <alignment horizontal="center" vertical="center" wrapText="1"/>
    </xf>
    <xf numFmtId="0" fontId="18" fillId="0" borderId="17" xfId="0" applyFont="1" applyFill="1" applyBorder="1" applyAlignment="1">
      <alignment horizontal="left" vertical="center" wrapText="1"/>
    </xf>
    <xf numFmtId="0" fontId="20" fillId="12" borderId="1" xfId="0" applyFont="1" applyFill="1" applyBorder="1" applyAlignment="1">
      <alignment horizontal="center" vertical="center" wrapText="1"/>
    </xf>
    <xf numFmtId="0" fontId="20" fillId="12" borderId="5" xfId="0" applyFont="1" applyFill="1" applyBorder="1" applyAlignment="1">
      <alignment horizontal="left" vertical="center" wrapText="1"/>
    </xf>
    <xf numFmtId="0" fontId="29" fillId="12" borderId="0" xfId="0" applyFont="1" applyFill="1" applyBorder="1" applyAlignment="1">
      <alignment vertical="center"/>
    </xf>
    <xf numFmtId="0" fontId="20" fillId="12" borderId="1" xfId="0" applyFont="1" applyFill="1" applyBorder="1" applyAlignment="1">
      <alignment horizontal="left" vertical="center" wrapText="1"/>
    </xf>
    <xf numFmtId="0" fontId="19" fillId="42" borderId="0" xfId="0" applyFont="1" applyFill="1" applyAlignment="1">
      <alignment vertical="center" wrapText="1"/>
    </xf>
    <xf numFmtId="0" fontId="19" fillId="42" borderId="0" xfId="0" applyFont="1" applyFill="1" applyAlignment="1">
      <alignment horizontal="center" vertical="center" wrapText="1"/>
    </xf>
    <xf numFmtId="0" fontId="19" fillId="42" borderId="0" xfId="0" applyFont="1" applyFill="1" applyBorder="1" applyAlignment="1">
      <alignment vertical="center" wrapText="1"/>
    </xf>
    <xf numFmtId="0" fontId="18" fillId="40" borderId="0" xfId="0" applyFont="1" applyFill="1" applyAlignment="1">
      <alignment vertical="center"/>
    </xf>
    <xf numFmtId="0" fontId="21" fillId="40" borderId="0" xfId="0" applyFont="1" applyFill="1" applyAlignment="1">
      <alignment horizontal="center" vertical="center"/>
    </xf>
    <xf numFmtId="0" fontId="29" fillId="40" borderId="0" xfId="0" applyFont="1" applyFill="1" applyBorder="1" applyAlignment="1">
      <alignment vertical="center"/>
    </xf>
    <xf numFmtId="0" fontId="19" fillId="40" borderId="12" xfId="0" applyFont="1" applyFill="1" applyBorder="1" applyAlignment="1">
      <alignment horizontal="left" vertical="center" wrapText="1"/>
    </xf>
    <xf numFmtId="0" fontId="19" fillId="40" borderId="0" xfId="0" applyFont="1" applyFill="1" applyBorder="1" applyAlignment="1">
      <alignment vertical="center" wrapText="1"/>
    </xf>
    <xf numFmtId="0" fontId="18" fillId="0" borderId="17" xfId="0" applyFont="1" applyFill="1" applyBorder="1" applyAlignment="1">
      <alignment vertical="center" wrapText="1"/>
    </xf>
    <xf numFmtId="0" fontId="29" fillId="9" borderId="0" xfId="0" applyFont="1" applyFill="1" applyBorder="1" applyAlignment="1">
      <alignment vertical="center"/>
    </xf>
    <xf numFmtId="0" fontId="19" fillId="28" borderId="0" xfId="0" applyFont="1" applyFill="1" applyAlignment="1">
      <alignment vertical="center" wrapText="1"/>
    </xf>
    <xf numFmtId="0" fontId="29" fillId="24" borderId="0" xfId="0" applyFont="1" applyFill="1" applyBorder="1" applyAlignment="1">
      <alignment vertical="center"/>
    </xf>
    <xf numFmtId="0" fontId="19" fillId="12" borderId="3" xfId="0" applyFont="1" applyFill="1" applyBorder="1" applyAlignment="1">
      <alignment vertical="center" wrapText="1"/>
    </xf>
    <xf numFmtId="0" fontId="19" fillId="12" borderId="3" xfId="0" applyFont="1" applyFill="1" applyBorder="1" applyAlignment="1">
      <alignment horizontal="center" vertical="center" wrapText="1"/>
    </xf>
    <xf numFmtId="0" fontId="20" fillId="12" borderId="4" xfId="0" applyFont="1" applyFill="1" applyBorder="1" applyAlignment="1">
      <alignment vertical="center" wrapText="1"/>
    </xf>
    <xf numFmtId="0" fontId="19" fillId="12" borderId="14" xfId="0" applyFont="1" applyFill="1" applyBorder="1" applyAlignment="1">
      <alignment horizontal="left" vertical="center" wrapText="1"/>
    </xf>
    <xf numFmtId="0" fontId="19" fillId="12" borderId="14" xfId="0" applyFont="1" applyFill="1" applyBorder="1" applyAlignment="1">
      <alignment vertical="center" wrapText="1"/>
    </xf>
    <xf numFmtId="0" fontId="19" fillId="8" borderId="3" xfId="0" applyFont="1" applyFill="1" applyBorder="1" applyAlignment="1">
      <alignment vertical="center" wrapText="1"/>
    </xf>
    <xf numFmtId="0" fontId="19" fillId="8" borderId="10" xfId="0" applyFont="1" applyFill="1" applyBorder="1" applyAlignment="1">
      <alignment vertical="center" wrapText="1"/>
    </xf>
    <xf numFmtId="0" fontId="18" fillId="24" borderId="16" xfId="0" applyFont="1" applyFill="1" applyBorder="1" applyAlignment="1">
      <alignment vertical="center" wrapText="1"/>
    </xf>
    <xf numFmtId="0" fontId="19" fillId="24" borderId="3" xfId="0" applyFont="1" applyFill="1" applyBorder="1" applyAlignment="1">
      <alignment vertical="center" wrapText="1"/>
    </xf>
    <xf numFmtId="0" fontId="19" fillId="24" borderId="3" xfId="0" applyFont="1" applyFill="1" applyBorder="1" applyAlignment="1">
      <alignment horizontal="center" vertical="center" wrapText="1"/>
    </xf>
    <xf numFmtId="0" fontId="20" fillId="24" borderId="4" xfId="0" applyFont="1" applyFill="1" applyBorder="1" applyAlignment="1">
      <alignment vertical="center" wrapText="1"/>
    </xf>
    <xf numFmtId="0" fontId="19" fillId="24" borderId="14" xfId="0" applyFont="1" applyFill="1" applyBorder="1" applyAlignment="1">
      <alignment horizontal="left" vertical="center" wrapText="1"/>
    </xf>
    <xf numFmtId="0" fontId="19" fillId="24" borderId="14" xfId="0" applyFont="1" applyFill="1" applyBorder="1" applyAlignment="1">
      <alignment vertical="center" wrapText="1"/>
    </xf>
    <xf numFmtId="0" fontId="20" fillId="24" borderId="3" xfId="0" applyFont="1" applyFill="1" applyBorder="1" applyAlignment="1">
      <alignment vertical="center" wrapText="1"/>
    </xf>
    <xf numFmtId="0" fontId="19" fillId="25" borderId="10" xfId="0" applyFont="1" applyFill="1" applyBorder="1" applyAlignment="1">
      <alignment vertical="center" wrapText="1"/>
    </xf>
    <xf numFmtId="0" fontId="20" fillId="12" borderId="1" xfId="0" applyFont="1" applyFill="1" applyBorder="1" applyAlignment="1">
      <alignment vertical="center" wrapText="1"/>
    </xf>
    <xf numFmtId="0" fontId="27" fillId="24" borderId="0" xfId="0" applyFont="1" applyFill="1" applyAlignment="1">
      <alignment vertical="center" wrapText="1"/>
    </xf>
    <xf numFmtId="0" fontId="27" fillId="24" borderId="0" xfId="0" applyFont="1" applyFill="1" applyAlignment="1">
      <alignment horizontal="center" vertical="center" wrapText="1"/>
    </xf>
    <xf numFmtId="0" fontId="27" fillId="24" borderId="12" xfId="0" applyFont="1" applyFill="1" applyBorder="1" applyAlignment="1">
      <alignment horizontal="left" vertical="center" wrapText="1"/>
    </xf>
    <xf numFmtId="0" fontId="27" fillId="24" borderId="12" xfId="0" applyFont="1" applyFill="1" applyBorder="1" applyAlignment="1">
      <alignment vertical="center" wrapText="1"/>
    </xf>
    <xf numFmtId="0" fontId="28" fillId="25" borderId="0" xfId="0" applyFont="1" applyFill="1" applyAlignment="1">
      <alignment vertical="center" wrapText="1"/>
    </xf>
    <xf numFmtId="0" fontId="27" fillId="24" borderId="0" xfId="0" applyFont="1" applyFill="1" applyBorder="1" applyAlignment="1">
      <alignment vertical="center" wrapText="1"/>
    </xf>
    <xf numFmtId="0" fontId="19" fillId="47" borderId="12" xfId="0" applyFont="1" applyFill="1" applyBorder="1" applyAlignment="1">
      <alignment horizontal="left" vertical="center" wrapText="1"/>
    </xf>
    <xf numFmtId="0" fontId="19" fillId="47" borderId="0" xfId="0" applyFont="1" applyFill="1" applyBorder="1" applyAlignment="1">
      <alignment vertical="center" wrapText="1"/>
    </xf>
    <xf numFmtId="0" fontId="30" fillId="0" borderId="16" xfId="0" applyFont="1" applyFill="1" applyBorder="1" applyAlignment="1">
      <alignment vertical="center" wrapText="1"/>
    </xf>
    <xf numFmtId="0" fontId="20" fillId="12" borderId="3" xfId="0" applyFont="1" applyFill="1" applyBorder="1" applyAlignment="1">
      <alignment horizontal="center" vertical="center" wrapText="1"/>
    </xf>
    <xf numFmtId="0" fontId="20" fillId="12" borderId="14" xfId="0" applyFont="1" applyFill="1" applyBorder="1" applyAlignment="1">
      <alignment horizontal="left" vertical="center" wrapText="1"/>
    </xf>
    <xf numFmtId="0" fontId="20" fillId="12" borderId="14" xfId="0" applyFont="1" applyFill="1" applyBorder="1" applyAlignment="1">
      <alignment vertical="center" wrapText="1"/>
    </xf>
    <xf numFmtId="0" fontId="18" fillId="26" borderId="0" xfId="0" applyFont="1" applyFill="1" applyAlignment="1">
      <alignment vertical="center" wrapText="1"/>
    </xf>
    <xf numFmtId="0" fontId="19" fillId="26" borderId="0" xfId="0" applyFont="1" applyFill="1" applyAlignment="1">
      <alignment vertical="center" wrapText="1"/>
    </xf>
    <xf numFmtId="0" fontId="19" fillId="26" borderId="0" xfId="0" applyFont="1" applyFill="1" applyAlignment="1">
      <alignment horizontal="center" vertical="center" wrapText="1"/>
    </xf>
    <xf numFmtId="0" fontId="20" fillId="26" borderId="6" xfId="0" applyFont="1" applyFill="1" applyBorder="1" applyAlignment="1">
      <alignment vertical="center" wrapText="1"/>
    </xf>
    <xf numFmtId="0" fontId="20" fillId="26" borderId="0" xfId="0" applyFont="1" applyFill="1" applyAlignment="1">
      <alignment vertical="center" wrapText="1"/>
    </xf>
    <xf numFmtId="0" fontId="19" fillId="26" borderId="12" xfId="0" applyFont="1" applyFill="1" applyBorder="1" applyAlignment="1">
      <alignment horizontal="left" vertical="center" wrapText="1"/>
    </xf>
    <xf numFmtId="0" fontId="19" fillId="26" borderId="12" xfId="0" applyFont="1" applyFill="1" applyBorder="1" applyAlignment="1">
      <alignment vertical="center" wrapText="1"/>
    </xf>
    <xf numFmtId="0" fontId="19" fillId="26" borderId="0" xfId="0" applyFont="1" applyFill="1" applyBorder="1" applyAlignment="1">
      <alignment vertical="center" wrapText="1"/>
    </xf>
    <xf numFmtId="0" fontId="20" fillId="26" borderId="12" xfId="0" applyFont="1" applyFill="1" applyBorder="1" applyAlignment="1">
      <alignment vertical="center" wrapText="1"/>
    </xf>
    <xf numFmtId="0" fontId="19" fillId="27" borderId="0" xfId="0" applyFont="1" applyFill="1" applyBorder="1" applyAlignment="1">
      <alignment vertical="center" wrapText="1"/>
    </xf>
    <xf numFmtId="0" fontId="19" fillId="20" borderId="0" xfId="0" applyFont="1" applyFill="1" applyAlignment="1">
      <alignment horizontal="center" vertical="center" wrapText="1"/>
    </xf>
    <xf numFmtId="0" fontId="20" fillId="20" borderId="6" xfId="0" applyFont="1" applyFill="1" applyBorder="1" applyAlignment="1">
      <alignment vertical="center" wrapText="1"/>
    </xf>
    <xf numFmtId="0" fontId="19" fillId="20" borderId="12" xfId="0" applyFont="1" applyFill="1" applyBorder="1" applyAlignment="1">
      <alignment horizontal="left" vertical="center" wrapText="1"/>
    </xf>
    <xf numFmtId="0" fontId="19" fillId="20" borderId="12" xfId="0" applyFont="1" applyFill="1" applyBorder="1" applyAlignment="1">
      <alignment vertical="center" wrapText="1"/>
    </xf>
    <xf numFmtId="0" fontId="19" fillId="20" borderId="0" xfId="0" applyFont="1" applyFill="1" applyBorder="1" applyAlignment="1">
      <alignment vertical="center" wrapText="1"/>
    </xf>
    <xf numFmtId="0" fontId="31" fillId="22" borderId="6" xfId="0" applyFont="1" applyFill="1" applyBorder="1" applyAlignment="1">
      <alignment vertical="center" wrapText="1"/>
    </xf>
    <xf numFmtId="0" fontId="19" fillId="0" borderId="0" xfId="0" applyFont="1" applyFill="1" applyAlignment="1">
      <alignment vertical="center" wrapText="1"/>
    </xf>
    <xf numFmtId="0" fontId="19" fillId="0" borderId="0" xfId="0" applyFont="1" applyFill="1" applyAlignment="1">
      <alignment horizontal="center" vertical="center" wrapText="1"/>
    </xf>
    <xf numFmtId="0" fontId="20" fillId="0" borderId="6" xfId="0" applyFont="1" applyFill="1" applyBorder="1" applyAlignment="1">
      <alignment vertical="center" wrapText="1"/>
    </xf>
    <xf numFmtId="0" fontId="19" fillId="0" borderId="12" xfId="0" applyFont="1" applyFill="1" applyBorder="1" applyAlignment="1">
      <alignment horizontal="left" vertical="center" wrapText="1"/>
    </xf>
    <xf numFmtId="0" fontId="19" fillId="0" borderId="12" xfId="0" applyFont="1" applyFill="1" applyBorder="1" applyAlignment="1">
      <alignment vertical="center" wrapText="1"/>
    </xf>
    <xf numFmtId="0" fontId="19" fillId="0" borderId="0" xfId="0" applyFont="1" applyFill="1" applyBorder="1" applyAlignment="1">
      <alignment vertical="center" wrapText="1"/>
    </xf>
    <xf numFmtId="0" fontId="20" fillId="20" borderId="0" xfId="0" applyFont="1" applyFill="1" applyBorder="1" applyAlignment="1">
      <alignment vertical="center" wrapText="1"/>
    </xf>
    <xf numFmtId="0" fontId="22" fillId="21" borderId="0" xfId="0" applyFont="1" applyFill="1">
      <alignment vertical="center"/>
    </xf>
    <xf numFmtId="0" fontId="19" fillId="21" borderId="0" xfId="0" applyFont="1" applyFill="1" applyAlignment="1">
      <alignment vertical="center" wrapText="1"/>
    </xf>
    <xf numFmtId="0" fontId="19" fillId="21" borderId="0" xfId="0" applyFont="1" applyFill="1" applyAlignment="1">
      <alignment horizontal="center" vertical="center" wrapText="1"/>
    </xf>
    <xf numFmtId="0" fontId="20" fillId="21" borderId="6" xfId="0" applyFont="1" applyFill="1" applyBorder="1" applyAlignment="1">
      <alignment vertical="center" wrapText="1"/>
    </xf>
    <xf numFmtId="0" fontId="20" fillId="21" borderId="0" xfId="0" applyFont="1" applyFill="1" applyBorder="1" applyAlignment="1">
      <alignment vertical="center" wrapText="1"/>
    </xf>
    <xf numFmtId="0" fontId="20" fillId="21" borderId="0" xfId="0" applyFont="1" applyFill="1" applyAlignment="1">
      <alignment vertical="center" wrapText="1"/>
    </xf>
    <xf numFmtId="0" fontId="19" fillId="21" borderId="12" xfId="0" applyFont="1" applyFill="1" applyBorder="1" applyAlignment="1">
      <alignment vertical="center" wrapText="1"/>
    </xf>
    <xf numFmtId="0" fontId="22" fillId="21" borderId="0" xfId="0" applyFont="1" applyFill="1" applyAlignment="1">
      <alignment vertical="center" wrapText="1"/>
    </xf>
    <xf numFmtId="0" fontId="22" fillId="21" borderId="0" xfId="0" applyFont="1" applyFill="1" applyAlignment="1">
      <alignment horizontal="center" vertical="center"/>
    </xf>
    <xf numFmtId="0" fontId="19" fillId="21" borderId="0" xfId="0" applyFont="1" applyFill="1" applyBorder="1" applyAlignment="1">
      <alignment vertical="center" wrapText="1"/>
    </xf>
    <xf numFmtId="0" fontId="21" fillId="21" borderId="0" xfId="0" applyFont="1" applyFill="1" applyAlignment="1">
      <alignment vertical="center"/>
    </xf>
    <xf numFmtId="0" fontId="21" fillId="49" borderId="0" xfId="0" applyFont="1" applyFill="1" applyAlignment="1">
      <alignment vertical="center"/>
    </xf>
    <xf numFmtId="0" fontId="20" fillId="49" borderId="0" xfId="0" applyFont="1" applyFill="1" applyAlignment="1">
      <alignment vertical="center"/>
    </xf>
    <xf numFmtId="0" fontId="22" fillId="50" borderId="0" xfId="0" applyFont="1" applyFill="1" applyAlignment="1">
      <alignment vertical="center" wrapText="1"/>
    </xf>
    <xf numFmtId="0" fontId="22" fillId="50" borderId="0" xfId="0" applyFont="1" applyFill="1" applyAlignment="1">
      <alignment vertical="center"/>
    </xf>
    <xf numFmtId="0" fontId="21" fillId="49" borderId="0" xfId="0" applyFont="1" applyFill="1" applyAlignment="1">
      <alignment vertical="center" wrapText="1"/>
    </xf>
    <xf numFmtId="0" fontId="21" fillId="17" borderId="0" xfId="0" applyFont="1" applyFill="1" applyAlignment="1">
      <alignment vertical="center"/>
    </xf>
    <xf numFmtId="0" fontId="21" fillId="17" borderId="0" xfId="0" applyFont="1" applyFill="1" applyAlignment="1">
      <alignment horizontal="center" vertical="center"/>
    </xf>
    <xf numFmtId="0" fontId="20" fillId="17" borderId="6" xfId="0" applyFont="1" applyFill="1" applyBorder="1" applyAlignment="1">
      <alignment vertical="center"/>
    </xf>
    <xf numFmtId="0" fontId="20" fillId="17" borderId="0" xfId="0" applyFont="1" applyFill="1" applyAlignment="1">
      <alignment vertical="center"/>
    </xf>
    <xf numFmtId="0" fontId="19" fillId="17" borderId="12" xfId="0" applyFont="1" applyFill="1" applyBorder="1" applyAlignment="1">
      <alignment horizontal="left" vertical="center" wrapText="1"/>
    </xf>
    <xf numFmtId="0" fontId="21" fillId="17" borderId="12" xfId="0" applyFont="1" applyFill="1" applyBorder="1" applyAlignment="1">
      <alignment vertical="center"/>
    </xf>
    <xf numFmtId="0" fontId="20" fillId="17" borderId="12" xfId="0" applyFont="1" applyFill="1" applyBorder="1" applyAlignment="1">
      <alignment vertical="center"/>
    </xf>
    <xf numFmtId="0" fontId="22" fillId="18" borderId="0" xfId="0" applyFont="1" applyFill="1" applyAlignment="1">
      <alignment vertical="center" wrapText="1"/>
    </xf>
    <xf numFmtId="0" fontId="22" fillId="18" borderId="0" xfId="0" applyFont="1" applyFill="1" applyAlignment="1">
      <alignment vertical="center"/>
    </xf>
    <xf numFmtId="0" fontId="21" fillId="17" borderId="0" xfId="0" applyFont="1" applyFill="1" applyAlignment="1">
      <alignment vertical="center" wrapText="1"/>
    </xf>
    <xf numFmtId="0" fontId="19" fillId="13" borderId="0" xfId="0" applyFont="1" applyFill="1" applyAlignment="1">
      <alignment vertical="center" wrapText="1"/>
    </xf>
    <xf numFmtId="0" fontId="18" fillId="32" borderId="0" xfId="0" applyFont="1" applyFill="1" applyAlignment="1">
      <alignment vertical="center" wrapText="1"/>
    </xf>
    <xf numFmtId="0" fontId="19" fillId="32" borderId="0" xfId="0" applyFont="1" applyFill="1" applyAlignment="1">
      <alignment vertical="center" wrapText="1"/>
    </xf>
    <xf numFmtId="0" fontId="19" fillId="32" borderId="0" xfId="0" applyFont="1" applyFill="1" applyAlignment="1">
      <alignment horizontal="center" vertical="center" wrapText="1"/>
    </xf>
    <xf numFmtId="0" fontId="19" fillId="32" borderId="1" xfId="0" applyFont="1" applyFill="1" applyBorder="1" applyAlignment="1">
      <alignment vertical="center" wrapText="1"/>
    </xf>
    <xf numFmtId="0" fontId="20" fillId="32" borderId="6" xfId="0" applyFont="1" applyFill="1" applyBorder="1" applyAlignment="1">
      <alignment vertical="center" wrapText="1"/>
    </xf>
    <xf numFmtId="0" fontId="19" fillId="32" borderId="12" xfId="0" applyFont="1" applyFill="1" applyBorder="1" applyAlignment="1">
      <alignment horizontal="left" vertical="center" wrapText="1"/>
    </xf>
    <xf numFmtId="0" fontId="19" fillId="32" borderId="12" xfId="0" applyFont="1" applyFill="1" applyBorder="1" applyAlignment="1">
      <alignment vertical="center" wrapText="1"/>
    </xf>
    <xf numFmtId="0" fontId="19" fillId="32" borderId="0" xfId="0" applyFont="1" applyFill="1" applyBorder="1" applyAlignment="1">
      <alignment vertical="center" wrapText="1"/>
    </xf>
    <xf numFmtId="0" fontId="18" fillId="32" borderId="17" xfId="0" applyFont="1" applyFill="1" applyBorder="1" applyAlignment="1">
      <alignment vertical="center" wrapText="1"/>
    </xf>
    <xf numFmtId="0" fontId="19" fillId="32" borderId="1" xfId="0" applyFont="1" applyFill="1" applyBorder="1" applyAlignment="1">
      <alignment horizontal="center" vertical="center" wrapText="1"/>
    </xf>
    <xf numFmtId="0" fontId="20" fillId="32" borderId="5" xfId="0" applyFont="1" applyFill="1" applyBorder="1" applyAlignment="1">
      <alignment vertical="center" wrapText="1"/>
    </xf>
    <xf numFmtId="1" fontId="19" fillId="32" borderId="11" xfId="0" applyNumberFormat="1" applyFont="1" applyFill="1" applyBorder="1" applyAlignment="1">
      <alignment horizontal="left" vertical="center" wrapText="1"/>
    </xf>
    <xf numFmtId="0" fontId="19" fillId="32" borderId="11" xfId="0" applyFont="1" applyFill="1" applyBorder="1" applyAlignment="1">
      <alignment vertical="center" wrapText="1"/>
    </xf>
    <xf numFmtId="0" fontId="18" fillId="32" borderId="18" xfId="0" applyFont="1" applyFill="1" applyBorder="1" applyAlignment="1">
      <alignment vertical="center" wrapText="1"/>
    </xf>
    <xf numFmtId="0" fontId="19" fillId="32" borderId="0" xfId="0" applyFont="1" applyFill="1" applyBorder="1" applyAlignment="1">
      <alignment horizontal="center" vertical="center" wrapText="1"/>
    </xf>
    <xf numFmtId="0" fontId="18" fillId="32" borderId="19" xfId="0" applyFont="1" applyFill="1" applyBorder="1" applyAlignment="1">
      <alignment vertical="center" wrapText="1"/>
    </xf>
    <xf numFmtId="0" fontId="19" fillId="32" borderId="2" xfId="0" applyFont="1" applyFill="1" applyBorder="1" applyAlignment="1">
      <alignment vertical="center" wrapText="1"/>
    </xf>
    <xf numFmtId="0" fontId="19" fillId="32" borderId="2" xfId="0" applyFont="1" applyFill="1" applyBorder="1" applyAlignment="1">
      <alignment horizontal="center" vertical="center" wrapText="1"/>
    </xf>
    <xf numFmtId="0" fontId="20" fillId="32" borderId="7" xfId="0" applyFont="1" applyFill="1" applyBorder="1" applyAlignment="1">
      <alignment vertical="center" wrapText="1"/>
    </xf>
    <xf numFmtId="0" fontId="19" fillId="32" borderId="13" xfId="0" applyFont="1" applyFill="1" applyBorder="1" applyAlignment="1">
      <alignment vertical="center" wrapText="1"/>
    </xf>
    <xf numFmtId="0" fontId="19" fillId="32" borderId="1" xfId="0" applyFont="1" applyFill="1" applyBorder="1" applyAlignment="1">
      <alignment horizontal="left" vertical="top" wrapText="1"/>
    </xf>
    <xf numFmtId="0" fontId="19" fillId="32" borderId="0" xfId="0" applyFont="1" applyFill="1" applyBorder="1" applyAlignment="1">
      <alignment horizontal="left" vertical="top" wrapText="1"/>
    </xf>
    <xf numFmtId="0" fontId="19" fillId="32" borderId="2" xfId="0" applyFont="1" applyFill="1" applyBorder="1" applyAlignment="1">
      <alignment horizontal="left" vertical="top" wrapText="1"/>
    </xf>
    <xf numFmtId="0" fontId="18" fillId="24" borderId="17" xfId="0" applyFont="1" applyFill="1" applyBorder="1" applyAlignment="1">
      <alignment vertical="center" wrapText="1"/>
    </xf>
    <xf numFmtId="0" fontId="19" fillId="24" borderId="1" xfId="0" applyFont="1" applyFill="1" applyBorder="1" applyAlignment="1">
      <alignment vertical="center" wrapText="1"/>
    </xf>
    <xf numFmtId="0" fontId="19" fillId="24" borderId="2" xfId="0" applyFont="1" applyFill="1" applyBorder="1" applyAlignment="1">
      <alignment horizontal="center" vertical="center" wrapText="1"/>
    </xf>
    <xf numFmtId="0" fontId="20" fillId="24" borderId="5" xfId="0" applyFont="1" applyFill="1" applyBorder="1" applyAlignment="1">
      <alignment vertical="center" wrapText="1"/>
    </xf>
    <xf numFmtId="1" fontId="19" fillId="24" borderId="11" xfId="0" applyNumberFormat="1" applyFont="1" applyFill="1" applyBorder="1" applyAlignment="1">
      <alignment horizontal="left" vertical="center" wrapText="1"/>
    </xf>
    <xf numFmtId="0" fontId="19" fillId="24" borderId="11" xfId="0" applyFont="1" applyFill="1" applyBorder="1" applyAlignment="1">
      <alignment vertical="center" wrapText="1"/>
    </xf>
    <xf numFmtId="0" fontId="19" fillId="24" borderId="1" xfId="0" applyFont="1" applyFill="1" applyBorder="1" applyAlignment="1">
      <alignment horizontal="center" vertical="center" wrapText="1"/>
    </xf>
    <xf numFmtId="0" fontId="18" fillId="24" borderId="18" xfId="0" applyFont="1" applyFill="1" applyBorder="1" applyAlignment="1">
      <alignment vertical="center" wrapText="1"/>
    </xf>
    <xf numFmtId="0" fontId="18" fillId="24" borderId="19" xfId="0" applyFont="1" applyFill="1" applyBorder="1" applyAlignment="1">
      <alignment vertical="center" wrapText="1"/>
    </xf>
    <xf numFmtId="0" fontId="19" fillId="24" borderId="2" xfId="0" applyFont="1" applyFill="1" applyBorder="1" applyAlignment="1">
      <alignment vertical="center" wrapText="1"/>
    </xf>
    <xf numFmtId="0" fontId="20" fillId="24" borderId="7" xfId="0" applyFont="1" applyFill="1" applyBorder="1" applyAlignment="1">
      <alignment vertical="center" wrapText="1"/>
    </xf>
    <xf numFmtId="0" fontId="19" fillId="24" borderId="13" xfId="0" applyFont="1" applyFill="1" applyBorder="1" applyAlignment="1">
      <alignment vertical="center" wrapText="1"/>
    </xf>
    <xf numFmtId="0" fontId="19" fillId="24" borderId="1" xfId="0" applyFont="1" applyFill="1" applyBorder="1" applyAlignment="1">
      <alignment horizontal="left" vertical="top" wrapText="1"/>
    </xf>
    <xf numFmtId="0" fontId="19" fillId="24" borderId="0" xfId="0" applyFont="1" applyFill="1" applyBorder="1" applyAlignment="1">
      <alignment horizontal="left" vertical="top" wrapText="1"/>
    </xf>
    <xf numFmtId="0" fontId="19" fillId="24" borderId="2" xfId="0" applyFont="1" applyFill="1" applyBorder="1" applyAlignment="1">
      <alignment horizontal="left" vertical="top" wrapText="1"/>
    </xf>
    <xf numFmtId="0" fontId="18" fillId="15" borderId="17" xfId="0" applyFont="1" applyFill="1" applyBorder="1" applyAlignment="1">
      <alignment vertical="center" wrapText="1"/>
    </xf>
    <xf numFmtId="0" fontId="19" fillId="15" borderId="1" xfId="0" applyFont="1" applyFill="1" applyBorder="1" applyAlignment="1">
      <alignment vertical="center" wrapText="1"/>
    </xf>
    <xf numFmtId="0" fontId="19" fillId="15" borderId="2" xfId="0" applyFont="1" applyFill="1" applyBorder="1" applyAlignment="1">
      <alignment horizontal="center" vertical="center" wrapText="1"/>
    </xf>
    <xf numFmtId="0" fontId="20" fillId="15" borderId="5" xfId="0" applyFont="1" applyFill="1" applyBorder="1" applyAlignment="1">
      <alignment vertical="center" wrapText="1"/>
    </xf>
    <xf numFmtId="1" fontId="19" fillId="15" borderId="11" xfId="0" applyNumberFormat="1" applyFont="1" applyFill="1" applyBorder="1" applyAlignment="1">
      <alignment horizontal="left" vertical="center" wrapText="1"/>
    </xf>
    <xf numFmtId="0" fontId="19" fillId="15" borderId="11" xfId="0" applyFont="1" applyFill="1" applyBorder="1" applyAlignment="1">
      <alignment vertical="center" wrapText="1"/>
    </xf>
    <xf numFmtId="0" fontId="19" fillId="15" borderId="1" xfId="0" applyFont="1" applyFill="1" applyBorder="1" applyAlignment="1">
      <alignment horizontal="center" vertical="center" wrapText="1"/>
    </xf>
    <xf numFmtId="0" fontId="19" fillId="15" borderId="1" xfId="0" applyFont="1" applyFill="1" applyBorder="1" applyAlignment="1">
      <alignment horizontal="left" vertical="top" wrapText="1"/>
    </xf>
    <xf numFmtId="0" fontId="18" fillId="15" borderId="18" xfId="0" applyFont="1" applyFill="1" applyBorder="1" applyAlignment="1">
      <alignment vertical="center" wrapText="1"/>
    </xf>
    <xf numFmtId="0" fontId="19" fillId="15" borderId="0" xfId="0" applyFont="1" applyFill="1" applyBorder="1" applyAlignment="1">
      <alignment horizontal="center" vertical="center" wrapText="1"/>
    </xf>
    <xf numFmtId="0" fontId="19" fillId="15" borderId="0" xfId="0" applyFont="1" applyFill="1" applyBorder="1" applyAlignment="1">
      <alignment horizontal="left" vertical="top" wrapText="1"/>
    </xf>
    <xf numFmtId="0" fontId="19" fillId="15" borderId="2" xfId="0" applyFont="1" applyFill="1" applyBorder="1" applyAlignment="1">
      <alignment vertical="center" wrapText="1"/>
    </xf>
    <xf numFmtId="0" fontId="18" fillId="15" borderId="19" xfId="0" applyFont="1" applyFill="1" applyBorder="1" applyAlignment="1">
      <alignment vertical="center" wrapText="1"/>
    </xf>
    <xf numFmtId="0" fontId="20" fillId="15" borderId="7" xfId="0" applyFont="1" applyFill="1" applyBorder="1" applyAlignment="1">
      <alignment vertical="center" wrapText="1"/>
    </xf>
    <xf numFmtId="0" fontId="19" fillId="15" borderId="13" xfId="0" applyFont="1" applyFill="1" applyBorder="1" applyAlignment="1">
      <alignment vertical="center" wrapText="1"/>
    </xf>
    <xf numFmtId="0" fontId="19" fillId="15" borderId="2" xfId="0" applyFont="1" applyFill="1" applyBorder="1" applyAlignment="1">
      <alignment horizontal="left" vertical="top" wrapText="1"/>
    </xf>
    <xf numFmtId="0" fontId="19" fillId="15" borderId="0" xfId="0" applyFont="1" applyFill="1" applyAlignment="1">
      <alignment horizontal="left" vertical="top" wrapText="1"/>
    </xf>
    <xf numFmtId="0" fontId="22" fillId="36" borderId="0" xfId="0" applyFont="1" applyFill="1">
      <alignment vertical="center"/>
    </xf>
    <xf numFmtId="0" fontId="22" fillId="36" borderId="0" xfId="0" applyFont="1" applyFill="1" applyAlignment="1">
      <alignment horizontal="center" vertical="center"/>
    </xf>
    <xf numFmtId="0" fontId="22" fillId="36" borderId="0" xfId="0" applyFont="1" applyFill="1" applyAlignment="1">
      <alignment vertical="center"/>
    </xf>
    <xf numFmtId="0" fontId="22" fillId="36" borderId="0" xfId="0" applyFont="1" applyFill="1" applyAlignment="1">
      <alignment vertical="center" wrapText="1"/>
    </xf>
    <xf numFmtId="0" fontId="18" fillId="49" borderId="0" xfId="0" applyFont="1" applyFill="1" applyAlignment="1">
      <alignment horizontal="left" vertical="top" wrapText="1"/>
    </xf>
    <xf numFmtId="0" fontId="19" fillId="49" borderId="0" xfId="0" applyFont="1" applyFill="1" applyAlignment="1">
      <alignment horizontal="left" vertical="top" wrapText="1"/>
    </xf>
    <xf numFmtId="0" fontId="19" fillId="49" borderId="0" xfId="0" applyFont="1" applyFill="1" applyAlignment="1">
      <alignment horizontal="center" vertical="top" wrapText="1"/>
    </xf>
    <xf numFmtId="0" fontId="20" fillId="49" borderId="6" xfId="0" applyFont="1" applyFill="1" applyBorder="1" applyAlignment="1">
      <alignment horizontal="left" vertical="top" wrapText="1"/>
    </xf>
    <xf numFmtId="0" fontId="19" fillId="49" borderId="12" xfId="0" applyFont="1" applyFill="1" applyBorder="1" applyAlignment="1">
      <alignment horizontal="left" vertical="top" wrapText="1"/>
    </xf>
    <xf numFmtId="0" fontId="19" fillId="49" borderId="0" xfId="0" applyFont="1" applyFill="1" applyBorder="1" applyAlignment="1">
      <alignment horizontal="left" vertical="top" wrapText="1"/>
    </xf>
    <xf numFmtId="0" fontId="18" fillId="0" borderId="17" xfId="0" applyFont="1" applyFill="1" applyBorder="1" applyAlignment="1">
      <alignment horizontal="left" vertical="top" wrapText="1"/>
    </xf>
    <xf numFmtId="0" fontId="19" fillId="14" borderId="1" xfId="0" applyFont="1" applyFill="1" applyBorder="1" applyAlignment="1">
      <alignment horizontal="left" vertical="top" wrapText="1"/>
    </xf>
    <xf numFmtId="0" fontId="19" fillId="14" borderId="1" xfId="0" applyFont="1" applyFill="1" applyBorder="1" applyAlignment="1">
      <alignment horizontal="center" vertical="top" wrapText="1"/>
    </xf>
    <xf numFmtId="0" fontId="20" fillId="14" borderId="5" xfId="0" applyFont="1" applyFill="1" applyBorder="1" applyAlignment="1">
      <alignment horizontal="left" vertical="top" wrapText="1"/>
    </xf>
    <xf numFmtId="0" fontId="19" fillId="14" borderId="11" xfId="0" applyFont="1" applyFill="1" applyBorder="1" applyAlignment="1">
      <alignment horizontal="left" vertical="center" wrapText="1"/>
    </xf>
    <xf numFmtId="0" fontId="19" fillId="14" borderId="11" xfId="0" applyFont="1" applyFill="1" applyBorder="1" applyAlignment="1">
      <alignment horizontal="left" vertical="top" wrapText="1"/>
    </xf>
    <xf numFmtId="0" fontId="32" fillId="19" borderId="0" xfId="0" applyFont="1" applyFill="1" applyAlignment="1">
      <alignment horizontal="left" vertical="top" wrapText="1"/>
    </xf>
    <xf numFmtId="0" fontId="18" fillId="0" borderId="18" xfId="0" applyFont="1" applyFill="1" applyBorder="1" applyAlignment="1">
      <alignment horizontal="left" vertical="top" wrapText="1"/>
    </xf>
    <xf numFmtId="0" fontId="19" fillId="14" borderId="0" xfId="0" applyFont="1" applyFill="1" applyBorder="1" applyAlignment="1">
      <alignment horizontal="left" vertical="top" wrapText="1"/>
    </xf>
    <xf numFmtId="0" fontId="19" fillId="14" borderId="0" xfId="0" applyFont="1" applyFill="1" applyBorder="1" applyAlignment="1">
      <alignment horizontal="center" vertical="top" wrapText="1"/>
    </xf>
    <xf numFmtId="0" fontId="20" fillId="14" borderId="6" xfId="0" applyFont="1" applyFill="1" applyBorder="1" applyAlignment="1">
      <alignment horizontal="left" vertical="top" wrapText="1"/>
    </xf>
    <xf numFmtId="0" fontId="19" fillId="14" borderId="12" xfId="0" applyFont="1" applyFill="1" applyBorder="1" applyAlignment="1">
      <alignment horizontal="left" vertical="center" wrapText="1"/>
    </xf>
    <xf numFmtId="0" fontId="19" fillId="14" borderId="12" xfId="0" applyFont="1" applyFill="1" applyBorder="1" applyAlignment="1">
      <alignment horizontal="left" vertical="top" wrapText="1"/>
    </xf>
    <xf numFmtId="0" fontId="32" fillId="7" borderId="0" xfId="0" applyFont="1" applyFill="1" applyAlignment="1">
      <alignment horizontal="left" vertical="top" wrapText="1"/>
    </xf>
    <xf numFmtId="0" fontId="18" fillId="49" borderId="18" xfId="0" applyFont="1" applyFill="1" applyBorder="1" applyAlignment="1">
      <alignment horizontal="left" vertical="top" wrapText="1"/>
    </xf>
    <xf numFmtId="0" fontId="19" fillId="49" borderId="0" xfId="0" applyFont="1" applyFill="1" applyBorder="1" applyAlignment="1">
      <alignment horizontal="center" vertical="top" wrapText="1"/>
    </xf>
    <xf numFmtId="0" fontId="19" fillId="49" borderId="1" xfId="0" applyFont="1" applyFill="1" applyBorder="1" applyAlignment="1">
      <alignment horizontal="left" vertical="top" wrapText="1"/>
    </xf>
    <xf numFmtId="0" fontId="32" fillId="49" borderId="0" xfId="0" applyFont="1" applyFill="1" applyAlignment="1">
      <alignment horizontal="left" vertical="top" wrapText="1"/>
    </xf>
    <xf numFmtId="0" fontId="18" fillId="49" borderId="19" xfId="0" applyFont="1" applyFill="1" applyBorder="1" applyAlignment="1">
      <alignment horizontal="left" vertical="top" wrapText="1"/>
    </xf>
    <xf numFmtId="0" fontId="19" fillId="49" borderId="2" xfId="0" applyFont="1" applyFill="1" applyBorder="1" applyAlignment="1">
      <alignment horizontal="left" vertical="top" wrapText="1"/>
    </xf>
    <xf numFmtId="0" fontId="19" fillId="49" borderId="2" xfId="0" applyFont="1" applyFill="1" applyBorder="1" applyAlignment="1">
      <alignment horizontal="center" vertical="top" wrapText="1"/>
    </xf>
    <xf numFmtId="0" fontId="20" fillId="49" borderId="7" xfId="0" applyFont="1" applyFill="1" applyBorder="1" applyAlignment="1">
      <alignment horizontal="left" vertical="top" wrapText="1"/>
    </xf>
    <xf numFmtId="0" fontId="19" fillId="49" borderId="13" xfId="0" applyFont="1" applyFill="1" applyBorder="1" applyAlignment="1">
      <alignment horizontal="left" vertical="center" wrapText="1"/>
    </xf>
    <xf numFmtId="0" fontId="19" fillId="49" borderId="13" xfId="0" applyFont="1" applyFill="1" applyBorder="1" applyAlignment="1">
      <alignment horizontal="left" vertical="top" wrapText="1"/>
    </xf>
    <xf numFmtId="0" fontId="32" fillId="49" borderId="0" xfId="0" applyFont="1" applyFill="1" applyAlignment="1">
      <alignment horizontal="center" vertical="top" wrapText="1"/>
    </xf>
    <xf numFmtId="0" fontId="32" fillId="49" borderId="12" xfId="0" applyFont="1" applyFill="1" applyBorder="1" applyAlignment="1">
      <alignment horizontal="left" vertical="center" wrapText="1"/>
    </xf>
    <xf numFmtId="0" fontId="32" fillId="49" borderId="12" xfId="0" applyFont="1" applyFill="1" applyBorder="1" applyAlignment="1">
      <alignment horizontal="left" vertical="top" wrapText="1"/>
    </xf>
    <xf numFmtId="0" fontId="32" fillId="7" borderId="0" xfId="0" applyFont="1" applyFill="1" applyAlignment="1">
      <alignment horizontal="center" vertical="top" wrapText="1"/>
    </xf>
    <xf numFmtId="0" fontId="20" fillId="7" borderId="6" xfId="0" applyFont="1" applyFill="1" applyBorder="1" applyAlignment="1">
      <alignment horizontal="left" vertical="top" wrapText="1"/>
    </xf>
    <xf numFmtId="0" fontId="32" fillId="7" borderId="12" xfId="0" applyFont="1" applyFill="1" applyBorder="1" applyAlignment="1">
      <alignment horizontal="left" vertical="center" wrapText="1"/>
    </xf>
    <xf numFmtId="0" fontId="32" fillId="7" borderId="12" xfId="0" applyFont="1" applyFill="1" applyBorder="1" applyAlignment="1">
      <alignment horizontal="left" vertical="top" wrapText="1"/>
    </xf>
    <xf numFmtId="0" fontId="19" fillId="5" borderId="0" xfId="0" applyFont="1" applyFill="1" applyAlignment="1">
      <alignment horizontal="left" vertical="top" wrapText="1"/>
    </xf>
    <xf numFmtId="0" fontId="19" fillId="16" borderId="0" xfId="0" applyFont="1" applyFill="1" applyAlignment="1">
      <alignment horizontal="left" vertical="top" wrapText="1"/>
    </xf>
    <xf numFmtId="0" fontId="19" fillId="4" borderId="0" xfId="0" applyFont="1" applyFill="1" applyAlignment="1">
      <alignment horizontal="left" vertical="top" wrapText="1"/>
    </xf>
    <xf numFmtId="0" fontId="19" fillId="4" borderId="0" xfId="0" applyFont="1" applyFill="1" applyAlignment="1">
      <alignment horizontal="center" vertical="top" wrapText="1"/>
    </xf>
    <xf numFmtId="0" fontId="20" fillId="4" borderId="6" xfId="0" applyFont="1" applyFill="1" applyBorder="1" applyAlignment="1">
      <alignment horizontal="left" vertical="top" wrapText="1"/>
    </xf>
    <xf numFmtId="0" fontId="19" fillId="4" borderId="12" xfId="0" applyFont="1" applyFill="1" applyBorder="1" applyAlignment="1">
      <alignment horizontal="left" vertical="center" wrapText="1"/>
    </xf>
    <xf numFmtId="0" fontId="19" fillId="4" borderId="12" xfId="0" applyFont="1" applyFill="1" applyBorder="1" applyAlignment="1">
      <alignment horizontal="left" vertical="top" wrapText="1"/>
    </xf>
    <xf numFmtId="0" fontId="19" fillId="15" borderId="3" xfId="0" applyFont="1" applyFill="1" applyBorder="1" applyAlignment="1">
      <alignment horizontal="left" vertical="top" wrapText="1"/>
    </xf>
    <xf numFmtId="0" fontId="19" fillId="6" borderId="3" xfId="0" applyFont="1" applyFill="1" applyBorder="1" applyAlignment="1">
      <alignment horizontal="left" vertical="top" wrapText="1"/>
    </xf>
    <xf numFmtId="0" fontId="19" fillId="6" borderId="0" xfId="0" applyFont="1" applyFill="1" applyBorder="1" applyAlignment="1">
      <alignment horizontal="left" vertical="top" wrapText="1"/>
    </xf>
    <xf numFmtId="0" fontId="19" fillId="3" borderId="0" xfId="0" applyFont="1" applyFill="1" applyAlignment="1">
      <alignment horizontal="left" vertical="top" wrapText="1"/>
    </xf>
    <xf numFmtId="0" fontId="19" fillId="3" borderId="0" xfId="0" applyFont="1" applyFill="1" applyAlignment="1">
      <alignment horizontal="center" vertical="top" wrapText="1"/>
    </xf>
    <xf numFmtId="0" fontId="20" fillId="3" borderId="6" xfId="0" applyFont="1" applyFill="1" applyBorder="1" applyAlignment="1">
      <alignment horizontal="left" vertical="top" wrapText="1"/>
    </xf>
    <xf numFmtId="0" fontId="19" fillId="3" borderId="12" xfId="0" applyFont="1" applyFill="1" applyBorder="1" applyAlignment="1">
      <alignment horizontal="left" vertical="center" wrapText="1"/>
    </xf>
    <xf numFmtId="0" fontId="19" fillId="3" borderId="12" xfId="0" applyFont="1" applyFill="1" applyBorder="1" applyAlignment="1">
      <alignment horizontal="left" vertical="top" wrapText="1"/>
    </xf>
    <xf numFmtId="0" fontId="19" fillId="6" borderId="1" xfId="0" applyFont="1" applyFill="1" applyBorder="1" applyAlignment="1">
      <alignment horizontal="left" vertical="top" wrapText="1"/>
    </xf>
    <xf numFmtId="0" fontId="19" fillId="6" borderId="2" xfId="0" applyFont="1" applyFill="1" applyBorder="1" applyAlignment="1">
      <alignment horizontal="left" vertical="top" wrapText="1"/>
    </xf>
    <xf numFmtId="0" fontId="19" fillId="15" borderId="0" xfId="0" applyFont="1" applyFill="1" applyAlignment="1">
      <alignment horizontal="center" vertical="top" wrapText="1"/>
    </xf>
    <xf numFmtId="0" fontId="20" fillId="15" borderId="6" xfId="0" applyFont="1" applyFill="1" applyBorder="1" applyAlignment="1">
      <alignment horizontal="left" vertical="top" wrapText="1"/>
    </xf>
    <xf numFmtId="0" fontId="19" fillId="15" borderId="12" xfId="0" applyFont="1" applyFill="1" applyBorder="1" applyAlignment="1">
      <alignment horizontal="left" vertical="top" wrapText="1"/>
    </xf>
    <xf numFmtId="0" fontId="19" fillId="5" borderId="0" xfId="0" applyFont="1" applyFill="1" applyAlignment="1">
      <alignment horizontal="center" vertical="top" wrapText="1"/>
    </xf>
    <xf numFmtId="0" fontId="20" fillId="5" borderId="6" xfId="0" applyFont="1" applyFill="1" applyBorder="1" applyAlignment="1">
      <alignment horizontal="left" vertical="top" wrapText="1"/>
    </xf>
    <xf numFmtId="0" fontId="19" fillId="5" borderId="12" xfId="0" applyFont="1" applyFill="1" applyBorder="1" applyAlignment="1">
      <alignment horizontal="left" vertical="center" wrapText="1"/>
    </xf>
    <xf numFmtId="0" fontId="19" fillId="5" borderId="12" xfId="0" applyFont="1" applyFill="1" applyBorder="1" applyAlignment="1">
      <alignment horizontal="left" vertical="top" wrapText="1"/>
    </xf>
    <xf numFmtId="0" fontId="19" fillId="29" borderId="0" xfId="0" applyFont="1" applyFill="1" applyAlignment="1">
      <alignment vertical="center" wrapText="1"/>
    </xf>
    <xf numFmtId="0" fontId="18" fillId="49" borderId="16" xfId="0" applyFont="1" applyFill="1" applyBorder="1" applyAlignment="1">
      <alignment horizontal="left" vertical="top" wrapText="1"/>
    </xf>
    <xf numFmtId="0" fontId="19" fillId="49" borderId="3" xfId="0" applyFont="1" applyFill="1" applyBorder="1" applyAlignment="1">
      <alignment horizontal="left" vertical="top" wrapText="1"/>
    </xf>
    <xf numFmtId="0" fontId="19" fillId="49" borderId="3" xfId="0" applyFont="1" applyFill="1" applyBorder="1" applyAlignment="1">
      <alignment horizontal="center" vertical="top" wrapText="1"/>
    </xf>
    <xf numFmtId="0" fontId="20" fillId="49" borderId="4" xfId="0" applyFont="1" applyFill="1" applyBorder="1" applyAlignment="1">
      <alignment horizontal="left" vertical="top" wrapText="1"/>
    </xf>
    <xf numFmtId="0" fontId="19" fillId="49" borderId="14" xfId="0" applyFont="1" applyFill="1" applyBorder="1" applyAlignment="1">
      <alignment horizontal="left" vertical="center" wrapText="1"/>
    </xf>
    <xf numFmtId="0" fontId="19" fillId="49" borderId="14" xfId="0" applyFont="1" applyFill="1" applyBorder="1" applyAlignment="1">
      <alignment horizontal="left" vertical="top" wrapText="1"/>
    </xf>
    <xf numFmtId="0" fontId="18" fillId="0" borderId="16" xfId="0" applyFont="1" applyFill="1" applyBorder="1" applyAlignment="1">
      <alignment horizontal="left" vertical="top" wrapText="1"/>
    </xf>
    <xf numFmtId="0" fontId="19" fillId="15" borderId="3" xfId="0" applyFont="1" applyFill="1" applyBorder="1" applyAlignment="1">
      <alignment horizontal="center" vertical="top" wrapText="1"/>
    </xf>
    <xf numFmtId="0" fontId="20" fillId="15" borderId="4" xfId="0" applyFont="1" applyFill="1" applyBorder="1" applyAlignment="1">
      <alignment horizontal="left" vertical="top" wrapText="1"/>
    </xf>
    <xf numFmtId="0" fontId="19" fillId="15" borderId="14" xfId="0" applyFont="1" applyFill="1" applyBorder="1" applyAlignment="1">
      <alignment horizontal="left" vertical="center" wrapText="1"/>
    </xf>
    <xf numFmtId="0" fontId="19" fillId="15" borderId="14" xfId="0" applyFont="1" applyFill="1" applyBorder="1" applyAlignment="1">
      <alignment horizontal="left" vertical="top" wrapText="1"/>
    </xf>
    <xf numFmtId="0" fontId="19" fillId="15" borderId="1" xfId="0" applyFont="1" applyFill="1" applyBorder="1" applyAlignment="1">
      <alignment horizontal="center" vertical="top" wrapText="1"/>
    </xf>
    <xf numFmtId="0" fontId="20" fillId="15" borderId="5" xfId="0" applyFont="1" applyFill="1" applyBorder="1" applyAlignment="1">
      <alignment horizontal="left" vertical="top" wrapText="1"/>
    </xf>
    <xf numFmtId="0" fontId="19" fillId="15" borderId="11" xfId="0" applyFont="1" applyFill="1" applyBorder="1" applyAlignment="1">
      <alignment horizontal="left" vertical="center" wrapText="1"/>
    </xf>
    <xf numFmtId="0" fontId="19" fillId="15" borderId="11" xfId="0" applyFont="1" applyFill="1" applyBorder="1" applyAlignment="1">
      <alignment horizontal="left" vertical="top" wrapText="1"/>
    </xf>
    <xf numFmtId="0" fontId="19" fillId="15" borderId="0" xfId="0" applyFont="1" applyFill="1" applyBorder="1" applyAlignment="1">
      <alignment horizontal="center" vertical="top" wrapText="1"/>
    </xf>
    <xf numFmtId="0" fontId="19" fillId="13" borderId="1" xfId="0" applyFont="1" applyFill="1" applyBorder="1" applyAlignment="1">
      <alignment vertical="center" wrapText="1"/>
    </xf>
    <xf numFmtId="0" fontId="19" fillId="13" borderId="0" xfId="0" applyFont="1" applyFill="1" applyBorder="1" applyAlignment="1">
      <alignment vertical="center" wrapText="1"/>
    </xf>
    <xf numFmtId="0" fontId="18" fillId="0" borderId="19" xfId="0" applyFont="1" applyFill="1" applyBorder="1" applyAlignment="1">
      <alignment horizontal="left" vertical="top" wrapText="1"/>
    </xf>
    <xf numFmtId="0" fontId="19" fillId="13" borderId="2" xfId="0" applyFont="1" applyFill="1" applyBorder="1" applyAlignment="1">
      <alignment vertical="center" wrapText="1"/>
    </xf>
    <xf numFmtId="0" fontId="19" fillId="15" borderId="2" xfId="0" applyFont="1" applyFill="1" applyBorder="1" applyAlignment="1">
      <alignment horizontal="center" vertical="top" wrapText="1"/>
    </xf>
    <xf numFmtId="0" fontId="20" fillId="15" borderId="7" xfId="0" applyFont="1" applyFill="1" applyBorder="1" applyAlignment="1">
      <alignment horizontal="left" vertical="top" wrapText="1"/>
    </xf>
    <xf numFmtId="0" fontId="19" fillId="15" borderId="13" xfId="0" applyFont="1" applyFill="1" applyBorder="1" applyAlignment="1">
      <alignment horizontal="left" vertical="top" wrapText="1"/>
    </xf>
    <xf numFmtId="0" fontId="19" fillId="14" borderId="2" xfId="0" applyFont="1" applyFill="1" applyBorder="1" applyAlignment="1">
      <alignment horizontal="left" vertical="top" wrapText="1"/>
    </xf>
    <xf numFmtId="0" fontId="18" fillId="22" borderId="18" xfId="0" applyFont="1" applyFill="1" applyBorder="1" applyAlignment="1">
      <alignment horizontal="left" vertical="top" wrapText="1"/>
    </xf>
    <xf numFmtId="0" fontId="19" fillId="22" borderId="0" xfId="0" applyFont="1" applyFill="1" applyBorder="1" applyAlignment="1">
      <alignment horizontal="left" vertical="top" wrapText="1"/>
    </xf>
    <xf numFmtId="0" fontId="19" fillId="22" borderId="0" xfId="0" applyFont="1" applyFill="1" applyBorder="1" applyAlignment="1">
      <alignment horizontal="center" vertical="top" wrapText="1"/>
    </xf>
    <xf numFmtId="0" fontId="20" fillId="22" borderId="6" xfId="0" applyFont="1" applyFill="1" applyBorder="1" applyAlignment="1">
      <alignment horizontal="left" vertical="top" wrapText="1"/>
    </xf>
    <xf numFmtId="0" fontId="19" fillId="22" borderId="12" xfId="0" applyFont="1" applyFill="1" applyBorder="1" applyAlignment="1">
      <alignment horizontal="left" vertical="top" wrapText="1"/>
    </xf>
    <xf numFmtId="0" fontId="19" fillId="15" borderId="13" xfId="0" applyFont="1" applyFill="1" applyBorder="1" applyAlignment="1">
      <alignment horizontal="left" vertical="center" wrapText="1"/>
    </xf>
    <xf numFmtId="0" fontId="19" fillId="22" borderId="2" xfId="0" applyFont="1" applyFill="1" applyBorder="1" applyAlignment="1">
      <alignment horizontal="left" vertical="top" wrapText="1"/>
    </xf>
    <xf numFmtId="0" fontId="18" fillId="49" borderId="17" xfId="0" applyFont="1" applyFill="1" applyBorder="1" applyAlignment="1">
      <alignment horizontal="left" vertical="top" wrapText="1"/>
    </xf>
    <xf numFmtId="0" fontId="19" fillId="49" borderId="1" xfId="0" applyFont="1" applyFill="1" applyBorder="1" applyAlignment="1">
      <alignment horizontal="center" vertical="top" wrapText="1"/>
    </xf>
    <xf numFmtId="0" fontId="20" fillId="49" borderId="5" xfId="0" applyFont="1" applyFill="1" applyBorder="1" applyAlignment="1">
      <alignment horizontal="left" vertical="top" wrapText="1"/>
    </xf>
    <xf numFmtId="0" fontId="19" fillId="49" borderId="11" xfId="0" applyFont="1" applyFill="1" applyBorder="1" applyAlignment="1">
      <alignment horizontal="left" vertical="center" wrapText="1"/>
    </xf>
    <xf numFmtId="0" fontId="19" fillId="49" borderId="11" xfId="0" applyFont="1" applyFill="1" applyBorder="1" applyAlignment="1">
      <alignment horizontal="left" vertical="top" wrapText="1"/>
    </xf>
    <xf numFmtId="0" fontId="18" fillId="22" borderId="0" xfId="0" applyFont="1" applyFill="1" applyBorder="1" applyAlignment="1">
      <alignment horizontal="left" vertical="top" wrapText="1"/>
    </xf>
    <xf numFmtId="0" fontId="18" fillId="0" borderId="0" xfId="0" applyFont="1" applyFill="1" applyBorder="1" applyAlignment="1">
      <alignment horizontal="left" vertical="top" wrapText="1"/>
    </xf>
    <xf numFmtId="0" fontId="28" fillId="8" borderId="0" xfId="0" applyFont="1" applyFill="1" applyAlignment="1">
      <alignment vertical="center" wrapText="1"/>
    </xf>
    <xf numFmtId="0" fontId="20" fillId="10" borderId="0" xfId="0" applyFont="1" applyFill="1" applyBorder="1" applyAlignment="1">
      <alignment vertical="center" wrapText="1"/>
    </xf>
    <xf numFmtId="0" fontId="19" fillId="10" borderId="0" xfId="0" applyFont="1" applyFill="1" applyBorder="1" applyAlignment="1">
      <alignment horizontal="center" vertical="center" wrapText="1"/>
    </xf>
    <xf numFmtId="0" fontId="22" fillId="15" borderId="0" xfId="0" applyFont="1" applyFill="1">
      <alignment vertical="center"/>
    </xf>
    <xf numFmtId="0" fontId="22" fillId="15" borderId="0" xfId="0" applyFont="1" applyFill="1" applyAlignment="1">
      <alignment horizontal="center" vertical="center"/>
    </xf>
    <xf numFmtId="0" fontId="22" fillId="15" borderId="0" xfId="0" applyFont="1" applyFill="1" applyAlignment="1">
      <alignment vertical="center"/>
    </xf>
    <xf numFmtId="0" fontId="22" fillId="15" borderId="0" xfId="0" applyFont="1" applyFill="1" applyAlignment="1">
      <alignment vertical="center" wrapText="1"/>
    </xf>
    <xf numFmtId="0" fontId="19" fillId="31" borderId="0" xfId="0" applyFont="1" applyFill="1" applyBorder="1" applyAlignment="1">
      <alignment vertical="center" wrapText="1"/>
    </xf>
    <xf numFmtId="0" fontId="19" fillId="8" borderId="8" xfId="0" applyFont="1" applyFill="1" applyBorder="1" applyAlignment="1">
      <alignment horizontal="left" vertical="center" wrapText="1"/>
    </xf>
    <xf numFmtId="0" fontId="18" fillId="44" borderId="16" xfId="0" applyFont="1" applyFill="1" applyBorder="1" applyAlignment="1">
      <alignment horizontal="left" vertical="top" wrapText="1"/>
    </xf>
    <xf numFmtId="0" fontId="19" fillId="44" borderId="3" xfId="0" applyFont="1" applyFill="1" applyBorder="1" applyAlignment="1">
      <alignment horizontal="left" vertical="top" wrapText="1"/>
    </xf>
    <xf numFmtId="0" fontId="19" fillId="44" borderId="0" xfId="0" applyFont="1" applyFill="1" applyAlignment="1">
      <alignment vertical="center" wrapText="1"/>
    </xf>
    <xf numFmtId="0" fontId="19" fillId="44" borderId="3" xfId="0" applyFont="1" applyFill="1" applyBorder="1" applyAlignment="1">
      <alignment horizontal="center" vertical="top" wrapText="1"/>
    </xf>
    <xf numFmtId="0" fontId="20" fillId="44" borderId="4" xfId="0" applyFont="1" applyFill="1" applyBorder="1" applyAlignment="1">
      <alignment horizontal="left" vertical="top" wrapText="1"/>
    </xf>
    <xf numFmtId="0" fontId="19" fillId="44" borderId="14" xfId="0" applyFont="1" applyFill="1" applyBorder="1" applyAlignment="1">
      <alignment horizontal="left" vertical="center" wrapText="1"/>
    </xf>
    <xf numFmtId="0" fontId="19" fillId="44" borderId="14" xfId="0" applyFont="1" applyFill="1" applyBorder="1" applyAlignment="1">
      <alignment horizontal="left" vertical="top" wrapText="1"/>
    </xf>
    <xf numFmtId="0" fontId="19" fillId="44" borderId="0" xfId="0" applyFont="1" applyFill="1" applyAlignment="1">
      <alignment horizontal="left" vertical="top" wrapText="1"/>
    </xf>
    <xf numFmtId="0" fontId="19" fillId="15" borderId="3" xfId="4" applyFont="1" applyFill="1" applyBorder="1" applyAlignment="1">
      <alignment horizontal="left" vertical="top" wrapText="1"/>
    </xf>
    <xf numFmtId="0" fontId="32" fillId="19" borderId="0" xfId="0" applyFont="1" applyFill="1" applyAlignment="1">
      <alignment horizontal="center" vertical="top" wrapText="1"/>
    </xf>
    <xf numFmtId="0" fontId="20" fillId="19" borderId="6" xfId="0" applyFont="1" applyFill="1" applyBorder="1" applyAlignment="1">
      <alignment horizontal="left" vertical="top" wrapText="1"/>
    </xf>
    <xf numFmtId="0" fontId="32" fillId="19" borderId="12" xfId="0" applyFont="1" applyFill="1" applyBorder="1" applyAlignment="1">
      <alignment horizontal="left" vertical="center" wrapText="1"/>
    </xf>
    <xf numFmtId="0" fontId="32" fillId="19" borderId="12" xfId="0" applyFont="1" applyFill="1" applyBorder="1" applyAlignment="1">
      <alignment horizontal="left" vertical="top" wrapText="1"/>
    </xf>
    <xf numFmtId="0" fontId="19" fillId="6" borderId="0" xfId="0" applyFont="1" applyFill="1" applyAlignment="1">
      <alignment horizontal="left" vertical="top" wrapText="1"/>
    </xf>
    <xf numFmtId="0" fontId="20" fillId="0" borderId="0" xfId="0" applyFont="1" applyFill="1" applyAlignment="1">
      <alignment vertical="center" wrapText="1"/>
    </xf>
    <xf numFmtId="0" fontId="20" fillId="9" borderId="0" xfId="0" applyFont="1" applyFill="1" applyAlignment="1">
      <alignment horizontal="center" vertical="center" wrapText="1"/>
    </xf>
    <xf numFmtId="0" fontId="20" fillId="9" borderId="12" xfId="0" applyFont="1" applyFill="1" applyBorder="1" applyAlignment="1">
      <alignment horizontal="left" vertical="center" wrapText="1"/>
    </xf>
    <xf numFmtId="0" fontId="27" fillId="10" borderId="0" xfId="0" applyFont="1" applyFill="1" applyAlignment="1">
      <alignment vertical="center" wrapText="1"/>
    </xf>
    <xf numFmtId="0" fontId="19" fillId="9" borderId="0" xfId="3" applyFont="1" applyFill="1" applyAlignment="1">
      <alignment vertical="center" wrapText="1"/>
    </xf>
    <xf numFmtId="0" fontId="22" fillId="35" borderId="0" xfId="0" applyFont="1" applyFill="1" applyAlignment="1">
      <alignment vertical="center" wrapText="1"/>
    </xf>
    <xf numFmtId="0" fontId="22" fillId="35" borderId="0" xfId="0" applyFont="1" applyFill="1" applyAlignment="1">
      <alignment horizontal="center" vertical="center" wrapText="1"/>
    </xf>
    <xf numFmtId="0" fontId="22" fillId="37" borderId="0" xfId="0" applyFont="1" applyFill="1" applyAlignment="1">
      <alignment vertical="center" wrapText="1"/>
    </xf>
    <xf numFmtId="0" fontId="29" fillId="35" borderId="0" xfId="0" applyFont="1" applyFill="1" applyAlignment="1">
      <alignment vertical="center" wrapText="1"/>
    </xf>
    <xf numFmtId="0" fontId="29" fillId="35" borderId="0" xfId="0" applyFont="1" applyFill="1" applyAlignment="1">
      <alignment horizontal="center" vertical="center" wrapText="1"/>
    </xf>
    <xf numFmtId="0" fontId="18" fillId="33" borderId="0" xfId="0" applyFont="1" applyFill="1" applyAlignment="1">
      <alignment vertical="center" wrapText="1"/>
    </xf>
    <xf numFmtId="0" fontId="19" fillId="33" borderId="0" xfId="0" applyFont="1" applyFill="1" applyAlignment="1">
      <alignment vertical="center" wrapText="1"/>
    </xf>
    <xf numFmtId="0" fontId="19" fillId="33" borderId="0" xfId="0" applyFont="1" applyFill="1" applyAlignment="1">
      <alignment horizontal="center" vertical="center" wrapText="1"/>
    </xf>
    <xf numFmtId="0" fontId="20" fillId="33" borderId="6" xfId="0" applyFont="1" applyFill="1" applyBorder="1" applyAlignment="1">
      <alignment vertical="center" wrapText="1"/>
    </xf>
    <xf numFmtId="0" fontId="19" fillId="33" borderId="12" xfId="0" applyFont="1" applyFill="1" applyBorder="1" applyAlignment="1">
      <alignment horizontal="left" vertical="center" wrapText="1"/>
    </xf>
    <xf numFmtId="0" fontId="19" fillId="33" borderId="12" xfId="0" applyFont="1" applyFill="1" applyBorder="1" applyAlignment="1">
      <alignment vertical="center" wrapText="1"/>
    </xf>
    <xf numFmtId="0" fontId="19" fillId="33" borderId="0" xfId="0" applyFont="1" applyFill="1" applyBorder="1" applyAlignment="1">
      <alignment vertical="center" wrapText="1"/>
    </xf>
    <xf numFmtId="0" fontId="27" fillId="33" borderId="0" xfId="0" applyFont="1" applyFill="1" applyBorder="1" applyAlignment="1">
      <alignment vertical="center" wrapText="1"/>
    </xf>
    <xf numFmtId="0" fontId="19" fillId="33" borderId="0" xfId="0" applyFont="1" applyFill="1" applyAlignment="1">
      <alignment horizontal="left" vertical="top" wrapText="1"/>
    </xf>
    <xf numFmtId="0" fontId="27" fillId="32" borderId="0" xfId="0" applyFont="1" applyFill="1" applyBorder="1" applyAlignment="1">
      <alignment vertical="center" wrapText="1"/>
    </xf>
    <xf numFmtId="0" fontId="19" fillId="32" borderId="0" xfId="0" applyFont="1" applyFill="1" applyAlignment="1">
      <alignment horizontal="left" vertical="top" wrapText="1"/>
    </xf>
    <xf numFmtId="0" fontId="27" fillId="32" borderId="0" xfId="0" applyFont="1" applyFill="1" applyAlignment="1">
      <alignment vertical="center" wrapText="1"/>
    </xf>
    <xf numFmtId="0" fontId="27" fillId="32" borderId="0" xfId="0" applyFont="1" applyFill="1" applyAlignment="1">
      <alignment horizontal="center" vertical="center" wrapText="1"/>
    </xf>
    <xf numFmtId="0" fontId="27" fillId="32" borderId="12" xfId="0" applyFont="1" applyFill="1" applyBorder="1" applyAlignment="1">
      <alignment horizontal="left" vertical="center" wrapText="1"/>
    </xf>
    <xf numFmtId="0" fontId="27" fillId="32" borderId="12" xfId="0" applyFont="1" applyFill="1" applyBorder="1" applyAlignment="1">
      <alignment vertical="center" wrapText="1"/>
    </xf>
    <xf numFmtId="0" fontId="27" fillId="32" borderId="0" xfId="0" applyFont="1" applyFill="1" applyAlignment="1">
      <alignment horizontal="left" vertical="top" wrapText="1"/>
    </xf>
    <xf numFmtId="0" fontId="19" fillId="17" borderId="0" xfId="0" applyFont="1" applyFill="1" applyBorder="1" applyAlignment="1">
      <alignment vertical="center" wrapText="1"/>
    </xf>
    <xf numFmtId="0" fontId="27" fillId="17" borderId="0" xfId="0" applyFont="1" applyFill="1" applyBorder="1" applyAlignment="1">
      <alignment vertical="center" wrapText="1"/>
    </xf>
    <xf numFmtId="0" fontId="19" fillId="17" borderId="0" xfId="0" applyFont="1" applyFill="1" applyAlignment="1">
      <alignment horizontal="left" vertical="top" wrapText="1"/>
    </xf>
    <xf numFmtId="0" fontId="27" fillId="17" borderId="0" xfId="0" applyFont="1" applyFill="1" applyAlignment="1">
      <alignment vertical="center" wrapText="1"/>
    </xf>
    <xf numFmtId="0" fontId="27" fillId="17" borderId="0" xfId="0" applyFont="1" applyFill="1" applyAlignment="1">
      <alignment horizontal="center" vertical="center" wrapText="1"/>
    </xf>
    <xf numFmtId="0" fontId="27" fillId="17" borderId="12" xfId="0" applyFont="1" applyFill="1" applyBorder="1" applyAlignment="1">
      <alignment horizontal="left" vertical="center" wrapText="1"/>
    </xf>
    <xf numFmtId="0" fontId="27" fillId="17" borderId="12" xfId="0" applyFont="1" applyFill="1" applyBorder="1" applyAlignment="1">
      <alignment vertical="center" wrapText="1"/>
    </xf>
    <xf numFmtId="0" fontId="27" fillId="17" borderId="0" xfId="0" applyFont="1" applyFill="1" applyAlignment="1">
      <alignment horizontal="left" vertical="top" wrapText="1"/>
    </xf>
    <xf numFmtId="0" fontId="18" fillId="14" borderId="0" xfId="0" applyFont="1" applyFill="1" applyAlignment="1">
      <alignment vertical="center" wrapText="1"/>
    </xf>
    <xf numFmtId="0" fontId="19" fillId="14" borderId="0" xfId="0" applyFont="1" applyFill="1" applyAlignment="1">
      <alignment vertical="center" wrapText="1"/>
    </xf>
    <xf numFmtId="0" fontId="19" fillId="14" borderId="0" xfId="0" applyFont="1" applyFill="1" applyAlignment="1">
      <alignment horizontal="center" vertical="center" wrapText="1"/>
    </xf>
    <xf numFmtId="0" fontId="20" fillId="14" borderId="6" xfId="0" applyFont="1" applyFill="1" applyBorder="1" applyAlignment="1">
      <alignment vertical="center" wrapText="1"/>
    </xf>
    <xf numFmtId="0" fontId="19" fillId="14" borderId="12" xfId="0" applyFont="1" applyFill="1" applyBorder="1" applyAlignment="1">
      <alignment vertical="center" wrapText="1"/>
    </xf>
    <xf numFmtId="0" fontId="19" fillId="14" borderId="0" xfId="0" applyFont="1" applyFill="1" applyBorder="1" applyAlignment="1">
      <alignment vertical="center" wrapText="1"/>
    </xf>
    <xf numFmtId="0" fontId="19" fillId="14" borderId="0" xfId="0" applyFont="1" applyFill="1" applyAlignment="1">
      <alignment horizontal="left" vertical="top" wrapText="1"/>
    </xf>
    <xf numFmtId="0" fontId="18" fillId="12" borderId="0" xfId="0" applyFont="1" applyFill="1" applyAlignment="1">
      <alignment vertical="center" wrapText="1"/>
    </xf>
    <xf numFmtId="0" fontId="22" fillId="10" borderId="0" xfId="0" applyFont="1" applyFill="1" applyAlignment="1">
      <alignment vertical="center" wrapText="1"/>
    </xf>
    <xf numFmtId="0" fontId="22" fillId="10" borderId="0" xfId="0" applyFont="1" applyFill="1" applyAlignment="1">
      <alignment horizontal="center" vertical="center" wrapText="1"/>
    </xf>
    <xf numFmtId="0" fontId="18" fillId="34" borderId="0" xfId="0" applyFont="1" applyFill="1" applyAlignment="1">
      <alignment vertical="center" wrapText="1"/>
    </xf>
    <xf numFmtId="0" fontId="19" fillId="34" borderId="0" xfId="0" applyFont="1" applyFill="1" applyAlignment="1">
      <alignment horizontal="center" vertical="center" wrapText="1"/>
    </xf>
    <xf numFmtId="0" fontId="20" fillId="34" borderId="6" xfId="0" applyFont="1" applyFill="1" applyBorder="1" applyAlignment="1">
      <alignment vertical="center" wrapText="1"/>
    </xf>
    <xf numFmtId="0" fontId="19" fillId="34" borderId="12" xfId="0" applyFont="1" applyFill="1" applyBorder="1" applyAlignment="1">
      <alignment horizontal="left" vertical="center" wrapText="1"/>
    </xf>
    <xf numFmtId="0" fontId="19" fillId="34" borderId="12" xfId="0" applyFont="1" applyFill="1" applyBorder="1" applyAlignment="1">
      <alignment vertical="center" wrapText="1"/>
    </xf>
    <xf numFmtId="0" fontId="19" fillId="34" borderId="0" xfId="0" applyFont="1" applyFill="1" applyBorder="1" applyAlignment="1">
      <alignment vertical="center" wrapText="1"/>
    </xf>
    <xf numFmtId="0" fontId="19" fillId="34" borderId="0" xfId="0" applyFont="1" applyFill="1" applyAlignment="1">
      <alignment horizontal="left" vertical="top" wrapText="1"/>
    </xf>
    <xf numFmtId="0" fontId="22" fillId="32" borderId="0" xfId="0" applyFont="1" applyFill="1" applyAlignment="1">
      <alignment vertical="center" wrapText="1"/>
    </xf>
    <xf numFmtId="0" fontId="22" fillId="32" borderId="0" xfId="0" applyFont="1" applyFill="1" applyAlignment="1">
      <alignment horizontal="center" vertical="center" wrapText="1"/>
    </xf>
    <xf numFmtId="0" fontId="22" fillId="0" borderId="28" xfId="0" applyFont="1" applyBorder="1" applyAlignment="1">
      <alignment vertical="center"/>
    </xf>
    <xf numFmtId="0" fontId="19" fillId="0" borderId="0" xfId="0" applyFont="1" applyFill="1" applyBorder="1">
      <alignment vertical="center"/>
    </xf>
    <xf numFmtId="0" fontId="23" fillId="15" borderId="6" xfId="0" applyFont="1" applyFill="1" applyBorder="1" applyAlignment="1">
      <alignment vertical="center" wrapText="1"/>
    </xf>
    <xf numFmtId="3" fontId="23" fillId="15" borderId="6" xfId="0" applyNumberFormat="1" applyFont="1" applyFill="1" applyBorder="1" applyAlignment="1">
      <alignment vertical="center" wrapText="1"/>
    </xf>
    <xf numFmtId="0" fontId="23" fillId="33" borderId="6" xfId="0" applyFont="1" applyFill="1" applyBorder="1" applyAlignment="1">
      <alignment vertical="center" wrapText="1"/>
    </xf>
    <xf numFmtId="3" fontId="23" fillId="33" borderId="6" xfId="0" applyNumberFormat="1" applyFont="1" applyFill="1" applyBorder="1" applyAlignment="1">
      <alignment vertical="center" wrapText="1"/>
    </xf>
    <xf numFmtId="0" fontId="18" fillId="29" borderId="0" xfId="0" applyFont="1" applyFill="1" applyAlignment="1">
      <alignment vertical="center" wrapText="1"/>
    </xf>
    <xf numFmtId="0" fontId="19" fillId="29" borderId="0" xfId="0" applyFont="1" applyFill="1" applyAlignment="1">
      <alignment horizontal="center" vertical="center" wrapText="1"/>
    </xf>
    <xf numFmtId="0" fontId="20" fillId="29" borderId="6" xfId="0" applyFont="1" applyFill="1" applyBorder="1" applyAlignment="1">
      <alignment vertical="center" wrapText="1"/>
    </xf>
    <xf numFmtId="0" fontId="19" fillId="29" borderId="12" xfId="0" applyFont="1" applyFill="1" applyBorder="1" applyAlignment="1">
      <alignment horizontal="left" vertical="center" wrapText="1"/>
    </xf>
    <xf numFmtId="0" fontId="19" fillId="29" borderId="12" xfId="0" applyFont="1" applyFill="1" applyBorder="1" applyAlignment="1">
      <alignment vertical="center" wrapText="1"/>
    </xf>
    <xf numFmtId="0" fontId="19" fillId="29" borderId="0" xfId="0" applyFont="1" applyFill="1" applyBorder="1" applyAlignment="1">
      <alignment vertical="center" wrapText="1"/>
    </xf>
    <xf numFmtId="0" fontId="27" fillId="29" borderId="0" xfId="0" applyFont="1" applyFill="1" applyBorder="1" applyAlignment="1">
      <alignment vertical="center" wrapText="1"/>
    </xf>
    <xf numFmtId="0" fontId="19" fillId="29" borderId="0" xfId="0" applyFont="1" applyFill="1" applyAlignment="1">
      <alignment horizontal="left" vertical="top" wrapText="1"/>
    </xf>
    <xf numFmtId="0" fontId="19" fillId="24" borderId="0" xfId="0" applyFont="1" applyFill="1" applyAlignment="1">
      <alignment horizontal="left" vertical="top" wrapText="1"/>
    </xf>
    <xf numFmtId="0" fontId="18" fillId="30" borderId="0" xfId="0" applyFont="1" applyFill="1" applyAlignment="1">
      <alignment vertical="center" wrapText="1"/>
    </xf>
    <xf numFmtId="0" fontId="19" fillId="30" borderId="0" xfId="0" applyFont="1" applyFill="1" applyAlignment="1">
      <alignment vertical="center" wrapText="1"/>
    </xf>
    <xf numFmtId="0" fontId="19" fillId="30" borderId="0" xfId="0" applyFont="1" applyFill="1" applyAlignment="1">
      <alignment horizontal="center" vertical="center" wrapText="1"/>
    </xf>
    <xf numFmtId="0" fontId="20" fillId="30" borderId="6" xfId="0" applyFont="1" applyFill="1" applyBorder="1" applyAlignment="1">
      <alignment vertical="center" wrapText="1"/>
    </xf>
    <xf numFmtId="0" fontId="19" fillId="30" borderId="12" xfId="0" applyFont="1" applyFill="1" applyBorder="1" applyAlignment="1">
      <alignment horizontal="left" vertical="center" wrapText="1"/>
    </xf>
    <xf numFmtId="0" fontId="19" fillId="30" borderId="12" xfId="0" applyFont="1" applyFill="1" applyBorder="1" applyAlignment="1">
      <alignment vertical="center" wrapText="1"/>
    </xf>
    <xf numFmtId="0" fontId="19" fillId="30" borderId="0" xfId="0" applyFont="1" applyFill="1" applyBorder="1" applyAlignment="1">
      <alignment vertical="center" wrapText="1"/>
    </xf>
    <xf numFmtId="0" fontId="27" fillId="30" borderId="0" xfId="0" applyFont="1" applyFill="1" applyBorder="1" applyAlignment="1">
      <alignment vertical="center" wrapText="1"/>
    </xf>
    <xf numFmtId="0" fontId="19" fillId="30" borderId="0" xfId="0" applyFont="1" applyFill="1" applyAlignment="1">
      <alignment horizontal="left" vertical="top" wrapText="1"/>
    </xf>
    <xf numFmtId="0" fontId="18" fillId="31" borderId="0" xfId="0" applyFont="1" applyFill="1" applyAlignment="1">
      <alignment vertical="center" wrapText="1"/>
    </xf>
    <xf numFmtId="0" fontId="19" fillId="31" borderId="0" xfId="0" applyFont="1" applyFill="1" applyAlignment="1">
      <alignment vertical="center" wrapText="1"/>
    </xf>
    <xf numFmtId="0" fontId="19" fillId="31" borderId="0" xfId="0" applyFont="1" applyFill="1" applyAlignment="1">
      <alignment horizontal="center" vertical="center" wrapText="1"/>
    </xf>
    <xf numFmtId="0" fontId="20" fillId="31" borderId="6" xfId="0" applyFont="1" applyFill="1" applyBorder="1" applyAlignment="1">
      <alignment vertical="center" wrapText="1"/>
    </xf>
    <xf numFmtId="0" fontId="19" fillId="31" borderId="12" xfId="0" applyFont="1" applyFill="1" applyBorder="1" applyAlignment="1">
      <alignment horizontal="left" vertical="center" wrapText="1"/>
    </xf>
    <xf numFmtId="0" fontId="19" fillId="31" borderId="12" xfId="0" applyFont="1" applyFill="1" applyBorder="1" applyAlignment="1">
      <alignment vertical="center" wrapText="1"/>
    </xf>
    <xf numFmtId="0" fontId="27" fillId="31" borderId="0" xfId="0" applyFont="1" applyFill="1" applyBorder="1" applyAlignment="1">
      <alignment vertical="center" wrapText="1"/>
    </xf>
    <xf numFmtId="0" fontId="19" fillId="31" borderId="0" xfId="0" applyFont="1" applyFill="1" applyAlignment="1">
      <alignment horizontal="left" vertical="top" wrapText="1"/>
    </xf>
    <xf numFmtId="0" fontId="27" fillId="10" borderId="0" xfId="0" applyFont="1" applyFill="1" applyAlignment="1">
      <alignment horizontal="center" vertical="center" wrapText="1"/>
    </xf>
    <xf numFmtId="0" fontId="27" fillId="10" borderId="12" xfId="0" applyFont="1" applyFill="1" applyBorder="1" applyAlignment="1">
      <alignment horizontal="left" vertical="center" wrapText="1"/>
    </xf>
    <xf numFmtId="0" fontId="27" fillId="10" borderId="12" xfId="0" applyFont="1" applyFill="1" applyBorder="1" applyAlignment="1">
      <alignment vertical="center" wrapText="1"/>
    </xf>
    <xf numFmtId="0" fontId="34" fillId="65" borderId="29" xfId="0" applyFont="1" applyFill="1" applyBorder="1" applyAlignment="1">
      <alignment horizontal="center" vertical="center" wrapText="1"/>
    </xf>
    <xf numFmtId="49" fontId="19" fillId="29" borderId="0" xfId="0" applyNumberFormat="1" applyFont="1" applyFill="1" applyAlignment="1">
      <alignment vertical="center" wrapText="1"/>
    </xf>
    <xf numFmtId="0" fontId="34" fillId="66" borderId="0" xfId="0" applyFont="1" applyFill="1" applyAlignment="1">
      <alignment horizontal="center" vertical="center" wrapText="1"/>
    </xf>
    <xf numFmtId="0" fontId="34" fillId="67" borderId="0" xfId="0" applyFont="1" applyFill="1" applyAlignment="1">
      <alignment horizontal="center" vertical="center" wrapText="1"/>
    </xf>
    <xf numFmtId="0" fontId="22" fillId="2" borderId="0" xfId="0" applyFont="1" applyFill="1" applyAlignment="1">
      <alignment vertical="center"/>
    </xf>
    <xf numFmtId="0" fontId="18" fillId="22" borderId="0" xfId="0" applyFont="1" applyFill="1" applyAlignment="1">
      <alignment vertical="center"/>
    </xf>
    <xf numFmtId="0" fontId="21" fillId="9" borderId="0" xfId="0" applyFont="1" applyFill="1" applyAlignment="1">
      <alignment vertical="center"/>
    </xf>
    <xf numFmtId="0" fontId="21" fillId="10" borderId="0" xfId="0" applyFont="1" applyFill="1" applyAlignment="1">
      <alignment vertical="center"/>
    </xf>
    <xf numFmtId="0" fontId="18" fillId="68" borderId="0" xfId="0" applyFont="1" applyFill="1" applyAlignment="1">
      <alignment vertical="center" wrapText="1"/>
    </xf>
    <xf numFmtId="0" fontId="19" fillId="68" borderId="0" xfId="0" applyFont="1" applyFill="1" applyAlignment="1">
      <alignment vertical="center" wrapText="1"/>
    </xf>
    <xf numFmtId="0" fontId="18" fillId="22" borderId="17" xfId="0" applyFont="1" applyFill="1" applyBorder="1" applyAlignment="1">
      <alignment vertical="top" wrapText="1"/>
    </xf>
    <xf numFmtId="0" fontId="19" fillId="14" borderId="1" xfId="0" applyFont="1" applyFill="1" applyBorder="1" applyAlignment="1">
      <alignment vertical="top" wrapText="1"/>
    </xf>
    <xf numFmtId="0" fontId="19" fillId="14" borderId="0" xfId="0" applyFont="1" applyFill="1" applyAlignment="1">
      <alignment vertical="top" wrapText="1"/>
    </xf>
    <xf numFmtId="0" fontId="20" fillId="14" borderId="5" xfId="0" applyFont="1" applyFill="1" applyBorder="1" applyAlignment="1">
      <alignment vertical="top" wrapText="1"/>
    </xf>
    <xf numFmtId="0" fontId="19" fillId="14" borderId="11" xfId="0" applyFont="1" applyFill="1" applyBorder="1" applyAlignment="1">
      <alignment vertical="center" wrapText="1"/>
    </xf>
    <xf numFmtId="0" fontId="19" fillId="14" borderId="11" xfId="0" applyFont="1" applyFill="1" applyBorder="1" applyAlignment="1">
      <alignment vertical="top" wrapText="1"/>
    </xf>
    <xf numFmtId="0" fontId="19" fillId="14" borderId="2" xfId="0" applyFont="1" applyFill="1" applyBorder="1" applyAlignment="1">
      <alignment vertical="top" wrapText="1"/>
    </xf>
    <xf numFmtId="0" fontId="18" fillId="14" borderId="0" xfId="0" applyFont="1" applyFill="1" applyAlignment="1">
      <alignment vertical="top" wrapText="1"/>
    </xf>
    <xf numFmtId="0" fontId="32" fillId="14" borderId="0" xfId="0" applyFont="1" applyFill="1" applyAlignment="1">
      <alignment vertical="top" wrapText="1"/>
    </xf>
    <xf numFmtId="0" fontId="18" fillId="14" borderId="0" xfId="0" applyFont="1" applyFill="1" applyAlignment="1">
      <alignment horizontal="center" vertical="top" wrapText="1"/>
    </xf>
    <xf numFmtId="0" fontId="18" fillId="14" borderId="1" xfId="0" applyFont="1" applyFill="1" applyBorder="1" applyAlignment="1">
      <alignment horizontal="center" vertical="top" wrapText="1"/>
    </xf>
    <xf numFmtId="0" fontId="18" fillId="14" borderId="1" xfId="0" applyFont="1" applyFill="1" applyBorder="1" applyAlignment="1">
      <alignment vertical="top" wrapText="1"/>
    </xf>
    <xf numFmtId="0" fontId="18" fillId="20" borderId="0" xfId="0" applyFont="1" applyFill="1" applyBorder="1" applyAlignment="1">
      <alignment vertical="center" wrapText="1"/>
    </xf>
    <xf numFmtId="0" fontId="21" fillId="20" borderId="0" xfId="0" applyFont="1" applyFill="1" applyBorder="1" applyAlignment="1">
      <alignment vertical="center"/>
    </xf>
    <xf numFmtId="0" fontId="19" fillId="20" borderId="0" xfId="0" applyFont="1" applyFill="1" applyBorder="1" applyAlignment="1">
      <alignment horizontal="center" vertical="center" wrapText="1"/>
    </xf>
    <xf numFmtId="0" fontId="20" fillId="20" borderId="6" xfId="0" applyFont="1" applyFill="1" applyBorder="1" applyAlignment="1">
      <alignment vertical="center"/>
    </xf>
    <xf numFmtId="0" fontId="21" fillId="20" borderId="12" xfId="0" applyFont="1" applyFill="1" applyBorder="1" applyAlignment="1">
      <alignment vertical="center"/>
    </xf>
    <xf numFmtId="0" fontId="20" fillId="20" borderId="12" xfId="0" applyFont="1" applyFill="1" applyBorder="1" applyAlignment="1">
      <alignment vertical="center"/>
    </xf>
    <xf numFmtId="0" fontId="22" fillId="45" borderId="0" xfId="0" applyFont="1" applyFill="1" applyBorder="1" applyAlignment="1">
      <alignment vertical="center" wrapText="1"/>
    </xf>
    <xf numFmtId="0" fontId="22" fillId="45" borderId="0" xfId="0" applyFont="1" applyFill="1" applyBorder="1" applyAlignment="1">
      <alignment vertical="center"/>
    </xf>
    <xf numFmtId="0" fontId="21" fillId="20" borderId="0" xfId="0" applyFont="1" applyFill="1" applyBorder="1" applyAlignment="1">
      <alignment horizontal="center" vertical="center"/>
    </xf>
    <xf numFmtId="0" fontId="18" fillId="42" borderId="0" xfId="0" applyFont="1" applyFill="1" applyBorder="1" applyAlignment="1">
      <alignment vertical="center" wrapText="1"/>
    </xf>
    <xf numFmtId="0" fontId="21" fillId="42" borderId="0" xfId="0" applyFont="1" applyFill="1" applyBorder="1" applyAlignment="1">
      <alignment vertical="center"/>
    </xf>
    <xf numFmtId="0" fontId="19" fillId="42" borderId="0" xfId="0" applyFont="1" applyFill="1" applyBorder="1" applyAlignment="1">
      <alignment horizontal="center" vertical="center" wrapText="1"/>
    </xf>
    <xf numFmtId="0" fontId="20" fillId="42" borderId="6" xfId="0" applyFont="1" applyFill="1" applyBorder="1" applyAlignment="1">
      <alignment vertical="center"/>
    </xf>
    <xf numFmtId="0" fontId="20" fillId="42" borderId="0" xfId="0" applyFont="1" applyFill="1" applyAlignment="1">
      <alignment vertical="center" wrapText="1"/>
    </xf>
    <xf numFmtId="0" fontId="19" fillId="42" borderId="12" xfId="0" applyFont="1" applyFill="1" applyBorder="1" applyAlignment="1">
      <alignment horizontal="left" vertical="center" wrapText="1"/>
    </xf>
    <xf numFmtId="0" fontId="21" fillId="42" borderId="12" xfId="0" applyFont="1" applyFill="1" applyBorder="1" applyAlignment="1">
      <alignment vertical="center"/>
    </xf>
    <xf numFmtId="0" fontId="20" fillId="42" borderId="12" xfId="0" applyFont="1" applyFill="1" applyBorder="1" applyAlignment="1">
      <alignment vertical="center"/>
    </xf>
    <xf numFmtId="0" fontId="20" fillId="42" borderId="0" xfId="0" applyFont="1" applyFill="1" applyBorder="1" applyAlignment="1">
      <alignment vertical="center" wrapText="1"/>
    </xf>
    <xf numFmtId="0" fontId="22" fillId="43" borderId="0" xfId="0" applyFont="1" applyFill="1" applyBorder="1" applyAlignment="1">
      <alignment vertical="center" wrapText="1"/>
    </xf>
    <xf numFmtId="0" fontId="22" fillId="43" borderId="0" xfId="0" applyFont="1" applyFill="1" applyBorder="1" applyAlignment="1">
      <alignment vertical="center"/>
    </xf>
    <xf numFmtId="0" fontId="21" fillId="42" borderId="0" xfId="0" applyFont="1" applyFill="1" applyBorder="1" applyAlignment="1">
      <alignment horizontal="center" vertical="center"/>
    </xf>
    <xf numFmtId="0" fontId="21" fillId="42" borderId="3" xfId="0" applyFont="1" applyFill="1" applyBorder="1" applyAlignment="1">
      <alignment vertical="center" wrapText="1"/>
    </xf>
    <xf numFmtId="0" fontId="20" fillId="42" borderId="6" xfId="0" applyFont="1" applyFill="1" applyBorder="1" applyAlignment="1">
      <alignment vertical="center" wrapText="1"/>
    </xf>
    <xf numFmtId="0" fontId="19" fillId="42" borderId="12" xfId="0" applyFont="1" applyFill="1" applyBorder="1" applyAlignment="1">
      <alignment vertical="center" wrapText="1"/>
    </xf>
    <xf numFmtId="0" fontId="20" fillId="42" borderId="12" xfId="0" applyFont="1" applyFill="1" applyBorder="1" applyAlignment="1">
      <alignment vertical="center" wrapText="1"/>
    </xf>
    <xf numFmtId="0" fontId="19" fillId="43" borderId="0" xfId="0" applyFont="1" applyFill="1" applyBorder="1" applyAlignment="1">
      <alignment vertical="center" wrapText="1"/>
    </xf>
    <xf numFmtId="0" fontId="19" fillId="42" borderId="0" xfId="0" applyFont="1" applyFill="1" applyBorder="1" applyAlignment="1">
      <alignment horizontal="left" vertical="top" wrapText="1"/>
    </xf>
    <xf numFmtId="0" fontId="18" fillId="42" borderId="0" xfId="0" applyFont="1" applyFill="1" applyAlignment="1">
      <alignment vertical="center" wrapText="1"/>
    </xf>
    <xf numFmtId="0" fontId="19" fillId="42" borderId="0" xfId="0" applyFont="1" applyFill="1" applyBorder="1">
      <alignment vertical="center"/>
    </xf>
    <xf numFmtId="0" fontId="27" fillId="42" borderId="0" xfId="0" applyFont="1" applyFill="1" applyBorder="1" applyAlignment="1">
      <alignment vertical="center" wrapText="1"/>
    </xf>
    <xf numFmtId="0" fontId="22" fillId="42" borderId="0" xfId="0" applyFont="1" applyFill="1" applyAlignment="1">
      <alignment vertical="center"/>
    </xf>
    <xf numFmtId="0" fontId="18" fillId="42" borderId="17" xfId="0" applyFont="1" applyFill="1" applyBorder="1" applyAlignment="1">
      <alignment vertical="top" wrapText="1"/>
    </xf>
    <xf numFmtId="0" fontId="19" fillId="42" borderId="1" xfId="0" applyFont="1" applyFill="1" applyBorder="1" applyAlignment="1">
      <alignment vertical="top" wrapText="1"/>
    </xf>
    <xf numFmtId="0" fontId="19" fillId="42" borderId="0" xfId="0" applyFont="1" applyFill="1" applyAlignment="1">
      <alignment vertical="top" wrapText="1"/>
    </xf>
    <xf numFmtId="0" fontId="19" fillId="42" borderId="1" xfId="0" applyFont="1" applyFill="1" applyBorder="1" applyAlignment="1">
      <alignment horizontal="center" vertical="top" wrapText="1"/>
    </xf>
    <xf numFmtId="0" fontId="20" fillId="42" borderId="5" xfId="0" applyFont="1" applyFill="1" applyBorder="1" applyAlignment="1">
      <alignment vertical="top" wrapText="1"/>
    </xf>
    <xf numFmtId="0" fontId="19" fillId="42" borderId="11" xfId="0" applyFont="1" applyFill="1" applyBorder="1" applyAlignment="1">
      <alignment vertical="center" wrapText="1"/>
    </xf>
    <xf numFmtId="0" fontId="19" fillId="42" borderId="11" xfId="0" applyFont="1" applyFill="1" applyBorder="1" applyAlignment="1">
      <alignment vertical="top" wrapText="1"/>
    </xf>
    <xf numFmtId="0" fontId="19" fillId="42" borderId="2" xfId="0" applyFont="1" applyFill="1" applyBorder="1" applyAlignment="1">
      <alignment vertical="top" wrapText="1"/>
    </xf>
    <xf numFmtId="0" fontId="18" fillId="42" borderId="0" xfId="0" applyFont="1" applyFill="1" applyAlignment="1">
      <alignment vertical="top" wrapText="1"/>
    </xf>
    <xf numFmtId="0" fontId="19" fillId="42" borderId="1" xfId="0" applyFont="1" applyFill="1" applyBorder="1" applyAlignment="1">
      <alignment horizontal="left" vertical="top" wrapText="1"/>
    </xf>
    <xf numFmtId="0" fontId="32" fillId="42" borderId="0" xfId="0" applyFont="1" applyFill="1" applyAlignment="1">
      <alignment vertical="top" wrapText="1"/>
    </xf>
    <xf numFmtId="0" fontId="18" fillId="42" borderId="0" xfId="0" applyFont="1" applyFill="1" applyAlignment="1">
      <alignment horizontal="center" vertical="top" wrapText="1"/>
    </xf>
    <xf numFmtId="0" fontId="19" fillId="42" borderId="0" xfId="0" applyFont="1" applyFill="1" applyBorder="1" applyAlignment="1">
      <alignment vertical="top" wrapText="1"/>
    </xf>
    <xf numFmtId="0" fontId="20" fillId="42" borderId="6" xfId="0" applyFont="1" applyFill="1" applyBorder="1" applyAlignment="1">
      <alignment vertical="top" wrapText="1"/>
    </xf>
    <xf numFmtId="0" fontId="20" fillId="42" borderId="0" xfId="0" applyFont="1" applyFill="1" applyBorder="1" applyAlignment="1">
      <alignment vertical="top" wrapText="1"/>
    </xf>
    <xf numFmtId="0" fontId="19" fillId="42" borderId="12" xfId="0" applyFont="1" applyFill="1" applyBorder="1" applyAlignment="1">
      <alignment vertical="top" wrapText="1"/>
    </xf>
    <xf numFmtId="0" fontId="22" fillId="46" borderId="0" xfId="0" applyFont="1" applyFill="1" applyAlignment="1"/>
    <xf numFmtId="0" fontId="19" fillId="30" borderId="0" xfId="0" applyFont="1" applyFill="1" applyBorder="1">
      <alignment vertical="center"/>
    </xf>
    <xf numFmtId="0" fontId="20" fillId="30" borderId="0" xfId="0" applyFont="1" applyFill="1" applyBorder="1" applyAlignment="1">
      <alignment vertical="center" wrapText="1"/>
    </xf>
    <xf numFmtId="0" fontId="22" fillId="30" borderId="0" xfId="0" applyFont="1" applyFill="1" applyAlignment="1">
      <alignment vertical="center"/>
    </xf>
    <xf numFmtId="0" fontId="18" fillId="30" borderId="20" xfId="0" applyFont="1" applyFill="1" applyBorder="1" applyAlignment="1">
      <alignment vertical="center" wrapText="1"/>
    </xf>
    <xf numFmtId="0" fontId="19" fillId="30" borderId="21" xfId="0" applyFont="1" applyFill="1" applyBorder="1" applyAlignment="1">
      <alignment vertical="center" wrapText="1"/>
    </xf>
    <xf numFmtId="0" fontId="22" fillId="46" borderId="21" xfId="0" applyFont="1" applyFill="1" applyBorder="1" applyAlignment="1"/>
    <xf numFmtId="0" fontId="19" fillId="30" borderId="21" xfId="0" applyFont="1" applyFill="1" applyBorder="1" applyAlignment="1">
      <alignment horizontal="center" vertical="center" wrapText="1"/>
    </xf>
    <xf numFmtId="0" fontId="20" fillId="30" borderId="22" xfId="0" applyFont="1" applyFill="1" applyBorder="1" applyAlignment="1">
      <alignment vertical="center" wrapText="1"/>
    </xf>
    <xf numFmtId="0" fontId="19" fillId="30" borderId="21" xfId="0" applyFont="1" applyFill="1" applyBorder="1">
      <alignment vertical="center"/>
    </xf>
    <xf numFmtId="0" fontId="19" fillId="30" borderId="15" xfId="0" applyFont="1" applyFill="1" applyBorder="1" applyAlignment="1">
      <alignment horizontal="left" vertical="center" wrapText="1"/>
    </xf>
    <xf numFmtId="0" fontId="19" fillId="30" borderId="15" xfId="0" applyFont="1" applyFill="1" applyBorder="1" applyAlignment="1">
      <alignment vertical="center" wrapText="1"/>
    </xf>
    <xf numFmtId="0" fontId="20" fillId="30" borderId="21" xfId="0" applyFont="1" applyFill="1" applyBorder="1" applyAlignment="1">
      <alignment vertical="center" wrapText="1"/>
    </xf>
    <xf numFmtId="0" fontId="27" fillId="30" borderId="21" xfId="0" applyFont="1" applyFill="1" applyBorder="1" applyAlignment="1">
      <alignment vertical="center" wrapText="1"/>
    </xf>
    <xf numFmtId="0" fontId="19" fillId="10" borderId="21" xfId="0" applyFont="1" applyFill="1" applyBorder="1" applyAlignment="1">
      <alignment vertical="center" wrapText="1"/>
    </xf>
    <xf numFmtId="0" fontId="22" fillId="30" borderId="21" xfId="0" applyFont="1" applyFill="1" applyBorder="1" applyAlignment="1">
      <alignment vertical="center"/>
    </xf>
    <xf numFmtId="0" fontId="18" fillId="30" borderId="23" xfId="0" applyFont="1" applyFill="1" applyBorder="1" applyAlignment="1">
      <alignment vertical="center" wrapText="1"/>
    </xf>
    <xf numFmtId="0" fontId="22" fillId="46" borderId="0" xfId="0" applyFont="1" applyFill="1" applyBorder="1" applyAlignment="1"/>
    <xf numFmtId="0" fontId="19" fillId="30" borderId="0" xfId="0" applyFont="1" applyFill="1" applyBorder="1" applyAlignment="1">
      <alignment horizontal="center" vertical="center" wrapText="1"/>
    </xf>
    <xf numFmtId="0" fontId="22" fillId="30" borderId="0" xfId="0" applyFont="1" applyFill="1" applyBorder="1" applyAlignment="1">
      <alignment vertical="center"/>
    </xf>
    <xf numFmtId="0" fontId="18" fillId="30" borderId="24" xfId="0" applyFont="1" applyFill="1" applyBorder="1" applyAlignment="1">
      <alignment vertical="center" wrapText="1"/>
    </xf>
    <xf numFmtId="0" fontId="19" fillId="30" borderId="25" xfId="0" applyFont="1" applyFill="1" applyBorder="1" applyAlignment="1">
      <alignment vertical="center" wrapText="1"/>
    </xf>
    <xf numFmtId="0" fontId="19" fillId="30" borderId="25" xfId="0" applyFont="1" applyFill="1" applyBorder="1" applyAlignment="1">
      <alignment horizontal="center" vertical="center" wrapText="1"/>
    </xf>
    <xf numFmtId="0" fontId="20" fillId="30" borderId="26" xfId="0" applyFont="1" applyFill="1" applyBorder="1" applyAlignment="1">
      <alignment vertical="center" wrapText="1"/>
    </xf>
    <xf numFmtId="0" fontId="19" fillId="30" borderId="25" xfId="0" applyFont="1" applyFill="1" applyBorder="1">
      <alignment vertical="center"/>
    </xf>
    <xf numFmtId="0" fontId="19" fillId="30" borderId="27" xfId="0" applyFont="1" applyFill="1" applyBorder="1" applyAlignment="1">
      <alignment horizontal="left" vertical="center" wrapText="1"/>
    </xf>
    <xf numFmtId="0" fontId="19" fillId="30" borderId="27" xfId="0" applyFont="1" applyFill="1" applyBorder="1" applyAlignment="1">
      <alignment vertical="center" wrapText="1"/>
    </xf>
    <xf numFmtId="0" fontId="20" fillId="30" borderId="25" xfId="0" applyFont="1" applyFill="1" applyBorder="1" applyAlignment="1">
      <alignment vertical="center" wrapText="1"/>
    </xf>
    <xf numFmtId="0" fontId="27" fillId="30" borderId="25" xfId="0" applyFont="1" applyFill="1" applyBorder="1" applyAlignment="1">
      <alignment vertical="center" wrapText="1"/>
    </xf>
    <xf numFmtId="0" fontId="19" fillId="10" borderId="25" xfId="0" applyFont="1" applyFill="1" applyBorder="1" applyAlignment="1">
      <alignment vertical="center" wrapText="1"/>
    </xf>
    <xf numFmtId="0" fontId="22" fillId="46" borderId="25" xfId="0" applyFont="1" applyFill="1" applyBorder="1" applyAlignment="1"/>
    <xf numFmtId="0" fontId="22" fillId="30" borderId="25" xfId="0" applyFont="1" applyFill="1" applyBorder="1" applyAlignment="1">
      <alignment vertical="center"/>
    </xf>
    <xf numFmtId="0" fontId="19" fillId="9" borderId="0" xfId="0" applyFont="1" applyFill="1" applyBorder="1">
      <alignment vertical="center"/>
    </xf>
    <xf numFmtId="0" fontId="22" fillId="9" borderId="0" xfId="0" applyFont="1" applyFill="1" applyAlignment="1">
      <alignment vertical="center"/>
    </xf>
    <xf numFmtId="0" fontId="22" fillId="0" borderId="0" xfId="0" applyFont="1" applyFill="1" applyAlignment="1">
      <alignment vertical="center"/>
    </xf>
    <xf numFmtId="0" fontId="22" fillId="0" borderId="0" xfId="0" applyFont="1" applyFill="1" applyAlignment="1">
      <alignment horizontal="center" vertical="center"/>
    </xf>
    <xf numFmtId="0" fontId="29" fillId="0" borderId="6" xfId="0" applyFont="1" applyFill="1" applyBorder="1" applyAlignment="1">
      <alignment vertical="center"/>
    </xf>
    <xf numFmtId="0" fontId="22" fillId="0" borderId="12" xfId="0" applyFont="1" applyFill="1" applyBorder="1" applyAlignment="1">
      <alignment horizontal="left" vertical="center"/>
    </xf>
    <xf numFmtId="0" fontId="22" fillId="0" borderId="12" xfId="0" applyFont="1" applyFill="1" applyBorder="1" applyAlignment="1">
      <alignment vertical="center"/>
    </xf>
    <xf numFmtId="0" fontId="22" fillId="24" borderId="0" xfId="0" applyFont="1" applyFill="1" applyAlignment="1">
      <alignment vertical="center"/>
    </xf>
    <xf numFmtId="0" fontId="22" fillId="24" borderId="0" xfId="0" applyFont="1" applyFill="1" applyAlignment="1">
      <alignment horizontal="center" vertical="center"/>
    </xf>
    <xf numFmtId="0" fontId="29" fillId="24" borderId="6" xfId="0" applyFont="1" applyFill="1" applyBorder="1" applyAlignment="1">
      <alignment vertical="center"/>
    </xf>
    <xf numFmtId="0" fontId="22" fillId="24" borderId="12" xfId="0" applyFont="1" applyFill="1" applyBorder="1" applyAlignment="1">
      <alignment horizontal="left" vertical="center"/>
    </xf>
    <xf numFmtId="0" fontId="22" fillId="24" borderId="12" xfId="0" applyFont="1" applyFill="1" applyBorder="1" applyAlignment="1">
      <alignment vertical="center"/>
    </xf>
    <xf numFmtId="0" fontId="22" fillId="29" borderId="0" xfId="0" applyFont="1" applyFill="1" applyAlignment="1">
      <alignment vertical="center"/>
    </xf>
    <xf numFmtId="0" fontId="22" fillId="29" borderId="0" xfId="0" applyFont="1" applyFill="1" applyAlignment="1">
      <alignment horizontal="center" vertical="center"/>
    </xf>
    <xf numFmtId="0" fontId="29" fillId="29" borderId="6" xfId="0" applyFont="1" applyFill="1" applyBorder="1" applyAlignment="1">
      <alignment vertical="center"/>
    </xf>
    <xf numFmtId="0" fontId="22" fillId="29" borderId="12" xfId="0" applyFont="1" applyFill="1" applyBorder="1" applyAlignment="1">
      <alignment horizontal="left" vertical="center"/>
    </xf>
    <xf numFmtId="0" fontId="22" fillId="29" borderId="12" xfId="0" applyFont="1" applyFill="1" applyBorder="1" applyAlignment="1">
      <alignment vertical="center"/>
    </xf>
    <xf numFmtId="0" fontId="18" fillId="11" borderId="0" xfId="0" applyFont="1" applyFill="1" applyAlignment="1">
      <alignment vertical="center" wrapText="1"/>
    </xf>
    <xf numFmtId="0" fontId="22" fillId="11" borderId="0" xfId="0" applyFont="1" applyFill="1" applyAlignment="1">
      <alignment vertical="center"/>
    </xf>
    <xf numFmtId="0" fontId="22" fillId="11" borderId="0" xfId="0" applyFont="1" applyFill="1" applyAlignment="1">
      <alignment horizontal="center" vertical="center"/>
    </xf>
    <xf numFmtId="0" fontId="29" fillId="11" borderId="6" xfId="0" applyFont="1" applyFill="1" applyBorder="1" applyAlignment="1">
      <alignment vertical="center"/>
    </xf>
    <xf numFmtId="0" fontId="22" fillId="11" borderId="12" xfId="0" applyFont="1" applyFill="1" applyBorder="1" applyAlignment="1">
      <alignment horizontal="left" vertical="center"/>
    </xf>
    <xf numFmtId="0" fontId="22" fillId="11" borderId="12" xfId="0" applyFont="1" applyFill="1" applyBorder="1" applyAlignment="1">
      <alignment vertical="center"/>
    </xf>
    <xf numFmtId="0" fontId="23" fillId="42" borderId="6" xfId="0" applyFont="1" applyFill="1" applyBorder="1" applyAlignment="1">
      <alignment vertical="center" wrapText="1"/>
    </xf>
    <xf numFmtId="0" fontId="23" fillId="42" borderId="0" xfId="0" applyFont="1" applyFill="1" applyAlignment="1">
      <alignment vertical="center" wrapText="1"/>
    </xf>
    <xf numFmtId="0" fontId="19" fillId="42" borderId="3" xfId="0" applyFont="1" applyFill="1" applyBorder="1" applyAlignment="1">
      <alignment horizontal="left" vertical="top" wrapText="1"/>
    </xf>
    <xf numFmtId="0" fontId="19" fillId="43" borderId="0" xfId="0" applyFont="1" applyFill="1" applyAlignment="1">
      <alignment vertical="center" wrapText="1"/>
    </xf>
    <xf numFmtId="0" fontId="20" fillId="47" borderId="0" xfId="0" applyFont="1" applyFill="1" applyBorder="1" applyAlignment="1">
      <alignment vertical="center" wrapText="1"/>
    </xf>
    <xf numFmtId="0" fontId="19" fillId="47" borderId="0" xfId="0" applyFont="1" applyFill="1" applyBorder="1" applyAlignment="1">
      <alignment horizontal="left" vertical="top" wrapText="1"/>
    </xf>
    <xf numFmtId="0" fontId="22" fillId="2" borderId="0" xfId="0" applyFont="1" applyFill="1" applyAlignment="1">
      <alignment horizontal="center" vertical="center"/>
    </xf>
    <xf numFmtId="0" fontId="22" fillId="2" borderId="12" xfId="0" applyFont="1" applyFill="1" applyBorder="1" applyAlignment="1">
      <alignment horizontal="left" vertical="center"/>
    </xf>
    <xf numFmtId="0" fontId="22" fillId="2" borderId="12" xfId="0" applyFont="1" applyFill="1" applyBorder="1" applyAlignment="1">
      <alignment vertical="center"/>
    </xf>
    <xf numFmtId="0" fontId="4" fillId="0" borderId="0" xfId="0" applyFont="1" applyAlignment="1">
      <alignment horizontal="center" vertical="center"/>
    </xf>
    <xf numFmtId="0" fontId="36" fillId="0" borderId="0" xfId="0" applyFont="1" applyAlignment="1">
      <alignment horizontal="center" vertical="center"/>
    </xf>
    <xf numFmtId="1" fontId="4" fillId="0" borderId="0" xfId="0" applyNumberFormat="1" applyFont="1" applyAlignment="1">
      <alignment horizontal="center" vertical="center"/>
    </xf>
    <xf numFmtId="9" fontId="4" fillId="0" borderId="0" xfId="0" applyNumberFormat="1" applyFont="1" applyAlignment="1">
      <alignment horizontal="center" vertical="center"/>
    </xf>
    <xf numFmtId="0" fontId="4" fillId="35" borderId="0" xfId="0" applyFont="1" applyFill="1" applyAlignment="1">
      <alignment horizontal="center" vertical="center"/>
    </xf>
    <xf numFmtId="0" fontId="36" fillId="35" borderId="0" xfId="0" applyFont="1" applyFill="1" applyAlignment="1">
      <alignment horizontal="center" vertical="center"/>
    </xf>
    <xf numFmtId="0" fontId="4" fillId="0" borderId="0" xfId="0" applyFont="1" applyAlignment="1">
      <alignment horizontal="center"/>
    </xf>
    <xf numFmtId="0" fontId="37" fillId="0" borderId="0" xfId="0" applyFont="1" applyAlignment="1">
      <alignment horizontal="center" vertical="center"/>
    </xf>
    <xf numFmtId="1" fontId="37" fillId="0" borderId="0" xfId="0" applyNumberFormat="1" applyFont="1" applyAlignment="1">
      <alignment horizontal="center" vertical="center"/>
    </xf>
    <xf numFmtId="0" fontId="19" fillId="15" borderId="28" xfId="0" applyFont="1" applyFill="1" applyBorder="1" applyAlignment="1">
      <alignment horizontal="center" vertical="center"/>
    </xf>
    <xf numFmtId="0" fontId="19" fillId="15" borderId="0" xfId="0" applyFont="1" applyFill="1" applyBorder="1" applyAlignment="1">
      <alignment horizontal="center" vertical="center"/>
    </xf>
    <xf numFmtId="0" fontId="19" fillId="69" borderId="0" xfId="0" applyFont="1" applyFill="1" applyBorder="1" applyAlignment="1">
      <alignment vertical="center" wrapText="1"/>
    </xf>
    <xf numFmtId="0" fontId="24" fillId="15" borderId="0" xfId="0" applyFont="1" applyFill="1" applyAlignment="1">
      <alignment horizontal="center" vertical="center"/>
    </xf>
    <xf numFmtId="0" fontId="25" fillId="15" borderId="0" xfId="0" applyFont="1" applyFill="1" applyAlignment="1">
      <alignment horizontal="center" vertical="center"/>
    </xf>
    <xf numFmtId="0" fontId="26" fillId="15" borderId="0" xfId="0" applyFont="1" applyFill="1" applyAlignment="1">
      <alignment horizontal="center" vertical="center"/>
    </xf>
    <xf numFmtId="0" fontId="19" fillId="29" borderId="0" xfId="0" applyFont="1" applyFill="1" applyBorder="1" applyAlignment="1">
      <alignment horizontal="center" vertical="center" wrapText="1"/>
    </xf>
    <xf numFmtId="0" fontId="20" fillId="29" borderId="0" xfId="0" applyFont="1" applyFill="1" applyAlignment="1">
      <alignment vertical="center" wrapText="1"/>
    </xf>
    <xf numFmtId="0" fontId="19" fillId="70" borderId="0" xfId="0" applyFont="1" applyFill="1" applyBorder="1" applyAlignment="1">
      <alignment vertical="center" wrapText="1"/>
    </xf>
    <xf numFmtId="0" fontId="19" fillId="70" borderId="0" xfId="0" applyFont="1" applyFill="1" applyAlignment="1">
      <alignment vertical="center" wrapText="1"/>
    </xf>
    <xf numFmtId="0" fontId="26" fillId="0" borderId="0" xfId="0" applyFont="1" applyAlignment="1">
      <alignment horizontal="center" vertical="center"/>
    </xf>
    <xf numFmtId="0" fontId="3" fillId="0" borderId="0" xfId="0" applyFont="1" applyAlignment="1">
      <alignment horizontal="center" vertical="center"/>
    </xf>
    <xf numFmtId="0" fontId="2" fillId="0" borderId="0" xfId="0" applyFont="1" applyAlignment="1">
      <alignment horizontal="center" vertical="center"/>
    </xf>
    <xf numFmtId="0" fontId="19" fillId="24" borderId="0" xfId="0" applyFont="1" applyFill="1" applyAlignment="1">
      <alignment horizontal="left" vertical="center" wrapText="1"/>
    </xf>
    <xf numFmtId="0" fontId="19" fillId="9" borderId="0" xfId="0" applyFont="1" applyFill="1" applyBorder="1" applyAlignment="1">
      <alignment horizontal="center" vertical="center"/>
    </xf>
    <xf numFmtId="0" fontId="38" fillId="0" borderId="28" xfId="0" applyFont="1" applyBorder="1" applyAlignment="1">
      <alignment vertical="center"/>
    </xf>
    <xf numFmtId="0" fontId="38" fillId="0" borderId="28" xfId="0" applyFont="1" applyBorder="1" applyAlignment="1">
      <alignment horizontal="center" vertical="center"/>
    </xf>
    <xf numFmtId="0" fontId="19" fillId="10" borderId="0" xfId="0" applyFont="1" applyFill="1" applyBorder="1" applyAlignment="1">
      <alignment horizontal="center" vertical="center"/>
    </xf>
    <xf numFmtId="0" fontId="38" fillId="10" borderId="0" xfId="0" applyFont="1" applyFill="1" applyBorder="1" applyAlignment="1">
      <alignment horizontal="center" vertical="center"/>
    </xf>
    <xf numFmtId="0" fontId="38" fillId="10" borderId="28" xfId="0" applyFont="1" applyFill="1" applyBorder="1" applyAlignment="1">
      <alignment horizontal="center" vertical="center"/>
    </xf>
    <xf numFmtId="0" fontId="18" fillId="0" borderId="0" xfId="0" applyFont="1" applyBorder="1" applyAlignment="1">
      <alignment horizontal="center" vertical="center"/>
    </xf>
    <xf numFmtId="0" fontId="22" fillId="0" borderId="0" xfId="0" applyFont="1" applyAlignment="1">
      <alignment horizontal="center"/>
    </xf>
    <xf numFmtId="0" fontId="19" fillId="10" borderId="0" xfId="0" applyFont="1" applyFill="1" applyBorder="1" applyAlignment="1">
      <alignment horizontal="left" vertical="center"/>
    </xf>
    <xf numFmtId="0" fontId="38" fillId="0" borderId="28" xfId="0" applyFont="1" applyBorder="1" applyAlignment="1">
      <alignment horizontal="left" vertical="center"/>
    </xf>
    <xf numFmtId="0" fontId="38" fillId="51" borderId="28" xfId="0" applyFont="1" applyFill="1" applyBorder="1" applyAlignment="1">
      <alignment horizontal="center" vertical="center"/>
    </xf>
    <xf numFmtId="0" fontId="22" fillId="51" borderId="0" xfId="0" applyFont="1" applyFill="1" applyAlignment="1">
      <alignment horizontal="center"/>
    </xf>
    <xf numFmtId="0" fontId="38" fillId="51" borderId="28" xfId="0" applyFont="1" applyFill="1" applyBorder="1" applyAlignment="1">
      <alignment vertical="center"/>
    </xf>
    <xf numFmtId="0" fontId="38" fillId="51" borderId="0" xfId="0" applyFont="1" applyFill="1" applyBorder="1" applyAlignment="1">
      <alignment horizontal="center" vertical="center"/>
    </xf>
    <xf numFmtId="0" fontId="22" fillId="15" borderId="0" xfId="0" applyFont="1" applyFill="1" applyAlignment="1">
      <alignment horizontal="center"/>
    </xf>
    <xf numFmtId="0" fontId="20" fillId="24" borderId="0" xfId="0" applyFont="1" applyFill="1" applyBorder="1" applyAlignment="1">
      <alignment horizontal="center" vertical="center" wrapText="1"/>
    </xf>
    <xf numFmtId="0" fontId="18" fillId="9" borderId="0" xfId="0" applyFont="1" applyFill="1" applyAlignment="1">
      <alignment horizontal="center" vertical="center" wrapText="1"/>
    </xf>
    <xf numFmtId="0" fontId="18" fillId="35" borderId="0" xfId="0" applyFont="1" applyFill="1" applyAlignment="1">
      <alignment horizontal="center" vertical="center" wrapText="1"/>
    </xf>
    <xf numFmtId="0" fontId="22" fillId="51" borderId="0" xfId="0" applyFont="1" applyFill="1" applyAlignment="1">
      <alignment horizontal="center" vertical="center" wrapText="1"/>
    </xf>
    <xf numFmtId="0" fontId="22" fillId="9" borderId="0" xfId="0" applyFont="1" applyFill="1" applyAlignment="1">
      <alignment horizontal="center" vertical="center" wrapText="1"/>
    </xf>
    <xf numFmtId="0" fontId="29" fillId="37" borderId="0" xfId="0" applyFont="1" applyFill="1" applyAlignment="1">
      <alignment horizontal="center" vertical="center" wrapText="1"/>
    </xf>
    <xf numFmtId="0" fontId="22" fillId="37" borderId="0" xfId="0" applyFont="1" applyFill="1" applyAlignment="1">
      <alignment horizontal="center" vertical="center" wrapText="1"/>
    </xf>
    <xf numFmtId="0" fontId="22" fillId="0" borderId="0" xfId="0" applyFont="1" applyAlignment="1">
      <alignment horizontal="center" vertical="center"/>
    </xf>
    <xf numFmtId="0" fontId="19" fillId="49" borderId="1" xfId="0" applyFont="1" applyFill="1" applyBorder="1" applyAlignment="1">
      <alignment horizontal="center" vertical="center" wrapText="1"/>
    </xf>
    <xf numFmtId="0" fontId="19" fillId="15" borderId="3" xfId="0" applyFont="1" applyFill="1" applyBorder="1" applyAlignment="1">
      <alignment horizontal="center" vertical="center" wrapText="1"/>
    </xf>
    <xf numFmtId="0" fontId="19" fillId="44" borderId="3" xfId="0" applyFont="1" applyFill="1" applyBorder="1" applyAlignment="1">
      <alignment horizontal="center" vertical="center" wrapText="1"/>
    </xf>
    <xf numFmtId="0" fontId="32" fillId="19" borderId="0" xfId="0" applyFont="1" applyFill="1" applyAlignment="1">
      <alignment horizontal="center" vertical="center" wrapText="1"/>
    </xf>
    <xf numFmtId="0" fontId="19" fillId="14" borderId="1" xfId="0" applyFont="1" applyFill="1" applyBorder="1" applyAlignment="1">
      <alignment horizontal="center" vertical="center" wrapText="1"/>
    </xf>
    <xf numFmtId="0" fontId="19" fillId="42" borderId="1" xfId="0" applyFont="1" applyFill="1" applyBorder="1" applyAlignment="1">
      <alignment horizontal="center" vertical="center" wrapText="1"/>
    </xf>
    <xf numFmtId="0" fontId="22" fillId="34" borderId="0" xfId="0" applyFont="1" applyFill="1" applyAlignment="1">
      <alignment vertical="center" wrapText="1"/>
    </xf>
    <xf numFmtId="0" fontId="22" fillId="17" borderId="0" xfId="0" applyFont="1" applyFill="1" applyAlignment="1">
      <alignment vertical="center" wrapText="1"/>
    </xf>
  </cellXfs>
  <cellStyles count="7">
    <cellStyle name="常规" xfId="0" builtinId="0"/>
    <cellStyle name="常规 2" xfId="4"/>
    <cellStyle name="常规 2 2" xfId="1"/>
    <cellStyle name="常规 2 3" xfId="6"/>
    <cellStyle name="常规 3" xfId="2"/>
    <cellStyle name="常规 4" xfId="3"/>
    <cellStyle name="常规 5" xfId="5"/>
  </cellStyles>
  <dxfs count="1068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ndense val="0"/>
        <extend val="0"/>
        <color rgb="FF9C6500"/>
      </font>
      <fill>
        <patternFill>
          <bgColor rgb="FFFFEB9C"/>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H1898"/>
  <sheetViews>
    <sheetView tabSelected="1" zoomScaleNormal="100" workbookViewId="0">
      <pane xSplit="20" ySplit="1" topLeftCell="AF98" activePane="bottomRight" state="frozenSplit"/>
      <selection pane="topRight" activeCell="R1" sqref="R1"/>
      <selection pane="bottomLeft" activeCell="A5" sqref="A5"/>
      <selection pane="bottomRight" activeCell="AF101" sqref="AF101"/>
    </sheetView>
  </sheetViews>
  <sheetFormatPr defaultRowHeight="12" x14ac:dyDescent="0.15"/>
  <cols>
    <col min="1" max="1" width="6" style="809" customWidth="1"/>
    <col min="2" max="2" width="6.375" style="710" customWidth="1"/>
    <col min="3" max="3" width="15.25" style="710" customWidth="1"/>
    <col min="4" max="6" width="4.5" style="710" customWidth="1"/>
    <col min="7" max="7" width="4.5" style="836" customWidth="1"/>
    <col min="8" max="9" width="4.5" style="710" customWidth="1"/>
    <col min="10" max="10" width="7.5" style="836" customWidth="1"/>
    <col min="11" max="11" width="4.5" style="710" customWidth="1"/>
    <col min="12" max="12" width="5.25" style="710" customWidth="1"/>
    <col min="13" max="13" width="10.625" style="710" customWidth="1"/>
    <col min="14" max="14" width="6.25" style="710" customWidth="1"/>
    <col min="15" max="15" width="8.5" style="710" customWidth="1"/>
    <col min="16" max="16" width="5.25" style="808" customWidth="1"/>
    <col min="17" max="17" width="7.125" style="299" customWidth="1"/>
    <col min="18" max="18" width="6" style="299" hidden="1" customWidth="1"/>
    <col min="19" max="19" width="5.875" style="299" customWidth="1"/>
    <col min="20" max="20" width="5.625" style="299" customWidth="1"/>
    <col min="21" max="25" width="4.375" style="710" customWidth="1"/>
    <col min="26" max="26" width="10.625" style="837" customWidth="1"/>
    <col min="27" max="27" width="4.375" style="710" customWidth="1"/>
    <col min="28" max="28" width="4.375" style="838" customWidth="1"/>
    <col min="29" max="29" width="5.5" style="838" customWidth="1"/>
    <col min="30" max="30" width="11.125" style="710" customWidth="1"/>
    <col min="31" max="31" width="13.625" style="710" customWidth="1"/>
    <col min="32" max="32" width="44.625" style="710" customWidth="1"/>
    <col min="33" max="33" width="39.375" style="710" customWidth="1"/>
    <col min="34" max="34" width="28.375" style="710" customWidth="1"/>
    <col min="35" max="35" width="36.125" style="710" customWidth="1"/>
    <col min="36" max="36" width="28.5" style="710" customWidth="1"/>
    <col min="37" max="37" width="16.5" style="710" customWidth="1"/>
    <col min="38" max="38" width="4.375" style="836" customWidth="1"/>
    <col min="39" max="39" width="30.875" style="710" customWidth="1"/>
    <col min="40" max="40" width="41.5" style="710" customWidth="1"/>
    <col min="41" max="41" width="13.125" style="710" customWidth="1"/>
    <col min="42" max="47" width="9" style="710" customWidth="1"/>
    <col min="48" max="48" width="12.25" style="710" bestFit="1" customWidth="1"/>
    <col min="49" max="49" width="36.75" style="710" customWidth="1"/>
    <col min="50" max="16384" width="9" style="710"/>
  </cols>
  <sheetData>
    <row r="1" spans="1:51" s="10" customFormat="1" ht="36" x14ac:dyDescent="0.15">
      <c r="A1" s="9" t="s">
        <v>80</v>
      </c>
      <c r="B1" s="10" t="s">
        <v>81</v>
      </c>
      <c r="C1" s="10" t="s">
        <v>7617</v>
      </c>
      <c r="D1" s="10" t="s">
        <v>82</v>
      </c>
      <c r="E1" s="10" t="s">
        <v>7543</v>
      </c>
      <c r="F1" s="10" t="s">
        <v>83</v>
      </c>
      <c r="G1" s="11" t="s">
        <v>5261</v>
      </c>
      <c r="H1" s="10" t="s">
        <v>84</v>
      </c>
      <c r="I1" s="10" t="s">
        <v>5268</v>
      </c>
      <c r="J1" s="11" t="s">
        <v>85</v>
      </c>
      <c r="K1" s="10" t="s">
        <v>86</v>
      </c>
      <c r="L1" s="10" t="s">
        <v>87</v>
      </c>
      <c r="M1" s="10" t="s">
        <v>5086</v>
      </c>
      <c r="N1" s="10" t="s">
        <v>5087</v>
      </c>
      <c r="O1" s="10" t="s">
        <v>5088</v>
      </c>
      <c r="P1" s="10" t="s">
        <v>2511</v>
      </c>
      <c r="Q1" s="12" t="s">
        <v>571</v>
      </c>
      <c r="R1" s="12" t="s">
        <v>2502</v>
      </c>
      <c r="S1" s="12" t="s">
        <v>2472</v>
      </c>
      <c r="T1" s="12" t="s">
        <v>2530</v>
      </c>
      <c r="U1" s="10" t="s">
        <v>88</v>
      </c>
      <c r="V1" s="10" t="s">
        <v>89</v>
      </c>
      <c r="W1" s="10" t="s">
        <v>90</v>
      </c>
      <c r="X1" s="10" t="s">
        <v>91</v>
      </c>
      <c r="Y1" s="10" t="s">
        <v>92</v>
      </c>
      <c r="Z1" s="13" t="s">
        <v>3976</v>
      </c>
      <c r="AA1" s="10" t="s">
        <v>4180</v>
      </c>
      <c r="AB1" s="14" t="s">
        <v>93</v>
      </c>
      <c r="AC1" s="15" t="s">
        <v>94</v>
      </c>
      <c r="AD1" s="10" t="s">
        <v>95</v>
      </c>
      <c r="AE1" s="10" t="s">
        <v>96</v>
      </c>
      <c r="AF1" s="10" t="s">
        <v>97</v>
      </c>
      <c r="AG1" s="10" t="s">
        <v>98</v>
      </c>
      <c r="AH1" s="10" t="s">
        <v>2388</v>
      </c>
      <c r="AI1" s="10" t="s">
        <v>99</v>
      </c>
      <c r="AJ1" s="10" t="s">
        <v>6203</v>
      </c>
      <c r="AK1" s="10" t="s">
        <v>100</v>
      </c>
      <c r="AL1" s="11" t="s">
        <v>101</v>
      </c>
      <c r="AM1" s="10" t="s">
        <v>1357</v>
      </c>
      <c r="AN1" s="10" t="s">
        <v>102</v>
      </c>
      <c r="AO1" s="10" t="s">
        <v>103</v>
      </c>
      <c r="AP1" s="10" t="s">
        <v>104</v>
      </c>
      <c r="AQ1" s="10" t="s">
        <v>105</v>
      </c>
      <c r="AR1" s="10" t="s">
        <v>2988</v>
      </c>
      <c r="AS1" s="10" t="s">
        <v>2989</v>
      </c>
      <c r="AT1" s="10" t="s">
        <v>106</v>
      </c>
      <c r="AU1" s="10" t="s">
        <v>3458</v>
      </c>
      <c r="AV1" s="10" t="s">
        <v>5262</v>
      </c>
      <c r="AW1" s="10" t="s">
        <v>2473</v>
      </c>
      <c r="AX1" s="10" t="s">
        <v>2792</v>
      </c>
      <c r="AY1" s="10" t="s">
        <v>2793</v>
      </c>
    </row>
    <row r="2" spans="1:51" s="17" customFormat="1" ht="72" x14ac:dyDescent="0.15">
      <c r="A2" s="16">
        <v>6001</v>
      </c>
      <c r="C2" s="17" t="s">
        <v>5381</v>
      </c>
      <c r="D2" s="17">
        <v>1</v>
      </c>
      <c r="E2" s="17">
        <v>0</v>
      </c>
      <c r="F2" s="17">
        <v>1</v>
      </c>
      <c r="G2" s="18">
        <v>1</v>
      </c>
      <c r="H2" s="17">
        <v>200</v>
      </c>
      <c r="I2" s="17">
        <v>0</v>
      </c>
      <c r="J2" s="18">
        <v>0</v>
      </c>
      <c r="K2" s="17">
        <v>0</v>
      </c>
      <c r="L2" s="17">
        <v>60045</v>
      </c>
      <c r="M2" s="17" t="s">
        <v>175</v>
      </c>
      <c r="N2" s="17">
        <v>60045</v>
      </c>
      <c r="O2" s="17" t="s">
        <v>5089</v>
      </c>
      <c r="Q2" s="19"/>
      <c r="R2" s="19"/>
      <c r="S2" s="19"/>
      <c r="T2" s="19"/>
      <c r="U2" s="17">
        <v>1</v>
      </c>
      <c r="V2" s="17">
        <v>1</v>
      </c>
      <c r="W2" s="20">
        <v>5</v>
      </c>
      <c r="Z2" s="21">
        <f>VLOOKUP(G2,Sheet2!A:H,8,0)</f>
        <v>250</v>
      </c>
      <c r="AB2" s="22"/>
      <c r="AC2" s="23">
        <f>VLOOKUP(G2,Sheet2!A$2:K$151,9,FALSE)</f>
        <v>200</v>
      </c>
      <c r="AF2" s="24" t="s">
        <v>6194</v>
      </c>
      <c r="AG2" s="24" t="s">
        <v>6193</v>
      </c>
      <c r="AH2" s="24" t="s">
        <v>7078</v>
      </c>
      <c r="AI2" s="24"/>
      <c r="AJ2" s="24" t="s">
        <v>6786</v>
      </c>
      <c r="AL2" s="18"/>
      <c r="AM2" s="17" t="s">
        <v>4817</v>
      </c>
      <c r="AN2" s="17" t="s">
        <v>5388</v>
      </c>
      <c r="AP2" s="17">
        <v>1</v>
      </c>
      <c r="AQ2" s="17">
        <v>0</v>
      </c>
      <c r="AR2" s="17">
        <v>1</v>
      </c>
      <c r="AS2" s="17">
        <v>1</v>
      </c>
      <c r="AU2" s="17">
        <v>0</v>
      </c>
      <c r="AV2" s="17">
        <f>IF(D2 = 1,1,0)</f>
        <v>1</v>
      </c>
      <c r="AW2" s="17" t="str">
        <f t="shared" ref="AW2" si="0">"{s_taskTalk,{"&amp;L2&amp;","&amp;N2&amp;"}}"</f>
        <v>{s_taskTalk,{60045,60045}}</v>
      </c>
    </row>
    <row r="3" spans="1:51" s="17" customFormat="1" ht="72" x14ac:dyDescent="0.15">
      <c r="A3" s="16">
        <v>6002</v>
      </c>
      <c r="C3" s="17" t="s">
        <v>5382</v>
      </c>
      <c r="D3" s="17">
        <v>1</v>
      </c>
      <c r="E3" s="17">
        <v>0</v>
      </c>
      <c r="F3" s="17">
        <v>1</v>
      </c>
      <c r="G3" s="18">
        <v>1</v>
      </c>
      <c r="H3" s="17">
        <v>200</v>
      </c>
      <c r="I3" s="17">
        <v>0</v>
      </c>
      <c r="J3" s="18">
        <v>6001</v>
      </c>
      <c r="K3" s="17">
        <v>0</v>
      </c>
      <c r="L3" s="17">
        <v>60045</v>
      </c>
      <c r="M3" s="17" t="s">
        <v>4816</v>
      </c>
      <c r="N3" s="17">
        <v>596</v>
      </c>
      <c r="O3" s="17" t="s">
        <v>7067</v>
      </c>
      <c r="Q3" s="19"/>
      <c r="R3" s="19"/>
      <c r="S3" s="19"/>
      <c r="T3" s="19"/>
      <c r="U3" s="17">
        <v>1</v>
      </c>
      <c r="V3" s="17">
        <v>1</v>
      </c>
      <c r="W3" s="20">
        <v>5</v>
      </c>
      <c r="Z3" s="21">
        <f>VLOOKUP(G3,Sheet2!A:H,8,0)</f>
        <v>250</v>
      </c>
      <c r="AB3" s="22"/>
      <c r="AC3" s="23">
        <f>VLOOKUP(G3,Sheet2!A$2:K$151,9,FALSE)</f>
        <v>200</v>
      </c>
      <c r="AF3" s="24" t="s">
        <v>8643</v>
      </c>
      <c r="AG3" s="24" t="s">
        <v>7080</v>
      </c>
      <c r="AH3" s="24" t="s">
        <v>7081</v>
      </c>
      <c r="AI3" s="24"/>
      <c r="AJ3" s="24" t="s">
        <v>6787</v>
      </c>
      <c r="AL3" s="18">
        <v>0</v>
      </c>
      <c r="AM3" s="17" t="s">
        <v>7068</v>
      </c>
      <c r="AN3" s="17" t="s">
        <v>7069</v>
      </c>
      <c r="AP3" s="17">
        <v>1</v>
      </c>
      <c r="AQ3" s="17">
        <v>0</v>
      </c>
      <c r="AR3" s="17">
        <v>1</v>
      </c>
      <c r="AS3" s="17">
        <v>1</v>
      </c>
      <c r="AU3" s="17">
        <v>0</v>
      </c>
      <c r="AV3" s="17">
        <f t="shared" ref="AV3:AV94" si="1">IF(D3 = 1,1,0)</f>
        <v>1</v>
      </c>
      <c r="AW3" s="17" t="str">
        <f t="shared" ref="AW3:AW9" si="2">"{s_taskTalk,{"&amp;L3&amp;","&amp;N3&amp;"}}"</f>
        <v>{s_taskTalk,{60045,596}}</v>
      </c>
    </row>
    <row r="4" spans="1:51" s="17" customFormat="1" ht="72" x14ac:dyDescent="0.15">
      <c r="A4" s="16">
        <v>7000</v>
      </c>
      <c r="C4" s="17" t="s">
        <v>5382</v>
      </c>
      <c r="D4" s="17">
        <v>1</v>
      </c>
      <c r="E4" s="17">
        <v>0</v>
      </c>
      <c r="F4" s="17">
        <v>1</v>
      </c>
      <c r="G4" s="18">
        <v>1</v>
      </c>
      <c r="H4" s="17">
        <v>200</v>
      </c>
      <c r="I4" s="17">
        <v>0</v>
      </c>
      <c r="J4" s="18">
        <v>6001</v>
      </c>
      <c r="K4" s="17">
        <v>0</v>
      </c>
      <c r="L4" s="17">
        <v>60045</v>
      </c>
      <c r="M4" s="17" t="s">
        <v>4816</v>
      </c>
      <c r="N4" s="17">
        <v>596</v>
      </c>
      <c r="O4" s="17" t="s">
        <v>7067</v>
      </c>
      <c r="Q4" s="19"/>
      <c r="R4" s="19"/>
      <c r="S4" s="19"/>
      <c r="T4" s="19"/>
      <c r="U4" s="17">
        <v>1</v>
      </c>
      <c r="V4" s="17">
        <v>1</v>
      </c>
      <c r="W4" s="20">
        <v>5</v>
      </c>
      <c r="Z4" s="21">
        <f>VLOOKUP(G4,Sheet2!A:H,8,0)</f>
        <v>250</v>
      </c>
      <c r="AB4" s="22"/>
      <c r="AC4" s="23">
        <f>VLOOKUP(G4,Sheet2!A$2:K$151,9,FALSE)</f>
        <v>200</v>
      </c>
      <c r="AF4" s="24" t="s">
        <v>8643</v>
      </c>
      <c r="AG4" s="24" t="s">
        <v>7079</v>
      </c>
      <c r="AH4" s="24" t="s">
        <v>6195</v>
      </c>
      <c r="AI4" s="24"/>
      <c r="AJ4" s="24" t="s">
        <v>7443</v>
      </c>
      <c r="AL4" s="18">
        <v>0</v>
      </c>
      <c r="AM4" s="17" t="s">
        <v>7070</v>
      </c>
      <c r="AN4" s="17" t="s">
        <v>7071</v>
      </c>
      <c r="AP4" s="17">
        <v>0</v>
      </c>
      <c r="AQ4" s="17">
        <v>0</v>
      </c>
      <c r="AR4" s="17">
        <v>1</v>
      </c>
      <c r="AS4" s="17">
        <v>1</v>
      </c>
      <c r="AU4" s="17">
        <v>0</v>
      </c>
      <c r="AV4" s="17">
        <f t="shared" ref="AV4:AV6" si="3">IF(D4 = 1,1,0)</f>
        <v>1</v>
      </c>
      <c r="AW4" s="17" t="str">
        <f t="shared" ref="AW4:AW6" si="4">"{s_taskTalk,{"&amp;L4&amp;","&amp;N4&amp;"}}"</f>
        <v>{s_taskTalk,{60045,596}}</v>
      </c>
    </row>
    <row r="5" spans="1:51" s="17" customFormat="1" ht="72" x14ac:dyDescent="0.15">
      <c r="A5" s="16">
        <v>7001</v>
      </c>
      <c r="C5" s="17" t="s">
        <v>5382</v>
      </c>
      <c r="D5" s="17">
        <v>1</v>
      </c>
      <c r="E5" s="17">
        <v>0</v>
      </c>
      <c r="F5" s="17">
        <v>1</v>
      </c>
      <c r="G5" s="18">
        <v>1</v>
      </c>
      <c r="H5" s="17">
        <v>200</v>
      </c>
      <c r="I5" s="17">
        <v>0</v>
      </c>
      <c r="J5" s="18">
        <v>6001</v>
      </c>
      <c r="K5" s="17">
        <v>0</v>
      </c>
      <c r="L5" s="17">
        <v>60045</v>
      </c>
      <c r="M5" s="17" t="s">
        <v>4816</v>
      </c>
      <c r="N5" s="17">
        <v>596</v>
      </c>
      <c r="O5" s="17" t="s">
        <v>7067</v>
      </c>
      <c r="Q5" s="19"/>
      <c r="R5" s="19"/>
      <c r="S5" s="19"/>
      <c r="T5" s="19"/>
      <c r="U5" s="17">
        <v>1</v>
      </c>
      <c r="V5" s="17">
        <v>1</v>
      </c>
      <c r="W5" s="20">
        <v>5</v>
      </c>
      <c r="Z5" s="21">
        <f>VLOOKUP(G5,Sheet2!A:H,8,0)</f>
        <v>250</v>
      </c>
      <c r="AB5" s="22"/>
      <c r="AC5" s="23">
        <f>VLOOKUP(G5,Sheet2!A$2:K$151,9,FALSE)</f>
        <v>200</v>
      </c>
      <c r="AF5" s="24" t="s">
        <v>8643</v>
      </c>
      <c r="AG5" s="24" t="s">
        <v>6627</v>
      </c>
      <c r="AH5" s="24" t="s">
        <v>6195</v>
      </c>
      <c r="AI5" s="24"/>
      <c r="AJ5" s="24" t="s">
        <v>6787</v>
      </c>
      <c r="AL5" s="18">
        <v>0</v>
      </c>
      <c r="AM5" s="17" t="s">
        <v>7072</v>
      </c>
      <c r="AN5" s="17" t="s">
        <v>7073</v>
      </c>
      <c r="AP5" s="17">
        <v>0</v>
      </c>
      <c r="AQ5" s="17">
        <v>0</v>
      </c>
      <c r="AR5" s="17">
        <v>1</v>
      </c>
      <c r="AS5" s="17">
        <v>1</v>
      </c>
      <c r="AU5" s="17">
        <v>0</v>
      </c>
      <c r="AV5" s="17">
        <f t="shared" si="3"/>
        <v>1</v>
      </c>
      <c r="AW5" s="17" t="str">
        <f t="shared" si="4"/>
        <v>{s_taskTalk,{60045,596}}</v>
      </c>
    </row>
    <row r="6" spans="1:51" s="17" customFormat="1" ht="72" x14ac:dyDescent="0.15">
      <c r="A6" s="16">
        <v>7002</v>
      </c>
      <c r="C6" s="17" t="s">
        <v>5382</v>
      </c>
      <c r="D6" s="17">
        <v>1</v>
      </c>
      <c r="E6" s="17">
        <v>0</v>
      </c>
      <c r="F6" s="17">
        <v>1</v>
      </c>
      <c r="G6" s="18">
        <v>1</v>
      </c>
      <c r="H6" s="17">
        <v>200</v>
      </c>
      <c r="I6" s="17">
        <v>0</v>
      </c>
      <c r="J6" s="18">
        <v>6001</v>
      </c>
      <c r="K6" s="17">
        <v>0</v>
      </c>
      <c r="L6" s="17">
        <v>60045</v>
      </c>
      <c r="M6" s="17" t="s">
        <v>4816</v>
      </c>
      <c r="N6" s="17">
        <v>596</v>
      </c>
      <c r="O6" s="17" t="s">
        <v>7067</v>
      </c>
      <c r="Q6" s="19"/>
      <c r="R6" s="19"/>
      <c r="S6" s="19"/>
      <c r="T6" s="19"/>
      <c r="U6" s="17">
        <v>1</v>
      </c>
      <c r="V6" s="17">
        <v>1</v>
      </c>
      <c r="W6" s="20">
        <v>5</v>
      </c>
      <c r="Z6" s="21">
        <f>VLOOKUP(G6,Sheet2!A:H,8,0)</f>
        <v>250</v>
      </c>
      <c r="AB6" s="22"/>
      <c r="AC6" s="23">
        <f>VLOOKUP(G6,Sheet2!A$2:K$151,9,FALSE)</f>
        <v>200</v>
      </c>
      <c r="AF6" s="24" t="s">
        <v>8643</v>
      </c>
      <c r="AG6" s="24" t="s">
        <v>6627</v>
      </c>
      <c r="AH6" s="24" t="s">
        <v>6195</v>
      </c>
      <c r="AI6" s="24"/>
      <c r="AJ6" s="24" t="s">
        <v>6990</v>
      </c>
      <c r="AL6" s="18">
        <v>0</v>
      </c>
      <c r="AM6" s="17" t="s">
        <v>7074</v>
      </c>
      <c r="AN6" s="17" t="s">
        <v>7075</v>
      </c>
      <c r="AP6" s="17">
        <v>0</v>
      </c>
      <c r="AQ6" s="17">
        <v>0</v>
      </c>
      <c r="AR6" s="17">
        <v>1</v>
      </c>
      <c r="AS6" s="17">
        <v>1</v>
      </c>
      <c r="AU6" s="17">
        <v>0</v>
      </c>
      <c r="AV6" s="17">
        <f t="shared" si="3"/>
        <v>1</v>
      </c>
      <c r="AW6" s="17" t="str">
        <f t="shared" si="4"/>
        <v>{s_taskTalk,{60045,596}}</v>
      </c>
    </row>
    <row r="7" spans="1:51" s="17" customFormat="1" ht="72" x14ac:dyDescent="0.15">
      <c r="A7" s="16">
        <v>6003</v>
      </c>
      <c r="C7" s="17" t="s">
        <v>4875</v>
      </c>
      <c r="D7" s="17">
        <v>1</v>
      </c>
      <c r="E7" s="17">
        <v>0</v>
      </c>
      <c r="F7" s="17">
        <v>1</v>
      </c>
      <c r="G7" s="18">
        <v>2</v>
      </c>
      <c r="H7" s="17">
        <v>200</v>
      </c>
      <c r="I7" s="17">
        <v>0</v>
      </c>
      <c r="J7" s="18">
        <v>6002</v>
      </c>
      <c r="K7" s="17">
        <v>0</v>
      </c>
      <c r="L7" s="17">
        <v>596</v>
      </c>
      <c r="M7" s="17" t="s">
        <v>7067</v>
      </c>
      <c r="N7" s="17">
        <v>60046</v>
      </c>
      <c r="O7" s="17" t="s">
        <v>5090</v>
      </c>
      <c r="Q7" s="19"/>
      <c r="R7" s="19"/>
      <c r="S7" s="19"/>
      <c r="T7" s="19"/>
      <c r="U7" s="17">
        <v>1</v>
      </c>
      <c r="V7" s="17">
        <v>1</v>
      </c>
      <c r="W7" s="20">
        <v>5</v>
      </c>
      <c r="Z7" s="21">
        <f>VLOOKUP(G7,Sheet2!A:H,8,0)</f>
        <v>295</v>
      </c>
      <c r="AB7" s="22"/>
      <c r="AC7" s="23">
        <f>VLOOKUP(G7,Sheet2!A$2:K$151,9,FALSE)</f>
        <v>220</v>
      </c>
      <c r="AF7" s="24" t="s">
        <v>6628</v>
      </c>
      <c r="AG7" s="24" t="s">
        <v>6629</v>
      </c>
      <c r="AH7" s="24" t="s">
        <v>6630</v>
      </c>
      <c r="AI7" s="24"/>
      <c r="AJ7" s="24" t="s">
        <v>7160</v>
      </c>
      <c r="AL7" s="18">
        <v>0</v>
      </c>
      <c r="AM7" s="17" t="s">
        <v>6073</v>
      </c>
      <c r="AN7" s="17" t="s">
        <v>6205</v>
      </c>
      <c r="AP7" s="17">
        <v>1</v>
      </c>
      <c r="AQ7" s="17">
        <v>0</v>
      </c>
      <c r="AR7" s="17">
        <v>1</v>
      </c>
      <c r="AS7" s="17">
        <v>1</v>
      </c>
      <c r="AU7" s="17">
        <v>0</v>
      </c>
      <c r="AV7" s="17">
        <f t="shared" si="1"/>
        <v>1</v>
      </c>
      <c r="AW7" s="17" t="str">
        <f t="shared" si="2"/>
        <v>{s_taskTalk,{596,60046}}</v>
      </c>
    </row>
    <row r="8" spans="1:51" s="17" customFormat="1" ht="72" x14ac:dyDescent="0.15">
      <c r="A8" s="16">
        <v>6004</v>
      </c>
      <c r="C8" s="25" t="s">
        <v>5383</v>
      </c>
      <c r="D8" s="17">
        <v>1</v>
      </c>
      <c r="E8" s="17">
        <v>0</v>
      </c>
      <c r="F8" s="17">
        <v>1</v>
      </c>
      <c r="G8" s="18">
        <v>2</v>
      </c>
      <c r="H8" s="17">
        <v>200</v>
      </c>
      <c r="I8" s="17">
        <v>0</v>
      </c>
      <c r="J8" s="18">
        <v>6003</v>
      </c>
      <c r="K8" s="17">
        <v>0</v>
      </c>
      <c r="L8" s="17">
        <v>60046</v>
      </c>
      <c r="M8" s="17" t="s">
        <v>5090</v>
      </c>
      <c r="N8" s="17">
        <v>60046</v>
      </c>
      <c r="O8" s="17" t="s">
        <v>5090</v>
      </c>
      <c r="Q8" s="19"/>
      <c r="R8" s="19"/>
      <c r="S8" s="19">
        <v>10103</v>
      </c>
      <c r="T8" s="19"/>
      <c r="U8" s="17">
        <v>1</v>
      </c>
      <c r="V8" s="17">
        <v>0</v>
      </c>
      <c r="W8" s="20">
        <v>5</v>
      </c>
      <c r="Z8" s="21">
        <f>VLOOKUP(G8,Sheet2!A:H,8,0)</f>
        <v>295</v>
      </c>
      <c r="AB8" s="22"/>
      <c r="AC8" s="23">
        <f>VLOOKUP(G8,Sheet2!A$2:K$151,9,FALSE)</f>
        <v>220</v>
      </c>
      <c r="AF8" s="24" t="s">
        <v>6212</v>
      </c>
      <c r="AG8" s="24" t="s">
        <v>6196</v>
      </c>
      <c r="AH8" s="24" t="s">
        <v>6197</v>
      </c>
      <c r="AI8" s="24" t="s">
        <v>6206</v>
      </c>
      <c r="AJ8" s="24" t="s">
        <v>6788</v>
      </c>
      <c r="AL8" s="18">
        <v>0</v>
      </c>
      <c r="AM8" s="17" t="s">
        <v>6181</v>
      </c>
      <c r="AN8" s="17" t="s">
        <v>6207</v>
      </c>
      <c r="AP8" s="17">
        <v>1</v>
      </c>
      <c r="AQ8" s="17">
        <v>0</v>
      </c>
      <c r="AR8" s="17">
        <v>1</v>
      </c>
      <c r="AS8" s="17">
        <v>1</v>
      </c>
      <c r="AU8" s="17">
        <v>0</v>
      </c>
      <c r="AV8" s="17">
        <f t="shared" si="1"/>
        <v>1</v>
      </c>
      <c r="AW8" s="17" t="str">
        <f>"{s_taskKillNpc, {"&amp;L8&amp;","&amp;N8&amp;","&amp;S8&amp;","&amp;U8&amp;"}}"</f>
        <v>{s_taskKillNpc, {60046,60046,10103,1}}</v>
      </c>
    </row>
    <row r="9" spans="1:51" s="17" customFormat="1" ht="72" x14ac:dyDescent="0.15">
      <c r="A9" s="16">
        <v>6005</v>
      </c>
      <c r="C9" s="17" t="s">
        <v>6204</v>
      </c>
      <c r="D9" s="17">
        <v>1</v>
      </c>
      <c r="E9" s="17">
        <v>0</v>
      </c>
      <c r="F9" s="17">
        <v>1</v>
      </c>
      <c r="G9" s="18">
        <v>3</v>
      </c>
      <c r="H9" s="17">
        <v>200</v>
      </c>
      <c r="I9" s="17">
        <v>0</v>
      </c>
      <c r="J9" s="18">
        <v>6004</v>
      </c>
      <c r="K9" s="17">
        <v>0</v>
      </c>
      <c r="L9" s="17">
        <v>60046</v>
      </c>
      <c r="M9" s="17" t="s">
        <v>5090</v>
      </c>
      <c r="N9" s="17">
        <v>60045</v>
      </c>
      <c r="O9" s="17" t="s">
        <v>4816</v>
      </c>
      <c r="Q9" s="19"/>
      <c r="R9" s="19"/>
      <c r="S9" s="19"/>
      <c r="T9" s="19"/>
      <c r="U9" s="17">
        <v>1</v>
      </c>
      <c r="V9" s="17">
        <v>1</v>
      </c>
      <c r="W9" s="20">
        <v>5</v>
      </c>
      <c r="Z9" s="21">
        <f>VLOOKUP(G9,Sheet2!A:H,8,0)</f>
        <v>348</v>
      </c>
      <c r="AB9" s="22"/>
      <c r="AC9" s="23">
        <f>VLOOKUP(G9,Sheet2!A$2:K$151,9,FALSE)</f>
        <v>240</v>
      </c>
      <c r="AF9" s="24" t="s">
        <v>6211</v>
      </c>
      <c r="AG9" s="24" t="s">
        <v>6631</v>
      </c>
      <c r="AH9" s="24" t="s">
        <v>6208</v>
      </c>
      <c r="AI9" s="24"/>
      <c r="AJ9" s="24" t="s">
        <v>6789</v>
      </c>
      <c r="AL9" s="18">
        <v>0</v>
      </c>
      <c r="AM9" s="17" t="s">
        <v>6209</v>
      </c>
      <c r="AN9" s="17" t="s">
        <v>6210</v>
      </c>
      <c r="AP9" s="17">
        <v>1</v>
      </c>
      <c r="AQ9" s="17">
        <v>0</v>
      </c>
      <c r="AR9" s="17">
        <v>1</v>
      </c>
      <c r="AS9" s="17">
        <v>1</v>
      </c>
      <c r="AU9" s="17">
        <v>0</v>
      </c>
      <c r="AV9" s="17">
        <f t="shared" si="1"/>
        <v>1</v>
      </c>
      <c r="AW9" s="17" t="str">
        <f t="shared" si="2"/>
        <v>{s_taskTalk,{60046,60045}}</v>
      </c>
    </row>
    <row r="10" spans="1:51" s="17" customFormat="1" ht="72" x14ac:dyDescent="0.15">
      <c r="A10" s="16">
        <v>6012</v>
      </c>
      <c r="C10" s="17" t="s">
        <v>6625</v>
      </c>
      <c r="D10" s="17">
        <v>1</v>
      </c>
      <c r="E10" s="17">
        <v>0</v>
      </c>
      <c r="F10" s="17">
        <v>1</v>
      </c>
      <c r="G10" s="18">
        <v>3</v>
      </c>
      <c r="H10" s="17">
        <v>200</v>
      </c>
      <c r="I10" s="17">
        <v>0</v>
      </c>
      <c r="J10" s="18">
        <v>6005</v>
      </c>
      <c r="K10" s="17">
        <v>0</v>
      </c>
      <c r="L10" s="17">
        <v>60045</v>
      </c>
      <c r="M10" s="17" t="s">
        <v>4816</v>
      </c>
      <c r="N10" s="17">
        <v>60046</v>
      </c>
      <c r="O10" s="17" t="s">
        <v>5095</v>
      </c>
      <c r="Q10" s="19"/>
      <c r="R10" s="19"/>
      <c r="S10" s="19"/>
      <c r="T10" s="19"/>
      <c r="U10" s="17">
        <v>1</v>
      </c>
      <c r="V10" s="17">
        <v>1</v>
      </c>
      <c r="W10" s="20">
        <v>5</v>
      </c>
      <c r="Z10" s="21">
        <f>VLOOKUP(G10,Sheet2!A:H,8,0)</f>
        <v>348</v>
      </c>
      <c r="AB10" s="22"/>
      <c r="AC10" s="23">
        <f>VLOOKUP(G10,Sheet2!A$2:K$151,9,FALSE)</f>
        <v>240</v>
      </c>
      <c r="AF10" s="24" t="s">
        <v>7125</v>
      </c>
      <c r="AG10" s="24" t="s">
        <v>6632</v>
      </c>
      <c r="AH10" s="24" t="s">
        <v>6633</v>
      </c>
      <c r="AI10" s="24"/>
      <c r="AJ10" s="24" t="s">
        <v>6790</v>
      </c>
      <c r="AL10" s="18">
        <v>0</v>
      </c>
      <c r="AM10" s="17" t="s">
        <v>6215</v>
      </c>
      <c r="AN10" s="17" t="s">
        <v>5392</v>
      </c>
      <c r="AP10" s="17">
        <v>1</v>
      </c>
      <c r="AQ10" s="17">
        <v>0</v>
      </c>
      <c r="AR10" s="17">
        <v>1</v>
      </c>
      <c r="AS10" s="17">
        <v>1</v>
      </c>
      <c r="AU10" s="17">
        <v>0</v>
      </c>
      <c r="AV10" s="17">
        <f>IF(D10 = 1,1,0)</f>
        <v>1</v>
      </c>
      <c r="AW10" s="17" t="str">
        <f t="shared" ref="AW10" si="5">"{s_taskTalk,{"&amp;L10&amp;","&amp;N10&amp;"}}"</f>
        <v>{s_taskTalk,{60045,60046}}</v>
      </c>
    </row>
    <row r="11" spans="1:51" s="17" customFormat="1" ht="72" x14ac:dyDescent="0.15">
      <c r="A11" s="16">
        <v>6006</v>
      </c>
      <c r="C11" s="17" t="s">
        <v>6878</v>
      </c>
      <c r="D11" s="17">
        <v>1</v>
      </c>
      <c r="E11" s="17">
        <v>0</v>
      </c>
      <c r="F11" s="17">
        <v>1</v>
      </c>
      <c r="G11" s="18">
        <v>4</v>
      </c>
      <c r="H11" s="17">
        <v>200</v>
      </c>
      <c r="I11" s="17">
        <v>0</v>
      </c>
      <c r="J11" s="18">
        <v>6012</v>
      </c>
      <c r="K11" s="17">
        <v>0</v>
      </c>
      <c r="L11" s="17">
        <v>60046</v>
      </c>
      <c r="M11" s="17" t="s">
        <v>4818</v>
      </c>
      <c r="N11" s="17">
        <v>596</v>
      </c>
      <c r="O11" s="17" t="s">
        <v>7067</v>
      </c>
      <c r="Q11" s="19"/>
      <c r="R11" s="19"/>
      <c r="S11" s="19"/>
      <c r="T11" s="19"/>
      <c r="U11" s="17">
        <v>1</v>
      </c>
      <c r="V11" s="17">
        <v>1</v>
      </c>
      <c r="W11" s="20">
        <v>5</v>
      </c>
      <c r="Z11" s="21">
        <f>VLOOKUP(G11,Sheet2!A:H,8,0)</f>
        <v>410</v>
      </c>
      <c r="AB11" s="22"/>
      <c r="AC11" s="23">
        <f>VLOOKUP(G11,Sheet2!A$2:K$151,9,FALSE)</f>
        <v>260</v>
      </c>
      <c r="AD11" s="17" t="s">
        <v>7395</v>
      </c>
      <c r="AF11" s="24" t="s">
        <v>6879</v>
      </c>
      <c r="AG11" s="24" t="s">
        <v>6669</v>
      </c>
      <c r="AH11" s="24" t="s">
        <v>6670</v>
      </c>
      <c r="AI11" s="24"/>
      <c r="AJ11" s="24" t="s">
        <v>6791</v>
      </c>
      <c r="AL11" s="18">
        <v>0</v>
      </c>
      <c r="AM11" s="17" t="s">
        <v>7076</v>
      </c>
      <c r="AN11" s="17" t="s">
        <v>7077</v>
      </c>
      <c r="AP11" s="17">
        <v>1</v>
      </c>
      <c r="AQ11" s="17">
        <v>0</v>
      </c>
      <c r="AR11" s="17">
        <v>1</v>
      </c>
      <c r="AS11" s="17">
        <v>1</v>
      </c>
      <c r="AU11" s="17">
        <v>0</v>
      </c>
      <c r="AV11" s="17">
        <f>IF(D11 = 1,1,0)</f>
        <v>1</v>
      </c>
      <c r="AW11" s="17" t="str">
        <f>"{s_taskTalk,{"&amp;L11&amp;","&amp;N11&amp;"}}"</f>
        <v>{s_taskTalk,{60046,596}}</v>
      </c>
    </row>
    <row r="12" spans="1:51" s="17" customFormat="1" ht="72" x14ac:dyDescent="0.15">
      <c r="A12" s="16">
        <v>6007</v>
      </c>
      <c r="C12" s="25" t="s">
        <v>6634</v>
      </c>
      <c r="D12" s="17">
        <v>1</v>
      </c>
      <c r="E12" s="17">
        <v>0</v>
      </c>
      <c r="F12" s="17">
        <v>1</v>
      </c>
      <c r="G12" s="18">
        <v>4</v>
      </c>
      <c r="H12" s="17">
        <v>200</v>
      </c>
      <c r="I12" s="17">
        <v>0</v>
      </c>
      <c r="J12" s="18">
        <v>6006</v>
      </c>
      <c r="K12" s="17">
        <v>0</v>
      </c>
      <c r="L12" s="17">
        <v>596</v>
      </c>
      <c r="M12" s="17" t="s">
        <v>7067</v>
      </c>
      <c r="N12" s="17">
        <v>60200</v>
      </c>
      <c r="O12" s="17" t="s">
        <v>4820</v>
      </c>
      <c r="Q12" s="19"/>
      <c r="R12" s="19"/>
      <c r="S12" s="19">
        <v>10104</v>
      </c>
      <c r="T12" s="19"/>
      <c r="U12" s="17">
        <v>2</v>
      </c>
      <c r="V12" s="17">
        <v>0</v>
      </c>
      <c r="W12" s="20">
        <v>5</v>
      </c>
      <c r="Z12" s="21">
        <f>VLOOKUP(G12,Sheet2!A:H,8,0)</f>
        <v>410</v>
      </c>
      <c r="AB12" s="22"/>
      <c r="AC12" s="23">
        <f>VLOOKUP(G12,Sheet2!A$2:K$151,9,FALSE)</f>
        <v>260</v>
      </c>
      <c r="AD12" s="17" t="s">
        <v>7408</v>
      </c>
      <c r="AF12" s="24" t="s">
        <v>6640</v>
      </c>
      <c r="AG12" s="24" t="s">
        <v>6635</v>
      </c>
      <c r="AH12" s="24" t="s">
        <v>6781</v>
      </c>
      <c r="AI12" s="24" t="s">
        <v>6636</v>
      </c>
      <c r="AJ12" s="24" t="s">
        <v>6792</v>
      </c>
      <c r="AL12" s="18">
        <v>0</v>
      </c>
      <c r="AM12" s="17" t="s">
        <v>6182</v>
      </c>
      <c r="AN12" s="17" t="s">
        <v>6641</v>
      </c>
      <c r="AP12" s="17">
        <v>1</v>
      </c>
      <c r="AQ12" s="17">
        <v>0</v>
      </c>
      <c r="AR12" s="17">
        <v>1</v>
      </c>
      <c r="AS12" s="17">
        <v>1</v>
      </c>
      <c r="AU12" s="17">
        <v>0</v>
      </c>
      <c r="AV12" s="17">
        <f t="shared" si="1"/>
        <v>1</v>
      </c>
      <c r="AW12" s="17" t="str">
        <f>"{s_taskKillNpc, {"&amp;L12&amp;","&amp;N12&amp;","&amp;S12&amp;","&amp;U12&amp;"}}"</f>
        <v>{s_taskKillNpc, {596,60200,10104,2}}</v>
      </c>
    </row>
    <row r="13" spans="1:51" s="17" customFormat="1" ht="72" x14ac:dyDescent="0.15">
      <c r="A13" s="16">
        <v>6008</v>
      </c>
      <c r="C13" s="17" t="s">
        <v>6881</v>
      </c>
      <c r="D13" s="17">
        <v>1</v>
      </c>
      <c r="E13" s="17">
        <v>0</v>
      </c>
      <c r="F13" s="17">
        <v>1</v>
      </c>
      <c r="G13" s="18">
        <v>5</v>
      </c>
      <c r="H13" s="17">
        <v>200</v>
      </c>
      <c r="I13" s="17">
        <v>0</v>
      </c>
      <c r="J13" s="18">
        <v>6007</v>
      </c>
      <c r="K13" s="17">
        <v>0</v>
      </c>
      <c r="L13" s="17">
        <v>60200</v>
      </c>
      <c r="M13" s="17" t="s">
        <v>4820</v>
      </c>
      <c r="N13" s="26">
        <v>60200</v>
      </c>
      <c r="O13" s="26" t="s">
        <v>5092</v>
      </c>
      <c r="Q13" s="19">
        <v>2001</v>
      </c>
      <c r="R13" s="19"/>
      <c r="S13" s="19"/>
      <c r="T13" s="19"/>
      <c r="U13" s="17">
        <v>1</v>
      </c>
      <c r="V13" s="17">
        <v>0</v>
      </c>
      <c r="W13" s="20">
        <v>5</v>
      </c>
      <c r="Z13" s="21">
        <f>VLOOKUP(G13,Sheet2!A:H,8,0)</f>
        <v>484</v>
      </c>
      <c r="AB13" s="22"/>
      <c r="AC13" s="23">
        <f>VLOOKUP(G13,Sheet2!A$2:K$151,9,FALSE)</f>
        <v>280</v>
      </c>
      <c r="AD13" s="17" t="s">
        <v>7396</v>
      </c>
      <c r="AF13" s="24" t="s">
        <v>6882</v>
      </c>
      <c r="AG13" s="24" t="s">
        <v>6637</v>
      </c>
      <c r="AH13" s="24" t="s">
        <v>6638</v>
      </c>
      <c r="AI13" s="24" t="s">
        <v>6639</v>
      </c>
      <c r="AJ13" s="24" t="s">
        <v>6793</v>
      </c>
      <c r="AL13" s="18">
        <v>0</v>
      </c>
      <c r="AM13" s="17" t="s">
        <v>5320</v>
      </c>
      <c r="AN13" s="17" t="s">
        <v>5389</v>
      </c>
      <c r="AO13" s="27" t="s">
        <v>4869</v>
      </c>
      <c r="AP13" s="17">
        <v>1</v>
      </c>
      <c r="AQ13" s="17">
        <v>0</v>
      </c>
      <c r="AR13" s="17">
        <v>1</v>
      </c>
      <c r="AS13" s="17">
        <v>1</v>
      </c>
      <c r="AU13" s="17">
        <v>0</v>
      </c>
      <c r="AV13" s="17">
        <f t="shared" si="1"/>
        <v>1</v>
      </c>
      <c r="AW13" s="17" t="str">
        <f t="shared" ref="AW13" si="6">"{s_taskTalk,{"&amp;L13&amp;","&amp;N13&amp;"}}"</f>
        <v>{s_taskTalk,{60200,60200}}</v>
      </c>
    </row>
    <row r="14" spans="1:51" s="17" customFormat="1" ht="72" x14ac:dyDescent="0.15">
      <c r="A14" s="16">
        <v>6009</v>
      </c>
      <c r="C14" s="17" t="s">
        <v>6672</v>
      </c>
      <c r="D14" s="17">
        <v>1</v>
      </c>
      <c r="E14" s="17">
        <v>0</v>
      </c>
      <c r="F14" s="17">
        <v>1</v>
      </c>
      <c r="G14" s="18">
        <v>5</v>
      </c>
      <c r="H14" s="17">
        <v>200</v>
      </c>
      <c r="I14" s="17">
        <v>0</v>
      </c>
      <c r="J14" s="18">
        <v>6008</v>
      </c>
      <c r="K14" s="17">
        <v>0</v>
      </c>
      <c r="L14" s="17">
        <v>60200</v>
      </c>
      <c r="M14" s="17" t="s">
        <v>4820</v>
      </c>
      <c r="N14" s="17">
        <v>60046</v>
      </c>
      <c r="O14" s="17" t="s">
        <v>4818</v>
      </c>
      <c r="Q14" s="19"/>
      <c r="R14" s="19"/>
      <c r="S14" s="19"/>
      <c r="T14" s="19"/>
      <c r="U14" s="17">
        <v>1</v>
      </c>
      <c r="V14" s="17">
        <v>1</v>
      </c>
      <c r="W14" s="20">
        <v>5</v>
      </c>
      <c r="Z14" s="21">
        <f>VLOOKUP(G14,Sheet2!A:H,8,0)</f>
        <v>484</v>
      </c>
      <c r="AB14" s="22"/>
      <c r="AC14" s="23">
        <f>VLOOKUP(G14,Sheet2!A$2:K$151,9,FALSE)</f>
        <v>280</v>
      </c>
      <c r="AD14" s="17" t="s">
        <v>7397</v>
      </c>
      <c r="AF14" s="24" t="s">
        <v>9038</v>
      </c>
      <c r="AG14" s="24" t="s">
        <v>9039</v>
      </c>
      <c r="AH14" s="24" t="s">
        <v>6673</v>
      </c>
      <c r="AI14" s="24"/>
      <c r="AJ14" s="24" t="s">
        <v>9040</v>
      </c>
      <c r="AL14" s="18">
        <v>0</v>
      </c>
      <c r="AM14" s="17" t="s">
        <v>6674</v>
      </c>
      <c r="AN14" s="17" t="s">
        <v>6675</v>
      </c>
      <c r="AO14" s="27"/>
      <c r="AP14" s="17">
        <v>1</v>
      </c>
      <c r="AQ14" s="17">
        <v>0</v>
      </c>
      <c r="AR14" s="17">
        <v>1</v>
      </c>
      <c r="AS14" s="17">
        <v>1</v>
      </c>
      <c r="AU14" s="17">
        <v>0</v>
      </c>
      <c r="AV14" s="17">
        <f t="shared" si="1"/>
        <v>1</v>
      </c>
      <c r="AW14" s="17" t="str">
        <f t="shared" ref="AW14:AW16" si="7">"{s_taskTalk,{"&amp;L14&amp;","&amp;N14&amp;"}}"</f>
        <v>{s_taskTalk,{60200,60046}}</v>
      </c>
    </row>
    <row r="15" spans="1:51" s="17" customFormat="1" ht="84" x14ac:dyDescent="0.15">
      <c r="A15" s="16">
        <v>6013</v>
      </c>
      <c r="C15" s="17" t="s">
        <v>6671</v>
      </c>
      <c r="D15" s="17">
        <v>1</v>
      </c>
      <c r="E15" s="17">
        <v>0</v>
      </c>
      <c r="F15" s="17">
        <v>1</v>
      </c>
      <c r="G15" s="18">
        <v>6</v>
      </c>
      <c r="H15" s="17">
        <v>200</v>
      </c>
      <c r="I15" s="17">
        <v>0</v>
      </c>
      <c r="J15" s="18">
        <v>6009</v>
      </c>
      <c r="K15" s="17">
        <v>0</v>
      </c>
      <c r="L15" s="17">
        <v>60046</v>
      </c>
      <c r="M15" s="17" t="s">
        <v>4818</v>
      </c>
      <c r="N15" s="17">
        <v>60046</v>
      </c>
      <c r="O15" s="17" t="s">
        <v>5096</v>
      </c>
      <c r="Q15" s="19">
        <v>2003</v>
      </c>
      <c r="R15" s="19"/>
      <c r="S15" s="19"/>
      <c r="T15" s="19"/>
      <c r="U15" s="17">
        <v>1</v>
      </c>
      <c r="V15" s="17">
        <v>0</v>
      </c>
      <c r="W15" s="20">
        <v>5</v>
      </c>
      <c r="Z15" s="21">
        <f>VLOOKUP(G15,Sheet2!A:H,8,0)</f>
        <v>571</v>
      </c>
      <c r="AB15" s="22"/>
      <c r="AC15" s="23">
        <f>VLOOKUP(G15,Sheet2!A$2:K$151,9,FALSE)</f>
        <v>300</v>
      </c>
      <c r="AF15" s="24" t="s">
        <v>9041</v>
      </c>
      <c r="AG15" s="24" t="s">
        <v>9042</v>
      </c>
      <c r="AH15" s="24" t="s">
        <v>6621</v>
      </c>
      <c r="AI15" s="24" t="s">
        <v>6622</v>
      </c>
      <c r="AJ15" s="24" t="s">
        <v>9043</v>
      </c>
      <c r="AL15" s="18">
        <v>0</v>
      </c>
      <c r="AM15" s="17" t="s">
        <v>6648</v>
      </c>
      <c r="AN15" s="17" t="s">
        <v>5393</v>
      </c>
      <c r="AO15" s="27" t="s">
        <v>6213</v>
      </c>
      <c r="AP15" s="17">
        <v>1</v>
      </c>
      <c r="AQ15" s="17">
        <v>0</v>
      </c>
      <c r="AR15" s="17">
        <v>1</v>
      </c>
      <c r="AS15" s="17">
        <v>1</v>
      </c>
      <c r="AU15" s="17">
        <v>0</v>
      </c>
      <c r="AV15" s="17">
        <f>IF(D15 = 1,1,0)</f>
        <v>1</v>
      </c>
      <c r="AW15" s="17" t="str">
        <f t="shared" ref="AW15" si="8">"{s_taskTalk,{"&amp;L15&amp;","&amp;N15&amp;"}}"</f>
        <v>{s_taskTalk,{60046,60046}}</v>
      </c>
    </row>
    <row r="16" spans="1:51" s="17" customFormat="1" ht="72" x14ac:dyDescent="0.15">
      <c r="A16" s="16">
        <v>6010</v>
      </c>
      <c r="C16" s="17" t="s">
        <v>6626</v>
      </c>
      <c r="D16" s="17">
        <v>1</v>
      </c>
      <c r="E16" s="17">
        <v>0</v>
      </c>
      <c r="F16" s="17">
        <v>1</v>
      </c>
      <c r="G16" s="18">
        <v>6</v>
      </c>
      <c r="H16" s="17">
        <v>200</v>
      </c>
      <c r="I16" s="17">
        <v>0</v>
      </c>
      <c r="J16" s="18">
        <v>6013</v>
      </c>
      <c r="K16" s="17">
        <v>0</v>
      </c>
      <c r="L16" s="17">
        <v>60046</v>
      </c>
      <c r="M16" s="17" t="s">
        <v>5096</v>
      </c>
      <c r="N16" s="17">
        <v>60031</v>
      </c>
      <c r="O16" s="17" t="s">
        <v>5093</v>
      </c>
      <c r="Q16" s="19"/>
      <c r="R16" s="19"/>
      <c r="S16" s="19"/>
      <c r="T16" s="19"/>
      <c r="U16" s="17">
        <v>1</v>
      </c>
      <c r="V16" s="17">
        <v>1</v>
      </c>
      <c r="W16" s="20">
        <v>5</v>
      </c>
      <c r="Z16" s="21">
        <f>VLOOKUP(G16,Sheet2!A:H,8,0)</f>
        <v>571</v>
      </c>
      <c r="AB16" s="22"/>
      <c r="AC16" s="23">
        <f>VLOOKUP(G16,Sheet2!A$2:K$151,9,FALSE)</f>
        <v>300</v>
      </c>
      <c r="AF16" s="24" t="s">
        <v>7121</v>
      </c>
      <c r="AG16" s="24" t="s">
        <v>7122</v>
      </c>
      <c r="AH16" s="24" t="s">
        <v>6198</v>
      </c>
      <c r="AI16" s="24"/>
      <c r="AJ16" s="24" t="s">
        <v>6794</v>
      </c>
      <c r="AL16" s="18">
        <v>0</v>
      </c>
      <c r="AM16" s="17" t="s">
        <v>7127</v>
      </c>
      <c r="AN16" s="17" t="s">
        <v>5390</v>
      </c>
      <c r="AP16" s="17">
        <v>1</v>
      </c>
      <c r="AQ16" s="17">
        <v>0</v>
      </c>
      <c r="AR16" s="17">
        <v>1</v>
      </c>
      <c r="AS16" s="17">
        <v>1</v>
      </c>
      <c r="AU16" s="17">
        <v>0</v>
      </c>
      <c r="AV16" s="17">
        <f t="shared" si="1"/>
        <v>1</v>
      </c>
      <c r="AW16" s="17" t="str">
        <f t="shared" si="7"/>
        <v>{s_taskTalk,{60046,60031}}</v>
      </c>
    </row>
    <row r="17" spans="1:49" s="17" customFormat="1" ht="72" x14ac:dyDescent="0.15">
      <c r="A17" s="16">
        <v>6011</v>
      </c>
      <c r="C17" s="25" t="s">
        <v>6642</v>
      </c>
      <c r="D17" s="17">
        <v>1</v>
      </c>
      <c r="E17" s="17">
        <v>0</v>
      </c>
      <c r="F17" s="17">
        <v>1</v>
      </c>
      <c r="G17" s="18">
        <v>7</v>
      </c>
      <c r="H17" s="17">
        <v>200</v>
      </c>
      <c r="I17" s="17">
        <v>0</v>
      </c>
      <c r="J17" s="18">
        <v>6010</v>
      </c>
      <c r="K17" s="17">
        <v>0</v>
      </c>
      <c r="L17" s="17">
        <v>60031</v>
      </c>
      <c r="M17" s="17" t="s">
        <v>4821</v>
      </c>
      <c r="N17" s="17">
        <v>60031</v>
      </c>
      <c r="O17" s="17" t="s">
        <v>5094</v>
      </c>
      <c r="Q17" s="19"/>
      <c r="R17" s="19"/>
      <c r="S17" s="19">
        <v>10105</v>
      </c>
      <c r="T17" s="19"/>
      <c r="U17" s="17">
        <v>3</v>
      </c>
      <c r="V17" s="17">
        <v>0</v>
      </c>
      <c r="W17" s="20">
        <v>5</v>
      </c>
      <c r="Z17" s="21">
        <f>VLOOKUP(G17,Sheet2!A:H,8,0)</f>
        <v>674</v>
      </c>
      <c r="AB17" s="22"/>
      <c r="AC17" s="23">
        <f>VLOOKUP(G17,Sheet2!A$2:K$151,9,FALSE)</f>
        <v>320</v>
      </c>
      <c r="AF17" s="24" t="s">
        <v>6643</v>
      </c>
      <c r="AG17" s="24" t="s">
        <v>6644</v>
      </c>
      <c r="AH17" s="24" t="s">
        <v>6645</v>
      </c>
      <c r="AI17" s="24" t="s">
        <v>6646</v>
      </c>
      <c r="AJ17" s="24" t="s">
        <v>7082</v>
      </c>
      <c r="AL17" s="18">
        <v>0</v>
      </c>
      <c r="AM17" s="17" t="s">
        <v>6183</v>
      </c>
      <c r="AN17" s="17" t="s">
        <v>5391</v>
      </c>
      <c r="AP17" s="17">
        <v>1</v>
      </c>
      <c r="AQ17" s="17">
        <v>0</v>
      </c>
      <c r="AR17" s="17">
        <v>1</v>
      </c>
      <c r="AS17" s="17">
        <v>1</v>
      </c>
      <c r="AU17" s="17">
        <v>0</v>
      </c>
      <c r="AV17" s="17">
        <f t="shared" si="1"/>
        <v>1</v>
      </c>
      <c r="AW17" s="17" t="str">
        <f>"{s_taskKillNpc, {"&amp;L17&amp;","&amp;N17&amp;","&amp;S17&amp;","&amp;U17&amp;"}}"</f>
        <v>{s_taskKillNpc, {60031,60031,10105,3}}</v>
      </c>
    </row>
    <row r="18" spans="1:49" s="17" customFormat="1" ht="72" x14ac:dyDescent="0.15">
      <c r="A18" s="16">
        <v>7011</v>
      </c>
      <c r="C18" s="25" t="s">
        <v>6642</v>
      </c>
      <c r="D18" s="17">
        <v>1</v>
      </c>
      <c r="E18" s="17">
        <v>0</v>
      </c>
      <c r="F18" s="17">
        <v>1</v>
      </c>
      <c r="G18" s="18">
        <v>7</v>
      </c>
      <c r="H18" s="17">
        <v>200</v>
      </c>
      <c r="I18" s="17">
        <v>0</v>
      </c>
      <c r="J18" s="18">
        <v>6010</v>
      </c>
      <c r="K18" s="17">
        <v>0</v>
      </c>
      <c r="L18" s="17">
        <v>60031</v>
      </c>
      <c r="M18" s="17" t="s">
        <v>4821</v>
      </c>
      <c r="N18" s="17">
        <v>60031</v>
      </c>
      <c r="O18" s="17" t="s">
        <v>5094</v>
      </c>
      <c r="Q18" s="19"/>
      <c r="R18" s="19"/>
      <c r="S18" s="19">
        <v>10105</v>
      </c>
      <c r="T18" s="19"/>
      <c r="U18" s="17">
        <v>3</v>
      </c>
      <c r="V18" s="17">
        <v>0</v>
      </c>
      <c r="W18" s="20">
        <v>5</v>
      </c>
      <c r="Z18" s="21">
        <f>VLOOKUP(G18,Sheet2!A:H,8,0)</f>
        <v>674</v>
      </c>
      <c r="AB18" s="22"/>
      <c r="AC18" s="23">
        <f>VLOOKUP(G18,Sheet2!A$2:K$151,9,FALSE)</f>
        <v>320</v>
      </c>
      <c r="AF18" s="24" t="s">
        <v>6643</v>
      </c>
      <c r="AG18" s="24" t="s">
        <v>6644</v>
      </c>
      <c r="AH18" s="24" t="s">
        <v>6645</v>
      </c>
      <c r="AI18" s="24" t="s">
        <v>6646</v>
      </c>
      <c r="AJ18" s="24" t="s">
        <v>6795</v>
      </c>
      <c r="AL18" s="18">
        <v>0</v>
      </c>
      <c r="AM18" s="17" t="s">
        <v>7126</v>
      </c>
      <c r="AN18" s="17" t="s">
        <v>6217</v>
      </c>
      <c r="AP18" s="17">
        <v>0</v>
      </c>
      <c r="AQ18" s="17">
        <v>0</v>
      </c>
      <c r="AR18" s="17">
        <v>1</v>
      </c>
      <c r="AS18" s="17">
        <v>1</v>
      </c>
      <c r="AU18" s="17">
        <v>0</v>
      </c>
      <c r="AV18" s="17">
        <f t="shared" ref="AV18:AV19" si="9">IF(D18 = 1,1,0)</f>
        <v>1</v>
      </c>
      <c r="AW18" s="17" t="str">
        <f t="shared" ref="AW18:AW19" si="10">"{s_taskKillNpc, {"&amp;L18&amp;","&amp;N18&amp;","&amp;S18&amp;","&amp;U18&amp;"}}"</f>
        <v>{s_taskKillNpc, {60031,60031,10105,3}}</v>
      </c>
    </row>
    <row r="19" spans="1:49" s="17" customFormat="1" ht="72" x14ac:dyDescent="0.15">
      <c r="A19" s="16">
        <v>7012</v>
      </c>
      <c r="C19" s="25" t="s">
        <v>6642</v>
      </c>
      <c r="D19" s="17">
        <v>1</v>
      </c>
      <c r="E19" s="17">
        <v>0</v>
      </c>
      <c r="F19" s="17">
        <v>1</v>
      </c>
      <c r="G19" s="18">
        <v>7</v>
      </c>
      <c r="H19" s="17">
        <v>200</v>
      </c>
      <c r="I19" s="17">
        <v>0</v>
      </c>
      <c r="J19" s="18">
        <v>6010</v>
      </c>
      <c r="K19" s="17">
        <v>0</v>
      </c>
      <c r="L19" s="17">
        <v>60031</v>
      </c>
      <c r="M19" s="17" t="s">
        <v>4821</v>
      </c>
      <c r="N19" s="17">
        <v>60031</v>
      </c>
      <c r="O19" s="17" t="s">
        <v>5094</v>
      </c>
      <c r="Q19" s="19"/>
      <c r="R19" s="19"/>
      <c r="S19" s="19">
        <v>10105</v>
      </c>
      <c r="T19" s="19"/>
      <c r="U19" s="17">
        <v>3</v>
      </c>
      <c r="V19" s="17">
        <v>0</v>
      </c>
      <c r="W19" s="20">
        <v>5</v>
      </c>
      <c r="Z19" s="21">
        <f>VLOOKUP(G19,Sheet2!A:H,8,0)</f>
        <v>674</v>
      </c>
      <c r="AB19" s="22"/>
      <c r="AC19" s="23">
        <f>VLOOKUP(G19,Sheet2!A$2:K$151,9,FALSE)</f>
        <v>320</v>
      </c>
      <c r="AF19" s="24" t="s">
        <v>6643</v>
      </c>
      <c r="AG19" s="24" t="s">
        <v>6644</v>
      </c>
      <c r="AH19" s="24" t="s">
        <v>6645</v>
      </c>
      <c r="AI19" s="24" t="s">
        <v>6646</v>
      </c>
      <c r="AJ19" s="24" t="s">
        <v>6795</v>
      </c>
      <c r="AL19" s="18">
        <v>0</v>
      </c>
      <c r="AM19" s="17" t="s">
        <v>6218</v>
      </c>
      <c r="AN19" s="17" t="s">
        <v>6219</v>
      </c>
      <c r="AP19" s="17">
        <v>0</v>
      </c>
      <c r="AQ19" s="17">
        <v>0</v>
      </c>
      <c r="AR19" s="17">
        <v>1</v>
      </c>
      <c r="AS19" s="17">
        <v>1</v>
      </c>
      <c r="AU19" s="17">
        <v>0</v>
      </c>
      <c r="AV19" s="17">
        <f t="shared" si="9"/>
        <v>1</v>
      </c>
      <c r="AW19" s="17" t="str">
        <f t="shared" si="10"/>
        <v>{s_taskKillNpc, {60031,60031,10105,3}}</v>
      </c>
    </row>
    <row r="20" spans="1:49" s="17" customFormat="1" ht="72" x14ac:dyDescent="0.15">
      <c r="A20" s="16">
        <v>6017</v>
      </c>
      <c r="C20" s="17" t="s">
        <v>7414</v>
      </c>
      <c r="D20" s="17">
        <v>1</v>
      </c>
      <c r="E20" s="17">
        <v>0</v>
      </c>
      <c r="F20" s="17">
        <v>1</v>
      </c>
      <c r="G20" s="18">
        <v>7</v>
      </c>
      <c r="H20" s="17">
        <v>200</v>
      </c>
      <c r="I20" s="17">
        <v>0</v>
      </c>
      <c r="J20" s="18">
        <v>6011</v>
      </c>
      <c r="K20" s="17">
        <v>0</v>
      </c>
      <c r="L20" s="17">
        <v>60031</v>
      </c>
      <c r="M20" s="17" t="s">
        <v>4821</v>
      </c>
      <c r="N20" s="17">
        <v>60045</v>
      </c>
      <c r="O20" s="17" t="s">
        <v>5089</v>
      </c>
      <c r="Q20" s="19"/>
      <c r="R20" s="19"/>
      <c r="S20" s="19"/>
      <c r="T20" s="19"/>
      <c r="U20" s="17">
        <v>1</v>
      </c>
      <c r="V20" s="17">
        <v>1</v>
      </c>
      <c r="W20" s="20">
        <v>5</v>
      </c>
      <c r="Z20" s="21">
        <f>VLOOKUP(G20,Sheet2!A:H,8,0)</f>
        <v>674</v>
      </c>
      <c r="AB20" s="22"/>
      <c r="AC20" s="23">
        <f>VLOOKUP(G20,Sheet2!A$2:K$151,9,FALSE)</f>
        <v>320</v>
      </c>
      <c r="AD20" s="17" t="s">
        <v>7409</v>
      </c>
      <c r="AF20" s="24" t="s">
        <v>7416</v>
      </c>
      <c r="AG20" s="24" t="s">
        <v>7417</v>
      </c>
      <c r="AH20" s="24" t="s">
        <v>4879</v>
      </c>
      <c r="AI20" s="24"/>
      <c r="AJ20" s="24" t="s">
        <v>7418</v>
      </c>
      <c r="AL20" s="18">
        <v>0</v>
      </c>
      <c r="AM20" s="17" t="s">
        <v>7419</v>
      </c>
      <c r="AN20" s="17" t="s">
        <v>7420</v>
      </c>
      <c r="AP20" s="17">
        <v>1</v>
      </c>
      <c r="AQ20" s="17">
        <v>0</v>
      </c>
      <c r="AR20" s="17">
        <v>1</v>
      </c>
      <c r="AS20" s="17">
        <v>1</v>
      </c>
      <c r="AU20" s="17">
        <v>0</v>
      </c>
      <c r="AV20" s="17">
        <f>IF(D20 = 1,1,0)</f>
        <v>1</v>
      </c>
      <c r="AW20" s="17" t="str">
        <f t="shared" ref="AW20" si="11">"{s_taskTalk,{"&amp;L20&amp;","&amp;N20&amp;"}}"</f>
        <v>{s_taskTalk,{60031,60045}}</v>
      </c>
    </row>
    <row r="21" spans="1:49" s="17" customFormat="1" ht="72" x14ac:dyDescent="0.15">
      <c r="A21" s="16">
        <v>6018</v>
      </c>
      <c r="C21" s="17" t="s">
        <v>7415</v>
      </c>
      <c r="D21" s="17">
        <v>1</v>
      </c>
      <c r="E21" s="17">
        <v>0</v>
      </c>
      <c r="F21" s="17">
        <v>1</v>
      </c>
      <c r="G21" s="18">
        <v>8</v>
      </c>
      <c r="H21" s="17">
        <v>200</v>
      </c>
      <c r="I21" s="17">
        <v>0</v>
      </c>
      <c r="J21" s="18">
        <v>6017</v>
      </c>
      <c r="K21" s="17">
        <v>0</v>
      </c>
      <c r="L21" s="17">
        <v>60045</v>
      </c>
      <c r="M21" s="17" t="s">
        <v>5089</v>
      </c>
      <c r="N21" s="17">
        <v>60045</v>
      </c>
      <c r="O21" s="17" t="s">
        <v>5089</v>
      </c>
      <c r="Q21" s="19"/>
      <c r="R21" s="19"/>
      <c r="S21" s="19"/>
      <c r="T21" s="19"/>
      <c r="U21" s="17">
        <v>2</v>
      </c>
      <c r="V21" s="17">
        <v>0</v>
      </c>
      <c r="W21" s="20">
        <v>5</v>
      </c>
      <c r="Z21" s="21">
        <f>VLOOKUP(G21,Sheet2!A:H,8,0)</f>
        <v>796</v>
      </c>
      <c r="AB21" s="22"/>
      <c r="AC21" s="23">
        <f>VLOOKUP(G21,Sheet2!A$2:K$151,9,FALSE)</f>
        <v>340</v>
      </c>
      <c r="AF21" s="24" t="s">
        <v>7423</v>
      </c>
      <c r="AG21" s="24" t="s">
        <v>7421</v>
      </c>
      <c r="AH21" s="24" t="s">
        <v>7422</v>
      </c>
      <c r="AI21" s="24"/>
      <c r="AJ21" s="24" t="s">
        <v>7084</v>
      </c>
      <c r="AL21" s="18">
        <v>0</v>
      </c>
      <c r="AM21" s="17" t="s">
        <v>7424</v>
      </c>
      <c r="AN21" s="17" t="s">
        <v>7428</v>
      </c>
      <c r="AP21" s="17">
        <v>1</v>
      </c>
      <c r="AQ21" s="17">
        <v>0</v>
      </c>
      <c r="AR21" s="17">
        <v>1</v>
      </c>
      <c r="AS21" s="17">
        <v>1</v>
      </c>
      <c r="AU21" s="17">
        <v>0</v>
      </c>
      <c r="AV21" s="17">
        <f>IF(D21 = 1,1,0)</f>
        <v>1</v>
      </c>
      <c r="AW21" s="17" t="str">
        <f t="shared" ref="AW21" si="12">"{s_taskTalk,{"&amp;L21&amp;","&amp;N21&amp;"}}"</f>
        <v>{s_taskTalk,{60045,60045}}</v>
      </c>
    </row>
    <row r="22" spans="1:49" s="17" customFormat="1" ht="72" x14ac:dyDescent="0.15">
      <c r="A22" s="16">
        <v>7018</v>
      </c>
      <c r="C22" s="17" t="s">
        <v>7415</v>
      </c>
      <c r="D22" s="17">
        <v>1</v>
      </c>
      <c r="E22" s="17">
        <v>0</v>
      </c>
      <c r="F22" s="17">
        <v>1</v>
      </c>
      <c r="G22" s="18">
        <v>8</v>
      </c>
      <c r="H22" s="17">
        <v>200</v>
      </c>
      <c r="I22" s="17">
        <v>0</v>
      </c>
      <c r="J22" s="18">
        <v>6017</v>
      </c>
      <c r="K22" s="17">
        <v>0</v>
      </c>
      <c r="L22" s="17">
        <v>60045</v>
      </c>
      <c r="M22" s="17" t="s">
        <v>5089</v>
      </c>
      <c r="N22" s="17">
        <v>60045</v>
      </c>
      <c r="O22" s="17" t="s">
        <v>5089</v>
      </c>
      <c r="Q22" s="19"/>
      <c r="R22" s="19"/>
      <c r="S22" s="19"/>
      <c r="T22" s="19"/>
      <c r="U22" s="17">
        <v>2</v>
      </c>
      <c r="V22" s="17">
        <v>0</v>
      </c>
      <c r="W22" s="20">
        <v>5</v>
      </c>
      <c r="Z22" s="21">
        <f>VLOOKUP(G22,Sheet2!A:H,8,0)</f>
        <v>796</v>
      </c>
      <c r="AB22" s="22"/>
      <c r="AC22" s="23">
        <f>VLOOKUP(G22,Sheet2!A$2:K$151,9,FALSE)</f>
        <v>340</v>
      </c>
      <c r="AD22" s="17" t="s">
        <v>7401</v>
      </c>
      <c r="AF22" s="24" t="s">
        <v>7423</v>
      </c>
      <c r="AG22" s="24" t="s">
        <v>6201</v>
      </c>
      <c r="AH22" s="24" t="s">
        <v>6596</v>
      </c>
      <c r="AI22" s="24"/>
      <c r="AJ22" s="24" t="s">
        <v>7084</v>
      </c>
      <c r="AL22" s="18">
        <v>0</v>
      </c>
      <c r="AM22" s="17" t="s">
        <v>7425</v>
      </c>
      <c r="AN22" s="17" t="s">
        <v>7429</v>
      </c>
      <c r="AP22" s="17">
        <v>0</v>
      </c>
      <c r="AQ22" s="17">
        <v>0</v>
      </c>
      <c r="AR22" s="17">
        <v>1</v>
      </c>
      <c r="AS22" s="17">
        <v>1</v>
      </c>
      <c r="AU22" s="17">
        <v>0</v>
      </c>
      <c r="AV22" s="17">
        <f t="shared" ref="AV22:AV24" si="13">IF(D22 = 1,1,0)</f>
        <v>1</v>
      </c>
      <c r="AW22" s="17" t="str">
        <f t="shared" ref="AW22:AW24" si="14">"{s_taskTalk,{"&amp;L22&amp;","&amp;N22&amp;"}}"</f>
        <v>{s_taskTalk,{60045,60045}}</v>
      </c>
    </row>
    <row r="23" spans="1:49" s="17" customFormat="1" ht="72" x14ac:dyDescent="0.15">
      <c r="A23" s="16">
        <v>7019</v>
      </c>
      <c r="C23" s="17" t="s">
        <v>7415</v>
      </c>
      <c r="D23" s="17">
        <v>1</v>
      </c>
      <c r="E23" s="17">
        <v>0</v>
      </c>
      <c r="F23" s="17">
        <v>1</v>
      </c>
      <c r="G23" s="18">
        <v>8</v>
      </c>
      <c r="H23" s="17">
        <v>200</v>
      </c>
      <c r="I23" s="17">
        <v>0</v>
      </c>
      <c r="J23" s="18">
        <v>6017</v>
      </c>
      <c r="K23" s="17">
        <v>0</v>
      </c>
      <c r="L23" s="17">
        <v>60045</v>
      </c>
      <c r="M23" s="17" t="s">
        <v>5089</v>
      </c>
      <c r="N23" s="17">
        <v>60045</v>
      </c>
      <c r="O23" s="17" t="s">
        <v>5089</v>
      </c>
      <c r="Q23" s="19"/>
      <c r="R23" s="19"/>
      <c r="S23" s="19"/>
      <c r="T23" s="19"/>
      <c r="U23" s="17">
        <v>2</v>
      </c>
      <c r="V23" s="17">
        <v>0</v>
      </c>
      <c r="W23" s="20">
        <v>5</v>
      </c>
      <c r="Z23" s="21">
        <f>VLOOKUP(G23,Sheet2!A:H,8,0)</f>
        <v>796</v>
      </c>
      <c r="AB23" s="22"/>
      <c r="AC23" s="23">
        <f>VLOOKUP(G23,Sheet2!A$2:K$151,9,FALSE)</f>
        <v>340</v>
      </c>
      <c r="AD23" s="17" t="s">
        <v>7401</v>
      </c>
      <c r="AF23" s="24" t="s">
        <v>7423</v>
      </c>
      <c r="AG23" s="24" t="s">
        <v>6201</v>
      </c>
      <c r="AH23" s="24" t="s">
        <v>6596</v>
      </c>
      <c r="AI23" s="24"/>
      <c r="AJ23" s="24" t="s">
        <v>7084</v>
      </c>
      <c r="AL23" s="18">
        <v>0</v>
      </c>
      <c r="AM23" s="17" t="s">
        <v>7426</v>
      </c>
      <c r="AN23" s="17" t="s">
        <v>7430</v>
      </c>
      <c r="AP23" s="17">
        <v>0</v>
      </c>
      <c r="AQ23" s="17">
        <v>0</v>
      </c>
      <c r="AR23" s="17">
        <v>1</v>
      </c>
      <c r="AS23" s="17">
        <v>1</v>
      </c>
      <c r="AU23" s="17">
        <v>0</v>
      </c>
      <c r="AV23" s="17">
        <f t="shared" si="13"/>
        <v>1</v>
      </c>
      <c r="AW23" s="17" t="str">
        <f t="shared" si="14"/>
        <v>{s_taskTalk,{60045,60045}}</v>
      </c>
    </row>
    <row r="24" spans="1:49" s="17" customFormat="1" ht="72" x14ac:dyDescent="0.15">
      <c r="A24" s="16">
        <v>7020</v>
      </c>
      <c r="C24" s="17" t="s">
        <v>7415</v>
      </c>
      <c r="D24" s="17">
        <v>1</v>
      </c>
      <c r="E24" s="17">
        <v>0</v>
      </c>
      <c r="F24" s="17">
        <v>1</v>
      </c>
      <c r="G24" s="18">
        <v>8</v>
      </c>
      <c r="H24" s="17">
        <v>200</v>
      </c>
      <c r="I24" s="17">
        <v>0</v>
      </c>
      <c r="J24" s="18">
        <v>6017</v>
      </c>
      <c r="K24" s="17">
        <v>0</v>
      </c>
      <c r="L24" s="17">
        <v>60045</v>
      </c>
      <c r="M24" s="17" t="s">
        <v>5089</v>
      </c>
      <c r="N24" s="17">
        <v>60045</v>
      </c>
      <c r="O24" s="17" t="s">
        <v>5089</v>
      </c>
      <c r="Q24" s="19">
        <v>2</v>
      </c>
      <c r="R24" s="19"/>
      <c r="S24" s="19"/>
      <c r="T24" s="19"/>
      <c r="U24" s="17">
        <v>2</v>
      </c>
      <c r="V24" s="17">
        <v>0</v>
      </c>
      <c r="W24" s="20">
        <v>5</v>
      </c>
      <c r="Z24" s="21">
        <f>VLOOKUP(G24,Sheet2!A:H,8,0)</f>
        <v>796</v>
      </c>
      <c r="AB24" s="22"/>
      <c r="AC24" s="23">
        <f>VLOOKUP(G24,Sheet2!A$2:K$151,9,FALSE)</f>
        <v>340</v>
      </c>
      <c r="AD24" s="17" t="s">
        <v>7401</v>
      </c>
      <c r="AF24" s="24" t="s">
        <v>7423</v>
      </c>
      <c r="AG24" s="24" t="s">
        <v>6201</v>
      </c>
      <c r="AH24" s="24" t="s">
        <v>6596</v>
      </c>
      <c r="AI24" s="24"/>
      <c r="AJ24" s="24" t="s">
        <v>7084</v>
      </c>
      <c r="AL24" s="18">
        <v>0</v>
      </c>
      <c r="AM24" s="17" t="s">
        <v>7427</v>
      </c>
      <c r="AN24" s="17" t="s">
        <v>7431</v>
      </c>
      <c r="AP24" s="17">
        <v>0</v>
      </c>
      <c r="AQ24" s="17">
        <v>0</v>
      </c>
      <c r="AR24" s="17">
        <v>1</v>
      </c>
      <c r="AS24" s="17">
        <v>1</v>
      </c>
      <c r="AU24" s="17">
        <v>0</v>
      </c>
      <c r="AV24" s="17">
        <f t="shared" si="13"/>
        <v>1</v>
      </c>
      <c r="AW24" s="17" t="str">
        <f t="shared" si="14"/>
        <v>{s_taskTalk,{60045,60045}}</v>
      </c>
    </row>
    <row r="25" spans="1:49" s="17" customFormat="1" ht="72" x14ac:dyDescent="0.15">
      <c r="A25" s="16">
        <v>6014</v>
      </c>
      <c r="C25" s="17" t="s">
        <v>7432</v>
      </c>
      <c r="D25" s="17">
        <v>1</v>
      </c>
      <c r="E25" s="17">
        <v>0</v>
      </c>
      <c r="F25" s="17">
        <v>1</v>
      </c>
      <c r="G25" s="18">
        <v>8</v>
      </c>
      <c r="H25" s="17">
        <v>200</v>
      </c>
      <c r="I25" s="17">
        <v>0</v>
      </c>
      <c r="J25" s="18">
        <v>6018</v>
      </c>
      <c r="K25" s="17">
        <v>0</v>
      </c>
      <c r="L25" s="17">
        <v>60045</v>
      </c>
      <c r="M25" s="17" t="s">
        <v>5089</v>
      </c>
      <c r="N25" s="17">
        <v>60007</v>
      </c>
      <c r="O25" s="17" t="s">
        <v>5091</v>
      </c>
      <c r="Q25" s="19"/>
      <c r="R25" s="19"/>
      <c r="S25" s="19"/>
      <c r="T25" s="19"/>
      <c r="U25" s="17">
        <v>1</v>
      </c>
      <c r="V25" s="17">
        <v>1</v>
      </c>
      <c r="W25" s="20">
        <v>5</v>
      </c>
      <c r="Z25" s="21">
        <f>VLOOKUP(G25,Sheet2!A:H,8,0)</f>
        <v>796</v>
      </c>
      <c r="AB25" s="22"/>
      <c r="AC25" s="23">
        <f>VLOOKUP(G25,Sheet2!A$2:K$151,9,FALSE)</f>
        <v>340</v>
      </c>
      <c r="AF25" s="24" t="s">
        <v>7433</v>
      </c>
      <c r="AG25" s="24" t="s">
        <v>7434</v>
      </c>
      <c r="AH25" s="24" t="s">
        <v>6199</v>
      </c>
      <c r="AI25" s="24"/>
      <c r="AJ25" s="24" t="s">
        <v>6796</v>
      </c>
      <c r="AL25" s="18">
        <v>0</v>
      </c>
      <c r="AM25" s="17" t="s">
        <v>6074</v>
      </c>
      <c r="AN25" s="17" t="s">
        <v>5394</v>
      </c>
      <c r="AP25" s="17">
        <v>1</v>
      </c>
      <c r="AQ25" s="17">
        <v>0</v>
      </c>
      <c r="AR25" s="17">
        <v>1</v>
      </c>
      <c r="AS25" s="17">
        <v>1</v>
      </c>
      <c r="AU25" s="17">
        <v>0</v>
      </c>
      <c r="AV25" s="17">
        <f>IF(D25 = 1,1,0)</f>
        <v>1</v>
      </c>
      <c r="AW25" s="17" t="str">
        <f>"{s_taskTalk,{"&amp;L25&amp;","&amp;N25&amp;"}}"</f>
        <v>{s_taskTalk,{60045,60007}}</v>
      </c>
    </row>
    <row r="26" spans="1:49" s="17" customFormat="1" ht="84" x14ac:dyDescent="0.15">
      <c r="A26" s="16">
        <v>6015</v>
      </c>
      <c r="C26" s="17" t="s">
        <v>7435</v>
      </c>
      <c r="D26" s="17">
        <v>1</v>
      </c>
      <c r="E26" s="17">
        <v>0</v>
      </c>
      <c r="F26" s="17">
        <v>1</v>
      </c>
      <c r="G26" s="18">
        <v>9</v>
      </c>
      <c r="H26" s="17">
        <v>200</v>
      </c>
      <c r="I26" s="17">
        <v>0</v>
      </c>
      <c r="J26" s="18">
        <v>6014</v>
      </c>
      <c r="K26" s="17">
        <v>0</v>
      </c>
      <c r="L26" s="17">
        <v>60007</v>
      </c>
      <c r="M26" s="17" t="s">
        <v>4819</v>
      </c>
      <c r="N26" s="17">
        <v>60007</v>
      </c>
      <c r="O26" s="17" t="s">
        <v>5091</v>
      </c>
      <c r="Q26" s="19">
        <v>2004</v>
      </c>
      <c r="R26" s="19"/>
      <c r="S26" s="19"/>
      <c r="T26" s="19"/>
      <c r="U26" s="17">
        <v>1</v>
      </c>
      <c r="V26" s="17">
        <v>0</v>
      </c>
      <c r="W26" s="20">
        <v>5</v>
      </c>
      <c r="Z26" s="21">
        <f>VLOOKUP(G26,Sheet2!A:H,8,0)</f>
        <v>939</v>
      </c>
      <c r="AB26" s="22"/>
      <c r="AC26" s="23">
        <f>VLOOKUP(G26,Sheet2!A$2:K$151,9,FALSE)</f>
        <v>360</v>
      </c>
      <c r="AF26" s="24" t="s">
        <v>7437</v>
      </c>
      <c r="AG26" s="24" t="s">
        <v>6200</v>
      </c>
      <c r="AH26" s="24" t="s">
        <v>7140</v>
      </c>
      <c r="AI26" s="24" t="s">
        <v>4880</v>
      </c>
      <c r="AJ26" s="24" t="s">
        <v>7083</v>
      </c>
      <c r="AL26" s="18">
        <v>0</v>
      </c>
      <c r="AM26" s="17" t="s">
        <v>4985</v>
      </c>
      <c r="AN26" s="17" t="s">
        <v>5395</v>
      </c>
      <c r="AP26" s="17">
        <v>1</v>
      </c>
      <c r="AQ26" s="17">
        <v>0</v>
      </c>
      <c r="AR26" s="17">
        <v>1</v>
      </c>
      <c r="AS26" s="17">
        <v>1</v>
      </c>
      <c r="AU26" s="17">
        <v>0</v>
      </c>
      <c r="AV26" s="17">
        <f t="shared" si="1"/>
        <v>1</v>
      </c>
      <c r="AW26" s="17" t="str">
        <f t="shared" ref="AW26" si="15">"{s_taskTalk,{"&amp;L26&amp;","&amp;N26&amp;"}}"</f>
        <v>{s_taskTalk,{60007,60007}}</v>
      </c>
    </row>
    <row r="27" spans="1:49" s="17" customFormat="1" ht="84" x14ac:dyDescent="0.15">
      <c r="A27" s="16">
        <v>7015</v>
      </c>
      <c r="C27" s="17" t="s">
        <v>7435</v>
      </c>
      <c r="D27" s="17">
        <v>1</v>
      </c>
      <c r="E27" s="17">
        <v>0</v>
      </c>
      <c r="F27" s="17">
        <v>1</v>
      </c>
      <c r="G27" s="18">
        <v>9</v>
      </c>
      <c r="H27" s="17">
        <v>200</v>
      </c>
      <c r="I27" s="17">
        <v>0</v>
      </c>
      <c r="J27" s="18">
        <v>6014</v>
      </c>
      <c r="K27" s="17">
        <v>0</v>
      </c>
      <c r="L27" s="17">
        <v>60007</v>
      </c>
      <c r="M27" s="17" t="s">
        <v>4819</v>
      </c>
      <c r="N27" s="17">
        <v>60007</v>
      </c>
      <c r="O27" s="17" t="s">
        <v>5091</v>
      </c>
      <c r="Q27" s="19">
        <v>2004</v>
      </c>
      <c r="R27" s="19"/>
      <c r="S27" s="19"/>
      <c r="T27" s="19"/>
      <c r="U27" s="17">
        <v>1</v>
      </c>
      <c r="V27" s="17">
        <v>0</v>
      </c>
      <c r="W27" s="20">
        <v>5</v>
      </c>
      <c r="Z27" s="21">
        <f>VLOOKUP(G27,Sheet2!A:H,8,0)</f>
        <v>939</v>
      </c>
      <c r="AB27" s="22"/>
      <c r="AC27" s="23">
        <f>VLOOKUP(G27,Sheet2!A$2:K$151,9,FALSE)</f>
        <v>360</v>
      </c>
      <c r="AD27" s="17" t="s">
        <v>7398</v>
      </c>
      <c r="AF27" s="24" t="s">
        <v>7437</v>
      </c>
      <c r="AG27" s="24" t="s">
        <v>4878</v>
      </c>
      <c r="AH27" s="24" t="s">
        <v>7140</v>
      </c>
      <c r="AI27" s="24" t="s">
        <v>4880</v>
      </c>
      <c r="AJ27" s="24" t="s">
        <v>7083</v>
      </c>
      <c r="AL27" s="18">
        <v>0</v>
      </c>
      <c r="AM27" s="17" t="s">
        <v>6220</v>
      </c>
      <c r="AN27" s="17" t="s">
        <v>6221</v>
      </c>
      <c r="AP27" s="17">
        <v>0</v>
      </c>
      <c r="AQ27" s="17">
        <v>0</v>
      </c>
      <c r="AR27" s="17">
        <v>1</v>
      </c>
      <c r="AS27" s="17">
        <v>1</v>
      </c>
      <c r="AU27" s="17">
        <v>0</v>
      </c>
      <c r="AV27" s="17">
        <f t="shared" ref="AV27:AV29" si="16">IF(D27 = 1,1,0)</f>
        <v>1</v>
      </c>
      <c r="AW27" s="17" t="str">
        <f t="shared" ref="AW27:AW29" si="17">"{s_taskTalk,{"&amp;L27&amp;","&amp;N27&amp;"}}"</f>
        <v>{s_taskTalk,{60007,60007}}</v>
      </c>
    </row>
    <row r="28" spans="1:49" s="17" customFormat="1" ht="84" x14ac:dyDescent="0.15">
      <c r="A28" s="16">
        <v>7016</v>
      </c>
      <c r="C28" s="17" t="s">
        <v>7435</v>
      </c>
      <c r="D28" s="17">
        <v>1</v>
      </c>
      <c r="E28" s="17">
        <v>0</v>
      </c>
      <c r="F28" s="17">
        <v>1</v>
      </c>
      <c r="G28" s="18">
        <v>9</v>
      </c>
      <c r="H28" s="17">
        <v>200</v>
      </c>
      <c r="I28" s="17">
        <v>0</v>
      </c>
      <c r="J28" s="18">
        <v>6014</v>
      </c>
      <c r="K28" s="17">
        <v>0</v>
      </c>
      <c r="L28" s="17">
        <v>60007</v>
      </c>
      <c r="M28" s="17" t="s">
        <v>4819</v>
      </c>
      <c r="N28" s="17">
        <v>60007</v>
      </c>
      <c r="O28" s="17" t="s">
        <v>5091</v>
      </c>
      <c r="Q28" s="19">
        <v>2004</v>
      </c>
      <c r="R28" s="19"/>
      <c r="S28" s="19"/>
      <c r="T28" s="19"/>
      <c r="U28" s="17">
        <v>1</v>
      </c>
      <c r="V28" s="17">
        <v>0</v>
      </c>
      <c r="W28" s="20">
        <v>5</v>
      </c>
      <c r="Z28" s="21">
        <f>VLOOKUP(G28,Sheet2!A:H,8,0)</f>
        <v>939</v>
      </c>
      <c r="AB28" s="22"/>
      <c r="AC28" s="23">
        <f>VLOOKUP(G28,Sheet2!A$2:K$151,9,FALSE)</f>
        <v>360</v>
      </c>
      <c r="AD28" s="17" t="s">
        <v>7399</v>
      </c>
      <c r="AF28" s="24" t="s">
        <v>7437</v>
      </c>
      <c r="AG28" s="24" t="s">
        <v>4878</v>
      </c>
      <c r="AH28" s="24" t="s">
        <v>7140</v>
      </c>
      <c r="AI28" s="24" t="s">
        <v>4880</v>
      </c>
      <c r="AJ28" s="24" t="s">
        <v>7083</v>
      </c>
      <c r="AL28" s="18">
        <v>0</v>
      </c>
      <c r="AM28" s="17" t="s">
        <v>6223</v>
      </c>
      <c r="AN28" s="17" t="s">
        <v>6222</v>
      </c>
      <c r="AP28" s="17">
        <v>0</v>
      </c>
      <c r="AQ28" s="17">
        <v>0</v>
      </c>
      <c r="AR28" s="17">
        <v>1</v>
      </c>
      <c r="AS28" s="17">
        <v>1</v>
      </c>
      <c r="AU28" s="17">
        <v>0</v>
      </c>
      <c r="AV28" s="17">
        <f t="shared" si="16"/>
        <v>1</v>
      </c>
      <c r="AW28" s="17" t="str">
        <f t="shared" si="17"/>
        <v>{s_taskTalk,{60007,60007}}</v>
      </c>
    </row>
    <row r="29" spans="1:49" s="17" customFormat="1" ht="84" x14ac:dyDescent="0.15">
      <c r="A29" s="16">
        <v>7017</v>
      </c>
      <c r="C29" s="17" t="s">
        <v>7435</v>
      </c>
      <c r="D29" s="17">
        <v>1</v>
      </c>
      <c r="E29" s="17">
        <v>0</v>
      </c>
      <c r="F29" s="17">
        <v>1</v>
      </c>
      <c r="G29" s="18">
        <v>9</v>
      </c>
      <c r="H29" s="17">
        <v>200</v>
      </c>
      <c r="I29" s="17">
        <v>0</v>
      </c>
      <c r="J29" s="18">
        <v>6014</v>
      </c>
      <c r="K29" s="17">
        <v>0</v>
      </c>
      <c r="L29" s="17">
        <v>60007</v>
      </c>
      <c r="M29" s="17" t="s">
        <v>4819</v>
      </c>
      <c r="N29" s="17">
        <v>60007</v>
      </c>
      <c r="O29" s="17" t="s">
        <v>5091</v>
      </c>
      <c r="Q29" s="19">
        <v>2004</v>
      </c>
      <c r="R29" s="19"/>
      <c r="S29" s="19"/>
      <c r="T29" s="19"/>
      <c r="U29" s="17">
        <v>1</v>
      </c>
      <c r="V29" s="17">
        <v>0</v>
      </c>
      <c r="W29" s="20">
        <v>5</v>
      </c>
      <c r="Z29" s="21">
        <f>VLOOKUP(G29,Sheet2!A:H,8,0)</f>
        <v>939</v>
      </c>
      <c r="AB29" s="22"/>
      <c r="AC29" s="23">
        <f>VLOOKUP(G29,Sheet2!A$2:K$151,9,FALSE)</f>
        <v>360</v>
      </c>
      <c r="AD29" s="17" t="s">
        <v>7400</v>
      </c>
      <c r="AF29" s="24" t="s">
        <v>7437</v>
      </c>
      <c r="AG29" s="24" t="s">
        <v>4878</v>
      </c>
      <c r="AH29" s="24" t="s">
        <v>7140</v>
      </c>
      <c r="AI29" s="24" t="s">
        <v>4880</v>
      </c>
      <c r="AJ29" s="24" t="s">
        <v>7083</v>
      </c>
      <c r="AL29" s="18">
        <v>0</v>
      </c>
      <c r="AM29" s="17" t="s">
        <v>6224</v>
      </c>
      <c r="AN29" s="17" t="s">
        <v>6225</v>
      </c>
      <c r="AP29" s="17">
        <v>0</v>
      </c>
      <c r="AQ29" s="17">
        <v>0</v>
      </c>
      <c r="AR29" s="17">
        <v>1</v>
      </c>
      <c r="AS29" s="17">
        <v>1</v>
      </c>
      <c r="AU29" s="17">
        <v>0</v>
      </c>
      <c r="AV29" s="17">
        <f t="shared" si="16"/>
        <v>1</v>
      </c>
      <c r="AW29" s="17" t="str">
        <f t="shared" si="17"/>
        <v>{s_taskTalk,{60007,60007}}</v>
      </c>
    </row>
    <row r="30" spans="1:49" s="17" customFormat="1" ht="72" x14ac:dyDescent="0.15">
      <c r="A30" s="16">
        <v>6016</v>
      </c>
      <c r="C30" s="25" t="s">
        <v>7436</v>
      </c>
      <c r="D30" s="17">
        <v>1</v>
      </c>
      <c r="E30" s="17">
        <v>0</v>
      </c>
      <c r="F30" s="17">
        <v>1</v>
      </c>
      <c r="G30" s="18">
        <v>9</v>
      </c>
      <c r="H30" s="17">
        <v>200</v>
      </c>
      <c r="I30" s="17">
        <v>0</v>
      </c>
      <c r="J30" s="18">
        <v>6015</v>
      </c>
      <c r="K30" s="17">
        <v>0</v>
      </c>
      <c r="L30" s="17">
        <v>60007</v>
      </c>
      <c r="M30" s="17" t="s">
        <v>4819</v>
      </c>
      <c r="N30" s="17">
        <v>60007</v>
      </c>
      <c r="O30" s="17" t="s">
        <v>5091</v>
      </c>
      <c r="Q30" s="19"/>
      <c r="R30" s="19"/>
      <c r="S30" s="19">
        <v>10106</v>
      </c>
      <c r="T30" s="19"/>
      <c r="U30" s="17">
        <v>8</v>
      </c>
      <c r="V30" s="17">
        <v>0</v>
      </c>
      <c r="W30" s="20">
        <v>5</v>
      </c>
      <c r="Z30" s="21">
        <f>VLOOKUP(G30,Sheet2!A:H,8,0)</f>
        <v>939</v>
      </c>
      <c r="AB30" s="22"/>
      <c r="AC30" s="23">
        <f>VLOOKUP(G30,Sheet2!A$2:K$151,9,FALSE)</f>
        <v>360</v>
      </c>
      <c r="AF30" s="24" t="s">
        <v>7438</v>
      </c>
      <c r="AG30" s="24" t="s">
        <v>6891</v>
      </c>
      <c r="AH30" s="24" t="s">
        <v>6892</v>
      </c>
      <c r="AI30" s="24" t="s">
        <v>6647</v>
      </c>
      <c r="AJ30" s="24" t="s">
        <v>6797</v>
      </c>
      <c r="AL30" s="18">
        <v>0</v>
      </c>
      <c r="AM30" s="17" t="s">
        <v>6075</v>
      </c>
      <c r="AN30" s="17" t="s">
        <v>5396</v>
      </c>
      <c r="AP30" s="17">
        <v>1</v>
      </c>
      <c r="AQ30" s="17">
        <v>0</v>
      </c>
      <c r="AR30" s="17">
        <v>1</v>
      </c>
      <c r="AS30" s="17">
        <v>1</v>
      </c>
      <c r="AU30" s="17">
        <v>0</v>
      </c>
      <c r="AV30" s="17">
        <f t="shared" si="1"/>
        <v>1</v>
      </c>
      <c r="AW30" s="17" t="str">
        <f>"{s_taskKillNpc, {"&amp;L30&amp;","&amp;N30&amp;","&amp;S30&amp;","&amp;U30&amp;"}}"</f>
        <v>{s_taskKillNpc, {60007,60007,10106,8}}</v>
      </c>
    </row>
    <row r="31" spans="1:49" s="17" customFormat="1" ht="72" x14ac:dyDescent="0.15">
      <c r="A31" s="28">
        <v>6019</v>
      </c>
      <c r="B31" s="29"/>
      <c r="C31" s="29" t="s">
        <v>7099</v>
      </c>
      <c r="D31" s="29">
        <v>1</v>
      </c>
      <c r="E31" s="29">
        <v>0</v>
      </c>
      <c r="F31" s="29">
        <v>1</v>
      </c>
      <c r="G31" s="30">
        <v>200</v>
      </c>
      <c r="H31" s="29">
        <v>200</v>
      </c>
      <c r="I31" s="29">
        <v>0</v>
      </c>
      <c r="J31" s="30">
        <v>0</v>
      </c>
      <c r="K31" s="29">
        <v>0</v>
      </c>
      <c r="L31" s="29">
        <v>60046</v>
      </c>
      <c r="M31" s="29" t="s">
        <v>4818</v>
      </c>
      <c r="N31" s="29">
        <v>60046</v>
      </c>
      <c r="O31" s="29" t="s">
        <v>5096</v>
      </c>
      <c r="Q31" s="19"/>
      <c r="R31" s="19"/>
      <c r="S31" s="19"/>
      <c r="T31" s="19"/>
      <c r="U31" s="17">
        <v>1</v>
      </c>
      <c r="V31" s="17">
        <v>1</v>
      </c>
      <c r="W31" s="20">
        <v>5</v>
      </c>
      <c r="Z31" s="21">
        <v>0</v>
      </c>
      <c r="AB31" s="22"/>
      <c r="AC31" s="23"/>
      <c r="AF31" s="24" t="s">
        <v>5384</v>
      </c>
      <c r="AG31" s="24" t="s">
        <v>4883</v>
      </c>
      <c r="AH31" s="24" t="s">
        <v>4884</v>
      </c>
      <c r="AI31" s="17" t="s">
        <v>5291</v>
      </c>
      <c r="AJ31" s="17" t="s">
        <v>3875</v>
      </c>
      <c r="AL31" s="18">
        <v>0</v>
      </c>
      <c r="AM31" s="17" t="s">
        <v>6234</v>
      </c>
      <c r="AN31" s="17" t="s">
        <v>6234</v>
      </c>
      <c r="AP31" s="17">
        <v>1</v>
      </c>
      <c r="AQ31" s="17">
        <v>0</v>
      </c>
      <c r="AR31" s="17">
        <v>1</v>
      </c>
      <c r="AS31" s="17">
        <v>1</v>
      </c>
      <c r="AU31" s="17">
        <v>0</v>
      </c>
      <c r="AV31" s="17">
        <f t="shared" si="1"/>
        <v>1</v>
      </c>
      <c r="AW31" s="17" t="str">
        <f t="shared" ref="AW31" si="18">"{s_taskTalk,{"&amp;L31&amp;","&amp;N31&amp;"}}"</f>
        <v>{s_taskTalk,{60046,60046}}</v>
      </c>
    </row>
    <row r="32" spans="1:49" s="17" customFormat="1" ht="84" x14ac:dyDescent="0.15">
      <c r="A32" s="16">
        <v>6020</v>
      </c>
      <c r="C32" s="17" t="s">
        <v>8699</v>
      </c>
      <c r="D32" s="17">
        <v>1</v>
      </c>
      <c r="E32" s="17">
        <v>0</v>
      </c>
      <c r="F32" s="17">
        <v>1</v>
      </c>
      <c r="G32" s="18">
        <v>10</v>
      </c>
      <c r="H32" s="17">
        <v>200</v>
      </c>
      <c r="I32" s="17">
        <v>0</v>
      </c>
      <c r="J32" s="18">
        <v>6016</v>
      </c>
      <c r="K32" s="17">
        <v>0</v>
      </c>
      <c r="L32" s="17">
        <v>60007</v>
      </c>
      <c r="M32" s="17" t="s">
        <v>5091</v>
      </c>
      <c r="N32" s="17">
        <v>60045</v>
      </c>
      <c r="O32" s="17" t="s">
        <v>5097</v>
      </c>
      <c r="Q32" s="19"/>
      <c r="R32" s="19"/>
      <c r="S32" s="19"/>
      <c r="T32" s="19"/>
      <c r="U32" s="17">
        <v>1</v>
      </c>
      <c r="V32" s="17">
        <v>1</v>
      </c>
      <c r="W32" s="20">
        <v>5</v>
      </c>
      <c r="Z32" s="21">
        <f>VLOOKUP(G32,Sheet2!A:H,8,0)</f>
        <v>2217</v>
      </c>
      <c r="AB32" s="22"/>
      <c r="AC32" s="23">
        <f>VLOOKUP(G32,Sheet2!A$2:K$151,9,FALSE)</f>
        <v>760</v>
      </c>
      <c r="AF32" s="24" t="s">
        <v>8704</v>
      </c>
      <c r="AG32" s="24" t="s">
        <v>8700</v>
      </c>
      <c r="AH32" s="24" t="s">
        <v>8701</v>
      </c>
      <c r="AI32" s="24"/>
      <c r="AJ32" s="24" t="s">
        <v>8702</v>
      </c>
      <c r="AL32" s="18">
        <v>0</v>
      </c>
      <c r="AM32" s="17" t="s">
        <v>8703</v>
      </c>
      <c r="AN32" s="17" t="s">
        <v>5397</v>
      </c>
      <c r="AP32" s="17">
        <v>1</v>
      </c>
      <c r="AQ32" s="17">
        <v>0</v>
      </c>
      <c r="AR32" s="17">
        <v>1</v>
      </c>
      <c r="AS32" s="17">
        <v>1</v>
      </c>
      <c r="AU32" s="17">
        <v>0</v>
      </c>
      <c r="AV32" s="17">
        <f t="shared" si="1"/>
        <v>1</v>
      </c>
      <c r="AW32" s="17" t="str">
        <f t="shared" ref="AW32" si="19">"{s_taskTalk,{"&amp;L32&amp;","&amp;N32&amp;"}}"</f>
        <v>{s_taskTalk,{60007,60045}}</v>
      </c>
    </row>
    <row r="33" spans="1:49" s="17" customFormat="1" ht="84" x14ac:dyDescent="0.15">
      <c r="A33" s="16">
        <v>6021</v>
      </c>
      <c r="C33" s="17" t="s">
        <v>9044</v>
      </c>
      <c r="D33" s="17">
        <v>1</v>
      </c>
      <c r="E33" s="17">
        <v>0</v>
      </c>
      <c r="F33" s="17">
        <v>1</v>
      </c>
      <c r="G33" s="18">
        <v>20</v>
      </c>
      <c r="H33" s="17">
        <v>200</v>
      </c>
      <c r="I33" s="17">
        <v>0</v>
      </c>
      <c r="J33" s="18">
        <v>6020</v>
      </c>
      <c r="K33" s="17">
        <v>0</v>
      </c>
      <c r="L33" s="17">
        <v>60045</v>
      </c>
      <c r="M33" s="17" t="s">
        <v>4816</v>
      </c>
      <c r="N33" s="17">
        <v>121</v>
      </c>
      <c r="O33" s="17" t="s">
        <v>5315</v>
      </c>
      <c r="Q33" s="19"/>
      <c r="R33" s="19"/>
      <c r="S33" s="19"/>
      <c r="T33" s="19"/>
      <c r="U33" s="17">
        <v>1</v>
      </c>
      <c r="V33" s="17">
        <v>1</v>
      </c>
      <c r="W33" s="20">
        <v>5</v>
      </c>
      <c r="Z33" s="21">
        <f>VLOOKUP(G33,Sheet2!A:H,8,0)</f>
        <v>5803</v>
      </c>
      <c r="AB33" s="22"/>
      <c r="AC33" s="23">
        <f>VLOOKUP(G33,Sheet2!A$2:K$151,9,FALSE)</f>
        <v>580</v>
      </c>
      <c r="AF33" s="24" t="s">
        <v>5321</v>
      </c>
      <c r="AG33" s="24" t="s">
        <v>5322</v>
      </c>
      <c r="AH33" s="24" t="s">
        <v>6597</v>
      </c>
      <c r="AI33" s="24"/>
      <c r="AJ33" s="24" t="s">
        <v>6991</v>
      </c>
      <c r="AL33" s="18">
        <v>0</v>
      </c>
      <c r="AM33" s="17" t="s">
        <v>6076</v>
      </c>
      <c r="AN33" s="17" t="s">
        <v>5312</v>
      </c>
      <c r="AP33" s="17">
        <v>1</v>
      </c>
      <c r="AQ33" s="17">
        <v>0</v>
      </c>
      <c r="AR33" s="17">
        <v>1</v>
      </c>
      <c r="AS33" s="17">
        <v>1</v>
      </c>
      <c r="AU33" s="17">
        <v>0</v>
      </c>
      <c r="AV33" s="17">
        <f t="shared" si="1"/>
        <v>1</v>
      </c>
      <c r="AW33" s="17" t="str">
        <f t="shared" ref="AW33:AW34" si="20">"{s_taskTalk,{"&amp;L33&amp;","&amp;N33&amp;"}}"</f>
        <v>{s_taskTalk,{60045,121}}</v>
      </c>
    </row>
    <row r="34" spans="1:49" s="17" customFormat="1" ht="60" x14ac:dyDescent="0.15">
      <c r="A34" s="16">
        <v>6022</v>
      </c>
      <c r="C34" s="17" t="s">
        <v>6677</v>
      </c>
      <c r="D34" s="17">
        <v>1</v>
      </c>
      <c r="E34" s="17">
        <v>0</v>
      </c>
      <c r="F34" s="17">
        <v>1</v>
      </c>
      <c r="G34" s="18">
        <v>20</v>
      </c>
      <c r="H34" s="17">
        <v>200</v>
      </c>
      <c r="I34" s="17">
        <v>0</v>
      </c>
      <c r="J34" s="18">
        <v>6021</v>
      </c>
      <c r="K34" s="17">
        <v>0</v>
      </c>
      <c r="L34" s="17">
        <v>121</v>
      </c>
      <c r="M34" s="17" t="s">
        <v>5315</v>
      </c>
      <c r="N34" s="17">
        <v>505</v>
      </c>
      <c r="O34" s="17" t="s">
        <v>5311</v>
      </c>
      <c r="Q34" s="19"/>
      <c r="R34" s="19"/>
      <c r="S34" s="19"/>
      <c r="T34" s="19"/>
      <c r="U34" s="17">
        <v>1</v>
      </c>
      <c r="V34" s="17">
        <v>1</v>
      </c>
      <c r="W34" s="20">
        <v>5</v>
      </c>
      <c r="Z34" s="21">
        <f>VLOOKUP(G34,Sheet2!A:H,8,0)</f>
        <v>5803</v>
      </c>
      <c r="AA34" s="17">
        <v>10</v>
      </c>
      <c r="AB34" s="22"/>
      <c r="AC34" s="23">
        <f>VLOOKUP(G34,Sheet2!A$2:K$151,9,FALSE)</f>
        <v>580</v>
      </c>
      <c r="AF34" s="24" t="s">
        <v>6678</v>
      </c>
      <c r="AG34" s="24" t="s">
        <v>5323</v>
      </c>
      <c r="AH34" s="24" t="s">
        <v>5380</v>
      </c>
      <c r="AI34" s="24"/>
      <c r="AJ34" s="24" t="s">
        <v>6992</v>
      </c>
      <c r="AL34" s="18"/>
      <c r="AM34" s="17" t="s">
        <v>6124</v>
      </c>
      <c r="AN34" s="17" t="s">
        <v>5324</v>
      </c>
      <c r="AP34" s="17">
        <v>1</v>
      </c>
      <c r="AQ34" s="17">
        <v>0</v>
      </c>
      <c r="AR34" s="17">
        <v>1</v>
      </c>
      <c r="AS34" s="17">
        <v>1</v>
      </c>
      <c r="AU34" s="17">
        <v>0</v>
      </c>
      <c r="AV34" s="17">
        <f t="shared" si="1"/>
        <v>1</v>
      </c>
      <c r="AW34" s="17" t="str">
        <f t="shared" si="20"/>
        <v>{s_taskTalk,{121,505}}</v>
      </c>
    </row>
    <row r="35" spans="1:49" s="32" customFormat="1" ht="72" x14ac:dyDescent="0.15">
      <c r="A35" s="31">
        <v>6101</v>
      </c>
      <c r="C35" s="32" t="s">
        <v>6676</v>
      </c>
      <c r="D35" s="32">
        <v>1</v>
      </c>
      <c r="E35" s="32">
        <v>0</v>
      </c>
      <c r="F35" s="32">
        <v>2</v>
      </c>
      <c r="G35" s="33">
        <v>21</v>
      </c>
      <c r="H35" s="32">
        <v>200</v>
      </c>
      <c r="I35" s="17">
        <v>0</v>
      </c>
      <c r="J35" s="33">
        <v>6022</v>
      </c>
      <c r="K35" s="32">
        <v>0</v>
      </c>
      <c r="L35" s="32">
        <v>505</v>
      </c>
      <c r="M35" s="32" t="s">
        <v>4842</v>
      </c>
      <c r="N35" s="32">
        <v>502</v>
      </c>
      <c r="O35" s="32" t="s">
        <v>5099</v>
      </c>
      <c r="Q35" s="34"/>
      <c r="R35" s="34"/>
      <c r="S35" s="34">
        <v>10115</v>
      </c>
      <c r="T35" s="34"/>
      <c r="U35" s="32">
        <v>5</v>
      </c>
      <c r="V35" s="32">
        <v>0</v>
      </c>
      <c r="W35" s="35">
        <v>5</v>
      </c>
      <c r="Z35" s="21">
        <f>VLOOKUP(G35,Sheet2!A:H,8,0)</f>
        <v>6848</v>
      </c>
      <c r="AB35" s="36"/>
      <c r="AC35" s="23">
        <f>VLOOKUP(G35,Sheet2!A$2:K$151,9,FALSE)</f>
        <v>600</v>
      </c>
      <c r="AD35" s="17" t="s">
        <v>7406</v>
      </c>
      <c r="AF35" s="37" t="s">
        <v>6679</v>
      </c>
      <c r="AG35" s="37" t="s">
        <v>6649</v>
      </c>
      <c r="AH35" s="37" t="s">
        <v>6653</v>
      </c>
      <c r="AI35" s="37" t="s">
        <v>6993</v>
      </c>
      <c r="AJ35" s="37" t="s">
        <v>6994</v>
      </c>
      <c r="AL35" s="33">
        <v>0</v>
      </c>
      <c r="AM35" s="32" t="s">
        <v>6184</v>
      </c>
      <c r="AN35" s="32" t="s">
        <v>6216</v>
      </c>
      <c r="AP35" s="32">
        <v>1</v>
      </c>
      <c r="AQ35" s="32">
        <v>0</v>
      </c>
      <c r="AR35" s="32">
        <v>1</v>
      </c>
      <c r="AS35" s="32">
        <v>1</v>
      </c>
      <c r="AU35" s="32">
        <v>0</v>
      </c>
      <c r="AV35" s="17">
        <f t="shared" si="1"/>
        <v>1</v>
      </c>
      <c r="AW35" s="17" t="str">
        <f>"{s_taskKillNpc, {"&amp;L35&amp;","&amp;N35&amp;","&amp;S35&amp;","&amp;U35&amp;"}}"</f>
        <v>{s_taskKillNpc, {505,502,10115,5}}</v>
      </c>
    </row>
    <row r="36" spans="1:49" s="32" customFormat="1" ht="72" x14ac:dyDescent="0.15">
      <c r="A36" s="31">
        <v>6102</v>
      </c>
      <c r="C36" s="32" t="s">
        <v>6681</v>
      </c>
      <c r="D36" s="32">
        <v>1</v>
      </c>
      <c r="E36" s="32">
        <v>0</v>
      </c>
      <c r="F36" s="32">
        <v>2</v>
      </c>
      <c r="G36" s="33">
        <v>21</v>
      </c>
      <c r="H36" s="32">
        <v>200</v>
      </c>
      <c r="I36" s="17">
        <v>0</v>
      </c>
      <c r="J36" s="38">
        <v>6101</v>
      </c>
      <c r="K36" s="32">
        <v>0</v>
      </c>
      <c r="L36" s="32">
        <v>502</v>
      </c>
      <c r="M36" s="32" t="s">
        <v>5099</v>
      </c>
      <c r="N36" s="32">
        <v>502</v>
      </c>
      <c r="O36" s="32" t="s">
        <v>5099</v>
      </c>
      <c r="Q36" s="34"/>
      <c r="R36" s="34"/>
      <c r="S36" s="34"/>
      <c r="T36" s="34"/>
      <c r="U36" s="32">
        <v>1</v>
      </c>
      <c r="V36" s="32">
        <v>1</v>
      </c>
      <c r="W36" s="35">
        <v>5</v>
      </c>
      <c r="Z36" s="21">
        <f>VLOOKUP(G36,Sheet2!A:H,8,0)</f>
        <v>6848</v>
      </c>
      <c r="AB36" s="36"/>
      <c r="AC36" s="23">
        <f>VLOOKUP(G36,Sheet2!A$2:K$151,9,FALSE)</f>
        <v>600</v>
      </c>
      <c r="AD36" s="32" t="s">
        <v>7407</v>
      </c>
      <c r="AF36" s="37" t="s">
        <v>6680</v>
      </c>
      <c r="AG36" s="37" t="s">
        <v>6650</v>
      </c>
      <c r="AH36" s="37" t="s">
        <v>6651</v>
      </c>
      <c r="AI36" s="37"/>
      <c r="AJ36" s="37" t="s">
        <v>6995</v>
      </c>
      <c r="AL36" s="33">
        <v>0</v>
      </c>
      <c r="AM36" s="32" t="s">
        <v>6077</v>
      </c>
      <c r="AN36" s="32" t="s">
        <v>5398</v>
      </c>
      <c r="AP36" s="32">
        <v>1</v>
      </c>
      <c r="AQ36" s="32">
        <v>0</v>
      </c>
      <c r="AR36" s="32">
        <v>1</v>
      </c>
      <c r="AS36" s="32">
        <v>1</v>
      </c>
      <c r="AU36" s="32">
        <v>0</v>
      </c>
      <c r="AV36" s="17">
        <f t="shared" si="1"/>
        <v>1</v>
      </c>
      <c r="AW36" s="32" t="str">
        <f t="shared" ref="AW36:AW105" si="21">"{s_taskTalk,{"&amp;L36&amp;","&amp;N36&amp;"}}"</f>
        <v>{s_taskTalk,{502,502}}</v>
      </c>
    </row>
    <row r="37" spans="1:49" s="32" customFormat="1" ht="72" x14ac:dyDescent="0.15">
      <c r="A37" s="31">
        <v>7101</v>
      </c>
      <c r="C37" s="32" t="s">
        <v>6681</v>
      </c>
      <c r="D37" s="32">
        <v>1</v>
      </c>
      <c r="E37" s="32">
        <v>0</v>
      </c>
      <c r="F37" s="32">
        <v>2</v>
      </c>
      <c r="G37" s="33">
        <v>21</v>
      </c>
      <c r="H37" s="32">
        <v>200</v>
      </c>
      <c r="I37" s="17">
        <v>0</v>
      </c>
      <c r="J37" s="38">
        <v>6101</v>
      </c>
      <c r="K37" s="32">
        <v>0</v>
      </c>
      <c r="L37" s="32">
        <v>502</v>
      </c>
      <c r="M37" s="32" t="s">
        <v>5099</v>
      </c>
      <c r="N37" s="32">
        <v>502</v>
      </c>
      <c r="O37" s="32" t="s">
        <v>5099</v>
      </c>
      <c r="Q37" s="34"/>
      <c r="R37" s="34"/>
      <c r="S37" s="34"/>
      <c r="T37" s="34"/>
      <c r="U37" s="32">
        <v>1</v>
      </c>
      <c r="V37" s="32">
        <v>1</v>
      </c>
      <c r="W37" s="35">
        <v>5</v>
      </c>
      <c r="Z37" s="21">
        <f>VLOOKUP(G37,Sheet2!A:H,8,0)</f>
        <v>6848</v>
      </c>
      <c r="AB37" s="36"/>
      <c r="AC37" s="23">
        <f>VLOOKUP(G37,Sheet2!A$2:K$151,9,FALSE)</f>
        <v>600</v>
      </c>
      <c r="AD37" s="32" t="s">
        <v>7402</v>
      </c>
      <c r="AF37" s="37" t="s">
        <v>6680</v>
      </c>
      <c r="AG37" s="37" t="s">
        <v>6650</v>
      </c>
      <c r="AH37" s="37" t="s">
        <v>6651</v>
      </c>
      <c r="AI37" s="37" t="s">
        <v>6598</v>
      </c>
      <c r="AJ37" s="37" t="s">
        <v>6995</v>
      </c>
      <c r="AL37" s="33">
        <v>0</v>
      </c>
      <c r="AM37" s="32" t="s">
        <v>6226</v>
      </c>
      <c r="AN37" s="32" t="s">
        <v>6227</v>
      </c>
      <c r="AP37" s="32">
        <v>0</v>
      </c>
      <c r="AQ37" s="32">
        <v>0</v>
      </c>
      <c r="AR37" s="32">
        <v>1</v>
      </c>
      <c r="AS37" s="32">
        <v>1</v>
      </c>
      <c r="AU37" s="32">
        <v>0</v>
      </c>
      <c r="AV37" s="17">
        <f t="shared" ref="AV37:AV38" si="22">IF(D37 = 1,1,0)</f>
        <v>1</v>
      </c>
      <c r="AW37" s="32" t="str">
        <f t="shared" ref="AW37:AW38" si="23">"{s_taskTalk,{"&amp;L37&amp;","&amp;N37&amp;"}}"</f>
        <v>{s_taskTalk,{502,502}}</v>
      </c>
    </row>
    <row r="38" spans="1:49" s="32" customFormat="1" ht="72" x14ac:dyDescent="0.15">
      <c r="A38" s="31">
        <v>7102</v>
      </c>
      <c r="C38" s="32" t="s">
        <v>6681</v>
      </c>
      <c r="D38" s="32">
        <v>1</v>
      </c>
      <c r="E38" s="32">
        <v>0</v>
      </c>
      <c r="F38" s="32">
        <v>2</v>
      </c>
      <c r="G38" s="33">
        <v>21</v>
      </c>
      <c r="H38" s="32">
        <v>200</v>
      </c>
      <c r="I38" s="17">
        <v>0</v>
      </c>
      <c r="J38" s="38">
        <v>6101</v>
      </c>
      <c r="K38" s="32">
        <v>0</v>
      </c>
      <c r="L38" s="32">
        <v>502</v>
      </c>
      <c r="M38" s="32" t="s">
        <v>5099</v>
      </c>
      <c r="N38" s="32">
        <v>502</v>
      </c>
      <c r="O38" s="32" t="s">
        <v>5099</v>
      </c>
      <c r="Q38" s="34"/>
      <c r="R38" s="34"/>
      <c r="S38" s="34"/>
      <c r="T38" s="34"/>
      <c r="U38" s="32">
        <v>1</v>
      </c>
      <c r="V38" s="32">
        <v>1</v>
      </c>
      <c r="W38" s="35">
        <v>5</v>
      </c>
      <c r="Z38" s="21">
        <f>VLOOKUP(G38,Sheet2!A:H,8,0)</f>
        <v>6848</v>
      </c>
      <c r="AB38" s="36"/>
      <c r="AC38" s="23">
        <f>VLOOKUP(G38,Sheet2!A$2:K$151,9,FALSE)</f>
        <v>600</v>
      </c>
      <c r="AD38" s="32" t="s">
        <v>7402</v>
      </c>
      <c r="AF38" s="37" t="s">
        <v>6680</v>
      </c>
      <c r="AG38" s="37" t="s">
        <v>6650</v>
      </c>
      <c r="AH38" s="37" t="s">
        <v>6651</v>
      </c>
      <c r="AI38" s="37"/>
      <c r="AJ38" s="37" t="s">
        <v>6995</v>
      </c>
      <c r="AL38" s="33">
        <v>0</v>
      </c>
      <c r="AM38" s="32" t="s">
        <v>6228</v>
      </c>
      <c r="AN38" s="32" t="s">
        <v>6229</v>
      </c>
      <c r="AP38" s="32">
        <v>0</v>
      </c>
      <c r="AQ38" s="32">
        <v>0</v>
      </c>
      <c r="AR38" s="32">
        <v>1</v>
      </c>
      <c r="AS38" s="32">
        <v>1</v>
      </c>
      <c r="AU38" s="32">
        <v>0</v>
      </c>
      <c r="AV38" s="17">
        <f t="shared" si="22"/>
        <v>1</v>
      </c>
      <c r="AW38" s="32" t="str">
        <f t="shared" si="23"/>
        <v>{s_taskTalk,{502,502}}</v>
      </c>
    </row>
    <row r="39" spans="1:49" s="32" customFormat="1" ht="72" x14ac:dyDescent="0.15">
      <c r="A39" s="31">
        <v>6103</v>
      </c>
      <c r="C39" s="32" t="s">
        <v>6682</v>
      </c>
      <c r="D39" s="32">
        <v>1</v>
      </c>
      <c r="E39" s="32">
        <v>0</v>
      </c>
      <c r="F39" s="32">
        <v>2</v>
      </c>
      <c r="G39" s="33">
        <v>22</v>
      </c>
      <c r="H39" s="32">
        <v>200</v>
      </c>
      <c r="I39" s="17">
        <v>0</v>
      </c>
      <c r="J39" s="33">
        <v>6102</v>
      </c>
      <c r="K39" s="32">
        <v>0</v>
      </c>
      <c r="L39" s="32">
        <v>502</v>
      </c>
      <c r="M39" s="32" t="s">
        <v>4822</v>
      </c>
      <c r="N39" s="32">
        <v>502</v>
      </c>
      <c r="O39" s="32" t="s">
        <v>5099</v>
      </c>
      <c r="Q39" s="34">
        <v>2005</v>
      </c>
      <c r="R39" s="34"/>
      <c r="S39" s="34"/>
      <c r="T39" s="34"/>
      <c r="U39" s="32">
        <v>1</v>
      </c>
      <c r="V39" s="32">
        <v>0</v>
      </c>
      <c r="W39" s="35">
        <v>5</v>
      </c>
      <c r="Z39" s="21">
        <f>VLOOKUP(G39,Sheet2!A:H,8,0)</f>
        <v>16161</v>
      </c>
      <c r="AB39" s="36"/>
      <c r="AC39" s="23">
        <f>VLOOKUP(G39,Sheet2!A$2:K$151,9,FALSE)</f>
        <v>1240</v>
      </c>
      <c r="AF39" s="37" t="s">
        <v>6683</v>
      </c>
      <c r="AG39" s="37" t="s">
        <v>6652</v>
      </c>
      <c r="AH39" s="37" t="s">
        <v>7141</v>
      </c>
      <c r="AI39" s="37" t="s">
        <v>4886</v>
      </c>
      <c r="AJ39" s="37" t="s">
        <v>7085</v>
      </c>
      <c r="AL39" s="33">
        <v>0</v>
      </c>
      <c r="AM39" s="32" t="s">
        <v>4986</v>
      </c>
      <c r="AN39" s="32" t="s">
        <v>5399</v>
      </c>
      <c r="AP39" s="32">
        <v>1</v>
      </c>
      <c r="AQ39" s="32">
        <v>0</v>
      </c>
      <c r="AR39" s="32">
        <v>1</v>
      </c>
      <c r="AS39" s="32">
        <v>1</v>
      </c>
      <c r="AU39" s="32">
        <v>0</v>
      </c>
      <c r="AV39" s="17">
        <f t="shared" si="1"/>
        <v>1</v>
      </c>
      <c r="AW39" s="32" t="str">
        <f t="shared" si="21"/>
        <v>{s_taskTalk,{502,502}}</v>
      </c>
    </row>
    <row r="40" spans="1:49" s="32" customFormat="1" ht="72" x14ac:dyDescent="0.15">
      <c r="A40" s="31">
        <v>7103</v>
      </c>
      <c r="C40" s="32" t="s">
        <v>6684</v>
      </c>
      <c r="D40" s="32">
        <v>1</v>
      </c>
      <c r="E40" s="32">
        <v>0</v>
      </c>
      <c r="F40" s="32">
        <v>2</v>
      </c>
      <c r="G40" s="33">
        <v>22</v>
      </c>
      <c r="H40" s="32">
        <v>200</v>
      </c>
      <c r="I40" s="17">
        <v>0</v>
      </c>
      <c r="J40" s="33">
        <v>6102</v>
      </c>
      <c r="K40" s="32">
        <v>0</v>
      </c>
      <c r="L40" s="32">
        <v>502</v>
      </c>
      <c r="M40" s="32" t="s">
        <v>4822</v>
      </c>
      <c r="N40" s="32">
        <v>502</v>
      </c>
      <c r="O40" s="32" t="s">
        <v>4822</v>
      </c>
      <c r="Q40" s="34">
        <v>2005</v>
      </c>
      <c r="R40" s="34"/>
      <c r="S40" s="34"/>
      <c r="T40" s="34"/>
      <c r="U40" s="32">
        <v>1</v>
      </c>
      <c r="V40" s="32">
        <v>0</v>
      </c>
      <c r="W40" s="35">
        <v>5</v>
      </c>
      <c r="Z40" s="21">
        <f>VLOOKUP(G40,Sheet2!A:H,8,0)</f>
        <v>16161</v>
      </c>
      <c r="AB40" s="36"/>
      <c r="AC40" s="23">
        <f>VLOOKUP(G40,Sheet2!A$2:K$151,9,FALSE)</f>
        <v>1240</v>
      </c>
      <c r="AF40" s="37" t="s">
        <v>6683</v>
      </c>
      <c r="AG40" s="37" t="s">
        <v>6652</v>
      </c>
      <c r="AH40" s="37" t="s">
        <v>7141</v>
      </c>
      <c r="AI40" s="37" t="s">
        <v>4886</v>
      </c>
      <c r="AJ40" s="37" t="s">
        <v>7085</v>
      </c>
      <c r="AL40" s="33">
        <v>0</v>
      </c>
      <c r="AM40" s="32" t="s">
        <v>6230</v>
      </c>
      <c r="AN40" s="32" t="s">
        <v>6231</v>
      </c>
      <c r="AP40" s="32">
        <v>0</v>
      </c>
      <c r="AQ40" s="32">
        <v>0</v>
      </c>
      <c r="AR40" s="32">
        <v>1</v>
      </c>
      <c r="AS40" s="32">
        <v>1</v>
      </c>
      <c r="AU40" s="32">
        <v>0</v>
      </c>
      <c r="AV40" s="17">
        <f t="shared" ref="AV40:AV41" si="24">IF(D40 = 1,1,0)</f>
        <v>1</v>
      </c>
      <c r="AW40" s="32" t="str">
        <f t="shared" ref="AW40:AW41" si="25">"{s_taskTalk,{"&amp;L40&amp;","&amp;N40&amp;"}}"</f>
        <v>{s_taskTalk,{502,502}}</v>
      </c>
    </row>
    <row r="41" spans="1:49" s="32" customFormat="1" ht="72" x14ac:dyDescent="0.15">
      <c r="A41" s="31">
        <v>7104</v>
      </c>
      <c r="C41" s="32" t="s">
        <v>6684</v>
      </c>
      <c r="D41" s="32">
        <v>1</v>
      </c>
      <c r="E41" s="32">
        <v>0</v>
      </c>
      <c r="F41" s="32">
        <v>2</v>
      </c>
      <c r="G41" s="33">
        <v>22</v>
      </c>
      <c r="H41" s="32">
        <v>200</v>
      </c>
      <c r="I41" s="17">
        <v>0</v>
      </c>
      <c r="J41" s="33">
        <v>6102</v>
      </c>
      <c r="K41" s="32">
        <v>0</v>
      </c>
      <c r="L41" s="32">
        <v>502</v>
      </c>
      <c r="M41" s="32" t="s">
        <v>4822</v>
      </c>
      <c r="N41" s="32">
        <v>502</v>
      </c>
      <c r="O41" s="32" t="s">
        <v>4822</v>
      </c>
      <c r="Q41" s="34">
        <v>2005</v>
      </c>
      <c r="R41" s="34"/>
      <c r="S41" s="34"/>
      <c r="T41" s="34"/>
      <c r="U41" s="32">
        <v>1</v>
      </c>
      <c r="V41" s="32">
        <v>0</v>
      </c>
      <c r="W41" s="35">
        <v>5</v>
      </c>
      <c r="Z41" s="21">
        <f>VLOOKUP(G41,Sheet2!A:H,8,0)</f>
        <v>16161</v>
      </c>
      <c r="AB41" s="36"/>
      <c r="AC41" s="23">
        <f>VLOOKUP(G41,Sheet2!A$2:K$151,9,FALSE)</f>
        <v>1240</v>
      </c>
      <c r="AF41" s="37" t="s">
        <v>6683</v>
      </c>
      <c r="AG41" s="37" t="s">
        <v>6652</v>
      </c>
      <c r="AH41" s="37" t="s">
        <v>7141</v>
      </c>
      <c r="AI41" s="37" t="s">
        <v>4886</v>
      </c>
      <c r="AJ41" s="37" t="s">
        <v>7085</v>
      </c>
      <c r="AL41" s="33">
        <v>0</v>
      </c>
      <c r="AM41" s="32" t="s">
        <v>6233</v>
      </c>
      <c r="AN41" s="32" t="s">
        <v>6232</v>
      </c>
      <c r="AP41" s="32">
        <v>0</v>
      </c>
      <c r="AQ41" s="32">
        <v>0</v>
      </c>
      <c r="AR41" s="32">
        <v>1</v>
      </c>
      <c r="AS41" s="32">
        <v>1</v>
      </c>
      <c r="AU41" s="32">
        <v>0</v>
      </c>
      <c r="AV41" s="17">
        <f t="shared" si="24"/>
        <v>1</v>
      </c>
      <c r="AW41" s="32" t="str">
        <f t="shared" si="25"/>
        <v>{s_taskTalk,{502,502}}</v>
      </c>
    </row>
    <row r="42" spans="1:49" s="32" customFormat="1" ht="72" x14ac:dyDescent="0.15">
      <c r="A42" s="31">
        <v>6104</v>
      </c>
      <c r="C42" s="32" t="s">
        <v>6685</v>
      </c>
      <c r="D42" s="32">
        <v>1</v>
      </c>
      <c r="E42" s="32">
        <v>0</v>
      </c>
      <c r="F42" s="32">
        <v>2</v>
      </c>
      <c r="G42" s="33">
        <v>23</v>
      </c>
      <c r="H42" s="32">
        <v>200</v>
      </c>
      <c r="I42" s="17">
        <v>0</v>
      </c>
      <c r="J42" s="33">
        <v>6103</v>
      </c>
      <c r="K42" s="32">
        <v>0</v>
      </c>
      <c r="L42" s="32">
        <v>502</v>
      </c>
      <c r="M42" s="32" t="s">
        <v>4822</v>
      </c>
      <c r="N42" s="32">
        <v>502</v>
      </c>
      <c r="O42" s="32" t="s">
        <v>5099</v>
      </c>
      <c r="Q42" s="34"/>
      <c r="R42" s="34"/>
      <c r="S42" s="34">
        <v>10115</v>
      </c>
      <c r="T42" s="34"/>
      <c r="U42" s="32">
        <v>5</v>
      </c>
      <c r="V42" s="32">
        <v>0</v>
      </c>
      <c r="W42" s="35">
        <v>5</v>
      </c>
      <c r="Z42" s="21">
        <f>VLOOKUP(G42,Sheet2!A:H,8,0)</f>
        <v>9535</v>
      </c>
      <c r="AB42" s="36"/>
      <c r="AC42" s="23">
        <f>VLOOKUP(G42,Sheet2!A$2:K$151,9,FALSE)</f>
        <v>640</v>
      </c>
      <c r="AD42" s="32" t="s">
        <v>7402</v>
      </c>
      <c r="AF42" s="37" t="s">
        <v>6687</v>
      </c>
      <c r="AG42" s="37" t="s">
        <v>4885</v>
      </c>
      <c r="AH42" s="37" t="s">
        <v>7100</v>
      </c>
      <c r="AI42" s="37" t="s">
        <v>6662</v>
      </c>
      <c r="AJ42" s="37" t="s">
        <v>6996</v>
      </c>
      <c r="AL42" s="33">
        <v>0</v>
      </c>
      <c r="AM42" s="32" t="s">
        <v>6078</v>
      </c>
      <c r="AN42" s="32" t="s">
        <v>5400</v>
      </c>
      <c r="AP42" s="32">
        <v>1</v>
      </c>
      <c r="AQ42" s="32">
        <v>0</v>
      </c>
      <c r="AR42" s="32">
        <v>1</v>
      </c>
      <c r="AS42" s="32">
        <v>1</v>
      </c>
      <c r="AU42" s="32">
        <v>0</v>
      </c>
      <c r="AV42" s="17">
        <f t="shared" si="1"/>
        <v>1</v>
      </c>
      <c r="AW42" s="17" t="str">
        <f>"{s_taskKillNpc, {"&amp;L42&amp;","&amp;N42&amp;","&amp;S42&amp;","&amp;U42&amp;"}}"</f>
        <v>{s_taskKillNpc, {502,502,10115,5}}</v>
      </c>
    </row>
    <row r="43" spans="1:49" s="32" customFormat="1" ht="72" x14ac:dyDescent="0.15">
      <c r="A43" s="31">
        <v>6105</v>
      </c>
      <c r="C43" s="32" t="s">
        <v>6686</v>
      </c>
      <c r="D43" s="32">
        <v>1</v>
      </c>
      <c r="E43" s="32">
        <v>0</v>
      </c>
      <c r="F43" s="32">
        <v>2</v>
      </c>
      <c r="G43" s="33">
        <v>23</v>
      </c>
      <c r="H43" s="32">
        <v>200</v>
      </c>
      <c r="I43" s="17">
        <v>0</v>
      </c>
      <c r="J43" s="38">
        <v>6104</v>
      </c>
      <c r="K43" s="32">
        <v>0</v>
      </c>
      <c r="L43" s="32">
        <v>502</v>
      </c>
      <c r="M43" s="32" t="s">
        <v>4822</v>
      </c>
      <c r="N43" s="32">
        <v>505</v>
      </c>
      <c r="O43" s="32" t="s">
        <v>4842</v>
      </c>
      <c r="Q43" s="34"/>
      <c r="R43" s="34"/>
      <c r="S43" s="34"/>
      <c r="T43" s="34"/>
      <c r="U43" s="32">
        <v>1</v>
      </c>
      <c r="V43" s="32">
        <v>1</v>
      </c>
      <c r="W43" s="35">
        <v>5</v>
      </c>
      <c r="Z43" s="21">
        <f>VLOOKUP(G43,Sheet2!A:H,8,0)</f>
        <v>9535</v>
      </c>
      <c r="AB43" s="36"/>
      <c r="AC43" s="23">
        <f>VLOOKUP(G43,Sheet2!A$2:K$151,9,FALSE)</f>
        <v>640</v>
      </c>
      <c r="AD43" s="17" t="s">
        <v>7410</v>
      </c>
      <c r="AF43" s="37" t="s">
        <v>6688</v>
      </c>
      <c r="AG43" s="37" t="s">
        <v>6659</v>
      </c>
      <c r="AH43" s="37" t="s">
        <v>6660</v>
      </c>
      <c r="AI43" s="37"/>
      <c r="AJ43" s="37" t="s">
        <v>6997</v>
      </c>
      <c r="AL43" s="33">
        <v>0</v>
      </c>
      <c r="AM43" s="32" t="s">
        <v>6655</v>
      </c>
      <c r="AN43" s="32" t="s">
        <v>6656</v>
      </c>
      <c r="AP43" s="32">
        <v>1</v>
      </c>
      <c r="AQ43" s="32">
        <v>0</v>
      </c>
      <c r="AR43" s="32">
        <v>1</v>
      </c>
      <c r="AS43" s="32">
        <v>1</v>
      </c>
      <c r="AU43" s="32">
        <v>0</v>
      </c>
      <c r="AV43" s="17">
        <f t="shared" si="1"/>
        <v>1</v>
      </c>
      <c r="AW43" s="32" t="str">
        <f t="shared" si="21"/>
        <v>{s_taskTalk,{502,505}}</v>
      </c>
    </row>
    <row r="44" spans="1:49" s="26" customFormat="1" ht="72" x14ac:dyDescent="0.15">
      <c r="A44" s="39">
        <v>6152</v>
      </c>
      <c r="C44" s="26" t="s">
        <v>6689</v>
      </c>
      <c r="D44" s="26">
        <v>1</v>
      </c>
      <c r="E44" s="26">
        <v>0</v>
      </c>
      <c r="F44" s="26">
        <v>2</v>
      </c>
      <c r="G44" s="48">
        <v>24</v>
      </c>
      <c r="H44" s="26">
        <v>200</v>
      </c>
      <c r="I44" s="26">
        <v>0</v>
      </c>
      <c r="J44" s="40">
        <v>6105</v>
      </c>
      <c r="K44" s="26">
        <v>0</v>
      </c>
      <c r="L44" s="40">
        <v>505</v>
      </c>
      <c r="M44" s="40" t="s">
        <v>4842</v>
      </c>
      <c r="N44" s="41">
        <v>502</v>
      </c>
      <c r="O44" s="42" t="s">
        <v>4822</v>
      </c>
      <c r="Q44" s="43"/>
      <c r="R44" s="43"/>
      <c r="S44" s="43"/>
      <c r="T44" s="43"/>
      <c r="U44" s="26">
        <v>1</v>
      </c>
      <c r="V44" s="26">
        <v>1</v>
      </c>
      <c r="W44" s="44">
        <v>5</v>
      </c>
      <c r="Z44" s="21">
        <f>VLOOKUP(G44,Sheet2!A:H,8,0)</f>
        <v>11251</v>
      </c>
      <c r="AB44" s="45"/>
      <c r="AC44" s="23">
        <f>VLOOKUP(G44,Sheet2!A$2:K$151,9,FALSE)</f>
        <v>660</v>
      </c>
      <c r="AF44" s="26" t="s">
        <v>6691</v>
      </c>
      <c r="AG44" s="47" t="s">
        <v>6663</v>
      </c>
      <c r="AH44" s="47" t="s">
        <v>6661</v>
      </c>
      <c r="AI44" s="47"/>
      <c r="AJ44" s="37" t="s">
        <v>7086</v>
      </c>
      <c r="AL44" s="48">
        <v>0</v>
      </c>
      <c r="AM44" s="32" t="s">
        <v>6657</v>
      </c>
      <c r="AN44" s="32" t="s">
        <v>6658</v>
      </c>
      <c r="AP44" s="26">
        <v>1</v>
      </c>
      <c r="AQ44" s="26">
        <v>0</v>
      </c>
      <c r="AR44" s="26">
        <v>1</v>
      </c>
      <c r="AS44" s="26">
        <v>1</v>
      </c>
      <c r="AU44" s="26">
        <v>0</v>
      </c>
      <c r="AV44" s="26">
        <f t="shared" si="1"/>
        <v>1</v>
      </c>
      <c r="AW44" s="32" t="str">
        <f t="shared" si="21"/>
        <v>{s_taskTalk,{505,502}}</v>
      </c>
    </row>
    <row r="45" spans="1:49" s="26" customFormat="1" ht="72" x14ac:dyDescent="0.15">
      <c r="A45" s="39">
        <v>7117</v>
      </c>
      <c r="C45" s="26" t="s">
        <v>6689</v>
      </c>
      <c r="D45" s="26">
        <v>1</v>
      </c>
      <c r="E45" s="26">
        <v>0</v>
      </c>
      <c r="F45" s="26">
        <v>2</v>
      </c>
      <c r="G45" s="48">
        <v>24</v>
      </c>
      <c r="H45" s="26">
        <v>200</v>
      </c>
      <c r="I45" s="26">
        <v>0</v>
      </c>
      <c r="J45" s="40">
        <v>6105</v>
      </c>
      <c r="K45" s="26">
        <v>0</v>
      </c>
      <c r="L45" s="40">
        <v>505</v>
      </c>
      <c r="M45" s="40" t="s">
        <v>4842</v>
      </c>
      <c r="N45" s="41">
        <v>502</v>
      </c>
      <c r="O45" s="42" t="s">
        <v>4822</v>
      </c>
      <c r="Q45" s="43"/>
      <c r="R45" s="43"/>
      <c r="S45" s="43"/>
      <c r="T45" s="43"/>
      <c r="U45" s="26">
        <v>1</v>
      </c>
      <c r="V45" s="26">
        <v>1</v>
      </c>
      <c r="W45" s="44">
        <v>5</v>
      </c>
      <c r="Z45" s="21">
        <f>VLOOKUP(G45,Sheet2!A:H,8,0)</f>
        <v>11251</v>
      </c>
      <c r="AB45" s="45"/>
      <c r="AC45" s="23">
        <f>VLOOKUP(G45,Sheet2!A$2:K$151,9,FALSE)</f>
        <v>660</v>
      </c>
      <c r="AF45" s="26" t="s">
        <v>6691</v>
      </c>
      <c r="AG45" s="47" t="s">
        <v>6663</v>
      </c>
      <c r="AH45" s="47" t="s">
        <v>6661</v>
      </c>
      <c r="AI45" s="47"/>
      <c r="AJ45" s="37" t="s">
        <v>7086</v>
      </c>
      <c r="AL45" s="48">
        <v>0</v>
      </c>
      <c r="AM45" s="32" t="s">
        <v>7531</v>
      </c>
      <c r="AN45" s="32" t="s">
        <v>7533</v>
      </c>
      <c r="AP45" s="26">
        <v>0</v>
      </c>
      <c r="AQ45" s="26">
        <v>0</v>
      </c>
      <c r="AR45" s="26">
        <v>1</v>
      </c>
      <c r="AS45" s="26">
        <v>1</v>
      </c>
      <c r="AU45" s="26">
        <v>0</v>
      </c>
      <c r="AV45" s="26">
        <f t="shared" ref="AV45:AV46" si="26">IF(D45 = 1,1,0)</f>
        <v>1</v>
      </c>
      <c r="AW45" s="32" t="str">
        <f t="shared" ref="AW45:AW46" si="27">"{s_taskTalk,{"&amp;L45&amp;","&amp;N45&amp;"}}"</f>
        <v>{s_taskTalk,{505,502}}</v>
      </c>
    </row>
    <row r="46" spans="1:49" s="26" customFormat="1" ht="72" x14ac:dyDescent="0.15">
      <c r="A46" s="39">
        <v>7118</v>
      </c>
      <c r="C46" s="26" t="s">
        <v>6689</v>
      </c>
      <c r="D46" s="26">
        <v>1</v>
      </c>
      <c r="E46" s="26">
        <v>0</v>
      </c>
      <c r="F46" s="26">
        <v>2</v>
      </c>
      <c r="G46" s="48">
        <v>24</v>
      </c>
      <c r="H46" s="26">
        <v>200</v>
      </c>
      <c r="I46" s="26">
        <v>0</v>
      </c>
      <c r="J46" s="40">
        <v>6105</v>
      </c>
      <c r="K46" s="26">
        <v>0</v>
      </c>
      <c r="L46" s="40">
        <v>505</v>
      </c>
      <c r="M46" s="40" t="s">
        <v>4842</v>
      </c>
      <c r="N46" s="41">
        <v>502</v>
      </c>
      <c r="O46" s="42" t="s">
        <v>4822</v>
      </c>
      <c r="Q46" s="43"/>
      <c r="R46" s="43"/>
      <c r="S46" s="43"/>
      <c r="T46" s="43"/>
      <c r="U46" s="26">
        <v>1</v>
      </c>
      <c r="V46" s="26">
        <v>1</v>
      </c>
      <c r="W46" s="44">
        <v>5</v>
      </c>
      <c r="Z46" s="21">
        <f>VLOOKUP(G46,Sheet2!A:H,8,0)</f>
        <v>11251</v>
      </c>
      <c r="AB46" s="45"/>
      <c r="AC46" s="23">
        <f>VLOOKUP(G46,Sheet2!A$2:K$151,9,FALSE)</f>
        <v>660</v>
      </c>
      <c r="AF46" s="26" t="s">
        <v>6691</v>
      </c>
      <c r="AG46" s="47" t="s">
        <v>6663</v>
      </c>
      <c r="AH46" s="47" t="s">
        <v>6661</v>
      </c>
      <c r="AI46" s="47"/>
      <c r="AJ46" s="37" t="s">
        <v>7086</v>
      </c>
      <c r="AL46" s="48">
        <v>0</v>
      </c>
      <c r="AM46" s="32" t="s">
        <v>7532</v>
      </c>
      <c r="AN46" s="32" t="s">
        <v>7534</v>
      </c>
      <c r="AP46" s="26">
        <v>0</v>
      </c>
      <c r="AQ46" s="26">
        <v>0</v>
      </c>
      <c r="AR46" s="26">
        <v>1</v>
      </c>
      <c r="AS46" s="26">
        <v>1</v>
      </c>
      <c r="AU46" s="26">
        <v>0</v>
      </c>
      <c r="AV46" s="26">
        <f t="shared" si="26"/>
        <v>1</v>
      </c>
      <c r="AW46" s="32" t="str">
        <f t="shared" si="27"/>
        <v>{s_taskTalk,{505,502}}</v>
      </c>
    </row>
    <row r="47" spans="1:49" s="32" customFormat="1" ht="72" x14ac:dyDescent="0.15">
      <c r="A47" s="31">
        <v>6106</v>
      </c>
      <c r="C47" s="32" t="s">
        <v>6690</v>
      </c>
      <c r="D47" s="32">
        <v>1</v>
      </c>
      <c r="E47" s="32">
        <v>0</v>
      </c>
      <c r="F47" s="32">
        <v>2</v>
      </c>
      <c r="G47" s="33">
        <v>24</v>
      </c>
      <c r="H47" s="32">
        <v>200</v>
      </c>
      <c r="I47" s="17">
        <v>0</v>
      </c>
      <c r="J47" s="33">
        <v>6152</v>
      </c>
      <c r="K47" s="32">
        <v>0</v>
      </c>
      <c r="L47" s="32">
        <v>502</v>
      </c>
      <c r="M47" s="32" t="s">
        <v>4822</v>
      </c>
      <c r="N47" s="32">
        <v>500</v>
      </c>
      <c r="O47" s="32" t="s">
        <v>5100</v>
      </c>
      <c r="Q47" s="34">
        <v>2006</v>
      </c>
      <c r="R47" s="34"/>
      <c r="S47" s="34"/>
      <c r="T47" s="34"/>
      <c r="U47" s="32">
        <v>2</v>
      </c>
      <c r="V47" s="32">
        <v>0</v>
      </c>
      <c r="W47" s="35">
        <v>5</v>
      </c>
      <c r="Z47" s="21">
        <f>VLOOKUP(G47,Sheet2!A:H,8,0)</f>
        <v>11251</v>
      </c>
      <c r="AB47" s="36"/>
      <c r="AC47" s="23">
        <f>VLOOKUP(G47,Sheet2!A$2:K$151,9,FALSE)</f>
        <v>660</v>
      </c>
      <c r="AD47" s="17"/>
      <c r="AF47" s="37" t="s">
        <v>6692</v>
      </c>
      <c r="AG47" s="37" t="s">
        <v>6654</v>
      </c>
      <c r="AH47" s="37" t="s">
        <v>4888</v>
      </c>
      <c r="AI47" s="37" t="s">
        <v>4887</v>
      </c>
      <c r="AJ47" s="37" t="s">
        <v>6999</v>
      </c>
      <c r="AL47" s="33">
        <v>0</v>
      </c>
      <c r="AM47" s="32" t="s">
        <v>6079</v>
      </c>
      <c r="AN47" s="32" t="s">
        <v>5401</v>
      </c>
      <c r="AO47" s="32" t="s">
        <v>5327</v>
      </c>
      <c r="AP47" s="32">
        <v>1</v>
      </c>
      <c r="AQ47" s="32">
        <v>0</v>
      </c>
      <c r="AR47" s="32">
        <v>1</v>
      </c>
      <c r="AS47" s="32">
        <v>1</v>
      </c>
      <c r="AU47" s="32">
        <v>0</v>
      </c>
      <c r="AV47" s="17">
        <f t="shared" si="1"/>
        <v>1</v>
      </c>
      <c r="AW47" s="32" t="str">
        <f t="shared" si="21"/>
        <v>{s_taskTalk,{502,500}}</v>
      </c>
    </row>
    <row r="48" spans="1:49" s="32" customFormat="1" ht="72" x14ac:dyDescent="0.15">
      <c r="A48" s="31">
        <v>6107</v>
      </c>
      <c r="C48" s="32" t="s">
        <v>6693</v>
      </c>
      <c r="D48" s="32">
        <v>1</v>
      </c>
      <c r="E48" s="32">
        <v>0</v>
      </c>
      <c r="F48" s="32">
        <v>2</v>
      </c>
      <c r="G48" s="33">
        <v>25</v>
      </c>
      <c r="H48" s="32">
        <v>200</v>
      </c>
      <c r="I48" s="17">
        <v>0</v>
      </c>
      <c r="J48" s="33">
        <v>6106</v>
      </c>
      <c r="K48" s="32">
        <v>0</v>
      </c>
      <c r="L48" s="32">
        <v>500</v>
      </c>
      <c r="M48" s="32" t="s">
        <v>4823</v>
      </c>
      <c r="N48" s="32">
        <v>505</v>
      </c>
      <c r="O48" s="32" t="s">
        <v>5098</v>
      </c>
      <c r="Q48" s="34"/>
      <c r="R48" s="34"/>
      <c r="S48" s="34"/>
      <c r="T48" s="34"/>
      <c r="U48" s="32">
        <v>1</v>
      </c>
      <c r="V48" s="32">
        <v>1</v>
      </c>
      <c r="W48" s="35">
        <v>5</v>
      </c>
      <c r="Z48" s="21">
        <f>VLOOKUP(G48,Sheet2!A:H,8,0)</f>
        <v>13277</v>
      </c>
      <c r="AB48" s="36"/>
      <c r="AC48" s="23">
        <f>VLOOKUP(G48,Sheet2!A$2:K$151,9,FALSE)</f>
        <v>680</v>
      </c>
      <c r="AF48" s="37" t="s">
        <v>6694</v>
      </c>
      <c r="AG48" s="37" t="s">
        <v>4889</v>
      </c>
      <c r="AH48" s="37" t="s">
        <v>8600</v>
      </c>
      <c r="AI48" s="37"/>
      <c r="AJ48" s="37" t="s">
        <v>7087</v>
      </c>
      <c r="AL48" s="33">
        <v>0</v>
      </c>
      <c r="AM48" s="32" t="s">
        <v>6080</v>
      </c>
      <c r="AN48" s="32" t="s">
        <v>5402</v>
      </c>
      <c r="AP48" s="32">
        <v>1</v>
      </c>
      <c r="AQ48" s="32">
        <v>0</v>
      </c>
      <c r="AR48" s="32">
        <v>1</v>
      </c>
      <c r="AS48" s="32">
        <v>1</v>
      </c>
      <c r="AU48" s="32">
        <v>0</v>
      </c>
      <c r="AV48" s="17">
        <f t="shared" si="1"/>
        <v>1</v>
      </c>
      <c r="AW48" s="32" t="str">
        <f t="shared" si="21"/>
        <v>{s_taskTalk,{500,505}}</v>
      </c>
    </row>
    <row r="49" spans="1:49" s="32" customFormat="1" ht="84" x14ac:dyDescent="0.15">
      <c r="A49" s="31">
        <v>6108</v>
      </c>
      <c r="C49" s="32" t="s">
        <v>8599</v>
      </c>
      <c r="D49" s="32">
        <v>1</v>
      </c>
      <c r="E49" s="32">
        <v>0</v>
      </c>
      <c r="F49" s="32">
        <v>2</v>
      </c>
      <c r="G49" s="33">
        <v>25</v>
      </c>
      <c r="H49" s="32">
        <v>200</v>
      </c>
      <c r="I49" s="17">
        <v>0</v>
      </c>
      <c r="J49" s="38">
        <v>6107</v>
      </c>
      <c r="K49" s="32">
        <v>0</v>
      </c>
      <c r="L49" s="32">
        <v>505</v>
      </c>
      <c r="M49" s="32" t="s">
        <v>4842</v>
      </c>
      <c r="N49" s="32">
        <v>500</v>
      </c>
      <c r="O49" s="32" t="s">
        <v>5100</v>
      </c>
      <c r="Q49" s="34">
        <v>2007</v>
      </c>
      <c r="R49" s="34"/>
      <c r="S49" s="34"/>
      <c r="T49" s="34"/>
      <c r="U49" s="32">
        <v>3</v>
      </c>
      <c r="V49" s="32">
        <v>0</v>
      </c>
      <c r="W49" s="35">
        <v>5</v>
      </c>
      <c r="Z49" s="21">
        <f>VLOOKUP(G49,Sheet2!A:H,8,0)</f>
        <v>13277</v>
      </c>
      <c r="AB49" s="36"/>
      <c r="AC49" s="23">
        <f>VLOOKUP(G49,Sheet2!A$2:K$151,9,FALSE)</f>
        <v>680</v>
      </c>
      <c r="AF49" s="37" t="s">
        <v>8601</v>
      </c>
      <c r="AG49" s="37" t="s">
        <v>8602</v>
      </c>
      <c r="AH49" s="37" t="s">
        <v>4890</v>
      </c>
      <c r="AI49" s="37" t="s">
        <v>4900</v>
      </c>
      <c r="AJ49" s="37" t="s">
        <v>8598</v>
      </c>
      <c r="AL49" s="33">
        <v>0</v>
      </c>
      <c r="AM49" s="32" t="s">
        <v>6081</v>
      </c>
      <c r="AN49" s="32" t="s">
        <v>5403</v>
      </c>
      <c r="AO49" s="32" t="s">
        <v>6236</v>
      </c>
      <c r="AP49" s="32">
        <v>1</v>
      </c>
      <c r="AQ49" s="32">
        <v>0</v>
      </c>
      <c r="AR49" s="32">
        <v>1</v>
      </c>
      <c r="AS49" s="32">
        <v>1</v>
      </c>
      <c r="AU49" s="32">
        <v>0</v>
      </c>
      <c r="AV49" s="17">
        <f t="shared" si="1"/>
        <v>1</v>
      </c>
      <c r="AW49" s="32" t="str">
        <f t="shared" si="21"/>
        <v>{s_taskTalk,{505,500}}</v>
      </c>
    </row>
    <row r="50" spans="1:49" s="32" customFormat="1" ht="72" x14ac:dyDescent="0.15">
      <c r="A50" s="31">
        <v>6109</v>
      </c>
      <c r="C50" s="25" t="s">
        <v>6695</v>
      </c>
      <c r="D50" s="32">
        <v>1</v>
      </c>
      <c r="E50" s="32">
        <v>0</v>
      </c>
      <c r="F50" s="32">
        <v>2</v>
      </c>
      <c r="G50" s="33">
        <v>26</v>
      </c>
      <c r="H50" s="32">
        <v>200</v>
      </c>
      <c r="I50" s="17">
        <v>0</v>
      </c>
      <c r="J50" s="33">
        <v>6108</v>
      </c>
      <c r="K50" s="32">
        <v>0</v>
      </c>
      <c r="L50" s="32">
        <v>500</v>
      </c>
      <c r="M50" s="32" t="s">
        <v>4823</v>
      </c>
      <c r="N50" s="32">
        <v>503</v>
      </c>
      <c r="O50" s="32" t="s">
        <v>5101</v>
      </c>
      <c r="Q50" s="34"/>
      <c r="R50" s="49">
        <v>60044</v>
      </c>
      <c r="S50" s="34"/>
      <c r="T50" s="34"/>
      <c r="U50" s="32">
        <v>1</v>
      </c>
      <c r="V50" s="32">
        <v>0</v>
      </c>
      <c r="W50" s="35">
        <v>5</v>
      </c>
      <c r="Z50" s="21">
        <f>VLOOKUP(G50,Sheet2!A:H,8,0)</f>
        <v>15667</v>
      </c>
      <c r="AB50" s="36"/>
      <c r="AC50" s="23">
        <f>VLOOKUP(G50,Sheet2!A$2:K$151,9,FALSE)</f>
        <v>700</v>
      </c>
      <c r="AD50" s="17" t="s">
        <v>7403</v>
      </c>
      <c r="AF50" s="37" t="s">
        <v>6697</v>
      </c>
      <c r="AG50" s="37" t="s">
        <v>6623</v>
      </c>
      <c r="AH50" s="37" t="s">
        <v>6624</v>
      </c>
      <c r="AI50" s="37" t="s">
        <v>4901</v>
      </c>
      <c r="AJ50" s="37" t="s">
        <v>7000</v>
      </c>
      <c r="AL50" s="33">
        <v>0</v>
      </c>
      <c r="AM50" s="32" t="s">
        <v>7564</v>
      </c>
      <c r="AN50" s="32" t="s">
        <v>7565</v>
      </c>
      <c r="AP50" s="32">
        <v>1</v>
      </c>
      <c r="AQ50" s="32">
        <v>0</v>
      </c>
      <c r="AR50" s="32">
        <v>1</v>
      </c>
      <c r="AS50" s="32">
        <v>0</v>
      </c>
      <c r="AU50" s="32">
        <v>0</v>
      </c>
      <c r="AV50" s="17">
        <f t="shared" si="1"/>
        <v>1</v>
      </c>
      <c r="AW50" s="50" t="str">
        <f>"{s_taskGuard,{"&amp;L50&amp;","&amp;N50&amp;","&amp;R50&amp;"}}"</f>
        <v>{s_taskGuard,{500,503,60044}}</v>
      </c>
    </row>
    <row r="51" spans="1:49" s="32" customFormat="1" ht="84" x14ac:dyDescent="0.15">
      <c r="A51" s="31">
        <v>6110</v>
      </c>
      <c r="C51" s="32" t="s">
        <v>6696</v>
      </c>
      <c r="D51" s="32">
        <v>1</v>
      </c>
      <c r="E51" s="32">
        <v>0</v>
      </c>
      <c r="F51" s="32">
        <v>2</v>
      </c>
      <c r="G51" s="33">
        <v>26</v>
      </c>
      <c r="H51" s="32">
        <v>200</v>
      </c>
      <c r="I51" s="17">
        <v>0</v>
      </c>
      <c r="J51" s="33">
        <v>6109</v>
      </c>
      <c r="K51" s="32">
        <v>0</v>
      </c>
      <c r="L51" s="32">
        <v>503</v>
      </c>
      <c r="M51" s="32" t="s">
        <v>4824</v>
      </c>
      <c r="N51" s="32">
        <v>504</v>
      </c>
      <c r="O51" s="32" t="s">
        <v>5102</v>
      </c>
      <c r="Q51" s="34"/>
      <c r="R51" s="34"/>
      <c r="S51" s="34">
        <v>10001</v>
      </c>
      <c r="T51" s="34"/>
      <c r="U51" s="32">
        <v>3</v>
      </c>
      <c r="V51" s="32">
        <v>0</v>
      </c>
      <c r="W51" s="35">
        <v>5</v>
      </c>
      <c r="Z51" s="21">
        <f>VLOOKUP(G51,Sheet2!A:H,8,0)</f>
        <v>15667</v>
      </c>
      <c r="AB51" s="36"/>
      <c r="AC51" s="23">
        <f>VLOOKUP(G51,Sheet2!A$2:K$151,9,FALSE)</f>
        <v>700</v>
      </c>
      <c r="AD51" s="17"/>
      <c r="AF51" s="37" t="s">
        <v>6698</v>
      </c>
      <c r="AG51" s="37" t="s">
        <v>5325</v>
      </c>
      <c r="AH51" s="37" t="s">
        <v>4891</v>
      </c>
      <c r="AI51" s="37" t="s">
        <v>6591</v>
      </c>
      <c r="AJ51" s="37" t="s">
        <v>6592</v>
      </c>
      <c r="AL51" s="33">
        <v>0</v>
      </c>
      <c r="AM51" s="32" t="s">
        <v>4892</v>
      </c>
      <c r="AN51" s="32" t="s">
        <v>5404</v>
      </c>
      <c r="AO51" s="32" t="s">
        <v>5326</v>
      </c>
      <c r="AP51" s="32">
        <v>1</v>
      </c>
      <c r="AQ51" s="32">
        <v>0</v>
      </c>
      <c r="AR51" s="32">
        <v>1</v>
      </c>
      <c r="AS51" s="32">
        <v>1</v>
      </c>
      <c r="AU51" s="32">
        <v>0</v>
      </c>
      <c r="AV51" s="17">
        <f t="shared" si="1"/>
        <v>1</v>
      </c>
      <c r="AW51" s="17" t="str">
        <f>"{s_taskKillNpc, {"&amp;L51&amp;","&amp;N51&amp;","&amp;S51&amp;","&amp;U51&amp;"}}"</f>
        <v>{s_taskKillNpc, {503,504,10001,3}}</v>
      </c>
    </row>
    <row r="52" spans="1:49" s="32" customFormat="1" ht="72" x14ac:dyDescent="0.15">
      <c r="A52" s="31">
        <v>6111</v>
      </c>
      <c r="C52" s="32" t="s">
        <v>6699</v>
      </c>
      <c r="D52" s="32">
        <v>1</v>
      </c>
      <c r="E52" s="32">
        <v>0</v>
      </c>
      <c r="F52" s="32">
        <v>2</v>
      </c>
      <c r="G52" s="33">
        <v>27</v>
      </c>
      <c r="H52" s="32">
        <v>200</v>
      </c>
      <c r="I52" s="17">
        <v>0</v>
      </c>
      <c r="J52" s="38">
        <v>6110</v>
      </c>
      <c r="K52" s="32">
        <v>0</v>
      </c>
      <c r="L52" s="32">
        <v>504</v>
      </c>
      <c r="M52" s="32" t="s">
        <v>4825</v>
      </c>
      <c r="N52" s="32">
        <v>504</v>
      </c>
      <c r="O52" s="32" t="s">
        <v>5102</v>
      </c>
      <c r="Q52" s="34"/>
      <c r="R52" s="34"/>
      <c r="S52" s="34"/>
      <c r="T52" s="34"/>
      <c r="U52" s="32">
        <v>2</v>
      </c>
      <c r="V52" s="32">
        <v>0</v>
      </c>
      <c r="W52" s="35">
        <v>5</v>
      </c>
      <c r="Z52" s="21">
        <f>VLOOKUP(G52,Sheet2!A:H,8,0)</f>
        <v>12324</v>
      </c>
      <c r="AB52" s="36"/>
      <c r="AC52" s="23">
        <f>VLOOKUP(G52,Sheet2!A$2:K$151,9,FALSE)</f>
        <v>480</v>
      </c>
      <c r="AD52" s="17" t="s">
        <v>7404</v>
      </c>
      <c r="AF52" s="37" t="s">
        <v>6700</v>
      </c>
      <c r="AG52" s="37" t="s">
        <v>4893</v>
      </c>
      <c r="AH52" s="37" t="s">
        <v>4894</v>
      </c>
      <c r="AI52" s="37"/>
      <c r="AJ52" s="37" t="s">
        <v>7001</v>
      </c>
      <c r="AL52" s="33">
        <v>0</v>
      </c>
      <c r="AM52" s="32" t="s">
        <v>6125</v>
      </c>
      <c r="AN52" s="32" t="s">
        <v>5405</v>
      </c>
      <c r="AP52" s="32">
        <v>1</v>
      </c>
      <c r="AQ52" s="32">
        <v>0</v>
      </c>
      <c r="AR52" s="32">
        <v>1</v>
      </c>
      <c r="AS52" s="32">
        <v>1</v>
      </c>
      <c r="AU52" s="32">
        <v>0</v>
      </c>
      <c r="AV52" s="17">
        <f t="shared" si="1"/>
        <v>1</v>
      </c>
      <c r="AW52" s="32" t="str">
        <f t="shared" si="21"/>
        <v>{s_taskTalk,{504,504}}</v>
      </c>
    </row>
    <row r="53" spans="1:49" s="32" customFormat="1" ht="72" x14ac:dyDescent="0.15">
      <c r="A53" s="31">
        <v>6112</v>
      </c>
      <c r="C53" s="32" t="s">
        <v>6701</v>
      </c>
      <c r="D53" s="32">
        <v>1</v>
      </c>
      <c r="E53" s="32">
        <v>0</v>
      </c>
      <c r="F53" s="32">
        <v>2</v>
      </c>
      <c r="G53" s="33">
        <v>27</v>
      </c>
      <c r="H53" s="32">
        <v>200</v>
      </c>
      <c r="I53" s="17">
        <v>0</v>
      </c>
      <c r="J53" s="33">
        <v>6111</v>
      </c>
      <c r="K53" s="32">
        <v>0</v>
      </c>
      <c r="L53" s="32">
        <v>504</v>
      </c>
      <c r="M53" s="32" t="s">
        <v>4826</v>
      </c>
      <c r="N53" s="32">
        <v>102</v>
      </c>
      <c r="O53" s="32" t="s">
        <v>5106</v>
      </c>
      <c r="Q53" s="34"/>
      <c r="R53" s="34"/>
      <c r="S53" s="34"/>
      <c r="T53" s="34"/>
      <c r="U53" s="32">
        <v>1</v>
      </c>
      <c r="V53" s="32">
        <v>1</v>
      </c>
      <c r="W53" s="35">
        <v>5</v>
      </c>
      <c r="Z53" s="21">
        <f>VLOOKUP(G53,Sheet2!A:H,8,0)</f>
        <v>12324</v>
      </c>
      <c r="AB53" s="36"/>
      <c r="AC53" s="23">
        <f>VLOOKUP(G53,Sheet2!A$2:K$151,9,FALSE)</f>
        <v>480</v>
      </c>
      <c r="AF53" s="37" t="s">
        <v>6702</v>
      </c>
      <c r="AG53" s="37" t="s">
        <v>4895</v>
      </c>
      <c r="AH53" s="37" t="s">
        <v>4896</v>
      </c>
      <c r="AI53" s="37"/>
      <c r="AJ53" s="37" t="s">
        <v>7411</v>
      </c>
      <c r="AL53" s="33">
        <v>0</v>
      </c>
      <c r="AM53" s="32" t="s">
        <v>7412</v>
      </c>
      <c r="AN53" s="32" t="s">
        <v>7413</v>
      </c>
      <c r="AP53" s="32">
        <v>1</v>
      </c>
      <c r="AQ53" s="32">
        <v>0</v>
      </c>
      <c r="AR53" s="32">
        <v>1</v>
      </c>
      <c r="AS53" s="32">
        <v>1</v>
      </c>
      <c r="AU53" s="32">
        <v>0</v>
      </c>
      <c r="AV53" s="17">
        <f t="shared" si="1"/>
        <v>1</v>
      </c>
      <c r="AW53" s="32" t="str">
        <f t="shared" si="21"/>
        <v>{s_taskTalk,{504,102}}</v>
      </c>
    </row>
    <row r="54" spans="1:49" s="32" customFormat="1" ht="84" x14ac:dyDescent="0.15">
      <c r="A54" s="31">
        <v>6113</v>
      </c>
      <c r="C54" s="51" t="s">
        <v>6703</v>
      </c>
      <c r="D54" s="32">
        <v>1</v>
      </c>
      <c r="E54" s="32">
        <v>0</v>
      </c>
      <c r="F54" s="32">
        <v>2</v>
      </c>
      <c r="G54" s="33">
        <v>27</v>
      </c>
      <c r="H54" s="32">
        <v>200</v>
      </c>
      <c r="I54" s="17">
        <v>0</v>
      </c>
      <c r="J54" s="38">
        <v>6112</v>
      </c>
      <c r="K54" s="32">
        <v>0</v>
      </c>
      <c r="L54" s="32">
        <v>102</v>
      </c>
      <c r="M54" s="32" t="s">
        <v>5106</v>
      </c>
      <c r="N54" s="32">
        <v>102</v>
      </c>
      <c r="O54" s="32" t="s">
        <v>5106</v>
      </c>
      <c r="Q54" s="34"/>
      <c r="R54" s="34"/>
      <c r="S54" s="34"/>
      <c r="T54" s="34"/>
      <c r="U54" s="32">
        <v>1</v>
      </c>
      <c r="V54" s="32">
        <v>1</v>
      </c>
      <c r="W54" s="35">
        <v>5</v>
      </c>
      <c r="Z54" s="21">
        <f>VLOOKUP(G54,Sheet2!A:H,8,0)</f>
        <v>12324</v>
      </c>
      <c r="AB54" s="36"/>
      <c r="AC54" s="23">
        <f>VLOOKUP(G54,Sheet2!A$2:K$151,9,FALSE)</f>
        <v>480</v>
      </c>
      <c r="AF54" s="37" t="s">
        <v>7384</v>
      </c>
      <c r="AG54" s="37" t="s">
        <v>7383</v>
      </c>
      <c r="AH54" s="37" t="s">
        <v>7385</v>
      </c>
      <c r="AI54" s="37" t="s">
        <v>7386</v>
      </c>
      <c r="AJ54" s="37" t="s">
        <v>7387</v>
      </c>
      <c r="AK54" s="52"/>
      <c r="AL54" s="53">
        <v>0</v>
      </c>
      <c r="AM54" s="54" t="s">
        <v>7388</v>
      </c>
      <c r="AN54" s="32" t="s">
        <v>7389</v>
      </c>
      <c r="AP54" s="32">
        <v>1</v>
      </c>
      <c r="AQ54" s="32">
        <v>0</v>
      </c>
      <c r="AR54" s="32">
        <v>1</v>
      </c>
      <c r="AS54" s="32">
        <v>1</v>
      </c>
      <c r="AU54" s="32">
        <v>0</v>
      </c>
      <c r="AV54" s="17">
        <f t="shared" si="1"/>
        <v>1</v>
      </c>
      <c r="AW54" s="32" t="str">
        <f t="shared" si="21"/>
        <v>{s_taskTalk,{102,102}}</v>
      </c>
    </row>
    <row r="55" spans="1:49" s="32" customFormat="1" ht="84" x14ac:dyDescent="0.15">
      <c r="A55" s="31">
        <v>7112</v>
      </c>
      <c r="C55" s="25" t="s">
        <v>6703</v>
      </c>
      <c r="D55" s="32">
        <v>1</v>
      </c>
      <c r="E55" s="32">
        <v>0</v>
      </c>
      <c r="F55" s="32">
        <v>2</v>
      </c>
      <c r="G55" s="33">
        <v>27</v>
      </c>
      <c r="H55" s="32">
        <v>200</v>
      </c>
      <c r="I55" s="17">
        <v>0</v>
      </c>
      <c r="J55" s="38">
        <v>6112</v>
      </c>
      <c r="K55" s="32">
        <v>0</v>
      </c>
      <c r="L55" s="32">
        <v>102</v>
      </c>
      <c r="M55" s="32" t="s">
        <v>3654</v>
      </c>
      <c r="N55" s="32">
        <v>102</v>
      </c>
      <c r="O55" s="32" t="s">
        <v>3654</v>
      </c>
      <c r="Q55" s="34"/>
      <c r="R55" s="34"/>
      <c r="S55" s="34"/>
      <c r="T55" s="34"/>
      <c r="U55" s="32">
        <v>1</v>
      </c>
      <c r="V55" s="32">
        <v>1</v>
      </c>
      <c r="W55" s="35">
        <v>5</v>
      </c>
      <c r="Z55" s="21">
        <f>VLOOKUP(G55,Sheet2!A:H,8,0)</f>
        <v>12324</v>
      </c>
      <c r="AB55" s="36"/>
      <c r="AC55" s="23">
        <f>VLOOKUP(G55,Sheet2!A$2:K$151,9,FALSE)</f>
        <v>480</v>
      </c>
      <c r="AD55" s="32" t="s">
        <v>7405</v>
      </c>
      <c r="AF55" s="37" t="s">
        <v>7384</v>
      </c>
      <c r="AG55" s="37" t="s">
        <v>7383</v>
      </c>
      <c r="AH55" s="37" t="s">
        <v>3814</v>
      </c>
      <c r="AI55" s="37" t="s">
        <v>4897</v>
      </c>
      <c r="AJ55" s="37" t="s">
        <v>7088</v>
      </c>
      <c r="AK55" s="52"/>
      <c r="AL55" s="53">
        <v>0</v>
      </c>
      <c r="AM55" s="54" t="s">
        <v>6202</v>
      </c>
      <c r="AN55" s="32" t="s">
        <v>7390</v>
      </c>
      <c r="AP55" s="32">
        <v>0</v>
      </c>
      <c r="AQ55" s="32">
        <v>0</v>
      </c>
      <c r="AR55" s="32">
        <v>1</v>
      </c>
      <c r="AS55" s="32">
        <v>1</v>
      </c>
      <c r="AU55" s="32">
        <v>0</v>
      </c>
      <c r="AV55" s="17">
        <f t="shared" ref="AV55:AV57" si="28">IF(D55 = 1,1,0)</f>
        <v>1</v>
      </c>
      <c r="AW55" s="32" t="str">
        <f t="shared" ref="AW55:AW57" si="29">"{s_taskTalk,{"&amp;L55&amp;","&amp;N55&amp;"}}"</f>
        <v>{s_taskTalk,{102,102}}</v>
      </c>
    </row>
    <row r="56" spans="1:49" s="32" customFormat="1" ht="84" x14ac:dyDescent="0.15">
      <c r="A56" s="31">
        <v>7113</v>
      </c>
      <c r="C56" s="25" t="s">
        <v>6703</v>
      </c>
      <c r="D56" s="32">
        <v>1</v>
      </c>
      <c r="E56" s="32">
        <v>0</v>
      </c>
      <c r="F56" s="32">
        <v>2</v>
      </c>
      <c r="G56" s="33">
        <v>27</v>
      </c>
      <c r="H56" s="32">
        <v>200</v>
      </c>
      <c r="I56" s="17">
        <v>0</v>
      </c>
      <c r="J56" s="38">
        <v>6112</v>
      </c>
      <c r="K56" s="32">
        <v>0</v>
      </c>
      <c r="L56" s="32">
        <v>102</v>
      </c>
      <c r="M56" s="32" t="s">
        <v>3654</v>
      </c>
      <c r="N56" s="32">
        <v>102</v>
      </c>
      <c r="O56" s="32" t="s">
        <v>3654</v>
      </c>
      <c r="Q56" s="34"/>
      <c r="R56" s="34"/>
      <c r="S56" s="34"/>
      <c r="T56" s="34"/>
      <c r="U56" s="32">
        <v>1</v>
      </c>
      <c r="V56" s="32">
        <v>1</v>
      </c>
      <c r="W56" s="35">
        <v>5</v>
      </c>
      <c r="Z56" s="21">
        <f>VLOOKUP(G56,Sheet2!A:H,8,0)</f>
        <v>12324</v>
      </c>
      <c r="AB56" s="36"/>
      <c r="AC56" s="23">
        <f>VLOOKUP(G56,Sheet2!A$2:K$151,9,FALSE)</f>
        <v>480</v>
      </c>
      <c r="AD56" s="32" t="s">
        <v>7405</v>
      </c>
      <c r="AF56" s="37" t="s">
        <v>7384</v>
      </c>
      <c r="AG56" s="37" t="s">
        <v>7383</v>
      </c>
      <c r="AH56" s="37" t="s">
        <v>3814</v>
      </c>
      <c r="AI56" s="37" t="s">
        <v>4897</v>
      </c>
      <c r="AJ56" s="37" t="s">
        <v>7088</v>
      </c>
      <c r="AK56" s="52"/>
      <c r="AL56" s="53">
        <v>0</v>
      </c>
      <c r="AM56" s="54" t="s">
        <v>6202</v>
      </c>
      <c r="AN56" s="32" t="s">
        <v>7391</v>
      </c>
      <c r="AP56" s="32">
        <v>0</v>
      </c>
      <c r="AQ56" s="32">
        <v>0</v>
      </c>
      <c r="AR56" s="32">
        <v>1</v>
      </c>
      <c r="AS56" s="32">
        <v>1</v>
      </c>
      <c r="AU56" s="32">
        <v>0</v>
      </c>
      <c r="AV56" s="17">
        <f t="shared" si="28"/>
        <v>1</v>
      </c>
      <c r="AW56" s="32" t="str">
        <f t="shared" si="29"/>
        <v>{s_taskTalk,{102,102}}</v>
      </c>
    </row>
    <row r="57" spans="1:49" s="32" customFormat="1" ht="84" x14ac:dyDescent="0.15">
      <c r="A57" s="31">
        <v>7114</v>
      </c>
      <c r="C57" s="25" t="s">
        <v>6703</v>
      </c>
      <c r="D57" s="32">
        <v>1</v>
      </c>
      <c r="E57" s="32">
        <v>0</v>
      </c>
      <c r="F57" s="32">
        <v>2</v>
      </c>
      <c r="G57" s="33">
        <v>27</v>
      </c>
      <c r="H57" s="32">
        <v>200</v>
      </c>
      <c r="I57" s="17">
        <v>0</v>
      </c>
      <c r="J57" s="38">
        <v>6112</v>
      </c>
      <c r="K57" s="32">
        <v>0</v>
      </c>
      <c r="L57" s="32">
        <v>102</v>
      </c>
      <c r="M57" s="32" t="s">
        <v>3654</v>
      </c>
      <c r="N57" s="32">
        <v>102</v>
      </c>
      <c r="O57" s="32" t="s">
        <v>3654</v>
      </c>
      <c r="Q57" s="34"/>
      <c r="R57" s="34"/>
      <c r="S57" s="34"/>
      <c r="T57" s="34"/>
      <c r="U57" s="32">
        <v>1</v>
      </c>
      <c r="V57" s="32">
        <v>1</v>
      </c>
      <c r="W57" s="35">
        <v>5</v>
      </c>
      <c r="Z57" s="21">
        <f>VLOOKUP(G57,Sheet2!A:H,8,0)</f>
        <v>12324</v>
      </c>
      <c r="AB57" s="36"/>
      <c r="AC57" s="23">
        <f>VLOOKUP(G57,Sheet2!A$2:K$151,9,FALSE)</f>
        <v>480</v>
      </c>
      <c r="AD57" s="32" t="s">
        <v>7405</v>
      </c>
      <c r="AF57" s="37" t="s">
        <v>7384</v>
      </c>
      <c r="AG57" s="37" t="s">
        <v>7383</v>
      </c>
      <c r="AH57" s="37" t="s">
        <v>3814</v>
      </c>
      <c r="AI57" s="37" t="s">
        <v>4897</v>
      </c>
      <c r="AJ57" s="37" t="s">
        <v>7088</v>
      </c>
      <c r="AK57" s="52"/>
      <c r="AL57" s="53">
        <v>0</v>
      </c>
      <c r="AM57" s="54" t="s">
        <v>6202</v>
      </c>
      <c r="AN57" s="32" t="s">
        <v>7392</v>
      </c>
      <c r="AP57" s="32">
        <v>0</v>
      </c>
      <c r="AQ57" s="32">
        <v>0</v>
      </c>
      <c r="AR57" s="32">
        <v>1</v>
      </c>
      <c r="AS57" s="32">
        <v>1</v>
      </c>
      <c r="AU57" s="32">
        <v>0</v>
      </c>
      <c r="AV57" s="17">
        <f t="shared" si="28"/>
        <v>1</v>
      </c>
      <c r="AW57" s="32" t="str">
        <f t="shared" si="29"/>
        <v>{s_taskTalk,{102,102}}</v>
      </c>
    </row>
    <row r="58" spans="1:49" s="32" customFormat="1" ht="72" x14ac:dyDescent="0.15">
      <c r="A58" s="31">
        <v>6114</v>
      </c>
      <c r="C58" s="32" t="s">
        <v>6705</v>
      </c>
      <c r="D58" s="32">
        <v>1</v>
      </c>
      <c r="E58" s="32">
        <v>0</v>
      </c>
      <c r="F58" s="32">
        <v>2</v>
      </c>
      <c r="G58" s="33">
        <v>28</v>
      </c>
      <c r="H58" s="32">
        <v>200</v>
      </c>
      <c r="I58" s="17">
        <v>0</v>
      </c>
      <c r="J58" s="33">
        <v>6113</v>
      </c>
      <c r="K58" s="32">
        <v>0</v>
      </c>
      <c r="L58" s="32">
        <v>102</v>
      </c>
      <c r="M58" s="32" t="s">
        <v>5106</v>
      </c>
      <c r="N58" s="32">
        <v>116</v>
      </c>
      <c r="O58" s="32" t="s">
        <v>5103</v>
      </c>
      <c r="Q58" s="34"/>
      <c r="R58" s="34"/>
      <c r="S58" s="34"/>
      <c r="T58" s="34"/>
      <c r="U58" s="32">
        <v>1</v>
      </c>
      <c r="V58" s="32">
        <v>1</v>
      </c>
      <c r="W58" s="35">
        <v>5</v>
      </c>
      <c r="Z58" s="21">
        <f>VLOOKUP(G58,Sheet2!A:H,8,0)</f>
        <v>21814</v>
      </c>
      <c r="AB58" s="36"/>
      <c r="AC58" s="23">
        <f>VLOOKUP(G58,Sheet2!A$2:K$151,9,FALSE)</f>
        <v>740</v>
      </c>
      <c r="AF58" s="37" t="s">
        <v>6706</v>
      </c>
      <c r="AG58" s="37" t="s">
        <v>4898</v>
      </c>
      <c r="AH58" s="37" t="s">
        <v>4899</v>
      </c>
      <c r="AI58" s="37"/>
      <c r="AJ58" s="37" t="s">
        <v>7089</v>
      </c>
      <c r="AL58" s="33">
        <v>0</v>
      </c>
      <c r="AM58" s="32" t="s">
        <v>6082</v>
      </c>
      <c r="AN58" s="32" t="s">
        <v>5406</v>
      </c>
      <c r="AP58" s="32">
        <v>1</v>
      </c>
      <c r="AQ58" s="32">
        <v>0</v>
      </c>
      <c r="AR58" s="32">
        <v>1</v>
      </c>
      <c r="AS58" s="32">
        <v>1</v>
      </c>
      <c r="AU58" s="32">
        <v>0</v>
      </c>
      <c r="AV58" s="17">
        <f t="shared" si="1"/>
        <v>1</v>
      </c>
      <c r="AW58" s="32" t="str">
        <f t="shared" si="21"/>
        <v>{s_taskTalk,{102,116}}</v>
      </c>
    </row>
    <row r="59" spans="1:49" s="32" customFormat="1" ht="72" x14ac:dyDescent="0.15">
      <c r="A59" s="55">
        <v>6115</v>
      </c>
      <c r="B59" s="56"/>
      <c r="C59" s="56" t="s">
        <v>4902</v>
      </c>
      <c r="D59" s="56">
        <v>1</v>
      </c>
      <c r="E59" s="56">
        <v>0</v>
      </c>
      <c r="F59" s="56">
        <v>2</v>
      </c>
      <c r="G59" s="60">
        <v>200</v>
      </c>
      <c r="H59" s="56">
        <v>200</v>
      </c>
      <c r="I59" s="56">
        <v>0</v>
      </c>
      <c r="J59" s="57">
        <v>6114</v>
      </c>
      <c r="K59" s="56">
        <v>0</v>
      </c>
      <c r="L59" s="56">
        <v>116</v>
      </c>
      <c r="M59" s="56" t="s">
        <v>4828</v>
      </c>
      <c r="N59" s="56">
        <v>116</v>
      </c>
      <c r="O59" s="56" t="s">
        <v>5103</v>
      </c>
      <c r="Q59" s="34">
        <v>2008</v>
      </c>
      <c r="R59" s="34"/>
      <c r="S59" s="34"/>
      <c r="T59" s="34"/>
      <c r="U59" s="32">
        <v>1</v>
      </c>
      <c r="V59" s="32">
        <v>0</v>
      </c>
      <c r="W59" s="35">
        <v>5</v>
      </c>
      <c r="Z59" s="21">
        <v>0</v>
      </c>
      <c r="AB59" s="36"/>
      <c r="AC59" s="23"/>
      <c r="AF59" s="37" t="s">
        <v>6707</v>
      </c>
      <c r="AG59" s="37" t="s">
        <v>6237</v>
      </c>
      <c r="AH59" s="37" t="s">
        <v>4903</v>
      </c>
      <c r="AI59" s="37" t="s">
        <v>4904</v>
      </c>
      <c r="AJ59" s="37" t="s">
        <v>6561</v>
      </c>
      <c r="AL59" s="33">
        <v>0</v>
      </c>
      <c r="AM59" s="32" t="s">
        <v>6126</v>
      </c>
      <c r="AN59" s="32" t="s">
        <v>5407</v>
      </c>
      <c r="AO59" s="32" t="s">
        <v>6238</v>
      </c>
      <c r="AP59" s="32">
        <v>1</v>
      </c>
      <c r="AQ59" s="32">
        <v>0</v>
      </c>
      <c r="AR59" s="32">
        <v>1</v>
      </c>
      <c r="AS59" s="32">
        <v>1</v>
      </c>
      <c r="AU59" s="32">
        <v>0</v>
      </c>
      <c r="AV59" s="17">
        <f t="shared" si="1"/>
        <v>1</v>
      </c>
      <c r="AW59" s="32" t="str">
        <f t="shared" si="21"/>
        <v>{s_taskTalk,{116,116}}</v>
      </c>
    </row>
    <row r="60" spans="1:49" s="32" customFormat="1" ht="72" x14ac:dyDescent="0.15">
      <c r="A60" s="55">
        <v>7115</v>
      </c>
      <c r="B60" s="56"/>
      <c r="C60" s="56" t="s">
        <v>4902</v>
      </c>
      <c r="D60" s="56">
        <v>1</v>
      </c>
      <c r="E60" s="56">
        <v>0</v>
      </c>
      <c r="F60" s="56">
        <v>2</v>
      </c>
      <c r="G60" s="60">
        <v>200</v>
      </c>
      <c r="H60" s="56">
        <v>200</v>
      </c>
      <c r="I60" s="56">
        <v>0</v>
      </c>
      <c r="J60" s="57">
        <v>6114</v>
      </c>
      <c r="K60" s="56">
        <v>0</v>
      </c>
      <c r="L60" s="56">
        <v>116</v>
      </c>
      <c r="M60" s="56" t="s">
        <v>4827</v>
      </c>
      <c r="N60" s="56">
        <v>116</v>
      </c>
      <c r="O60" s="56" t="s">
        <v>4827</v>
      </c>
      <c r="Q60" s="34">
        <v>2008</v>
      </c>
      <c r="R60" s="34"/>
      <c r="S60" s="34"/>
      <c r="T60" s="34"/>
      <c r="U60" s="32">
        <v>1</v>
      </c>
      <c r="V60" s="32">
        <v>0</v>
      </c>
      <c r="W60" s="35">
        <v>5</v>
      </c>
      <c r="Z60" s="21">
        <v>0</v>
      </c>
      <c r="AB60" s="36"/>
      <c r="AC60" s="23"/>
      <c r="AD60" s="17" t="s">
        <v>7168</v>
      </c>
      <c r="AF60" s="37" t="s">
        <v>6707</v>
      </c>
      <c r="AG60" s="37" t="s">
        <v>6237</v>
      </c>
      <c r="AH60" s="37" t="s">
        <v>4903</v>
      </c>
      <c r="AI60" s="37" t="s">
        <v>4904</v>
      </c>
      <c r="AJ60" s="37" t="s">
        <v>6561</v>
      </c>
      <c r="AL60" s="33">
        <v>0</v>
      </c>
      <c r="AM60" s="32" t="s">
        <v>6239</v>
      </c>
      <c r="AN60" s="32" t="s">
        <v>6240</v>
      </c>
      <c r="AO60" s="32" t="s">
        <v>6238</v>
      </c>
      <c r="AP60" s="32">
        <v>0</v>
      </c>
      <c r="AQ60" s="32">
        <v>0</v>
      </c>
      <c r="AR60" s="32">
        <v>1</v>
      </c>
      <c r="AS60" s="32">
        <v>1</v>
      </c>
      <c r="AU60" s="32">
        <v>0</v>
      </c>
      <c r="AV60" s="17">
        <f t="shared" ref="AV60:AV61" si="30">IF(D60 = 1,1,0)</f>
        <v>1</v>
      </c>
      <c r="AW60" s="32" t="str">
        <f t="shared" ref="AW60:AW61" si="31">"{s_taskTalk,{"&amp;L60&amp;","&amp;N60&amp;"}}"</f>
        <v>{s_taskTalk,{116,116}}</v>
      </c>
    </row>
    <row r="61" spans="1:49" s="32" customFormat="1" ht="72" x14ac:dyDescent="0.15">
      <c r="A61" s="55">
        <v>7116</v>
      </c>
      <c r="B61" s="56"/>
      <c r="C61" s="56" t="s">
        <v>4902</v>
      </c>
      <c r="D61" s="56">
        <v>1</v>
      </c>
      <c r="E61" s="56">
        <v>0</v>
      </c>
      <c r="F61" s="56">
        <v>2</v>
      </c>
      <c r="G61" s="60">
        <v>200</v>
      </c>
      <c r="H61" s="56">
        <v>200</v>
      </c>
      <c r="I61" s="56">
        <v>0</v>
      </c>
      <c r="J61" s="57">
        <v>6114</v>
      </c>
      <c r="K61" s="56">
        <v>0</v>
      </c>
      <c r="L61" s="56">
        <v>116</v>
      </c>
      <c r="M61" s="56" t="s">
        <v>4827</v>
      </c>
      <c r="N61" s="56">
        <v>116</v>
      </c>
      <c r="O61" s="56" t="s">
        <v>4827</v>
      </c>
      <c r="Q61" s="34">
        <v>2008</v>
      </c>
      <c r="R61" s="34"/>
      <c r="S61" s="34"/>
      <c r="T61" s="34"/>
      <c r="U61" s="32">
        <v>1</v>
      </c>
      <c r="V61" s="32">
        <v>0</v>
      </c>
      <c r="W61" s="35">
        <v>5</v>
      </c>
      <c r="Z61" s="21">
        <v>0</v>
      </c>
      <c r="AB61" s="36"/>
      <c r="AC61" s="23"/>
      <c r="AD61" s="17" t="s">
        <v>7169</v>
      </c>
      <c r="AF61" s="37" t="s">
        <v>6707</v>
      </c>
      <c r="AG61" s="37" t="s">
        <v>6237</v>
      </c>
      <c r="AH61" s="37" t="s">
        <v>4903</v>
      </c>
      <c r="AI61" s="37" t="s">
        <v>4904</v>
      </c>
      <c r="AJ61" s="37" t="s">
        <v>6561</v>
      </c>
      <c r="AL61" s="33">
        <v>0</v>
      </c>
      <c r="AM61" s="32" t="s">
        <v>6242</v>
      </c>
      <c r="AN61" s="32" t="s">
        <v>6241</v>
      </c>
      <c r="AO61" s="32" t="s">
        <v>6238</v>
      </c>
      <c r="AP61" s="32">
        <v>0</v>
      </c>
      <c r="AQ61" s="32">
        <v>0</v>
      </c>
      <c r="AR61" s="32">
        <v>1</v>
      </c>
      <c r="AS61" s="32">
        <v>1</v>
      </c>
      <c r="AU61" s="32">
        <v>0</v>
      </c>
      <c r="AV61" s="17">
        <f t="shared" si="30"/>
        <v>1</v>
      </c>
      <c r="AW61" s="32" t="str">
        <f t="shared" si="31"/>
        <v>{s_taskTalk,{116,116}}</v>
      </c>
    </row>
    <row r="62" spans="1:49" s="32" customFormat="1" ht="72" x14ac:dyDescent="0.15">
      <c r="A62" s="31">
        <v>6116</v>
      </c>
      <c r="C62" s="32" t="s">
        <v>6704</v>
      </c>
      <c r="D62" s="32">
        <v>1</v>
      </c>
      <c r="E62" s="32">
        <v>0</v>
      </c>
      <c r="F62" s="32">
        <v>2</v>
      </c>
      <c r="G62" s="33">
        <v>28</v>
      </c>
      <c r="H62" s="32">
        <v>200</v>
      </c>
      <c r="I62" s="17">
        <v>0</v>
      </c>
      <c r="J62" s="38">
        <v>6114</v>
      </c>
      <c r="K62" s="32">
        <v>0</v>
      </c>
      <c r="L62" s="32">
        <v>116</v>
      </c>
      <c r="M62" s="32" t="s">
        <v>4827</v>
      </c>
      <c r="N62" s="32">
        <v>506</v>
      </c>
      <c r="O62" s="32" t="s">
        <v>5104</v>
      </c>
      <c r="Q62" s="34"/>
      <c r="R62" s="34"/>
      <c r="S62" s="34"/>
      <c r="T62" s="34"/>
      <c r="U62" s="32">
        <v>1</v>
      </c>
      <c r="V62" s="32">
        <v>1</v>
      </c>
      <c r="W62" s="35">
        <v>5</v>
      </c>
      <c r="Z62" s="21">
        <f>VLOOKUP(G62,Sheet2!A:H,8,0)</f>
        <v>21814</v>
      </c>
      <c r="AB62" s="36"/>
      <c r="AC62" s="23">
        <f>VLOOKUP(G62,Sheet2!A$2:K$151,9,FALSE)</f>
        <v>740</v>
      </c>
      <c r="AD62" s="32" t="s">
        <v>7535</v>
      </c>
      <c r="AF62" s="37" t="s">
        <v>6708</v>
      </c>
      <c r="AG62" s="37" t="s">
        <v>4905</v>
      </c>
      <c r="AH62" s="37" t="s">
        <v>4906</v>
      </c>
      <c r="AI62" s="37"/>
      <c r="AJ62" s="37" t="s">
        <v>7002</v>
      </c>
      <c r="AL62" s="33">
        <v>0</v>
      </c>
      <c r="AM62" s="32" t="s">
        <v>6083</v>
      </c>
      <c r="AN62" s="32" t="s">
        <v>5408</v>
      </c>
      <c r="AP62" s="32">
        <v>1</v>
      </c>
      <c r="AQ62" s="32">
        <v>0</v>
      </c>
      <c r="AR62" s="32">
        <v>1</v>
      </c>
      <c r="AS62" s="32">
        <v>1</v>
      </c>
      <c r="AU62" s="32">
        <v>0</v>
      </c>
      <c r="AV62" s="17">
        <f t="shared" si="1"/>
        <v>1</v>
      </c>
      <c r="AW62" s="32" t="str">
        <f t="shared" si="21"/>
        <v>{s_taskTalk,{116,506}}</v>
      </c>
    </row>
    <row r="63" spans="1:49" s="32" customFormat="1" ht="72" x14ac:dyDescent="0.15">
      <c r="A63" s="31">
        <v>6117</v>
      </c>
      <c r="C63" s="32" t="s">
        <v>6709</v>
      </c>
      <c r="D63" s="32">
        <v>1</v>
      </c>
      <c r="E63" s="32">
        <v>0</v>
      </c>
      <c r="F63" s="32">
        <v>2</v>
      </c>
      <c r="G63" s="33">
        <v>29</v>
      </c>
      <c r="H63" s="32">
        <v>200</v>
      </c>
      <c r="I63" s="17">
        <v>0</v>
      </c>
      <c r="J63" s="33">
        <v>6116</v>
      </c>
      <c r="K63" s="32">
        <v>0</v>
      </c>
      <c r="L63" s="32">
        <v>506</v>
      </c>
      <c r="M63" s="32" t="s">
        <v>5104</v>
      </c>
      <c r="N63" s="32">
        <v>506</v>
      </c>
      <c r="O63" s="32" t="s">
        <v>5104</v>
      </c>
      <c r="Q63" s="34"/>
      <c r="R63" s="34"/>
      <c r="S63" s="34">
        <v>10002</v>
      </c>
      <c r="T63" s="34"/>
      <c r="U63" s="32">
        <v>5</v>
      </c>
      <c r="V63" s="32">
        <v>0</v>
      </c>
      <c r="W63" s="35">
        <v>5</v>
      </c>
      <c r="Z63" s="21">
        <f>VLOOKUP(G63,Sheet2!A:H,8,0)</f>
        <v>25741</v>
      </c>
      <c r="AB63" s="36"/>
      <c r="AC63" s="23">
        <f>VLOOKUP(G63,Sheet2!A$2:K$151,9,FALSE)</f>
        <v>760</v>
      </c>
      <c r="AF63" s="37" t="s">
        <v>6711</v>
      </c>
      <c r="AG63" s="37" t="s">
        <v>4907</v>
      </c>
      <c r="AH63" s="37" t="s">
        <v>4908</v>
      </c>
      <c r="AI63" s="37" t="s">
        <v>4909</v>
      </c>
      <c r="AJ63" s="37" t="s">
        <v>7003</v>
      </c>
      <c r="AL63" s="33">
        <v>0</v>
      </c>
      <c r="AM63" s="32" t="s">
        <v>6185</v>
      </c>
      <c r="AN63" s="32" t="s">
        <v>5409</v>
      </c>
      <c r="AP63" s="32">
        <v>1</v>
      </c>
      <c r="AQ63" s="32">
        <v>0</v>
      </c>
      <c r="AR63" s="32">
        <v>1</v>
      </c>
      <c r="AS63" s="32">
        <v>1</v>
      </c>
      <c r="AU63" s="32">
        <v>0</v>
      </c>
      <c r="AV63" s="17">
        <f t="shared" si="1"/>
        <v>1</v>
      </c>
      <c r="AW63" s="17" t="str">
        <f>"{s_taskKillNpc, {"&amp;L63&amp;","&amp;N63&amp;","&amp;S63&amp;","&amp;U63&amp;"}}"</f>
        <v>{s_taskKillNpc, {506,506,10002,5}}</v>
      </c>
    </row>
    <row r="64" spans="1:49" s="32" customFormat="1" ht="72" x14ac:dyDescent="0.15">
      <c r="A64" s="31">
        <v>6118</v>
      </c>
      <c r="C64" s="32" t="s">
        <v>6710</v>
      </c>
      <c r="D64" s="32">
        <v>1</v>
      </c>
      <c r="E64" s="32">
        <v>0</v>
      </c>
      <c r="F64" s="32">
        <v>2</v>
      </c>
      <c r="G64" s="33">
        <v>29</v>
      </c>
      <c r="H64" s="32">
        <v>200</v>
      </c>
      <c r="I64" s="17">
        <v>0</v>
      </c>
      <c r="J64" s="38">
        <v>6117</v>
      </c>
      <c r="K64" s="32">
        <v>0</v>
      </c>
      <c r="L64" s="32">
        <v>506</v>
      </c>
      <c r="M64" s="32" t="s">
        <v>4829</v>
      </c>
      <c r="N64" s="32">
        <v>506</v>
      </c>
      <c r="O64" s="32" t="s">
        <v>5104</v>
      </c>
      <c r="Q64" s="34">
        <v>2009</v>
      </c>
      <c r="R64" s="34"/>
      <c r="S64" s="34"/>
      <c r="T64" s="34"/>
      <c r="U64" s="32">
        <v>1</v>
      </c>
      <c r="V64" s="32">
        <v>0</v>
      </c>
      <c r="W64" s="35">
        <v>5</v>
      </c>
      <c r="Z64" s="21">
        <f>VLOOKUP(G64,Sheet2!A:H,8,0)</f>
        <v>25741</v>
      </c>
      <c r="AB64" s="36"/>
      <c r="AC64" s="23">
        <f>VLOOKUP(G64,Sheet2!A$2:K$151,9,FALSE)</f>
        <v>760</v>
      </c>
      <c r="AF64" s="37" t="s">
        <v>6712</v>
      </c>
      <c r="AG64" s="37" t="s">
        <v>4910</v>
      </c>
      <c r="AH64" s="37" t="s">
        <v>6714</v>
      </c>
      <c r="AI64" s="37" t="s">
        <v>4911</v>
      </c>
      <c r="AJ64" s="37" t="s">
        <v>7090</v>
      </c>
      <c r="AL64" s="33">
        <v>0</v>
      </c>
      <c r="AM64" s="32" t="s">
        <v>4912</v>
      </c>
      <c r="AN64" s="32" t="s">
        <v>5410</v>
      </c>
      <c r="AO64" s="32" t="s">
        <v>4870</v>
      </c>
      <c r="AP64" s="32">
        <v>1</v>
      </c>
      <c r="AQ64" s="32">
        <v>0</v>
      </c>
      <c r="AR64" s="32">
        <v>1</v>
      </c>
      <c r="AS64" s="32">
        <v>1</v>
      </c>
      <c r="AU64" s="32">
        <v>0</v>
      </c>
      <c r="AV64" s="17">
        <f t="shared" si="1"/>
        <v>1</v>
      </c>
      <c r="AW64" s="32" t="str">
        <f t="shared" si="21"/>
        <v>{s_taskTalk,{506,506}}</v>
      </c>
    </row>
    <row r="65" spans="1:49" s="32" customFormat="1" ht="72" x14ac:dyDescent="0.15">
      <c r="A65" s="31">
        <v>6119</v>
      </c>
      <c r="C65" s="32" t="s">
        <v>7119</v>
      </c>
      <c r="D65" s="32">
        <v>1</v>
      </c>
      <c r="E65" s="32">
        <v>0</v>
      </c>
      <c r="F65" s="32">
        <v>2</v>
      </c>
      <c r="G65" s="33">
        <v>30</v>
      </c>
      <c r="H65" s="32">
        <v>200</v>
      </c>
      <c r="I65" s="17">
        <v>0</v>
      </c>
      <c r="J65" s="38">
        <v>6118</v>
      </c>
      <c r="K65" s="32">
        <v>0</v>
      </c>
      <c r="L65" s="32">
        <v>506</v>
      </c>
      <c r="M65" s="32" t="s">
        <v>4829</v>
      </c>
      <c r="N65" s="32">
        <v>506</v>
      </c>
      <c r="O65" s="32" t="s">
        <v>5104</v>
      </c>
      <c r="Q65" s="34"/>
      <c r="R65" s="34"/>
      <c r="S65" s="34"/>
      <c r="T65" s="34"/>
      <c r="U65" s="32">
        <v>1</v>
      </c>
      <c r="V65" s="32">
        <v>1</v>
      </c>
      <c r="W65" s="35">
        <v>5</v>
      </c>
      <c r="Z65" s="21">
        <f>VLOOKUP(G65,Sheet2!A:H,8,0)</f>
        <v>30375</v>
      </c>
      <c r="AB65" s="36"/>
      <c r="AC65" s="23">
        <f>VLOOKUP(G65,Sheet2!A$2:K$151,9,FALSE)</f>
        <v>780</v>
      </c>
      <c r="AD65" s="32" t="s">
        <v>7215</v>
      </c>
      <c r="AF65" s="37" t="s">
        <v>7120</v>
      </c>
      <c r="AG65" s="37" t="s">
        <v>7118</v>
      </c>
      <c r="AH65" s="37" t="s">
        <v>6715</v>
      </c>
      <c r="AI65" s="37"/>
      <c r="AJ65" s="37" t="s">
        <v>7117</v>
      </c>
      <c r="AL65" s="33">
        <v>0</v>
      </c>
      <c r="AM65" s="32" t="s">
        <v>6718</v>
      </c>
      <c r="AN65" s="32" t="s">
        <v>6719</v>
      </c>
      <c r="AP65" s="32">
        <v>1</v>
      </c>
      <c r="AQ65" s="32">
        <v>0</v>
      </c>
      <c r="AR65" s="32">
        <v>1</v>
      </c>
      <c r="AS65" s="32">
        <v>1</v>
      </c>
      <c r="AU65" s="32">
        <v>0</v>
      </c>
      <c r="AV65" s="17">
        <f t="shared" si="1"/>
        <v>1</v>
      </c>
      <c r="AW65" s="32" t="str">
        <f t="shared" si="21"/>
        <v>{s_taskTalk,{506,506}}</v>
      </c>
    </row>
    <row r="66" spans="1:49" s="17" customFormat="1" ht="72" x14ac:dyDescent="0.15">
      <c r="A66" s="58">
        <v>7013</v>
      </c>
      <c r="B66" s="58"/>
      <c r="C66" s="59" t="s">
        <v>6713</v>
      </c>
      <c r="D66" s="58">
        <v>1</v>
      </c>
      <c r="E66" s="58">
        <v>0</v>
      </c>
      <c r="F66" s="58">
        <v>1</v>
      </c>
      <c r="G66" s="663">
        <v>200</v>
      </c>
      <c r="H66" s="58">
        <v>200</v>
      </c>
      <c r="I66" s="58">
        <v>0</v>
      </c>
      <c r="J66" s="58">
        <v>6119</v>
      </c>
      <c r="K66" s="58">
        <v>0</v>
      </c>
      <c r="L66" s="58">
        <v>506</v>
      </c>
      <c r="M66" s="58" t="s">
        <v>5104</v>
      </c>
      <c r="N66" s="58">
        <v>506</v>
      </c>
      <c r="O66" s="58" t="s">
        <v>5104</v>
      </c>
      <c r="Q66" s="19"/>
      <c r="R66" s="19"/>
      <c r="S66" s="19"/>
      <c r="T66" s="19"/>
      <c r="U66" s="17">
        <v>1</v>
      </c>
      <c r="V66" s="17">
        <v>1</v>
      </c>
      <c r="W66" s="20">
        <v>5</v>
      </c>
      <c r="Z66" s="21">
        <v>0</v>
      </c>
      <c r="AB66" s="22"/>
      <c r="AC66" s="23"/>
      <c r="AF66" s="24" t="s">
        <v>6880</v>
      </c>
      <c r="AG66" s="24" t="s">
        <v>6716</v>
      </c>
      <c r="AH66" s="24" t="s">
        <v>6717</v>
      </c>
      <c r="AI66" s="24" t="s">
        <v>6214</v>
      </c>
      <c r="AJ66" s="24" t="s">
        <v>6560</v>
      </c>
      <c r="AL66" s="18">
        <v>0</v>
      </c>
      <c r="AM66" s="17" t="s">
        <v>6235</v>
      </c>
      <c r="AN66" s="17" t="s">
        <v>6750</v>
      </c>
      <c r="AP66" s="17">
        <v>1</v>
      </c>
      <c r="AQ66" s="17">
        <v>0</v>
      </c>
      <c r="AR66" s="17">
        <v>1</v>
      </c>
      <c r="AS66" s="17">
        <v>1</v>
      </c>
      <c r="AU66" s="17">
        <v>0</v>
      </c>
      <c r="AV66" s="17">
        <f t="shared" ref="AV66" si="32">IF(D66 = 1,1,0)</f>
        <v>1</v>
      </c>
      <c r="AW66" s="17" t="str">
        <f>"{s_taskCustom,{"&amp;L66&amp;","&amp;N66&amp;","&amp;U66&amp;","&amp;V66&amp;"}}"</f>
        <v>{s_taskCustom,{506,506,1,1}}</v>
      </c>
    </row>
    <row r="67" spans="1:49" s="32" customFormat="1" ht="72" x14ac:dyDescent="0.15">
      <c r="A67" s="55">
        <v>6120</v>
      </c>
      <c r="B67" s="56"/>
      <c r="C67" s="56" t="s">
        <v>4913</v>
      </c>
      <c r="D67" s="56">
        <v>1</v>
      </c>
      <c r="E67" s="56">
        <v>0</v>
      </c>
      <c r="F67" s="56">
        <v>1</v>
      </c>
      <c r="G67" s="60">
        <v>200</v>
      </c>
      <c r="H67" s="56">
        <v>200</v>
      </c>
      <c r="I67" s="56">
        <v>0</v>
      </c>
      <c r="J67" s="60">
        <v>6119</v>
      </c>
      <c r="K67" s="56">
        <v>0</v>
      </c>
      <c r="L67" s="56">
        <v>60045</v>
      </c>
      <c r="M67" s="56" t="s">
        <v>4830</v>
      </c>
      <c r="N67" s="56">
        <v>60045</v>
      </c>
      <c r="O67" s="56" t="s">
        <v>5097</v>
      </c>
      <c r="Q67" s="34"/>
      <c r="R67" s="34"/>
      <c r="S67" s="34"/>
      <c r="T67" s="34"/>
      <c r="U67" s="32">
        <v>1</v>
      </c>
      <c r="V67" s="32">
        <v>1</v>
      </c>
      <c r="W67" s="35">
        <v>5</v>
      </c>
      <c r="Z67" s="21">
        <v>0</v>
      </c>
      <c r="AB67" s="36"/>
      <c r="AC67" s="23"/>
      <c r="AF67" s="37" t="s">
        <v>4914</v>
      </c>
      <c r="AG67" s="37" t="s">
        <v>4915</v>
      </c>
      <c r="AH67" s="37" t="s">
        <v>4916</v>
      </c>
      <c r="AI67" s="37"/>
      <c r="AJ67" s="37" t="s">
        <v>6563</v>
      </c>
      <c r="AL67" s="33">
        <v>0</v>
      </c>
      <c r="AM67" s="32" t="s">
        <v>6084</v>
      </c>
      <c r="AN67" s="32" t="s">
        <v>5411</v>
      </c>
      <c r="AP67" s="32">
        <v>1</v>
      </c>
      <c r="AQ67" s="32">
        <v>0</v>
      </c>
      <c r="AR67" s="32">
        <v>1</v>
      </c>
      <c r="AS67" s="32">
        <v>1</v>
      </c>
      <c r="AU67" s="32">
        <v>0</v>
      </c>
      <c r="AV67" s="17">
        <f t="shared" si="1"/>
        <v>1</v>
      </c>
      <c r="AW67" s="32" t="str">
        <f t="shared" si="21"/>
        <v>{s_taskTalk,{60045,60045}}</v>
      </c>
    </row>
    <row r="68" spans="1:49" s="32" customFormat="1" ht="60" x14ac:dyDescent="0.15">
      <c r="A68" s="32">
        <v>6121</v>
      </c>
      <c r="C68" s="32" t="s">
        <v>7110</v>
      </c>
      <c r="D68" s="32">
        <v>1</v>
      </c>
      <c r="E68" s="32">
        <v>0</v>
      </c>
      <c r="F68" s="32">
        <v>2</v>
      </c>
      <c r="G68" s="33">
        <v>30</v>
      </c>
      <c r="H68" s="32">
        <v>200</v>
      </c>
      <c r="I68" s="32">
        <v>0</v>
      </c>
      <c r="J68" s="32">
        <v>6119</v>
      </c>
      <c r="K68" s="32">
        <v>0</v>
      </c>
      <c r="L68" s="32">
        <v>506</v>
      </c>
      <c r="M68" s="32" t="s">
        <v>5104</v>
      </c>
      <c r="N68" s="32">
        <v>503</v>
      </c>
      <c r="O68" s="32" t="s">
        <v>5105</v>
      </c>
      <c r="Q68" s="34"/>
      <c r="R68" s="34"/>
      <c r="S68" s="34"/>
      <c r="T68" s="34"/>
      <c r="U68" s="32">
        <v>1</v>
      </c>
      <c r="V68" s="32">
        <v>1</v>
      </c>
      <c r="W68" s="35">
        <v>5</v>
      </c>
      <c r="Z68" s="21">
        <f>VLOOKUP(G68,Sheet2!A:H,8,0)</f>
        <v>30375</v>
      </c>
      <c r="AB68" s="36"/>
      <c r="AC68" s="23">
        <f>VLOOKUP(G68,Sheet2!A$2:K$151,9,FALSE)</f>
        <v>780</v>
      </c>
      <c r="AD68" s="32" t="s">
        <v>7161</v>
      </c>
      <c r="AF68" s="37" t="s">
        <v>6751</v>
      </c>
      <c r="AG68" s="37" t="s">
        <v>6752</v>
      </c>
      <c r="AH68" s="37" t="s">
        <v>4917</v>
      </c>
      <c r="AI68" s="37"/>
      <c r="AJ68" s="37" t="s">
        <v>7091</v>
      </c>
      <c r="AL68" s="33">
        <v>0</v>
      </c>
      <c r="AM68" s="32" t="s">
        <v>6260</v>
      </c>
      <c r="AN68" s="32" t="s">
        <v>6261</v>
      </c>
      <c r="AP68" s="32">
        <v>1</v>
      </c>
      <c r="AQ68" s="32">
        <v>0</v>
      </c>
      <c r="AR68" s="32">
        <v>1</v>
      </c>
      <c r="AS68" s="32">
        <v>1</v>
      </c>
      <c r="AU68" s="32">
        <v>0</v>
      </c>
      <c r="AV68" s="17">
        <f t="shared" si="1"/>
        <v>1</v>
      </c>
      <c r="AW68" s="32" t="str">
        <f t="shared" si="21"/>
        <v>{s_taskTalk,{506,503}}</v>
      </c>
    </row>
    <row r="69" spans="1:49" s="32" customFormat="1" ht="72" x14ac:dyDescent="0.15">
      <c r="A69" s="31">
        <v>6122</v>
      </c>
      <c r="C69" s="32" t="s">
        <v>4918</v>
      </c>
      <c r="D69" s="32">
        <v>1</v>
      </c>
      <c r="E69" s="32">
        <v>0</v>
      </c>
      <c r="F69" s="32">
        <v>2</v>
      </c>
      <c r="G69" s="33">
        <v>31</v>
      </c>
      <c r="H69" s="32">
        <v>200</v>
      </c>
      <c r="I69" s="17">
        <v>0</v>
      </c>
      <c r="J69" s="38">
        <v>6121</v>
      </c>
      <c r="K69" s="32">
        <v>0</v>
      </c>
      <c r="L69" s="32">
        <v>503</v>
      </c>
      <c r="M69" s="32" t="s">
        <v>5105</v>
      </c>
      <c r="N69" s="32">
        <v>503</v>
      </c>
      <c r="O69" s="32" t="s">
        <v>5105</v>
      </c>
      <c r="Q69" s="34"/>
      <c r="R69" s="34"/>
      <c r="S69" s="34"/>
      <c r="T69" s="34"/>
      <c r="U69" s="32">
        <v>1</v>
      </c>
      <c r="V69" s="32">
        <v>1</v>
      </c>
      <c r="W69" s="35">
        <v>5</v>
      </c>
      <c r="Z69" s="21">
        <f>VLOOKUP(G69,Sheet2!A:H,8,0)</f>
        <v>35842</v>
      </c>
      <c r="AA69" s="32">
        <v>10</v>
      </c>
      <c r="AB69" s="36"/>
      <c r="AC69" s="23">
        <f>VLOOKUP(G69,Sheet2!A$2:K$151,9,FALSE)</f>
        <v>800</v>
      </c>
      <c r="AD69" s="32" t="s">
        <v>7162</v>
      </c>
      <c r="AF69" s="37" t="s">
        <v>4919</v>
      </c>
      <c r="AG69" s="37" t="s">
        <v>4920</v>
      </c>
      <c r="AH69" s="37" t="s">
        <v>4921</v>
      </c>
      <c r="AI69" s="37"/>
      <c r="AJ69" s="37" t="s">
        <v>7004</v>
      </c>
      <c r="AL69" s="33">
        <v>0</v>
      </c>
      <c r="AM69" s="32" t="s">
        <v>6085</v>
      </c>
      <c r="AN69" s="32" t="s">
        <v>5412</v>
      </c>
      <c r="AP69" s="32">
        <v>1</v>
      </c>
      <c r="AQ69" s="32">
        <v>0</v>
      </c>
      <c r="AR69" s="32">
        <v>1</v>
      </c>
      <c r="AS69" s="32">
        <v>1</v>
      </c>
      <c r="AU69" s="32">
        <v>0</v>
      </c>
      <c r="AV69" s="17">
        <f t="shared" si="1"/>
        <v>1</v>
      </c>
      <c r="AW69" s="32" t="str">
        <f t="shared" si="21"/>
        <v>{s_taskTalk,{503,503}}</v>
      </c>
    </row>
    <row r="70" spans="1:49" s="32" customFormat="1" ht="72" x14ac:dyDescent="0.15">
      <c r="A70" s="31">
        <v>6123</v>
      </c>
      <c r="C70" s="35" t="s">
        <v>8129</v>
      </c>
      <c r="D70" s="32">
        <v>1</v>
      </c>
      <c r="E70" s="32">
        <v>0</v>
      </c>
      <c r="F70" s="32">
        <v>2</v>
      </c>
      <c r="G70" s="33">
        <v>31</v>
      </c>
      <c r="H70" s="32">
        <v>200</v>
      </c>
      <c r="I70" s="17">
        <v>0</v>
      </c>
      <c r="J70" s="33">
        <v>6122</v>
      </c>
      <c r="K70" s="32">
        <v>0</v>
      </c>
      <c r="L70" s="32">
        <v>503</v>
      </c>
      <c r="M70" s="32" t="s">
        <v>4832</v>
      </c>
      <c r="N70" s="32">
        <v>102</v>
      </c>
      <c r="O70" s="32" t="s">
        <v>6721</v>
      </c>
      <c r="Q70" s="34"/>
      <c r="R70" s="34"/>
      <c r="S70" s="34"/>
      <c r="T70" s="34"/>
      <c r="U70" s="32">
        <v>1</v>
      </c>
      <c r="V70" s="32">
        <v>1</v>
      </c>
      <c r="W70" s="35">
        <v>5</v>
      </c>
      <c r="Z70" s="21">
        <f>VLOOKUP(G70,Sheet2!A:H,8,0)</f>
        <v>35842</v>
      </c>
      <c r="AB70" s="36"/>
      <c r="AC70" s="23">
        <f>VLOOKUP(G70,Sheet2!A$2:K$151,9,FALSE)</f>
        <v>800</v>
      </c>
      <c r="AF70" s="37" t="s">
        <v>8130</v>
      </c>
      <c r="AG70" s="37" t="s">
        <v>6783</v>
      </c>
      <c r="AH70" s="37" t="s">
        <v>6782</v>
      </c>
      <c r="AI70" s="37"/>
      <c r="AJ70" s="37" t="s">
        <v>7093</v>
      </c>
      <c r="AL70" s="33">
        <v>0</v>
      </c>
      <c r="AM70" s="32" t="s">
        <v>7393</v>
      </c>
      <c r="AN70" s="32" t="s">
        <v>7394</v>
      </c>
      <c r="AP70" s="32">
        <v>1</v>
      </c>
      <c r="AQ70" s="32">
        <v>0</v>
      </c>
      <c r="AR70" s="32">
        <v>1</v>
      </c>
      <c r="AS70" s="32">
        <v>1</v>
      </c>
      <c r="AU70" s="32">
        <v>0</v>
      </c>
      <c r="AV70" s="17">
        <f t="shared" si="1"/>
        <v>1</v>
      </c>
      <c r="AW70" s="32" t="str">
        <f t="shared" si="21"/>
        <v>{s_taskTalk,{503,102}}</v>
      </c>
    </row>
    <row r="71" spans="1:49" s="32" customFormat="1" ht="84" x14ac:dyDescent="0.15">
      <c r="A71" s="55">
        <v>6124</v>
      </c>
      <c r="B71" s="56"/>
      <c r="C71" s="56" t="s">
        <v>6720</v>
      </c>
      <c r="D71" s="56">
        <v>1</v>
      </c>
      <c r="E71" s="56">
        <v>0</v>
      </c>
      <c r="F71" s="56">
        <v>2</v>
      </c>
      <c r="G71" s="60">
        <v>200</v>
      </c>
      <c r="H71" s="56">
        <v>200</v>
      </c>
      <c r="I71" s="56">
        <v>0</v>
      </c>
      <c r="J71" s="57">
        <v>6123</v>
      </c>
      <c r="K71" s="56">
        <v>0</v>
      </c>
      <c r="L71" s="56">
        <v>113</v>
      </c>
      <c r="M71" s="56" t="s">
        <v>4833</v>
      </c>
      <c r="N71" s="56">
        <v>113</v>
      </c>
      <c r="O71" s="56" t="s">
        <v>5106</v>
      </c>
      <c r="Q71" s="34"/>
      <c r="R71" s="34"/>
      <c r="S71" s="34"/>
      <c r="T71" s="34"/>
      <c r="U71" s="32">
        <v>1</v>
      </c>
      <c r="V71" s="32">
        <v>1</v>
      </c>
      <c r="W71" s="35">
        <v>5</v>
      </c>
      <c r="Z71" s="21">
        <v>0</v>
      </c>
      <c r="AB71" s="36"/>
      <c r="AC71" s="23"/>
      <c r="AF71" s="37" t="s">
        <v>5307</v>
      </c>
      <c r="AG71" s="37" t="s">
        <v>4922</v>
      </c>
      <c r="AH71" s="37" t="s">
        <v>4923</v>
      </c>
      <c r="AI71" s="37" t="s">
        <v>4924</v>
      </c>
      <c r="AJ71" s="37" t="s">
        <v>4924</v>
      </c>
      <c r="AK71" s="37"/>
      <c r="AL71" s="61">
        <v>0</v>
      </c>
      <c r="AM71" s="37" t="s">
        <v>7219</v>
      </c>
      <c r="AN71" s="37" t="s">
        <v>5413</v>
      </c>
      <c r="AP71" s="32">
        <v>1</v>
      </c>
      <c r="AQ71" s="32">
        <v>0</v>
      </c>
      <c r="AR71" s="32">
        <v>1</v>
      </c>
      <c r="AS71" s="32">
        <v>1</v>
      </c>
      <c r="AU71" s="32">
        <v>0</v>
      </c>
      <c r="AV71" s="17">
        <f t="shared" si="1"/>
        <v>1</v>
      </c>
      <c r="AW71" s="32" t="str">
        <f t="shared" si="21"/>
        <v>{s_taskTalk,{113,113}}</v>
      </c>
    </row>
    <row r="72" spans="1:49" s="32" customFormat="1" ht="72" x14ac:dyDescent="0.15">
      <c r="A72" s="55">
        <v>6125</v>
      </c>
      <c r="B72" s="56"/>
      <c r="C72" s="56" t="s">
        <v>4925</v>
      </c>
      <c r="D72" s="56">
        <v>1</v>
      </c>
      <c r="E72" s="56">
        <v>0</v>
      </c>
      <c r="F72" s="56">
        <v>2</v>
      </c>
      <c r="G72" s="60">
        <v>200</v>
      </c>
      <c r="H72" s="56">
        <v>200</v>
      </c>
      <c r="I72" s="56">
        <v>0</v>
      </c>
      <c r="J72" s="60">
        <v>6124</v>
      </c>
      <c r="K72" s="56">
        <v>0</v>
      </c>
      <c r="L72" s="56">
        <v>113</v>
      </c>
      <c r="M72" s="56" t="s">
        <v>4833</v>
      </c>
      <c r="N72" s="56">
        <v>122</v>
      </c>
      <c r="O72" s="56" t="s">
        <v>5107</v>
      </c>
      <c r="Q72" s="34"/>
      <c r="R72" s="34"/>
      <c r="S72" s="34"/>
      <c r="T72" s="34"/>
      <c r="U72" s="32">
        <v>1</v>
      </c>
      <c r="V72" s="32">
        <v>1</v>
      </c>
      <c r="W72" s="35">
        <v>5</v>
      </c>
      <c r="Z72" s="21">
        <v>0</v>
      </c>
      <c r="AB72" s="36"/>
      <c r="AC72" s="23"/>
      <c r="AF72" s="37" t="s">
        <v>4926</v>
      </c>
      <c r="AG72" s="37" t="s">
        <v>4927</v>
      </c>
      <c r="AH72" s="37" t="s">
        <v>4928</v>
      </c>
      <c r="AI72" s="37"/>
      <c r="AJ72" s="37" t="s">
        <v>6565</v>
      </c>
      <c r="AL72" s="33">
        <v>0</v>
      </c>
      <c r="AM72" s="32" t="s">
        <v>6086</v>
      </c>
      <c r="AN72" s="32" t="s">
        <v>5414</v>
      </c>
      <c r="AP72" s="32">
        <v>1</v>
      </c>
      <c r="AQ72" s="32">
        <v>0</v>
      </c>
      <c r="AR72" s="32">
        <v>1</v>
      </c>
      <c r="AS72" s="32">
        <v>1</v>
      </c>
      <c r="AU72" s="32">
        <v>0</v>
      </c>
      <c r="AV72" s="17">
        <f t="shared" si="1"/>
        <v>1</v>
      </c>
      <c r="AW72" s="32" t="str">
        <f t="shared" si="21"/>
        <v>{s_taskTalk,{113,122}}</v>
      </c>
    </row>
    <row r="73" spans="1:49" s="32" customFormat="1" ht="72" x14ac:dyDescent="0.15">
      <c r="A73" s="55">
        <v>6126</v>
      </c>
      <c r="B73" s="56"/>
      <c r="C73" s="56" t="s">
        <v>4929</v>
      </c>
      <c r="D73" s="56">
        <v>1</v>
      </c>
      <c r="E73" s="56">
        <v>0</v>
      </c>
      <c r="F73" s="56">
        <v>2</v>
      </c>
      <c r="G73" s="60">
        <v>200</v>
      </c>
      <c r="H73" s="56">
        <v>200</v>
      </c>
      <c r="I73" s="56">
        <v>0</v>
      </c>
      <c r="J73" s="57">
        <v>6125</v>
      </c>
      <c r="K73" s="56">
        <v>0</v>
      </c>
      <c r="L73" s="56">
        <v>122</v>
      </c>
      <c r="M73" s="56" t="s">
        <v>4834</v>
      </c>
      <c r="N73" s="56">
        <v>122</v>
      </c>
      <c r="O73" s="56" t="s">
        <v>5107</v>
      </c>
      <c r="Q73" s="34">
        <v>2010</v>
      </c>
      <c r="R73" s="34"/>
      <c r="S73" s="34"/>
      <c r="T73" s="34"/>
      <c r="U73" s="32">
        <v>3</v>
      </c>
      <c r="V73" s="32">
        <v>0</v>
      </c>
      <c r="W73" s="35">
        <v>5</v>
      </c>
      <c r="Z73" s="21">
        <v>0</v>
      </c>
      <c r="AB73" s="36"/>
      <c r="AC73" s="23"/>
      <c r="AF73" s="62" t="s">
        <v>6243</v>
      </c>
      <c r="AG73" s="62" t="s">
        <v>4930</v>
      </c>
      <c r="AH73" s="62" t="s">
        <v>4931</v>
      </c>
      <c r="AI73" s="62" t="s">
        <v>4932</v>
      </c>
      <c r="AJ73" s="62" t="s">
        <v>4933</v>
      </c>
      <c r="AL73" s="33">
        <v>0</v>
      </c>
      <c r="AM73" s="32" t="s">
        <v>4934</v>
      </c>
      <c r="AN73" s="32" t="s">
        <v>5415</v>
      </c>
      <c r="AO73" s="32" t="s">
        <v>5328</v>
      </c>
      <c r="AP73" s="32">
        <v>1</v>
      </c>
      <c r="AQ73" s="32">
        <v>0</v>
      </c>
      <c r="AR73" s="32">
        <v>1</v>
      </c>
      <c r="AS73" s="32">
        <v>1</v>
      </c>
      <c r="AU73" s="32">
        <v>0</v>
      </c>
      <c r="AV73" s="17">
        <f t="shared" si="1"/>
        <v>1</v>
      </c>
      <c r="AW73" s="32" t="str">
        <f t="shared" si="21"/>
        <v>{s_taskTalk,{122,122}}</v>
      </c>
    </row>
    <row r="74" spans="1:49" s="32" customFormat="1" ht="72" x14ac:dyDescent="0.15">
      <c r="A74" s="31">
        <v>6127</v>
      </c>
      <c r="C74" s="63" t="s">
        <v>6722</v>
      </c>
      <c r="D74" s="32">
        <v>1</v>
      </c>
      <c r="E74" s="32">
        <v>0</v>
      </c>
      <c r="F74" s="32">
        <v>2</v>
      </c>
      <c r="G74" s="33">
        <v>32</v>
      </c>
      <c r="H74" s="32">
        <v>200</v>
      </c>
      <c r="I74" s="17">
        <v>0</v>
      </c>
      <c r="J74" s="38">
        <v>6123</v>
      </c>
      <c r="K74" s="32">
        <v>0</v>
      </c>
      <c r="L74" s="32">
        <v>102</v>
      </c>
      <c r="M74" s="32" t="s">
        <v>6721</v>
      </c>
      <c r="N74" s="32">
        <v>508</v>
      </c>
      <c r="O74" s="32" t="s">
        <v>5108</v>
      </c>
      <c r="Q74" s="34"/>
      <c r="R74" s="34"/>
      <c r="S74" s="34">
        <v>10003</v>
      </c>
      <c r="T74" s="34"/>
      <c r="U74" s="32">
        <v>5</v>
      </c>
      <c r="V74" s="32">
        <v>0</v>
      </c>
      <c r="W74" s="35">
        <v>5</v>
      </c>
      <c r="Z74" s="21">
        <f>VLOOKUP(G74,Sheet2!A:H,8,0)</f>
        <v>42294</v>
      </c>
      <c r="AB74" s="36"/>
      <c r="AC74" s="23">
        <f>VLOOKUP(G74,Sheet2!A$2:K$151,9,FALSE)</f>
        <v>820</v>
      </c>
      <c r="AD74" s="32" t="s">
        <v>7163</v>
      </c>
      <c r="AF74" s="37" t="s">
        <v>6784</v>
      </c>
      <c r="AG74" s="37" t="s">
        <v>6785</v>
      </c>
      <c r="AH74" s="37" t="s">
        <v>6753</v>
      </c>
      <c r="AI74" s="37" t="s">
        <v>4935</v>
      </c>
      <c r="AJ74" s="37" t="s">
        <v>7092</v>
      </c>
      <c r="AL74" s="33">
        <v>0</v>
      </c>
      <c r="AM74" s="32" t="s">
        <v>6186</v>
      </c>
      <c r="AN74" s="32" t="s">
        <v>5416</v>
      </c>
      <c r="AP74" s="32">
        <v>1</v>
      </c>
      <c r="AQ74" s="32">
        <v>0</v>
      </c>
      <c r="AR74" s="32">
        <v>1</v>
      </c>
      <c r="AS74" s="32">
        <v>1</v>
      </c>
      <c r="AU74" s="32">
        <v>0</v>
      </c>
      <c r="AV74" s="17">
        <f t="shared" si="1"/>
        <v>1</v>
      </c>
      <c r="AW74" s="17" t="str">
        <f>"{s_taskKillNpc, {"&amp;L74&amp;","&amp;N74&amp;","&amp;S74&amp;","&amp;U74&amp;"}}"</f>
        <v>{s_taskKillNpc, {102,508,10003,5}}</v>
      </c>
    </row>
    <row r="75" spans="1:49" s="32" customFormat="1" ht="72" x14ac:dyDescent="0.15">
      <c r="A75" s="31">
        <v>6128</v>
      </c>
      <c r="C75" s="32" t="s">
        <v>6725</v>
      </c>
      <c r="D75" s="32">
        <v>1</v>
      </c>
      <c r="E75" s="32">
        <v>0</v>
      </c>
      <c r="F75" s="32">
        <v>2</v>
      </c>
      <c r="G75" s="33">
        <v>32</v>
      </c>
      <c r="H75" s="32">
        <v>200</v>
      </c>
      <c r="I75" s="17">
        <v>0</v>
      </c>
      <c r="J75" s="33">
        <v>6127</v>
      </c>
      <c r="K75" s="32">
        <v>0</v>
      </c>
      <c r="L75" s="32">
        <v>508</v>
      </c>
      <c r="M75" s="32" t="s">
        <v>4835</v>
      </c>
      <c r="N75" s="32">
        <v>509</v>
      </c>
      <c r="O75" s="32" t="s">
        <v>5303</v>
      </c>
      <c r="Q75" s="34"/>
      <c r="R75" s="34"/>
      <c r="S75" s="34"/>
      <c r="T75" s="34"/>
      <c r="U75" s="32">
        <v>1</v>
      </c>
      <c r="V75" s="32">
        <v>1</v>
      </c>
      <c r="W75" s="35">
        <v>5</v>
      </c>
      <c r="Z75" s="21">
        <f>VLOOKUP(G75,Sheet2!A:H,8,0)</f>
        <v>42294</v>
      </c>
      <c r="AB75" s="36"/>
      <c r="AC75" s="23">
        <f>VLOOKUP(G75,Sheet2!A$2:K$151,9,FALSE)</f>
        <v>820</v>
      </c>
      <c r="AF75" s="37" t="s">
        <v>6723</v>
      </c>
      <c r="AG75" s="37" t="s">
        <v>5293</v>
      </c>
      <c r="AH75" s="37" t="s">
        <v>6724</v>
      </c>
      <c r="AI75" s="37"/>
      <c r="AJ75" s="37" t="s">
        <v>7005</v>
      </c>
      <c r="AL75" s="33">
        <v>0</v>
      </c>
      <c r="AM75" s="32" t="s">
        <v>6087</v>
      </c>
      <c r="AN75" s="32" t="s">
        <v>5417</v>
      </c>
      <c r="AP75" s="32">
        <v>1</v>
      </c>
      <c r="AQ75" s="32">
        <v>0</v>
      </c>
      <c r="AR75" s="32">
        <v>1</v>
      </c>
      <c r="AS75" s="32">
        <v>1</v>
      </c>
      <c r="AU75" s="32">
        <v>0</v>
      </c>
      <c r="AV75" s="17">
        <f t="shared" si="1"/>
        <v>1</v>
      </c>
      <c r="AW75" s="32" t="str">
        <f t="shared" si="21"/>
        <v>{s_taskTalk,{508,509}}</v>
      </c>
    </row>
    <row r="76" spans="1:49" s="32" customFormat="1" ht="72" x14ac:dyDescent="0.15">
      <c r="A76" s="31">
        <v>6130</v>
      </c>
      <c r="C76" s="32" t="s">
        <v>6726</v>
      </c>
      <c r="D76" s="32">
        <v>1</v>
      </c>
      <c r="E76" s="32">
        <v>0</v>
      </c>
      <c r="F76" s="32">
        <v>2</v>
      </c>
      <c r="G76" s="33">
        <v>33</v>
      </c>
      <c r="H76" s="32">
        <v>200</v>
      </c>
      <c r="I76" s="17">
        <v>0</v>
      </c>
      <c r="J76" s="38">
        <v>6128</v>
      </c>
      <c r="K76" s="32">
        <v>0</v>
      </c>
      <c r="L76" s="32">
        <v>509</v>
      </c>
      <c r="M76" s="32" t="s">
        <v>5303</v>
      </c>
      <c r="N76" s="32">
        <v>508</v>
      </c>
      <c r="O76" s="32" t="s">
        <v>5108</v>
      </c>
      <c r="Q76" s="34">
        <v>2011</v>
      </c>
      <c r="R76" s="34"/>
      <c r="S76" s="34"/>
      <c r="T76" s="34"/>
      <c r="U76" s="32">
        <v>1</v>
      </c>
      <c r="V76" s="32">
        <v>0</v>
      </c>
      <c r="W76" s="35">
        <v>5</v>
      </c>
      <c r="Z76" s="21">
        <f>VLOOKUP(G76,Sheet2!A:H,8,0)</f>
        <v>49907</v>
      </c>
      <c r="AB76" s="36"/>
      <c r="AC76" s="23">
        <f>VLOOKUP(G76,Sheet2!A$2:K$151,9,FALSE)</f>
        <v>840</v>
      </c>
      <c r="AF76" s="37" t="s">
        <v>6727</v>
      </c>
      <c r="AG76" s="37" t="s">
        <v>6728</v>
      </c>
      <c r="AH76" s="37" t="s">
        <v>6730</v>
      </c>
      <c r="AI76" s="37" t="s">
        <v>6729</v>
      </c>
      <c r="AJ76" s="37" t="s">
        <v>7094</v>
      </c>
      <c r="AL76" s="33">
        <v>0</v>
      </c>
      <c r="AM76" s="32" t="s">
        <v>6127</v>
      </c>
      <c r="AN76" s="32" t="s">
        <v>5419</v>
      </c>
      <c r="AO76" s="32" t="s">
        <v>4871</v>
      </c>
      <c r="AP76" s="32">
        <v>1</v>
      </c>
      <c r="AQ76" s="32">
        <v>0</v>
      </c>
      <c r="AR76" s="32">
        <v>1</v>
      </c>
      <c r="AS76" s="32">
        <v>1</v>
      </c>
      <c r="AU76" s="32">
        <v>0</v>
      </c>
      <c r="AV76" s="17">
        <f>IF(D76 = 1,1,0)</f>
        <v>1</v>
      </c>
      <c r="AW76" s="32" t="str">
        <f>"{s_taskTalk,{"&amp;L76&amp;","&amp;N76&amp;"}}"</f>
        <v>{s_taskTalk,{509,508}}</v>
      </c>
    </row>
    <row r="77" spans="1:49" s="32" customFormat="1" ht="72" x14ac:dyDescent="0.15">
      <c r="A77" s="31">
        <v>6129</v>
      </c>
      <c r="C77" s="32" t="s">
        <v>6731</v>
      </c>
      <c r="D77" s="32">
        <v>1</v>
      </c>
      <c r="E77" s="32">
        <v>0</v>
      </c>
      <c r="F77" s="32">
        <v>2</v>
      </c>
      <c r="G77" s="33">
        <v>33</v>
      </c>
      <c r="H77" s="32">
        <v>200</v>
      </c>
      <c r="I77" s="17">
        <v>0</v>
      </c>
      <c r="J77" s="38">
        <v>6130</v>
      </c>
      <c r="K77" s="32">
        <v>0</v>
      </c>
      <c r="L77" s="32">
        <v>508</v>
      </c>
      <c r="M77" s="32" t="s">
        <v>5108</v>
      </c>
      <c r="N77" s="32">
        <v>509</v>
      </c>
      <c r="O77" s="32" t="s">
        <v>5303</v>
      </c>
      <c r="Q77" s="34"/>
      <c r="R77" s="34"/>
      <c r="S77" s="34"/>
      <c r="T77" s="34"/>
      <c r="U77" s="32">
        <v>5</v>
      </c>
      <c r="V77" s="32">
        <v>0</v>
      </c>
      <c r="W77" s="35">
        <v>5</v>
      </c>
      <c r="Z77" s="21">
        <f>VLOOKUP(G77,Sheet2!A:H,8,0)</f>
        <v>49907</v>
      </c>
      <c r="AB77" s="36"/>
      <c r="AC77" s="23">
        <f>VLOOKUP(G77,Sheet2!A$2:K$151,9,FALSE)</f>
        <v>840</v>
      </c>
      <c r="AF77" s="37" t="s">
        <v>6732</v>
      </c>
      <c r="AG77" s="37" t="s">
        <v>6733</v>
      </c>
      <c r="AH77" s="37" t="s">
        <v>6734</v>
      </c>
      <c r="AI77" s="37"/>
      <c r="AJ77" s="37" t="s">
        <v>7006</v>
      </c>
      <c r="AL77" s="33">
        <v>0</v>
      </c>
      <c r="AM77" s="32" t="s">
        <v>6735</v>
      </c>
      <c r="AN77" s="32" t="s">
        <v>5418</v>
      </c>
      <c r="AP77" s="32">
        <v>1</v>
      </c>
      <c r="AQ77" s="32">
        <v>0</v>
      </c>
      <c r="AR77" s="32">
        <v>1</v>
      </c>
      <c r="AS77" s="32">
        <v>1</v>
      </c>
      <c r="AU77" s="32">
        <v>0</v>
      </c>
      <c r="AV77" s="17">
        <f t="shared" si="1"/>
        <v>1</v>
      </c>
      <c r="AW77" s="32" t="str">
        <f>"{s_taskTalk,{"&amp;L77&amp;","&amp;N77&amp;"}}"</f>
        <v>{s_taskTalk,{508,509}}</v>
      </c>
    </row>
    <row r="78" spans="1:49" s="32" customFormat="1" ht="72" x14ac:dyDescent="0.15">
      <c r="A78" s="31">
        <v>6131</v>
      </c>
      <c r="C78" s="63" t="s">
        <v>6973</v>
      </c>
      <c r="D78" s="32">
        <v>1</v>
      </c>
      <c r="E78" s="32">
        <v>0</v>
      </c>
      <c r="F78" s="32">
        <v>2</v>
      </c>
      <c r="G78" s="33">
        <v>34</v>
      </c>
      <c r="H78" s="32">
        <v>200</v>
      </c>
      <c r="I78" s="17">
        <v>0</v>
      </c>
      <c r="J78" s="33">
        <v>6129</v>
      </c>
      <c r="K78" s="32">
        <v>0</v>
      </c>
      <c r="L78" s="32">
        <v>509</v>
      </c>
      <c r="M78" s="32" t="s">
        <v>5303</v>
      </c>
      <c r="N78" s="32">
        <v>509</v>
      </c>
      <c r="O78" s="32" t="s">
        <v>5303</v>
      </c>
      <c r="Q78" s="34"/>
      <c r="R78" s="34"/>
      <c r="S78" s="34">
        <v>10004</v>
      </c>
      <c r="T78" s="34"/>
      <c r="U78" s="32">
        <v>5</v>
      </c>
      <c r="V78" s="32">
        <v>0</v>
      </c>
      <c r="W78" s="35">
        <v>5</v>
      </c>
      <c r="Z78" s="21">
        <f>VLOOKUP(G78,Sheet2!A:H,8,0)</f>
        <v>58890</v>
      </c>
      <c r="AB78" s="36"/>
      <c r="AC78" s="23">
        <f>VLOOKUP(G78,Sheet2!A$2:K$151,9,FALSE)</f>
        <v>860</v>
      </c>
      <c r="AF78" s="37" t="s">
        <v>7009</v>
      </c>
      <c r="AG78" s="37" t="s">
        <v>6736</v>
      </c>
      <c r="AH78" s="37" t="s">
        <v>6737</v>
      </c>
      <c r="AI78" s="37" t="s">
        <v>4936</v>
      </c>
      <c r="AJ78" s="37" t="s">
        <v>7007</v>
      </c>
      <c r="AL78" s="33">
        <v>0</v>
      </c>
      <c r="AM78" s="32" t="s">
        <v>4937</v>
      </c>
      <c r="AN78" s="32" t="s">
        <v>6738</v>
      </c>
      <c r="AP78" s="32">
        <v>1</v>
      </c>
      <c r="AQ78" s="32">
        <v>0</v>
      </c>
      <c r="AR78" s="32">
        <v>1</v>
      </c>
      <c r="AS78" s="32">
        <v>1</v>
      </c>
      <c r="AU78" s="32">
        <v>0</v>
      </c>
      <c r="AV78" s="17">
        <f t="shared" si="1"/>
        <v>1</v>
      </c>
      <c r="AW78" s="17" t="str">
        <f>"{s_taskKillNpc, {"&amp;L78&amp;","&amp;N78&amp;","&amp;S78&amp;","&amp;U78&amp;"}}"</f>
        <v>{s_taskKillNpc, {509,509,10004,5}}</v>
      </c>
    </row>
    <row r="79" spans="1:49" s="32" customFormat="1" ht="72" x14ac:dyDescent="0.15">
      <c r="A79" s="55">
        <v>6132</v>
      </c>
      <c r="B79" s="56"/>
      <c r="C79" s="56" t="s">
        <v>4938</v>
      </c>
      <c r="D79" s="56">
        <v>1</v>
      </c>
      <c r="E79" s="56">
        <v>0</v>
      </c>
      <c r="F79" s="56">
        <v>2</v>
      </c>
      <c r="G79" s="60">
        <v>200</v>
      </c>
      <c r="H79" s="56">
        <v>200</v>
      </c>
      <c r="I79" s="56">
        <v>0</v>
      </c>
      <c r="J79" s="57">
        <v>6131</v>
      </c>
      <c r="K79" s="56">
        <v>0</v>
      </c>
      <c r="L79" s="56">
        <v>508</v>
      </c>
      <c r="M79" s="56" t="s">
        <v>4835</v>
      </c>
      <c r="N79" s="56">
        <v>509</v>
      </c>
      <c r="O79" s="56" t="s">
        <v>5303</v>
      </c>
      <c r="Q79" s="34">
        <v>2012</v>
      </c>
      <c r="R79" s="34"/>
      <c r="S79" s="34"/>
      <c r="T79" s="34"/>
      <c r="U79" s="32">
        <v>1</v>
      </c>
      <c r="V79" s="32">
        <v>0</v>
      </c>
      <c r="W79" s="35">
        <v>5</v>
      </c>
      <c r="Z79" s="21">
        <v>0</v>
      </c>
      <c r="AB79" s="36"/>
      <c r="AC79" s="23"/>
      <c r="AF79" s="37" t="s">
        <v>5294</v>
      </c>
      <c r="AG79" s="37" t="s">
        <v>5295</v>
      </c>
      <c r="AH79" s="37" t="s">
        <v>5329</v>
      </c>
      <c r="AI79" s="37"/>
      <c r="AJ79" s="37" t="s">
        <v>6664</v>
      </c>
      <c r="AL79" s="33">
        <v>0</v>
      </c>
      <c r="AM79" s="32" t="s">
        <v>4939</v>
      </c>
      <c r="AN79" s="32" t="s">
        <v>5420</v>
      </c>
      <c r="AP79" s="32">
        <v>1</v>
      </c>
      <c r="AQ79" s="32">
        <v>0</v>
      </c>
      <c r="AR79" s="32">
        <v>1</v>
      </c>
      <c r="AS79" s="32">
        <v>1</v>
      </c>
      <c r="AU79" s="32">
        <v>0</v>
      </c>
      <c r="AV79" s="17">
        <f t="shared" si="1"/>
        <v>1</v>
      </c>
      <c r="AW79" s="32" t="str">
        <f t="shared" si="21"/>
        <v>{s_taskTalk,{508,509}}</v>
      </c>
    </row>
    <row r="80" spans="1:49" s="32" customFormat="1" ht="72" x14ac:dyDescent="0.15">
      <c r="A80" s="55">
        <v>6133</v>
      </c>
      <c r="B80" s="56"/>
      <c r="C80" s="56" t="s">
        <v>4940</v>
      </c>
      <c r="D80" s="56">
        <v>1</v>
      </c>
      <c r="E80" s="56">
        <v>0</v>
      </c>
      <c r="F80" s="56">
        <v>2</v>
      </c>
      <c r="G80" s="60">
        <v>200</v>
      </c>
      <c r="H80" s="56">
        <v>200</v>
      </c>
      <c r="I80" s="56">
        <v>0</v>
      </c>
      <c r="J80" s="60">
        <v>6132</v>
      </c>
      <c r="K80" s="56">
        <v>0</v>
      </c>
      <c r="L80" s="56">
        <v>509</v>
      </c>
      <c r="M80" s="56" t="s">
        <v>5303</v>
      </c>
      <c r="N80" s="56">
        <v>506</v>
      </c>
      <c r="O80" s="56" t="s">
        <v>5109</v>
      </c>
      <c r="Q80" s="34"/>
      <c r="R80" s="34"/>
      <c r="S80" s="34"/>
      <c r="T80" s="34"/>
      <c r="U80" s="32">
        <v>1</v>
      </c>
      <c r="V80" s="32">
        <v>1</v>
      </c>
      <c r="W80" s="35">
        <v>5</v>
      </c>
      <c r="Z80" s="21">
        <v>0</v>
      </c>
      <c r="AB80" s="36"/>
      <c r="AC80" s="23"/>
      <c r="AF80" s="37" t="s">
        <v>5330</v>
      </c>
      <c r="AG80" s="37" t="s">
        <v>5331</v>
      </c>
      <c r="AH80" s="37" t="s">
        <v>4941</v>
      </c>
      <c r="AI80" s="37"/>
      <c r="AJ80" s="37" t="s">
        <v>6562</v>
      </c>
      <c r="AL80" s="33">
        <v>0</v>
      </c>
      <c r="AM80" s="32" t="s">
        <v>6088</v>
      </c>
      <c r="AN80" s="32" t="s">
        <v>5421</v>
      </c>
      <c r="AP80" s="32">
        <v>1</v>
      </c>
      <c r="AQ80" s="32">
        <v>0</v>
      </c>
      <c r="AR80" s="32">
        <v>1</v>
      </c>
      <c r="AS80" s="32">
        <v>1</v>
      </c>
      <c r="AU80" s="32">
        <v>0</v>
      </c>
      <c r="AV80" s="17">
        <f t="shared" si="1"/>
        <v>1</v>
      </c>
      <c r="AW80" s="32" t="str">
        <f t="shared" si="21"/>
        <v>{s_taskTalk,{509,506}}</v>
      </c>
    </row>
    <row r="81" spans="1:49" s="32" customFormat="1" ht="72" x14ac:dyDescent="0.15">
      <c r="A81" s="31">
        <v>6134</v>
      </c>
      <c r="C81" s="32" t="s">
        <v>6739</v>
      </c>
      <c r="D81" s="32">
        <v>1</v>
      </c>
      <c r="E81" s="32">
        <v>0</v>
      </c>
      <c r="F81" s="32">
        <v>2</v>
      </c>
      <c r="G81" s="33">
        <v>34</v>
      </c>
      <c r="H81" s="32">
        <v>200</v>
      </c>
      <c r="I81" s="17">
        <v>0</v>
      </c>
      <c r="J81" s="38">
        <v>6131</v>
      </c>
      <c r="K81" s="32">
        <v>0</v>
      </c>
      <c r="L81" s="32">
        <v>509</v>
      </c>
      <c r="M81" s="32" t="s">
        <v>5303</v>
      </c>
      <c r="N81" s="32">
        <v>503</v>
      </c>
      <c r="O81" s="32" t="s">
        <v>5101</v>
      </c>
      <c r="Q81" s="34"/>
      <c r="R81" s="34"/>
      <c r="S81" s="34"/>
      <c r="T81" s="34"/>
      <c r="U81" s="32">
        <v>1</v>
      </c>
      <c r="V81" s="32">
        <v>1</v>
      </c>
      <c r="W81" s="35">
        <v>5</v>
      </c>
      <c r="Z81" s="21">
        <f>VLOOKUP(G81,Sheet2!A:H,8,0)</f>
        <v>58890</v>
      </c>
      <c r="AB81" s="36"/>
      <c r="AC81" s="23">
        <f>VLOOKUP(G81,Sheet2!A$2:K$151,9,FALSE)</f>
        <v>860</v>
      </c>
      <c r="AF81" s="37" t="s">
        <v>6740</v>
      </c>
      <c r="AG81" s="37" t="s">
        <v>6741</v>
      </c>
      <c r="AH81" s="37" t="s">
        <v>6742</v>
      </c>
      <c r="AI81" s="37"/>
      <c r="AJ81" s="37" t="s">
        <v>7008</v>
      </c>
      <c r="AL81" s="33">
        <v>0</v>
      </c>
      <c r="AM81" s="32" t="s">
        <v>6089</v>
      </c>
      <c r="AN81" s="32" t="s">
        <v>5422</v>
      </c>
      <c r="AP81" s="32">
        <v>1</v>
      </c>
      <c r="AQ81" s="32">
        <v>0</v>
      </c>
      <c r="AR81" s="32">
        <v>1</v>
      </c>
      <c r="AS81" s="32">
        <v>1</v>
      </c>
      <c r="AU81" s="32">
        <v>0</v>
      </c>
      <c r="AV81" s="17">
        <f t="shared" si="1"/>
        <v>1</v>
      </c>
      <c r="AW81" s="32" t="str">
        <f t="shared" si="21"/>
        <v>{s_taskTalk,{509,503}}</v>
      </c>
    </row>
    <row r="82" spans="1:49" s="32" customFormat="1" ht="72" x14ac:dyDescent="0.15">
      <c r="A82" s="31">
        <v>6135</v>
      </c>
      <c r="C82" s="32" t="s">
        <v>6743</v>
      </c>
      <c r="D82" s="32">
        <v>1</v>
      </c>
      <c r="E82" s="32">
        <v>0</v>
      </c>
      <c r="F82" s="32">
        <v>2</v>
      </c>
      <c r="G82" s="33">
        <v>35</v>
      </c>
      <c r="H82" s="32">
        <v>200</v>
      </c>
      <c r="I82" s="17">
        <v>0</v>
      </c>
      <c r="J82" s="38">
        <v>6134</v>
      </c>
      <c r="K82" s="32">
        <v>0</v>
      </c>
      <c r="L82" s="32">
        <v>503</v>
      </c>
      <c r="M82" s="32" t="s">
        <v>4836</v>
      </c>
      <c r="N82" s="32">
        <v>510</v>
      </c>
      <c r="O82" s="32" t="s">
        <v>5110</v>
      </c>
      <c r="Q82" s="34"/>
      <c r="R82" s="34"/>
      <c r="S82" s="34"/>
      <c r="T82" s="34"/>
      <c r="U82" s="32">
        <v>1</v>
      </c>
      <c r="V82" s="32">
        <v>1</v>
      </c>
      <c r="W82" s="35">
        <v>5</v>
      </c>
      <c r="Z82" s="21">
        <f>VLOOKUP(G82,Sheet2!A:H,8,0)</f>
        <v>69490</v>
      </c>
      <c r="AB82" s="36"/>
      <c r="AC82" s="23">
        <f>VLOOKUP(G82,Sheet2!A$2:K$151,9,FALSE)</f>
        <v>880</v>
      </c>
      <c r="AD82" s="32" t="s">
        <v>7162</v>
      </c>
      <c r="AF82" s="37" t="s">
        <v>6744</v>
      </c>
      <c r="AG82" s="37" t="s">
        <v>4942</v>
      </c>
      <c r="AH82" s="37" t="s">
        <v>4943</v>
      </c>
      <c r="AI82" s="37"/>
      <c r="AJ82" s="37" t="s">
        <v>7030</v>
      </c>
      <c r="AL82" s="33">
        <v>0</v>
      </c>
      <c r="AM82" s="32" t="s">
        <v>6090</v>
      </c>
      <c r="AN82" s="32" t="s">
        <v>5423</v>
      </c>
      <c r="AP82" s="32">
        <v>1</v>
      </c>
      <c r="AQ82" s="32">
        <v>0</v>
      </c>
      <c r="AR82" s="32">
        <v>1</v>
      </c>
      <c r="AS82" s="32">
        <v>1</v>
      </c>
      <c r="AU82" s="32">
        <v>0</v>
      </c>
      <c r="AV82" s="17">
        <f t="shared" si="1"/>
        <v>1</v>
      </c>
      <c r="AW82" s="32" t="str">
        <f t="shared" si="21"/>
        <v>{s_taskTalk,{503,510}}</v>
      </c>
    </row>
    <row r="83" spans="1:49" s="32" customFormat="1" ht="72" x14ac:dyDescent="0.15">
      <c r="A83" s="55">
        <v>6136</v>
      </c>
      <c r="B83" s="56"/>
      <c r="C83" s="56" t="s">
        <v>4944</v>
      </c>
      <c r="D83" s="56">
        <v>1</v>
      </c>
      <c r="E83" s="56">
        <v>0</v>
      </c>
      <c r="F83" s="56">
        <v>2</v>
      </c>
      <c r="G83" s="60">
        <v>200</v>
      </c>
      <c r="H83" s="56">
        <v>200</v>
      </c>
      <c r="I83" s="56">
        <v>0</v>
      </c>
      <c r="J83" s="60">
        <v>6135</v>
      </c>
      <c r="K83" s="56">
        <v>0</v>
      </c>
      <c r="L83" s="56">
        <v>510</v>
      </c>
      <c r="M83" s="56" t="s">
        <v>4837</v>
      </c>
      <c r="N83" s="56">
        <v>510</v>
      </c>
      <c r="O83" s="56" t="s">
        <v>5110</v>
      </c>
      <c r="Q83" s="34">
        <v>2013</v>
      </c>
      <c r="R83" s="34"/>
      <c r="S83" s="34"/>
      <c r="T83" s="34"/>
      <c r="U83" s="32">
        <v>3</v>
      </c>
      <c r="V83" s="32">
        <v>0</v>
      </c>
      <c r="W83" s="35">
        <v>5</v>
      </c>
      <c r="Z83" s="21">
        <v>0</v>
      </c>
      <c r="AB83" s="36"/>
      <c r="AC83" s="23"/>
      <c r="AF83" s="37" t="s">
        <v>5274</v>
      </c>
      <c r="AG83" s="37" t="s">
        <v>4945</v>
      </c>
      <c r="AH83" s="37" t="s">
        <v>4946</v>
      </c>
      <c r="AI83" s="37" t="s">
        <v>4947</v>
      </c>
      <c r="AJ83" s="37" t="s">
        <v>6665</v>
      </c>
      <c r="AL83" s="33">
        <v>0</v>
      </c>
      <c r="AM83" s="32" t="s">
        <v>6091</v>
      </c>
      <c r="AN83" s="32" t="s">
        <v>5424</v>
      </c>
      <c r="AO83" s="32" t="s">
        <v>6244</v>
      </c>
      <c r="AP83" s="32">
        <v>1</v>
      </c>
      <c r="AQ83" s="32">
        <v>0</v>
      </c>
      <c r="AR83" s="32">
        <v>1</v>
      </c>
      <c r="AS83" s="32">
        <v>1</v>
      </c>
      <c r="AU83" s="32">
        <v>0</v>
      </c>
      <c r="AV83" s="17">
        <f t="shared" si="1"/>
        <v>1</v>
      </c>
      <c r="AW83" s="32" t="str">
        <f t="shared" si="21"/>
        <v>{s_taskTalk,{510,510}}</v>
      </c>
    </row>
    <row r="84" spans="1:49" s="32" customFormat="1" ht="72" x14ac:dyDescent="0.15">
      <c r="A84" s="55">
        <v>6137</v>
      </c>
      <c r="B84" s="56"/>
      <c r="C84" s="56" t="s">
        <v>4948</v>
      </c>
      <c r="D84" s="56">
        <v>1</v>
      </c>
      <c r="E84" s="56">
        <v>0</v>
      </c>
      <c r="F84" s="56">
        <v>2</v>
      </c>
      <c r="G84" s="60">
        <v>200</v>
      </c>
      <c r="H84" s="56">
        <v>200</v>
      </c>
      <c r="I84" s="56">
        <v>0</v>
      </c>
      <c r="J84" s="57">
        <v>6136</v>
      </c>
      <c r="K84" s="56">
        <v>0</v>
      </c>
      <c r="L84" s="56">
        <v>510</v>
      </c>
      <c r="M84" s="56" t="s">
        <v>4837</v>
      </c>
      <c r="N84" s="56">
        <v>503</v>
      </c>
      <c r="O84" s="56" t="s">
        <v>5101</v>
      </c>
      <c r="Q84" s="34"/>
      <c r="R84" s="34"/>
      <c r="S84" s="34"/>
      <c r="T84" s="34"/>
      <c r="U84" s="32">
        <v>1</v>
      </c>
      <c r="V84" s="32">
        <v>1</v>
      </c>
      <c r="W84" s="35">
        <v>5</v>
      </c>
      <c r="Z84" s="21">
        <v>0</v>
      </c>
      <c r="AB84" s="36"/>
      <c r="AC84" s="23"/>
      <c r="AF84" s="37" t="s">
        <v>5275</v>
      </c>
      <c r="AG84" s="37" t="s">
        <v>4949</v>
      </c>
      <c r="AH84" s="37" t="s">
        <v>4950</v>
      </c>
      <c r="AI84" s="37"/>
      <c r="AJ84" s="37" t="s">
        <v>6566</v>
      </c>
      <c r="AL84" s="33">
        <v>0</v>
      </c>
      <c r="AM84" s="32" t="s">
        <v>6092</v>
      </c>
      <c r="AN84" s="32" t="s">
        <v>5425</v>
      </c>
      <c r="AP84" s="32">
        <v>1</v>
      </c>
      <c r="AQ84" s="32">
        <v>0</v>
      </c>
      <c r="AR84" s="32">
        <v>1</v>
      </c>
      <c r="AS84" s="32">
        <v>1</v>
      </c>
      <c r="AU84" s="32">
        <v>0</v>
      </c>
      <c r="AV84" s="17">
        <f t="shared" si="1"/>
        <v>1</v>
      </c>
      <c r="AW84" s="32" t="str">
        <f t="shared" si="21"/>
        <v>{s_taskTalk,{510,503}}</v>
      </c>
    </row>
    <row r="85" spans="1:49" s="32" customFormat="1" ht="72" x14ac:dyDescent="0.15">
      <c r="A85" s="31">
        <v>6138</v>
      </c>
      <c r="C85" s="63" t="s">
        <v>6745</v>
      </c>
      <c r="D85" s="32">
        <v>1</v>
      </c>
      <c r="E85" s="32">
        <v>0</v>
      </c>
      <c r="F85" s="32">
        <v>2</v>
      </c>
      <c r="G85" s="33">
        <v>35</v>
      </c>
      <c r="H85" s="32">
        <v>200</v>
      </c>
      <c r="I85" s="17">
        <v>0</v>
      </c>
      <c r="J85" s="33">
        <v>6135</v>
      </c>
      <c r="K85" s="32">
        <v>0</v>
      </c>
      <c r="L85" s="32">
        <v>510</v>
      </c>
      <c r="M85" s="32" t="s">
        <v>4837</v>
      </c>
      <c r="N85" s="32">
        <v>510</v>
      </c>
      <c r="O85" s="32" t="s">
        <v>5110</v>
      </c>
      <c r="Q85" s="34"/>
      <c r="R85" s="34"/>
      <c r="S85" s="34">
        <v>10005</v>
      </c>
      <c r="T85" s="34"/>
      <c r="U85" s="32">
        <v>10</v>
      </c>
      <c r="V85" s="32">
        <v>0</v>
      </c>
      <c r="W85" s="35">
        <v>5</v>
      </c>
      <c r="Z85" s="21">
        <f>VLOOKUP(G85,Sheet2!A:H,8,0)</f>
        <v>69490</v>
      </c>
      <c r="AB85" s="36"/>
      <c r="AC85" s="23">
        <f>VLOOKUP(G85,Sheet2!A$2:K$151,9,FALSE)</f>
        <v>880</v>
      </c>
      <c r="AD85" s="32" t="s">
        <v>7163</v>
      </c>
      <c r="AF85" s="37" t="s">
        <v>6746</v>
      </c>
      <c r="AG85" s="37" t="s">
        <v>6747</v>
      </c>
      <c r="AH85" s="37" t="s">
        <v>4951</v>
      </c>
      <c r="AI85" s="37" t="s">
        <v>4952</v>
      </c>
      <c r="AJ85" s="37" t="s">
        <v>7095</v>
      </c>
      <c r="AL85" s="33">
        <v>0</v>
      </c>
      <c r="AM85" s="32" t="s">
        <v>4953</v>
      </c>
      <c r="AN85" s="32" t="s">
        <v>5426</v>
      </c>
      <c r="AP85" s="32">
        <v>1</v>
      </c>
      <c r="AQ85" s="32">
        <v>0</v>
      </c>
      <c r="AR85" s="32">
        <v>1</v>
      </c>
      <c r="AS85" s="32">
        <v>1</v>
      </c>
      <c r="AU85" s="32">
        <v>0</v>
      </c>
      <c r="AV85" s="17">
        <f t="shared" si="1"/>
        <v>1</v>
      </c>
      <c r="AW85" s="17" t="str">
        <f>"{s_taskKillNpc, {"&amp;L85&amp;","&amp;N85&amp;","&amp;S85&amp;","&amp;U85&amp;"}}"</f>
        <v>{s_taskKillNpc, {510,510,10005,10}}</v>
      </c>
    </row>
    <row r="86" spans="1:49" s="32" customFormat="1" ht="72" x14ac:dyDescent="0.15">
      <c r="A86" s="55">
        <v>6139</v>
      </c>
      <c r="B86" s="56"/>
      <c r="C86" s="56" t="s">
        <v>4954</v>
      </c>
      <c r="D86" s="56">
        <v>1</v>
      </c>
      <c r="E86" s="56">
        <v>0</v>
      </c>
      <c r="F86" s="56">
        <v>2</v>
      </c>
      <c r="G86" s="60">
        <v>200</v>
      </c>
      <c r="H86" s="56">
        <v>200</v>
      </c>
      <c r="I86" s="56">
        <v>0</v>
      </c>
      <c r="J86" s="57">
        <v>6138</v>
      </c>
      <c r="K86" s="56">
        <v>0</v>
      </c>
      <c r="L86" s="56">
        <v>510</v>
      </c>
      <c r="M86" s="56" t="s">
        <v>4837</v>
      </c>
      <c r="N86" s="56">
        <v>504</v>
      </c>
      <c r="O86" s="56" t="s">
        <v>5102</v>
      </c>
      <c r="Q86" s="34">
        <v>2014</v>
      </c>
      <c r="R86" s="34"/>
      <c r="S86" s="34"/>
      <c r="T86" s="34"/>
      <c r="U86" s="32">
        <v>3</v>
      </c>
      <c r="V86" s="32">
        <v>0</v>
      </c>
      <c r="W86" s="35">
        <v>5</v>
      </c>
      <c r="Z86" s="21">
        <v>0</v>
      </c>
      <c r="AB86" s="36"/>
      <c r="AC86" s="23"/>
      <c r="AF86" s="37" t="s">
        <v>4955</v>
      </c>
      <c r="AG86" s="37" t="s">
        <v>4956</v>
      </c>
      <c r="AH86" s="37" t="s">
        <v>4957</v>
      </c>
      <c r="AI86" s="37" t="s">
        <v>4962</v>
      </c>
      <c r="AJ86" s="37" t="s">
        <v>6666</v>
      </c>
      <c r="AL86" s="33">
        <v>0</v>
      </c>
      <c r="AM86" s="32" t="s">
        <v>6128</v>
      </c>
      <c r="AN86" s="32" t="s">
        <v>5427</v>
      </c>
      <c r="AO86" s="32" t="s">
        <v>6257</v>
      </c>
      <c r="AP86" s="32">
        <v>1</v>
      </c>
      <c r="AQ86" s="32">
        <v>0</v>
      </c>
      <c r="AR86" s="32">
        <v>1</v>
      </c>
      <c r="AS86" s="32">
        <v>1</v>
      </c>
      <c r="AU86" s="32">
        <v>0</v>
      </c>
      <c r="AV86" s="17">
        <f t="shared" si="1"/>
        <v>1</v>
      </c>
      <c r="AW86" s="32" t="str">
        <f t="shared" si="21"/>
        <v>{s_taskTalk,{510,504}}</v>
      </c>
    </row>
    <row r="87" spans="1:49" s="32" customFormat="1" ht="72" x14ac:dyDescent="0.15">
      <c r="A87" s="55">
        <v>6140</v>
      </c>
      <c r="B87" s="56"/>
      <c r="C87" s="56" t="s">
        <v>4958</v>
      </c>
      <c r="D87" s="56">
        <v>1</v>
      </c>
      <c r="E87" s="56">
        <v>0</v>
      </c>
      <c r="F87" s="56">
        <v>2</v>
      </c>
      <c r="G87" s="60">
        <v>200</v>
      </c>
      <c r="H87" s="56">
        <v>200</v>
      </c>
      <c r="I87" s="56">
        <v>0</v>
      </c>
      <c r="J87" s="60">
        <v>6139</v>
      </c>
      <c r="K87" s="56">
        <v>0</v>
      </c>
      <c r="L87" s="56">
        <v>504</v>
      </c>
      <c r="M87" s="56" t="s">
        <v>4838</v>
      </c>
      <c r="N87" s="56">
        <v>510</v>
      </c>
      <c r="O87" s="56" t="s">
        <v>5110</v>
      </c>
      <c r="Q87" s="34"/>
      <c r="R87" s="34"/>
      <c r="S87" s="34"/>
      <c r="T87" s="34"/>
      <c r="U87" s="32">
        <v>1</v>
      </c>
      <c r="V87" s="32">
        <v>1</v>
      </c>
      <c r="W87" s="35">
        <v>5</v>
      </c>
      <c r="Z87" s="21">
        <v>0</v>
      </c>
      <c r="AB87" s="36"/>
      <c r="AC87" s="23"/>
      <c r="AF87" s="37" t="s">
        <v>4959</v>
      </c>
      <c r="AG87" s="37" t="s">
        <v>4960</v>
      </c>
      <c r="AH87" s="37" t="s">
        <v>4961</v>
      </c>
      <c r="AI87" s="37"/>
      <c r="AJ87" s="37" t="s">
        <v>6567</v>
      </c>
      <c r="AL87" s="33">
        <v>0</v>
      </c>
      <c r="AM87" s="32" t="s">
        <v>6093</v>
      </c>
      <c r="AN87" s="32" t="s">
        <v>5428</v>
      </c>
      <c r="AP87" s="32">
        <v>1</v>
      </c>
      <c r="AQ87" s="32">
        <v>0</v>
      </c>
      <c r="AR87" s="32">
        <v>1</v>
      </c>
      <c r="AS87" s="32">
        <v>1</v>
      </c>
      <c r="AU87" s="32">
        <v>0</v>
      </c>
      <c r="AV87" s="17">
        <f t="shared" si="1"/>
        <v>1</v>
      </c>
      <c r="AW87" s="32" t="str">
        <f t="shared" si="21"/>
        <v>{s_taskTalk,{504,510}}</v>
      </c>
    </row>
    <row r="88" spans="1:49" s="32" customFormat="1" ht="72" x14ac:dyDescent="0.15">
      <c r="A88" s="55">
        <v>6141</v>
      </c>
      <c r="B88" s="56"/>
      <c r="C88" s="56" t="s">
        <v>4963</v>
      </c>
      <c r="D88" s="56">
        <v>1</v>
      </c>
      <c r="E88" s="56">
        <v>0</v>
      </c>
      <c r="F88" s="56">
        <v>2</v>
      </c>
      <c r="G88" s="60">
        <v>200</v>
      </c>
      <c r="H88" s="56">
        <v>200</v>
      </c>
      <c r="I88" s="56">
        <v>0</v>
      </c>
      <c r="J88" s="57">
        <v>6140</v>
      </c>
      <c r="K88" s="56">
        <v>0</v>
      </c>
      <c r="L88" s="56">
        <v>510</v>
      </c>
      <c r="M88" s="56" t="s">
        <v>4837</v>
      </c>
      <c r="N88" s="56">
        <v>503</v>
      </c>
      <c r="O88" s="56" t="s">
        <v>5101</v>
      </c>
      <c r="Q88" s="34">
        <v>2015</v>
      </c>
      <c r="R88" s="34"/>
      <c r="S88" s="34"/>
      <c r="T88" s="34"/>
      <c r="U88" s="32">
        <v>1</v>
      </c>
      <c r="V88" s="32">
        <v>0</v>
      </c>
      <c r="W88" s="35">
        <v>5</v>
      </c>
      <c r="Z88" s="21">
        <v>0</v>
      </c>
      <c r="AB88" s="36"/>
      <c r="AC88" s="23"/>
      <c r="AF88" s="37" t="s">
        <v>5296</v>
      </c>
      <c r="AG88" s="37" t="s">
        <v>4964</v>
      </c>
      <c r="AH88" s="37" t="s">
        <v>4965</v>
      </c>
      <c r="AI88" s="37" t="s">
        <v>4966</v>
      </c>
      <c r="AJ88" s="37" t="s">
        <v>6667</v>
      </c>
      <c r="AL88" s="33">
        <v>0</v>
      </c>
      <c r="AM88" s="32" t="s">
        <v>6094</v>
      </c>
      <c r="AN88" s="32" t="s">
        <v>5429</v>
      </c>
      <c r="AP88" s="32">
        <v>1</v>
      </c>
      <c r="AQ88" s="32">
        <v>0</v>
      </c>
      <c r="AR88" s="32">
        <v>1</v>
      </c>
      <c r="AS88" s="32">
        <v>1</v>
      </c>
      <c r="AU88" s="32">
        <v>0</v>
      </c>
      <c r="AV88" s="17">
        <f t="shared" si="1"/>
        <v>1</v>
      </c>
      <c r="AW88" s="32" t="str">
        <f t="shared" si="21"/>
        <v>{s_taskTalk,{510,503}}</v>
      </c>
    </row>
    <row r="89" spans="1:49" s="32" customFormat="1" ht="84" x14ac:dyDescent="0.15">
      <c r="A89" s="55">
        <v>6142</v>
      </c>
      <c r="B89" s="56"/>
      <c r="C89" s="56" t="s">
        <v>4967</v>
      </c>
      <c r="D89" s="56">
        <v>1</v>
      </c>
      <c r="E89" s="56">
        <v>0</v>
      </c>
      <c r="F89" s="56">
        <v>2</v>
      </c>
      <c r="G89" s="60">
        <v>200</v>
      </c>
      <c r="H89" s="56">
        <v>200</v>
      </c>
      <c r="I89" s="56">
        <v>0</v>
      </c>
      <c r="J89" s="60">
        <v>6141</v>
      </c>
      <c r="K89" s="56">
        <v>0</v>
      </c>
      <c r="L89" s="56">
        <v>113</v>
      </c>
      <c r="M89" s="56" t="s">
        <v>4841</v>
      </c>
      <c r="N89" s="56">
        <v>113</v>
      </c>
      <c r="O89" s="56" t="s">
        <v>5106</v>
      </c>
      <c r="Q89" s="34"/>
      <c r="R89" s="34"/>
      <c r="S89" s="34"/>
      <c r="T89" s="34"/>
      <c r="U89" s="32">
        <v>1</v>
      </c>
      <c r="V89" s="32">
        <v>1</v>
      </c>
      <c r="W89" s="35">
        <v>5</v>
      </c>
      <c r="Z89" s="21">
        <v>0</v>
      </c>
      <c r="AB89" s="36"/>
      <c r="AC89" s="23">
        <v>500</v>
      </c>
      <c r="AF89" s="37" t="s">
        <v>4968</v>
      </c>
      <c r="AG89" s="37" t="s">
        <v>4969</v>
      </c>
      <c r="AH89" s="37" t="s">
        <v>4970</v>
      </c>
      <c r="AI89" s="37"/>
      <c r="AJ89" s="37" t="s">
        <v>6568</v>
      </c>
      <c r="AL89" s="33">
        <v>0</v>
      </c>
      <c r="AM89" s="32" t="s">
        <v>4971</v>
      </c>
      <c r="AN89" s="32" t="s">
        <v>5430</v>
      </c>
      <c r="AP89" s="32">
        <v>1</v>
      </c>
      <c r="AQ89" s="32">
        <v>0</v>
      </c>
      <c r="AR89" s="32">
        <v>1</v>
      </c>
      <c r="AS89" s="32">
        <v>1</v>
      </c>
      <c r="AU89" s="32">
        <v>0</v>
      </c>
      <c r="AV89" s="17">
        <f t="shared" si="1"/>
        <v>1</v>
      </c>
      <c r="AW89" s="32" t="str">
        <f t="shared" si="21"/>
        <v>{s_taskTalk,{113,113}}</v>
      </c>
    </row>
    <row r="90" spans="1:49" s="32" customFormat="1" ht="84" x14ac:dyDescent="0.15">
      <c r="A90" s="55">
        <v>6143</v>
      </c>
      <c r="B90" s="56"/>
      <c r="C90" s="56" t="s">
        <v>4972</v>
      </c>
      <c r="D90" s="56">
        <v>1</v>
      </c>
      <c r="E90" s="56">
        <v>0</v>
      </c>
      <c r="F90" s="56">
        <v>2</v>
      </c>
      <c r="G90" s="60">
        <v>200</v>
      </c>
      <c r="H90" s="56">
        <v>200</v>
      </c>
      <c r="I90" s="56">
        <v>0</v>
      </c>
      <c r="J90" s="57">
        <v>6142</v>
      </c>
      <c r="K90" s="56">
        <v>0</v>
      </c>
      <c r="L90" s="56">
        <v>113</v>
      </c>
      <c r="M90" s="56" t="s">
        <v>4841</v>
      </c>
      <c r="N90" s="56">
        <v>113</v>
      </c>
      <c r="O90" s="56" t="s">
        <v>5106</v>
      </c>
      <c r="Q90" s="34">
        <v>2016</v>
      </c>
      <c r="R90" s="34"/>
      <c r="S90" s="34"/>
      <c r="T90" s="34"/>
      <c r="U90" s="32">
        <v>1</v>
      </c>
      <c r="V90" s="32">
        <v>0</v>
      </c>
      <c r="W90" s="35">
        <v>5</v>
      </c>
      <c r="Z90" s="21">
        <v>0</v>
      </c>
      <c r="AB90" s="36"/>
      <c r="AC90" s="23"/>
      <c r="AF90" s="37" t="s">
        <v>5385</v>
      </c>
      <c r="AG90" s="37" t="s">
        <v>5386</v>
      </c>
      <c r="AH90" s="37" t="s">
        <v>4973</v>
      </c>
      <c r="AI90" s="37" t="s">
        <v>4981</v>
      </c>
      <c r="AJ90" s="37" t="s">
        <v>6569</v>
      </c>
      <c r="AL90" s="33">
        <v>0</v>
      </c>
      <c r="AM90" s="32" t="s">
        <v>4974</v>
      </c>
      <c r="AN90" s="32" t="s">
        <v>5431</v>
      </c>
      <c r="AP90" s="32">
        <v>1</v>
      </c>
      <c r="AQ90" s="32">
        <v>0</v>
      </c>
      <c r="AR90" s="32">
        <v>1</v>
      </c>
      <c r="AS90" s="32">
        <v>1</v>
      </c>
      <c r="AU90" s="32">
        <v>0</v>
      </c>
      <c r="AV90" s="17">
        <f t="shared" si="1"/>
        <v>1</v>
      </c>
      <c r="AW90" s="32" t="str">
        <f t="shared" si="21"/>
        <v>{s_taskTalk,{113,113}}</v>
      </c>
    </row>
    <row r="91" spans="1:49" s="32" customFormat="1" ht="84" x14ac:dyDescent="0.15">
      <c r="A91" s="55">
        <v>7140</v>
      </c>
      <c r="B91" s="56"/>
      <c r="C91" s="56" t="s">
        <v>4972</v>
      </c>
      <c r="D91" s="56">
        <v>1</v>
      </c>
      <c r="E91" s="56">
        <v>0</v>
      </c>
      <c r="F91" s="56">
        <v>2</v>
      </c>
      <c r="G91" s="60">
        <v>200</v>
      </c>
      <c r="H91" s="56">
        <v>200</v>
      </c>
      <c r="I91" s="56">
        <v>0</v>
      </c>
      <c r="J91" s="57">
        <v>6142</v>
      </c>
      <c r="K91" s="56">
        <v>0</v>
      </c>
      <c r="L91" s="56">
        <v>113</v>
      </c>
      <c r="M91" s="56" t="s">
        <v>4841</v>
      </c>
      <c r="N91" s="56">
        <v>113</v>
      </c>
      <c r="O91" s="56" t="s">
        <v>5106</v>
      </c>
      <c r="Q91" s="34">
        <v>2016</v>
      </c>
      <c r="R91" s="34"/>
      <c r="S91" s="34"/>
      <c r="T91" s="34"/>
      <c r="U91" s="32">
        <v>1</v>
      </c>
      <c r="V91" s="32">
        <v>0</v>
      </c>
      <c r="W91" s="35">
        <v>5</v>
      </c>
      <c r="Z91" s="21">
        <v>0</v>
      </c>
      <c r="AB91" s="36"/>
      <c r="AC91" s="23"/>
      <c r="AF91" s="37" t="s">
        <v>5385</v>
      </c>
      <c r="AG91" s="37" t="s">
        <v>5386</v>
      </c>
      <c r="AH91" s="37" t="s">
        <v>4973</v>
      </c>
      <c r="AI91" s="37" t="s">
        <v>4981</v>
      </c>
      <c r="AJ91" s="37" t="s">
        <v>6668</v>
      </c>
      <c r="AL91" s="33">
        <v>0</v>
      </c>
      <c r="AM91" s="32" t="s">
        <v>6245</v>
      </c>
      <c r="AN91" s="32" t="s">
        <v>6250</v>
      </c>
      <c r="AP91" s="32">
        <v>0</v>
      </c>
      <c r="AQ91" s="32">
        <v>0</v>
      </c>
      <c r="AR91" s="32">
        <v>1</v>
      </c>
      <c r="AS91" s="32">
        <v>1</v>
      </c>
      <c r="AU91" s="32">
        <v>0</v>
      </c>
      <c r="AV91" s="17">
        <f t="shared" ref="AV91:AV93" si="33">IF(D91 = 1,1,0)</f>
        <v>1</v>
      </c>
      <c r="AW91" s="32" t="str">
        <f t="shared" ref="AW91:AW93" si="34">"{s_taskTalk,{"&amp;L91&amp;","&amp;N91&amp;"}}"</f>
        <v>{s_taskTalk,{113,113}}</v>
      </c>
    </row>
    <row r="92" spans="1:49" s="32" customFormat="1" ht="84" x14ac:dyDescent="0.15">
      <c r="A92" s="55">
        <v>7141</v>
      </c>
      <c r="B92" s="56"/>
      <c r="C92" s="56" t="s">
        <v>4972</v>
      </c>
      <c r="D92" s="56">
        <v>1</v>
      </c>
      <c r="E92" s="56">
        <v>0</v>
      </c>
      <c r="F92" s="56">
        <v>2</v>
      </c>
      <c r="G92" s="60">
        <v>200</v>
      </c>
      <c r="H92" s="56">
        <v>200</v>
      </c>
      <c r="I92" s="56">
        <v>0</v>
      </c>
      <c r="J92" s="57">
        <v>6142</v>
      </c>
      <c r="K92" s="56">
        <v>0</v>
      </c>
      <c r="L92" s="56">
        <v>113</v>
      </c>
      <c r="M92" s="56" t="s">
        <v>4841</v>
      </c>
      <c r="N92" s="56">
        <v>113</v>
      </c>
      <c r="O92" s="56" t="s">
        <v>5106</v>
      </c>
      <c r="Q92" s="34">
        <v>2016</v>
      </c>
      <c r="R92" s="34"/>
      <c r="S92" s="34"/>
      <c r="T92" s="34"/>
      <c r="U92" s="32">
        <v>1</v>
      </c>
      <c r="V92" s="32">
        <v>0</v>
      </c>
      <c r="W92" s="35">
        <v>5</v>
      </c>
      <c r="Z92" s="21">
        <v>0</v>
      </c>
      <c r="AB92" s="36"/>
      <c r="AC92" s="23"/>
      <c r="AF92" s="37" t="s">
        <v>5385</v>
      </c>
      <c r="AG92" s="37" t="s">
        <v>5386</v>
      </c>
      <c r="AH92" s="37" t="s">
        <v>4973</v>
      </c>
      <c r="AI92" s="37" t="s">
        <v>4981</v>
      </c>
      <c r="AJ92" s="37" t="s">
        <v>6668</v>
      </c>
      <c r="AL92" s="33">
        <v>0</v>
      </c>
      <c r="AM92" s="32" t="s">
        <v>6246</v>
      </c>
      <c r="AN92" s="32" t="s">
        <v>6249</v>
      </c>
      <c r="AP92" s="32">
        <v>0</v>
      </c>
      <c r="AQ92" s="32">
        <v>0</v>
      </c>
      <c r="AR92" s="32">
        <v>1</v>
      </c>
      <c r="AS92" s="32">
        <v>1</v>
      </c>
      <c r="AU92" s="32">
        <v>0</v>
      </c>
      <c r="AV92" s="17">
        <f t="shared" si="33"/>
        <v>1</v>
      </c>
      <c r="AW92" s="32" t="str">
        <f t="shared" si="34"/>
        <v>{s_taskTalk,{113,113}}</v>
      </c>
    </row>
    <row r="93" spans="1:49" s="32" customFormat="1" ht="84" x14ac:dyDescent="0.15">
      <c r="A93" s="55">
        <v>7142</v>
      </c>
      <c r="B93" s="56"/>
      <c r="C93" s="56" t="s">
        <v>4972</v>
      </c>
      <c r="D93" s="56">
        <v>1</v>
      </c>
      <c r="E93" s="56">
        <v>0</v>
      </c>
      <c r="F93" s="56">
        <v>2</v>
      </c>
      <c r="G93" s="60">
        <v>200</v>
      </c>
      <c r="H93" s="56">
        <v>200</v>
      </c>
      <c r="I93" s="56">
        <v>0</v>
      </c>
      <c r="J93" s="57">
        <v>6142</v>
      </c>
      <c r="K93" s="56">
        <v>0</v>
      </c>
      <c r="L93" s="56">
        <v>113</v>
      </c>
      <c r="M93" s="56" t="s">
        <v>4841</v>
      </c>
      <c r="N93" s="56">
        <v>113</v>
      </c>
      <c r="O93" s="56" t="s">
        <v>5106</v>
      </c>
      <c r="Q93" s="34">
        <v>2016</v>
      </c>
      <c r="R93" s="34"/>
      <c r="S93" s="34"/>
      <c r="T93" s="34"/>
      <c r="U93" s="32">
        <v>1</v>
      </c>
      <c r="V93" s="32">
        <v>0</v>
      </c>
      <c r="W93" s="35">
        <v>5</v>
      </c>
      <c r="Z93" s="21">
        <v>0</v>
      </c>
      <c r="AB93" s="36"/>
      <c r="AC93" s="23"/>
      <c r="AF93" s="37" t="s">
        <v>5385</v>
      </c>
      <c r="AG93" s="37" t="s">
        <v>5386</v>
      </c>
      <c r="AH93" s="37" t="s">
        <v>4973</v>
      </c>
      <c r="AI93" s="37" t="s">
        <v>4981</v>
      </c>
      <c r="AJ93" s="37" t="s">
        <v>6668</v>
      </c>
      <c r="AL93" s="33">
        <v>0</v>
      </c>
      <c r="AM93" s="32" t="s">
        <v>6247</v>
      </c>
      <c r="AN93" s="32" t="s">
        <v>6248</v>
      </c>
      <c r="AP93" s="32">
        <v>0</v>
      </c>
      <c r="AQ93" s="32">
        <v>0</v>
      </c>
      <c r="AR93" s="32">
        <v>1</v>
      </c>
      <c r="AS93" s="32">
        <v>1</v>
      </c>
      <c r="AU93" s="32">
        <v>0</v>
      </c>
      <c r="AV93" s="17">
        <f t="shared" si="33"/>
        <v>1</v>
      </c>
      <c r="AW93" s="32" t="str">
        <f t="shared" si="34"/>
        <v>{s_taskTalk,{113,113}}</v>
      </c>
    </row>
    <row r="94" spans="1:49" s="32" customFormat="1" ht="72" x14ac:dyDescent="0.15">
      <c r="A94" s="31">
        <v>6144</v>
      </c>
      <c r="C94" s="32" t="s">
        <v>6749</v>
      </c>
      <c r="D94" s="32">
        <v>1</v>
      </c>
      <c r="E94" s="32">
        <v>0</v>
      </c>
      <c r="F94" s="32">
        <v>2</v>
      </c>
      <c r="G94" s="33">
        <v>36</v>
      </c>
      <c r="H94" s="32">
        <v>200</v>
      </c>
      <c r="I94" s="17">
        <v>0</v>
      </c>
      <c r="J94" s="38">
        <v>6138</v>
      </c>
      <c r="K94" s="32">
        <v>0</v>
      </c>
      <c r="L94" s="32">
        <v>510</v>
      </c>
      <c r="M94" s="32" t="s">
        <v>5110</v>
      </c>
      <c r="N94" s="32">
        <v>501</v>
      </c>
      <c r="O94" s="32" t="s">
        <v>5111</v>
      </c>
      <c r="Q94" s="34"/>
      <c r="R94" s="34"/>
      <c r="S94" s="34"/>
      <c r="T94" s="34"/>
      <c r="U94" s="32">
        <v>1</v>
      </c>
      <c r="V94" s="32">
        <v>1</v>
      </c>
      <c r="W94" s="35">
        <v>5</v>
      </c>
      <c r="Z94" s="21">
        <f>VLOOKUP(G94,Sheet2!A:H,8,0)</f>
        <v>81999</v>
      </c>
      <c r="AB94" s="36"/>
      <c r="AC94" s="23">
        <f>VLOOKUP(G94,Sheet2!A$2:K$151,9,FALSE)</f>
        <v>900</v>
      </c>
      <c r="AF94" s="37" t="s">
        <v>6748</v>
      </c>
      <c r="AG94" s="37" t="s">
        <v>4975</v>
      </c>
      <c r="AH94" s="37" t="s">
        <v>4976</v>
      </c>
      <c r="AI94" s="37"/>
      <c r="AJ94" s="37" t="s">
        <v>7096</v>
      </c>
      <c r="AL94" s="33">
        <v>0</v>
      </c>
      <c r="AM94" s="32" t="s">
        <v>6095</v>
      </c>
      <c r="AN94" s="32" t="s">
        <v>5432</v>
      </c>
      <c r="AP94" s="32">
        <v>1</v>
      </c>
      <c r="AQ94" s="32">
        <v>0</v>
      </c>
      <c r="AR94" s="32">
        <v>1</v>
      </c>
      <c r="AS94" s="32">
        <v>1</v>
      </c>
      <c r="AU94" s="32">
        <v>0</v>
      </c>
      <c r="AV94" s="17">
        <f t="shared" si="1"/>
        <v>1</v>
      </c>
      <c r="AW94" s="32" t="str">
        <f t="shared" si="21"/>
        <v>{s_taskTalk,{510,501}}</v>
      </c>
    </row>
    <row r="95" spans="1:49" s="32" customFormat="1" ht="72" x14ac:dyDescent="0.15">
      <c r="A95" s="31">
        <v>6145</v>
      </c>
      <c r="C95" s="63" t="s">
        <v>6754</v>
      </c>
      <c r="D95" s="32">
        <v>1</v>
      </c>
      <c r="E95" s="32">
        <v>0</v>
      </c>
      <c r="F95" s="32">
        <v>2</v>
      </c>
      <c r="G95" s="33">
        <v>36</v>
      </c>
      <c r="H95" s="32">
        <v>200</v>
      </c>
      <c r="I95" s="17">
        <v>0</v>
      </c>
      <c r="J95" s="33">
        <v>6144</v>
      </c>
      <c r="K95" s="32">
        <v>0</v>
      </c>
      <c r="L95" s="32">
        <v>501</v>
      </c>
      <c r="M95" s="32" t="s">
        <v>4839</v>
      </c>
      <c r="N95" s="32">
        <v>501</v>
      </c>
      <c r="O95" s="32" t="s">
        <v>5112</v>
      </c>
      <c r="Q95" s="34"/>
      <c r="R95" s="34"/>
      <c r="S95" s="34">
        <v>10006</v>
      </c>
      <c r="T95" s="34"/>
      <c r="U95" s="32">
        <v>10</v>
      </c>
      <c r="V95" s="32">
        <v>0</v>
      </c>
      <c r="W95" s="35">
        <v>5</v>
      </c>
      <c r="Z95" s="21">
        <f>VLOOKUP(G95,Sheet2!A:H,8,0)</f>
        <v>81999</v>
      </c>
      <c r="AB95" s="36"/>
      <c r="AC95" s="23">
        <f>VLOOKUP(G95,Sheet2!A$2:K$151,9,FALSE)</f>
        <v>900</v>
      </c>
      <c r="AF95" s="37" t="s">
        <v>8603</v>
      </c>
      <c r="AG95" s="37" t="s">
        <v>8604</v>
      </c>
      <c r="AH95" s="37" t="s">
        <v>8605</v>
      </c>
      <c r="AI95" s="37" t="s">
        <v>6755</v>
      </c>
      <c r="AJ95" s="37" t="s">
        <v>7031</v>
      </c>
      <c r="AL95" s="33">
        <v>0</v>
      </c>
      <c r="AM95" s="32" t="s">
        <v>6138</v>
      </c>
      <c r="AN95" s="32" t="s">
        <v>5433</v>
      </c>
      <c r="AP95" s="32">
        <v>1</v>
      </c>
      <c r="AQ95" s="32">
        <v>0</v>
      </c>
      <c r="AR95" s="32">
        <v>1</v>
      </c>
      <c r="AS95" s="32">
        <v>1</v>
      </c>
      <c r="AU95" s="32">
        <v>0</v>
      </c>
      <c r="AV95" s="17">
        <f t="shared" ref="AV95:AV181" si="35">IF(D95 = 1,1,0)</f>
        <v>1</v>
      </c>
      <c r="AW95" s="17" t="str">
        <f>"{s_taskKillNpc, {"&amp;L95&amp;","&amp;N95&amp;","&amp;S95&amp;","&amp;U95&amp;"}}"</f>
        <v>{s_taskKillNpc, {501,501,10006,10}}</v>
      </c>
    </row>
    <row r="96" spans="1:49" s="32" customFormat="1" ht="72" x14ac:dyDescent="0.15">
      <c r="A96" s="31">
        <v>6146</v>
      </c>
      <c r="C96" s="32" t="s">
        <v>6987</v>
      </c>
      <c r="D96" s="32">
        <v>1</v>
      </c>
      <c r="E96" s="32">
        <v>0</v>
      </c>
      <c r="F96" s="32">
        <v>2</v>
      </c>
      <c r="G96" s="33">
        <v>37</v>
      </c>
      <c r="H96" s="32">
        <v>200</v>
      </c>
      <c r="I96" s="17">
        <v>0</v>
      </c>
      <c r="J96" s="38">
        <v>6145</v>
      </c>
      <c r="K96" s="32">
        <v>0</v>
      </c>
      <c r="L96" s="32">
        <v>501</v>
      </c>
      <c r="M96" s="32" t="s">
        <v>4839</v>
      </c>
      <c r="N96" s="32">
        <v>501</v>
      </c>
      <c r="O96" s="32" t="s">
        <v>4839</v>
      </c>
      <c r="Q96" s="34"/>
      <c r="R96" s="34"/>
      <c r="S96" s="34"/>
      <c r="T96" s="34"/>
      <c r="U96" s="32">
        <v>1</v>
      </c>
      <c r="V96" s="32">
        <v>1</v>
      </c>
      <c r="W96" s="35">
        <v>5</v>
      </c>
      <c r="Z96" s="21">
        <f>VLOOKUP(G96,Sheet2!A:H,8,0)</f>
        <v>96759</v>
      </c>
      <c r="AB96" s="36"/>
      <c r="AC96" s="23">
        <f>VLOOKUP(G96,Sheet2!A$2:K$151,9,FALSE)</f>
        <v>920</v>
      </c>
      <c r="AF96" s="37" t="s">
        <v>6988</v>
      </c>
      <c r="AG96" s="37" t="s">
        <v>6756</v>
      </c>
      <c r="AH96" s="37" t="s">
        <v>6757</v>
      </c>
      <c r="AI96" s="37"/>
      <c r="AJ96" s="37" t="s">
        <v>7097</v>
      </c>
      <c r="AL96" s="33">
        <v>0</v>
      </c>
      <c r="AM96" s="32" t="s">
        <v>6760</v>
      </c>
      <c r="AN96" s="32" t="s">
        <v>6759</v>
      </c>
      <c r="AP96" s="32">
        <v>1</v>
      </c>
      <c r="AQ96" s="32">
        <v>0</v>
      </c>
      <c r="AR96" s="32">
        <v>1</v>
      </c>
      <c r="AS96" s="32">
        <v>1</v>
      </c>
      <c r="AU96" s="32">
        <v>0</v>
      </c>
      <c r="AV96" s="17">
        <f t="shared" si="35"/>
        <v>1</v>
      </c>
      <c r="AW96" s="32" t="str">
        <f t="shared" si="21"/>
        <v>{s_taskTalk,{501,501}}</v>
      </c>
    </row>
    <row r="97" spans="1:49" s="32" customFormat="1" ht="72" x14ac:dyDescent="0.15">
      <c r="A97" s="31">
        <v>6153</v>
      </c>
      <c r="C97" s="32" t="s">
        <v>6758</v>
      </c>
      <c r="D97" s="32">
        <v>1</v>
      </c>
      <c r="E97" s="32">
        <v>0</v>
      </c>
      <c r="F97" s="32">
        <v>2</v>
      </c>
      <c r="G97" s="33">
        <v>37</v>
      </c>
      <c r="H97" s="32">
        <v>200</v>
      </c>
      <c r="I97" s="17">
        <v>0</v>
      </c>
      <c r="J97" s="38">
        <v>6146</v>
      </c>
      <c r="K97" s="32">
        <v>0</v>
      </c>
      <c r="L97" s="32">
        <v>501</v>
      </c>
      <c r="M97" s="32" t="s">
        <v>4839</v>
      </c>
      <c r="N97" s="32">
        <v>503</v>
      </c>
      <c r="O97" s="32" t="s">
        <v>5101</v>
      </c>
      <c r="Q97" s="34"/>
      <c r="R97" s="34"/>
      <c r="S97" s="34"/>
      <c r="T97" s="34"/>
      <c r="U97" s="32">
        <v>1</v>
      </c>
      <c r="V97" s="32">
        <v>1</v>
      </c>
      <c r="W97" s="35">
        <v>5</v>
      </c>
      <c r="Z97" s="21">
        <f>VLOOKUP(G97,Sheet2!A:H,8,0)</f>
        <v>96759</v>
      </c>
      <c r="AB97" s="36"/>
      <c r="AC97" s="23">
        <f>VLOOKUP(G97,Sheet2!A$2:K$151,9,FALSE)</f>
        <v>920</v>
      </c>
      <c r="AF97" s="37" t="s">
        <v>6761</v>
      </c>
      <c r="AG97" s="37" t="s">
        <v>6762</v>
      </c>
      <c r="AH97" s="37" t="s">
        <v>6763</v>
      </c>
      <c r="AI97" s="37"/>
      <c r="AJ97" s="37" t="s">
        <v>7032</v>
      </c>
      <c r="AL97" s="33">
        <v>0</v>
      </c>
      <c r="AM97" s="32" t="s">
        <v>6096</v>
      </c>
      <c r="AN97" s="32" t="s">
        <v>5434</v>
      </c>
      <c r="AP97" s="32">
        <v>1</v>
      </c>
      <c r="AQ97" s="32">
        <v>0</v>
      </c>
      <c r="AR97" s="32">
        <v>1</v>
      </c>
      <c r="AS97" s="32">
        <v>1</v>
      </c>
      <c r="AU97" s="32">
        <v>0</v>
      </c>
      <c r="AV97" s="17">
        <f t="shared" ref="AV97" si="36">IF(D97 = 1,1,0)</f>
        <v>1</v>
      </c>
      <c r="AW97" s="32" t="str">
        <f t="shared" ref="AW97" si="37">"{s_taskTalk,{"&amp;L97&amp;","&amp;N97&amp;"}}"</f>
        <v>{s_taskTalk,{501,503}}</v>
      </c>
    </row>
    <row r="98" spans="1:49" s="32" customFormat="1" ht="72" x14ac:dyDescent="0.15">
      <c r="A98" s="31">
        <v>6147</v>
      </c>
      <c r="C98" s="64" t="s">
        <v>6764</v>
      </c>
      <c r="D98" s="32">
        <v>1</v>
      </c>
      <c r="E98" s="32">
        <v>0</v>
      </c>
      <c r="F98" s="32">
        <v>2</v>
      </c>
      <c r="G98" s="33">
        <v>38</v>
      </c>
      <c r="H98" s="32">
        <v>200</v>
      </c>
      <c r="I98" s="17">
        <v>0</v>
      </c>
      <c r="J98" s="33">
        <v>6153</v>
      </c>
      <c r="K98" s="32">
        <v>0</v>
      </c>
      <c r="L98" s="32">
        <v>503</v>
      </c>
      <c r="M98" s="32" t="s">
        <v>4824</v>
      </c>
      <c r="N98" s="32">
        <v>507</v>
      </c>
      <c r="O98" s="32" t="s">
        <v>5113</v>
      </c>
      <c r="Q98" s="34"/>
      <c r="R98" s="49">
        <v>60044</v>
      </c>
      <c r="S98" s="34"/>
      <c r="T98" s="34"/>
      <c r="U98" s="32">
        <v>1</v>
      </c>
      <c r="V98" s="32">
        <v>1</v>
      </c>
      <c r="W98" s="35">
        <v>5</v>
      </c>
      <c r="Z98" s="21">
        <f>VLOOKUP(G98,Sheet2!A:H,8,0)</f>
        <v>114175</v>
      </c>
      <c r="AB98" s="36"/>
      <c r="AC98" s="23">
        <f>VLOOKUP(G98,Sheet2!A$2:K$151,9,FALSE)</f>
        <v>940</v>
      </c>
      <c r="AF98" s="37" t="s">
        <v>9045</v>
      </c>
      <c r="AG98" s="37" t="s">
        <v>4977</v>
      </c>
      <c r="AH98" s="37" t="s">
        <v>4978</v>
      </c>
      <c r="AI98" s="37" t="s">
        <v>4982</v>
      </c>
      <c r="AJ98" s="37" t="s">
        <v>7098</v>
      </c>
      <c r="AL98" s="33">
        <v>0</v>
      </c>
      <c r="AM98" s="32" t="s">
        <v>4979</v>
      </c>
      <c r="AN98" s="32" t="s">
        <v>5435</v>
      </c>
      <c r="AP98" s="32">
        <v>1</v>
      </c>
      <c r="AQ98" s="32">
        <v>0</v>
      </c>
      <c r="AR98" s="32">
        <v>1</v>
      </c>
      <c r="AS98" s="32">
        <v>0</v>
      </c>
      <c r="AU98" s="32">
        <v>0</v>
      </c>
      <c r="AV98" s="17">
        <f t="shared" si="35"/>
        <v>1</v>
      </c>
      <c r="AW98" s="50" t="str">
        <f>"{s_taskGuard,{"&amp;L98&amp;","&amp;N98&amp;","&amp;R98&amp;"}}"</f>
        <v>{s_taskGuard,{503,507,60044}}</v>
      </c>
    </row>
    <row r="99" spans="1:49" s="32" customFormat="1" ht="72" x14ac:dyDescent="0.15">
      <c r="A99" s="31">
        <v>6148</v>
      </c>
      <c r="B99" s="31"/>
      <c r="C99" s="31" t="s">
        <v>7216</v>
      </c>
      <c r="D99" s="31">
        <v>1</v>
      </c>
      <c r="E99" s="31">
        <v>0</v>
      </c>
      <c r="F99" s="31">
        <v>2</v>
      </c>
      <c r="G99" s="38">
        <v>38</v>
      </c>
      <c r="H99" s="31">
        <v>200</v>
      </c>
      <c r="I99" s="31">
        <v>0</v>
      </c>
      <c r="J99" s="31">
        <v>6147</v>
      </c>
      <c r="K99" s="31">
        <v>0</v>
      </c>
      <c r="L99" s="32">
        <v>507</v>
      </c>
      <c r="M99" s="32" t="s">
        <v>4840</v>
      </c>
      <c r="N99" s="32">
        <v>507</v>
      </c>
      <c r="O99" s="32" t="s">
        <v>4840</v>
      </c>
      <c r="Q99" s="34">
        <v>2017</v>
      </c>
      <c r="R99" s="34"/>
      <c r="S99" s="34"/>
      <c r="T99" s="34"/>
      <c r="U99" s="32">
        <v>3</v>
      </c>
      <c r="V99" s="32">
        <v>0</v>
      </c>
      <c r="W99" s="35">
        <v>5</v>
      </c>
      <c r="Z99" s="21">
        <f>VLOOKUP(G99,Sheet2!A:H,8,0)</f>
        <v>114175</v>
      </c>
      <c r="AB99" s="36"/>
      <c r="AC99" s="23">
        <f>VLOOKUP(G99,Sheet2!A$2:K$151,9,FALSE)</f>
        <v>940</v>
      </c>
      <c r="AF99" s="37" t="s">
        <v>7217</v>
      </c>
      <c r="AG99" s="37" t="s">
        <v>6765</v>
      </c>
      <c r="AH99" s="37" t="s">
        <v>6766</v>
      </c>
      <c r="AI99" s="37" t="s">
        <v>6767</v>
      </c>
      <c r="AJ99" s="37" t="s">
        <v>7033</v>
      </c>
      <c r="AL99" s="33">
        <v>0</v>
      </c>
      <c r="AM99" s="32" t="s">
        <v>4980</v>
      </c>
      <c r="AN99" s="32" t="s">
        <v>5436</v>
      </c>
      <c r="AO99" s="32" t="s">
        <v>6255</v>
      </c>
      <c r="AP99" s="32">
        <v>1</v>
      </c>
      <c r="AQ99" s="32">
        <v>0</v>
      </c>
      <c r="AR99" s="32">
        <v>1</v>
      </c>
      <c r="AS99" s="32">
        <v>1</v>
      </c>
      <c r="AU99" s="32">
        <v>0</v>
      </c>
      <c r="AV99" s="17">
        <f t="shared" si="35"/>
        <v>1</v>
      </c>
      <c r="AW99" s="32" t="str">
        <f t="shared" si="21"/>
        <v>{s_taskTalk,{507,507}}</v>
      </c>
    </row>
    <row r="100" spans="1:49" s="32" customFormat="1" ht="72" x14ac:dyDescent="0.15">
      <c r="A100" s="31">
        <v>6149</v>
      </c>
      <c r="C100" s="63" t="s">
        <v>6768</v>
      </c>
      <c r="D100" s="32">
        <v>1</v>
      </c>
      <c r="E100" s="32">
        <v>0</v>
      </c>
      <c r="F100" s="32">
        <v>2</v>
      </c>
      <c r="G100" s="33">
        <v>39</v>
      </c>
      <c r="H100" s="32">
        <v>200</v>
      </c>
      <c r="I100" s="17">
        <v>0</v>
      </c>
      <c r="J100" s="33">
        <v>6148</v>
      </c>
      <c r="K100" s="32">
        <v>0</v>
      </c>
      <c r="L100" s="32">
        <v>507</v>
      </c>
      <c r="M100" s="32" t="s">
        <v>4840</v>
      </c>
      <c r="N100" s="32">
        <v>507</v>
      </c>
      <c r="O100" s="32" t="s">
        <v>4840</v>
      </c>
      <c r="Q100" s="34"/>
      <c r="R100" s="34"/>
      <c r="S100" s="34">
        <v>10007</v>
      </c>
      <c r="T100" s="34"/>
      <c r="U100" s="32">
        <v>10</v>
      </c>
      <c r="V100" s="32">
        <v>0</v>
      </c>
      <c r="W100" s="35">
        <v>5</v>
      </c>
      <c r="Z100" s="21">
        <f>VLOOKUP(G100,Sheet2!A:H,8,0)</f>
        <v>67363</v>
      </c>
      <c r="AB100" s="36"/>
      <c r="AC100" s="23">
        <f>VLOOKUP(G100,Sheet2!A$2:K$151,9,FALSE)</f>
        <v>480</v>
      </c>
      <c r="AD100" s="32" t="s">
        <v>7163</v>
      </c>
      <c r="AF100" s="37" t="s">
        <v>6769</v>
      </c>
      <c r="AG100" s="37" t="s">
        <v>6770</v>
      </c>
      <c r="AH100" s="37" t="s">
        <v>6771</v>
      </c>
      <c r="AI100" s="37" t="s">
        <v>6772</v>
      </c>
      <c r="AJ100" s="37" t="s">
        <v>6773</v>
      </c>
      <c r="AL100" s="33">
        <v>0</v>
      </c>
      <c r="AM100" s="32" t="s">
        <v>6139</v>
      </c>
      <c r="AN100" s="32" t="s">
        <v>5437</v>
      </c>
      <c r="AP100" s="32">
        <v>1</v>
      </c>
      <c r="AQ100" s="32">
        <v>0</v>
      </c>
      <c r="AR100" s="32">
        <v>1</v>
      </c>
      <c r="AS100" s="32">
        <v>1</v>
      </c>
      <c r="AU100" s="32">
        <v>0</v>
      </c>
      <c r="AV100" s="17">
        <f t="shared" si="35"/>
        <v>1</v>
      </c>
      <c r="AW100" s="17" t="str">
        <f>"{s_taskKillNpc, {"&amp;L100&amp;","&amp;N100&amp;","&amp;S100&amp;","&amp;U100&amp;"}}"</f>
        <v>{s_taskKillNpc, {507,507,10007,10}}</v>
      </c>
    </row>
    <row r="101" spans="1:49" s="32" customFormat="1" ht="72" x14ac:dyDescent="0.15">
      <c r="A101" s="31">
        <v>6150</v>
      </c>
      <c r="C101" s="32" t="s">
        <v>9046</v>
      </c>
      <c r="D101" s="32">
        <v>1</v>
      </c>
      <c r="E101" s="32">
        <v>0</v>
      </c>
      <c r="F101" s="32">
        <v>2</v>
      </c>
      <c r="G101" s="33">
        <v>39</v>
      </c>
      <c r="H101" s="32">
        <v>200</v>
      </c>
      <c r="I101" s="17">
        <v>0</v>
      </c>
      <c r="J101" s="38">
        <v>6149</v>
      </c>
      <c r="K101" s="32">
        <v>0</v>
      </c>
      <c r="L101" s="32">
        <v>507</v>
      </c>
      <c r="M101" s="32" t="s">
        <v>4840</v>
      </c>
      <c r="N101" s="32">
        <v>503</v>
      </c>
      <c r="O101" s="32" t="s">
        <v>4831</v>
      </c>
      <c r="Q101" s="34"/>
      <c r="R101" s="34"/>
      <c r="S101" s="34"/>
      <c r="T101" s="34"/>
      <c r="U101" s="32">
        <v>1</v>
      </c>
      <c r="V101" s="32">
        <v>1</v>
      </c>
      <c r="W101" s="35">
        <v>5</v>
      </c>
      <c r="Z101" s="21">
        <f>VLOOKUP(G101,Sheet2!A:H,8,0)</f>
        <v>67363</v>
      </c>
      <c r="AB101" s="36"/>
      <c r="AC101" s="23">
        <f>VLOOKUP(G101,Sheet2!A$2:K$151,9,FALSE)</f>
        <v>480</v>
      </c>
      <c r="AF101" s="37" t="s">
        <v>9047</v>
      </c>
      <c r="AG101" s="37" t="s">
        <v>9048</v>
      </c>
      <c r="AH101" s="37" t="s">
        <v>9049</v>
      </c>
      <c r="AI101" s="37"/>
      <c r="AJ101" s="37" t="s">
        <v>7034</v>
      </c>
      <c r="AL101" s="33">
        <v>0</v>
      </c>
      <c r="AM101" s="32" t="s">
        <v>6097</v>
      </c>
      <c r="AN101" s="32" t="s">
        <v>5438</v>
      </c>
      <c r="AP101" s="32">
        <v>1</v>
      </c>
      <c r="AQ101" s="32">
        <v>0</v>
      </c>
      <c r="AR101" s="32">
        <v>1</v>
      </c>
      <c r="AS101" s="32">
        <v>1</v>
      </c>
      <c r="AU101" s="32">
        <v>0</v>
      </c>
      <c r="AV101" s="17">
        <f t="shared" si="35"/>
        <v>1</v>
      </c>
      <c r="AW101" s="32" t="str">
        <f t="shared" si="21"/>
        <v>{s_taskTalk,{507,503}}</v>
      </c>
    </row>
    <row r="102" spans="1:49" s="32" customFormat="1" ht="72" x14ac:dyDescent="0.15">
      <c r="A102" s="31">
        <v>6154</v>
      </c>
      <c r="C102" s="32" t="s">
        <v>6774</v>
      </c>
      <c r="D102" s="32">
        <v>1</v>
      </c>
      <c r="E102" s="32">
        <v>0</v>
      </c>
      <c r="F102" s="32">
        <v>2</v>
      </c>
      <c r="G102" s="33">
        <v>39</v>
      </c>
      <c r="H102" s="32">
        <v>200</v>
      </c>
      <c r="I102" s="17">
        <v>0</v>
      </c>
      <c r="J102" s="38">
        <v>6150</v>
      </c>
      <c r="K102" s="32">
        <v>0</v>
      </c>
      <c r="L102" s="32">
        <v>503</v>
      </c>
      <c r="M102" s="32" t="s">
        <v>4831</v>
      </c>
      <c r="N102" s="32">
        <v>503</v>
      </c>
      <c r="O102" s="32" t="s">
        <v>4831</v>
      </c>
      <c r="Q102" s="34"/>
      <c r="R102" s="34"/>
      <c r="S102" s="34"/>
      <c r="T102" s="34"/>
      <c r="U102" s="32">
        <v>1</v>
      </c>
      <c r="V102" s="32">
        <v>1</v>
      </c>
      <c r="W102" s="35">
        <v>5</v>
      </c>
      <c r="Z102" s="21">
        <f>VLOOKUP(G102,Sheet2!A:H,8,0)</f>
        <v>67363</v>
      </c>
      <c r="AB102" s="36"/>
      <c r="AC102" s="23">
        <f>VLOOKUP(G102,Sheet2!A$2:K$151,9,FALSE)</f>
        <v>480</v>
      </c>
      <c r="AF102" s="37" t="s">
        <v>6775</v>
      </c>
      <c r="AG102" s="37" t="s">
        <v>6776</v>
      </c>
      <c r="AH102" s="37" t="s">
        <v>6777</v>
      </c>
      <c r="AI102" s="37"/>
      <c r="AJ102" s="37" t="s">
        <v>7035</v>
      </c>
      <c r="AL102" s="33">
        <v>0</v>
      </c>
      <c r="AM102" s="32" t="s">
        <v>6778</v>
      </c>
      <c r="AN102" s="32" t="s">
        <v>6779</v>
      </c>
      <c r="AP102" s="32">
        <v>1</v>
      </c>
      <c r="AQ102" s="32">
        <v>0</v>
      </c>
      <c r="AR102" s="32">
        <v>1</v>
      </c>
      <c r="AS102" s="32">
        <v>1</v>
      </c>
      <c r="AU102" s="32">
        <v>0</v>
      </c>
      <c r="AV102" s="17">
        <f t="shared" ref="AV102" si="38">IF(D102 = 1,1,0)</f>
        <v>1</v>
      </c>
      <c r="AW102" s="32" t="str">
        <f t="shared" ref="AW102" si="39">"{s_taskTalk,{"&amp;L102&amp;","&amp;N102&amp;"}}"</f>
        <v>{s_taskTalk,{503,503}}</v>
      </c>
    </row>
    <row r="103" spans="1:49" s="66" customFormat="1" ht="84" x14ac:dyDescent="0.15">
      <c r="A103" s="76">
        <v>6256</v>
      </c>
      <c r="B103" s="63"/>
      <c r="C103" s="63" t="s">
        <v>7483</v>
      </c>
      <c r="D103" s="63">
        <v>1</v>
      </c>
      <c r="E103" s="63">
        <v>0</v>
      </c>
      <c r="F103" s="63">
        <v>2</v>
      </c>
      <c r="G103" s="77">
        <v>39</v>
      </c>
      <c r="H103" s="63">
        <v>200</v>
      </c>
      <c r="I103" s="63">
        <v>0</v>
      </c>
      <c r="J103" s="77">
        <v>6154</v>
      </c>
      <c r="K103" s="63">
        <v>0</v>
      </c>
      <c r="L103" s="32">
        <v>503</v>
      </c>
      <c r="M103" s="32" t="s">
        <v>4831</v>
      </c>
      <c r="N103" s="63">
        <v>542</v>
      </c>
      <c r="O103" s="63" t="s">
        <v>5273</v>
      </c>
      <c r="Q103" s="68"/>
      <c r="R103" s="68"/>
      <c r="S103" s="68"/>
      <c r="T103" s="68"/>
      <c r="U103" s="66">
        <v>1</v>
      </c>
      <c r="V103" s="66">
        <v>1</v>
      </c>
      <c r="W103" s="69">
        <v>5</v>
      </c>
      <c r="Z103" s="21">
        <f>VLOOKUP(G103,Sheet2!A:H,8,0)</f>
        <v>67363</v>
      </c>
      <c r="AB103" s="70"/>
      <c r="AC103" s="23">
        <f>VLOOKUP(G103,Sheet2!A$2:K$151,9,FALSE)</f>
        <v>480</v>
      </c>
      <c r="AD103" s="66" t="s">
        <v>7165</v>
      </c>
      <c r="AF103" s="71" t="s">
        <v>8133</v>
      </c>
      <c r="AG103" s="71" t="s">
        <v>8134</v>
      </c>
      <c r="AH103" s="71" t="s">
        <v>8135</v>
      </c>
      <c r="AI103" s="71"/>
      <c r="AJ103" s="71" t="s">
        <v>7107</v>
      </c>
      <c r="AL103" s="67">
        <v>0</v>
      </c>
      <c r="AM103" s="66" t="s">
        <v>7486</v>
      </c>
      <c r="AN103" s="66" t="s">
        <v>7108</v>
      </c>
      <c r="AP103" s="66">
        <v>1</v>
      </c>
      <c r="AQ103" s="66">
        <v>0</v>
      </c>
      <c r="AR103" s="66">
        <v>1</v>
      </c>
      <c r="AS103" s="66">
        <v>1</v>
      </c>
      <c r="AU103" s="66">
        <v>0</v>
      </c>
      <c r="AV103" s="17">
        <f t="shared" ref="AV103" si="40">IF(D103 = 1,1,0)</f>
        <v>1</v>
      </c>
      <c r="AW103" s="66" t="str">
        <f t="shared" ref="AW103" si="41">"{s_taskTalk,{"&amp;L103&amp;","&amp;N103&amp;"}}"</f>
        <v>{s_taskTalk,{503,542}}</v>
      </c>
    </row>
    <row r="104" spans="1:49" s="66" customFormat="1" ht="72" x14ac:dyDescent="0.15">
      <c r="A104" s="76">
        <v>6257</v>
      </c>
      <c r="B104" s="63"/>
      <c r="C104" s="63" t="s">
        <v>7484</v>
      </c>
      <c r="D104" s="63">
        <v>1</v>
      </c>
      <c r="E104" s="63">
        <v>0</v>
      </c>
      <c r="F104" s="63">
        <v>2</v>
      </c>
      <c r="G104" s="77">
        <v>40</v>
      </c>
      <c r="H104" s="63">
        <v>200</v>
      </c>
      <c r="I104" s="63">
        <v>0</v>
      </c>
      <c r="J104" s="77">
        <v>6256</v>
      </c>
      <c r="K104" s="63">
        <v>0</v>
      </c>
      <c r="L104" s="63">
        <v>542</v>
      </c>
      <c r="M104" s="63" t="s">
        <v>5273</v>
      </c>
      <c r="N104" s="32">
        <v>503</v>
      </c>
      <c r="O104" s="32" t="s">
        <v>4831</v>
      </c>
      <c r="Q104" s="68"/>
      <c r="R104" s="68"/>
      <c r="S104" s="68"/>
      <c r="T104" s="68"/>
      <c r="U104" s="66">
        <v>1</v>
      </c>
      <c r="V104" s="66">
        <v>1</v>
      </c>
      <c r="W104" s="69">
        <v>5</v>
      </c>
      <c r="Z104" s="21">
        <f>VLOOKUP(G104,Sheet2!A:H,8,0)</f>
        <v>63591</v>
      </c>
      <c r="AB104" s="70"/>
      <c r="AC104" s="23">
        <f>VLOOKUP(G104,Sheet2!A$2:K$151,9,FALSE)</f>
        <v>392</v>
      </c>
      <c r="AD104" s="32" t="s">
        <v>7164</v>
      </c>
      <c r="AF104" s="71" t="s">
        <v>8136</v>
      </c>
      <c r="AG104" s="71" t="s">
        <v>8137</v>
      </c>
      <c r="AH104" s="71" t="s">
        <v>7109</v>
      </c>
      <c r="AI104" s="71"/>
      <c r="AJ104" s="71" t="s">
        <v>7485</v>
      </c>
      <c r="AL104" s="67">
        <v>0</v>
      </c>
      <c r="AM104" s="66" t="s">
        <v>7487</v>
      </c>
      <c r="AN104" s="66" t="s">
        <v>7488</v>
      </c>
      <c r="AP104" s="66">
        <v>1</v>
      </c>
      <c r="AQ104" s="66">
        <v>0</v>
      </c>
      <c r="AR104" s="66">
        <v>1</v>
      </c>
      <c r="AS104" s="66">
        <v>1</v>
      </c>
      <c r="AU104" s="66">
        <v>0</v>
      </c>
      <c r="AV104" s="17">
        <f t="shared" ref="AV104" si="42">IF(D104 = 1,1,0)</f>
        <v>1</v>
      </c>
      <c r="AW104" s="66" t="str">
        <f t="shared" ref="AW104" si="43">"{s_taskTalk,{"&amp;L104&amp;","&amp;N104&amp;"}}"</f>
        <v>{s_taskTalk,{542,503}}</v>
      </c>
    </row>
    <row r="105" spans="1:49" s="66" customFormat="1" ht="84" x14ac:dyDescent="0.15">
      <c r="A105" s="65">
        <v>6151</v>
      </c>
      <c r="C105" s="66" t="s">
        <v>6798</v>
      </c>
      <c r="D105" s="66">
        <v>1</v>
      </c>
      <c r="E105" s="66">
        <v>0</v>
      </c>
      <c r="F105" s="66">
        <v>6</v>
      </c>
      <c r="G105" s="67">
        <v>40</v>
      </c>
      <c r="H105" s="32">
        <v>200</v>
      </c>
      <c r="I105" s="17">
        <v>0</v>
      </c>
      <c r="J105" s="67">
        <v>6257</v>
      </c>
      <c r="K105" s="66">
        <v>0</v>
      </c>
      <c r="L105" s="66">
        <v>503</v>
      </c>
      <c r="M105" s="66" t="s">
        <v>4984</v>
      </c>
      <c r="N105" s="66">
        <v>511</v>
      </c>
      <c r="O105" s="66" t="s">
        <v>5305</v>
      </c>
      <c r="Q105" s="68"/>
      <c r="R105" s="68"/>
      <c r="S105" s="68"/>
      <c r="T105" s="68"/>
      <c r="U105" s="66">
        <v>1</v>
      </c>
      <c r="V105" s="66">
        <v>1</v>
      </c>
      <c r="W105" s="69">
        <v>5</v>
      </c>
      <c r="Z105" s="21">
        <f>VLOOKUP(G105,Sheet2!A:H,8,0)</f>
        <v>63591</v>
      </c>
      <c r="AB105" s="70"/>
      <c r="AC105" s="23">
        <f>VLOOKUP(G105,Sheet2!A$2:K$151,9,FALSE)</f>
        <v>392</v>
      </c>
      <c r="AD105" s="32" t="s">
        <v>7162</v>
      </c>
      <c r="AF105" s="71" t="s">
        <v>6799</v>
      </c>
      <c r="AG105" s="71" t="s">
        <v>6800</v>
      </c>
      <c r="AH105" s="71" t="s">
        <v>4983</v>
      </c>
      <c r="AI105" s="71"/>
      <c r="AJ105" s="71" t="s">
        <v>6801</v>
      </c>
      <c r="AL105" s="67">
        <v>0</v>
      </c>
      <c r="AM105" s="66" t="s">
        <v>5282</v>
      </c>
      <c r="AN105" s="66" t="s">
        <v>5282</v>
      </c>
      <c r="AP105" s="66">
        <v>1</v>
      </c>
      <c r="AQ105" s="66">
        <v>0</v>
      </c>
      <c r="AR105" s="66">
        <v>1</v>
      </c>
      <c r="AS105" s="66">
        <v>1</v>
      </c>
      <c r="AU105" s="66">
        <v>0</v>
      </c>
      <c r="AV105" s="17">
        <f t="shared" si="35"/>
        <v>1</v>
      </c>
      <c r="AW105" s="66" t="str">
        <f t="shared" si="21"/>
        <v>{s_taskTalk,{503,511}}</v>
      </c>
    </row>
    <row r="106" spans="1:49" s="66" customFormat="1" ht="72" x14ac:dyDescent="0.15">
      <c r="A106" s="65">
        <v>6201</v>
      </c>
      <c r="C106" s="66" t="s">
        <v>6802</v>
      </c>
      <c r="D106" s="66">
        <v>1</v>
      </c>
      <c r="E106" s="66">
        <v>0</v>
      </c>
      <c r="F106" s="66">
        <v>6</v>
      </c>
      <c r="G106" s="67">
        <v>40</v>
      </c>
      <c r="H106" s="32">
        <v>200</v>
      </c>
      <c r="I106" s="17">
        <v>0</v>
      </c>
      <c r="J106" s="67">
        <v>6151</v>
      </c>
      <c r="K106" s="66">
        <v>0</v>
      </c>
      <c r="L106" s="66">
        <v>511</v>
      </c>
      <c r="M106" s="66" t="s">
        <v>5305</v>
      </c>
      <c r="N106" s="66">
        <v>511</v>
      </c>
      <c r="O106" s="66" t="s">
        <v>5305</v>
      </c>
      <c r="Q106" s="68"/>
      <c r="R106" s="68"/>
      <c r="S106" s="68">
        <v>10007</v>
      </c>
      <c r="T106" s="68"/>
      <c r="U106" s="66">
        <v>20</v>
      </c>
      <c r="V106" s="66">
        <v>0</v>
      </c>
      <c r="W106" s="69">
        <v>5</v>
      </c>
      <c r="Z106" s="21">
        <f>VLOOKUP(G106,Sheet2!A:H,8,0)</f>
        <v>63591</v>
      </c>
      <c r="AB106" s="70"/>
      <c r="AC106" s="23">
        <f>VLOOKUP(G106,Sheet2!A$2:K$151,9,FALSE)</f>
        <v>392</v>
      </c>
      <c r="AF106" s="71" t="s">
        <v>6803</v>
      </c>
      <c r="AG106" s="71" t="s">
        <v>6804</v>
      </c>
      <c r="AH106" s="71" t="s">
        <v>6805</v>
      </c>
      <c r="AI106" s="71" t="s">
        <v>6806</v>
      </c>
      <c r="AJ106" s="37" t="s">
        <v>6807</v>
      </c>
      <c r="AL106" s="67">
        <v>0</v>
      </c>
      <c r="AM106" s="66" t="s">
        <v>5308</v>
      </c>
      <c r="AN106" s="66" t="s">
        <v>5439</v>
      </c>
      <c r="AP106" s="66">
        <v>1</v>
      </c>
      <c r="AQ106" s="66">
        <v>0</v>
      </c>
      <c r="AR106" s="66">
        <v>1</v>
      </c>
      <c r="AS106" s="66">
        <v>1</v>
      </c>
      <c r="AU106" s="66">
        <v>0</v>
      </c>
      <c r="AV106" s="17">
        <f t="shared" si="35"/>
        <v>1</v>
      </c>
      <c r="AW106" s="66" t="str">
        <f>"{s_taskKillNpc, {"&amp;L106&amp;","&amp;N106&amp;","&amp;S106&amp;","&amp;U106&amp;"}}"</f>
        <v>{s_taskKillNpc, {511,511,10007,20}}</v>
      </c>
    </row>
    <row r="107" spans="1:49" s="66" customFormat="1" ht="72" x14ac:dyDescent="0.15">
      <c r="A107" s="72">
        <v>6258</v>
      </c>
      <c r="B107" s="72"/>
      <c r="C107" s="72" t="s">
        <v>7128</v>
      </c>
      <c r="D107" s="72">
        <v>1</v>
      </c>
      <c r="E107" s="72">
        <v>0</v>
      </c>
      <c r="F107" s="72">
        <v>6</v>
      </c>
      <c r="G107" s="878">
        <v>40</v>
      </c>
      <c r="H107" s="72">
        <v>200</v>
      </c>
      <c r="I107" s="72">
        <v>0</v>
      </c>
      <c r="J107" s="72">
        <v>6201</v>
      </c>
      <c r="K107" s="72">
        <v>0</v>
      </c>
      <c r="L107" s="73">
        <v>511</v>
      </c>
      <c r="M107" s="73" t="s">
        <v>5305</v>
      </c>
      <c r="N107" s="73">
        <v>511</v>
      </c>
      <c r="O107" s="73" t="s">
        <v>5305</v>
      </c>
      <c r="Q107" s="68"/>
      <c r="R107" s="68"/>
      <c r="S107" s="68"/>
      <c r="T107" s="68"/>
      <c r="U107" s="66">
        <v>1</v>
      </c>
      <c r="V107" s="66">
        <v>1</v>
      </c>
      <c r="W107" s="69">
        <v>5</v>
      </c>
      <c r="Z107" s="21">
        <f>VLOOKUP(G107,Sheet2!A:H,8,0)</f>
        <v>63591</v>
      </c>
      <c r="AB107" s="70"/>
      <c r="AC107" s="23">
        <f>VLOOKUP(G107,Sheet2!A$2:K$151,9,FALSE)</f>
        <v>392</v>
      </c>
      <c r="AD107" s="32" t="s">
        <v>7163</v>
      </c>
      <c r="AF107" s="71" t="s">
        <v>7129</v>
      </c>
      <c r="AG107" s="71" t="s">
        <v>7130</v>
      </c>
      <c r="AH107" s="74" t="s">
        <v>7131</v>
      </c>
      <c r="AI107" s="71"/>
      <c r="AJ107" s="71" t="s">
        <v>7132</v>
      </c>
      <c r="AL107" s="67">
        <v>0</v>
      </c>
      <c r="AM107" s="66" t="s">
        <v>7133</v>
      </c>
      <c r="AN107" s="66" t="s">
        <v>7134</v>
      </c>
      <c r="AP107" s="66">
        <v>1</v>
      </c>
      <c r="AQ107" s="66">
        <v>0</v>
      </c>
      <c r="AR107" s="66">
        <v>1</v>
      </c>
      <c r="AS107" s="66">
        <v>1</v>
      </c>
      <c r="AU107" s="66">
        <v>0</v>
      </c>
      <c r="AV107" s="17">
        <f t="shared" ref="AV107" si="44">IF(D107 = 1,1,0)</f>
        <v>1</v>
      </c>
      <c r="AW107" s="66" t="str">
        <f t="shared" ref="AW107" si="45">"{s_taskTalk,{"&amp;L107&amp;","&amp;N107&amp;"}}"</f>
        <v>{s_taskTalk,{511,511}}</v>
      </c>
    </row>
    <row r="108" spans="1:49" s="66" customFormat="1" ht="72" x14ac:dyDescent="0.15">
      <c r="A108" s="65">
        <v>6203</v>
      </c>
      <c r="B108" s="65"/>
      <c r="C108" s="65" t="s">
        <v>6818</v>
      </c>
      <c r="D108" s="65">
        <v>1</v>
      </c>
      <c r="E108" s="65">
        <v>0</v>
      </c>
      <c r="F108" s="65">
        <v>6</v>
      </c>
      <c r="G108" s="879">
        <v>40</v>
      </c>
      <c r="H108" s="65">
        <v>200</v>
      </c>
      <c r="I108" s="65">
        <v>0</v>
      </c>
      <c r="J108" s="65">
        <v>6258</v>
      </c>
      <c r="K108" s="65">
        <v>0</v>
      </c>
      <c r="L108" s="66">
        <v>511</v>
      </c>
      <c r="M108" s="66" t="s">
        <v>5305</v>
      </c>
      <c r="N108" s="66">
        <v>516</v>
      </c>
      <c r="O108" s="75" t="s">
        <v>5310</v>
      </c>
      <c r="Q108" s="68"/>
      <c r="R108" s="68"/>
      <c r="S108" s="68"/>
      <c r="T108" s="68"/>
      <c r="U108" s="66">
        <v>1</v>
      </c>
      <c r="V108" s="66">
        <v>1</v>
      </c>
      <c r="W108" s="69">
        <v>5</v>
      </c>
      <c r="Z108" s="21">
        <f>VLOOKUP(G108,Sheet2!A:H,8,0)</f>
        <v>63591</v>
      </c>
      <c r="AB108" s="70"/>
      <c r="AC108" s="23">
        <f>VLOOKUP(G108,Sheet2!A$2:K$151,9,FALSE)</f>
        <v>392</v>
      </c>
      <c r="AF108" s="71" t="s">
        <v>6986</v>
      </c>
      <c r="AG108" s="71" t="s">
        <v>6815</v>
      </c>
      <c r="AH108" s="74" t="s">
        <v>6816</v>
      </c>
      <c r="AI108" s="71"/>
      <c r="AJ108" s="71" t="s">
        <v>6817</v>
      </c>
      <c r="AL108" s="67">
        <v>0</v>
      </c>
      <c r="AM108" s="66" t="s">
        <v>6819</v>
      </c>
      <c r="AN108" s="66" t="s">
        <v>6820</v>
      </c>
      <c r="AP108" s="66">
        <v>1</v>
      </c>
      <c r="AQ108" s="66">
        <v>0</v>
      </c>
      <c r="AR108" s="66">
        <v>1</v>
      </c>
      <c r="AS108" s="66">
        <v>1</v>
      </c>
      <c r="AU108" s="66">
        <v>0</v>
      </c>
      <c r="AV108" s="17">
        <f t="shared" si="35"/>
        <v>1</v>
      </c>
      <c r="AW108" s="66" t="str">
        <f t="shared" ref="AW108:AW125" si="46">"{s_taskTalk,{"&amp;L108&amp;","&amp;N108&amp;"}}"</f>
        <v>{s_taskTalk,{511,516}}</v>
      </c>
    </row>
    <row r="109" spans="1:49" s="66" customFormat="1" ht="72" x14ac:dyDescent="0.15">
      <c r="A109" s="28">
        <v>6204</v>
      </c>
      <c r="B109" s="29"/>
      <c r="C109" s="29" t="s">
        <v>6780</v>
      </c>
      <c r="D109" s="29">
        <v>1</v>
      </c>
      <c r="E109" s="29">
        <v>0</v>
      </c>
      <c r="F109" s="29">
        <v>6</v>
      </c>
      <c r="G109" s="30">
        <v>200</v>
      </c>
      <c r="H109" s="29">
        <v>200</v>
      </c>
      <c r="I109" s="29">
        <v>0</v>
      </c>
      <c r="J109" s="30">
        <v>6203</v>
      </c>
      <c r="K109" s="29">
        <v>0</v>
      </c>
      <c r="L109" s="29">
        <v>511</v>
      </c>
      <c r="M109" s="29" t="s">
        <v>5305</v>
      </c>
      <c r="N109" s="29">
        <v>516</v>
      </c>
      <c r="O109" s="29" t="s">
        <v>5310</v>
      </c>
      <c r="Q109" s="68"/>
      <c r="R109" s="68"/>
      <c r="S109" s="68"/>
      <c r="T109" s="68"/>
      <c r="U109" s="66">
        <v>1</v>
      </c>
      <c r="V109" s="66">
        <v>1</v>
      </c>
      <c r="W109" s="69">
        <v>5</v>
      </c>
      <c r="Z109" s="21">
        <v>0</v>
      </c>
      <c r="AB109" s="70"/>
      <c r="AC109" s="23"/>
      <c r="AF109" s="74" t="s">
        <v>5332</v>
      </c>
      <c r="AG109" s="74" t="s">
        <v>5333</v>
      </c>
      <c r="AH109" s="71" t="s">
        <v>5334</v>
      </c>
      <c r="AI109" s="71"/>
      <c r="AJ109" s="74" t="s">
        <v>6571</v>
      </c>
      <c r="AL109" s="67">
        <v>0</v>
      </c>
      <c r="AM109" s="66" t="s">
        <v>6098</v>
      </c>
      <c r="AN109" s="66" t="s">
        <v>5440</v>
      </c>
      <c r="AP109" s="66">
        <v>1</v>
      </c>
      <c r="AQ109" s="66">
        <v>0</v>
      </c>
      <c r="AR109" s="66">
        <v>1</v>
      </c>
      <c r="AS109" s="66">
        <v>1</v>
      </c>
      <c r="AU109" s="66">
        <v>0</v>
      </c>
      <c r="AV109" s="17">
        <f t="shared" si="35"/>
        <v>1</v>
      </c>
      <c r="AW109" s="66" t="str">
        <f t="shared" si="46"/>
        <v>{s_taskTalk,{511,516}}</v>
      </c>
    </row>
    <row r="110" spans="1:49" s="66" customFormat="1" ht="72" x14ac:dyDescent="0.15">
      <c r="A110" s="65">
        <v>6205</v>
      </c>
      <c r="C110" s="66" t="s">
        <v>6809</v>
      </c>
      <c r="D110" s="66">
        <v>1</v>
      </c>
      <c r="E110" s="66">
        <v>0</v>
      </c>
      <c r="F110" s="66">
        <v>6</v>
      </c>
      <c r="G110" s="67">
        <v>41</v>
      </c>
      <c r="H110" s="32">
        <v>200</v>
      </c>
      <c r="I110" s="17">
        <v>0</v>
      </c>
      <c r="J110" s="67">
        <v>6203</v>
      </c>
      <c r="K110" s="66">
        <v>0</v>
      </c>
      <c r="L110" s="66">
        <v>516</v>
      </c>
      <c r="M110" s="75" t="s">
        <v>5310</v>
      </c>
      <c r="N110" s="66">
        <v>516</v>
      </c>
      <c r="O110" s="75" t="s">
        <v>5310</v>
      </c>
      <c r="Q110" s="68"/>
      <c r="R110" s="68"/>
      <c r="S110" s="68">
        <v>10132</v>
      </c>
      <c r="T110" s="68"/>
      <c r="U110" s="66">
        <v>20</v>
      </c>
      <c r="V110" s="66">
        <v>0</v>
      </c>
      <c r="W110" s="69">
        <v>5</v>
      </c>
      <c r="Z110" s="21">
        <f>VLOOKUP(G110,Sheet2!A:H,8,0)</f>
        <v>125063</v>
      </c>
      <c r="AB110" s="70"/>
      <c r="AC110" s="23">
        <f>VLOOKUP(G110,Sheet2!A$2:K$151,9,FALSE)</f>
        <v>667</v>
      </c>
      <c r="AF110" s="71" t="s">
        <v>6810</v>
      </c>
      <c r="AG110" s="71" t="s">
        <v>6808</v>
      </c>
      <c r="AH110" s="71" t="s">
        <v>6823</v>
      </c>
      <c r="AI110" s="71" t="s">
        <v>6811</v>
      </c>
      <c r="AJ110" s="37" t="s">
        <v>6812</v>
      </c>
      <c r="AL110" s="67">
        <v>0</v>
      </c>
      <c r="AM110" s="66" t="s">
        <v>4987</v>
      </c>
      <c r="AN110" s="66" t="s">
        <v>5441</v>
      </c>
      <c r="AP110" s="66">
        <v>1</v>
      </c>
      <c r="AQ110" s="66">
        <v>0</v>
      </c>
      <c r="AR110" s="66">
        <v>1</v>
      </c>
      <c r="AS110" s="66">
        <v>1</v>
      </c>
      <c r="AU110" s="66">
        <v>0</v>
      </c>
      <c r="AV110" s="17">
        <f t="shared" si="35"/>
        <v>1</v>
      </c>
      <c r="AW110" s="66" t="str">
        <f>"{s_taskKillNpc, {"&amp;L110&amp;","&amp;N110&amp;","&amp;S110&amp;","&amp;U110&amp;"}}"</f>
        <v>{s_taskKillNpc, {516,516,10132,20}}</v>
      </c>
    </row>
    <row r="111" spans="1:49" s="66" customFormat="1" ht="72" x14ac:dyDescent="0.15">
      <c r="A111" s="28">
        <v>6206</v>
      </c>
      <c r="B111" s="29"/>
      <c r="C111" s="29" t="s">
        <v>6813</v>
      </c>
      <c r="D111" s="29">
        <v>1</v>
      </c>
      <c r="E111" s="29">
        <v>0</v>
      </c>
      <c r="F111" s="29">
        <v>6</v>
      </c>
      <c r="G111" s="30">
        <v>200</v>
      </c>
      <c r="H111" s="29">
        <v>200</v>
      </c>
      <c r="I111" s="29">
        <v>0</v>
      </c>
      <c r="J111" s="30">
        <v>6205</v>
      </c>
      <c r="K111" s="29">
        <v>0</v>
      </c>
      <c r="L111" s="29">
        <v>516</v>
      </c>
      <c r="M111" s="29" t="s">
        <v>5310</v>
      </c>
      <c r="N111" s="66">
        <v>511</v>
      </c>
      <c r="O111" s="66" t="s">
        <v>5305</v>
      </c>
      <c r="Q111" s="68">
        <v>2019</v>
      </c>
      <c r="R111" s="68"/>
      <c r="S111" s="68"/>
      <c r="T111" s="68"/>
      <c r="U111" s="66">
        <v>6</v>
      </c>
      <c r="V111" s="66">
        <v>0</v>
      </c>
      <c r="W111" s="69">
        <v>5</v>
      </c>
      <c r="Z111" s="21">
        <v>0</v>
      </c>
      <c r="AB111" s="70"/>
      <c r="AC111" s="23"/>
      <c r="AF111" s="71" t="s">
        <v>6814</v>
      </c>
      <c r="AG111" s="71" t="s">
        <v>5335</v>
      </c>
      <c r="AH111" s="71" t="s">
        <v>5336</v>
      </c>
      <c r="AI111" s="71" t="s">
        <v>4988</v>
      </c>
      <c r="AJ111" s="37" t="s">
        <v>6572</v>
      </c>
      <c r="AL111" s="67">
        <v>0</v>
      </c>
      <c r="AM111" s="66" t="s">
        <v>6129</v>
      </c>
      <c r="AN111" s="66" t="s">
        <v>5442</v>
      </c>
      <c r="AO111" s="32" t="s">
        <v>4872</v>
      </c>
      <c r="AP111" s="66">
        <v>1</v>
      </c>
      <c r="AQ111" s="66">
        <v>0</v>
      </c>
      <c r="AR111" s="66">
        <v>1</v>
      </c>
      <c r="AS111" s="66">
        <v>1</v>
      </c>
      <c r="AU111" s="66">
        <v>0</v>
      </c>
      <c r="AV111" s="17">
        <f t="shared" si="35"/>
        <v>1</v>
      </c>
      <c r="AW111" s="66" t="str">
        <f t="shared" si="46"/>
        <v>{s_taskTalk,{516,511}}</v>
      </c>
    </row>
    <row r="112" spans="1:49" s="66" customFormat="1" ht="72" x14ac:dyDescent="0.15">
      <c r="A112" s="65">
        <v>6202</v>
      </c>
      <c r="C112" s="66" t="s">
        <v>6821</v>
      </c>
      <c r="D112" s="66">
        <v>1</v>
      </c>
      <c r="E112" s="66">
        <v>0</v>
      </c>
      <c r="F112" s="66">
        <v>6</v>
      </c>
      <c r="G112" s="67">
        <v>41</v>
      </c>
      <c r="H112" s="32">
        <v>200</v>
      </c>
      <c r="I112" s="17">
        <v>0</v>
      </c>
      <c r="J112" s="67">
        <v>6205</v>
      </c>
      <c r="K112" s="66">
        <v>0</v>
      </c>
      <c r="L112" s="66">
        <v>516</v>
      </c>
      <c r="M112" s="75" t="s">
        <v>5310</v>
      </c>
      <c r="N112" s="66">
        <v>511</v>
      </c>
      <c r="O112" s="66" t="s">
        <v>5305</v>
      </c>
      <c r="Q112" s="68">
        <v>2018</v>
      </c>
      <c r="R112" s="68"/>
      <c r="S112" s="68"/>
      <c r="T112" s="68"/>
      <c r="U112" s="66">
        <v>1</v>
      </c>
      <c r="V112" s="66">
        <v>0</v>
      </c>
      <c r="W112" s="69">
        <v>5</v>
      </c>
      <c r="Z112" s="21">
        <f>VLOOKUP(G112,Sheet2!A:H,8,0)</f>
        <v>125063</v>
      </c>
      <c r="AB112" s="70"/>
      <c r="AC112" s="23">
        <f>VLOOKUP(G112,Sheet2!A$2:K$151,9,FALSE)</f>
        <v>667</v>
      </c>
      <c r="AF112" s="74" t="s">
        <v>6989</v>
      </c>
      <c r="AG112" s="74" t="s">
        <v>6822</v>
      </c>
      <c r="AH112" s="71" t="s">
        <v>6824</v>
      </c>
      <c r="AI112" s="71" t="s">
        <v>6825</v>
      </c>
      <c r="AJ112" s="37" t="s">
        <v>6826</v>
      </c>
      <c r="AL112" s="67">
        <v>0</v>
      </c>
      <c r="AM112" s="66" t="s">
        <v>8641</v>
      </c>
      <c r="AN112" s="66" t="s">
        <v>6827</v>
      </c>
      <c r="AO112" s="32" t="s">
        <v>7142</v>
      </c>
      <c r="AP112" s="66">
        <v>1</v>
      </c>
      <c r="AQ112" s="66">
        <v>0</v>
      </c>
      <c r="AR112" s="66">
        <v>1</v>
      </c>
      <c r="AS112" s="66">
        <v>1</v>
      </c>
      <c r="AU112" s="66">
        <v>0</v>
      </c>
      <c r="AV112" s="17">
        <f>IF(D112 = 1,1,0)</f>
        <v>1</v>
      </c>
      <c r="AW112" s="66" t="str">
        <f>"{s_taskTalk,{"&amp;L112&amp;","&amp;N112&amp;"}}"</f>
        <v>{s_taskTalk,{516,511}}</v>
      </c>
    </row>
    <row r="113" spans="1:49" s="66" customFormat="1" ht="72" x14ac:dyDescent="0.15">
      <c r="A113" s="65">
        <v>6207</v>
      </c>
      <c r="C113" s="66" t="s">
        <v>6831</v>
      </c>
      <c r="D113" s="66">
        <v>1</v>
      </c>
      <c r="E113" s="66">
        <v>0</v>
      </c>
      <c r="F113" s="66">
        <v>6</v>
      </c>
      <c r="G113" s="67">
        <v>41</v>
      </c>
      <c r="H113" s="32">
        <v>200</v>
      </c>
      <c r="I113" s="17">
        <v>0</v>
      </c>
      <c r="J113" s="67">
        <v>6202</v>
      </c>
      <c r="K113" s="66">
        <v>0</v>
      </c>
      <c r="L113" s="66">
        <v>511</v>
      </c>
      <c r="M113" s="66" t="s">
        <v>5305</v>
      </c>
      <c r="N113" s="66">
        <v>516</v>
      </c>
      <c r="O113" s="75" t="s">
        <v>5310</v>
      </c>
      <c r="Q113" s="68"/>
      <c r="R113" s="68"/>
      <c r="S113" s="68"/>
      <c r="T113" s="68"/>
      <c r="U113" s="66">
        <v>1</v>
      </c>
      <c r="V113" s="66">
        <v>1</v>
      </c>
      <c r="W113" s="69">
        <v>5</v>
      </c>
      <c r="Z113" s="21">
        <f>VLOOKUP(G113,Sheet2!A:H,8,0)</f>
        <v>125063</v>
      </c>
      <c r="AB113" s="70"/>
      <c r="AC113" s="23">
        <f>VLOOKUP(G113,Sheet2!A$2:K$151,9,FALSE)</f>
        <v>667</v>
      </c>
      <c r="AF113" s="71" t="s">
        <v>6839</v>
      </c>
      <c r="AG113" s="71" t="s">
        <v>6828</v>
      </c>
      <c r="AH113" s="71" t="s">
        <v>6829</v>
      </c>
      <c r="AI113" s="71"/>
      <c r="AJ113" s="74" t="s">
        <v>7036</v>
      </c>
      <c r="AL113" s="67">
        <v>0</v>
      </c>
      <c r="AM113" s="66" t="s">
        <v>6830</v>
      </c>
      <c r="AN113" s="66" t="s">
        <v>5443</v>
      </c>
      <c r="AP113" s="66">
        <v>1</v>
      </c>
      <c r="AQ113" s="66">
        <v>0</v>
      </c>
      <c r="AR113" s="66">
        <v>1</v>
      </c>
      <c r="AS113" s="66">
        <v>1</v>
      </c>
      <c r="AU113" s="66">
        <v>0</v>
      </c>
      <c r="AV113" s="17">
        <f t="shared" si="35"/>
        <v>1</v>
      </c>
      <c r="AW113" s="66" t="str">
        <f t="shared" si="46"/>
        <v>{s_taskTalk,{511,516}}</v>
      </c>
    </row>
    <row r="114" spans="1:49" s="66" customFormat="1" ht="72" x14ac:dyDescent="0.15">
      <c r="A114" s="65">
        <v>6208</v>
      </c>
      <c r="C114" s="66" t="s">
        <v>6835</v>
      </c>
      <c r="D114" s="66">
        <v>1</v>
      </c>
      <c r="E114" s="66">
        <v>0</v>
      </c>
      <c r="F114" s="66">
        <v>6</v>
      </c>
      <c r="G114" s="67">
        <v>42</v>
      </c>
      <c r="H114" s="32">
        <v>200</v>
      </c>
      <c r="I114" s="17">
        <v>0</v>
      </c>
      <c r="J114" s="67">
        <v>6207</v>
      </c>
      <c r="K114" s="66">
        <v>0</v>
      </c>
      <c r="L114" s="66">
        <v>516</v>
      </c>
      <c r="M114" s="75" t="s">
        <v>5310</v>
      </c>
      <c r="N114" s="66">
        <v>513</v>
      </c>
      <c r="O114" s="66" t="s">
        <v>5114</v>
      </c>
      <c r="Q114" s="68"/>
      <c r="R114" s="68"/>
      <c r="S114" s="68"/>
      <c r="T114" s="68"/>
      <c r="U114" s="66">
        <v>1</v>
      </c>
      <c r="V114" s="66">
        <v>1</v>
      </c>
      <c r="W114" s="69">
        <v>5</v>
      </c>
      <c r="Z114" s="21">
        <f>VLOOKUP(G114,Sheet2!A:H,8,0)</f>
        <v>147574</v>
      </c>
      <c r="AB114" s="70"/>
      <c r="AC114" s="23">
        <f>VLOOKUP(G114,Sheet2!A$2:K$151,9,FALSE)</f>
        <v>680</v>
      </c>
      <c r="AD114" s="32" t="s">
        <v>7162</v>
      </c>
      <c r="AF114" s="71" t="s">
        <v>6836</v>
      </c>
      <c r="AG114" s="71" t="s">
        <v>6832</v>
      </c>
      <c r="AH114" s="71" t="s">
        <v>4989</v>
      </c>
      <c r="AI114" s="71"/>
      <c r="AJ114" s="71" t="s">
        <v>7037</v>
      </c>
      <c r="AL114" s="67">
        <v>0</v>
      </c>
      <c r="AM114" s="66" t="s">
        <v>6099</v>
      </c>
      <c r="AN114" s="66" t="s">
        <v>5444</v>
      </c>
      <c r="AP114" s="66">
        <v>1</v>
      </c>
      <c r="AQ114" s="66">
        <v>0</v>
      </c>
      <c r="AR114" s="66">
        <v>1</v>
      </c>
      <c r="AS114" s="66">
        <v>1</v>
      </c>
      <c r="AU114" s="66">
        <v>0</v>
      </c>
      <c r="AV114" s="17">
        <f t="shared" si="35"/>
        <v>1</v>
      </c>
      <c r="AW114" s="66" t="str">
        <f t="shared" si="46"/>
        <v>{s_taskTalk,{516,513}}</v>
      </c>
    </row>
    <row r="115" spans="1:49" s="66" customFormat="1" ht="72" x14ac:dyDescent="0.15">
      <c r="A115" s="65">
        <v>6209</v>
      </c>
      <c r="C115" s="66" t="s">
        <v>6833</v>
      </c>
      <c r="D115" s="66">
        <v>1</v>
      </c>
      <c r="E115" s="66">
        <v>0</v>
      </c>
      <c r="F115" s="66">
        <v>6</v>
      </c>
      <c r="G115" s="67">
        <v>42</v>
      </c>
      <c r="H115" s="32">
        <v>200</v>
      </c>
      <c r="I115" s="17">
        <v>0</v>
      </c>
      <c r="J115" s="67">
        <v>6208</v>
      </c>
      <c r="K115" s="66">
        <v>0</v>
      </c>
      <c r="L115" s="66">
        <v>513</v>
      </c>
      <c r="M115" s="66" t="s">
        <v>4844</v>
      </c>
      <c r="N115" s="66">
        <v>513</v>
      </c>
      <c r="O115" s="66" t="s">
        <v>5114</v>
      </c>
      <c r="Q115" s="68">
        <v>2020</v>
      </c>
      <c r="R115" s="68"/>
      <c r="S115" s="68"/>
      <c r="T115" s="68"/>
      <c r="U115" s="66">
        <v>3</v>
      </c>
      <c r="V115" s="66">
        <v>0</v>
      </c>
      <c r="W115" s="69">
        <v>5</v>
      </c>
      <c r="Z115" s="21">
        <f>VLOOKUP(G115,Sheet2!A:H,8,0)</f>
        <v>147574</v>
      </c>
      <c r="AB115" s="70"/>
      <c r="AC115" s="23">
        <f>VLOOKUP(G115,Sheet2!A$2:K$151,9,FALSE)</f>
        <v>680</v>
      </c>
      <c r="AF115" s="71" t="s">
        <v>6834</v>
      </c>
      <c r="AG115" s="71" t="s">
        <v>4990</v>
      </c>
      <c r="AH115" s="71" t="s">
        <v>4991</v>
      </c>
      <c r="AI115" s="71" t="s">
        <v>4995</v>
      </c>
      <c r="AJ115" s="37" t="s">
        <v>6851</v>
      </c>
      <c r="AL115" s="67">
        <v>0</v>
      </c>
      <c r="AM115" s="66" t="s">
        <v>6130</v>
      </c>
      <c r="AN115" s="66" t="s">
        <v>5445</v>
      </c>
      <c r="AO115" s="32" t="s">
        <v>6258</v>
      </c>
      <c r="AP115" s="66">
        <v>1</v>
      </c>
      <c r="AQ115" s="66">
        <v>0</v>
      </c>
      <c r="AR115" s="66">
        <v>1</v>
      </c>
      <c r="AS115" s="66">
        <v>1</v>
      </c>
      <c r="AU115" s="66">
        <v>0</v>
      </c>
      <c r="AV115" s="17">
        <f t="shared" si="35"/>
        <v>1</v>
      </c>
      <c r="AW115" s="66" t="str">
        <f t="shared" si="46"/>
        <v>{s_taskTalk,{513,513}}</v>
      </c>
    </row>
    <row r="116" spans="1:49" s="66" customFormat="1" ht="84" x14ac:dyDescent="0.15">
      <c r="A116" s="65">
        <v>6210</v>
      </c>
      <c r="C116" s="66" t="s">
        <v>6838</v>
      </c>
      <c r="D116" s="66">
        <v>1</v>
      </c>
      <c r="E116" s="66">
        <v>0</v>
      </c>
      <c r="F116" s="66">
        <v>6</v>
      </c>
      <c r="G116" s="67">
        <v>42</v>
      </c>
      <c r="H116" s="32">
        <v>200</v>
      </c>
      <c r="I116" s="17">
        <v>0</v>
      </c>
      <c r="J116" s="67">
        <v>6209</v>
      </c>
      <c r="K116" s="66">
        <v>0</v>
      </c>
      <c r="L116" s="66">
        <v>513</v>
      </c>
      <c r="M116" s="66" t="s">
        <v>4844</v>
      </c>
      <c r="N116" s="66">
        <v>518</v>
      </c>
      <c r="O116" s="66" t="s">
        <v>5115</v>
      </c>
      <c r="Q116" s="68">
        <v>2021</v>
      </c>
      <c r="R116" s="68"/>
      <c r="S116" s="68"/>
      <c r="T116" s="68"/>
      <c r="U116" s="66">
        <v>1</v>
      </c>
      <c r="V116" s="66">
        <v>0</v>
      </c>
      <c r="W116" s="69">
        <v>5</v>
      </c>
      <c r="Z116" s="21">
        <f>VLOOKUP(G116,Sheet2!A:H,8,0)</f>
        <v>147574</v>
      </c>
      <c r="AB116" s="70"/>
      <c r="AC116" s="23">
        <f>VLOOKUP(G116,Sheet2!A$2:K$151,9,FALSE)</f>
        <v>680</v>
      </c>
      <c r="AD116" s="32" t="s">
        <v>7535</v>
      </c>
      <c r="AF116" s="71" t="s">
        <v>6840</v>
      </c>
      <c r="AG116" s="71" t="s">
        <v>4992</v>
      </c>
      <c r="AH116" s="71" t="s">
        <v>4993</v>
      </c>
      <c r="AI116" s="71" t="s">
        <v>4996</v>
      </c>
      <c r="AJ116" s="37" t="s">
        <v>6850</v>
      </c>
      <c r="AL116" s="67">
        <v>0</v>
      </c>
      <c r="AM116" s="66" t="s">
        <v>4994</v>
      </c>
      <c r="AN116" s="66" t="s">
        <v>5446</v>
      </c>
      <c r="AP116" s="66">
        <v>1</v>
      </c>
      <c r="AQ116" s="66">
        <v>0</v>
      </c>
      <c r="AR116" s="66">
        <v>1</v>
      </c>
      <c r="AS116" s="66">
        <v>1</v>
      </c>
      <c r="AU116" s="66">
        <v>0</v>
      </c>
      <c r="AV116" s="17">
        <f t="shared" si="35"/>
        <v>1</v>
      </c>
      <c r="AW116" s="66" t="str">
        <f t="shared" si="46"/>
        <v>{s_taskTalk,{513,518}}</v>
      </c>
    </row>
    <row r="117" spans="1:49" s="66" customFormat="1" ht="72" x14ac:dyDescent="0.15">
      <c r="A117" s="65">
        <v>6211</v>
      </c>
      <c r="C117" s="66" t="s">
        <v>6837</v>
      </c>
      <c r="D117" s="66">
        <v>1</v>
      </c>
      <c r="E117" s="66">
        <v>0</v>
      </c>
      <c r="F117" s="66">
        <v>6</v>
      </c>
      <c r="G117" s="67">
        <v>43</v>
      </c>
      <c r="H117" s="32">
        <v>200</v>
      </c>
      <c r="I117" s="17">
        <v>0</v>
      </c>
      <c r="J117" s="67">
        <v>6210</v>
      </c>
      <c r="K117" s="66">
        <v>0</v>
      </c>
      <c r="L117" s="66">
        <v>518</v>
      </c>
      <c r="M117" s="66" t="s">
        <v>4845</v>
      </c>
      <c r="N117" s="66">
        <v>513</v>
      </c>
      <c r="O117" s="66" t="s">
        <v>5114</v>
      </c>
      <c r="Q117" s="68"/>
      <c r="R117" s="68"/>
      <c r="S117" s="68"/>
      <c r="T117" s="68"/>
      <c r="U117" s="66">
        <v>1</v>
      </c>
      <c r="V117" s="66">
        <v>1</v>
      </c>
      <c r="W117" s="69">
        <v>5</v>
      </c>
      <c r="Z117" s="21">
        <f>VLOOKUP(G117,Sheet2!A:H,8,0)</f>
        <v>174137</v>
      </c>
      <c r="AB117" s="70"/>
      <c r="AC117" s="23">
        <f>VLOOKUP(G117,Sheet2!A$2:K$151,9,FALSE)</f>
        <v>693</v>
      </c>
      <c r="AF117" s="71" t="s">
        <v>5309</v>
      </c>
      <c r="AG117" s="71" t="s">
        <v>4998</v>
      </c>
      <c r="AH117" s="71" t="s">
        <v>4997</v>
      </c>
      <c r="AI117" s="71"/>
      <c r="AJ117" s="71" t="s">
        <v>7038</v>
      </c>
      <c r="AL117" s="67">
        <v>0</v>
      </c>
      <c r="AM117" s="66" t="s">
        <v>6100</v>
      </c>
      <c r="AN117" s="66" t="s">
        <v>5447</v>
      </c>
      <c r="AP117" s="66">
        <v>1</v>
      </c>
      <c r="AQ117" s="66">
        <v>0</v>
      </c>
      <c r="AR117" s="66">
        <v>1</v>
      </c>
      <c r="AS117" s="66">
        <v>1</v>
      </c>
      <c r="AU117" s="66">
        <v>0</v>
      </c>
      <c r="AV117" s="17">
        <f t="shared" si="35"/>
        <v>1</v>
      </c>
      <c r="AW117" s="66" t="str">
        <f t="shared" si="46"/>
        <v>{s_taskTalk,{518,513}}</v>
      </c>
    </row>
    <row r="118" spans="1:49" s="66" customFormat="1" ht="72" x14ac:dyDescent="0.15">
      <c r="A118" s="65">
        <v>6212</v>
      </c>
      <c r="C118" s="66" t="s">
        <v>8131</v>
      </c>
      <c r="D118" s="66">
        <v>1</v>
      </c>
      <c r="E118" s="66">
        <v>0</v>
      </c>
      <c r="F118" s="66">
        <v>6</v>
      </c>
      <c r="G118" s="67">
        <v>43</v>
      </c>
      <c r="H118" s="32">
        <v>200</v>
      </c>
      <c r="I118" s="17">
        <v>0</v>
      </c>
      <c r="J118" s="67">
        <v>6211</v>
      </c>
      <c r="K118" s="66">
        <v>0</v>
      </c>
      <c r="L118" s="66">
        <v>513</v>
      </c>
      <c r="M118" s="66" t="s">
        <v>4844</v>
      </c>
      <c r="N118" s="66">
        <v>512</v>
      </c>
      <c r="O118" s="66" t="s">
        <v>5116</v>
      </c>
      <c r="Q118" s="68"/>
      <c r="R118" s="68"/>
      <c r="S118" s="68"/>
      <c r="T118" s="68"/>
      <c r="U118" s="66">
        <v>1</v>
      </c>
      <c r="V118" s="66">
        <v>1</v>
      </c>
      <c r="W118" s="69">
        <v>5</v>
      </c>
      <c r="Z118" s="21">
        <f>VLOOKUP(G118,Sheet2!A:H,8,0)</f>
        <v>174137</v>
      </c>
      <c r="AB118" s="70"/>
      <c r="AC118" s="23">
        <f>VLOOKUP(G118,Sheet2!A$2:K$151,9,FALSE)</f>
        <v>693</v>
      </c>
      <c r="AF118" s="71" t="s">
        <v>8132</v>
      </c>
      <c r="AG118" s="71" t="s">
        <v>5337</v>
      </c>
      <c r="AH118" s="71" t="s">
        <v>4999</v>
      </c>
      <c r="AI118" s="71"/>
      <c r="AJ118" s="71" t="s">
        <v>7039</v>
      </c>
      <c r="AL118" s="67">
        <v>0</v>
      </c>
      <c r="AM118" s="66" t="s">
        <v>6101</v>
      </c>
      <c r="AN118" s="66" t="s">
        <v>5448</v>
      </c>
      <c r="AP118" s="66">
        <v>1</v>
      </c>
      <c r="AQ118" s="66">
        <v>0</v>
      </c>
      <c r="AR118" s="66">
        <v>1</v>
      </c>
      <c r="AS118" s="66">
        <v>1</v>
      </c>
      <c r="AU118" s="66">
        <v>0</v>
      </c>
      <c r="AV118" s="17">
        <f t="shared" si="35"/>
        <v>1</v>
      </c>
      <c r="AW118" s="66" t="str">
        <f t="shared" si="46"/>
        <v>{s_taskTalk,{513,512}}</v>
      </c>
    </row>
    <row r="119" spans="1:49" s="66" customFormat="1" ht="72" x14ac:dyDescent="0.15">
      <c r="A119" s="65">
        <v>6213</v>
      </c>
      <c r="C119" s="66" t="s">
        <v>6845</v>
      </c>
      <c r="D119" s="66">
        <v>1</v>
      </c>
      <c r="E119" s="66">
        <v>0</v>
      </c>
      <c r="F119" s="66">
        <v>6</v>
      </c>
      <c r="G119" s="67">
        <v>43</v>
      </c>
      <c r="H119" s="32">
        <v>200</v>
      </c>
      <c r="I119" s="17">
        <v>0</v>
      </c>
      <c r="J119" s="67">
        <v>6212</v>
      </c>
      <c r="K119" s="66">
        <v>0</v>
      </c>
      <c r="L119" s="66">
        <v>512</v>
      </c>
      <c r="M119" s="66" t="s">
        <v>4846</v>
      </c>
      <c r="N119" s="66">
        <v>512</v>
      </c>
      <c r="O119" s="66" t="s">
        <v>5116</v>
      </c>
      <c r="Q119" s="68"/>
      <c r="R119" s="68"/>
      <c r="S119" s="68">
        <v>10008</v>
      </c>
      <c r="T119" s="68"/>
      <c r="U119" s="66">
        <v>20</v>
      </c>
      <c r="V119" s="66">
        <v>0</v>
      </c>
      <c r="W119" s="69">
        <v>5</v>
      </c>
      <c r="Z119" s="21">
        <f>VLOOKUP(G119,Sheet2!A:H,8,0)</f>
        <v>174137</v>
      </c>
      <c r="AB119" s="70"/>
      <c r="AC119" s="23">
        <f>VLOOKUP(G119,Sheet2!A$2:K$151,9,FALSE)</f>
        <v>693</v>
      </c>
      <c r="AF119" s="71" t="s">
        <v>6846</v>
      </c>
      <c r="AG119" s="71" t="s">
        <v>6847</v>
      </c>
      <c r="AH119" s="71" t="s">
        <v>6848</v>
      </c>
      <c r="AI119" s="71" t="s">
        <v>6849</v>
      </c>
      <c r="AJ119" s="37" t="s">
        <v>6852</v>
      </c>
      <c r="AL119" s="67">
        <v>0</v>
      </c>
      <c r="AM119" s="66" t="s">
        <v>6187</v>
      </c>
      <c r="AN119" s="66" t="s">
        <v>5449</v>
      </c>
      <c r="AP119" s="66">
        <v>1</v>
      </c>
      <c r="AQ119" s="66">
        <v>0</v>
      </c>
      <c r="AR119" s="66">
        <v>1</v>
      </c>
      <c r="AS119" s="66">
        <v>1</v>
      </c>
      <c r="AU119" s="66">
        <v>0</v>
      </c>
      <c r="AV119" s="17">
        <f t="shared" si="35"/>
        <v>1</v>
      </c>
      <c r="AW119" s="66" t="str">
        <f>"{s_taskKillNpc, {"&amp;L119&amp;","&amp;N119&amp;","&amp;S119&amp;","&amp;U119&amp;"}}"</f>
        <v>{s_taskKillNpc, {512,512,10008,20}}</v>
      </c>
    </row>
    <row r="120" spans="1:49" s="66" customFormat="1" ht="72" x14ac:dyDescent="0.15">
      <c r="A120" s="65">
        <v>6214</v>
      </c>
      <c r="C120" s="66" t="s">
        <v>6853</v>
      </c>
      <c r="D120" s="66">
        <v>1</v>
      </c>
      <c r="E120" s="66">
        <v>0</v>
      </c>
      <c r="F120" s="66">
        <v>6</v>
      </c>
      <c r="G120" s="67">
        <v>44</v>
      </c>
      <c r="H120" s="32">
        <v>200</v>
      </c>
      <c r="I120" s="17">
        <v>0</v>
      </c>
      <c r="J120" s="67">
        <v>6213</v>
      </c>
      <c r="K120" s="66">
        <v>0</v>
      </c>
      <c r="L120" s="66">
        <v>512</v>
      </c>
      <c r="M120" s="66" t="s">
        <v>4846</v>
      </c>
      <c r="N120" s="66">
        <v>514</v>
      </c>
      <c r="O120" s="66" t="s">
        <v>6854</v>
      </c>
      <c r="Q120" s="68"/>
      <c r="R120" s="68"/>
      <c r="S120" s="68"/>
      <c r="T120" s="68"/>
      <c r="U120" s="66">
        <v>1</v>
      </c>
      <c r="V120" s="66">
        <v>1</v>
      </c>
      <c r="W120" s="69">
        <v>5</v>
      </c>
      <c r="Z120" s="21">
        <f>VLOOKUP(G120,Sheet2!A:H,8,0)</f>
        <v>308223</v>
      </c>
      <c r="AB120" s="70"/>
      <c r="AC120" s="23">
        <f>VLOOKUP(G120,Sheet2!A$2:K$151,9,FALSE)</f>
        <v>1060</v>
      </c>
      <c r="AD120" s="32" t="s">
        <v>7164</v>
      </c>
      <c r="AF120" s="71" t="s">
        <v>6868</v>
      </c>
      <c r="AG120" s="71" t="s">
        <v>6869</v>
      </c>
      <c r="AH120" s="71" t="s">
        <v>6870</v>
      </c>
      <c r="AI120" s="71"/>
      <c r="AJ120" s="71" t="s">
        <v>7040</v>
      </c>
      <c r="AL120" s="67">
        <v>0</v>
      </c>
      <c r="AM120" s="66" t="s">
        <v>6102</v>
      </c>
      <c r="AN120" s="66" t="s">
        <v>5450</v>
      </c>
      <c r="AP120" s="66">
        <v>1</v>
      </c>
      <c r="AQ120" s="66">
        <v>0</v>
      </c>
      <c r="AR120" s="66">
        <v>1</v>
      </c>
      <c r="AS120" s="66">
        <v>1</v>
      </c>
      <c r="AU120" s="66">
        <v>0</v>
      </c>
      <c r="AV120" s="17">
        <f t="shared" si="35"/>
        <v>1</v>
      </c>
      <c r="AW120" s="66" t="str">
        <f t="shared" si="46"/>
        <v>{s_taskTalk,{512,514}}</v>
      </c>
    </row>
    <row r="121" spans="1:49" s="66" customFormat="1" ht="72" x14ac:dyDescent="0.15">
      <c r="A121" s="28">
        <v>6215</v>
      </c>
      <c r="B121" s="29"/>
      <c r="C121" s="29" t="s">
        <v>5000</v>
      </c>
      <c r="D121" s="29">
        <v>1</v>
      </c>
      <c r="E121" s="29">
        <v>0</v>
      </c>
      <c r="F121" s="29">
        <v>6</v>
      </c>
      <c r="G121" s="30">
        <v>200</v>
      </c>
      <c r="H121" s="29">
        <v>200</v>
      </c>
      <c r="I121" s="29">
        <v>0</v>
      </c>
      <c r="J121" s="30">
        <v>6214</v>
      </c>
      <c r="K121" s="29">
        <v>0</v>
      </c>
      <c r="L121" s="29">
        <v>514</v>
      </c>
      <c r="M121" s="29" t="s">
        <v>6854</v>
      </c>
      <c r="N121" s="29">
        <v>512</v>
      </c>
      <c r="O121" s="29" t="s">
        <v>5117</v>
      </c>
      <c r="Q121" s="68"/>
      <c r="R121" s="68"/>
      <c r="S121" s="68"/>
      <c r="T121" s="68"/>
      <c r="U121" s="66">
        <v>1</v>
      </c>
      <c r="V121" s="66">
        <v>0</v>
      </c>
      <c r="W121" s="69">
        <v>5</v>
      </c>
      <c r="Z121" s="21">
        <v>0</v>
      </c>
      <c r="AB121" s="70"/>
      <c r="AC121" s="23"/>
      <c r="AF121" s="71" t="s">
        <v>5276</v>
      </c>
      <c r="AG121" s="71" t="s">
        <v>5277</v>
      </c>
      <c r="AH121" s="71" t="s">
        <v>5278</v>
      </c>
      <c r="AI121" s="71"/>
      <c r="AJ121" s="71" t="s">
        <v>6573</v>
      </c>
      <c r="AL121" s="67">
        <v>0</v>
      </c>
      <c r="AM121" s="66" t="s">
        <v>5280</v>
      </c>
      <c r="AN121" s="66" t="s">
        <v>5451</v>
      </c>
      <c r="AP121" s="66">
        <v>1</v>
      </c>
      <c r="AQ121" s="66">
        <v>0</v>
      </c>
      <c r="AR121" s="66">
        <v>1</v>
      </c>
      <c r="AS121" s="66">
        <v>1</v>
      </c>
      <c r="AU121" s="66">
        <v>0</v>
      </c>
      <c r="AV121" s="17">
        <f t="shared" si="35"/>
        <v>1</v>
      </c>
      <c r="AW121" s="66" t="str">
        <f t="shared" si="46"/>
        <v>{s_taskTalk,{514,512}}</v>
      </c>
    </row>
    <row r="122" spans="1:49" s="66" customFormat="1" ht="72" x14ac:dyDescent="0.15">
      <c r="A122" s="28">
        <v>6216</v>
      </c>
      <c r="B122" s="29"/>
      <c r="C122" s="29" t="s">
        <v>5001</v>
      </c>
      <c r="D122" s="29">
        <v>1</v>
      </c>
      <c r="E122" s="29">
        <v>0</v>
      </c>
      <c r="F122" s="29">
        <v>6</v>
      </c>
      <c r="G122" s="30">
        <v>200</v>
      </c>
      <c r="H122" s="29">
        <v>200</v>
      </c>
      <c r="I122" s="29">
        <v>0</v>
      </c>
      <c r="J122" s="30">
        <v>6215</v>
      </c>
      <c r="K122" s="29">
        <v>0</v>
      </c>
      <c r="L122" s="29">
        <v>512</v>
      </c>
      <c r="M122" s="29" t="s">
        <v>4846</v>
      </c>
      <c r="N122" s="29">
        <v>514</v>
      </c>
      <c r="O122" s="29" t="s">
        <v>6854</v>
      </c>
      <c r="Q122" s="68"/>
      <c r="R122" s="68"/>
      <c r="S122" s="68"/>
      <c r="T122" s="68"/>
      <c r="U122" s="66">
        <v>1</v>
      </c>
      <c r="V122" s="66">
        <v>0</v>
      </c>
      <c r="W122" s="69">
        <v>5</v>
      </c>
      <c r="Z122" s="21">
        <v>0</v>
      </c>
      <c r="AB122" s="70"/>
      <c r="AC122" s="23"/>
      <c r="AF122" s="71" t="s">
        <v>6841</v>
      </c>
      <c r="AG122" s="71" t="s">
        <v>6842</v>
      </c>
      <c r="AH122" s="71" t="s">
        <v>5279</v>
      </c>
      <c r="AI122" s="71"/>
      <c r="AJ122" s="71" t="s">
        <v>6855</v>
      </c>
      <c r="AL122" s="67">
        <v>0</v>
      </c>
      <c r="AM122" s="66" t="s">
        <v>6256</v>
      </c>
      <c r="AN122" s="66" t="s">
        <v>5452</v>
      </c>
      <c r="AP122" s="66">
        <v>1</v>
      </c>
      <c r="AQ122" s="66">
        <v>0</v>
      </c>
      <c r="AR122" s="66">
        <v>1</v>
      </c>
      <c r="AS122" s="66">
        <v>1</v>
      </c>
      <c r="AU122" s="66">
        <v>0</v>
      </c>
      <c r="AV122" s="17">
        <f t="shared" si="35"/>
        <v>1</v>
      </c>
      <c r="AW122" s="66" t="str">
        <f t="shared" si="46"/>
        <v>{s_taskTalk,{512,514}}</v>
      </c>
    </row>
    <row r="123" spans="1:49" s="66" customFormat="1" ht="72" x14ac:dyDescent="0.15">
      <c r="A123" s="28">
        <v>6217</v>
      </c>
      <c r="B123" s="29"/>
      <c r="C123" s="29" t="s">
        <v>5002</v>
      </c>
      <c r="D123" s="29">
        <v>1</v>
      </c>
      <c r="E123" s="29">
        <v>0</v>
      </c>
      <c r="F123" s="29">
        <v>6</v>
      </c>
      <c r="G123" s="30">
        <v>200</v>
      </c>
      <c r="H123" s="29">
        <v>200</v>
      </c>
      <c r="I123" s="29">
        <v>0</v>
      </c>
      <c r="J123" s="30">
        <v>6216</v>
      </c>
      <c r="K123" s="29">
        <v>0</v>
      </c>
      <c r="L123" s="29">
        <v>514</v>
      </c>
      <c r="M123" s="29" t="s">
        <v>6854</v>
      </c>
      <c r="N123" s="29">
        <v>516</v>
      </c>
      <c r="O123" s="29" t="s">
        <v>5310</v>
      </c>
      <c r="Q123" s="68"/>
      <c r="R123" s="68"/>
      <c r="S123" s="68"/>
      <c r="T123" s="68"/>
      <c r="U123" s="66">
        <v>1</v>
      </c>
      <c r="V123" s="66">
        <v>1</v>
      </c>
      <c r="W123" s="69">
        <v>5</v>
      </c>
      <c r="Z123" s="21">
        <v>0</v>
      </c>
      <c r="AB123" s="70"/>
      <c r="AC123" s="23"/>
      <c r="AF123" s="74" t="s">
        <v>5339</v>
      </c>
      <c r="AG123" s="74" t="s">
        <v>5338</v>
      </c>
      <c r="AH123" s="71" t="s">
        <v>5340</v>
      </c>
      <c r="AI123" s="71"/>
      <c r="AJ123" s="74" t="s">
        <v>6571</v>
      </c>
      <c r="AL123" s="67">
        <v>0</v>
      </c>
      <c r="AM123" s="66" t="s">
        <v>6103</v>
      </c>
      <c r="AN123" s="66" t="s">
        <v>5453</v>
      </c>
      <c r="AP123" s="66">
        <v>1</v>
      </c>
      <c r="AQ123" s="66">
        <v>0</v>
      </c>
      <c r="AR123" s="66">
        <v>1</v>
      </c>
      <c r="AS123" s="66">
        <v>1</v>
      </c>
      <c r="AU123" s="66">
        <v>0</v>
      </c>
      <c r="AV123" s="17">
        <f t="shared" si="35"/>
        <v>1</v>
      </c>
      <c r="AW123" s="66" t="str">
        <f t="shared" si="46"/>
        <v>{s_taskTalk,{514,516}}</v>
      </c>
    </row>
    <row r="124" spans="1:49" s="66" customFormat="1" ht="72" x14ac:dyDescent="0.15">
      <c r="A124" s="28">
        <v>6218</v>
      </c>
      <c r="B124" s="29"/>
      <c r="C124" s="29" t="s">
        <v>5003</v>
      </c>
      <c r="D124" s="29">
        <v>1</v>
      </c>
      <c r="E124" s="29">
        <v>0</v>
      </c>
      <c r="F124" s="29">
        <v>6</v>
      </c>
      <c r="G124" s="30">
        <v>200</v>
      </c>
      <c r="H124" s="29">
        <v>200</v>
      </c>
      <c r="I124" s="29">
        <v>0</v>
      </c>
      <c r="J124" s="30">
        <v>6217</v>
      </c>
      <c r="K124" s="29">
        <v>0</v>
      </c>
      <c r="L124" s="29">
        <v>516</v>
      </c>
      <c r="M124" s="29" t="s">
        <v>5310</v>
      </c>
      <c r="N124" s="29">
        <v>514</v>
      </c>
      <c r="O124" s="29" t="s">
        <v>6854</v>
      </c>
      <c r="Q124" s="68"/>
      <c r="R124" s="68"/>
      <c r="S124" s="68">
        <v>10008</v>
      </c>
      <c r="T124" s="68"/>
      <c r="U124" s="66">
        <v>5</v>
      </c>
      <c r="V124" s="66">
        <v>0</v>
      </c>
      <c r="W124" s="69">
        <v>5</v>
      </c>
      <c r="Z124" s="21">
        <v>0</v>
      </c>
      <c r="AB124" s="70"/>
      <c r="AC124" s="23">
        <v>500</v>
      </c>
      <c r="AF124" s="71" t="s">
        <v>6843</v>
      </c>
      <c r="AG124" s="71" t="s">
        <v>6844</v>
      </c>
      <c r="AH124" s="71" t="s">
        <v>5004</v>
      </c>
      <c r="AI124" s="71" t="s">
        <v>5040</v>
      </c>
      <c r="AJ124" s="37" t="s">
        <v>6574</v>
      </c>
      <c r="AL124" s="67">
        <v>0</v>
      </c>
      <c r="AM124" s="66" t="s">
        <v>6188</v>
      </c>
      <c r="AN124" s="66" t="s">
        <v>5454</v>
      </c>
      <c r="AP124" s="66">
        <v>1</v>
      </c>
      <c r="AQ124" s="66">
        <v>0</v>
      </c>
      <c r="AR124" s="66">
        <v>1</v>
      </c>
      <c r="AS124" s="66">
        <v>1</v>
      </c>
      <c r="AU124" s="66">
        <v>0</v>
      </c>
      <c r="AV124" s="17">
        <f t="shared" si="35"/>
        <v>1</v>
      </c>
      <c r="AW124" s="66" t="str">
        <f>"{s_taskKillNpc, {"&amp;L124&amp;","&amp;N124&amp;","&amp;S124&amp;","&amp;U124&amp;"}}"</f>
        <v>{s_taskKillNpc, {516,514,10008,5}}</v>
      </c>
    </row>
    <row r="125" spans="1:49" s="66" customFormat="1" ht="72" x14ac:dyDescent="0.15">
      <c r="A125" s="65">
        <v>6219</v>
      </c>
      <c r="C125" s="66" t="s">
        <v>6871</v>
      </c>
      <c r="D125" s="66">
        <v>1</v>
      </c>
      <c r="E125" s="66">
        <v>0</v>
      </c>
      <c r="F125" s="66">
        <v>6</v>
      </c>
      <c r="G125" s="67">
        <v>44</v>
      </c>
      <c r="H125" s="32">
        <v>200</v>
      </c>
      <c r="I125" s="17">
        <v>0</v>
      </c>
      <c r="J125" s="67">
        <v>6214</v>
      </c>
      <c r="K125" s="66">
        <v>0</v>
      </c>
      <c r="L125" s="66">
        <v>514</v>
      </c>
      <c r="M125" s="66" t="s">
        <v>6854</v>
      </c>
      <c r="N125" s="66">
        <v>515</v>
      </c>
      <c r="O125" s="66" t="s">
        <v>5118</v>
      </c>
      <c r="Q125" s="68"/>
      <c r="R125" s="68"/>
      <c r="S125" s="68"/>
      <c r="T125" s="68"/>
      <c r="U125" s="66">
        <v>1</v>
      </c>
      <c r="V125" s="66">
        <v>1</v>
      </c>
      <c r="W125" s="69">
        <v>5</v>
      </c>
      <c r="Z125" s="21">
        <f>VLOOKUP(G125,Sheet2!A:H,8,0)</f>
        <v>308223</v>
      </c>
      <c r="AB125" s="70"/>
      <c r="AC125" s="23">
        <f>VLOOKUP(G125,Sheet2!A$2:K$151,9,FALSE)</f>
        <v>1060</v>
      </c>
      <c r="AF125" s="71" t="s">
        <v>6872</v>
      </c>
      <c r="AG125" s="71" t="s">
        <v>6873</v>
      </c>
      <c r="AH125" s="71" t="s">
        <v>6874</v>
      </c>
      <c r="AI125" s="71"/>
      <c r="AJ125" s="71" t="s">
        <v>7041</v>
      </c>
      <c r="AL125" s="67">
        <v>0</v>
      </c>
      <c r="AM125" s="66" t="s">
        <v>6104</v>
      </c>
      <c r="AN125" s="66" t="s">
        <v>5455</v>
      </c>
      <c r="AP125" s="66">
        <v>1</v>
      </c>
      <c r="AQ125" s="66">
        <v>0</v>
      </c>
      <c r="AR125" s="66">
        <v>1</v>
      </c>
      <c r="AS125" s="66">
        <v>1</v>
      </c>
      <c r="AU125" s="66">
        <v>0</v>
      </c>
      <c r="AV125" s="17">
        <f t="shared" si="35"/>
        <v>1</v>
      </c>
      <c r="AW125" s="66" t="str">
        <f t="shared" si="46"/>
        <v>{s_taskTalk,{514,515}}</v>
      </c>
    </row>
    <row r="126" spans="1:49" s="66" customFormat="1" ht="72" x14ac:dyDescent="0.15">
      <c r="A126" s="65">
        <v>6220</v>
      </c>
      <c r="C126" s="66" t="s">
        <v>6875</v>
      </c>
      <c r="D126" s="66">
        <v>1</v>
      </c>
      <c r="E126" s="66">
        <v>0</v>
      </c>
      <c r="F126" s="66">
        <v>6</v>
      </c>
      <c r="G126" s="67">
        <v>41</v>
      </c>
      <c r="H126" s="32">
        <v>200</v>
      </c>
      <c r="I126" s="17">
        <v>0</v>
      </c>
      <c r="J126" s="67">
        <v>6219</v>
      </c>
      <c r="K126" s="66">
        <v>0</v>
      </c>
      <c r="L126" s="66">
        <v>515</v>
      </c>
      <c r="M126" s="66" t="s">
        <v>4847</v>
      </c>
      <c r="N126" s="66">
        <v>515</v>
      </c>
      <c r="O126" s="66" t="s">
        <v>5118</v>
      </c>
      <c r="Q126" s="68"/>
      <c r="R126" s="68"/>
      <c r="S126" s="68">
        <v>10500</v>
      </c>
      <c r="T126" s="68"/>
      <c r="U126" s="66">
        <v>1</v>
      </c>
      <c r="V126" s="66">
        <v>0</v>
      </c>
      <c r="W126" s="69">
        <v>5</v>
      </c>
      <c r="Z126" s="21">
        <f>VLOOKUP(G126,Sheet2!A:H,8,0)</f>
        <v>125063</v>
      </c>
      <c r="AB126" s="70"/>
      <c r="AC126" s="23">
        <f>VLOOKUP(G126,Sheet2!A$2:K$151,9,FALSE)</f>
        <v>667</v>
      </c>
      <c r="AF126" s="71" t="s">
        <v>6877</v>
      </c>
      <c r="AG126" s="71" t="s">
        <v>5341</v>
      </c>
      <c r="AH126" s="71" t="s">
        <v>5005</v>
      </c>
      <c r="AI126" s="71" t="s">
        <v>5039</v>
      </c>
      <c r="AJ126" s="37" t="s">
        <v>7218</v>
      </c>
      <c r="AL126" s="67">
        <v>0</v>
      </c>
      <c r="AM126" s="66" t="s">
        <v>6189</v>
      </c>
      <c r="AN126" s="66" t="s">
        <v>5456</v>
      </c>
      <c r="AP126" s="66">
        <v>1</v>
      </c>
      <c r="AQ126" s="66">
        <v>0</v>
      </c>
      <c r="AR126" s="66">
        <v>1</v>
      </c>
      <c r="AS126" s="66">
        <v>1</v>
      </c>
      <c r="AU126" s="66">
        <v>0</v>
      </c>
      <c r="AV126" s="17">
        <f t="shared" si="35"/>
        <v>1</v>
      </c>
      <c r="AW126" s="66" t="str">
        <f>"{s_taskKillNpc, {"&amp;L126&amp;","&amp;N126&amp;","&amp;S126&amp;","&amp;U126&amp;"}}"</f>
        <v>{s_taskKillNpc, {515,515,10500,1}}</v>
      </c>
    </row>
    <row r="127" spans="1:49" s="66" customFormat="1" ht="72" x14ac:dyDescent="0.15">
      <c r="A127" s="65">
        <v>7219</v>
      </c>
      <c r="C127" s="66" t="s">
        <v>6876</v>
      </c>
      <c r="D127" s="66">
        <v>1</v>
      </c>
      <c r="E127" s="66">
        <v>0</v>
      </c>
      <c r="F127" s="66">
        <v>6</v>
      </c>
      <c r="G127" s="67">
        <v>44</v>
      </c>
      <c r="H127" s="32">
        <v>200</v>
      </c>
      <c r="I127" s="17">
        <v>0</v>
      </c>
      <c r="J127" s="67">
        <v>6219</v>
      </c>
      <c r="K127" s="66">
        <v>0</v>
      </c>
      <c r="L127" s="66">
        <v>515</v>
      </c>
      <c r="M127" s="66" t="s">
        <v>4847</v>
      </c>
      <c r="N127" s="66">
        <v>515</v>
      </c>
      <c r="O127" s="66" t="s">
        <v>4848</v>
      </c>
      <c r="Q127" s="68"/>
      <c r="R127" s="68"/>
      <c r="S127" s="68">
        <v>10500</v>
      </c>
      <c r="T127" s="68"/>
      <c r="U127" s="66">
        <v>1</v>
      </c>
      <c r="V127" s="66">
        <v>0</v>
      </c>
      <c r="W127" s="69">
        <v>5</v>
      </c>
      <c r="Z127" s="21">
        <f>VLOOKUP(G127,Sheet2!A:H,8,0)</f>
        <v>308223</v>
      </c>
      <c r="AB127" s="70"/>
      <c r="AC127" s="23">
        <f>VLOOKUP(G127,Sheet2!A$2:K$151,9,FALSE)</f>
        <v>1060</v>
      </c>
      <c r="AF127" s="71" t="s">
        <v>6877</v>
      </c>
      <c r="AG127" s="71" t="s">
        <v>5341</v>
      </c>
      <c r="AH127" s="71" t="s">
        <v>5005</v>
      </c>
      <c r="AI127" s="71" t="s">
        <v>5039</v>
      </c>
      <c r="AJ127" s="37" t="s">
        <v>6998</v>
      </c>
      <c r="AL127" s="67">
        <v>0</v>
      </c>
      <c r="AM127" s="66" t="s">
        <v>6251</v>
      </c>
      <c r="AN127" s="66" t="s">
        <v>6252</v>
      </c>
      <c r="AP127" s="66">
        <v>0</v>
      </c>
      <c r="AQ127" s="66">
        <v>0</v>
      </c>
      <c r="AR127" s="66">
        <v>1</v>
      </c>
      <c r="AS127" s="66">
        <v>1</v>
      </c>
      <c r="AU127" s="66">
        <v>0</v>
      </c>
      <c r="AV127" s="17">
        <f t="shared" ref="AV127:AV128" si="47">IF(D127 = 1,1,0)</f>
        <v>1</v>
      </c>
      <c r="AW127" s="66" t="str">
        <f t="shared" ref="AW127:AW128" si="48">"{s_taskKillNpc, {"&amp;L127&amp;","&amp;N127&amp;","&amp;S127&amp;","&amp;U127&amp;"}}"</f>
        <v>{s_taskKillNpc, {515,515,10500,1}}</v>
      </c>
    </row>
    <row r="128" spans="1:49" s="66" customFormat="1" ht="72" x14ac:dyDescent="0.15">
      <c r="A128" s="65">
        <v>7220</v>
      </c>
      <c r="C128" s="66" t="s">
        <v>6876</v>
      </c>
      <c r="D128" s="66">
        <v>1</v>
      </c>
      <c r="E128" s="66">
        <v>0</v>
      </c>
      <c r="F128" s="66">
        <v>6</v>
      </c>
      <c r="G128" s="67">
        <v>44</v>
      </c>
      <c r="H128" s="32">
        <v>200</v>
      </c>
      <c r="I128" s="17">
        <v>0</v>
      </c>
      <c r="J128" s="67">
        <v>6219</v>
      </c>
      <c r="K128" s="66">
        <v>0</v>
      </c>
      <c r="L128" s="66">
        <v>515</v>
      </c>
      <c r="M128" s="66" t="s">
        <v>4847</v>
      </c>
      <c r="N128" s="66">
        <v>515</v>
      </c>
      <c r="O128" s="66" t="s">
        <v>4848</v>
      </c>
      <c r="Q128" s="68"/>
      <c r="R128" s="68"/>
      <c r="S128" s="68">
        <v>10500</v>
      </c>
      <c r="T128" s="68"/>
      <c r="U128" s="66">
        <v>1</v>
      </c>
      <c r="V128" s="66">
        <v>0</v>
      </c>
      <c r="W128" s="69">
        <v>5</v>
      </c>
      <c r="Z128" s="21">
        <f>VLOOKUP(G128,Sheet2!A:H,8,0)</f>
        <v>308223</v>
      </c>
      <c r="AB128" s="70"/>
      <c r="AC128" s="23">
        <f>VLOOKUP(G128,Sheet2!A$2:K$151,9,FALSE)</f>
        <v>1060</v>
      </c>
      <c r="AF128" s="71" t="s">
        <v>6877</v>
      </c>
      <c r="AG128" s="71" t="s">
        <v>5341</v>
      </c>
      <c r="AH128" s="71" t="s">
        <v>6883</v>
      </c>
      <c r="AI128" s="71" t="s">
        <v>5039</v>
      </c>
      <c r="AJ128" s="37" t="s">
        <v>6998</v>
      </c>
      <c r="AL128" s="67">
        <v>0</v>
      </c>
      <c r="AM128" s="66" t="s">
        <v>6253</v>
      </c>
      <c r="AN128" s="66" t="s">
        <v>6254</v>
      </c>
      <c r="AP128" s="66">
        <v>0</v>
      </c>
      <c r="AQ128" s="66">
        <v>0</v>
      </c>
      <c r="AR128" s="66">
        <v>1</v>
      </c>
      <c r="AS128" s="66">
        <v>1</v>
      </c>
      <c r="AU128" s="66">
        <v>0</v>
      </c>
      <c r="AV128" s="17">
        <f t="shared" si="47"/>
        <v>1</v>
      </c>
      <c r="AW128" s="66" t="str">
        <f t="shared" si="48"/>
        <v>{s_taskKillNpc, {515,515,10500,1}}</v>
      </c>
    </row>
    <row r="129" spans="1:49" s="66" customFormat="1" ht="72" x14ac:dyDescent="0.15">
      <c r="A129" s="65">
        <v>6221</v>
      </c>
      <c r="C129" s="66" t="s">
        <v>6884</v>
      </c>
      <c r="D129" s="66">
        <v>1</v>
      </c>
      <c r="E129" s="66">
        <v>0</v>
      </c>
      <c r="F129" s="66">
        <v>6</v>
      </c>
      <c r="G129" s="67">
        <v>45</v>
      </c>
      <c r="H129" s="32">
        <v>200</v>
      </c>
      <c r="I129" s="17">
        <v>0</v>
      </c>
      <c r="J129" s="67">
        <v>6220</v>
      </c>
      <c r="K129" s="66">
        <v>0</v>
      </c>
      <c r="L129" s="66">
        <v>515</v>
      </c>
      <c r="M129" s="66" t="s">
        <v>4847</v>
      </c>
      <c r="N129" s="66">
        <v>515</v>
      </c>
      <c r="O129" s="66" t="s">
        <v>5118</v>
      </c>
      <c r="Q129" s="68"/>
      <c r="R129" s="68"/>
      <c r="S129" s="68"/>
      <c r="T129" s="68"/>
      <c r="U129" s="66">
        <v>1</v>
      </c>
      <c r="V129" s="66">
        <v>1</v>
      </c>
      <c r="W129" s="69">
        <v>5</v>
      </c>
      <c r="Z129" s="21">
        <f>VLOOKUP(G129,Sheet2!A:H,8,0)</f>
        <v>242469</v>
      </c>
      <c r="AB129" s="70"/>
      <c r="AC129" s="23">
        <f>VLOOKUP(G129,Sheet2!A$2:K$151,9,FALSE)</f>
        <v>720</v>
      </c>
      <c r="AF129" s="71" t="s">
        <v>6885</v>
      </c>
      <c r="AG129" s="71" t="s">
        <v>6886</v>
      </c>
      <c r="AH129" s="71" t="s">
        <v>5006</v>
      </c>
      <c r="AI129" s="71"/>
      <c r="AJ129" s="71" t="s">
        <v>7042</v>
      </c>
      <c r="AL129" s="67">
        <v>0</v>
      </c>
      <c r="AM129" s="66" t="s">
        <v>5007</v>
      </c>
      <c r="AN129" s="66" t="s">
        <v>5457</v>
      </c>
      <c r="AP129" s="66">
        <v>1</v>
      </c>
      <c r="AQ129" s="66">
        <v>0</v>
      </c>
      <c r="AR129" s="66">
        <v>1</v>
      </c>
      <c r="AS129" s="66">
        <v>1</v>
      </c>
      <c r="AU129" s="66">
        <v>0</v>
      </c>
      <c r="AV129" s="17">
        <f t="shared" si="35"/>
        <v>1</v>
      </c>
      <c r="AW129" s="66" t="str">
        <f t="shared" ref="AW129:AW132" si="49">"{s_taskTalk,{"&amp;L129&amp;","&amp;N129&amp;"}}"</f>
        <v>{s_taskTalk,{515,515}}</v>
      </c>
    </row>
    <row r="130" spans="1:49" s="66" customFormat="1" ht="72" x14ac:dyDescent="0.15">
      <c r="A130" s="65">
        <v>6222</v>
      </c>
      <c r="C130" s="66" t="s">
        <v>6887</v>
      </c>
      <c r="D130" s="66">
        <v>1</v>
      </c>
      <c r="E130" s="66">
        <v>0</v>
      </c>
      <c r="F130" s="66">
        <v>6</v>
      </c>
      <c r="G130" s="67">
        <v>45</v>
      </c>
      <c r="H130" s="32">
        <v>200</v>
      </c>
      <c r="I130" s="17">
        <v>0</v>
      </c>
      <c r="J130" s="67">
        <v>6221</v>
      </c>
      <c r="K130" s="66">
        <v>0</v>
      </c>
      <c r="L130" s="66">
        <v>515</v>
      </c>
      <c r="M130" s="66" t="s">
        <v>4847</v>
      </c>
      <c r="N130" s="66">
        <v>514</v>
      </c>
      <c r="O130" s="66" t="s">
        <v>6854</v>
      </c>
      <c r="Q130" s="68"/>
      <c r="R130" s="68"/>
      <c r="S130" s="68"/>
      <c r="T130" s="68"/>
      <c r="U130" s="66">
        <v>1</v>
      </c>
      <c r="V130" s="66">
        <v>1</v>
      </c>
      <c r="W130" s="69">
        <v>5</v>
      </c>
      <c r="Z130" s="21">
        <f>VLOOKUP(G130,Sheet2!A:H,8,0)</f>
        <v>242469</v>
      </c>
      <c r="AB130" s="70"/>
      <c r="AC130" s="23">
        <f>VLOOKUP(G130,Sheet2!A$2:K$151,9,FALSE)</f>
        <v>720</v>
      </c>
      <c r="AF130" s="71" t="s">
        <v>6945</v>
      </c>
      <c r="AG130" s="71" t="s">
        <v>6946</v>
      </c>
      <c r="AH130" s="71" t="s">
        <v>5008</v>
      </c>
      <c r="AI130" s="71"/>
      <c r="AJ130" s="71" t="s">
        <v>7043</v>
      </c>
      <c r="AL130" s="67">
        <v>0</v>
      </c>
      <c r="AM130" s="66" t="s">
        <v>6105</v>
      </c>
      <c r="AN130" s="66" t="s">
        <v>5458</v>
      </c>
      <c r="AP130" s="66">
        <v>1</v>
      </c>
      <c r="AQ130" s="66">
        <v>0</v>
      </c>
      <c r="AR130" s="66">
        <v>1</v>
      </c>
      <c r="AS130" s="66">
        <v>1</v>
      </c>
      <c r="AU130" s="66">
        <v>0</v>
      </c>
      <c r="AV130" s="17">
        <f t="shared" si="35"/>
        <v>1</v>
      </c>
      <c r="AW130" s="66" t="str">
        <f t="shared" si="49"/>
        <v>{s_taskTalk,{515,514}}</v>
      </c>
    </row>
    <row r="131" spans="1:49" s="66" customFormat="1" ht="72" x14ac:dyDescent="0.15">
      <c r="A131" s="28">
        <v>6223</v>
      </c>
      <c r="B131" s="29"/>
      <c r="C131" s="29" t="s">
        <v>5009</v>
      </c>
      <c r="D131" s="29">
        <v>1</v>
      </c>
      <c r="E131" s="29">
        <v>0</v>
      </c>
      <c r="F131" s="29">
        <v>6</v>
      </c>
      <c r="G131" s="30">
        <v>200</v>
      </c>
      <c r="H131" s="29">
        <v>200</v>
      </c>
      <c r="I131" s="29">
        <v>0</v>
      </c>
      <c r="J131" s="30">
        <v>6222</v>
      </c>
      <c r="K131" s="29">
        <v>0</v>
      </c>
      <c r="L131" s="29">
        <v>514</v>
      </c>
      <c r="M131" s="29" t="s">
        <v>6854</v>
      </c>
      <c r="N131" s="66">
        <v>514</v>
      </c>
      <c r="O131" s="66" t="s">
        <v>6854</v>
      </c>
      <c r="Q131" s="68">
        <v>2022</v>
      </c>
      <c r="R131" s="68"/>
      <c r="S131" s="68"/>
      <c r="T131" s="68"/>
      <c r="U131" s="66">
        <v>3</v>
      </c>
      <c r="V131" s="66">
        <v>0</v>
      </c>
      <c r="W131" s="69">
        <v>5</v>
      </c>
      <c r="Z131" s="21">
        <v>0</v>
      </c>
      <c r="AB131" s="70"/>
      <c r="AC131" s="23">
        <v>500</v>
      </c>
      <c r="AF131" s="71" t="s">
        <v>5010</v>
      </c>
      <c r="AG131" s="71" t="s">
        <v>5011</v>
      </c>
      <c r="AH131" s="71" t="s">
        <v>5012</v>
      </c>
      <c r="AI131" s="71" t="s">
        <v>5038</v>
      </c>
      <c r="AJ131" s="37" t="s">
        <v>6575</v>
      </c>
      <c r="AL131" s="67">
        <v>0</v>
      </c>
      <c r="AM131" s="66" t="s">
        <v>6131</v>
      </c>
      <c r="AN131" s="66" t="s">
        <v>5459</v>
      </c>
      <c r="AO131" s="32" t="s">
        <v>4873</v>
      </c>
      <c r="AP131" s="66">
        <v>1</v>
      </c>
      <c r="AQ131" s="66">
        <v>0</v>
      </c>
      <c r="AR131" s="66">
        <v>1</v>
      </c>
      <c r="AS131" s="66">
        <v>1</v>
      </c>
      <c r="AU131" s="66">
        <v>0</v>
      </c>
      <c r="AV131" s="17">
        <f t="shared" si="35"/>
        <v>1</v>
      </c>
      <c r="AW131" s="66" t="str">
        <f t="shared" si="49"/>
        <v>{s_taskTalk,{514,514}}</v>
      </c>
    </row>
    <row r="132" spans="1:49" s="66" customFormat="1" ht="84" x14ac:dyDescent="0.15">
      <c r="A132" s="65">
        <v>6224</v>
      </c>
      <c r="C132" s="66" t="s">
        <v>6888</v>
      </c>
      <c r="D132" s="66">
        <v>1</v>
      </c>
      <c r="E132" s="66">
        <v>0</v>
      </c>
      <c r="F132" s="66">
        <v>6</v>
      </c>
      <c r="G132" s="67">
        <v>45</v>
      </c>
      <c r="H132" s="32">
        <v>200</v>
      </c>
      <c r="I132" s="17">
        <v>0</v>
      </c>
      <c r="J132" s="67">
        <v>6222</v>
      </c>
      <c r="K132" s="66">
        <v>0</v>
      </c>
      <c r="L132" s="66">
        <v>514</v>
      </c>
      <c r="M132" s="66" t="s">
        <v>6854</v>
      </c>
      <c r="N132" s="66">
        <v>515</v>
      </c>
      <c r="O132" s="66" t="s">
        <v>5118</v>
      </c>
      <c r="Q132" s="68"/>
      <c r="R132" s="68"/>
      <c r="S132" s="68"/>
      <c r="T132" s="68"/>
      <c r="U132" s="66">
        <v>1</v>
      </c>
      <c r="V132" s="66">
        <v>1</v>
      </c>
      <c r="W132" s="69">
        <v>5</v>
      </c>
      <c r="Z132" s="21">
        <f>VLOOKUP(G132,Sheet2!A:H,8,0)</f>
        <v>242469</v>
      </c>
      <c r="AB132" s="70"/>
      <c r="AC132" s="23">
        <f>VLOOKUP(G132,Sheet2!A$2:K$151,9,FALSE)</f>
        <v>720</v>
      </c>
      <c r="AF132" s="71" t="s">
        <v>6894</v>
      </c>
      <c r="AG132" s="71" t="s">
        <v>6893</v>
      </c>
      <c r="AH132" s="71" t="s">
        <v>6889</v>
      </c>
      <c r="AI132" s="71"/>
      <c r="AJ132" s="71" t="s">
        <v>7044</v>
      </c>
      <c r="AL132" s="67">
        <v>0</v>
      </c>
      <c r="AM132" s="66" t="s">
        <v>6106</v>
      </c>
      <c r="AN132" s="66" t="s">
        <v>5460</v>
      </c>
      <c r="AP132" s="66">
        <v>1</v>
      </c>
      <c r="AQ132" s="66">
        <v>0</v>
      </c>
      <c r="AR132" s="66">
        <v>1</v>
      </c>
      <c r="AS132" s="66">
        <v>1</v>
      </c>
      <c r="AU132" s="66">
        <v>0</v>
      </c>
      <c r="AV132" s="17">
        <f t="shared" si="35"/>
        <v>1</v>
      </c>
      <c r="AW132" s="66" t="str">
        <f t="shared" si="49"/>
        <v>{s_taskTalk,{514,515}}</v>
      </c>
    </row>
    <row r="133" spans="1:49" s="66" customFormat="1" ht="72" x14ac:dyDescent="0.15">
      <c r="A133" s="65">
        <v>6253</v>
      </c>
      <c r="C133" s="69" t="s">
        <v>6890</v>
      </c>
      <c r="D133" s="66">
        <v>1</v>
      </c>
      <c r="E133" s="66">
        <v>0</v>
      </c>
      <c r="F133" s="66">
        <v>6</v>
      </c>
      <c r="G133" s="67">
        <v>46</v>
      </c>
      <c r="H133" s="32">
        <v>200</v>
      </c>
      <c r="I133" s="17">
        <v>0</v>
      </c>
      <c r="J133" s="67">
        <v>6224</v>
      </c>
      <c r="K133" s="66">
        <v>0</v>
      </c>
      <c r="L133" s="66">
        <v>515</v>
      </c>
      <c r="M133" s="66" t="s">
        <v>5118</v>
      </c>
      <c r="N133" s="66">
        <v>514</v>
      </c>
      <c r="O133" s="66" t="s">
        <v>6854</v>
      </c>
      <c r="Q133" s="68"/>
      <c r="R133" s="68"/>
      <c r="S133" s="68"/>
      <c r="T133" s="68"/>
      <c r="U133" s="66">
        <v>1</v>
      </c>
      <c r="V133" s="66">
        <v>1</v>
      </c>
      <c r="W133" s="69">
        <v>5</v>
      </c>
      <c r="Z133" s="21">
        <f>VLOOKUP(G133,Sheet2!A:H,8,0)</f>
        <v>316987</v>
      </c>
      <c r="AB133" s="70"/>
      <c r="AC133" s="23">
        <f>VLOOKUP(G133,Sheet2!A$2:K$151,9,FALSE)</f>
        <v>733</v>
      </c>
      <c r="AF133" s="71" t="s">
        <v>6895</v>
      </c>
      <c r="AG133" s="71" t="s">
        <v>6896</v>
      </c>
      <c r="AH133" s="71" t="s">
        <v>6897</v>
      </c>
      <c r="AI133" s="71"/>
      <c r="AJ133" s="71" t="s">
        <v>7045</v>
      </c>
      <c r="AL133" s="67">
        <v>0</v>
      </c>
      <c r="AM133" s="66" t="s">
        <v>6948</v>
      </c>
      <c r="AN133" s="66" t="s">
        <v>6947</v>
      </c>
      <c r="AP133" s="66">
        <v>1</v>
      </c>
      <c r="AQ133" s="66">
        <v>0</v>
      </c>
      <c r="AR133" s="66">
        <v>1</v>
      </c>
      <c r="AS133" s="66">
        <v>1</v>
      </c>
      <c r="AU133" s="66">
        <v>0</v>
      </c>
      <c r="AV133" s="17">
        <f t="shared" ref="AV133" si="50">IF(D133 = 1,1,0)</f>
        <v>1</v>
      </c>
      <c r="AW133" s="66" t="str">
        <f t="shared" ref="AW133" si="51">"{s_taskTalk,{"&amp;L133&amp;","&amp;N133&amp;"}}"</f>
        <v>{s_taskTalk,{515,514}}</v>
      </c>
    </row>
    <row r="134" spans="1:49" s="66" customFormat="1" ht="72" x14ac:dyDescent="0.15">
      <c r="A134" s="65">
        <v>6225</v>
      </c>
      <c r="C134" s="69" t="s">
        <v>6899</v>
      </c>
      <c r="D134" s="66">
        <v>1</v>
      </c>
      <c r="E134" s="66">
        <v>0</v>
      </c>
      <c r="F134" s="66">
        <v>6</v>
      </c>
      <c r="G134" s="67">
        <v>46</v>
      </c>
      <c r="H134" s="32">
        <v>200</v>
      </c>
      <c r="I134" s="17">
        <v>0</v>
      </c>
      <c r="J134" s="67">
        <v>6253</v>
      </c>
      <c r="K134" s="66">
        <v>0</v>
      </c>
      <c r="L134" s="66">
        <v>514</v>
      </c>
      <c r="M134" s="66" t="s">
        <v>6854</v>
      </c>
      <c r="N134" s="66">
        <v>60007</v>
      </c>
      <c r="O134" s="66" t="s">
        <v>5119</v>
      </c>
      <c r="Q134" s="68"/>
      <c r="R134" s="68"/>
      <c r="S134" s="68"/>
      <c r="T134" s="68"/>
      <c r="U134" s="66">
        <v>1</v>
      </c>
      <c r="V134" s="66">
        <v>1</v>
      </c>
      <c r="W134" s="69">
        <v>5</v>
      </c>
      <c r="Z134" s="21">
        <f>VLOOKUP(G134,Sheet2!A:H,8,0)</f>
        <v>316987</v>
      </c>
      <c r="AB134" s="70"/>
      <c r="AC134" s="23">
        <f>VLOOKUP(G134,Sheet2!A$2:K$151,9,FALSE)</f>
        <v>733</v>
      </c>
      <c r="AF134" s="71" t="s">
        <v>6900</v>
      </c>
      <c r="AG134" s="71" t="s">
        <v>6898</v>
      </c>
      <c r="AH134" s="71" t="s">
        <v>5014</v>
      </c>
      <c r="AI134" s="71"/>
      <c r="AJ134" s="71" t="s">
        <v>7046</v>
      </c>
      <c r="AL134" s="67">
        <v>0</v>
      </c>
      <c r="AM134" s="66" t="s">
        <v>6262</v>
      </c>
      <c r="AN134" s="66" t="s">
        <v>6262</v>
      </c>
      <c r="AP134" s="66">
        <v>1</v>
      </c>
      <c r="AQ134" s="66">
        <v>0</v>
      </c>
      <c r="AR134" s="66">
        <v>1</v>
      </c>
      <c r="AS134" s="66">
        <v>1</v>
      </c>
      <c r="AU134" s="66">
        <v>0</v>
      </c>
      <c r="AV134" s="17">
        <f t="shared" si="35"/>
        <v>1</v>
      </c>
      <c r="AW134" s="66" t="str">
        <f t="shared" ref="AW134:AW154" si="52">"{s_taskTalk,{"&amp;L134&amp;","&amp;N134&amp;"}}"</f>
        <v>{s_taskTalk,{514,60007}}</v>
      </c>
    </row>
    <row r="135" spans="1:49" s="66" customFormat="1" ht="72" x14ac:dyDescent="0.15">
      <c r="A135" s="28">
        <v>6226</v>
      </c>
      <c r="B135" s="29"/>
      <c r="C135" s="29" t="s">
        <v>5013</v>
      </c>
      <c r="D135" s="29">
        <v>1</v>
      </c>
      <c r="E135" s="29">
        <v>0</v>
      </c>
      <c r="F135" s="29">
        <v>1</v>
      </c>
      <c r="G135" s="30">
        <v>200</v>
      </c>
      <c r="H135" s="29">
        <v>200</v>
      </c>
      <c r="I135" s="29">
        <v>0</v>
      </c>
      <c r="J135" s="30">
        <v>6225</v>
      </c>
      <c r="K135" s="29">
        <v>0</v>
      </c>
      <c r="L135" s="29">
        <v>60007</v>
      </c>
      <c r="M135" s="29" t="s">
        <v>4849</v>
      </c>
      <c r="N135" s="29">
        <v>60045</v>
      </c>
      <c r="O135" s="29" t="s">
        <v>5120</v>
      </c>
      <c r="Q135" s="68"/>
      <c r="R135" s="68"/>
      <c r="S135" s="68"/>
      <c r="T135" s="68"/>
      <c r="U135" s="66">
        <v>1</v>
      </c>
      <c r="V135" s="66">
        <v>1</v>
      </c>
      <c r="W135" s="69">
        <v>5</v>
      </c>
      <c r="Z135" s="21">
        <v>0</v>
      </c>
      <c r="AB135" s="70"/>
      <c r="AC135" s="23"/>
      <c r="AF135" s="71" t="s">
        <v>5015</v>
      </c>
      <c r="AG135" s="71" t="s">
        <v>5016</v>
      </c>
      <c r="AH135" s="71" t="s">
        <v>5017</v>
      </c>
      <c r="AI135" s="71"/>
      <c r="AJ135" s="71" t="s">
        <v>6563</v>
      </c>
      <c r="AL135" s="67">
        <v>0</v>
      </c>
      <c r="AM135" s="66" t="s">
        <v>6107</v>
      </c>
      <c r="AN135" s="66" t="s">
        <v>5461</v>
      </c>
      <c r="AP135" s="66">
        <v>1</v>
      </c>
      <c r="AQ135" s="66">
        <v>0</v>
      </c>
      <c r="AR135" s="66">
        <v>1</v>
      </c>
      <c r="AS135" s="66">
        <v>1</v>
      </c>
      <c r="AU135" s="66">
        <v>0</v>
      </c>
      <c r="AV135" s="17">
        <f t="shared" si="35"/>
        <v>1</v>
      </c>
      <c r="AW135" s="66" t="str">
        <f t="shared" si="52"/>
        <v>{s_taskTalk,{60007,60045}}</v>
      </c>
    </row>
    <row r="136" spans="1:49" s="66" customFormat="1" ht="84" x14ac:dyDescent="0.15">
      <c r="A136" s="28">
        <v>6227</v>
      </c>
      <c r="B136" s="29"/>
      <c r="C136" s="29" t="s">
        <v>5018</v>
      </c>
      <c r="D136" s="29">
        <v>1</v>
      </c>
      <c r="E136" s="29">
        <v>0</v>
      </c>
      <c r="F136" s="29">
        <v>1</v>
      </c>
      <c r="G136" s="30">
        <v>200</v>
      </c>
      <c r="H136" s="29">
        <v>200</v>
      </c>
      <c r="I136" s="29">
        <v>0</v>
      </c>
      <c r="J136" s="30">
        <v>6226</v>
      </c>
      <c r="K136" s="29">
        <v>0</v>
      </c>
      <c r="L136" s="29">
        <v>60045</v>
      </c>
      <c r="M136" s="29" t="s">
        <v>4850</v>
      </c>
      <c r="N136" s="29">
        <v>60007</v>
      </c>
      <c r="O136" s="29" t="s">
        <v>5119</v>
      </c>
      <c r="Q136" s="68">
        <v>2023</v>
      </c>
      <c r="R136" s="68"/>
      <c r="S136" s="68"/>
      <c r="T136" s="68"/>
      <c r="U136" s="66">
        <v>1</v>
      </c>
      <c r="V136" s="66">
        <v>0</v>
      </c>
      <c r="W136" s="69">
        <v>5</v>
      </c>
      <c r="Z136" s="21">
        <v>0</v>
      </c>
      <c r="AB136" s="70"/>
      <c r="AC136" s="23"/>
      <c r="AF136" s="71" t="s">
        <v>5020</v>
      </c>
      <c r="AG136" s="71" t="s">
        <v>5019</v>
      </c>
      <c r="AH136" s="71" t="s">
        <v>6337</v>
      </c>
      <c r="AI136" s="71" t="s">
        <v>5037</v>
      </c>
      <c r="AJ136" s="71" t="s">
        <v>6576</v>
      </c>
      <c r="AL136" s="67">
        <v>0</v>
      </c>
      <c r="AM136" s="66" t="s">
        <v>6338</v>
      </c>
      <c r="AN136" s="66" t="s">
        <v>6339</v>
      </c>
      <c r="AP136" s="66">
        <v>1</v>
      </c>
      <c r="AQ136" s="66">
        <v>0</v>
      </c>
      <c r="AR136" s="66">
        <v>1</v>
      </c>
      <c r="AS136" s="66">
        <v>1</v>
      </c>
      <c r="AU136" s="66">
        <v>0</v>
      </c>
      <c r="AV136" s="17">
        <f t="shared" si="35"/>
        <v>1</v>
      </c>
      <c r="AW136" s="66" t="str">
        <f t="shared" si="52"/>
        <v>{s_taskTalk,{60045,60007}}</v>
      </c>
    </row>
    <row r="137" spans="1:49" s="66" customFormat="1" ht="60" x14ac:dyDescent="0.15">
      <c r="A137" s="65">
        <v>6228</v>
      </c>
      <c r="C137" s="69" t="s">
        <v>6901</v>
      </c>
      <c r="D137" s="66">
        <v>1</v>
      </c>
      <c r="E137" s="66">
        <v>0</v>
      </c>
      <c r="F137" s="66">
        <v>1</v>
      </c>
      <c r="G137" s="67">
        <v>46</v>
      </c>
      <c r="H137" s="32">
        <v>200</v>
      </c>
      <c r="I137" s="17">
        <v>0</v>
      </c>
      <c r="J137" s="67">
        <v>6225</v>
      </c>
      <c r="K137" s="66">
        <v>0</v>
      </c>
      <c r="L137" s="66">
        <v>60007</v>
      </c>
      <c r="M137" s="66" t="s">
        <v>4849</v>
      </c>
      <c r="N137" s="66">
        <v>515</v>
      </c>
      <c r="O137" s="66" t="s">
        <v>5118</v>
      </c>
      <c r="Q137" s="68"/>
      <c r="R137" s="68"/>
      <c r="S137" s="68"/>
      <c r="T137" s="68"/>
      <c r="U137" s="66">
        <v>1</v>
      </c>
      <c r="V137" s="66">
        <v>1</v>
      </c>
      <c r="W137" s="69">
        <v>5</v>
      </c>
      <c r="Z137" s="21">
        <f>VLOOKUP(G137,Sheet2!A:H,8,0)</f>
        <v>316987</v>
      </c>
      <c r="AB137" s="70"/>
      <c r="AC137" s="23">
        <f>VLOOKUP(G137,Sheet2!A$2:K$151,9,FALSE)</f>
        <v>733</v>
      </c>
      <c r="AD137" s="32" t="s">
        <v>7162</v>
      </c>
      <c r="AF137" s="71" t="s">
        <v>6902</v>
      </c>
      <c r="AG137" s="71" t="s">
        <v>5021</v>
      </c>
      <c r="AH137" s="71" t="s">
        <v>5022</v>
      </c>
      <c r="AI137" s="71"/>
      <c r="AJ137" s="71" t="s">
        <v>7047</v>
      </c>
      <c r="AL137" s="67">
        <v>0</v>
      </c>
      <c r="AM137" s="66" t="s">
        <v>6263</v>
      </c>
      <c r="AN137" s="66" t="s">
        <v>6263</v>
      </c>
      <c r="AP137" s="66">
        <v>1</v>
      </c>
      <c r="AQ137" s="66">
        <v>0</v>
      </c>
      <c r="AR137" s="66">
        <v>1</v>
      </c>
      <c r="AS137" s="66">
        <v>1</v>
      </c>
      <c r="AU137" s="66">
        <v>0</v>
      </c>
      <c r="AV137" s="17">
        <f t="shared" si="35"/>
        <v>1</v>
      </c>
      <c r="AW137" s="66" t="str">
        <f t="shared" si="52"/>
        <v>{s_taskTalk,{60007,515}}</v>
      </c>
    </row>
    <row r="138" spans="1:49" s="66" customFormat="1" ht="72" x14ac:dyDescent="0.15">
      <c r="A138" s="65">
        <v>6229</v>
      </c>
      <c r="C138" s="66" t="s">
        <v>6903</v>
      </c>
      <c r="D138" s="66">
        <v>1</v>
      </c>
      <c r="E138" s="66">
        <v>0</v>
      </c>
      <c r="F138" s="66">
        <v>6</v>
      </c>
      <c r="G138" s="67">
        <v>47</v>
      </c>
      <c r="H138" s="32">
        <v>200</v>
      </c>
      <c r="I138" s="17">
        <v>0</v>
      </c>
      <c r="J138" s="67">
        <v>6228</v>
      </c>
      <c r="K138" s="66">
        <v>0</v>
      </c>
      <c r="L138" s="66">
        <v>515</v>
      </c>
      <c r="M138" s="66" t="s">
        <v>4851</v>
      </c>
      <c r="N138" s="66">
        <v>512</v>
      </c>
      <c r="O138" s="66" t="s">
        <v>5117</v>
      </c>
      <c r="Q138" s="68"/>
      <c r="R138" s="68"/>
      <c r="S138" s="68"/>
      <c r="T138" s="68"/>
      <c r="U138" s="66">
        <v>1</v>
      </c>
      <c r="V138" s="66">
        <v>1</v>
      </c>
      <c r="W138" s="69">
        <v>5</v>
      </c>
      <c r="Z138" s="21">
        <f>VLOOKUP(G138,Sheet2!A:H,8,0)</f>
        <v>327215</v>
      </c>
      <c r="AB138" s="70"/>
      <c r="AC138" s="23">
        <f>VLOOKUP(G138,Sheet2!A$2:K$151,9,FALSE)</f>
        <v>747</v>
      </c>
      <c r="AD138" s="32" t="s">
        <v>7162</v>
      </c>
      <c r="AF138" s="71" t="s">
        <v>6904</v>
      </c>
      <c r="AG138" s="71" t="s">
        <v>5023</v>
      </c>
      <c r="AH138" s="71" t="s">
        <v>7048</v>
      </c>
      <c r="AI138" s="71"/>
      <c r="AJ138" s="71" t="s">
        <v>7049</v>
      </c>
      <c r="AL138" s="67">
        <v>0</v>
      </c>
      <c r="AM138" s="66" t="s">
        <v>6108</v>
      </c>
      <c r="AN138" s="66" t="s">
        <v>5462</v>
      </c>
      <c r="AP138" s="66">
        <v>1</v>
      </c>
      <c r="AQ138" s="66">
        <v>0</v>
      </c>
      <c r="AR138" s="66">
        <v>1</v>
      </c>
      <c r="AS138" s="66">
        <v>1</v>
      </c>
      <c r="AU138" s="66">
        <v>0</v>
      </c>
      <c r="AV138" s="17">
        <f t="shared" si="35"/>
        <v>1</v>
      </c>
      <c r="AW138" s="66" t="str">
        <f t="shared" si="52"/>
        <v>{s_taskTalk,{515,512}}</v>
      </c>
    </row>
    <row r="139" spans="1:49" s="66" customFormat="1" ht="72" x14ac:dyDescent="0.15">
      <c r="A139" s="65">
        <v>6230</v>
      </c>
      <c r="C139" s="66" t="s">
        <v>6905</v>
      </c>
      <c r="D139" s="66">
        <v>1</v>
      </c>
      <c r="E139" s="66">
        <v>0</v>
      </c>
      <c r="F139" s="66">
        <v>6</v>
      </c>
      <c r="G139" s="67">
        <v>47</v>
      </c>
      <c r="H139" s="32">
        <v>200</v>
      </c>
      <c r="I139" s="17">
        <v>0</v>
      </c>
      <c r="J139" s="67">
        <v>6229</v>
      </c>
      <c r="K139" s="66">
        <v>0</v>
      </c>
      <c r="L139" s="66">
        <v>512</v>
      </c>
      <c r="M139" s="66" t="s">
        <v>4852</v>
      </c>
      <c r="N139" s="66">
        <v>512</v>
      </c>
      <c r="O139" s="66" t="s">
        <v>5117</v>
      </c>
      <c r="Q139" s="68">
        <v>2024</v>
      </c>
      <c r="R139" s="68"/>
      <c r="S139" s="68"/>
      <c r="T139" s="68"/>
      <c r="U139" s="66">
        <v>1</v>
      </c>
      <c r="V139" s="66">
        <v>0</v>
      </c>
      <c r="W139" s="69">
        <v>5</v>
      </c>
      <c r="Z139" s="21">
        <f>VLOOKUP(G139,Sheet2!A:H,8,0)</f>
        <v>327215</v>
      </c>
      <c r="AB139" s="70"/>
      <c r="AC139" s="23">
        <f>VLOOKUP(G139,Sheet2!A$2:K$151,9,FALSE)</f>
        <v>747</v>
      </c>
      <c r="AF139" s="71" t="s">
        <v>6906</v>
      </c>
      <c r="AG139" s="71" t="s">
        <v>5024</v>
      </c>
      <c r="AH139" s="71" t="s">
        <v>5025</v>
      </c>
      <c r="AI139" s="71" t="s">
        <v>5036</v>
      </c>
      <c r="AJ139" s="71" t="s">
        <v>6594</v>
      </c>
      <c r="AL139" s="67">
        <v>0</v>
      </c>
      <c r="AM139" s="66" t="s">
        <v>5026</v>
      </c>
      <c r="AN139" s="66" t="s">
        <v>5463</v>
      </c>
      <c r="AP139" s="66">
        <v>1</v>
      </c>
      <c r="AQ139" s="66">
        <v>0</v>
      </c>
      <c r="AR139" s="66">
        <v>1</v>
      </c>
      <c r="AS139" s="66">
        <v>1</v>
      </c>
      <c r="AU139" s="66">
        <v>0</v>
      </c>
      <c r="AV139" s="17">
        <f t="shared" si="35"/>
        <v>1</v>
      </c>
      <c r="AW139" s="66" t="str">
        <f t="shared" si="52"/>
        <v>{s_taskTalk,{512,512}}</v>
      </c>
    </row>
    <row r="140" spans="1:49" s="32" customFormat="1" ht="72" x14ac:dyDescent="0.15">
      <c r="A140" s="31">
        <v>6155</v>
      </c>
      <c r="C140" s="32" t="s">
        <v>7489</v>
      </c>
      <c r="D140" s="32">
        <v>1</v>
      </c>
      <c r="E140" s="32">
        <v>0</v>
      </c>
      <c r="F140" s="32">
        <v>2</v>
      </c>
      <c r="G140" s="33">
        <v>47</v>
      </c>
      <c r="H140" s="32">
        <v>200</v>
      </c>
      <c r="I140" s="17">
        <v>0</v>
      </c>
      <c r="J140" s="38">
        <v>6230</v>
      </c>
      <c r="K140" s="32">
        <v>0</v>
      </c>
      <c r="L140" s="66">
        <v>512</v>
      </c>
      <c r="M140" s="66" t="s">
        <v>5117</v>
      </c>
      <c r="N140" s="32">
        <v>576</v>
      </c>
      <c r="O140" s="32" t="s">
        <v>7477</v>
      </c>
      <c r="Q140" s="34"/>
      <c r="R140" s="34"/>
      <c r="S140" s="34"/>
      <c r="T140" s="34"/>
      <c r="U140" s="32">
        <v>1</v>
      </c>
      <c r="V140" s="32">
        <v>1</v>
      </c>
      <c r="W140" s="35">
        <v>5</v>
      </c>
      <c r="Z140" s="21">
        <f>VLOOKUP(G140,Sheet2!A:H,8,0)</f>
        <v>327215</v>
      </c>
      <c r="AB140" s="36"/>
      <c r="AC140" s="23">
        <f>VLOOKUP(G140,Sheet2!A$2:K$151,9,FALSE)</f>
        <v>747</v>
      </c>
      <c r="AF140" s="37" t="s">
        <v>7490</v>
      </c>
      <c r="AG140" s="37" t="s">
        <v>7478</v>
      </c>
      <c r="AH140" s="37" t="s">
        <v>7479</v>
      </c>
      <c r="AI140" s="37"/>
      <c r="AJ140" s="37" t="s">
        <v>7480</v>
      </c>
      <c r="AL140" s="33">
        <v>0</v>
      </c>
      <c r="AM140" s="32" t="s">
        <v>7481</v>
      </c>
      <c r="AN140" s="32" t="s">
        <v>7482</v>
      </c>
      <c r="AP140" s="32">
        <v>1</v>
      </c>
      <c r="AQ140" s="32">
        <v>0</v>
      </c>
      <c r="AR140" s="32">
        <v>1</v>
      </c>
      <c r="AS140" s="32">
        <v>1</v>
      </c>
      <c r="AU140" s="32">
        <v>0</v>
      </c>
      <c r="AV140" s="17">
        <f t="shared" ref="AV140" si="53">IF(D140 = 1,1,0)</f>
        <v>1</v>
      </c>
      <c r="AW140" s="32" t="str">
        <f t="shared" ref="AW140" si="54">"{s_taskTalk,{"&amp;L140&amp;","&amp;N140&amp;"}}"</f>
        <v>{s_taskTalk,{512,576}}</v>
      </c>
    </row>
    <row r="141" spans="1:49" s="66" customFormat="1" ht="72" x14ac:dyDescent="0.15">
      <c r="A141" s="65">
        <v>6231</v>
      </c>
      <c r="B141" s="29"/>
      <c r="C141" s="29" t="s">
        <v>5027</v>
      </c>
      <c r="D141" s="29">
        <v>1</v>
      </c>
      <c r="E141" s="29">
        <v>0</v>
      </c>
      <c r="F141" s="29">
        <v>6</v>
      </c>
      <c r="G141" s="30">
        <v>200</v>
      </c>
      <c r="H141" s="29">
        <v>200</v>
      </c>
      <c r="I141" s="29">
        <v>0</v>
      </c>
      <c r="J141" s="30">
        <v>6230</v>
      </c>
      <c r="K141" s="66">
        <v>0</v>
      </c>
      <c r="L141" s="66">
        <v>512</v>
      </c>
      <c r="M141" s="66" t="s">
        <v>4852</v>
      </c>
      <c r="N141" s="66">
        <v>515</v>
      </c>
      <c r="O141" s="66" t="s">
        <v>5118</v>
      </c>
      <c r="Q141" s="68">
        <v>2025</v>
      </c>
      <c r="R141" s="68"/>
      <c r="S141" s="68"/>
      <c r="T141" s="68"/>
      <c r="U141" s="66">
        <v>1</v>
      </c>
      <c r="V141" s="66">
        <v>0</v>
      </c>
      <c r="W141" s="69">
        <v>5</v>
      </c>
      <c r="Z141" s="21">
        <v>0</v>
      </c>
      <c r="AB141" s="70"/>
      <c r="AC141" s="23"/>
      <c r="AF141" s="71" t="s">
        <v>5028</v>
      </c>
      <c r="AG141" s="71" t="s">
        <v>5029</v>
      </c>
      <c r="AH141" s="71" t="s">
        <v>5030</v>
      </c>
      <c r="AI141" s="71" t="s">
        <v>5035</v>
      </c>
      <c r="AJ141" s="71" t="s">
        <v>6593</v>
      </c>
      <c r="AL141" s="67">
        <v>0</v>
      </c>
      <c r="AM141" s="66" t="s">
        <v>5031</v>
      </c>
      <c r="AN141" s="66" t="s">
        <v>5464</v>
      </c>
      <c r="AP141" s="66">
        <v>1</v>
      </c>
      <c r="AQ141" s="66">
        <v>0</v>
      </c>
      <c r="AR141" s="66">
        <v>1</v>
      </c>
      <c r="AS141" s="66">
        <v>1</v>
      </c>
      <c r="AU141" s="66">
        <v>0</v>
      </c>
      <c r="AV141" s="17">
        <f t="shared" si="35"/>
        <v>1</v>
      </c>
      <c r="AW141" s="66" t="str">
        <f t="shared" si="52"/>
        <v>{s_taskTalk,{512,515}}</v>
      </c>
    </row>
    <row r="142" spans="1:49" s="66" customFormat="1" ht="72" x14ac:dyDescent="0.15">
      <c r="A142" s="65">
        <v>6232</v>
      </c>
      <c r="C142" s="66" t="s">
        <v>6934</v>
      </c>
      <c r="D142" s="66">
        <v>1</v>
      </c>
      <c r="E142" s="66">
        <v>0</v>
      </c>
      <c r="F142" s="66">
        <v>6</v>
      </c>
      <c r="G142" s="67">
        <v>48</v>
      </c>
      <c r="H142" s="32">
        <v>200</v>
      </c>
      <c r="I142" s="17">
        <v>0</v>
      </c>
      <c r="J142" s="67">
        <v>6155</v>
      </c>
      <c r="K142" s="66">
        <v>0</v>
      </c>
      <c r="L142" s="66">
        <v>512</v>
      </c>
      <c r="M142" s="66" t="s">
        <v>5117</v>
      </c>
      <c r="N142" s="66">
        <v>514</v>
      </c>
      <c r="O142" s="66" t="s">
        <v>6854</v>
      </c>
      <c r="Q142" s="68"/>
      <c r="R142" s="68"/>
      <c r="S142" s="68"/>
      <c r="T142" s="68"/>
      <c r="U142" s="66">
        <v>1</v>
      </c>
      <c r="V142" s="66">
        <v>1</v>
      </c>
      <c r="W142" s="69">
        <v>5</v>
      </c>
      <c r="Z142" s="21">
        <f>VLOOKUP(G142,Sheet2!A:H,8,0)</f>
        <v>506330</v>
      </c>
      <c r="AB142" s="70"/>
      <c r="AC142" s="23">
        <f>VLOOKUP(G142,Sheet2!A$2:K$151,9,FALSE)</f>
        <v>1140</v>
      </c>
      <c r="AF142" s="71" t="s">
        <v>7154</v>
      </c>
      <c r="AG142" s="71" t="s">
        <v>6907</v>
      </c>
      <c r="AH142" s="71" t="s">
        <v>6908</v>
      </c>
      <c r="AI142" s="71"/>
      <c r="AJ142" s="71" t="s">
        <v>7050</v>
      </c>
      <c r="AL142" s="67">
        <v>0</v>
      </c>
      <c r="AM142" s="66" t="s">
        <v>6950</v>
      </c>
      <c r="AN142" s="66" t="s">
        <v>6949</v>
      </c>
      <c r="AP142" s="66">
        <v>1</v>
      </c>
      <c r="AQ142" s="66">
        <v>0</v>
      </c>
      <c r="AR142" s="66">
        <v>1</v>
      </c>
      <c r="AS142" s="66">
        <v>1</v>
      </c>
      <c r="AU142" s="66">
        <v>0</v>
      </c>
      <c r="AV142" s="17">
        <f t="shared" si="35"/>
        <v>1</v>
      </c>
      <c r="AW142" s="66" t="str">
        <f t="shared" si="52"/>
        <v>{s_taskTalk,{512,514}}</v>
      </c>
    </row>
    <row r="143" spans="1:49" s="66" customFormat="1" ht="72" x14ac:dyDescent="0.15">
      <c r="A143" s="65">
        <v>6233</v>
      </c>
      <c r="C143" s="63" t="s">
        <v>6915</v>
      </c>
      <c r="D143" s="66">
        <v>1</v>
      </c>
      <c r="E143" s="66">
        <v>0</v>
      </c>
      <c r="F143" s="66">
        <v>6</v>
      </c>
      <c r="G143" s="67">
        <v>48</v>
      </c>
      <c r="H143" s="32">
        <v>200</v>
      </c>
      <c r="I143" s="17">
        <v>0</v>
      </c>
      <c r="J143" s="67">
        <v>6232</v>
      </c>
      <c r="K143" s="66">
        <v>0</v>
      </c>
      <c r="L143" s="66">
        <v>514</v>
      </c>
      <c r="M143" s="66" t="s">
        <v>6854</v>
      </c>
      <c r="N143" s="66">
        <v>514</v>
      </c>
      <c r="O143" s="66" t="s">
        <v>6854</v>
      </c>
      <c r="Q143" s="68"/>
      <c r="R143" s="68"/>
      <c r="S143" s="68">
        <v>10009</v>
      </c>
      <c r="T143" s="68"/>
      <c r="U143" s="66">
        <v>25</v>
      </c>
      <c r="V143" s="66">
        <v>0</v>
      </c>
      <c r="W143" s="69">
        <v>5</v>
      </c>
      <c r="Z143" s="21">
        <f>VLOOKUP(G143,Sheet2!A:H,8,0)</f>
        <v>506330</v>
      </c>
      <c r="AB143" s="70"/>
      <c r="AC143" s="23">
        <f>VLOOKUP(G143,Sheet2!A$2:K$151,9,FALSE)</f>
        <v>1140</v>
      </c>
      <c r="AF143" s="71" t="s">
        <v>6916</v>
      </c>
      <c r="AG143" s="71" t="s">
        <v>6909</v>
      </c>
      <c r="AH143" s="71" t="s">
        <v>6910</v>
      </c>
      <c r="AI143" s="71" t="s">
        <v>6911</v>
      </c>
      <c r="AJ143" s="71" t="s">
        <v>6912</v>
      </c>
      <c r="AL143" s="67">
        <v>0</v>
      </c>
      <c r="AM143" s="66" t="s">
        <v>6913</v>
      </c>
      <c r="AN143" s="66" t="s">
        <v>6914</v>
      </c>
      <c r="AP143" s="66">
        <v>1</v>
      </c>
      <c r="AQ143" s="66">
        <v>0</v>
      </c>
      <c r="AR143" s="66">
        <v>1</v>
      </c>
      <c r="AS143" s="66">
        <v>1</v>
      </c>
      <c r="AU143" s="66">
        <v>0</v>
      </c>
      <c r="AV143" s="17">
        <f t="shared" si="35"/>
        <v>1</v>
      </c>
      <c r="AW143" s="66" t="str">
        <f>"{s_taskKillNpc, {"&amp;L143&amp;","&amp;N143&amp;","&amp;S143&amp;","&amp;U143&amp;"}}"</f>
        <v>{s_taskKillNpc, {514,514,10009,25}}</v>
      </c>
    </row>
    <row r="144" spans="1:49" s="66" customFormat="1" ht="84" x14ac:dyDescent="0.15">
      <c r="A144" s="28">
        <v>6234</v>
      </c>
      <c r="B144" s="29"/>
      <c r="C144" s="29" t="s">
        <v>5032</v>
      </c>
      <c r="D144" s="29">
        <v>1</v>
      </c>
      <c r="E144" s="29">
        <v>0</v>
      </c>
      <c r="F144" s="29">
        <v>6</v>
      </c>
      <c r="G144" s="30">
        <v>200</v>
      </c>
      <c r="H144" s="29">
        <v>200</v>
      </c>
      <c r="I144" s="29">
        <v>0</v>
      </c>
      <c r="J144" s="30">
        <v>6233</v>
      </c>
      <c r="K144" s="66">
        <v>0</v>
      </c>
      <c r="L144" s="66">
        <v>519</v>
      </c>
      <c r="M144" s="66" t="s">
        <v>4853</v>
      </c>
      <c r="N144" s="66">
        <v>519</v>
      </c>
      <c r="O144" s="66" t="s">
        <v>5121</v>
      </c>
      <c r="Q144" s="68"/>
      <c r="R144" s="68"/>
      <c r="S144" s="68"/>
      <c r="T144" s="68"/>
      <c r="U144" s="66">
        <v>1</v>
      </c>
      <c r="V144" s="66">
        <v>1</v>
      </c>
      <c r="W144" s="69">
        <v>5</v>
      </c>
      <c r="Z144" s="21">
        <v>0</v>
      </c>
      <c r="AB144" s="70"/>
      <c r="AC144" s="23"/>
      <c r="AF144" s="71" t="s">
        <v>5033</v>
      </c>
      <c r="AG144" s="71" t="s">
        <v>5034</v>
      </c>
      <c r="AH144" s="71" t="s">
        <v>6856</v>
      </c>
      <c r="AI144" s="71"/>
      <c r="AJ144" s="71" t="s">
        <v>6577</v>
      </c>
      <c r="AL144" s="67">
        <v>0</v>
      </c>
      <c r="AM144" s="66" t="s">
        <v>6109</v>
      </c>
      <c r="AN144" s="66" t="s">
        <v>5465</v>
      </c>
      <c r="AP144" s="66">
        <v>1</v>
      </c>
      <c r="AQ144" s="66">
        <v>0</v>
      </c>
      <c r="AR144" s="66">
        <v>1</v>
      </c>
      <c r="AS144" s="66">
        <v>1</v>
      </c>
      <c r="AU144" s="66">
        <v>0</v>
      </c>
      <c r="AV144" s="17">
        <f t="shared" si="35"/>
        <v>1</v>
      </c>
      <c r="AW144" s="66" t="str">
        <f t="shared" si="52"/>
        <v>{s_taskTalk,{519,519}}</v>
      </c>
    </row>
    <row r="145" spans="1:49" s="66" customFormat="1" ht="72" x14ac:dyDescent="0.15">
      <c r="A145" s="65">
        <v>6235</v>
      </c>
      <c r="C145" s="66" t="s">
        <v>6935</v>
      </c>
      <c r="D145" s="66">
        <v>1</v>
      </c>
      <c r="E145" s="66">
        <v>0</v>
      </c>
      <c r="F145" s="66">
        <v>6</v>
      </c>
      <c r="G145" s="67">
        <v>49</v>
      </c>
      <c r="H145" s="32">
        <v>200</v>
      </c>
      <c r="I145" s="17">
        <v>0</v>
      </c>
      <c r="J145" s="67">
        <v>6233</v>
      </c>
      <c r="K145" s="66">
        <v>0</v>
      </c>
      <c r="L145" s="66">
        <v>514</v>
      </c>
      <c r="M145" s="66" t="s">
        <v>6854</v>
      </c>
      <c r="N145" s="66">
        <v>520</v>
      </c>
      <c r="O145" s="66" t="s">
        <v>5122</v>
      </c>
      <c r="Q145" s="68"/>
      <c r="R145" s="68"/>
      <c r="S145" s="68"/>
      <c r="T145" s="68"/>
      <c r="U145" s="66">
        <v>1</v>
      </c>
      <c r="V145" s="66">
        <v>1</v>
      </c>
      <c r="W145" s="69">
        <v>5</v>
      </c>
      <c r="Z145" s="21">
        <f>VLOOKUP(G145,Sheet2!A:H,8,0)</f>
        <v>348000</v>
      </c>
      <c r="AB145" s="70"/>
      <c r="AC145" s="23">
        <f>VLOOKUP(G145,Sheet2!A$2:K$151,9,FALSE)</f>
        <v>773</v>
      </c>
      <c r="AF145" s="71" t="s">
        <v>6942</v>
      </c>
      <c r="AG145" s="71" t="s">
        <v>6918</v>
      </c>
      <c r="AH145" s="71" t="s">
        <v>6919</v>
      </c>
      <c r="AI145" s="71"/>
      <c r="AJ145" s="71" t="s">
        <v>7051</v>
      </c>
      <c r="AL145" s="67">
        <v>0</v>
      </c>
      <c r="AM145" s="66" t="s">
        <v>6110</v>
      </c>
      <c r="AN145" s="66" t="s">
        <v>5466</v>
      </c>
      <c r="AP145" s="66">
        <v>1</v>
      </c>
      <c r="AQ145" s="66">
        <v>0</v>
      </c>
      <c r="AR145" s="66">
        <v>1</v>
      </c>
      <c r="AS145" s="66">
        <v>1</v>
      </c>
      <c r="AU145" s="66">
        <v>0</v>
      </c>
      <c r="AV145" s="17">
        <f t="shared" si="35"/>
        <v>1</v>
      </c>
      <c r="AW145" s="66" t="str">
        <f t="shared" si="52"/>
        <v>{s_taskTalk,{514,520}}</v>
      </c>
    </row>
    <row r="146" spans="1:49" s="66" customFormat="1" ht="72" x14ac:dyDescent="0.15">
      <c r="A146" s="65">
        <v>6236</v>
      </c>
      <c r="C146" s="66" t="s">
        <v>6936</v>
      </c>
      <c r="D146" s="66">
        <v>1</v>
      </c>
      <c r="E146" s="66">
        <v>0</v>
      </c>
      <c r="F146" s="66">
        <v>6</v>
      </c>
      <c r="G146" s="67">
        <v>49</v>
      </c>
      <c r="H146" s="32">
        <v>200</v>
      </c>
      <c r="I146" s="17">
        <v>0</v>
      </c>
      <c r="J146" s="67">
        <v>6235</v>
      </c>
      <c r="K146" s="66">
        <v>0</v>
      </c>
      <c r="L146" s="66">
        <v>520</v>
      </c>
      <c r="M146" s="66" t="s">
        <v>4854</v>
      </c>
      <c r="N146" s="66">
        <v>520</v>
      </c>
      <c r="O146" s="66" t="s">
        <v>5122</v>
      </c>
      <c r="Q146" s="68">
        <v>2026</v>
      </c>
      <c r="R146" s="68"/>
      <c r="S146" s="68"/>
      <c r="T146" s="68"/>
      <c r="U146" s="66">
        <v>1</v>
      </c>
      <c r="V146" s="66">
        <v>0</v>
      </c>
      <c r="W146" s="69">
        <v>5</v>
      </c>
      <c r="Z146" s="21">
        <f>VLOOKUP(G146,Sheet2!A:H,8,0)</f>
        <v>348000</v>
      </c>
      <c r="AB146" s="70"/>
      <c r="AC146" s="23">
        <f>VLOOKUP(G146,Sheet2!A$2:K$151,9,FALSE)</f>
        <v>773</v>
      </c>
      <c r="AF146" s="71" t="s">
        <v>6941</v>
      </c>
      <c r="AG146" s="71" t="s">
        <v>6920</v>
      </c>
      <c r="AH146" s="71" t="s">
        <v>5041</v>
      </c>
      <c r="AI146" s="71"/>
      <c r="AJ146" s="71" t="s">
        <v>7052</v>
      </c>
      <c r="AL146" s="67">
        <v>0</v>
      </c>
      <c r="AM146" s="66" t="s">
        <v>6132</v>
      </c>
      <c r="AN146" s="66" t="s">
        <v>5467</v>
      </c>
      <c r="AO146" s="32" t="s">
        <v>7528</v>
      </c>
      <c r="AP146" s="66">
        <v>1</v>
      </c>
      <c r="AQ146" s="66">
        <v>0</v>
      </c>
      <c r="AR146" s="66">
        <v>1</v>
      </c>
      <c r="AS146" s="66">
        <v>1</v>
      </c>
      <c r="AU146" s="66">
        <v>0</v>
      </c>
      <c r="AV146" s="17">
        <f t="shared" si="35"/>
        <v>1</v>
      </c>
      <c r="AW146" s="66" t="str">
        <f t="shared" si="52"/>
        <v>{s_taskTalk,{520,520}}</v>
      </c>
    </row>
    <row r="147" spans="1:49" s="66" customFormat="1" ht="72" x14ac:dyDescent="0.15">
      <c r="A147" s="28">
        <v>6237</v>
      </c>
      <c r="B147" s="29"/>
      <c r="C147" s="29" t="s">
        <v>6917</v>
      </c>
      <c r="D147" s="29">
        <v>1</v>
      </c>
      <c r="E147" s="29">
        <v>0</v>
      </c>
      <c r="F147" s="29">
        <v>6</v>
      </c>
      <c r="G147" s="30">
        <v>200</v>
      </c>
      <c r="H147" s="29">
        <v>200</v>
      </c>
      <c r="I147" s="29">
        <v>0</v>
      </c>
      <c r="J147" s="30">
        <v>6236</v>
      </c>
      <c r="K147" s="29">
        <v>0</v>
      </c>
      <c r="L147" s="29">
        <v>520</v>
      </c>
      <c r="M147" s="29" t="s">
        <v>4854</v>
      </c>
      <c r="N147" s="66">
        <v>520</v>
      </c>
      <c r="O147" s="66" t="s">
        <v>5122</v>
      </c>
      <c r="Q147" s="68">
        <v>2027</v>
      </c>
      <c r="R147" s="68"/>
      <c r="S147" s="68"/>
      <c r="T147" s="68"/>
      <c r="U147" s="66">
        <v>1</v>
      </c>
      <c r="V147" s="66">
        <v>0</v>
      </c>
      <c r="W147" s="69">
        <v>5</v>
      </c>
      <c r="Z147" s="21">
        <v>0</v>
      </c>
      <c r="AB147" s="70"/>
      <c r="AC147" s="23"/>
      <c r="AF147" s="71" t="s">
        <v>5313</v>
      </c>
      <c r="AG147" s="71" t="s">
        <v>5042</v>
      </c>
      <c r="AH147" s="71" t="s">
        <v>5043</v>
      </c>
      <c r="AI147" s="71"/>
      <c r="AJ147" s="71" t="s">
        <v>6579</v>
      </c>
      <c r="AL147" s="67">
        <v>0</v>
      </c>
      <c r="AM147" s="66" t="s">
        <v>5044</v>
      </c>
      <c r="AN147" s="66" t="s">
        <v>5468</v>
      </c>
      <c r="AP147" s="66">
        <v>1</v>
      </c>
      <c r="AQ147" s="66">
        <v>0</v>
      </c>
      <c r="AR147" s="66">
        <v>1</v>
      </c>
      <c r="AS147" s="66">
        <v>1</v>
      </c>
      <c r="AU147" s="66">
        <v>0</v>
      </c>
      <c r="AV147" s="17">
        <f t="shared" si="35"/>
        <v>1</v>
      </c>
      <c r="AW147" s="66" t="str">
        <f t="shared" si="52"/>
        <v>{s_taskTalk,{520,520}}</v>
      </c>
    </row>
    <row r="148" spans="1:49" s="66" customFormat="1" ht="72" x14ac:dyDescent="0.15">
      <c r="A148" s="65">
        <v>6238</v>
      </c>
      <c r="C148" s="66" t="s">
        <v>6921</v>
      </c>
      <c r="D148" s="66">
        <v>1</v>
      </c>
      <c r="E148" s="66">
        <v>0</v>
      </c>
      <c r="F148" s="66">
        <v>6</v>
      </c>
      <c r="G148" s="67">
        <v>49</v>
      </c>
      <c r="H148" s="32">
        <v>200</v>
      </c>
      <c r="I148" s="17">
        <v>0</v>
      </c>
      <c r="J148" s="67">
        <v>6236</v>
      </c>
      <c r="K148" s="66">
        <v>0</v>
      </c>
      <c r="L148" s="66">
        <v>520</v>
      </c>
      <c r="M148" s="66" t="s">
        <v>4854</v>
      </c>
      <c r="N148" s="66">
        <v>514</v>
      </c>
      <c r="O148" s="66" t="s">
        <v>6854</v>
      </c>
      <c r="Q148" s="68"/>
      <c r="R148" s="68"/>
      <c r="S148" s="68"/>
      <c r="T148" s="68"/>
      <c r="U148" s="66">
        <v>1</v>
      </c>
      <c r="V148" s="66">
        <v>1</v>
      </c>
      <c r="W148" s="69">
        <v>5</v>
      </c>
      <c r="Z148" s="21">
        <f>VLOOKUP(G148,Sheet2!A:H,8,0)</f>
        <v>348000</v>
      </c>
      <c r="AB148" s="70"/>
      <c r="AC148" s="23">
        <f>VLOOKUP(G148,Sheet2!A$2:K$151,9,FALSE)</f>
        <v>773</v>
      </c>
      <c r="AD148" s="32" t="s">
        <v>7164</v>
      </c>
      <c r="AF148" s="71" t="s">
        <v>6922</v>
      </c>
      <c r="AG148" s="71" t="s">
        <v>6923</v>
      </c>
      <c r="AH148" s="71" t="s">
        <v>6924</v>
      </c>
      <c r="AI148" s="71"/>
      <c r="AJ148" s="71" t="s">
        <v>7111</v>
      </c>
      <c r="AL148" s="67">
        <v>0</v>
      </c>
      <c r="AM148" s="66" t="s">
        <v>6111</v>
      </c>
      <c r="AN148" s="66" t="s">
        <v>5469</v>
      </c>
      <c r="AP148" s="66">
        <v>1</v>
      </c>
      <c r="AQ148" s="66">
        <v>0</v>
      </c>
      <c r="AR148" s="66">
        <v>1</v>
      </c>
      <c r="AS148" s="66">
        <v>1</v>
      </c>
      <c r="AU148" s="66">
        <v>0</v>
      </c>
      <c r="AV148" s="17">
        <f t="shared" si="35"/>
        <v>1</v>
      </c>
      <c r="AW148" s="66" t="str">
        <f t="shared" si="52"/>
        <v>{s_taskTalk,{520,514}}</v>
      </c>
    </row>
    <row r="149" spans="1:49" s="66" customFormat="1" ht="72" x14ac:dyDescent="0.15">
      <c r="A149" s="65">
        <v>6239</v>
      </c>
      <c r="C149" s="63" t="s">
        <v>6937</v>
      </c>
      <c r="D149" s="66">
        <v>1</v>
      </c>
      <c r="E149" s="66">
        <v>0</v>
      </c>
      <c r="F149" s="66">
        <v>6</v>
      </c>
      <c r="G149" s="67">
        <v>50</v>
      </c>
      <c r="H149" s="32">
        <v>200</v>
      </c>
      <c r="I149" s="17">
        <v>0</v>
      </c>
      <c r="J149" s="67">
        <v>6238</v>
      </c>
      <c r="K149" s="66">
        <v>0</v>
      </c>
      <c r="L149" s="66">
        <v>514</v>
      </c>
      <c r="M149" s="66" t="s">
        <v>6854</v>
      </c>
      <c r="N149" s="66">
        <v>514</v>
      </c>
      <c r="O149" s="66" t="s">
        <v>6854</v>
      </c>
      <c r="Q149" s="68"/>
      <c r="R149" s="68"/>
      <c r="S149" s="68">
        <v>10011</v>
      </c>
      <c r="T149" s="68"/>
      <c r="U149" s="66">
        <v>30</v>
      </c>
      <c r="V149" s="66">
        <v>0</v>
      </c>
      <c r="W149" s="69">
        <v>5</v>
      </c>
      <c r="Z149" s="21">
        <f>VLOOKUP(G149,Sheet2!A:H,8,0)</f>
        <v>358553</v>
      </c>
      <c r="AB149" s="70"/>
      <c r="AC149" s="23">
        <f>VLOOKUP(G149,Sheet2!A$2:K$151,9,FALSE)</f>
        <v>787</v>
      </c>
      <c r="AF149" s="71" t="s">
        <v>6940</v>
      </c>
      <c r="AG149" s="71" t="s">
        <v>6925</v>
      </c>
      <c r="AH149" s="71" t="s">
        <v>6926</v>
      </c>
      <c r="AI149" s="71"/>
      <c r="AJ149" s="71" t="s">
        <v>7053</v>
      </c>
      <c r="AL149" s="67">
        <v>0</v>
      </c>
      <c r="AM149" s="66" t="s">
        <v>5045</v>
      </c>
      <c r="AN149" s="66" t="s">
        <v>5470</v>
      </c>
      <c r="AP149" s="66">
        <v>1</v>
      </c>
      <c r="AQ149" s="66">
        <v>0</v>
      </c>
      <c r="AR149" s="66">
        <v>1</v>
      </c>
      <c r="AS149" s="66">
        <v>1</v>
      </c>
      <c r="AU149" s="66">
        <v>0</v>
      </c>
      <c r="AV149" s="17">
        <f t="shared" si="35"/>
        <v>1</v>
      </c>
      <c r="AW149" s="66" t="str">
        <f>"{s_taskKillNpc, {"&amp;L149&amp;","&amp;N149&amp;","&amp;S149&amp;","&amp;U149&amp;"}}"</f>
        <v>{s_taskKillNpc, {514,514,10011,30}}</v>
      </c>
    </row>
    <row r="150" spans="1:49" s="66" customFormat="1" ht="72" x14ac:dyDescent="0.15">
      <c r="A150" s="28">
        <v>6240</v>
      </c>
      <c r="B150" s="29"/>
      <c r="C150" s="29" t="s">
        <v>6927</v>
      </c>
      <c r="D150" s="29">
        <v>1</v>
      </c>
      <c r="E150" s="29">
        <v>0</v>
      </c>
      <c r="F150" s="29">
        <v>6</v>
      </c>
      <c r="G150" s="30">
        <v>200</v>
      </c>
      <c r="H150" s="29">
        <v>200</v>
      </c>
      <c r="I150" s="29">
        <v>0</v>
      </c>
      <c r="J150" s="30">
        <v>6239</v>
      </c>
      <c r="K150" s="29">
        <v>0</v>
      </c>
      <c r="L150" s="29">
        <v>514</v>
      </c>
      <c r="M150" s="29" t="s">
        <v>6854</v>
      </c>
      <c r="N150" s="29">
        <v>501</v>
      </c>
      <c r="O150" s="66" t="s">
        <v>4855</v>
      </c>
      <c r="Q150" s="68"/>
      <c r="R150" s="68"/>
      <c r="S150" s="68"/>
      <c r="T150" s="68"/>
      <c r="U150" s="66">
        <v>1</v>
      </c>
      <c r="V150" s="66">
        <v>1</v>
      </c>
      <c r="W150" s="69">
        <v>5</v>
      </c>
      <c r="Z150" s="21">
        <v>0</v>
      </c>
      <c r="AB150" s="70"/>
      <c r="AC150" s="23"/>
      <c r="AF150" s="71" t="s">
        <v>5047</v>
      </c>
      <c r="AG150" s="71" t="s">
        <v>5046</v>
      </c>
      <c r="AH150" s="71" t="s">
        <v>5048</v>
      </c>
      <c r="AI150" s="71"/>
      <c r="AJ150" s="71" t="s">
        <v>6570</v>
      </c>
      <c r="AL150" s="67">
        <v>0</v>
      </c>
      <c r="AM150" s="66" t="s">
        <v>6264</v>
      </c>
      <c r="AN150" s="66" t="s">
        <v>6264</v>
      </c>
      <c r="AP150" s="66">
        <v>1</v>
      </c>
      <c r="AQ150" s="66">
        <v>0</v>
      </c>
      <c r="AR150" s="66">
        <v>1</v>
      </c>
      <c r="AS150" s="66">
        <v>1</v>
      </c>
      <c r="AU150" s="66">
        <v>0</v>
      </c>
      <c r="AV150" s="17">
        <f t="shared" si="35"/>
        <v>1</v>
      </c>
      <c r="AW150" s="66" t="str">
        <f t="shared" si="52"/>
        <v>{s_taskTalk,{514,501}}</v>
      </c>
    </row>
    <row r="151" spans="1:49" s="66" customFormat="1" ht="72" x14ac:dyDescent="0.15">
      <c r="A151" s="28">
        <v>6241</v>
      </c>
      <c r="B151" s="29"/>
      <c r="C151" s="29" t="s">
        <v>5342</v>
      </c>
      <c r="D151" s="29">
        <v>1</v>
      </c>
      <c r="E151" s="29">
        <v>0</v>
      </c>
      <c r="F151" s="29">
        <v>2</v>
      </c>
      <c r="G151" s="30">
        <v>200</v>
      </c>
      <c r="H151" s="29">
        <v>200</v>
      </c>
      <c r="I151" s="29">
        <v>0</v>
      </c>
      <c r="J151" s="30">
        <v>6240</v>
      </c>
      <c r="K151" s="29">
        <v>0</v>
      </c>
      <c r="L151" s="29">
        <v>501</v>
      </c>
      <c r="M151" s="29" t="s">
        <v>4855</v>
      </c>
      <c r="N151" s="29">
        <v>501</v>
      </c>
      <c r="O151" s="66" t="s">
        <v>4855</v>
      </c>
      <c r="Q151" s="68"/>
      <c r="R151" s="68"/>
      <c r="S151" s="68">
        <v>10501</v>
      </c>
      <c r="T151" s="68"/>
      <c r="U151" s="66">
        <v>1</v>
      </c>
      <c r="V151" s="66">
        <v>0</v>
      </c>
      <c r="W151" s="69">
        <v>5</v>
      </c>
      <c r="Z151" s="21">
        <v>0</v>
      </c>
      <c r="AB151" s="70"/>
      <c r="AC151" s="23"/>
      <c r="AF151" s="71" t="s">
        <v>5343</v>
      </c>
      <c r="AG151" s="71" t="s">
        <v>5344</v>
      </c>
      <c r="AH151" s="71" t="s">
        <v>5049</v>
      </c>
      <c r="AI151" s="71"/>
      <c r="AJ151" s="71" t="s">
        <v>6580</v>
      </c>
      <c r="AL151" s="67">
        <v>0</v>
      </c>
      <c r="AM151" s="66" t="s">
        <v>5377</v>
      </c>
      <c r="AN151" s="66" t="s">
        <v>5471</v>
      </c>
      <c r="AP151" s="66">
        <v>1</v>
      </c>
      <c r="AQ151" s="66">
        <v>0</v>
      </c>
      <c r="AR151" s="66">
        <v>1</v>
      </c>
      <c r="AS151" s="66">
        <v>1</v>
      </c>
      <c r="AU151" s="66">
        <v>0</v>
      </c>
      <c r="AV151" s="17">
        <f t="shared" si="35"/>
        <v>1</v>
      </c>
      <c r="AW151" s="66" t="str">
        <f>"{s_taskKillNpc, {"&amp;L151&amp;","&amp;N151&amp;","&amp;S151&amp;","&amp;U151&amp;"}}"</f>
        <v>{s_taskKillNpc, {501,501,10501,1}}</v>
      </c>
    </row>
    <row r="152" spans="1:49" s="66" customFormat="1" ht="60" x14ac:dyDescent="0.15">
      <c r="A152" s="28">
        <v>6242</v>
      </c>
      <c r="B152" s="29"/>
      <c r="C152" s="29" t="s">
        <v>5050</v>
      </c>
      <c r="D152" s="29">
        <v>1</v>
      </c>
      <c r="E152" s="29">
        <v>0</v>
      </c>
      <c r="F152" s="29">
        <v>2</v>
      </c>
      <c r="G152" s="30">
        <v>200</v>
      </c>
      <c r="H152" s="29">
        <v>200</v>
      </c>
      <c r="I152" s="29">
        <v>0</v>
      </c>
      <c r="J152" s="30">
        <v>6241</v>
      </c>
      <c r="K152" s="29">
        <v>0</v>
      </c>
      <c r="L152" s="29">
        <v>501</v>
      </c>
      <c r="M152" s="29" t="s">
        <v>4855</v>
      </c>
      <c r="N152" s="29">
        <v>514</v>
      </c>
      <c r="O152" s="29" t="s">
        <v>6854</v>
      </c>
      <c r="Q152" s="68"/>
      <c r="R152" s="68"/>
      <c r="S152" s="68"/>
      <c r="T152" s="68"/>
      <c r="U152" s="66">
        <v>1</v>
      </c>
      <c r="V152" s="66">
        <v>1</v>
      </c>
      <c r="W152" s="69">
        <v>5</v>
      </c>
      <c r="Z152" s="21">
        <v>0</v>
      </c>
      <c r="AB152" s="70"/>
      <c r="AC152" s="23"/>
      <c r="AF152" s="71" t="s">
        <v>6857</v>
      </c>
      <c r="AG152" s="71" t="s">
        <v>6858</v>
      </c>
      <c r="AH152" s="71" t="s">
        <v>5051</v>
      </c>
      <c r="AI152" s="71"/>
      <c r="AJ152" s="71" t="s">
        <v>6855</v>
      </c>
      <c r="AL152" s="67">
        <v>0</v>
      </c>
      <c r="AM152" s="66" t="s">
        <v>6294</v>
      </c>
      <c r="AN152" s="66" t="s">
        <v>6294</v>
      </c>
      <c r="AP152" s="66">
        <v>1</v>
      </c>
      <c r="AQ152" s="66">
        <v>0</v>
      </c>
      <c r="AR152" s="66">
        <v>1</v>
      </c>
      <c r="AS152" s="66">
        <v>1</v>
      </c>
      <c r="AU152" s="66">
        <v>0</v>
      </c>
      <c r="AV152" s="17">
        <f t="shared" si="35"/>
        <v>1</v>
      </c>
      <c r="AW152" s="66" t="str">
        <f t="shared" si="52"/>
        <v>{s_taskTalk,{501,514}}</v>
      </c>
    </row>
    <row r="153" spans="1:49" s="66" customFormat="1" ht="72" x14ac:dyDescent="0.15">
      <c r="A153" s="28">
        <v>6243</v>
      </c>
      <c r="B153" s="29"/>
      <c r="C153" s="29" t="s">
        <v>5053</v>
      </c>
      <c r="D153" s="29">
        <v>1</v>
      </c>
      <c r="E153" s="29">
        <v>0</v>
      </c>
      <c r="F153" s="29">
        <v>1</v>
      </c>
      <c r="G153" s="30">
        <v>200</v>
      </c>
      <c r="H153" s="29">
        <v>200</v>
      </c>
      <c r="I153" s="29">
        <v>0</v>
      </c>
      <c r="J153" s="30">
        <v>6242</v>
      </c>
      <c r="K153" s="29">
        <v>0</v>
      </c>
      <c r="L153" s="29">
        <v>514</v>
      </c>
      <c r="M153" s="29" t="s">
        <v>6854</v>
      </c>
      <c r="N153" s="29">
        <v>520</v>
      </c>
      <c r="O153" s="29" t="s">
        <v>4856</v>
      </c>
      <c r="Q153" s="68"/>
      <c r="R153" s="68"/>
      <c r="S153" s="68"/>
      <c r="T153" s="68"/>
      <c r="U153" s="66">
        <v>1</v>
      </c>
      <c r="V153" s="66">
        <v>1</v>
      </c>
      <c r="W153" s="69">
        <v>5</v>
      </c>
      <c r="Z153" s="21">
        <v>0</v>
      </c>
      <c r="AB153" s="70"/>
      <c r="AC153" s="23"/>
      <c r="AF153" s="71" t="s">
        <v>6269</v>
      </c>
      <c r="AG153" s="71" t="s">
        <v>6270</v>
      </c>
      <c r="AH153" s="71" t="s">
        <v>5052</v>
      </c>
      <c r="AI153" s="71"/>
      <c r="AJ153" s="71" t="s">
        <v>6578</v>
      </c>
      <c r="AL153" s="67">
        <v>0</v>
      </c>
      <c r="AM153" s="66" t="s">
        <v>6271</v>
      </c>
      <c r="AN153" s="66" t="s">
        <v>6272</v>
      </c>
      <c r="AP153" s="66">
        <v>1</v>
      </c>
      <c r="AQ153" s="66">
        <v>0</v>
      </c>
      <c r="AR153" s="66">
        <v>1</v>
      </c>
      <c r="AS153" s="66">
        <v>1</v>
      </c>
      <c r="AU153" s="66">
        <v>0</v>
      </c>
      <c r="AV153" s="17">
        <f t="shared" si="35"/>
        <v>1</v>
      </c>
      <c r="AW153" s="66" t="str">
        <f t="shared" si="52"/>
        <v>{s_taskTalk,{514,520}}</v>
      </c>
    </row>
    <row r="154" spans="1:49" s="66" customFormat="1" ht="72" x14ac:dyDescent="0.15">
      <c r="A154" s="28">
        <v>6244</v>
      </c>
      <c r="B154" s="29"/>
      <c r="C154" s="29" t="s">
        <v>5054</v>
      </c>
      <c r="D154" s="29">
        <v>1</v>
      </c>
      <c r="E154" s="29">
        <v>0</v>
      </c>
      <c r="F154" s="29">
        <v>6</v>
      </c>
      <c r="G154" s="30">
        <v>200</v>
      </c>
      <c r="H154" s="29">
        <v>200</v>
      </c>
      <c r="I154" s="29">
        <v>0</v>
      </c>
      <c r="J154" s="30">
        <v>6243</v>
      </c>
      <c r="K154" s="29">
        <v>0</v>
      </c>
      <c r="L154" s="29">
        <v>520</v>
      </c>
      <c r="M154" s="29" t="s">
        <v>4856</v>
      </c>
      <c r="N154" s="29">
        <v>517</v>
      </c>
      <c r="O154" s="29" t="s">
        <v>4857</v>
      </c>
      <c r="Q154" s="68"/>
      <c r="R154" s="68"/>
      <c r="S154" s="68"/>
      <c r="T154" s="68"/>
      <c r="U154" s="66">
        <v>1</v>
      </c>
      <c r="V154" s="66">
        <v>1</v>
      </c>
      <c r="W154" s="69">
        <v>5</v>
      </c>
      <c r="Z154" s="21">
        <v>0</v>
      </c>
      <c r="AB154" s="70"/>
      <c r="AC154" s="23"/>
      <c r="AF154" s="71" t="s">
        <v>5055</v>
      </c>
      <c r="AG154" s="71" t="s">
        <v>5056</v>
      </c>
      <c r="AH154" s="71" t="s">
        <v>6341</v>
      </c>
      <c r="AI154" s="71" t="s">
        <v>6336</v>
      </c>
      <c r="AJ154" s="71" t="s">
        <v>6581</v>
      </c>
      <c r="AL154" s="67">
        <v>0</v>
      </c>
      <c r="AM154" s="66" t="s">
        <v>6112</v>
      </c>
      <c r="AN154" s="66" t="s">
        <v>5472</v>
      </c>
      <c r="AP154" s="66">
        <v>1</v>
      </c>
      <c r="AQ154" s="66">
        <v>0</v>
      </c>
      <c r="AR154" s="66">
        <v>1</v>
      </c>
      <c r="AS154" s="66">
        <v>1</v>
      </c>
      <c r="AU154" s="66">
        <v>0</v>
      </c>
      <c r="AV154" s="17">
        <f t="shared" si="35"/>
        <v>1</v>
      </c>
      <c r="AW154" s="66" t="str">
        <f t="shared" si="52"/>
        <v>{s_taskTalk,{520,517}}</v>
      </c>
    </row>
    <row r="155" spans="1:49" s="66" customFormat="1" ht="84" x14ac:dyDescent="0.15">
      <c r="A155" s="28">
        <v>6245</v>
      </c>
      <c r="B155" s="29"/>
      <c r="C155" s="29" t="s">
        <v>5057</v>
      </c>
      <c r="D155" s="29">
        <v>1</v>
      </c>
      <c r="E155" s="29">
        <v>0</v>
      </c>
      <c r="F155" s="29">
        <v>6</v>
      </c>
      <c r="G155" s="30">
        <v>200</v>
      </c>
      <c r="H155" s="29">
        <v>200</v>
      </c>
      <c r="I155" s="29">
        <v>0</v>
      </c>
      <c r="J155" s="30">
        <v>6244</v>
      </c>
      <c r="K155" s="29">
        <v>0</v>
      </c>
      <c r="L155" s="29">
        <v>517</v>
      </c>
      <c r="M155" s="29" t="s">
        <v>4857</v>
      </c>
      <c r="N155" s="29">
        <v>517</v>
      </c>
      <c r="O155" s="29" t="s">
        <v>4857</v>
      </c>
      <c r="Q155" s="68">
        <v>2028</v>
      </c>
      <c r="R155" s="68"/>
      <c r="S155" s="68"/>
      <c r="T155" s="68"/>
      <c r="U155" s="66">
        <v>1</v>
      </c>
      <c r="V155" s="66">
        <v>0</v>
      </c>
      <c r="W155" s="69">
        <v>5</v>
      </c>
      <c r="Z155" s="21">
        <v>0</v>
      </c>
      <c r="AB155" s="70"/>
      <c r="AC155" s="23"/>
      <c r="AF155" s="71" t="s">
        <v>5314</v>
      </c>
      <c r="AG155" s="71" t="s">
        <v>5301</v>
      </c>
      <c r="AH155" s="71" t="s">
        <v>6340</v>
      </c>
      <c r="AI155" s="71" t="s">
        <v>6336</v>
      </c>
      <c r="AJ155" s="71" t="s">
        <v>6581</v>
      </c>
      <c r="AL155" s="67">
        <v>0</v>
      </c>
      <c r="AM155" s="66" t="s">
        <v>5058</v>
      </c>
      <c r="AN155" s="66" t="s">
        <v>5473</v>
      </c>
      <c r="AP155" s="66">
        <v>1</v>
      </c>
      <c r="AQ155" s="66">
        <v>0</v>
      </c>
      <c r="AR155" s="66">
        <v>1</v>
      </c>
      <c r="AS155" s="66">
        <v>1</v>
      </c>
      <c r="AU155" s="66">
        <v>0</v>
      </c>
      <c r="AV155" s="17">
        <f t="shared" si="35"/>
        <v>1</v>
      </c>
      <c r="AW155" s="66" t="str">
        <f t="shared" ref="AW155:AW162" si="55">"{s_taskTalk,{"&amp;L155&amp;","&amp;N155&amp;"}}"</f>
        <v>{s_taskTalk,{517,517}}</v>
      </c>
    </row>
    <row r="156" spans="1:49" s="66" customFormat="1" ht="72" x14ac:dyDescent="0.15">
      <c r="A156" s="28">
        <v>6246</v>
      </c>
      <c r="B156" s="29"/>
      <c r="C156" s="29" t="s">
        <v>5059</v>
      </c>
      <c r="D156" s="29">
        <v>1</v>
      </c>
      <c r="E156" s="29">
        <v>0</v>
      </c>
      <c r="F156" s="29">
        <v>6</v>
      </c>
      <c r="G156" s="30">
        <v>200</v>
      </c>
      <c r="H156" s="29">
        <v>200</v>
      </c>
      <c r="I156" s="29">
        <v>0</v>
      </c>
      <c r="J156" s="30">
        <v>6245</v>
      </c>
      <c r="K156" s="29">
        <v>0</v>
      </c>
      <c r="L156" s="29">
        <v>517</v>
      </c>
      <c r="M156" s="29" t="s">
        <v>4857</v>
      </c>
      <c r="N156" s="29">
        <v>60200</v>
      </c>
      <c r="O156" s="29" t="s">
        <v>4858</v>
      </c>
      <c r="Q156" s="68"/>
      <c r="R156" s="68"/>
      <c r="S156" s="68"/>
      <c r="T156" s="68"/>
      <c r="U156" s="66">
        <v>1</v>
      </c>
      <c r="V156" s="66">
        <v>1</v>
      </c>
      <c r="W156" s="69">
        <v>5</v>
      </c>
      <c r="Z156" s="21">
        <v>0</v>
      </c>
      <c r="AB156" s="70"/>
      <c r="AC156" s="23"/>
      <c r="AF156" s="71" t="s">
        <v>5060</v>
      </c>
      <c r="AG156" s="71" t="s">
        <v>5061</v>
      </c>
      <c r="AH156" s="71" t="s">
        <v>5062</v>
      </c>
      <c r="AI156" s="71"/>
      <c r="AJ156" s="71" t="s">
        <v>6582</v>
      </c>
      <c r="AL156" s="67">
        <v>0</v>
      </c>
      <c r="AM156" s="66" t="s">
        <v>6265</v>
      </c>
      <c r="AN156" s="66" t="s">
        <v>6265</v>
      </c>
      <c r="AP156" s="66">
        <v>1</v>
      </c>
      <c r="AQ156" s="66">
        <v>0</v>
      </c>
      <c r="AR156" s="66">
        <v>1</v>
      </c>
      <c r="AS156" s="66">
        <v>1</v>
      </c>
      <c r="AU156" s="66">
        <v>0</v>
      </c>
      <c r="AV156" s="17">
        <f t="shared" si="35"/>
        <v>1</v>
      </c>
      <c r="AW156" s="66" t="str">
        <f t="shared" si="55"/>
        <v>{s_taskTalk,{517,60200}}</v>
      </c>
    </row>
    <row r="157" spans="1:49" s="66" customFormat="1" ht="72" x14ac:dyDescent="0.15">
      <c r="A157" s="28">
        <v>6247</v>
      </c>
      <c r="B157" s="29"/>
      <c r="C157" s="29" t="s">
        <v>5063</v>
      </c>
      <c r="D157" s="29">
        <v>1</v>
      </c>
      <c r="E157" s="29">
        <v>0</v>
      </c>
      <c r="F157" s="29">
        <v>1</v>
      </c>
      <c r="G157" s="30">
        <v>200</v>
      </c>
      <c r="H157" s="29">
        <v>200</v>
      </c>
      <c r="I157" s="29">
        <v>0</v>
      </c>
      <c r="J157" s="30">
        <v>6246</v>
      </c>
      <c r="K157" s="29">
        <v>0</v>
      </c>
      <c r="L157" s="29">
        <v>60200</v>
      </c>
      <c r="M157" s="29" t="s">
        <v>4858</v>
      </c>
      <c r="N157" s="29">
        <v>60200</v>
      </c>
      <c r="O157" s="29" t="s">
        <v>4858</v>
      </c>
      <c r="Q157" s="68">
        <v>2029</v>
      </c>
      <c r="R157" s="68"/>
      <c r="S157" s="68"/>
      <c r="T157" s="68"/>
      <c r="U157" s="66">
        <v>1</v>
      </c>
      <c r="V157" s="66">
        <v>0</v>
      </c>
      <c r="W157" s="69">
        <v>5</v>
      </c>
      <c r="Z157" s="21">
        <v>0</v>
      </c>
      <c r="AB157" s="70"/>
      <c r="AC157" s="23">
        <v>1000</v>
      </c>
      <c r="AF157" s="71" t="s">
        <v>5297</v>
      </c>
      <c r="AG157" s="71" t="s">
        <v>5298</v>
      </c>
      <c r="AH157" s="71" t="s">
        <v>5299</v>
      </c>
      <c r="AI157" s="71"/>
      <c r="AJ157" s="71" t="s">
        <v>6583</v>
      </c>
      <c r="AL157" s="67">
        <v>0</v>
      </c>
      <c r="AM157" s="66" t="s">
        <v>5281</v>
      </c>
      <c r="AN157" s="66" t="s">
        <v>5474</v>
      </c>
      <c r="AP157" s="66">
        <v>1</v>
      </c>
      <c r="AQ157" s="66">
        <v>0</v>
      </c>
      <c r="AR157" s="66">
        <v>1</v>
      </c>
      <c r="AS157" s="66">
        <v>1</v>
      </c>
      <c r="AU157" s="66">
        <v>0</v>
      </c>
      <c r="AV157" s="17">
        <f t="shared" si="35"/>
        <v>1</v>
      </c>
      <c r="AW157" s="66" t="str">
        <f t="shared" si="55"/>
        <v>{s_taskTalk,{60200,60200}}</v>
      </c>
    </row>
    <row r="158" spans="1:49" s="66" customFormat="1" ht="60" x14ac:dyDescent="0.15">
      <c r="A158" s="28">
        <v>6248</v>
      </c>
      <c r="B158" s="29"/>
      <c r="C158" s="29" t="s">
        <v>5064</v>
      </c>
      <c r="D158" s="29">
        <v>1</v>
      </c>
      <c r="E158" s="29">
        <v>0</v>
      </c>
      <c r="F158" s="29">
        <v>1</v>
      </c>
      <c r="G158" s="30">
        <v>200</v>
      </c>
      <c r="H158" s="29">
        <v>200</v>
      </c>
      <c r="I158" s="29">
        <v>0</v>
      </c>
      <c r="J158" s="30">
        <v>6247</v>
      </c>
      <c r="K158" s="29">
        <v>0</v>
      </c>
      <c r="L158" s="29">
        <v>60200</v>
      </c>
      <c r="M158" s="29" t="s">
        <v>4858</v>
      </c>
      <c r="N158" s="29">
        <v>517</v>
      </c>
      <c r="O158" s="29" t="s">
        <v>4857</v>
      </c>
      <c r="Q158" s="68"/>
      <c r="R158" s="68"/>
      <c r="S158" s="68"/>
      <c r="T158" s="68"/>
      <c r="U158" s="66">
        <v>1</v>
      </c>
      <c r="V158" s="66">
        <v>1</v>
      </c>
      <c r="W158" s="69">
        <v>5</v>
      </c>
      <c r="Z158" s="21">
        <v>0</v>
      </c>
      <c r="AB158" s="70"/>
      <c r="AC158" s="23"/>
      <c r="AF158" s="71" t="s">
        <v>5300</v>
      </c>
      <c r="AG158" s="71" t="s">
        <v>5065</v>
      </c>
      <c r="AH158" s="71" t="s">
        <v>5066</v>
      </c>
      <c r="AI158" s="71"/>
      <c r="AJ158" s="71" t="s">
        <v>6581</v>
      </c>
      <c r="AL158" s="67">
        <v>0</v>
      </c>
      <c r="AM158" s="66" t="s">
        <v>6266</v>
      </c>
      <c r="AN158" s="66" t="s">
        <v>6266</v>
      </c>
      <c r="AP158" s="66">
        <v>1</v>
      </c>
      <c r="AQ158" s="66">
        <v>0</v>
      </c>
      <c r="AR158" s="66">
        <v>1</v>
      </c>
      <c r="AS158" s="66">
        <v>1</v>
      </c>
      <c r="AU158" s="66">
        <v>0</v>
      </c>
      <c r="AV158" s="17">
        <f t="shared" si="35"/>
        <v>1</v>
      </c>
      <c r="AW158" s="66" t="str">
        <f t="shared" si="55"/>
        <v>{s_taskTalk,{60200,517}}</v>
      </c>
    </row>
    <row r="159" spans="1:49" s="66" customFormat="1" ht="72" x14ac:dyDescent="0.15">
      <c r="A159" s="65">
        <v>6249</v>
      </c>
      <c r="C159" s="66" t="s">
        <v>6938</v>
      </c>
      <c r="D159" s="66">
        <v>1</v>
      </c>
      <c r="E159" s="66">
        <v>0</v>
      </c>
      <c r="F159" s="66">
        <v>6</v>
      </c>
      <c r="G159" s="67">
        <v>50</v>
      </c>
      <c r="H159" s="32">
        <v>200</v>
      </c>
      <c r="I159" s="17">
        <v>0</v>
      </c>
      <c r="J159" s="67">
        <v>6239</v>
      </c>
      <c r="K159" s="66">
        <v>0</v>
      </c>
      <c r="L159" s="66">
        <v>514</v>
      </c>
      <c r="M159" s="66" t="s">
        <v>6854</v>
      </c>
      <c r="N159" s="66">
        <v>514</v>
      </c>
      <c r="O159" s="66" t="s">
        <v>6854</v>
      </c>
      <c r="Q159" s="68">
        <v>2030</v>
      </c>
      <c r="R159" s="68"/>
      <c r="S159" s="68"/>
      <c r="T159" s="68"/>
      <c r="U159" s="66">
        <v>1</v>
      </c>
      <c r="V159" s="66">
        <v>0</v>
      </c>
      <c r="W159" s="69">
        <v>5</v>
      </c>
      <c r="Z159" s="21">
        <f>VLOOKUP(G159,Sheet2!A:H,8,0)</f>
        <v>358553</v>
      </c>
      <c r="AB159" s="70"/>
      <c r="AC159" s="23">
        <f>VLOOKUP(G159,Sheet2!A$2:K$151,9,FALSE)</f>
        <v>787</v>
      </c>
      <c r="AD159" s="66" t="s">
        <v>7542</v>
      </c>
      <c r="AF159" s="71" t="s">
        <v>7155</v>
      </c>
      <c r="AG159" s="71" t="s">
        <v>6928</v>
      </c>
      <c r="AH159" s="71" t="s">
        <v>7101</v>
      </c>
      <c r="AI159" s="71"/>
      <c r="AJ159" s="71" t="s">
        <v>7054</v>
      </c>
      <c r="AL159" s="67">
        <v>0</v>
      </c>
      <c r="AM159" s="66" t="s">
        <v>5067</v>
      </c>
      <c r="AN159" s="66" t="s">
        <v>6929</v>
      </c>
      <c r="AP159" s="66">
        <v>1</v>
      </c>
      <c r="AQ159" s="66">
        <v>0</v>
      </c>
      <c r="AR159" s="66">
        <v>1</v>
      </c>
      <c r="AS159" s="66">
        <v>1</v>
      </c>
      <c r="AU159" s="66">
        <v>0</v>
      </c>
      <c r="AV159" s="17">
        <f t="shared" si="35"/>
        <v>1</v>
      </c>
      <c r="AW159" s="66" t="str">
        <f t="shared" si="55"/>
        <v>{s_taskTalk,{514,514}}</v>
      </c>
    </row>
    <row r="160" spans="1:49" s="66" customFormat="1" ht="72" x14ac:dyDescent="0.15">
      <c r="A160" s="28">
        <v>6250</v>
      </c>
      <c r="B160" s="29"/>
      <c r="C160" s="29" t="s">
        <v>5378</v>
      </c>
      <c r="D160" s="29">
        <v>1</v>
      </c>
      <c r="E160" s="29">
        <v>0</v>
      </c>
      <c r="F160" s="29">
        <v>6</v>
      </c>
      <c r="G160" s="30">
        <v>200</v>
      </c>
      <c r="H160" s="29">
        <v>200</v>
      </c>
      <c r="I160" s="29">
        <v>0</v>
      </c>
      <c r="J160" s="30">
        <v>6249</v>
      </c>
      <c r="K160" s="29">
        <v>0</v>
      </c>
      <c r="L160" s="29">
        <v>517</v>
      </c>
      <c r="M160" s="29" t="s">
        <v>4857</v>
      </c>
      <c r="N160" s="29">
        <v>519</v>
      </c>
      <c r="O160" s="29" t="s">
        <v>5121</v>
      </c>
      <c r="Q160" s="68"/>
      <c r="R160" s="68"/>
      <c r="S160" s="68"/>
      <c r="T160" s="68"/>
      <c r="U160" s="66">
        <v>1</v>
      </c>
      <c r="V160" s="66">
        <v>1</v>
      </c>
      <c r="W160" s="69">
        <v>5</v>
      </c>
      <c r="Z160" s="21">
        <v>0</v>
      </c>
      <c r="AB160" s="70"/>
      <c r="AC160" s="23"/>
      <c r="AF160" s="71" t="s">
        <v>6278</v>
      </c>
      <c r="AG160" s="71" t="s">
        <v>6273</v>
      </c>
      <c r="AH160" s="71" t="s">
        <v>6279</v>
      </c>
      <c r="AI160" s="71"/>
      <c r="AJ160" s="71" t="s">
        <v>6577</v>
      </c>
      <c r="AL160" s="67">
        <v>0</v>
      </c>
      <c r="AM160" s="66" t="s">
        <v>6274</v>
      </c>
      <c r="AN160" s="66" t="s">
        <v>6275</v>
      </c>
      <c r="AP160" s="66">
        <v>1</v>
      </c>
      <c r="AQ160" s="66">
        <v>0</v>
      </c>
      <c r="AR160" s="66">
        <v>1</v>
      </c>
      <c r="AS160" s="66">
        <v>1</v>
      </c>
      <c r="AU160" s="66">
        <v>0</v>
      </c>
      <c r="AV160" s="17">
        <f t="shared" si="35"/>
        <v>1</v>
      </c>
      <c r="AW160" s="66" t="str">
        <f t="shared" si="55"/>
        <v>{s_taskTalk,{517,519}}</v>
      </c>
    </row>
    <row r="161" spans="1:49" s="66" customFormat="1" ht="72" x14ac:dyDescent="0.15">
      <c r="A161" s="28">
        <v>6251</v>
      </c>
      <c r="B161" s="29"/>
      <c r="C161" s="29" t="s">
        <v>5068</v>
      </c>
      <c r="D161" s="29">
        <v>1</v>
      </c>
      <c r="E161" s="29">
        <v>0</v>
      </c>
      <c r="F161" s="29">
        <v>6</v>
      </c>
      <c r="G161" s="30">
        <v>200</v>
      </c>
      <c r="H161" s="29">
        <v>200</v>
      </c>
      <c r="I161" s="29">
        <v>0</v>
      </c>
      <c r="J161" s="30">
        <v>6250</v>
      </c>
      <c r="K161" s="29">
        <v>0</v>
      </c>
      <c r="L161" s="29">
        <v>519</v>
      </c>
      <c r="M161" s="29" t="s">
        <v>5121</v>
      </c>
      <c r="N161" s="29">
        <v>514</v>
      </c>
      <c r="O161" s="29" t="s">
        <v>6854</v>
      </c>
      <c r="Q161" s="68"/>
      <c r="R161" s="68"/>
      <c r="S161" s="68"/>
      <c r="T161" s="68"/>
      <c r="U161" s="66">
        <v>1</v>
      </c>
      <c r="V161" s="66">
        <v>1</v>
      </c>
      <c r="W161" s="69">
        <v>5</v>
      </c>
      <c r="Z161" s="21">
        <v>0</v>
      </c>
      <c r="AB161" s="70"/>
      <c r="AC161" s="23"/>
      <c r="AF161" s="71" t="s">
        <v>6859</v>
      </c>
      <c r="AG161" s="71" t="s">
        <v>6860</v>
      </c>
      <c r="AH161" s="71" t="s">
        <v>5302</v>
      </c>
      <c r="AI161" s="71"/>
      <c r="AJ161" s="71" t="s">
        <v>6855</v>
      </c>
      <c r="AL161" s="67">
        <v>0</v>
      </c>
      <c r="AM161" s="66" t="s">
        <v>6276</v>
      </c>
      <c r="AN161" s="66" t="s">
        <v>6277</v>
      </c>
      <c r="AP161" s="66">
        <v>1</v>
      </c>
      <c r="AQ161" s="66">
        <v>0</v>
      </c>
      <c r="AR161" s="66">
        <v>1</v>
      </c>
      <c r="AS161" s="66">
        <v>1</v>
      </c>
      <c r="AU161" s="66">
        <v>0</v>
      </c>
      <c r="AV161" s="17">
        <f t="shared" si="35"/>
        <v>1</v>
      </c>
      <c r="AW161" s="66" t="str">
        <f t="shared" si="55"/>
        <v>{s_taskTalk,{519,514}}</v>
      </c>
    </row>
    <row r="162" spans="1:49" s="66" customFormat="1" ht="60" x14ac:dyDescent="0.15">
      <c r="A162" s="65">
        <v>6252</v>
      </c>
      <c r="C162" s="66" t="s">
        <v>6930</v>
      </c>
      <c r="D162" s="66">
        <v>1</v>
      </c>
      <c r="E162" s="66">
        <v>0</v>
      </c>
      <c r="F162" s="66">
        <v>6</v>
      </c>
      <c r="G162" s="67">
        <v>50</v>
      </c>
      <c r="H162" s="32">
        <v>200</v>
      </c>
      <c r="I162" s="17">
        <v>0</v>
      </c>
      <c r="J162" s="67">
        <v>6249</v>
      </c>
      <c r="K162" s="66">
        <v>0</v>
      </c>
      <c r="L162" s="63">
        <v>514</v>
      </c>
      <c r="M162" s="63" t="s">
        <v>6854</v>
      </c>
      <c r="N162" s="66">
        <v>503</v>
      </c>
      <c r="O162" s="66" t="s">
        <v>4859</v>
      </c>
      <c r="Q162" s="68"/>
      <c r="R162" s="68"/>
      <c r="S162" s="68"/>
      <c r="T162" s="68"/>
      <c r="U162" s="66">
        <v>1</v>
      </c>
      <c r="V162" s="66">
        <v>1</v>
      </c>
      <c r="W162" s="69">
        <v>5</v>
      </c>
      <c r="Z162" s="21">
        <f>VLOOKUP(G162,Sheet2!A:H,8,0)</f>
        <v>358553</v>
      </c>
      <c r="AB162" s="70"/>
      <c r="AC162" s="23">
        <f>VLOOKUP(G162,Sheet2!A$2:K$151,9,FALSE)</f>
        <v>787</v>
      </c>
      <c r="AD162" s="32" t="s">
        <v>8705</v>
      </c>
      <c r="AF162" s="71" t="s">
        <v>6931</v>
      </c>
      <c r="AG162" s="71" t="s">
        <v>6932</v>
      </c>
      <c r="AH162" s="71" t="s">
        <v>6933</v>
      </c>
      <c r="AI162" s="71"/>
      <c r="AJ162" s="71" t="s">
        <v>7055</v>
      </c>
      <c r="AL162" s="67">
        <v>0</v>
      </c>
      <c r="AM162" s="66" t="s">
        <v>6267</v>
      </c>
      <c r="AN162" s="66" t="s">
        <v>6267</v>
      </c>
      <c r="AP162" s="66">
        <v>1</v>
      </c>
      <c r="AQ162" s="66">
        <v>0</v>
      </c>
      <c r="AR162" s="66">
        <v>1</v>
      </c>
      <c r="AS162" s="66">
        <v>1</v>
      </c>
      <c r="AU162" s="66">
        <v>0</v>
      </c>
      <c r="AV162" s="17">
        <f t="shared" si="35"/>
        <v>1</v>
      </c>
      <c r="AW162" s="66" t="str">
        <f t="shared" si="55"/>
        <v>{s_taskTalk,{514,503}}</v>
      </c>
    </row>
    <row r="163" spans="1:49" s="66" customFormat="1" ht="72" x14ac:dyDescent="0.15">
      <c r="A163" s="65">
        <v>6254</v>
      </c>
      <c r="C163" s="69" t="s">
        <v>6951</v>
      </c>
      <c r="D163" s="66">
        <v>1</v>
      </c>
      <c r="E163" s="66">
        <v>0</v>
      </c>
      <c r="F163" s="66">
        <v>2</v>
      </c>
      <c r="G163" s="67">
        <v>51</v>
      </c>
      <c r="H163" s="32">
        <v>200</v>
      </c>
      <c r="I163" s="17">
        <v>0</v>
      </c>
      <c r="J163" s="67">
        <v>6252</v>
      </c>
      <c r="K163" s="66">
        <v>0</v>
      </c>
      <c r="L163" s="66">
        <v>503</v>
      </c>
      <c r="M163" s="66" t="s">
        <v>4859</v>
      </c>
      <c r="N163" s="32">
        <v>505</v>
      </c>
      <c r="O163" s="32" t="s">
        <v>5098</v>
      </c>
      <c r="Q163" s="68"/>
      <c r="R163" s="68"/>
      <c r="S163" s="68"/>
      <c r="T163" s="68"/>
      <c r="U163" s="66">
        <v>1</v>
      </c>
      <c r="V163" s="66">
        <v>1</v>
      </c>
      <c r="W163" s="69">
        <v>5</v>
      </c>
      <c r="Z163" s="21">
        <f>VLOOKUP(G163,Sheet2!A:H,8,0)</f>
        <v>276909</v>
      </c>
      <c r="AB163" s="70"/>
      <c r="AC163" s="23">
        <f>VLOOKUP(G163,Sheet2!A$2:K$151,9,FALSE)</f>
        <v>600</v>
      </c>
      <c r="AD163" s="32" t="s">
        <v>7166</v>
      </c>
      <c r="AF163" s="71" t="s">
        <v>6952</v>
      </c>
      <c r="AG163" s="71" t="s">
        <v>6953</v>
      </c>
      <c r="AH163" s="71" t="s">
        <v>6954</v>
      </c>
      <c r="AI163" s="71"/>
      <c r="AJ163" s="71" t="s">
        <v>6955</v>
      </c>
      <c r="AL163" s="67">
        <v>0</v>
      </c>
      <c r="AM163" s="66" t="s">
        <v>6956</v>
      </c>
      <c r="AN163" s="66" t="s">
        <v>6957</v>
      </c>
      <c r="AP163" s="66">
        <v>1</v>
      </c>
      <c r="AQ163" s="66">
        <v>0</v>
      </c>
      <c r="AR163" s="66">
        <v>1</v>
      </c>
      <c r="AS163" s="66">
        <v>1</v>
      </c>
      <c r="AU163" s="66">
        <v>0</v>
      </c>
      <c r="AV163" s="17">
        <f t="shared" ref="AV163" si="56">IF(D163 = 1,1,0)</f>
        <v>1</v>
      </c>
      <c r="AW163" s="66" t="str">
        <f t="shared" ref="AW163" si="57">"{s_taskTalk,{"&amp;L163&amp;","&amp;N163&amp;"}}"</f>
        <v>{s_taskTalk,{503,505}}</v>
      </c>
    </row>
    <row r="164" spans="1:49" s="66" customFormat="1" ht="72" x14ac:dyDescent="0.15">
      <c r="A164" s="65">
        <v>6255</v>
      </c>
      <c r="C164" s="66" t="s">
        <v>6958</v>
      </c>
      <c r="D164" s="66">
        <v>1</v>
      </c>
      <c r="E164" s="66">
        <v>0</v>
      </c>
      <c r="F164" s="66">
        <v>2</v>
      </c>
      <c r="G164" s="67">
        <v>51</v>
      </c>
      <c r="H164" s="32">
        <v>200</v>
      </c>
      <c r="I164" s="17">
        <v>0</v>
      </c>
      <c r="J164" s="67">
        <v>6254</v>
      </c>
      <c r="K164" s="66">
        <v>0</v>
      </c>
      <c r="L164" s="32">
        <v>505</v>
      </c>
      <c r="M164" s="32" t="s">
        <v>5098</v>
      </c>
      <c r="N164" s="66">
        <v>503</v>
      </c>
      <c r="O164" s="66" t="s">
        <v>4859</v>
      </c>
      <c r="Q164" s="68"/>
      <c r="R164" s="68"/>
      <c r="S164" s="68"/>
      <c r="T164" s="68"/>
      <c r="U164" s="66">
        <v>1</v>
      </c>
      <c r="V164" s="66">
        <v>1</v>
      </c>
      <c r="W164" s="69">
        <v>5</v>
      </c>
      <c r="Z164" s="21">
        <f>VLOOKUP(G164,Sheet2!A:H,8,0)</f>
        <v>276909</v>
      </c>
      <c r="AB164" s="70"/>
      <c r="AC164" s="23">
        <f>VLOOKUP(G164,Sheet2!A$2:K$151,9,FALSE)</f>
        <v>600</v>
      </c>
      <c r="AF164" s="71" t="s">
        <v>6959</v>
      </c>
      <c r="AG164" s="71" t="s">
        <v>6960</v>
      </c>
      <c r="AH164" s="71" t="s">
        <v>6961</v>
      </c>
      <c r="AI164" s="71"/>
      <c r="AJ164" s="71" t="s">
        <v>6962</v>
      </c>
      <c r="AL164" s="67">
        <v>0</v>
      </c>
      <c r="AM164" s="66" t="s">
        <v>6963</v>
      </c>
      <c r="AN164" s="66" t="s">
        <v>6964</v>
      </c>
      <c r="AP164" s="66">
        <v>1</v>
      </c>
      <c r="AQ164" s="66">
        <v>0</v>
      </c>
      <c r="AR164" s="66">
        <v>1</v>
      </c>
      <c r="AS164" s="66">
        <v>1</v>
      </c>
      <c r="AU164" s="66">
        <v>0</v>
      </c>
      <c r="AV164" s="17">
        <f t="shared" ref="AV164" si="58">IF(D164 = 1,1,0)</f>
        <v>1</v>
      </c>
      <c r="AW164" s="66" t="str">
        <f t="shared" ref="AW164" si="59">"{s_taskTalk,{"&amp;L164&amp;","&amp;N164&amp;"}}"</f>
        <v>{s_taskTalk,{505,503}}</v>
      </c>
    </row>
    <row r="165" spans="1:49" s="66" customFormat="1" ht="72" x14ac:dyDescent="0.15">
      <c r="A165" s="65">
        <v>6301</v>
      </c>
      <c r="C165" s="66" t="s">
        <v>6939</v>
      </c>
      <c r="D165" s="66">
        <v>1</v>
      </c>
      <c r="E165" s="66">
        <v>0</v>
      </c>
      <c r="F165" s="66">
        <v>2</v>
      </c>
      <c r="G165" s="67">
        <v>51</v>
      </c>
      <c r="H165" s="32">
        <v>200</v>
      </c>
      <c r="I165" s="17">
        <v>0</v>
      </c>
      <c r="J165" s="67">
        <v>6255</v>
      </c>
      <c r="K165" s="66">
        <v>0</v>
      </c>
      <c r="L165" s="66">
        <v>503</v>
      </c>
      <c r="M165" s="66" t="s">
        <v>4860</v>
      </c>
      <c r="N165" s="66">
        <v>521</v>
      </c>
      <c r="O165" s="66" t="s">
        <v>5069</v>
      </c>
      <c r="Q165" s="68"/>
      <c r="R165" s="68"/>
      <c r="S165" s="68"/>
      <c r="T165" s="68"/>
      <c r="U165" s="78">
        <v>1</v>
      </c>
      <c r="V165" s="78">
        <v>1</v>
      </c>
      <c r="W165" s="79">
        <v>5</v>
      </c>
      <c r="X165" s="78"/>
      <c r="Y165" s="78"/>
      <c r="Z165" s="21">
        <f>VLOOKUP(G165,Sheet2!A:H,8,0)</f>
        <v>276909</v>
      </c>
      <c r="AB165" s="70"/>
      <c r="AC165" s="23">
        <f>VLOOKUP(G165,Sheet2!A$2:K$151,9,FALSE)</f>
        <v>600</v>
      </c>
      <c r="AD165" s="32" t="s">
        <v>7167</v>
      </c>
      <c r="AF165" s="71" t="s">
        <v>7515</v>
      </c>
      <c r="AG165" s="71" t="s">
        <v>5070</v>
      </c>
      <c r="AH165" s="71" t="s">
        <v>6965</v>
      </c>
      <c r="AI165" s="71"/>
      <c r="AJ165" s="71" t="s">
        <v>7056</v>
      </c>
      <c r="AL165" s="67">
        <v>0</v>
      </c>
      <c r="AM165" s="66" t="s">
        <v>6113</v>
      </c>
      <c r="AN165" s="66" t="s">
        <v>5475</v>
      </c>
      <c r="AP165" s="66">
        <v>1</v>
      </c>
      <c r="AQ165" s="66">
        <v>0</v>
      </c>
      <c r="AR165" s="66">
        <v>1</v>
      </c>
      <c r="AS165" s="66">
        <v>1</v>
      </c>
      <c r="AU165" s="66">
        <v>0</v>
      </c>
      <c r="AV165" s="17">
        <f t="shared" si="35"/>
        <v>1</v>
      </c>
      <c r="AW165" s="66" t="str">
        <f t="shared" ref="AW165:AW228" si="60">"{s_taskTalk,{"&amp;L165&amp;","&amp;N165&amp;"}}"</f>
        <v>{s_taskTalk,{503,521}}</v>
      </c>
    </row>
    <row r="166" spans="1:49" s="66" customFormat="1" ht="72" x14ac:dyDescent="0.15">
      <c r="A166" s="72">
        <v>6330</v>
      </c>
      <c r="B166" s="73"/>
      <c r="C166" s="73" t="s">
        <v>7491</v>
      </c>
      <c r="D166" s="73">
        <v>1</v>
      </c>
      <c r="E166" s="73">
        <v>0</v>
      </c>
      <c r="F166" s="73">
        <v>2</v>
      </c>
      <c r="G166" s="80">
        <v>51</v>
      </c>
      <c r="H166" s="73">
        <v>200</v>
      </c>
      <c r="I166" s="73">
        <v>0</v>
      </c>
      <c r="J166" s="80">
        <v>6301</v>
      </c>
      <c r="K166" s="73">
        <v>0</v>
      </c>
      <c r="L166" s="73">
        <v>521</v>
      </c>
      <c r="M166" s="73" t="s">
        <v>5069</v>
      </c>
      <c r="N166" s="73">
        <v>521</v>
      </c>
      <c r="O166" s="73" t="s">
        <v>5069</v>
      </c>
      <c r="P166" s="73"/>
      <c r="Q166" s="68"/>
      <c r="R166" s="68"/>
      <c r="S166" s="68"/>
      <c r="T166" s="68"/>
      <c r="U166" s="78">
        <v>1</v>
      </c>
      <c r="V166" s="78">
        <v>1</v>
      </c>
      <c r="W166" s="79">
        <v>5</v>
      </c>
      <c r="X166" s="78"/>
      <c r="Y166" s="78"/>
      <c r="Z166" s="21">
        <f>VLOOKUP(G166,Sheet2!A:H,8,0)</f>
        <v>276909</v>
      </c>
      <c r="AB166" s="70"/>
      <c r="AC166" s="23">
        <f>VLOOKUP(G166,Sheet2!A$2:K$151,9,FALSE)</f>
        <v>600</v>
      </c>
      <c r="AF166" s="71" t="s">
        <v>7135</v>
      </c>
      <c r="AG166" s="71" t="s">
        <v>7136</v>
      </c>
      <c r="AH166" s="71" t="s">
        <v>7137</v>
      </c>
      <c r="AI166" s="71"/>
      <c r="AJ166" s="71" t="s">
        <v>7138</v>
      </c>
      <c r="AL166" s="67">
        <v>0</v>
      </c>
      <c r="AM166" s="66" t="s">
        <v>9031</v>
      </c>
      <c r="AN166" s="66" t="s">
        <v>7139</v>
      </c>
      <c r="AP166" s="66">
        <v>1</v>
      </c>
      <c r="AQ166" s="66">
        <v>0</v>
      </c>
      <c r="AR166" s="66">
        <v>1</v>
      </c>
      <c r="AS166" s="66">
        <v>1</v>
      </c>
      <c r="AU166" s="66">
        <v>0</v>
      </c>
      <c r="AV166" s="17">
        <f t="shared" ref="AV166" si="61">IF(D166 = 1,1,0)</f>
        <v>1</v>
      </c>
      <c r="AW166" s="66" t="str">
        <f t="shared" ref="AW166" si="62">"{s_taskTalk,{"&amp;L166&amp;","&amp;N166&amp;"}}"</f>
        <v>{s_taskTalk,{521,521}}</v>
      </c>
    </row>
    <row r="167" spans="1:49" s="78" customFormat="1" ht="72" x14ac:dyDescent="0.15">
      <c r="A167" s="88">
        <v>6329</v>
      </c>
      <c r="C167" s="63" t="s">
        <v>7492</v>
      </c>
      <c r="D167" s="78">
        <v>1</v>
      </c>
      <c r="E167" s="78">
        <v>0</v>
      </c>
      <c r="F167" s="78">
        <v>4</v>
      </c>
      <c r="G167" s="94">
        <v>52</v>
      </c>
      <c r="H167" s="78">
        <v>200</v>
      </c>
      <c r="I167" s="17">
        <v>0</v>
      </c>
      <c r="J167" s="67">
        <v>6330</v>
      </c>
      <c r="K167" s="66">
        <v>0</v>
      </c>
      <c r="L167" s="73">
        <v>521</v>
      </c>
      <c r="M167" s="73" t="s">
        <v>5069</v>
      </c>
      <c r="N167" s="78">
        <v>595</v>
      </c>
      <c r="O167" s="78" t="s">
        <v>7102</v>
      </c>
      <c r="Q167" s="91"/>
      <c r="R167" s="49">
        <v>60044</v>
      </c>
      <c r="S167" s="91"/>
      <c r="T167" s="91"/>
      <c r="U167" s="78">
        <v>5</v>
      </c>
      <c r="W167" s="79">
        <v>0</v>
      </c>
      <c r="X167" s="78">
        <v>5</v>
      </c>
      <c r="Z167" s="21">
        <f>VLOOKUP(G167,Sheet2!A:H,8,0)</f>
        <v>1139931</v>
      </c>
      <c r="AB167" s="92"/>
      <c r="AC167" s="23">
        <f>VLOOKUP(G167,Sheet2!A$2:K$151,9,FALSE)</f>
        <v>2440</v>
      </c>
      <c r="AF167" s="93" t="s">
        <v>7510</v>
      </c>
      <c r="AG167" s="93" t="s">
        <v>7103</v>
      </c>
      <c r="AH167" s="93" t="s">
        <v>7104</v>
      </c>
      <c r="AI167" s="93"/>
      <c r="AJ167" s="71" t="s">
        <v>7105</v>
      </c>
      <c r="AL167" s="94">
        <v>0</v>
      </c>
      <c r="AM167" s="96" t="s">
        <v>9032</v>
      </c>
      <c r="AN167" s="78" t="s">
        <v>7113</v>
      </c>
      <c r="AP167" s="78">
        <v>1</v>
      </c>
      <c r="AQ167" s="78">
        <v>0</v>
      </c>
      <c r="AR167" s="78">
        <v>1</v>
      </c>
      <c r="AS167" s="78">
        <v>0</v>
      </c>
      <c r="AU167" s="78">
        <v>0</v>
      </c>
      <c r="AV167" s="17">
        <f t="shared" ref="AV167" si="63">IF(D167 = 1,1,0)</f>
        <v>1</v>
      </c>
      <c r="AW167" s="50" t="str">
        <f>"{s_taskGuard,{"&amp;L167&amp;","&amp;N167&amp;","&amp;R167&amp;"}}"</f>
        <v>{s_taskGuard,{521,595,60044}}</v>
      </c>
    </row>
    <row r="168" spans="1:49" s="87" customFormat="1" ht="72" x14ac:dyDescent="0.15">
      <c r="A168" s="81">
        <v>6324</v>
      </c>
      <c r="B168" s="82"/>
      <c r="C168" s="82" t="s">
        <v>7493</v>
      </c>
      <c r="D168" s="82">
        <v>1</v>
      </c>
      <c r="E168" s="82">
        <v>0</v>
      </c>
      <c r="F168" s="82">
        <v>7</v>
      </c>
      <c r="G168" s="83">
        <v>53</v>
      </c>
      <c r="H168" s="82">
        <v>200</v>
      </c>
      <c r="I168" s="82">
        <v>0</v>
      </c>
      <c r="J168" s="83">
        <v>6329</v>
      </c>
      <c r="K168" s="82">
        <v>0</v>
      </c>
      <c r="L168" s="83">
        <v>169</v>
      </c>
      <c r="M168" s="83" t="s">
        <v>5069</v>
      </c>
      <c r="N168" s="83">
        <v>0</v>
      </c>
      <c r="O168" s="83"/>
      <c r="P168" s="82"/>
      <c r="Q168" s="84"/>
      <c r="R168" s="84"/>
      <c r="S168" s="84"/>
      <c r="T168" s="84"/>
      <c r="U168" s="82">
        <v>1</v>
      </c>
      <c r="V168" s="82">
        <v>1</v>
      </c>
      <c r="W168" s="84">
        <v>5</v>
      </c>
      <c r="X168" s="82"/>
      <c r="Y168" s="82"/>
      <c r="Z168" s="21">
        <f>VLOOKUP(G168,Sheet2!A:H,8,0)</f>
        <v>586268</v>
      </c>
      <c r="AA168" s="82"/>
      <c r="AB168" s="82"/>
      <c r="AC168" s="23">
        <f>VLOOKUP(G168,Sheet2!A$2:K$151,9,FALSE)</f>
        <v>1240</v>
      </c>
      <c r="AD168" s="82"/>
      <c r="AE168" s="82"/>
      <c r="AF168" s="86" t="s">
        <v>7511</v>
      </c>
      <c r="AG168" s="86" t="s">
        <v>7106</v>
      </c>
      <c r="AH168" s="86" t="s">
        <v>7010</v>
      </c>
      <c r="AI168" s="86"/>
      <c r="AJ168" s="86" t="s">
        <v>7011</v>
      </c>
      <c r="AK168" s="82"/>
      <c r="AL168" s="83">
        <v>0</v>
      </c>
      <c r="AM168" s="82"/>
      <c r="AN168" s="82"/>
      <c r="AO168" s="82"/>
      <c r="AP168" s="82">
        <v>1</v>
      </c>
      <c r="AQ168" s="82">
        <v>0</v>
      </c>
      <c r="AR168" s="82">
        <v>1</v>
      </c>
      <c r="AS168" s="82">
        <v>0</v>
      </c>
      <c r="AT168" s="82"/>
      <c r="AU168" s="82">
        <v>0</v>
      </c>
      <c r="AV168" s="82">
        <f t="shared" si="35"/>
        <v>1</v>
      </c>
      <c r="AW168" s="82" t="str">
        <f t="shared" si="60"/>
        <v>{s_taskTalk,{169,0}}</v>
      </c>
    </row>
    <row r="169" spans="1:49" s="78" customFormat="1" ht="72" x14ac:dyDescent="0.15">
      <c r="A169" s="88">
        <v>6325</v>
      </c>
      <c r="C169" s="82" t="s">
        <v>7493</v>
      </c>
      <c r="D169" s="82">
        <v>1</v>
      </c>
      <c r="E169" s="82">
        <v>0</v>
      </c>
      <c r="F169" s="82">
        <v>7</v>
      </c>
      <c r="G169" s="83">
        <v>53</v>
      </c>
      <c r="H169" s="82">
        <v>200</v>
      </c>
      <c r="I169" s="82">
        <v>0</v>
      </c>
      <c r="J169" s="83">
        <v>6329</v>
      </c>
      <c r="K169" s="82">
        <v>0</v>
      </c>
      <c r="L169" s="83">
        <v>169</v>
      </c>
      <c r="M169" s="83" t="s">
        <v>5069</v>
      </c>
      <c r="N169" s="89">
        <v>585</v>
      </c>
      <c r="O169" s="90" t="s">
        <v>7012</v>
      </c>
      <c r="Q169" s="91"/>
      <c r="R169" s="91"/>
      <c r="S169" s="91"/>
      <c r="T169" s="91"/>
      <c r="U169" s="78">
        <v>1</v>
      </c>
      <c r="V169" s="78">
        <v>1</v>
      </c>
      <c r="W169" s="79">
        <v>5</v>
      </c>
      <c r="Z169" s="21">
        <f>VLOOKUP(G169,Sheet2!A:H,8,0)</f>
        <v>586268</v>
      </c>
      <c r="AB169" s="92"/>
      <c r="AC169" s="23">
        <f>VLOOKUP(G169,Sheet2!A$2:K$151,9,FALSE)</f>
        <v>1240</v>
      </c>
      <c r="AF169" s="86" t="s">
        <v>7512</v>
      </c>
      <c r="AG169" s="86" t="s">
        <v>7106</v>
      </c>
      <c r="AH169" s="86" t="s">
        <v>7010</v>
      </c>
      <c r="AI169" s="93"/>
      <c r="AJ169" s="86" t="s">
        <v>7016</v>
      </c>
      <c r="AL169" s="94"/>
      <c r="AM169" s="66" t="s">
        <v>7558</v>
      </c>
      <c r="AN169" s="66" t="s">
        <v>7561</v>
      </c>
      <c r="AO169" s="82"/>
      <c r="AP169" s="82">
        <v>0</v>
      </c>
      <c r="AQ169" s="82">
        <v>0</v>
      </c>
      <c r="AR169" s="82">
        <v>1</v>
      </c>
      <c r="AS169" s="82">
        <v>0</v>
      </c>
      <c r="AT169" s="82"/>
      <c r="AU169" s="82">
        <v>0</v>
      </c>
      <c r="AV169" s="82">
        <f t="shared" ref="AV169:AV171" si="64">IF(D169 = 1,1,0)</f>
        <v>1</v>
      </c>
      <c r="AW169" s="82" t="str">
        <f t="shared" si="60"/>
        <v>{s_taskTalk,{169,585}}</v>
      </c>
    </row>
    <row r="170" spans="1:49" s="78" customFormat="1" ht="72" x14ac:dyDescent="0.15">
      <c r="A170" s="88">
        <v>6326</v>
      </c>
      <c r="C170" s="82" t="s">
        <v>7493</v>
      </c>
      <c r="D170" s="82">
        <v>1</v>
      </c>
      <c r="E170" s="82">
        <v>0</v>
      </c>
      <c r="F170" s="82">
        <v>7</v>
      </c>
      <c r="G170" s="83">
        <v>53</v>
      </c>
      <c r="H170" s="82">
        <v>200</v>
      </c>
      <c r="I170" s="82">
        <v>0</v>
      </c>
      <c r="J170" s="83">
        <v>6329</v>
      </c>
      <c r="K170" s="82">
        <v>0</v>
      </c>
      <c r="L170" s="83">
        <v>169</v>
      </c>
      <c r="M170" s="83" t="s">
        <v>5069</v>
      </c>
      <c r="N170" s="89">
        <v>587</v>
      </c>
      <c r="O170" s="95" t="s">
        <v>7013</v>
      </c>
      <c r="Q170" s="91"/>
      <c r="R170" s="91"/>
      <c r="S170" s="91"/>
      <c r="T170" s="91"/>
      <c r="U170" s="78">
        <v>1</v>
      </c>
      <c r="V170" s="78">
        <v>1</v>
      </c>
      <c r="W170" s="79">
        <v>5</v>
      </c>
      <c r="Z170" s="21">
        <f>VLOOKUP(G170,Sheet2!A:H,8,0)</f>
        <v>586268</v>
      </c>
      <c r="AB170" s="92"/>
      <c r="AC170" s="23">
        <f>VLOOKUP(G170,Sheet2!A$2:K$151,9,FALSE)</f>
        <v>1240</v>
      </c>
      <c r="AF170" s="86" t="s">
        <v>7513</v>
      </c>
      <c r="AG170" s="86" t="s">
        <v>7106</v>
      </c>
      <c r="AH170" s="86" t="s">
        <v>7010</v>
      </c>
      <c r="AI170" s="93"/>
      <c r="AJ170" s="86" t="s">
        <v>7011</v>
      </c>
      <c r="AL170" s="94"/>
      <c r="AM170" s="66" t="s">
        <v>7559</v>
      </c>
      <c r="AN170" s="66" t="s">
        <v>7562</v>
      </c>
      <c r="AO170" s="82"/>
      <c r="AP170" s="82">
        <v>0</v>
      </c>
      <c r="AQ170" s="82">
        <v>0</v>
      </c>
      <c r="AR170" s="82">
        <v>1</v>
      </c>
      <c r="AS170" s="82">
        <v>0</v>
      </c>
      <c r="AT170" s="82"/>
      <c r="AU170" s="82">
        <v>0</v>
      </c>
      <c r="AV170" s="82">
        <f t="shared" si="64"/>
        <v>1</v>
      </c>
      <c r="AW170" s="82" t="str">
        <f t="shared" si="60"/>
        <v>{s_taskTalk,{169,587}}</v>
      </c>
    </row>
    <row r="171" spans="1:49" s="78" customFormat="1" ht="72" x14ac:dyDescent="0.15">
      <c r="A171" s="88">
        <v>6327</v>
      </c>
      <c r="C171" s="82" t="s">
        <v>7493</v>
      </c>
      <c r="D171" s="82">
        <v>1</v>
      </c>
      <c r="E171" s="82">
        <v>0</v>
      </c>
      <c r="F171" s="82">
        <v>7</v>
      </c>
      <c r="G171" s="83">
        <v>53</v>
      </c>
      <c r="H171" s="82">
        <v>200</v>
      </c>
      <c r="I171" s="82">
        <v>0</v>
      </c>
      <c r="J171" s="83">
        <v>6329</v>
      </c>
      <c r="K171" s="82">
        <v>0</v>
      </c>
      <c r="L171" s="83">
        <v>169</v>
      </c>
      <c r="M171" s="83" t="s">
        <v>5069</v>
      </c>
      <c r="N171" s="89">
        <v>589</v>
      </c>
      <c r="O171" s="858" t="s">
        <v>7014</v>
      </c>
      <c r="Q171" s="91"/>
      <c r="R171" s="91"/>
      <c r="S171" s="91"/>
      <c r="T171" s="91"/>
      <c r="U171" s="78">
        <v>1</v>
      </c>
      <c r="V171" s="78">
        <v>1</v>
      </c>
      <c r="W171" s="79">
        <v>5</v>
      </c>
      <c r="Z171" s="21">
        <f>VLOOKUP(G171,Sheet2!A:H,8,0)</f>
        <v>586268</v>
      </c>
      <c r="AB171" s="92"/>
      <c r="AC171" s="23">
        <f>VLOOKUP(G171,Sheet2!A$2:K$151,9,FALSE)</f>
        <v>1240</v>
      </c>
      <c r="AF171" s="86" t="s">
        <v>7514</v>
      </c>
      <c r="AG171" s="86" t="s">
        <v>7106</v>
      </c>
      <c r="AH171" s="86" t="s">
        <v>7010</v>
      </c>
      <c r="AI171" s="93"/>
      <c r="AJ171" s="86" t="s">
        <v>7011</v>
      </c>
      <c r="AL171" s="94"/>
      <c r="AM171" s="66" t="s">
        <v>7560</v>
      </c>
      <c r="AN171" s="66" t="s">
        <v>7563</v>
      </c>
      <c r="AO171" s="82"/>
      <c r="AP171" s="82">
        <v>0</v>
      </c>
      <c r="AQ171" s="82">
        <v>0</v>
      </c>
      <c r="AR171" s="82">
        <v>1</v>
      </c>
      <c r="AS171" s="82">
        <v>0</v>
      </c>
      <c r="AT171" s="82"/>
      <c r="AU171" s="82">
        <v>0</v>
      </c>
      <c r="AV171" s="82">
        <f t="shared" si="64"/>
        <v>1</v>
      </c>
      <c r="AW171" s="82" t="str">
        <f t="shared" si="60"/>
        <v>{s_taskTalk,{169,589}}</v>
      </c>
    </row>
    <row r="172" spans="1:49" s="26" customFormat="1" ht="72" x14ac:dyDescent="0.15">
      <c r="A172" s="39">
        <v>6336</v>
      </c>
      <c r="C172" s="275" t="s">
        <v>7494</v>
      </c>
      <c r="D172" s="275">
        <v>1</v>
      </c>
      <c r="E172" s="275">
        <v>2</v>
      </c>
      <c r="F172" s="275">
        <v>15</v>
      </c>
      <c r="G172" s="483">
        <v>53</v>
      </c>
      <c r="H172" s="275">
        <v>200</v>
      </c>
      <c r="I172" s="275">
        <v>0</v>
      </c>
      <c r="J172" s="483">
        <v>6324</v>
      </c>
      <c r="K172" s="275">
        <v>0</v>
      </c>
      <c r="L172" s="848">
        <v>585</v>
      </c>
      <c r="M172" s="851" t="s">
        <v>7012</v>
      </c>
      <c r="N172" s="849">
        <v>584</v>
      </c>
      <c r="O172" s="851" t="s">
        <v>7495</v>
      </c>
      <c r="Q172" s="43"/>
      <c r="R172" s="43"/>
      <c r="S172" s="43"/>
      <c r="T172" s="43"/>
      <c r="U172" s="26">
        <v>1</v>
      </c>
      <c r="V172" s="26">
        <v>1</v>
      </c>
      <c r="W172" s="44">
        <v>5</v>
      </c>
      <c r="Z172" s="278">
        <f>VLOOKUP(G172,Sheet2!A:H,8,0)</f>
        <v>586268</v>
      </c>
      <c r="AB172" s="45"/>
      <c r="AC172" s="23">
        <f>VLOOKUP(G172,Sheet2!A$2:K$151,9,FALSE)</f>
        <v>1240</v>
      </c>
      <c r="AF172" s="850" t="s">
        <v>7498</v>
      </c>
      <c r="AG172" s="850" t="s">
        <v>7496</v>
      </c>
      <c r="AH172" s="850" t="s">
        <v>7497</v>
      </c>
      <c r="AI172" s="47"/>
      <c r="AJ172" s="850" t="s">
        <v>7501</v>
      </c>
      <c r="AL172" s="48"/>
      <c r="AM172" s="66" t="s">
        <v>7551</v>
      </c>
      <c r="AN172" s="78" t="s">
        <v>7616</v>
      </c>
      <c r="AO172" s="275"/>
      <c r="AP172" s="275">
        <v>1</v>
      </c>
      <c r="AQ172" s="275">
        <v>0</v>
      </c>
      <c r="AR172" s="275">
        <v>0</v>
      </c>
      <c r="AS172" s="275">
        <v>0</v>
      </c>
      <c r="AT172" s="275"/>
      <c r="AU172" s="275">
        <v>0</v>
      </c>
      <c r="AV172" s="275">
        <f t="shared" ref="AV172:AV174" si="65">IF(D172 = 1,1,0)</f>
        <v>1</v>
      </c>
      <c r="AW172" s="275" t="str">
        <f t="shared" ref="AW172:AW174" si="66">"{s_taskTalk,{"&amp;L172&amp;","&amp;N172&amp;"}}"</f>
        <v>{s_taskTalk,{585,584}}</v>
      </c>
    </row>
    <row r="173" spans="1:49" s="26" customFormat="1" ht="72" x14ac:dyDescent="0.15">
      <c r="A173" s="39">
        <v>6337</v>
      </c>
      <c r="C173" s="275" t="s">
        <v>7494</v>
      </c>
      <c r="D173" s="275">
        <v>1</v>
      </c>
      <c r="E173" s="275">
        <v>3</v>
      </c>
      <c r="F173" s="275">
        <v>15</v>
      </c>
      <c r="G173" s="483">
        <v>53</v>
      </c>
      <c r="H173" s="275">
        <v>200</v>
      </c>
      <c r="I173" s="275">
        <v>0</v>
      </c>
      <c r="J173" s="483">
        <v>6324</v>
      </c>
      <c r="K173" s="275">
        <v>0</v>
      </c>
      <c r="L173" s="848">
        <v>587</v>
      </c>
      <c r="M173" s="852" t="s">
        <v>7013</v>
      </c>
      <c r="N173" s="849">
        <v>586</v>
      </c>
      <c r="O173" s="852" t="s">
        <v>7529</v>
      </c>
      <c r="Q173" s="43"/>
      <c r="R173" s="43"/>
      <c r="S173" s="43"/>
      <c r="T173" s="43"/>
      <c r="U173" s="26">
        <v>1</v>
      </c>
      <c r="V173" s="26">
        <v>1</v>
      </c>
      <c r="W173" s="44">
        <v>5</v>
      </c>
      <c r="Z173" s="278">
        <f>VLOOKUP(G173,Sheet2!A:H,8,0)</f>
        <v>586268</v>
      </c>
      <c r="AB173" s="45"/>
      <c r="AC173" s="23">
        <f>VLOOKUP(G173,Sheet2!A$2:K$151,9,FALSE)</f>
        <v>1240</v>
      </c>
      <c r="AF173" s="850" t="s">
        <v>7499</v>
      </c>
      <c r="AG173" s="850" t="s">
        <v>7496</v>
      </c>
      <c r="AH173" s="850" t="s">
        <v>7497</v>
      </c>
      <c r="AI173" s="47"/>
      <c r="AJ173" s="850" t="s">
        <v>7501</v>
      </c>
      <c r="AL173" s="48"/>
      <c r="AM173" s="66" t="s">
        <v>7552</v>
      </c>
      <c r="AN173" s="78" t="s">
        <v>7615</v>
      </c>
      <c r="AO173" s="275"/>
      <c r="AP173" s="275">
        <v>1</v>
      </c>
      <c r="AQ173" s="275">
        <v>0</v>
      </c>
      <c r="AR173" s="275">
        <v>0</v>
      </c>
      <c r="AS173" s="275">
        <v>0</v>
      </c>
      <c r="AT173" s="275"/>
      <c r="AU173" s="275">
        <v>0</v>
      </c>
      <c r="AV173" s="275">
        <f t="shared" si="65"/>
        <v>1</v>
      </c>
      <c r="AW173" s="275" t="str">
        <f t="shared" si="66"/>
        <v>{s_taskTalk,{587,586}}</v>
      </c>
    </row>
    <row r="174" spans="1:49" s="26" customFormat="1" ht="72" x14ac:dyDescent="0.15">
      <c r="A174" s="39">
        <v>6338</v>
      </c>
      <c r="C174" s="275" t="s">
        <v>7494</v>
      </c>
      <c r="D174" s="275">
        <v>1</v>
      </c>
      <c r="E174" s="275">
        <v>4</v>
      </c>
      <c r="F174" s="275">
        <v>15</v>
      </c>
      <c r="G174" s="483">
        <v>53</v>
      </c>
      <c r="H174" s="275">
        <v>200</v>
      </c>
      <c r="I174" s="275">
        <v>0</v>
      </c>
      <c r="J174" s="483">
        <v>6324</v>
      </c>
      <c r="K174" s="275">
        <v>0</v>
      </c>
      <c r="L174" s="848">
        <v>589</v>
      </c>
      <c r="M174" s="853" t="s">
        <v>7014</v>
      </c>
      <c r="N174" s="849">
        <v>588</v>
      </c>
      <c r="O174" s="853" t="s">
        <v>7530</v>
      </c>
      <c r="Q174" s="43"/>
      <c r="R174" s="43"/>
      <c r="S174" s="43"/>
      <c r="T174" s="43"/>
      <c r="U174" s="26">
        <v>1</v>
      </c>
      <c r="V174" s="26">
        <v>1</v>
      </c>
      <c r="W174" s="44">
        <v>5</v>
      </c>
      <c r="Z174" s="278">
        <f>VLOOKUP(G174,Sheet2!A:H,8,0)</f>
        <v>586268</v>
      </c>
      <c r="AB174" s="45"/>
      <c r="AC174" s="23">
        <f>VLOOKUP(G174,Sheet2!A$2:K$151,9,FALSE)</f>
        <v>1240</v>
      </c>
      <c r="AF174" s="850" t="s">
        <v>7500</v>
      </c>
      <c r="AG174" s="850" t="s">
        <v>7496</v>
      </c>
      <c r="AH174" s="850" t="s">
        <v>7497</v>
      </c>
      <c r="AI174" s="47"/>
      <c r="AJ174" s="850" t="s">
        <v>7501</v>
      </c>
      <c r="AL174" s="48"/>
      <c r="AM174" s="66" t="s">
        <v>7553</v>
      </c>
      <c r="AN174" s="78" t="s">
        <v>7554</v>
      </c>
      <c r="AO174" s="275"/>
      <c r="AP174" s="275">
        <v>1</v>
      </c>
      <c r="AQ174" s="275">
        <v>0</v>
      </c>
      <c r="AR174" s="275">
        <v>0</v>
      </c>
      <c r="AS174" s="275">
        <v>0</v>
      </c>
      <c r="AT174" s="275"/>
      <c r="AU174" s="275">
        <v>0</v>
      </c>
      <c r="AV174" s="275">
        <f t="shared" si="65"/>
        <v>1</v>
      </c>
      <c r="AW174" s="275" t="str">
        <f t="shared" si="66"/>
        <v>{s_taskTalk,{589,588}}</v>
      </c>
    </row>
    <row r="175" spans="1:49" s="556" customFormat="1" ht="72" x14ac:dyDescent="0.15">
      <c r="A175" s="677">
        <v>6339</v>
      </c>
      <c r="C175" s="682" t="s">
        <v>7502</v>
      </c>
      <c r="D175" s="682">
        <v>1</v>
      </c>
      <c r="E175" s="682">
        <v>2</v>
      </c>
      <c r="F175" s="682">
        <v>15</v>
      </c>
      <c r="G175" s="854">
        <v>54</v>
      </c>
      <c r="H175" s="682">
        <v>200</v>
      </c>
      <c r="I175" s="682">
        <v>0</v>
      </c>
      <c r="J175" s="854">
        <v>6336</v>
      </c>
      <c r="K175" s="682">
        <v>0</v>
      </c>
      <c r="L175" s="849">
        <v>584</v>
      </c>
      <c r="M175" s="851" t="s">
        <v>7495</v>
      </c>
      <c r="N175" s="78">
        <v>521</v>
      </c>
      <c r="O175" s="78" t="s">
        <v>5123</v>
      </c>
      <c r="Q175" s="679"/>
      <c r="R175" s="679"/>
      <c r="S175" s="679"/>
      <c r="T175" s="679"/>
      <c r="U175" s="556">
        <v>1</v>
      </c>
      <c r="V175" s="556">
        <v>1</v>
      </c>
      <c r="W175" s="855">
        <v>5</v>
      </c>
      <c r="Z175" s="680">
        <f>VLOOKUP(G175,Sheet2!A:H,8,0)</f>
        <v>301363</v>
      </c>
      <c r="AB175" s="681"/>
      <c r="AC175" s="23">
        <f>VLOOKUP(G175,Sheet2!A$2:K$151,9,FALSE)</f>
        <v>630</v>
      </c>
      <c r="AF175" s="856" t="s">
        <v>7503</v>
      </c>
      <c r="AG175" s="856" t="s">
        <v>7504</v>
      </c>
      <c r="AH175" s="856" t="s">
        <v>7505</v>
      </c>
      <c r="AI175" s="857"/>
      <c r="AJ175" s="856" t="s">
        <v>7506</v>
      </c>
      <c r="AL175" s="678"/>
      <c r="AM175" s="96" t="s">
        <v>7566</v>
      </c>
      <c r="AN175" s="78" t="s">
        <v>7544</v>
      </c>
      <c r="AO175" s="682"/>
      <c r="AP175" s="682">
        <v>1</v>
      </c>
      <c r="AQ175" s="682">
        <v>0</v>
      </c>
      <c r="AR175" s="682">
        <v>0</v>
      </c>
      <c r="AS175" s="682">
        <v>1</v>
      </c>
      <c r="AT175" s="682"/>
      <c r="AU175" s="682">
        <v>0</v>
      </c>
      <c r="AV175" s="682">
        <f t="shared" ref="AV175:AV177" si="67">IF(D175 = 1,1,0)</f>
        <v>1</v>
      </c>
      <c r="AW175" s="682" t="str">
        <f t="shared" ref="AW175:AW177" si="68">"{s_taskTalk,{"&amp;L175&amp;","&amp;N175&amp;"}}"</f>
        <v>{s_taskTalk,{584,521}}</v>
      </c>
    </row>
    <row r="176" spans="1:49" s="556" customFormat="1" ht="72" x14ac:dyDescent="0.15">
      <c r="A176" s="677">
        <v>6340</v>
      </c>
      <c r="C176" s="682" t="s">
        <v>7502</v>
      </c>
      <c r="D176" s="682">
        <v>1</v>
      </c>
      <c r="E176" s="682">
        <v>3</v>
      </c>
      <c r="F176" s="682">
        <v>15</v>
      </c>
      <c r="G176" s="854">
        <v>54</v>
      </c>
      <c r="H176" s="682">
        <v>200</v>
      </c>
      <c r="I176" s="682">
        <v>0</v>
      </c>
      <c r="J176" s="854">
        <v>6337</v>
      </c>
      <c r="K176" s="682">
        <v>0</v>
      </c>
      <c r="L176" s="849">
        <v>586</v>
      </c>
      <c r="M176" s="852" t="s">
        <v>7529</v>
      </c>
      <c r="N176" s="78">
        <v>521</v>
      </c>
      <c r="O176" s="78" t="s">
        <v>5123</v>
      </c>
      <c r="Q176" s="679"/>
      <c r="R176" s="679"/>
      <c r="S176" s="679"/>
      <c r="T176" s="679"/>
      <c r="U176" s="556">
        <v>1</v>
      </c>
      <c r="V176" s="556">
        <v>1</v>
      </c>
      <c r="W176" s="855">
        <v>5</v>
      </c>
      <c r="Z176" s="680">
        <f>VLOOKUP(G176,Sheet2!A:H,8,0)</f>
        <v>301363</v>
      </c>
      <c r="AB176" s="681"/>
      <c r="AC176" s="23">
        <f>VLOOKUP(G176,Sheet2!A$2:K$151,9,FALSE)</f>
        <v>630</v>
      </c>
      <c r="AF176" s="856" t="s">
        <v>7503</v>
      </c>
      <c r="AG176" s="856" t="s">
        <v>7504</v>
      </c>
      <c r="AH176" s="856" t="s">
        <v>7505</v>
      </c>
      <c r="AI176" s="857"/>
      <c r="AJ176" s="856" t="s">
        <v>7506</v>
      </c>
      <c r="AL176" s="678"/>
      <c r="AM176" s="96" t="s">
        <v>7545</v>
      </c>
      <c r="AN176" s="78" t="s">
        <v>7546</v>
      </c>
      <c r="AO176" s="682"/>
      <c r="AP176" s="682">
        <v>1</v>
      </c>
      <c r="AQ176" s="682">
        <v>0</v>
      </c>
      <c r="AR176" s="682">
        <v>0</v>
      </c>
      <c r="AS176" s="682">
        <v>1</v>
      </c>
      <c r="AT176" s="682"/>
      <c r="AU176" s="682">
        <v>0</v>
      </c>
      <c r="AV176" s="682">
        <f t="shared" si="67"/>
        <v>1</v>
      </c>
      <c r="AW176" s="682" t="str">
        <f t="shared" si="68"/>
        <v>{s_taskTalk,{586,521}}</v>
      </c>
    </row>
    <row r="177" spans="1:49" s="556" customFormat="1" ht="72" x14ac:dyDescent="0.15">
      <c r="A177" s="677">
        <v>6341</v>
      </c>
      <c r="C177" s="682" t="s">
        <v>7502</v>
      </c>
      <c r="D177" s="682">
        <v>1</v>
      </c>
      <c r="E177" s="682">
        <v>4</v>
      </c>
      <c r="F177" s="682">
        <v>15</v>
      </c>
      <c r="G177" s="854">
        <v>54</v>
      </c>
      <c r="H177" s="682">
        <v>200</v>
      </c>
      <c r="I177" s="682">
        <v>0</v>
      </c>
      <c r="J177" s="854">
        <v>6338</v>
      </c>
      <c r="K177" s="682">
        <v>0</v>
      </c>
      <c r="L177" s="849">
        <v>588</v>
      </c>
      <c r="M177" s="853" t="s">
        <v>7530</v>
      </c>
      <c r="N177" s="78">
        <v>521</v>
      </c>
      <c r="O177" s="78" t="s">
        <v>5123</v>
      </c>
      <c r="Q177" s="679"/>
      <c r="R177" s="679"/>
      <c r="S177" s="679"/>
      <c r="T177" s="679"/>
      <c r="U177" s="556">
        <v>1</v>
      </c>
      <c r="V177" s="556">
        <v>1</v>
      </c>
      <c r="W177" s="855">
        <v>5</v>
      </c>
      <c r="Z177" s="680">
        <f>VLOOKUP(G177,Sheet2!A:H,8,0)</f>
        <v>301363</v>
      </c>
      <c r="AB177" s="681"/>
      <c r="AC177" s="23">
        <f>VLOOKUP(G177,Sheet2!A$2:K$151,9,FALSE)</f>
        <v>630</v>
      </c>
      <c r="AF177" s="856" t="s">
        <v>7503</v>
      </c>
      <c r="AG177" s="856" t="s">
        <v>7504</v>
      </c>
      <c r="AH177" s="856" t="s">
        <v>7505</v>
      </c>
      <c r="AI177" s="857"/>
      <c r="AJ177" s="856" t="s">
        <v>7506</v>
      </c>
      <c r="AL177" s="678"/>
      <c r="AM177" s="96" t="s">
        <v>8757</v>
      </c>
      <c r="AN177" s="78" t="s">
        <v>7547</v>
      </c>
      <c r="AO177" s="682"/>
      <c r="AP177" s="682">
        <v>1</v>
      </c>
      <c r="AQ177" s="682">
        <v>0</v>
      </c>
      <c r="AR177" s="682">
        <v>0</v>
      </c>
      <c r="AS177" s="682">
        <v>1</v>
      </c>
      <c r="AT177" s="682"/>
      <c r="AU177" s="682">
        <v>0</v>
      </c>
      <c r="AV177" s="682">
        <f t="shared" si="67"/>
        <v>1</v>
      </c>
      <c r="AW177" s="682" t="str">
        <f t="shared" si="68"/>
        <v>{s_taskTalk,{588,521}}</v>
      </c>
    </row>
    <row r="178" spans="1:49" s="78" customFormat="1" ht="72" x14ac:dyDescent="0.15">
      <c r="A178" s="88">
        <v>6302</v>
      </c>
      <c r="C178" s="78" t="s">
        <v>7507</v>
      </c>
      <c r="D178" s="78">
        <v>1</v>
      </c>
      <c r="E178" s="78">
        <v>0</v>
      </c>
      <c r="F178" s="78">
        <v>4</v>
      </c>
      <c r="G178" s="94">
        <v>54</v>
      </c>
      <c r="H178" s="78">
        <v>200</v>
      </c>
      <c r="I178" s="17">
        <v>0</v>
      </c>
      <c r="J178" s="67">
        <v>6339</v>
      </c>
      <c r="K178" s="66">
        <v>0</v>
      </c>
      <c r="L178" s="78">
        <v>521</v>
      </c>
      <c r="M178" s="78" t="s">
        <v>5069</v>
      </c>
      <c r="N178" s="78">
        <v>521</v>
      </c>
      <c r="O178" s="78" t="s">
        <v>5123</v>
      </c>
      <c r="Q178" s="91"/>
      <c r="R178" s="91"/>
      <c r="S178" s="91">
        <v>10012</v>
      </c>
      <c r="T178" s="91"/>
      <c r="U178" s="78">
        <v>30</v>
      </c>
      <c r="V178" s="78">
        <v>0</v>
      </c>
      <c r="W178" s="79">
        <v>5</v>
      </c>
      <c r="Z178" s="21">
        <f>VLOOKUP(G178,Sheet2!A:H,8,0)</f>
        <v>301363</v>
      </c>
      <c r="AB178" s="92"/>
      <c r="AC178" s="23">
        <f>VLOOKUP(G178,Sheet2!A$2:K$151,9,FALSE)</f>
        <v>630</v>
      </c>
      <c r="AG178" s="93" t="s">
        <v>6966</v>
      </c>
      <c r="AH178" s="93" t="s">
        <v>6967</v>
      </c>
      <c r="AI178" s="93"/>
      <c r="AJ178" s="71" t="s">
        <v>6968</v>
      </c>
      <c r="AL178" s="94">
        <v>0</v>
      </c>
      <c r="AM178" s="78" t="s">
        <v>7567</v>
      </c>
      <c r="AN178" s="78" t="s">
        <v>7568</v>
      </c>
      <c r="AP178" s="78">
        <v>1</v>
      </c>
      <c r="AQ178" s="78">
        <v>0</v>
      </c>
      <c r="AR178" s="78">
        <v>1</v>
      </c>
      <c r="AS178" s="78">
        <v>1</v>
      </c>
      <c r="AU178" s="78">
        <v>0</v>
      </c>
      <c r="AV178" s="17">
        <f t="shared" si="35"/>
        <v>1</v>
      </c>
      <c r="AW178" s="78" t="str">
        <f>"{s_taskKillNpc, {"&amp;L178&amp;","&amp;N178&amp;","&amp;S178&amp;","&amp;U178&amp;"}}"</f>
        <v>{s_taskKillNpc, {521,521,10012,30}}</v>
      </c>
    </row>
    <row r="179" spans="1:49" s="78" customFormat="1" ht="72" x14ac:dyDescent="0.15">
      <c r="A179" s="88">
        <v>6303</v>
      </c>
      <c r="C179" s="78" t="s">
        <v>7508</v>
      </c>
      <c r="D179" s="78">
        <v>1</v>
      </c>
      <c r="E179" s="78">
        <v>0</v>
      </c>
      <c r="F179" s="78">
        <v>4</v>
      </c>
      <c r="G179" s="94">
        <v>54</v>
      </c>
      <c r="H179" s="78">
        <v>200</v>
      </c>
      <c r="I179" s="17">
        <v>0</v>
      </c>
      <c r="J179" s="67">
        <v>6302</v>
      </c>
      <c r="K179" s="66">
        <v>0</v>
      </c>
      <c r="L179" s="78">
        <v>521</v>
      </c>
      <c r="M179" s="78" t="s">
        <v>5069</v>
      </c>
      <c r="N179" s="78">
        <v>522</v>
      </c>
      <c r="O179" s="78" t="s">
        <v>5124</v>
      </c>
      <c r="Q179" s="91"/>
      <c r="R179" s="91"/>
      <c r="S179" s="91"/>
      <c r="T179" s="91"/>
      <c r="U179" s="78">
        <v>1</v>
      </c>
      <c r="V179" s="78">
        <v>1</v>
      </c>
      <c r="W179" s="79">
        <v>5</v>
      </c>
      <c r="Z179" s="21">
        <f>VLOOKUP(G179,Sheet2!A:H,8,0)</f>
        <v>301363</v>
      </c>
      <c r="AB179" s="92"/>
      <c r="AC179" s="23">
        <f>VLOOKUP(G179,Sheet2!A$2:K$151,9,FALSE)</f>
        <v>630</v>
      </c>
      <c r="AD179" s="32"/>
      <c r="AF179" s="93" t="s">
        <v>7509</v>
      </c>
      <c r="AG179" s="93" t="s">
        <v>6969</v>
      </c>
      <c r="AH179" s="93" t="s">
        <v>6970</v>
      </c>
      <c r="AI179" s="93"/>
      <c r="AJ179" s="71" t="s">
        <v>7057</v>
      </c>
      <c r="AL179" s="94">
        <v>0</v>
      </c>
      <c r="AM179" s="96" t="s">
        <v>7569</v>
      </c>
      <c r="AN179" s="78" t="s">
        <v>7570</v>
      </c>
      <c r="AP179" s="78">
        <v>1</v>
      </c>
      <c r="AQ179" s="78">
        <v>0</v>
      </c>
      <c r="AR179" s="78">
        <v>1</v>
      </c>
      <c r="AS179" s="78">
        <v>1</v>
      </c>
      <c r="AU179" s="78">
        <v>0</v>
      </c>
      <c r="AV179" s="17">
        <f t="shared" si="35"/>
        <v>1</v>
      </c>
      <c r="AW179" s="78" t="str">
        <f t="shared" si="60"/>
        <v>{s_taskTalk,{521,522}}</v>
      </c>
    </row>
    <row r="180" spans="1:49" s="78" customFormat="1" ht="72" x14ac:dyDescent="0.15">
      <c r="A180" s="88">
        <v>6304</v>
      </c>
      <c r="C180" s="78" t="s">
        <v>7516</v>
      </c>
      <c r="D180" s="78">
        <v>1</v>
      </c>
      <c r="E180" s="78">
        <v>0</v>
      </c>
      <c r="F180" s="78">
        <v>4</v>
      </c>
      <c r="G180" s="94">
        <v>54</v>
      </c>
      <c r="H180" s="78">
        <v>200</v>
      </c>
      <c r="I180" s="17">
        <v>0</v>
      </c>
      <c r="J180" s="67">
        <v>6303</v>
      </c>
      <c r="K180" s="66">
        <v>0</v>
      </c>
      <c r="L180" s="78">
        <v>522</v>
      </c>
      <c r="M180" s="78" t="s">
        <v>4861</v>
      </c>
      <c r="N180" s="78">
        <v>522</v>
      </c>
      <c r="O180" s="78" t="s">
        <v>4861</v>
      </c>
      <c r="Q180" s="91"/>
      <c r="R180" s="91"/>
      <c r="S180" s="91">
        <v>10012</v>
      </c>
      <c r="T180" s="91"/>
      <c r="U180" s="78">
        <v>30</v>
      </c>
      <c r="V180" s="78">
        <v>0</v>
      </c>
      <c r="W180" s="79">
        <v>5</v>
      </c>
      <c r="Z180" s="21">
        <f>VLOOKUP(G180,Sheet2!A:H,8,0)</f>
        <v>301363</v>
      </c>
      <c r="AB180" s="92"/>
      <c r="AC180" s="23">
        <f>VLOOKUP(G180,Sheet2!A$2:K$151,9,FALSE)</f>
        <v>630</v>
      </c>
      <c r="AF180" s="93" t="s">
        <v>7517</v>
      </c>
      <c r="AG180" s="93" t="s">
        <v>6971</v>
      </c>
      <c r="AH180" s="93" t="s">
        <v>6972</v>
      </c>
      <c r="AI180" s="93"/>
      <c r="AJ180" s="71" t="s">
        <v>7058</v>
      </c>
      <c r="AL180" s="94">
        <v>0</v>
      </c>
      <c r="AM180" s="96" t="s">
        <v>7571</v>
      </c>
      <c r="AN180" s="78" t="s">
        <v>7572</v>
      </c>
      <c r="AP180" s="78">
        <v>1</v>
      </c>
      <c r="AQ180" s="78">
        <v>0</v>
      </c>
      <c r="AR180" s="78">
        <v>1</v>
      </c>
      <c r="AS180" s="78">
        <v>1</v>
      </c>
      <c r="AU180" s="78">
        <v>0</v>
      </c>
      <c r="AV180" s="17">
        <f t="shared" si="35"/>
        <v>1</v>
      </c>
      <c r="AW180" s="78" t="str">
        <f>"{s_taskKillNpc, {"&amp;L180&amp;","&amp;N180&amp;","&amp;S180&amp;","&amp;U180&amp;"}}"</f>
        <v>{s_taskKillNpc, {522,522,10012,30}}</v>
      </c>
    </row>
    <row r="181" spans="1:49" s="78" customFormat="1" ht="72" x14ac:dyDescent="0.15">
      <c r="A181" s="88">
        <v>6305</v>
      </c>
      <c r="C181" s="78" t="s">
        <v>7518</v>
      </c>
      <c r="D181" s="78">
        <v>1</v>
      </c>
      <c r="E181" s="78">
        <v>0</v>
      </c>
      <c r="F181" s="78">
        <v>4</v>
      </c>
      <c r="G181" s="94">
        <v>55</v>
      </c>
      <c r="H181" s="78">
        <v>200</v>
      </c>
      <c r="I181" s="17">
        <v>0</v>
      </c>
      <c r="J181" s="67">
        <v>6304</v>
      </c>
      <c r="K181" s="66">
        <v>0</v>
      </c>
      <c r="L181" s="78">
        <v>522</v>
      </c>
      <c r="M181" s="78" t="s">
        <v>4861</v>
      </c>
      <c r="N181" s="78">
        <v>522</v>
      </c>
      <c r="O181" s="78" t="s">
        <v>4861</v>
      </c>
      <c r="Q181" s="91">
        <v>2031</v>
      </c>
      <c r="R181" s="91"/>
      <c r="S181" s="91"/>
      <c r="T181" s="91"/>
      <c r="U181" s="78">
        <v>5</v>
      </c>
      <c r="V181" s="78">
        <v>0</v>
      </c>
      <c r="W181" s="79">
        <v>5</v>
      </c>
      <c r="Z181" s="21">
        <f>VLOOKUP(G181,Sheet2!A:H,8,0)</f>
        <v>309668</v>
      </c>
      <c r="AB181" s="92"/>
      <c r="AC181" s="23">
        <f>VLOOKUP(G181,Sheet2!A$2:K$151,9,FALSE)</f>
        <v>640</v>
      </c>
      <c r="AF181" s="93" t="s">
        <v>7524</v>
      </c>
      <c r="AG181" s="93" t="s">
        <v>6974</v>
      </c>
      <c r="AH181" s="93" t="s">
        <v>6975</v>
      </c>
      <c r="AI181" s="93"/>
      <c r="AJ181" s="71" t="s">
        <v>6976</v>
      </c>
      <c r="AL181" s="94">
        <v>0</v>
      </c>
      <c r="AM181" s="96" t="s">
        <v>7573</v>
      </c>
      <c r="AN181" s="78" t="s">
        <v>7574</v>
      </c>
      <c r="AO181" s="32" t="s">
        <v>5345</v>
      </c>
      <c r="AP181" s="78">
        <v>1</v>
      </c>
      <c r="AQ181" s="78">
        <v>0</v>
      </c>
      <c r="AR181" s="78">
        <v>1</v>
      </c>
      <c r="AS181" s="78">
        <v>1</v>
      </c>
      <c r="AU181" s="78">
        <v>0</v>
      </c>
      <c r="AV181" s="17">
        <f t="shared" si="35"/>
        <v>1</v>
      </c>
      <c r="AW181" s="78" t="str">
        <f t="shared" si="60"/>
        <v>{s_taskTalk,{522,522}}</v>
      </c>
    </row>
    <row r="182" spans="1:49" s="78" customFormat="1" ht="72" x14ac:dyDescent="0.15">
      <c r="A182" s="88">
        <v>6306</v>
      </c>
      <c r="C182" s="78" t="s">
        <v>7519</v>
      </c>
      <c r="D182" s="78">
        <v>1</v>
      </c>
      <c r="E182" s="78">
        <v>0</v>
      </c>
      <c r="F182" s="78">
        <v>4</v>
      </c>
      <c r="G182" s="94">
        <v>55</v>
      </c>
      <c r="H182" s="78">
        <v>200</v>
      </c>
      <c r="I182" s="17">
        <v>0</v>
      </c>
      <c r="J182" s="67">
        <v>6305</v>
      </c>
      <c r="K182" s="66">
        <v>0</v>
      </c>
      <c r="L182" s="78">
        <v>522</v>
      </c>
      <c r="M182" s="78" t="s">
        <v>4861</v>
      </c>
      <c r="N182" s="78">
        <v>523</v>
      </c>
      <c r="O182" s="97" t="s">
        <v>5316</v>
      </c>
      <c r="Q182" s="91"/>
      <c r="R182" s="91"/>
      <c r="S182" s="91"/>
      <c r="T182" s="91"/>
      <c r="U182" s="78">
        <v>1</v>
      </c>
      <c r="V182" s="78">
        <v>1</v>
      </c>
      <c r="W182" s="79">
        <v>5</v>
      </c>
      <c r="Z182" s="21">
        <f>VLOOKUP(G182,Sheet2!A:H,8,0)</f>
        <v>309668</v>
      </c>
      <c r="AB182" s="92"/>
      <c r="AC182" s="23">
        <f>VLOOKUP(G182,Sheet2!A$2:K$151,9,FALSE)</f>
        <v>640</v>
      </c>
      <c r="AF182" s="98" t="s">
        <v>7525</v>
      </c>
      <c r="AG182" s="98" t="s">
        <v>6977</v>
      </c>
      <c r="AH182" s="93" t="s">
        <v>6978</v>
      </c>
      <c r="AI182" s="93"/>
      <c r="AJ182" s="98" t="s">
        <v>7059</v>
      </c>
      <c r="AL182" s="94">
        <v>0</v>
      </c>
      <c r="AM182" s="96" t="s">
        <v>7575</v>
      </c>
      <c r="AN182" s="78" t="s">
        <v>7576</v>
      </c>
      <c r="AP182" s="78">
        <v>1</v>
      </c>
      <c r="AQ182" s="78">
        <v>0</v>
      </c>
      <c r="AR182" s="78">
        <v>1</v>
      </c>
      <c r="AS182" s="78">
        <v>1</v>
      </c>
      <c r="AU182" s="78">
        <v>0</v>
      </c>
      <c r="AV182" s="17">
        <f t="shared" ref="AV182:AV251" si="69">IF(D182 = 1,1,0)</f>
        <v>1</v>
      </c>
      <c r="AW182" s="78" t="str">
        <f t="shared" si="60"/>
        <v>{s_taskTalk,{522,523}}</v>
      </c>
    </row>
    <row r="183" spans="1:49" s="78" customFormat="1" ht="72" x14ac:dyDescent="0.15">
      <c r="A183" s="88">
        <v>6307</v>
      </c>
      <c r="C183" s="78" t="s">
        <v>7520</v>
      </c>
      <c r="D183" s="78">
        <v>1</v>
      </c>
      <c r="E183" s="78">
        <v>0</v>
      </c>
      <c r="F183" s="78">
        <v>4</v>
      </c>
      <c r="G183" s="94">
        <v>55</v>
      </c>
      <c r="H183" s="78">
        <v>200</v>
      </c>
      <c r="I183" s="17">
        <v>0</v>
      </c>
      <c r="J183" s="67">
        <v>6306</v>
      </c>
      <c r="K183" s="66">
        <v>0</v>
      </c>
      <c r="L183" s="78">
        <v>523</v>
      </c>
      <c r="M183" s="97" t="s">
        <v>5316</v>
      </c>
      <c r="N183" s="78">
        <v>523</v>
      </c>
      <c r="O183" s="97" t="s">
        <v>5316</v>
      </c>
      <c r="Q183" s="91">
        <v>2032</v>
      </c>
      <c r="R183" s="91"/>
      <c r="S183" s="91"/>
      <c r="T183" s="91"/>
      <c r="U183" s="78">
        <v>5</v>
      </c>
      <c r="W183" s="79">
        <v>0</v>
      </c>
      <c r="X183" s="78">
        <v>5</v>
      </c>
      <c r="Z183" s="21">
        <f>VLOOKUP(G183,Sheet2!A:H,8,0)</f>
        <v>309668</v>
      </c>
      <c r="AB183" s="92"/>
      <c r="AC183" s="23">
        <f>VLOOKUP(G183,Sheet2!A$2:K$151,9,FALSE)</f>
        <v>640</v>
      </c>
      <c r="AF183" s="93" t="s">
        <v>7526</v>
      </c>
      <c r="AG183" s="93" t="s">
        <v>6979</v>
      </c>
      <c r="AH183" s="93" t="s">
        <v>6980</v>
      </c>
      <c r="AI183" s="93"/>
      <c r="AJ183" s="71" t="s">
        <v>6982</v>
      </c>
      <c r="AL183" s="94">
        <v>0</v>
      </c>
      <c r="AM183" s="96" t="s">
        <v>7577</v>
      </c>
      <c r="AN183" s="78" t="s">
        <v>7578</v>
      </c>
      <c r="AO183" s="32" t="s">
        <v>6557</v>
      </c>
      <c r="AP183" s="78">
        <v>1</v>
      </c>
      <c r="AQ183" s="78">
        <v>0</v>
      </c>
      <c r="AR183" s="78">
        <v>1</v>
      </c>
      <c r="AS183" s="78">
        <v>1</v>
      </c>
      <c r="AU183" s="78">
        <v>0</v>
      </c>
      <c r="AV183" s="17">
        <f t="shared" si="69"/>
        <v>1</v>
      </c>
      <c r="AW183" s="78" t="str">
        <f t="shared" si="60"/>
        <v>{s_taskTalk,{523,523}}</v>
      </c>
    </row>
    <row r="184" spans="1:49" s="78" customFormat="1" ht="72" x14ac:dyDescent="0.15">
      <c r="A184" s="88">
        <v>6308</v>
      </c>
      <c r="C184" s="78" t="s">
        <v>7521</v>
      </c>
      <c r="D184" s="78">
        <v>1</v>
      </c>
      <c r="E184" s="78">
        <v>0</v>
      </c>
      <c r="F184" s="78">
        <v>4</v>
      </c>
      <c r="G184" s="94">
        <v>55</v>
      </c>
      <c r="H184" s="78">
        <v>200</v>
      </c>
      <c r="I184" s="17">
        <v>0</v>
      </c>
      <c r="J184" s="67">
        <v>6307</v>
      </c>
      <c r="K184" s="66">
        <v>0</v>
      </c>
      <c r="L184" s="78">
        <v>523</v>
      </c>
      <c r="M184" s="97" t="s">
        <v>5316</v>
      </c>
      <c r="N184" s="78">
        <v>523</v>
      </c>
      <c r="O184" s="97" t="s">
        <v>5316</v>
      </c>
      <c r="Q184" s="91"/>
      <c r="R184" s="91"/>
      <c r="S184" s="91">
        <v>10013</v>
      </c>
      <c r="T184" s="91"/>
      <c r="U184" s="78">
        <v>40</v>
      </c>
      <c r="V184" s="78">
        <v>0</v>
      </c>
      <c r="W184" s="79">
        <v>5</v>
      </c>
      <c r="Z184" s="21">
        <f>VLOOKUP(G184,Sheet2!A:H,8,0)</f>
        <v>309668</v>
      </c>
      <c r="AB184" s="92"/>
      <c r="AC184" s="23">
        <f>VLOOKUP(G184,Sheet2!A$2:K$151,9,FALSE)</f>
        <v>640</v>
      </c>
      <c r="AF184" s="93" t="s">
        <v>7527</v>
      </c>
      <c r="AG184" s="93" t="s">
        <v>6981</v>
      </c>
      <c r="AH184" s="93" t="s">
        <v>6984</v>
      </c>
      <c r="AI184" s="93"/>
      <c r="AJ184" s="71" t="s">
        <v>6983</v>
      </c>
      <c r="AL184" s="94">
        <v>0</v>
      </c>
      <c r="AM184" s="96" t="s">
        <v>7579</v>
      </c>
      <c r="AN184" s="78" t="s">
        <v>7580</v>
      </c>
      <c r="AP184" s="78">
        <v>1</v>
      </c>
      <c r="AQ184" s="78">
        <v>0</v>
      </c>
      <c r="AR184" s="78">
        <v>1</v>
      </c>
      <c r="AS184" s="78">
        <v>1</v>
      </c>
      <c r="AU184" s="78">
        <v>0</v>
      </c>
      <c r="AV184" s="17">
        <f t="shared" si="69"/>
        <v>1</v>
      </c>
      <c r="AW184" s="78" t="str">
        <f>"{s_taskKillNpc, {"&amp;L184&amp;","&amp;N184&amp;","&amp;S184&amp;","&amp;U184&amp;"}}"</f>
        <v>{s_taskKillNpc, {523,523,10013,40}}</v>
      </c>
    </row>
    <row r="185" spans="1:49" s="78" customFormat="1" ht="72" x14ac:dyDescent="0.15">
      <c r="A185" s="88">
        <v>6309</v>
      </c>
      <c r="C185" s="78" t="s">
        <v>7522</v>
      </c>
      <c r="D185" s="78">
        <v>1</v>
      </c>
      <c r="E185" s="78">
        <v>0</v>
      </c>
      <c r="F185" s="78">
        <v>4</v>
      </c>
      <c r="G185" s="94">
        <v>56</v>
      </c>
      <c r="H185" s="78">
        <v>200</v>
      </c>
      <c r="I185" s="17">
        <v>0</v>
      </c>
      <c r="J185" s="67">
        <v>6308</v>
      </c>
      <c r="K185" s="66">
        <v>0</v>
      </c>
      <c r="L185" s="78">
        <v>523</v>
      </c>
      <c r="M185" s="97" t="s">
        <v>5316</v>
      </c>
      <c r="N185" s="78">
        <v>524</v>
      </c>
      <c r="O185" s="78" t="s">
        <v>5071</v>
      </c>
      <c r="Q185" s="91"/>
      <c r="R185" s="91"/>
      <c r="S185" s="91"/>
      <c r="T185" s="91"/>
      <c r="U185" s="78">
        <v>1</v>
      </c>
      <c r="V185" s="78">
        <v>1</v>
      </c>
      <c r="W185" s="79">
        <v>5</v>
      </c>
      <c r="Z185" s="21">
        <f>VLOOKUP(G185,Sheet2!A:H,8,0)</f>
        <v>318049</v>
      </c>
      <c r="AB185" s="92"/>
      <c r="AC185" s="23">
        <f>VLOOKUP(G185,Sheet2!A$2:K$151,9,FALSE)</f>
        <v>650</v>
      </c>
      <c r="AD185" s="32" t="s">
        <v>7167</v>
      </c>
      <c r="AF185" s="93" t="s">
        <v>7156</v>
      </c>
      <c r="AG185" s="93" t="s">
        <v>5072</v>
      </c>
      <c r="AH185" s="93" t="s">
        <v>5073</v>
      </c>
      <c r="AI185" s="93"/>
      <c r="AJ185" s="71" t="s">
        <v>7112</v>
      </c>
      <c r="AL185" s="94">
        <v>0</v>
      </c>
      <c r="AM185" s="96" t="s">
        <v>7582</v>
      </c>
      <c r="AN185" s="78" t="s">
        <v>7581</v>
      </c>
      <c r="AP185" s="78">
        <v>1</v>
      </c>
      <c r="AQ185" s="78">
        <v>0</v>
      </c>
      <c r="AR185" s="78">
        <v>1</v>
      </c>
      <c r="AS185" s="78">
        <v>1</v>
      </c>
      <c r="AU185" s="78">
        <v>0</v>
      </c>
      <c r="AV185" s="17">
        <f t="shared" si="69"/>
        <v>1</v>
      </c>
      <c r="AW185" s="78" t="str">
        <f t="shared" si="60"/>
        <v>{s_taskTalk,{523,524}}</v>
      </c>
    </row>
    <row r="186" spans="1:49" s="78" customFormat="1" ht="72" x14ac:dyDescent="0.15">
      <c r="A186" s="88">
        <v>6310</v>
      </c>
      <c r="C186" s="78" t="s">
        <v>7523</v>
      </c>
      <c r="D186" s="78">
        <v>1</v>
      </c>
      <c r="E186" s="78">
        <v>0</v>
      </c>
      <c r="F186" s="78">
        <v>4</v>
      </c>
      <c r="G186" s="94">
        <v>56</v>
      </c>
      <c r="H186" s="78">
        <v>200</v>
      </c>
      <c r="I186" s="17">
        <v>0</v>
      </c>
      <c r="J186" s="67">
        <v>6309</v>
      </c>
      <c r="K186" s="66">
        <v>0</v>
      </c>
      <c r="L186" s="78">
        <v>524</v>
      </c>
      <c r="M186" s="78" t="s">
        <v>5071</v>
      </c>
      <c r="N186" s="78">
        <v>524</v>
      </c>
      <c r="O186" s="78" t="s">
        <v>5125</v>
      </c>
      <c r="Q186" s="91">
        <v>2033</v>
      </c>
      <c r="R186" s="91"/>
      <c r="S186" s="91"/>
      <c r="T186" s="91"/>
      <c r="U186" s="78">
        <v>5</v>
      </c>
      <c r="W186" s="79">
        <v>0</v>
      </c>
      <c r="X186" s="78">
        <v>5</v>
      </c>
      <c r="Z186" s="21">
        <f>VLOOKUP(G186,Sheet2!A:H,8,0)</f>
        <v>318049</v>
      </c>
      <c r="AB186" s="92"/>
      <c r="AC186" s="23">
        <f>VLOOKUP(G186,Sheet2!A$2:K$151,9,FALSE)</f>
        <v>650</v>
      </c>
      <c r="AF186" s="93" t="s">
        <v>5074</v>
      </c>
      <c r="AG186" s="93" t="s">
        <v>5075</v>
      </c>
      <c r="AH186" s="93" t="s">
        <v>5076</v>
      </c>
      <c r="AI186" s="93"/>
      <c r="AJ186" s="71" t="s">
        <v>7060</v>
      </c>
      <c r="AL186" s="94">
        <v>0</v>
      </c>
      <c r="AM186" s="96" t="s">
        <v>7583</v>
      </c>
      <c r="AN186" s="78" t="s">
        <v>7584</v>
      </c>
      <c r="AO186" s="32" t="s">
        <v>6259</v>
      </c>
      <c r="AP186" s="78">
        <v>1</v>
      </c>
      <c r="AQ186" s="78">
        <v>0</v>
      </c>
      <c r="AR186" s="78">
        <v>1</v>
      </c>
      <c r="AS186" s="78">
        <v>1</v>
      </c>
      <c r="AU186" s="78">
        <v>0</v>
      </c>
      <c r="AV186" s="17">
        <f t="shared" si="69"/>
        <v>1</v>
      </c>
      <c r="AW186" s="78" t="str">
        <f t="shared" si="60"/>
        <v>{s_taskTalk,{524,524}}</v>
      </c>
    </row>
    <row r="187" spans="1:49" s="78" customFormat="1" ht="72" x14ac:dyDescent="0.15">
      <c r="A187" s="88">
        <v>6311</v>
      </c>
      <c r="C187" s="99" t="s">
        <v>6943</v>
      </c>
      <c r="D187" s="78">
        <v>1</v>
      </c>
      <c r="E187" s="78">
        <v>0</v>
      </c>
      <c r="F187" s="78">
        <v>4</v>
      </c>
      <c r="G187" s="94">
        <v>56</v>
      </c>
      <c r="H187" s="78">
        <v>200</v>
      </c>
      <c r="I187" s="17">
        <v>0</v>
      </c>
      <c r="J187" s="67">
        <v>6310</v>
      </c>
      <c r="K187" s="66">
        <v>0</v>
      </c>
      <c r="L187" s="78">
        <v>524</v>
      </c>
      <c r="M187" s="78" t="s">
        <v>5071</v>
      </c>
      <c r="N187" s="78">
        <v>525</v>
      </c>
      <c r="O187" s="97" t="s">
        <v>5317</v>
      </c>
      <c r="Q187" s="91"/>
      <c r="R187" s="91"/>
      <c r="S187" s="91"/>
      <c r="T187" s="91"/>
      <c r="U187" s="78">
        <v>1</v>
      </c>
      <c r="V187" s="78">
        <v>1</v>
      </c>
      <c r="W187" s="79">
        <v>5</v>
      </c>
      <c r="Z187" s="21">
        <f>VLOOKUP(G187,Sheet2!A:H,8,0)</f>
        <v>318049</v>
      </c>
      <c r="AB187" s="92"/>
      <c r="AC187" s="23">
        <f>VLOOKUP(G187,Sheet2!A$2:K$151,9,FALSE)</f>
        <v>650</v>
      </c>
      <c r="AF187" s="98" t="s">
        <v>5346</v>
      </c>
      <c r="AG187" s="98" t="s">
        <v>5347</v>
      </c>
      <c r="AH187" s="93" t="s">
        <v>5348</v>
      </c>
      <c r="AI187" s="93"/>
      <c r="AJ187" s="98" t="s">
        <v>7061</v>
      </c>
      <c r="AL187" s="94">
        <v>0</v>
      </c>
      <c r="AM187" s="96" t="s">
        <v>7585</v>
      </c>
      <c r="AN187" s="78" t="s">
        <v>7586</v>
      </c>
      <c r="AP187" s="78">
        <v>1</v>
      </c>
      <c r="AQ187" s="78">
        <v>0</v>
      </c>
      <c r="AR187" s="78">
        <v>1</v>
      </c>
      <c r="AS187" s="78">
        <v>1</v>
      </c>
      <c r="AU187" s="78">
        <v>0</v>
      </c>
      <c r="AV187" s="17">
        <f t="shared" si="69"/>
        <v>1</v>
      </c>
      <c r="AW187" s="78" t="str">
        <f t="shared" si="60"/>
        <v>{s_taskTalk,{524,525}}</v>
      </c>
    </row>
    <row r="188" spans="1:49" s="78" customFormat="1" ht="72" x14ac:dyDescent="0.15">
      <c r="A188" s="88">
        <v>6312</v>
      </c>
      <c r="C188" s="78" t="s">
        <v>6944</v>
      </c>
      <c r="D188" s="78">
        <v>1</v>
      </c>
      <c r="E188" s="78">
        <v>0</v>
      </c>
      <c r="F188" s="78">
        <v>4</v>
      </c>
      <c r="G188" s="94">
        <v>56</v>
      </c>
      <c r="H188" s="78">
        <v>200</v>
      </c>
      <c r="I188" s="17">
        <v>0</v>
      </c>
      <c r="J188" s="67">
        <v>6311</v>
      </c>
      <c r="K188" s="66">
        <v>0</v>
      </c>
      <c r="L188" s="78">
        <v>525</v>
      </c>
      <c r="M188" s="97" t="s">
        <v>5317</v>
      </c>
      <c r="N188" s="78">
        <v>526</v>
      </c>
      <c r="O188" s="97" t="s">
        <v>5349</v>
      </c>
      <c r="Q188" s="91">
        <v>2034</v>
      </c>
      <c r="R188" s="91"/>
      <c r="S188" s="91"/>
      <c r="T188" s="91"/>
      <c r="U188" s="78">
        <v>6</v>
      </c>
      <c r="W188" s="79">
        <v>0</v>
      </c>
      <c r="X188" s="78">
        <v>5</v>
      </c>
      <c r="Z188" s="21">
        <f>VLOOKUP(G188,Sheet2!A:H,8,0)</f>
        <v>318049</v>
      </c>
      <c r="AB188" s="92"/>
      <c r="AC188" s="23">
        <f>VLOOKUP(G188,Sheet2!A$2:K$151,9,FALSE)</f>
        <v>650</v>
      </c>
      <c r="AF188" s="93" t="s">
        <v>7157</v>
      </c>
      <c r="AG188" s="93" t="s">
        <v>5351</v>
      </c>
      <c r="AH188" s="93" t="s">
        <v>5350</v>
      </c>
      <c r="AI188" s="93"/>
      <c r="AJ188" s="71" t="s">
        <v>7062</v>
      </c>
      <c r="AL188" s="94">
        <v>0</v>
      </c>
      <c r="AM188" s="96" t="s">
        <v>7587</v>
      </c>
      <c r="AN188" s="78" t="s">
        <v>7588</v>
      </c>
      <c r="AO188" s="32" t="s">
        <v>5352</v>
      </c>
      <c r="AP188" s="78">
        <v>1</v>
      </c>
      <c r="AQ188" s="78">
        <v>0</v>
      </c>
      <c r="AR188" s="78">
        <v>1</v>
      </c>
      <c r="AS188" s="78">
        <v>1</v>
      </c>
      <c r="AU188" s="78">
        <v>0</v>
      </c>
      <c r="AV188" s="17">
        <f t="shared" si="69"/>
        <v>1</v>
      </c>
      <c r="AW188" s="78" t="str">
        <f t="shared" si="60"/>
        <v>{s_taskTalk,{525,526}}</v>
      </c>
    </row>
    <row r="189" spans="1:49" s="78" customFormat="1" ht="72" x14ac:dyDescent="0.15">
      <c r="A189" s="88">
        <v>6313</v>
      </c>
      <c r="C189" s="78" t="s">
        <v>5077</v>
      </c>
      <c r="D189" s="78">
        <v>1</v>
      </c>
      <c r="E189" s="78">
        <v>0</v>
      </c>
      <c r="F189" s="78">
        <v>4</v>
      </c>
      <c r="G189" s="94">
        <v>57</v>
      </c>
      <c r="H189" s="78">
        <v>200</v>
      </c>
      <c r="I189" s="17">
        <v>0</v>
      </c>
      <c r="J189" s="67">
        <v>6312</v>
      </c>
      <c r="K189" s="66">
        <v>0</v>
      </c>
      <c r="L189" s="78">
        <v>526</v>
      </c>
      <c r="M189" s="97" t="s">
        <v>5319</v>
      </c>
      <c r="N189" s="78">
        <v>528</v>
      </c>
      <c r="O189" s="78" t="s">
        <v>4862</v>
      </c>
      <c r="Q189" s="91">
        <v>2035</v>
      </c>
      <c r="R189" s="91"/>
      <c r="S189" s="91"/>
      <c r="T189" s="91"/>
      <c r="U189" s="78">
        <v>3</v>
      </c>
      <c r="W189" s="79">
        <v>0</v>
      </c>
      <c r="X189" s="78">
        <v>5</v>
      </c>
      <c r="Z189" s="21">
        <f>VLOOKUP(G189,Sheet2!A:H,8,0)</f>
        <v>435340</v>
      </c>
      <c r="AB189" s="92"/>
      <c r="AC189" s="23">
        <f>VLOOKUP(G189,Sheet2!A$2:K$151,9,FALSE)</f>
        <v>880</v>
      </c>
      <c r="AD189" s="32" t="s">
        <v>7439</v>
      </c>
      <c r="AF189" s="93" t="s">
        <v>5354</v>
      </c>
      <c r="AG189" s="93" t="s">
        <v>5355</v>
      </c>
      <c r="AH189" s="93" t="s">
        <v>5078</v>
      </c>
      <c r="AI189" s="93"/>
      <c r="AJ189" s="71" t="s">
        <v>7063</v>
      </c>
      <c r="AL189" s="94">
        <v>0</v>
      </c>
      <c r="AM189" s="96" t="s">
        <v>7589</v>
      </c>
      <c r="AN189" s="78" t="s">
        <v>7590</v>
      </c>
      <c r="AO189" s="32" t="s">
        <v>5353</v>
      </c>
      <c r="AP189" s="78">
        <v>1</v>
      </c>
      <c r="AQ189" s="78">
        <v>0</v>
      </c>
      <c r="AR189" s="78">
        <v>1</v>
      </c>
      <c r="AS189" s="78">
        <v>1</v>
      </c>
      <c r="AU189" s="78">
        <v>0</v>
      </c>
      <c r="AV189" s="17">
        <f t="shared" si="69"/>
        <v>1</v>
      </c>
      <c r="AW189" s="78" t="str">
        <f t="shared" si="60"/>
        <v>{s_taskTalk,{526,528}}</v>
      </c>
    </row>
    <row r="190" spans="1:49" s="78" customFormat="1" ht="72" x14ac:dyDescent="0.15">
      <c r="A190" s="88">
        <v>6314</v>
      </c>
      <c r="C190" s="78" t="s">
        <v>5079</v>
      </c>
      <c r="D190" s="78">
        <v>1</v>
      </c>
      <c r="E190" s="78">
        <v>0</v>
      </c>
      <c r="F190" s="78">
        <v>4</v>
      </c>
      <c r="G190" s="94">
        <v>57</v>
      </c>
      <c r="H190" s="78">
        <v>200</v>
      </c>
      <c r="I190" s="17">
        <v>0</v>
      </c>
      <c r="J190" s="67">
        <v>6313</v>
      </c>
      <c r="K190" s="66">
        <v>0</v>
      </c>
      <c r="L190" s="78">
        <v>528</v>
      </c>
      <c r="M190" s="78" t="s">
        <v>4862</v>
      </c>
      <c r="N190" s="78">
        <v>529</v>
      </c>
      <c r="O190" s="78" t="s">
        <v>4863</v>
      </c>
      <c r="Q190" s="91"/>
      <c r="R190" s="91"/>
      <c r="S190" s="91"/>
      <c r="T190" s="91"/>
      <c r="U190" s="78">
        <v>1</v>
      </c>
      <c r="V190" s="78">
        <v>1</v>
      </c>
      <c r="W190" s="79">
        <v>5</v>
      </c>
      <c r="Z190" s="21">
        <f>VLOOKUP(G190,Sheet2!A:H,8,0)</f>
        <v>435340</v>
      </c>
      <c r="AB190" s="92"/>
      <c r="AC190" s="23">
        <f>VLOOKUP(G190,Sheet2!A$2:K$151,9,FALSE)</f>
        <v>880</v>
      </c>
      <c r="AF190" s="93" t="s">
        <v>5356</v>
      </c>
      <c r="AG190" s="93" t="s">
        <v>5357</v>
      </c>
      <c r="AH190" s="93" t="s">
        <v>5379</v>
      </c>
      <c r="AI190" s="93"/>
      <c r="AJ190" s="71" t="s">
        <v>7064</v>
      </c>
      <c r="AL190" s="94">
        <v>0</v>
      </c>
      <c r="AM190" s="96" t="s">
        <v>7591</v>
      </c>
      <c r="AN190" s="78" t="s">
        <v>7592</v>
      </c>
      <c r="AP190" s="78">
        <v>1</v>
      </c>
      <c r="AQ190" s="78">
        <v>0</v>
      </c>
      <c r="AR190" s="78">
        <v>1</v>
      </c>
      <c r="AS190" s="78">
        <v>1</v>
      </c>
      <c r="AU190" s="78">
        <v>0</v>
      </c>
      <c r="AV190" s="17">
        <f t="shared" si="69"/>
        <v>1</v>
      </c>
      <c r="AW190" s="78" t="str">
        <f t="shared" si="60"/>
        <v>{s_taskTalk,{528,529}}</v>
      </c>
    </row>
    <row r="191" spans="1:49" s="78" customFormat="1" ht="72" x14ac:dyDescent="0.15">
      <c r="A191" s="88">
        <v>6315</v>
      </c>
      <c r="C191" s="78" t="s">
        <v>5358</v>
      </c>
      <c r="D191" s="78">
        <v>1</v>
      </c>
      <c r="E191" s="78">
        <v>0</v>
      </c>
      <c r="F191" s="78">
        <v>4</v>
      </c>
      <c r="G191" s="94">
        <v>57</v>
      </c>
      <c r="H191" s="78">
        <v>200</v>
      </c>
      <c r="I191" s="17">
        <v>0</v>
      </c>
      <c r="J191" s="67">
        <v>6314</v>
      </c>
      <c r="K191" s="66">
        <v>0</v>
      </c>
      <c r="L191" s="78">
        <v>529</v>
      </c>
      <c r="M191" s="78" t="s">
        <v>4863</v>
      </c>
      <c r="N191" s="78">
        <v>528</v>
      </c>
      <c r="O191" s="78" t="s">
        <v>4862</v>
      </c>
      <c r="Q191" s="91"/>
      <c r="R191" s="91"/>
      <c r="S191" s="91"/>
      <c r="T191" s="91"/>
      <c r="U191" s="78">
        <v>1</v>
      </c>
      <c r="V191" s="78">
        <v>1</v>
      </c>
      <c r="W191" s="79">
        <v>5</v>
      </c>
      <c r="Z191" s="21">
        <f>VLOOKUP(G191,Sheet2!A:H,8,0)</f>
        <v>435340</v>
      </c>
      <c r="AB191" s="92"/>
      <c r="AC191" s="23">
        <f>VLOOKUP(G191,Sheet2!A$2:K$151,9,FALSE)</f>
        <v>880</v>
      </c>
      <c r="AD191" s="32" t="s">
        <v>7167</v>
      </c>
      <c r="AF191" s="93" t="s">
        <v>7158</v>
      </c>
      <c r="AG191" s="93" t="s">
        <v>5359</v>
      </c>
      <c r="AH191" s="93" t="s">
        <v>5360</v>
      </c>
      <c r="AI191" s="93"/>
      <c r="AJ191" s="71" t="s">
        <v>6584</v>
      </c>
      <c r="AL191" s="94">
        <v>0</v>
      </c>
      <c r="AM191" s="96" t="s">
        <v>7593</v>
      </c>
      <c r="AN191" s="78" t="s">
        <v>7594</v>
      </c>
      <c r="AP191" s="78">
        <v>1</v>
      </c>
      <c r="AQ191" s="78">
        <v>0</v>
      </c>
      <c r="AR191" s="78">
        <v>1</v>
      </c>
      <c r="AS191" s="78">
        <v>1</v>
      </c>
      <c r="AU191" s="78">
        <v>0</v>
      </c>
      <c r="AV191" s="17">
        <f t="shared" si="69"/>
        <v>1</v>
      </c>
      <c r="AW191" s="78" t="str">
        <f t="shared" si="60"/>
        <v>{s_taskTalk,{529,528}}</v>
      </c>
    </row>
    <row r="192" spans="1:49" s="78" customFormat="1" ht="72" x14ac:dyDescent="0.15">
      <c r="A192" s="88">
        <v>6316</v>
      </c>
      <c r="C192" s="78" t="s">
        <v>5361</v>
      </c>
      <c r="D192" s="78">
        <v>1</v>
      </c>
      <c r="E192" s="78">
        <v>0</v>
      </c>
      <c r="F192" s="78">
        <v>4</v>
      </c>
      <c r="G192" s="94">
        <v>58</v>
      </c>
      <c r="H192" s="78">
        <v>200</v>
      </c>
      <c r="I192" s="17">
        <v>0</v>
      </c>
      <c r="J192" s="67">
        <v>6315</v>
      </c>
      <c r="K192" s="66">
        <v>0</v>
      </c>
      <c r="L192" s="78">
        <v>528</v>
      </c>
      <c r="M192" s="78" t="s">
        <v>4862</v>
      </c>
      <c r="N192" s="78">
        <v>525</v>
      </c>
      <c r="O192" s="97" t="s">
        <v>5317</v>
      </c>
      <c r="Q192" s="91"/>
      <c r="R192" s="91"/>
      <c r="S192" s="91"/>
      <c r="T192" s="91"/>
      <c r="U192" s="78">
        <v>1</v>
      </c>
      <c r="V192" s="78">
        <v>1</v>
      </c>
      <c r="W192" s="79">
        <v>5</v>
      </c>
      <c r="Z192" s="21">
        <f>VLOOKUP(G192,Sheet2!A:H,8,0)</f>
        <v>335036</v>
      </c>
      <c r="AB192" s="92"/>
      <c r="AC192" s="23">
        <f>VLOOKUP(G192,Sheet2!A$2:K$151,9,FALSE)</f>
        <v>670</v>
      </c>
      <c r="AF192" s="98" t="s">
        <v>7623</v>
      </c>
      <c r="AG192" s="98" t="s">
        <v>5362</v>
      </c>
      <c r="AH192" s="93" t="s">
        <v>5363</v>
      </c>
      <c r="AI192" s="93"/>
      <c r="AJ192" s="98" t="s">
        <v>7065</v>
      </c>
      <c r="AL192" s="94">
        <v>0</v>
      </c>
      <c r="AM192" s="96" t="s">
        <v>7595</v>
      </c>
      <c r="AN192" s="78" t="s">
        <v>7596</v>
      </c>
      <c r="AP192" s="78">
        <v>1</v>
      </c>
      <c r="AQ192" s="78">
        <v>0</v>
      </c>
      <c r="AR192" s="78">
        <v>1</v>
      </c>
      <c r="AS192" s="78">
        <v>1</v>
      </c>
      <c r="AU192" s="78">
        <v>0</v>
      </c>
      <c r="AV192" s="17">
        <f t="shared" si="69"/>
        <v>1</v>
      </c>
      <c r="AW192" s="78" t="str">
        <f t="shared" si="60"/>
        <v>{s_taskTalk,{528,525}}</v>
      </c>
    </row>
    <row r="193" spans="1:49" s="78" customFormat="1" ht="72" x14ac:dyDescent="0.15">
      <c r="A193" s="88">
        <v>6317</v>
      </c>
      <c r="C193" s="78" t="s">
        <v>5364</v>
      </c>
      <c r="D193" s="78">
        <v>1</v>
      </c>
      <c r="E193" s="78">
        <v>0</v>
      </c>
      <c r="F193" s="78">
        <v>4</v>
      </c>
      <c r="G193" s="94">
        <v>58</v>
      </c>
      <c r="H193" s="78">
        <v>200</v>
      </c>
      <c r="I193" s="17">
        <v>0</v>
      </c>
      <c r="J193" s="67">
        <v>6316</v>
      </c>
      <c r="K193" s="66">
        <v>0</v>
      </c>
      <c r="L193" s="78">
        <v>525</v>
      </c>
      <c r="M193" s="97" t="s">
        <v>5317</v>
      </c>
      <c r="N193" s="78">
        <v>525</v>
      </c>
      <c r="O193" s="97" t="s">
        <v>5317</v>
      </c>
      <c r="Q193" s="91"/>
      <c r="R193" s="91"/>
      <c r="S193" s="91">
        <v>10014</v>
      </c>
      <c r="T193" s="91"/>
      <c r="U193" s="78">
        <v>40</v>
      </c>
      <c r="V193" s="78">
        <v>0</v>
      </c>
      <c r="W193" s="79">
        <v>5</v>
      </c>
      <c r="Z193" s="21">
        <f>VLOOKUP(G193,Sheet2!A:H,8,0)</f>
        <v>335036</v>
      </c>
      <c r="AB193" s="92"/>
      <c r="AC193" s="23">
        <f>VLOOKUP(G193,Sheet2!A$2:K$151,9,FALSE)</f>
        <v>670</v>
      </c>
      <c r="AF193" s="93" t="s">
        <v>5365</v>
      </c>
      <c r="AG193" s="93" t="s">
        <v>5366</v>
      </c>
      <c r="AH193" s="93" t="s">
        <v>5080</v>
      </c>
      <c r="AI193" s="93"/>
      <c r="AJ193" s="71" t="s">
        <v>7066</v>
      </c>
      <c r="AL193" s="94">
        <v>0</v>
      </c>
      <c r="AM193" s="96" t="s">
        <v>7597</v>
      </c>
      <c r="AN193" s="78" t="s">
        <v>7598</v>
      </c>
      <c r="AP193" s="78">
        <v>1</v>
      </c>
      <c r="AQ193" s="78">
        <v>0</v>
      </c>
      <c r="AR193" s="78">
        <v>1</v>
      </c>
      <c r="AS193" s="78">
        <v>1</v>
      </c>
      <c r="AU193" s="78">
        <v>0</v>
      </c>
      <c r="AV193" s="17">
        <f t="shared" si="69"/>
        <v>1</v>
      </c>
      <c r="AW193" s="78" t="str">
        <f>"{s_taskKillNpc, {"&amp;L193&amp;","&amp;N193&amp;","&amp;S193&amp;","&amp;U193&amp;"}}"</f>
        <v>{s_taskKillNpc, {525,525,10014,40}}</v>
      </c>
    </row>
    <row r="194" spans="1:49" s="78" customFormat="1" ht="72" x14ac:dyDescent="0.15">
      <c r="A194" s="88">
        <v>6318</v>
      </c>
      <c r="C194" s="78" t="s">
        <v>5081</v>
      </c>
      <c r="D194" s="78">
        <v>1</v>
      </c>
      <c r="E194" s="78">
        <v>0</v>
      </c>
      <c r="F194" s="78">
        <v>4</v>
      </c>
      <c r="G194" s="94">
        <v>58</v>
      </c>
      <c r="H194" s="78">
        <v>200</v>
      </c>
      <c r="I194" s="17">
        <v>0</v>
      </c>
      <c r="J194" s="67">
        <v>6317</v>
      </c>
      <c r="K194" s="66">
        <v>0</v>
      </c>
      <c r="L194" s="78">
        <v>525</v>
      </c>
      <c r="M194" s="97" t="s">
        <v>5317</v>
      </c>
      <c r="N194" s="78">
        <v>503</v>
      </c>
      <c r="O194" s="78" t="s">
        <v>5126</v>
      </c>
      <c r="Q194" s="91"/>
      <c r="R194" s="91"/>
      <c r="S194" s="91"/>
      <c r="T194" s="91"/>
      <c r="U194" s="78">
        <v>1</v>
      </c>
      <c r="V194" s="78">
        <v>1</v>
      </c>
      <c r="W194" s="79">
        <v>5</v>
      </c>
      <c r="Z194" s="21">
        <f>VLOOKUP(G194,Sheet2!A:H,8,0)</f>
        <v>335036</v>
      </c>
      <c r="AB194" s="92"/>
      <c r="AC194" s="23">
        <f>VLOOKUP(G194,Sheet2!A$2:K$151,9,FALSE)</f>
        <v>670</v>
      </c>
      <c r="AF194" s="93" t="s">
        <v>5367</v>
      </c>
      <c r="AG194" s="93" t="s">
        <v>5368</v>
      </c>
      <c r="AH194" s="93" t="s">
        <v>5369</v>
      </c>
      <c r="AI194" s="93"/>
      <c r="AJ194" s="71" t="s">
        <v>6564</v>
      </c>
      <c r="AL194" s="94">
        <v>0</v>
      </c>
      <c r="AM194" s="96" t="s">
        <v>7599</v>
      </c>
      <c r="AN194" s="78" t="s">
        <v>7600</v>
      </c>
      <c r="AP194" s="78">
        <v>1</v>
      </c>
      <c r="AQ194" s="78">
        <v>0</v>
      </c>
      <c r="AR194" s="78">
        <v>1</v>
      </c>
      <c r="AS194" s="78">
        <v>1</v>
      </c>
      <c r="AU194" s="78">
        <v>0</v>
      </c>
      <c r="AV194" s="17">
        <f t="shared" si="69"/>
        <v>1</v>
      </c>
      <c r="AW194" s="78" t="str">
        <f t="shared" si="60"/>
        <v>{s_taskTalk,{525,503}}</v>
      </c>
    </row>
    <row r="195" spans="1:49" s="78" customFormat="1" ht="72" x14ac:dyDescent="0.15">
      <c r="A195" s="88">
        <v>6319</v>
      </c>
      <c r="C195" s="78" t="s">
        <v>5082</v>
      </c>
      <c r="D195" s="78">
        <v>1</v>
      </c>
      <c r="E195" s="78">
        <v>0</v>
      </c>
      <c r="F195" s="78">
        <v>2</v>
      </c>
      <c r="G195" s="94">
        <v>58</v>
      </c>
      <c r="H195" s="78">
        <v>200</v>
      </c>
      <c r="I195" s="17">
        <v>0</v>
      </c>
      <c r="J195" s="67">
        <v>6318</v>
      </c>
      <c r="K195" s="66">
        <v>0</v>
      </c>
      <c r="L195" s="78">
        <v>503</v>
      </c>
      <c r="M195" s="78" t="s">
        <v>4860</v>
      </c>
      <c r="N195" s="78">
        <v>525</v>
      </c>
      <c r="O195" s="97" t="s">
        <v>5317</v>
      </c>
      <c r="Q195" s="91"/>
      <c r="R195" s="49">
        <v>60044</v>
      </c>
      <c r="S195" s="91"/>
      <c r="T195" s="91"/>
      <c r="U195" s="78">
        <v>1</v>
      </c>
      <c r="V195" s="78">
        <v>0</v>
      </c>
      <c r="W195" s="79">
        <v>5</v>
      </c>
      <c r="Z195" s="21">
        <f>VLOOKUP(G195,Sheet2!A:H,8,0)</f>
        <v>335036</v>
      </c>
      <c r="AB195" s="92"/>
      <c r="AC195" s="23">
        <f>VLOOKUP(G195,Sheet2!A$2:K$151,9,FALSE)</f>
        <v>670</v>
      </c>
      <c r="AF195" s="98" t="s">
        <v>5370</v>
      </c>
      <c r="AG195" s="98" t="s">
        <v>5318</v>
      </c>
      <c r="AH195" s="93" t="s">
        <v>5083</v>
      </c>
      <c r="AI195" s="93"/>
      <c r="AJ195" s="71" t="s">
        <v>6585</v>
      </c>
      <c r="AL195" s="94">
        <v>0</v>
      </c>
      <c r="AM195" s="96" t="s">
        <v>7601</v>
      </c>
      <c r="AN195" s="78" t="s">
        <v>7602</v>
      </c>
      <c r="AP195" s="78">
        <v>1</v>
      </c>
      <c r="AQ195" s="78">
        <v>0</v>
      </c>
      <c r="AR195" s="78">
        <v>1</v>
      </c>
      <c r="AS195" s="78">
        <v>0</v>
      </c>
      <c r="AU195" s="78">
        <v>0</v>
      </c>
      <c r="AV195" s="17">
        <f t="shared" si="69"/>
        <v>1</v>
      </c>
      <c r="AW195" s="50" t="str">
        <f>"{s_taskGuard,{"&amp;L195&amp;","&amp;N195&amp;","&amp;R195&amp;"}}"</f>
        <v>{s_taskGuard,{503,525,60044}}</v>
      </c>
    </row>
    <row r="196" spans="1:49" s="78" customFormat="1" ht="72" x14ac:dyDescent="0.15">
      <c r="A196" s="88">
        <v>6320</v>
      </c>
      <c r="C196" s="78" t="s">
        <v>5084</v>
      </c>
      <c r="D196" s="78">
        <v>1</v>
      </c>
      <c r="E196" s="78">
        <v>0</v>
      </c>
      <c r="F196" s="78">
        <v>4</v>
      </c>
      <c r="G196" s="94">
        <v>59</v>
      </c>
      <c r="H196" s="78">
        <v>200</v>
      </c>
      <c r="I196" s="17">
        <v>0</v>
      </c>
      <c r="J196" s="67">
        <v>6319</v>
      </c>
      <c r="K196" s="66">
        <v>0</v>
      </c>
      <c r="L196" s="78">
        <v>527</v>
      </c>
      <c r="M196" s="78" t="s">
        <v>4864</v>
      </c>
      <c r="N196" s="78">
        <v>527</v>
      </c>
      <c r="O196" s="78" t="s">
        <v>4864</v>
      </c>
      <c r="Q196" s="91"/>
      <c r="R196" s="91"/>
      <c r="S196" s="91">
        <v>10014</v>
      </c>
      <c r="T196" s="91"/>
      <c r="U196" s="78">
        <v>40</v>
      </c>
      <c r="V196" s="78">
        <v>0</v>
      </c>
      <c r="W196" s="79">
        <v>5</v>
      </c>
      <c r="Z196" s="21">
        <f>VLOOKUP(G196,Sheet2!A:H,8,0)</f>
        <v>458187</v>
      </c>
      <c r="AB196" s="92"/>
      <c r="AC196" s="23">
        <f>VLOOKUP(G196,Sheet2!A$2:K$151,9,FALSE)</f>
        <v>907</v>
      </c>
      <c r="AF196" s="93" t="s">
        <v>5371</v>
      </c>
      <c r="AG196" s="93" t="s">
        <v>5372</v>
      </c>
      <c r="AH196" s="93" t="s">
        <v>5373</v>
      </c>
      <c r="AI196" s="93"/>
      <c r="AJ196" s="71" t="s">
        <v>7028</v>
      </c>
      <c r="AL196" s="94">
        <v>0</v>
      </c>
      <c r="AM196" s="96" t="s">
        <v>7603</v>
      </c>
      <c r="AN196" s="78" t="s">
        <v>7604</v>
      </c>
      <c r="AP196" s="78">
        <v>1</v>
      </c>
      <c r="AQ196" s="78">
        <v>0</v>
      </c>
      <c r="AR196" s="78">
        <v>1</v>
      </c>
      <c r="AS196" s="78">
        <v>1</v>
      </c>
      <c r="AU196" s="78">
        <v>0</v>
      </c>
      <c r="AV196" s="17">
        <f t="shared" si="69"/>
        <v>1</v>
      </c>
      <c r="AW196" s="78" t="str">
        <f>"{s_taskKillNpc, {"&amp;L196&amp;","&amp;N196&amp;","&amp;S196&amp;","&amp;U196&amp;"}}"</f>
        <v>{s_taskKillNpc, {527,527,10014,40}}</v>
      </c>
    </row>
    <row r="197" spans="1:49" s="78" customFormat="1" ht="72" x14ac:dyDescent="0.15">
      <c r="A197" s="88">
        <v>6321</v>
      </c>
      <c r="C197" s="78" t="s">
        <v>5085</v>
      </c>
      <c r="D197" s="78">
        <v>1</v>
      </c>
      <c r="E197" s="78">
        <v>0</v>
      </c>
      <c r="F197" s="78">
        <v>4</v>
      </c>
      <c r="G197" s="94">
        <v>59</v>
      </c>
      <c r="H197" s="78">
        <v>200</v>
      </c>
      <c r="I197" s="17">
        <v>0</v>
      </c>
      <c r="J197" s="67">
        <v>6320</v>
      </c>
      <c r="K197" s="66">
        <v>0</v>
      </c>
      <c r="L197" s="78">
        <v>527</v>
      </c>
      <c r="M197" s="78" t="s">
        <v>4864</v>
      </c>
      <c r="N197" s="78">
        <v>527</v>
      </c>
      <c r="O197" s="78" t="s">
        <v>4864</v>
      </c>
      <c r="Q197" s="91">
        <v>2036</v>
      </c>
      <c r="R197" s="91"/>
      <c r="S197" s="91"/>
      <c r="T197" s="91"/>
      <c r="U197" s="78">
        <v>10</v>
      </c>
      <c r="V197" s="78">
        <v>0</v>
      </c>
      <c r="W197" s="79">
        <v>5</v>
      </c>
      <c r="Z197" s="21">
        <f>VLOOKUP(G197,Sheet2!A:H,8,0)</f>
        <v>458187</v>
      </c>
      <c r="AB197" s="92"/>
      <c r="AC197" s="23">
        <f>VLOOKUP(G197,Sheet2!A$2:K$151,9,FALSE)</f>
        <v>907</v>
      </c>
      <c r="AF197" s="93" t="s">
        <v>5374</v>
      </c>
      <c r="AG197" s="93" t="s">
        <v>5375</v>
      </c>
      <c r="AH197" s="93" t="s">
        <v>5376</v>
      </c>
      <c r="AI197" s="93"/>
      <c r="AJ197" s="71" t="s">
        <v>7023</v>
      </c>
      <c r="AL197" s="94">
        <v>0</v>
      </c>
      <c r="AM197" s="96" t="s">
        <v>7605</v>
      </c>
      <c r="AN197" s="78" t="s">
        <v>7606</v>
      </c>
      <c r="AP197" s="78">
        <v>1</v>
      </c>
      <c r="AQ197" s="78">
        <v>0</v>
      </c>
      <c r="AR197" s="78">
        <v>1</v>
      </c>
      <c r="AS197" s="78">
        <v>1</v>
      </c>
      <c r="AU197" s="78">
        <v>0</v>
      </c>
      <c r="AV197" s="17">
        <f t="shared" si="69"/>
        <v>1</v>
      </c>
      <c r="AW197" s="78" t="str">
        <f t="shared" si="60"/>
        <v>{s_taskTalk,{527,527}}</v>
      </c>
    </row>
    <row r="198" spans="1:49" s="78" customFormat="1" ht="72" x14ac:dyDescent="0.15">
      <c r="A198" s="88">
        <v>6322</v>
      </c>
      <c r="C198" s="78" t="s">
        <v>7017</v>
      </c>
      <c r="D198" s="78">
        <v>1</v>
      </c>
      <c r="E198" s="78">
        <v>0</v>
      </c>
      <c r="F198" s="78">
        <v>4</v>
      </c>
      <c r="G198" s="94">
        <v>59</v>
      </c>
      <c r="H198" s="78">
        <v>200</v>
      </c>
      <c r="I198" s="17">
        <v>0</v>
      </c>
      <c r="J198" s="67">
        <v>6321</v>
      </c>
      <c r="K198" s="66">
        <v>0</v>
      </c>
      <c r="L198" s="78">
        <v>527</v>
      </c>
      <c r="M198" s="78" t="s">
        <v>4864</v>
      </c>
      <c r="N198" s="78">
        <v>525</v>
      </c>
      <c r="O198" s="97" t="s">
        <v>5317</v>
      </c>
      <c r="Q198" s="91"/>
      <c r="R198" s="91"/>
      <c r="S198" s="91"/>
      <c r="T198" s="91"/>
      <c r="U198" s="78">
        <v>1</v>
      </c>
      <c r="V198" s="78">
        <v>1</v>
      </c>
      <c r="W198" s="79">
        <v>5</v>
      </c>
      <c r="Z198" s="21">
        <f>VLOOKUP(G198,Sheet2!A:H,8,0)</f>
        <v>458187</v>
      </c>
      <c r="AB198" s="92"/>
      <c r="AC198" s="23">
        <f>VLOOKUP(G198,Sheet2!A$2:K$151,9,FALSE)</f>
        <v>907</v>
      </c>
      <c r="AF198" s="93" t="s">
        <v>7018</v>
      </c>
      <c r="AG198" s="93" t="s">
        <v>7019</v>
      </c>
      <c r="AH198" s="93" t="s">
        <v>7020</v>
      </c>
      <c r="AI198" s="93"/>
      <c r="AJ198" s="71" t="s">
        <v>7024</v>
      </c>
      <c r="AL198" s="94">
        <v>0</v>
      </c>
      <c r="AM198" s="96" t="s">
        <v>7607</v>
      </c>
      <c r="AN198" s="78" t="s">
        <v>7608</v>
      </c>
      <c r="AP198" s="78">
        <v>1</v>
      </c>
      <c r="AQ198" s="78">
        <v>0</v>
      </c>
      <c r="AR198" s="78">
        <v>1</v>
      </c>
      <c r="AS198" s="78">
        <v>1</v>
      </c>
      <c r="AU198" s="78">
        <v>0</v>
      </c>
      <c r="AV198" s="17">
        <f t="shared" si="69"/>
        <v>1</v>
      </c>
      <c r="AW198" s="78" t="str">
        <f t="shared" si="60"/>
        <v>{s_taskTalk,{527,525}}</v>
      </c>
    </row>
    <row r="199" spans="1:49" s="78" customFormat="1" ht="72" x14ac:dyDescent="0.15">
      <c r="A199" s="88">
        <v>6328</v>
      </c>
      <c r="C199" s="78" t="s">
        <v>7143</v>
      </c>
      <c r="D199" s="78">
        <v>1</v>
      </c>
      <c r="E199" s="78">
        <v>0</v>
      </c>
      <c r="F199" s="78">
        <v>4</v>
      </c>
      <c r="G199" s="94">
        <v>60</v>
      </c>
      <c r="H199" s="78">
        <v>200</v>
      </c>
      <c r="I199" s="17">
        <v>0</v>
      </c>
      <c r="J199" s="67">
        <v>6322</v>
      </c>
      <c r="K199" s="66">
        <v>0</v>
      </c>
      <c r="L199" s="78">
        <v>523</v>
      </c>
      <c r="M199" s="97" t="s">
        <v>5316</v>
      </c>
      <c r="N199" s="78">
        <v>523</v>
      </c>
      <c r="O199" s="97" t="s">
        <v>5316</v>
      </c>
      <c r="Q199" s="91"/>
      <c r="R199" s="91"/>
      <c r="S199" s="91"/>
      <c r="T199" s="91"/>
      <c r="U199" s="78">
        <v>1</v>
      </c>
      <c r="V199" s="78">
        <v>1</v>
      </c>
      <c r="W199" s="79">
        <v>5</v>
      </c>
      <c r="Z199" s="21">
        <f>VLOOKUP(G199,Sheet2!A:H,8,0)</f>
        <v>234879</v>
      </c>
      <c r="AB199" s="92"/>
      <c r="AC199" s="23">
        <f>VLOOKUP(G199,Sheet2!A$2:K$151,9,FALSE)</f>
        <v>460</v>
      </c>
      <c r="AD199" s="32" t="s">
        <v>7167</v>
      </c>
      <c r="AF199" s="93" t="s">
        <v>7021</v>
      </c>
      <c r="AG199" s="93" t="s">
        <v>7027</v>
      </c>
      <c r="AH199" s="93" t="s">
        <v>7029</v>
      </c>
      <c r="AI199" s="93"/>
      <c r="AJ199" s="71" t="s">
        <v>7025</v>
      </c>
      <c r="AL199" s="94">
        <v>0</v>
      </c>
      <c r="AM199" s="96" t="s">
        <v>7609</v>
      </c>
      <c r="AN199" s="78" t="s">
        <v>7610</v>
      </c>
      <c r="AP199" s="78">
        <v>1</v>
      </c>
      <c r="AQ199" s="78">
        <v>0</v>
      </c>
      <c r="AR199" s="78">
        <v>1</v>
      </c>
      <c r="AS199" s="78">
        <v>1</v>
      </c>
      <c r="AU199" s="78">
        <v>0</v>
      </c>
      <c r="AV199" s="17">
        <f t="shared" ref="AV199:AV200" si="70">IF(D199 = 1,1,0)</f>
        <v>1</v>
      </c>
      <c r="AW199" s="78" t="str">
        <f t="shared" ref="AW199:AW200" si="71">"{s_taskTalk,{"&amp;L199&amp;","&amp;N199&amp;"}}"</f>
        <v>{s_taskTalk,{523,523}}</v>
      </c>
    </row>
    <row r="200" spans="1:49" s="78" customFormat="1" ht="72" x14ac:dyDescent="0.15">
      <c r="A200" s="88">
        <v>6331</v>
      </c>
      <c r="C200" s="78" t="s">
        <v>7144</v>
      </c>
      <c r="D200" s="78">
        <v>1</v>
      </c>
      <c r="E200" s="78">
        <v>0</v>
      </c>
      <c r="F200" s="78">
        <v>4</v>
      </c>
      <c r="G200" s="94">
        <v>60</v>
      </c>
      <c r="H200" s="78">
        <v>200</v>
      </c>
      <c r="I200" s="17">
        <v>0</v>
      </c>
      <c r="J200" s="67">
        <v>6328</v>
      </c>
      <c r="K200" s="66">
        <v>0</v>
      </c>
      <c r="L200" s="78">
        <v>523</v>
      </c>
      <c r="M200" s="97" t="s">
        <v>5316</v>
      </c>
      <c r="N200" s="17">
        <v>60045</v>
      </c>
      <c r="O200" s="17" t="s">
        <v>5089</v>
      </c>
      <c r="Q200" s="91"/>
      <c r="R200" s="91"/>
      <c r="S200" s="91"/>
      <c r="T200" s="91"/>
      <c r="U200" s="78">
        <v>1</v>
      </c>
      <c r="V200" s="78">
        <v>1</v>
      </c>
      <c r="W200" s="79">
        <v>5</v>
      </c>
      <c r="Z200" s="21">
        <f>VLOOKUP(G200,Sheet2!A:H,8,0)</f>
        <v>234879</v>
      </c>
      <c r="AB200" s="92"/>
      <c r="AC200" s="23">
        <f>VLOOKUP(G200,Sheet2!A$2:K$151,9,FALSE)</f>
        <v>460</v>
      </c>
      <c r="AF200" s="93" t="s">
        <v>7145</v>
      </c>
      <c r="AG200" s="93" t="s">
        <v>7146</v>
      </c>
      <c r="AH200" s="93" t="s">
        <v>7147</v>
      </c>
      <c r="AI200" s="93"/>
      <c r="AJ200" s="71" t="s">
        <v>7148</v>
      </c>
      <c r="AL200" s="94">
        <v>0</v>
      </c>
      <c r="AM200" s="96" t="s">
        <v>7612</v>
      </c>
      <c r="AN200" s="78" t="s">
        <v>7611</v>
      </c>
      <c r="AP200" s="78">
        <v>1</v>
      </c>
      <c r="AQ200" s="78">
        <v>0</v>
      </c>
      <c r="AR200" s="78">
        <v>1</v>
      </c>
      <c r="AS200" s="78">
        <v>1</v>
      </c>
      <c r="AU200" s="78">
        <v>0</v>
      </c>
      <c r="AV200" s="17">
        <f t="shared" si="70"/>
        <v>1</v>
      </c>
      <c r="AW200" s="78" t="str">
        <f t="shared" si="71"/>
        <v>{s_taskTalk,{523,60045}}</v>
      </c>
    </row>
    <row r="201" spans="1:49" s="78" customFormat="1" ht="72" x14ac:dyDescent="0.15">
      <c r="A201" s="88">
        <v>6332</v>
      </c>
      <c r="C201" s="78" t="s">
        <v>7149</v>
      </c>
      <c r="D201" s="78">
        <v>1</v>
      </c>
      <c r="E201" s="78">
        <v>0</v>
      </c>
      <c r="F201" s="78">
        <v>4</v>
      </c>
      <c r="G201" s="94">
        <v>60</v>
      </c>
      <c r="H201" s="78">
        <v>200</v>
      </c>
      <c r="I201" s="17">
        <v>0</v>
      </c>
      <c r="J201" s="88">
        <v>6331</v>
      </c>
      <c r="K201" s="66">
        <v>0</v>
      </c>
      <c r="L201" s="17">
        <v>60045</v>
      </c>
      <c r="M201" s="17" t="s">
        <v>5089</v>
      </c>
      <c r="N201" s="17">
        <v>60045</v>
      </c>
      <c r="O201" s="17" t="s">
        <v>5089</v>
      </c>
      <c r="Q201" s="91"/>
      <c r="R201" s="91"/>
      <c r="S201" s="91"/>
      <c r="T201" s="91"/>
      <c r="U201" s="78">
        <v>1</v>
      </c>
      <c r="V201" s="78">
        <v>1</v>
      </c>
      <c r="W201" s="79">
        <v>5</v>
      </c>
      <c r="Z201" s="21">
        <f>VLOOKUP(G201,Sheet2!A:H,8,0)</f>
        <v>234879</v>
      </c>
      <c r="AB201" s="92"/>
      <c r="AC201" s="23">
        <f>VLOOKUP(G201,Sheet2!A$2:K$151,9,FALSE)</f>
        <v>460</v>
      </c>
      <c r="AF201" s="93" t="s">
        <v>7150</v>
      </c>
      <c r="AG201" s="93" t="s">
        <v>7151</v>
      </c>
      <c r="AH201" s="93" t="s">
        <v>7152</v>
      </c>
      <c r="AI201" s="93"/>
      <c r="AJ201" s="71" t="s">
        <v>7153</v>
      </c>
      <c r="AL201" s="94">
        <v>0</v>
      </c>
      <c r="AM201" s="96" t="s">
        <v>7612</v>
      </c>
      <c r="AN201" s="78" t="s">
        <v>7611</v>
      </c>
      <c r="AP201" s="78">
        <v>1</v>
      </c>
      <c r="AQ201" s="78">
        <v>0</v>
      </c>
      <c r="AR201" s="78">
        <v>1</v>
      </c>
      <c r="AS201" s="78">
        <v>1</v>
      </c>
      <c r="AU201" s="78">
        <v>0</v>
      </c>
      <c r="AV201" s="17">
        <f t="shared" ref="AV201" si="72">IF(D201 = 1,1,0)</f>
        <v>1</v>
      </c>
      <c r="AW201" s="78" t="str">
        <f t="shared" ref="AW201" si="73">"{s_taskTalk,{"&amp;L201&amp;","&amp;N201&amp;"}}"</f>
        <v>{s_taskTalk,{60045,60045}}</v>
      </c>
    </row>
    <row r="202" spans="1:49" s="101" customFormat="1" ht="72" x14ac:dyDescent="0.15">
      <c r="A202" s="100">
        <v>6333</v>
      </c>
      <c r="C202" s="101" t="s">
        <v>7149</v>
      </c>
      <c r="D202" s="101">
        <v>1</v>
      </c>
      <c r="E202" s="101">
        <v>0</v>
      </c>
      <c r="F202" s="101">
        <v>4</v>
      </c>
      <c r="G202" s="108">
        <v>60</v>
      </c>
      <c r="H202" s="101">
        <v>200</v>
      </c>
      <c r="I202" s="101">
        <v>0</v>
      </c>
      <c r="J202" s="100">
        <v>6331</v>
      </c>
      <c r="K202" s="101">
        <v>0</v>
      </c>
      <c r="L202" s="101">
        <v>60045</v>
      </c>
      <c r="M202" s="101" t="s">
        <v>5089</v>
      </c>
      <c r="N202" s="101">
        <v>60045</v>
      </c>
      <c r="O202" s="101" t="s">
        <v>5089</v>
      </c>
      <c r="Q202" s="102"/>
      <c r="R202" s="102"/>
      <c r="S202" s="102"/>
      <c r="T202" s="102"/>
      <c r="U202" s="101">
        <v>1</v>
      </c>
      <c r="V202" s="101">
        <v>1</v>
      </c>
      <c r="W202" s="103">
        <v>5</v>
      </c>
      <c r="Z202" s="104">
        <f>VLOOKUP(G202,Sheet2!A:H,8,0)</f>
        <v>234879</v>
      </c>
      <c r="AB202" s="105"/>
      <c r="AC202" s="23">
        <f>VLOOKUP(G202,Sheet2!A$2:K$151,9,FALSE)</f>
        <v>460</v>
      </c>
      <c r="AD202" s="66" t="s">
        <v>7440</v>
      </c>
      <c r="AF202" s="107" t="s">
        <v>7150</v>
      </c>
      <c r="AG202" s="107" t="s">
        <v>7151</v>
      </c>
      <c r="AH202" s="107" t="s">
        <v>7152</v>
      </c>
      <c r="AI202" s="107"/>
      <c r="AJ202" s="107" t="s">
        <v>7153</v>
      </c>
      <c r="AL202" s="108">
        <v>0</v>
      </c>
      <c r="AM202" s="101" t="s">
        <v>7612</v>
      </c>
      <c r="AN202" s="101" t="s">
        <v>7611</v>
      </c>
      <c r="AP202" s="101">
        <v>0</v>
      </c>
      <c r="AQ202" s="101">
        <v>0</v>
      </c>
      <c r="AR202" s="101">
        <v>1</v>
      </c>
      <c r="AS202" s="101">
        <v>1</v>
      </c>
      <c r="AU202" s="101">
        <v>0</v>
      </c>
      <c r="AV202" s="101">
        <f t="shared" ref="AV202:AV204" si="74">IF(D202 = 1,1,0)</f>
        <v>1</v>
      </c>
      <c r="AW202" s="101" t="str">
        <f t="shared" ref="AW202:AW204" si="75">"{s_taskTalk,{"&amp;L202&amp;","&amp;N202&amp;"}}"</f>
        <v>{s_taskTalk,{60045,60045}}</v>
      </c>
    </row>
    <row r="203" spans="1:49" s="101" customFormat="1" ht="72" x14ac:dyDescent="0.15">
      <c r="A203" s="100">
        <v>6334</v>
      </c>
      <c r="C203" s="101" t="s">
        <v>7149</v>
      </c>
      <c r="D203" s="101">
        <v>1</v>
      </c>
      <c r="E203" s="101">
        <v>0</v>
      </c>
      <c r="F203" s="101">
        <v>4</v>
      </c>
      <c r="G203" s="108">
        <v>60</v>
      </c>
      <c r="H203" s="101">
        <v>200</v>
      </c>
      <c r="I203" s="101">
        <v>0</v>
      </c>
      <c r="J203" s="100">
        <v>6331</v>
      </c>
      <c r="K203" s="101">
        <v>0</v>
      </c>
      <c r="L203" s="101">
        <v>60045</v>
      </c>
      <c r="M203" s="101" t="s">
        <v>5089</v>
      </c>
      <c r="N203" s="101">
        <v>60045</v>
      </c>
      <c r="O203" s="101" t="s">
        <v>5089</v>
      </c>
      <c r="Q203" s="102"/>
      <c r="R203" s="102"/>
      <c r="S203" s="102"/>
      <c r="T203" s="102"/>
      <c r="U203" s="101">
        <v>1</v>
      </c>
      <c r="V203" s="101">
        <v>1</v>
      </c>
      <c r="W203" s="103">
        <v>5</v>
      </c>
      <c r="Z203" s="104">
        <f>VLOOKUP(G203,Sheet2!A:H,8,0)</f>
        <v>234879</v>
      </c>
      <c r="AB203" s="105"/>
      <c r="AC203" s="23">
        <f>VLOOKUP(G203,Sheet2!A$2:K$151,9,FALSE)</f>
        <v>460</v>
      </c>
      <c r="AD203" s="66" t="s">
        <v>7441</v>
      </c>
      <c r="AF203" s="107" t="s">
        <v>7150</v>
      </c>
      <c r="AG203" s="107" t="s">
        <v>7151</v>
      </c>
      <c r="AH203" s="107" t="s">
        <v>7152</v>
      </c>
      <c r="AI203" s="107"/>
      <c r="AJ203" s="107" t="s">
        <v>7153</v>
      </c>
      <c r="AL203" s="108">
        <v>0</v>
      </c>
      <c r="AM203" s="101" t="s">
        <v>7612</v>
      </c>
      <c r="AN203" s="101" t="s">
        <v>7611</v>
      </c>
      <c r="AP203" s="101">
        <v>0</v>
      </c>
      <c r="AQ203" s="101">
        <v>0</v>
      </c>
      <c r="AR203" s="101">
        <v>1</v>
      </c>
      <c r="AS203" s="101">
        <v>1</v>
      </c>
      <c r="AU203" s="101">
        <v>0</v>
      </c>
      <c r="AV203" s="101">
        <f t="shared" si="74"/>
        <v>1</v>
      </c>
      <c r="AW203" s="101" t="str">
        <f t="shared" si="75"/>
        <v>{s_taskTalk,{60045,60045}}</v>
      </c>
    </row>
    <row r="204" spans="1:49" s="101" customFormat="1" ht="72" x14ac:dyDescent="0.15">
      <c r="A204" s="100">
        <v>6335</v>
      </c>
      <c r="C204" s="101" t="s">
        <v>7149</v>
      </c>
      <c r="D204" s="101">
        <v>1</v>
      </c>
      <c r="E204" s="101">
        <v>0</v>
      </c>
      <c r="F204" s="101">
        <v>4</v>
      </c>
      <c r="G204" s="108">
        <v>60</v>
      </c>
      <c r="H204" s="101">
        <v>200</v>
      </c>
      <c r="I204" s="101">
        <v>0</v>
      </c>
      <c r="J204" s="100">
        <v>6331</v>
      </c>
      <c r="K204" s="101">
        <v>0</v>
      </c>
      <c r="L204" s="101">
        <v>60045</v>
      </c>
      <c r="M204" s="101" t="s">
        <v>5089</v>
      </c>
      <c r="N204" s="101">
        <v>60045</v>
      </c>
      <c r="O204" s="101" t="s">
        <v>5089</v>
      </c>
      <c r="Q204" s="102"/>
      <c r="R204" s="102"/>
      <c r="S204" s="102"/>
      <c r="T204" s="102"/>
      <c r="U204" s="101">
        <v>1</v>
      </c>
      <c r="V204" s="101">
        <v>1</v>
      </c>
      <c r="W204" s="103">
        <v>5</v>
      </c>
      <c r="Z204" s="104">
        <f>VLOOKUP(G204,Sheet2!A:H,8,0)</f>
        <v>234879</v>
      </c>
      <c r="AB204" s="105"/>
      <c r="AC204" s="23">
        <f>VLOOKUP(G204,Sheet2!A$2:K$151,9,FALSE)</f>
        <v>460</v>
      </c>
      <c r="AD204" s="66" t="s">
        <v>7442</v>
      </c>
      <c r="AF204" s="107" t="s">
        <v>7150</v>
      </c>
      <c r="AG204" s="107" t="s">
        <v>7151</v>
      </c>
      <c r="AH204" s="107" t="s">
        <v>7152</v>
      </c>
      <c r="AI204" s="107"/>
      <c r="AJ204" s="107" t="s">
        <v>7153</v>
      </c>
      <c r="AL204" s="108">
        <v>0</v>
      </c>
      <c r="AM204" s="101" t="s">
        <v>7612</v>
      </c>
      <c r="AN204" s="101" t="s">
        <v>7611</v>
      </c>
      <c r="AP204" s="101">
        <v>0</v>
      </c>
      <c r="AQ204" s="101">
        <v>0</v>
      </c>
      <c r="AR204" s="101">
        <v>1</v>
      </c>
      <c r="AS204" s="101">
        <v>1</v>
      </c>
      <c r="AU204" s="101">
        <v>0</v>
      </c>
      <c r="AV204" s="101">
        <f t="shared" si="74"/>
        <v>1</v>
      </c>
      <c r="AW204" s="101" t="str">
        <f t="shared" si="75"/>
        <v>{s_taskTalk,{60045,60045}}</v>
      </c>
    </row>
    <row r="205" spans="1:49" s="78" customFormat="1" ht="72" x14ac:dyDescent="0.15">
      <c r="A205" s="88">
        <v>6323</v>
      </c>
      <c r="C205" s="78" t="s">
        <v>7022</v>
      </c>
      <c r="D205" s="78">
        <v>1</v>
      </c>
      <c r="E205" s="78">
        <v>0</v>
      </c>
      <c r="F205" s="78">
        <v>1</v>
      </c>
      <c r="G205" s="94">
        <v>61</v>
      </c>
      <c r="H205" s="78">
        <v>200</v>
      </c>
      <c r="I205" s="17">
        <v>0</v>
      </c>
      <c r="J205" s="88">
        <v>6332</v>
      </c>
      <c r="K205" s="66">
        <v>0</v>
      </c>
      <c r="L205" s="17">
        <v>60045</v>
      </c>
      <c r="M205" s="17" t="s">
        <v>5089</v>
      </c>
      <c r="N205" s="78">
        <v>538</v>
      </c>
      <c r="O205" s="109" t="s">
        <v>6985</v>
      </c>
      <c r="Q205" s="91"/>
      <c r="R205" s="91"/>
      <c r="S205" s="91"/>
      <c r="T205" s="91"/>
      <c r="U205" s="78">
        <v>1</v>
      </c>
      <c r="V205" s="78">
        <v>1</v>
      </c>
      <c r="W205" s="79">
        <v>5</v>
      </c>
      <c r="Z205" s="21">
        <f>VLOOKUP(G205,Sheet2!A:H,8,0)</f>
        <v>361068</v>
      </c>
      <c r="AB205" s="92"/>
      <c r="AC205" s="23">
        <f>VLOOKUP(G205,Sheet2!A$2:K$151,9,FALSE)</f>
        <v>700</v>
      </c>
      <c r="AF205" s="93" t="s">
        <v>7115</v>
      </c>
      <c r="AG205" s="93" t="s">
        <v>7116</v>
      </c>
      <c r="AH205" s="93" t="s">
        <v>7026</v>
      </c>
      <c r="AI205" s="93"/>
      <c r="AJ205" s="110" t="s">
        <v>7114</v>
      </c>
      <c r="AL205" s="94">
        <v>0</v>
      </c>
      <c r="AM205" s="96" t="s">
        <v>7613</v>
      </c>
      <c r="AN205" s="78" t="s">
        <v>7614</v>
      </c>
      <c r="AP205" s="78">
        <v>1</v>
      </c>
      <c r="AQ205" s="78">
        <v>0</v>
      </c>
      <c r="AR205" s="78">
        <v>1</v>
      </c>
      <c r="AS205" s="78">
        <v>1</v>
      </c>
      <c r="AU205" s="78">
        <v>0</v>
      </c>
      <c r="AV205" s="17">
        <f t="shared" si="69"/>
        <v>1</v>
      </c>
      <c r="AW205" s="78" t="str">
        <f t="shared" si="60"/>
        <v>{s_taskTalk,{60045,538}}</v>
      </c>
    </row>
    <row r="206" spans="1:49" s="87" customFormat="1" ht="72" x14ac:dyDescent="0.15">
      <c r="A206" s="111">
        <v>6401</v>
      </c>
      <c r="C206" s="87" t="s">
        <v>7631</v>
      </c>
      <c r="D206" s="87">
        <v>1</v>
      </c>
      <c r="E206" s="87">
        <v>0</v>
      </c>
      <c r="F206" s="87">
        <v>5</v>
      </c>
      <c r="G206" s="112">
        <v>61</v>
      </c>
      <c r="H206" s="87">
        <v>200</v>
      </c>
      <c r="I206" s="17">
        <v>0</v>
      </c>
      <c r="J206" s="112">
        <v>6323</v>
      </c>
      <c r="K206" s="87">
        <v>0</v>
      </c>
      <c r="L206" s="87">
        <v>538</v>
      </c>
      <c r="M206" s="87" t="s">
        <v>6985</v>
      </c>
      <c r="N206" s="87">
        <v>538</v>
      </c>
      <c r="O206" s="87" t="s">
        <v>6985</v>
      </c>
      <c r="Q206" s="113"/>
      <c r="R206" s="113"/>
      <c r="S206" s="113"/>
      <c r="T206" s="113"/>
      <c r="U206" s="87">
        <v>1</v>
      </c>
      <c r="V206" s="87">
        <v>1</v>
      </c>
      <c r="W206" s="114">
        <v>5</v>
      </c>
      <c r="Z206" s="21">
        <f>VLOOKUP(G206,Sheet2!A:H,8,0)</f>
        <v>361068</v>
      </c>
      <c r="AB206" s="115"/>
      <c r="AC206" s="23">
        <f>VLOOKUP(G206,Sheet2!A$2:K$151,9,FALSE)</f>
        <v>700</v>
      </c>
      <c r="AF206" s="116" t="s">
        <v>7632</v>
      </c>
      <c r="AG206" s="117" t="s">
        <v>7633</v>
      </c>
      <c r="AH206" s="117" t="s">
        <v>7634</v>
      </c>
      <c r="AI206" s="117"/>
      <c r="AJ206" s="71" t="s">
        <v>7635</v>
      </c>
      <c r="AL206" s="112">
        <v>0</v>
      </c>
      <c r="AM206" s="96" t="s">
        <v>8758</v>
      </c>
      <c r="AN206" s="87" t="s">
        <v>8759</v>
      </c>
      <c r="AP206" s="87">
        <v>1</v>
      </c>
      <c r="AQ206" s="87">
        <v>0</v>
      </c>
      <c r="AR206" s="87">
        <v>1</v>
      </c>
      <c r="AS206" s="87">
        <v>1</v>
      </c>
      <c r="AU206" s="87">
        <v>0</v>
      </c>
      <c r="AV206" s="17">
        <f t="shared" si="69"/>
        <v>1</v>
      </c>
      <c r="AW206" s="87" t="str">
        <f t="shared" si="60"/>
        <v>{s_taskTalk,{538,538}}</v>
      </c>
    </row>
    <row r="207" spans="1:49" s="87" customFormat="1" ht="72" x14ac:dyDescent="0.15">
      <c r="A207" s="111">
        <v>6402</v>
      </c>
      <c r="C207" s="96" t="s">
        <v>7636</v>
      </c>
      <c r="D207" s="87">
        <v>1</v>
      </c>
      <c r="E207" s="87">
        <v>0</v>
      </c>
      <c r="F207" s="87">
        <v>5</v>
      </c>
      <c r="G207" s="112">
        <v>61</v>
      </c>
      <c r="H207" s="87">
        <v>200</v>
      </c>
      <c r="I207" s="17">
        <v>0</v>
      </c>
      <c r="J207" s="112">
        <v>6401</v>
      </c>
      <c r="K207" s="87">
        <v>0</v>
      </c>
      <c r="L207" s="87">
        <v>538</v>
      </c>
      <c r="M207" s="87" t="s">
        <v>6985</v>
      </c>
      <c r="N207" s="87">
        <v>538</v>
      </c>
      <c r="O207" s="87" t="s">
        <v>6985</v>
      </c>
      <c r="Q207" s="113"/>
      <c r="R207" s="113"/>
      <c r="S207" s="113">
        <v>10015</v>
      </c>
      <c r="T207" s="113"/>
      <c r="U207" s="87">
        <v>60</v>
      </c>
      <c r="V207" s="87">
        <v>0</v>
      </c>
      <c r="W207" s="114">
        <v>5</v>
      </c>
      <c r="Z207" s="21">
        <f>VLOOKUP(G207,Sheet2!A:H,8,0)</f>
        <v>361068</v>
      </c>
      <c r="AB207" s="115"/>
      <c r="AC207" s="23">
        <f>VLOOKUP(G207,Sheet2!A$2:K$151,9,FALSE)</f>
        <v>700</v>
      </c>
      <c r="AF207" s="117" t="s">
        <v>7637</v>
      </c>
      <c r="AG207" s="117" t="s">
        <v>7638</v>
      </c>
      <c r="AH207" s="117" t="s">
        <v>7639</v>
      </c>
      <c r="AI207" s="117"/>
      <c r="AJ207" s="71" t="s">
        <v>7640</v>
      </c>
      <c r="AL207" s="112">
        <v>0</v>
      </c>
      <c r="AM207" s="96" t="s">
        <v>8760</v>
      </c>
      <c r="AN207" s="87" t="s">
        <v>8761</v>
      </c>
      <c r="AP207" s="87">
        <v>1</v>
      </c>
      <c r="AQ207" s="87">
        <v>0</v>
      </c>
      <c r="AR207" s="87">
        <v>1</v>
      </c>
      <c r="AS207" s="87">
        <v>1</v>
      </c>
      <c r="AU207" s="87">
        <v>0</v>
      </c>
      <c r="AV207" s="17">
        <f t="shared" si="69"/>
        <v>1</v>
      </c>
      <c r="AW207" s="87" t="str">
        <f>"{s_taskKillNpc, {"&amp;L207&amp;","&amp;N207&amp;","&amp;S207&amp;","&amp;U207&amp;"}}"</f>
        <v>{s_taskKillNpc, {538,538,10015,60}}</v>
      </c>
    </row>
    <row r="208" spans="1:49" s="87" customFormat="1" ht="72" x14ac:dyDescent="0.15">
      <c r="A208" s="111">
        <v>6403</v>
      </c>
      <c r="C208" s="87" t="s">
        <v>7641</v>
      </c>
      <c r="D208" s="87">
        <v>1</v>
      </c>
      <c r="E208" s="87">
        <v>0</v>
      </c>
      <c r="F208" s="87">
        <v>5</v>
      </c>
      <c r="G208" s="112">
        <v>61</v>
      </c>
      <c r="H208" s="87">
        <v>200</v>
      </c>
      <c r="I208" s="17">
        <v>0</v>
      </c>
      <c r="J208" s="112">
        <v>6402</v>
      </c>
      <c r="K208" s="87">
        <v>0</v>
      </c>
      <c r="L208" s="87">
        <v>538</v>
      </c>
      <c r="M208" s="87" t="s">
        <v>6985</v>
      </c>
      <c r="N208" s="87">
        <v>538</v>
      </c>
      <c r="O208" s="87" t="s">
        <v>6985</v>
      </c>
      <c r="Q208" s="113">
        <v>2037</v>
      </c>
      <c r="R208" s="113"/>
      <c r="S208" s="113"/>
      <c r="T208" s="113"/>
      <c r="U208" s="87">
        <v>5</v>
      </c>
      <c r="V208" s="87">
        <v>0</v>
      </c>
      <c r="W208" s="114">
        <v>5</v>
      </c>
      <c r="Z208" s="21">
        <f>VLOOKUP(G208,Sheet2!A:H,8,0)</f>
        <v>361068</v>
      </c>
      <c r="AB208" s="115"/>
      <c r="AC208" s="23">
        <f>VLOOKUP(G208,Sheet2!A$2:K$151,9,FALSE)</f>
        <v>700</v>
      </c>
      <c r="AF208" s="117" t="s">
        <v>8111</v>
      </c>
      <c r="AG208" s="117" t="s">
        <v>7642</v>
      </c>
      <c r="AH208" s="117" t="s">
        <v>7643</v>
      </c>
      <c r="AI208" s="117"/>
      <c r="AJ208" s="71" t="s">
        <v>7644</v>
      </c>
      <c r="AL208" s="112">
        <v>0</v>
      </c>
      <c r="AM208" s="96" t="s">
        <v>8762</v>
      </c>
      <c r="AN208" s="87" t="s">
        <v>8763</v>
      </c>
      <c r="AO208" s="32" t="s">
        <v>7645</v>
      </c>
      <c r="AP208" s="87">
        <v>1</v>
      </c>
      <c r="AQ208" s="87">
        <v>0</v>
      </c>
      <c r="AR208" s="87">
        <v>1</v>
      </c>
      <c r="AS208" s="87">
        <v>1</v>
      </c>
      <c r="AU208" s="87">
        <v>0</v>
      </c>
      <c r="AV208" s="17">
        <f t="shared" si="69"/>
        <v>1</v>
      </c>
      <c r="AW208" s="87" t="str">
        <f t="shared" si="60"/>
        <v>{s_taskTalk,{538,538}}</v>
      </c>
    </row>
    <row r="209" spans="1:49" s="87" customFormat="1" ht="72" x14ac:dyDescent="0.15">
      <c r="A209" s="111">
        <v>6404</v>
      </c>
      <c r="C209" s="87" t="s">
        <v>7646</v>
      </c>
      <c r="D209" s="87">
        <v>1</v>
      </c>
      <c r="E209" s="87">
        <v>0</v>
      </c>
      <c r="F209" s="87">
        <v>5</v>
      </c>
      <c r="G209" s="112">
        <v>62</v>
      </c>
      <c r="H209" s="87">
        <v>200</v>
      </c>
      <c r="I209" s="17">
        <v>0</v>
      </c>
      <c r="J209" s="112">
        <v>6403</v>
      </c>
      <c r="K209" s="87">
        <v>0</v>
      </c>
      <c r="L209" s="87">
        <v>538</v>
      </c>
      <c r="M209" s="87" t="s">
        <v>6985</v>
      </c>
      <c r="N209" s="87">
        <v>537</v>
      </c>
      <c r="O209" s="87" t="s">
        <v>7647</v>
      </c>
      <c r="Q209" s="113"/>
      <c r="R209" s="113"/>
      <c r="S209" s="113"/>
      <c r="T209" s="113"/>
      <c r="U209" s="87">
        <v>1</v>
      </c>
      <c r="V209" s="87">
        <v>1</v>
      </c>
      <c r="W209" s="114">
        <v>5</v>
      </c>
      <c r="Z209" s="21">
        <f>VLOOKUP(G209,Sheet2!A:H,8,0)</f>
        <v>493188</v>
      </c>
      <c r="AB209" s="115"/>
      <c r="AC209" s="23">
        <f>VLOOKUP(G209,Sheet2!A$2:K$151,9,FALSE)</f>
        <v>947</v>
      </c>
      <c r="AF209" s="117" t="s">
        <v>7648</v>
      </c>
      <c r="AG209" s="117" t="s">
        <v>7649</v>
      </c>
      <c r="AH209" s="117" t="s">
        <v>7650</v>
      </c>
      <c r="AI209" s="117"/>
      <c r="AJ209" s="117" t="s">
        <v>7651</v>
      </c>
      <c r="AL209" s="112">
        <v>0</v>
      </c>
      <c r="AM209" s="96" t="s">
        <v>8764</v>
      </c>
      <c r="AN209" s="87" t="s">
        <v>8765</v>
      </c>
      <c r="AP209" s="87">
        <v>1</v>
      </c>
      <c r="AQ209" s="87">
        <v>0</v>
      </c>
      <c r="AR209" s="87">
        <v>1</v>
      </c>
      <c r="AS209" s="87">
        <v>1</v>
      </c>
      <c r="AU209" s="87">
        <v>0</v>
      </c>
      <c r="AV209" s="17">
        <f t="shared" si="69"/>
        <v>1</v>
      </c>
      <c r="AW209" s="87" t="str">
        <f t="shared" si="60"/>
        <v>{s_taskTalk,{538,537}}</v>
      </c>
    </row>
    <row r="210" spans="1:49" s="87" customFormat="1" ht="84" x14ac:dyDescent="0.15">
      <c r="A210" s="111">
        <v>6405</v>
      </c>
      <c r="C210" s="87" t="s">
        <v>7652</v>
      </c>
      <c r="D210" s="87">
        <v>1</v>
      </c>
      <c r="E210" s="87">
        <v>0</v>
      </c>
      <c r="F210" s="87">
        <v>5</v>
      </c>
      <c r="G210" s="112">
        <v>62</v>
      </c>
      <c r="H210" s="87">
        <v>200</v>
      </c>
      <c r="I210" s="17">
        <v>0</v>
      </c>
      <c r="J210" s="112">
        <v>6404</v>
      </c>
      <c r="K210" s="87">
        <v>0</v>
      </c>
      <c r="L210" s="87">
        <v>537</v>
      </c>
      <c r="M210" s="87" t="s">
        <v>7647</v>
      </c>
      <c r="N210" s="87">
        <v>539</v>
      </c>
      <c r="O210" s="87" t="s">
        <v>7653</v>
      </c>
      <c r="Q210" s="113"/>
      <c r="R210" s="113"/>
      <c r="S210" s="113"/>
      <c r="T210" s="113"/>
      <c r="U210" s="87">
        <v>1</v>
      </c>
      <c r="V210" s="87">
        <v>1</v>
      </c>
      <c r="W210" s="114">
        <v>5</v>
      </c>
      <c r="Z210" s="21">
        <f>VLOOKUP(G210,Sheet2!A:H,8,0)</f>
        <v>493188</v>
      </c>
      <c r="AB210" s="115"/>
      <c r="AC210" s="23">
        <f>VLOOKUP(G210,Sheet2!A$2:K$151,9,FALSE)</f>
        <v>947</v>
      </c>
      <c r="AF210" s="117" t="s">
        <v>7654</v>
      </c>
      <c r="AG210" s="117" t="s">
        <v>7655</v>
      </c>
      <c r="AH210" s="117" t="s">
        <v>7656</v>
      </c>
      <c r="AI210" s="117"/>
      <c r="AJ210" s="117" t="s">
        <v>7657</v>
      </c>
      <c r="AL210" s="112">
        <v>0</v>
      </c>
      <c r="AM210" s="96" t="s">
        <v>8766</v>
      </c>
      <c r="AN210" s="87" t="s">
        <v>8767</v>
      </c>
      <c r="AP210" s="87">
        <v>1</v>
      </c>
      <c r="AQ210" s="87">
        <v>0</v>
      </c>
      <c r="AR210" s="87">
        <v>1</v>
      </c>
      <c r="AS210" s="87">
        <v>1</v>
      </c>
      <c r="AU210" s="87">
        <v>0</v>
      </c>
      <c r="AV210" s="17">
        <f t="shared" si="69"/>
        <v>1</v>
      </c>
      <c r="AW210" s="87" t="str">
        <f t="shared" si="60"/>
        <v>{s_taskTalk,{537,539}}</v>
      </c>
    </row>
    <row r="211" spans="1:49" s="87" customFormat="1" ht="72" x14ac:dyDescent="0.15">
      <c r="A211" s="111">
        <v>6406</v>
      </c>
      <c r="C211" s="87" t="s">
        <v>7658</v>
      </c>
      <c r="D211" s="87">
        <v>1</v>
      </c>
      <c r="E211" s="87">
        <v>0</v>
      </c>
      <c r="F211" s="87">
        <v>5</v>
      </c>
      <c r="G211" s="112">
        <v>62</v>
      </c>
      <c r="H211" s="87">
        <v>200</v>
      </c>
      <c r="I211" s="17">
        <v>0</v>
      </c>
      <c r="J211" s="112">
        <v>6405</v>
      </c>
      <c r="K211" s="87">
        <v>0</v>
      </c>
      <c r="L211" s="87">
        <v>539</v>
      </c>
      <c r="M211" s="87" t="s">
        <v>7659</v>
      </c>
      <c r="N211" s="87">
        <v>539</v>
      </c>
      <c r="O211" s="87" t="s">
        <v>7659</v>
      </c>
      <c r="Q211" s="113">
        <v>2038</v>
      </c>
      <c r="R211" s="113"/>
      <c r="S211" s="113"/>
      <c r="T211" s="113"/>
      <c r="U211" s="87">
        <v>5</v>
      </c>
      <c r="V211" s="87">
        <v>0</v>
      </c>
      <c r="W211" s="114">
        <v>5</v>
      </c>
      <c r="Z211" s="21">
        <f>VLOOKUP(G211,Sheet2!A:H,8,0)</f>
        <v>493188</v>
      </c>
      <c r="AB211" s="115"/>
      <c r="AC211" s="23">
        <f>VLOOKUP(G211,Sheet2!A$2:K$151,9,FALSE)</f>
        <v>947</v>
      </c>
      <c r="AF211" s="117" t="s">
        <v>7660</v>
      </c>
      <c r="AG211" s="117" t="s">
        <v>7661</v>
      </c>
      <c r="AH211" s="117" t="s">
        <v>7662</v>
      </c>
      <c r="AI211" s="117"/>
      <c r="AJ211" s="71" t="s">
        <v>7663</v>
      </c>
      <c r="AL211" s="112">
        <v>0</v>
      </c>
      <c r="AM211" s="96" t="s">
        <v>8768</v>
      </c>
      <c r="AN211" s="87" t="s">
        <v>8769</v>
      </c>
      <c r="AO211" s="32" t="s">
        <v>7664</v>
      </c>
      <c r="AP211" s="87">
        <v>1</v>
      </c>
      <c r="AQ211" s="87">
        <v>0</v>
      </c>
      <c r="AR211" s="87">
        <v>1</v>
      </c>
      <c r="AS211" s="87">
        <v>1</v>
      </c>
      <c r="AU211" s="87">
        <v>0</v>
      </c>
      <c r="AV211" s="17">
        <f t="shared" si="69"/>
        <v>1</v>
      </c>
      <c r="AW211" s="87" t="str">
        <f>"{s_taskTalk,{"&amp;L211&amp;","&amp;N211&amp;"}}"</f>
        <v>{s_taskTalk,{539,539}}</v>
      </c>
    </row>
    <row r="212" spans="1:49" s="87" customFormat="1" ht="72" x14ac:dyDescent="0.15">
      <c r="A212" s="111">
        <v>6407</v>
      </c>
      <c r="C212" s="87" t="s">
        <v>7665</v>
      </c>
      <c r="D212" s="87">
        <v>1</v>
      </c>
      <c r="E212" s="87">
        <v>0</v>
      </c>
      <c r="F212" s="87">
        <v>5</v>
      </c>
      <c r="G212" s="112">
        <v>63</v>
      </c>
      <c r="H212" s="87">
        <v>200</v>
      </c>
      <c r="I212" s="17">
        <v>0</v>
      </c>
      <c r="J212" s="112">
        <v>6406</v>
      </c>
      <c r="K212" s="87">
        <v>0</v>
      </c>
      <c r="L212" s="87">
        <v>539</v>
      </c>
      <c r="M212" s="87" t="s">
        <v>7666</v>
      </c>
      <c r="N212" s="87">
        <v>537</v>
      </c>
      <c r="O212" s="87" t="s">
        <v>7667</v>
      </c>
      <c r="Q212" s="113"/>
      <c r="R212" s="113"/>
      <c r="S212" s="113"/>
      <c r="T212" s="113"/>
      <c r="U212" s="87">
        <v>1</v>
      </c>
      <c r="V212" s="87">
        <v>1</v>
      </c>
      <c r="W212" s="114">
        <v>5</v>
      </c>
      <c r="Z212" s="21">
        <f>VLOOKUP(G212,Sheet2!A:H,8,0)</f>
        <v>505046</v>
      </c>
      <c r="AB212" s="115"/>
      <c r="AC212" s="23">
        <f>VLOOKUP(G212,Sheet2!A$2:K$151,9,FALSE)</f>
        <v>960</v>
      </c>
      <c r="AF212" s="117" t="s">
        <v>7668</v>
      </c>
      <c r="AG212" s="117" t="s">
        <v>7669</v>
      </c>
      <c r="AH212" s="117" t="s">
        <v>7670</v>
      </c>
      <c r="AI212" s="117"/>
      <c r="AJ212" s="117" t="s">
        <v>7671</v>
      </c>
      <c r="AL212" s="112">
        <v>0</v>
      </c>
      <c r="AM212" s="96" t="s">
        <v>8770</v>
      </c>
      <c r="AN212" s="87" t="s">
        <v>8771</v>
      </c>
      <c r="AP212" s="87">
        <v>1</v>
      </c>
      <c r="AQ212" s="87">
        <v>0</v>
      </c>
      <c r="AR212" s="87">
        <v>1</v>
      </c>
      <c r="AS212" s="87">
        <v>1</v>
      </c>
      <c r="AU212" s="87">
        <v>0</v>
      </c>
      <c r="AV212" s="17">
        <f t="shared" si="69"/>
        <v>1</v>
      </c>
      <c r="AW212" s="87" t="str">
        <f>"{s_taskTalk,{"&amp;L212&amp;","&amp;N212&amp;"}}"</f>
        <v>{s_taskTalk,{539,537}}</v>
      </c>
    </row>
    <row r="213" spans="1:49" s="87" customFormat="1" ht="72" x14ac:dyDescent="0.15">
      <c r="A213" s="111">
        <v>6408</v>
      </c>
      <c r="C213" s="96" t="s">
        <v>8112</v>
      </c>
      <c r="D213" s="87">
        <v>1</v>
      </c>
      <c r="E213" s="87">
        <v>0</v>
      </c>
      <c r="F213" s="87">
        <v>5</v>
      </c>
      <c r="G213" s="112">
        <v>63</v>
      </c>
      <c r="H213" s="87">
        <v>200</v>
      </c>
      <c r="I213" s="17">
        <v>0</v>
      </c>
      <c r="J213" s="112">
        <v>6407</v>
      </c>
      <c r="K213" s="87">
        <v>0</v>
      </c>
      <c r="L213" s="87">
        <v>537</v>
      </c>
      <c r="M213" s="87" t="s">
        <v>7667</v>
      </c>
      <c r="N213" s="87">
        <v>537</v>
      </c>
      <c r="O213" s="87" t="s">
        <v>7667</v>
      </c>
      <c r="Q213" s="113"/>
      <c r="R213" s="113"/>
      <c r="S213" s="113">
        <v>10015</v>
      </c>
      <c r="T213" s="113"/>
      <c r="U213" s="87">
        <v>60</v>
      </c>
      <c r="V213" s="87">
        <v>0</v>
      </c>
      <c r="W213" s="114">
        <v>5</v>
      </c>
      <c r="Z213" s="21">
        <f>VLOOKUP(G213,Sheet2!A:H,8,0)</f>
        <v>505046</v>
      </c>
      <c r="AB213" s="115"/>
      <c r="AC213" s="23">
        <f>VLOOKUP(G213,Sheet2!A$2:K$151,9,FALSE)</f>
        <v>960</v>
      </c>
      <c r="AF213" s="117" t="s">
        <v>8113</v>
      </c>
      <c r="AG213" s="117" t="s">
        <v>7672</v>
      </c>
      <c r="AH213" s="117" t="s">
        <v>7673</v>
      </c>
      <c r="AI213" s="117"/>
      <c r="AJ213" s="71" t="s">
        <v>7674</v>
      </c>
      <c r="AL213" s="112">
        <v>0</v>
      </c>
      <c r="AM213" s="96" t="s">
        <v>8772</v>
      </c>
      <c r="AN213" s="87" t="s">
        <v>8773</v>
      </c>
      <c r="AP213" s="87">
        <v>1</v>
      </c>
      <c r="AQ213" s="87">
        <v>0</v>
      </c>
      <c r="AR213" s="87">
        <v>1</v>
      </c>
      <c r="AS213" s="87">
        <v>1</v>
      </c>
      <c r="AU213" s="87">
        <v>0</v>
      </c>
      <c r="AV213" s="17">
        <f t="shared" si="69"/>
        <v>1</v>
      </c>
      <c r="AW213" s="87" t="str">
        <f>"{s_taskKillNpc, {"&amp;L213&amp;","&amp;N213&amp;","&amp;S213&amp;","&amp;U213&amp;"}}"</f>
        <v>{s_taskKillNpc, {537,537,10015,60}}</v>
      </c>
    </row>
    <row r="214" spans="1:49" s="87" customFormat="1" ht="96" x14ac:dyDescent="0.15">
      <c r="A214" s="111">
        <v>6409</v>
      </c>
      <c r="C214" s="87" t="s">
        <v>7675</v>
      </c>
      <c r="D214" s="87">
        <v>1</v>
      </c>
      <c r="E214" s="87">
        <v>0</v>
      </c>
      <c r="F214" s="87">
        <v>5</v>
      </c>
      <c r="G214" s="112">
        <v>63</v>
      </c>
      <c r="H214" s="87">
        <v>200</v>
      </c>
      <c r="I214" s="17">
        <v>0</v>
      </c>
      <c r="J214" s="112">
        <v>6408</v>
      </c>
      <c r="K214" s="87">
        <v>0</v>
      </c>
      <c r="L214" s="87">
        <v>537</v>
      </c>
      <c r="M214" s="87" t="s">
        <v>7647</v>
      </c>
      <c r="N214" s="87">
        <v>536</v>
      </c>
      <c r="O214" s="87" t="s">
        <v>7676</v>
      </c>
      <c r="Q214" s="113"/>
      <c r="R214" s="113"/>
      <c r="S214" s="113"/>
      <c r="T214" s="113"/>
      <c r="U214" s="87">
        <v>1</v>
      </c>
      <c r="V214" s="87">
        <v>1</v>
      </c>
      <c r="W214" s="114">
        <v>5</v>
      </c>
      <c r="Z214" s="21">
        <f>VLOOKUP(G214,Sheet2!A:H,8,0)</f>
        <v>505046</v>
      </c>
      <c r="AB214" s="115"/>
      <c r="AC214" s="23">
        <f>VLOOKUP(G214,Sheet2!A$2:K$151,9,FALSE)</f>
        <v>960</v>
      </c>
      <c r="AF214" s="117" t="s">
        <v>7677</v>
      </c>
      <c r="AG214" s="117" t="s">
        <v>7678</v>
      </c>
      <c r="AH214" s="117" t="s">
        <v>7679</v>
      </c>
      <c r="AI214" s="117"/>
      <c r="AJ214" s="117" t="s">
        <v>7680</v>
      </c>
      <c r="AL214" s="112">
        <v>0</v>
      </c>
      <c r="AM214" s="96" t="s">
        <v>8774</v>
      </c>
      <c r="AN214" s="87" t="s">
        <v>8775</v>
      </c>
      <c r="AP214" s="87">
        <v>1</v>
      </c>
      <c r="AQ214" s="87">
        <v>0</v>
      </c>
      <c r="AR214" s="87">
        <v>1</v>
      </c>
      <c r="AS214" s="87">
        <v>1</v>
      </c>
      <c r="AU214" s="87">
        <v>0</v>
      </c>
      <c r="AV214" s="17">
        <f t="shared" si="69"/>
        <v>1</v>
      </c>
      <c r="AW214" s="87" t="str">
        <f>"{s_taskTalk,{"&amp;L214&amp;","&amp;N214&amp;"}}"</f>
        <v>{s_taskTalk,{537,536}}</v>
      </c>
    </row>
    <row r="215" spans="1:49" s="87" customFormat="1" ht="72" x14ac:dyDescent="0.15">
      <c r="A215" s="111">
        <v>6410</v>
      </c>
      <c r="C215" s="96" t="s">
        <v>7681</v>
      </c>
      <c r="D215" s="87">
        <v>1</v>
      </c>
      <c r="E215" s="87">
        <v>0</v>
      </c>
      <c r="F215" s="87">
        <v>5</v>
      </c>
      <c r="G215" s="112">
        <v>64</v>
      </c>
      <c r="H215" s="87">
        <v>200</v>
      </c>
      <c r="I215" s="17">
        <v>0</v>
      </c>
      <c r="J215" s="112">
        <v>6409</v>
      </c>
      <c r="K215" s="87">
        <v>0</v>
      </c>
      <c r="L215" s="87">
        <v>536</v>
      </c>
      <c r="M215" s="87" t="s">
        <v>7676</v>
      </c>
      <c r="N215" s="87">
        <v>536</v>
      </c>
      <c r="O215" s="87" t="s">
        <v>7676</v>
      </c>
      <c r="Q215" s="113"/>
      <c r="R215" s="113"/>
      <c r="S215" s="113">
        <v>10016</v>
      </c>
      <c r="T215" s="113"/>
      <c r="U215" s="87">
        <v>60</v>
      </c>
      <c r="V215" s="87">
        <v>0</v>
      </c>
      <c r="W215" s="114">
        <v>5</v>
      </c>
      <c r="Z215" s="21">
        <f>VLOOKUP(G215,Sheet2!A:H,8,0)</f>
        <v>517000</v>
      </c>
      <c r="AB215" s="115"/>
      <c r="AC215" s="23">
        <f>VLOOKUP(G215,Sheet2!A$2:K$151,9,FALSE)</f>
        <v>973</v>
      </c>
      <c r="AF215" s="117" t="s">
        <v>7682</v>
      </c>
      <c r="AG215" s="117" t="s">
        <v>7683</v>
      </c>
      <c r="AH215" s="117" t="s">
        <v>7684</v>
      </c>
      <c r="AI215" s="117"/>
      <c r="AJ215" s="71" t="s">
        <v>7685</v>
      </c>
      <c r="AL215" s="112">
        <v>0</v>
      </c>
      <c r="AM215" s="96" t="s">
        <v>8776</v>
      </c>
      <c r="AN215" s="87" t="s">
        <v>8777</v>
      </c>
      <c r="AP215" s="87">
        <v>1</v>
      </c>
      <c r="AQ215" s="87">
        <v>0</v>
      </c>
      <c r="AR215" s="87">
        <v>1</v>
      </c>
      <c r="AS215" s="87">
        <v>1</v>
      </c>
      <c r="AU215" s="87">
        <v>0</v>
      </c>
      <c r="AV215" s="17">
        <f t="shared" si="69"/>
        <v>1</v>
      </c>
      <c r="AW215" s="87" t="str">
        <f>"{s_taskKillNpc, {"&amp;L215&amp;","&amp;N215&amp;","&amp;S215&amp;","&amp;U215&amp;"}}"</f>
        <v>{s_taskKillNpc, {536,536,10016,60}}</v>
      </c>
    </row>
    <row r="216" spans="1:49" s="87" customFormat="1" ht="72" x14ac:dyDescent="0.15">
      <c r="A216" s="111">
        <v>6411</v>
      </c>
      <c r="C216" s="87" t="s">
        <v>7686</v>
      </c>
      <c r="D216" s="87">
        <v>1</v>
      </c>
      <c r="E216" s="87">
        <v>0</v>
      </c>
      <c r="F216" s="87">
        <v>5</v>
      </c>
      <c r="G216" s="112">
        <v>64</v>
      </c>
      <c r="H216" s="87">
        <v>200</v>
      </c>
      <c r="I216" s="17">
        <v>0</v>
      </c>
      <c r="J216" s="112">
        <v>6410</v>
      </c>
      <c r="K216" s="87">
        <v>0</v>
      </c>
      <c r="L216" s="87">
        <v>536</v>
      </c>
      <c r="M216" s="87" t="s">
        <v>7687</v>
      </c>
      <c r="N216" s="87">
        <v>534</v>
      </c>
      <c r="O216" s="96" t="s">
        <v>5272</v>
      </c>
      <c r="Q216" s="113"/>
      <c r="R216" s="113"/>
      <c r="S216" s="113"/>
      <c r="T216" s="113"/>
      <c r="U216" s="87">
        <v>1</v>
      </c>
      <c r="V216" s="87">
        <v>1</v>
      </c>
      <c r="W216" s="114">
        <v>5</v>
      </c>
      <c r="Z216" s="21">
        <f>VLOOKUP(G216,Sheet2!A:H,8,0)</f>
        <v>517000</v>
      </c>
      <c r="AB216" s="115"/>
      <c r="AC216" s="23">
        <f>VLOOKUP(G216,Sheet2!A$2:K$151,9,FALSE)</f>
        <v>973</v>
      </c>
      <c r="AF216" s="117" t="s">
        <v>7688</v>
      </c>
      <c r="AG216" s="117" t="s">
        <v>7689</v>
      </c>
      <c r="AH216" s="117" t="s">
        <v>7690</v>
      </c>
      <c r="AI216" s="117"/>
      <c r="AJ216" s="116" t="s">
        <v>7691</v>
      </c>
      <c r="AL216" s="112">
        <v>0</v>
      </c>
      <c r="AM216" s="96" t="s">
        <v>8778</v>
      </c>
      <c r="AN216" s="87" t="s">
        <v>8779</v>
      </c>
      <c r="AP216" s="87">
        <v>1</v>
      </c>
      <c r="AQ216" s="87">
        <v>0</v>
      </c>
      <c r="AR216" s="87">
        <v>1</v>
      </c>
      <c r="AS216" s="87">
        <v>1</v>
      </c>
      <c r="AU216" s="87">
        <v>0</v>
      </c>
      <c r="AV216" s="17">
        <f t="shared" si="69"/>
        <v>1</v>
      </c>
      <c r="AW216" s="87" t="str">
        <f>"{s_taskTalk,{"&amp;L216&amp;","&amp;N216&amp;"}}"</f>
        <v>{s_taskTalk,{536,534}}</v>
      </c>
    </row>
    <row r="217" spans="1:49" s="87" customFormat="1" ht="72" x14ac:dyDescent="0.15">
      <c r="A217" s="111">
        <v>6412</v>
      </c>
      <c r="C217" s="87" t="s">
        <v>7692</v>
      </c>
      <c r="D217" s="87">
        <v>1</v>
      </c>
      <c r="E217" s="87">
        <v>0</v>
      </c>
      <c r="F217" s="87">
        <v>5</v>
      </c>
      <c r="G217" s="112">
        <v>64</v>
      </c>
      <c r="H217" s="87">
        <v>200</v>
      </c>
      <c r="I217" s="17">
        <v>0</v>
      </c>
      <c r="J217" s="112">
        <v>6411</v>
      </c>
      <c r="K217" s="87">
        <v>0</v>
      </c>
      <c r="L217" s="87">
        <v>534</v>
      </c>
      <c r="M217" s="96" t="s">
        <v>5272</v>
      </c>
      <c r="N217" s="87">
        <v>535</v>
      </c>
      <c r="O217" s="96" t="s">
        <v>5271</v>
      </c>
      <c r="Q217" s="113"/>
      <c r="R217" s="113"/>
      <c r="S217" s="113"/>
      <c r="T217" s="113"/>
      <c r="U217" s="87">
        <v>1</v>
      </c>
      <c r="V217" s="87">
        <v>1</v>
      </c>
      <c r="W217" s="114">
        <v>5</v>
      </c>
      <c r="Z217" s="21">
        <f>VLOOKUP(G217,Sheet2!A:H,8,0)</f>
        <v>517000</v>
      </c>
      <c r="AB217" s="115"/>
      <c r="AC217" s="23">
        <f>VLOOKUP(G217,Sheet2!A$2:K$151,9,FALSE)</f>
        <v>973</v>
      </c>
      <c r="AF217" s="117" t="s">
        <v>7693</v>
      </c>
      <c r="AG217" s="117" t="s">
        <v>7694</v>
      </c>
      <c r="AH217" s="117" t="s">
        <v>7695</v>
      </c>
      <c r="AI217" s="117"/>
      <c r="AJ217" s="117" t="s">
        <v>7696</v>
      </c>
      <c r="AL217" s="112">
        <v>0</v>
      </c>
      <c r="AM217" s="96" t="s">
        <v>7949</v>
      </c>
      <c r="AN217" s="87" t="s">
        <v>7697</v>
      </c>
      <c r="AP217" s="87">
        <v>1</v>
      </c>
      <c r="AQ217" s="87">
        <v>0</v>
      </c>
      <c r="AR217" s="87">
        <v>1</v>
      </c>
      <c r="AS217" s="87">
        <v>1</v>
      </c>
      <c r="AU217" s="87">
        <v>0</v>
      </c>
      <c r="AV217" s="17">
        <f t="shared" si="69"/>
        <v>1</v>
      </c>
      <c r="AW217" s="87" t="str">
        <f>"{s_taskTalk,{"&amp;L217&amp;","&amp;N217&amp;"}}"</f>
        <v>{s_taskTalk,{534,535}}</v>
      </c>
    </row>
    <row r="218" spans="1:49" s="87" customFormat="1" ht="72" x14ac:dyDescent="0.15">
      <c r="A218" s="108">
        <v>6413</v>
      </c>
      <c r="B218" s="108"/>
      <c r="C218" s="861" t="s">
        <v>7698</v>
      </c>
      <c r="D218" s="112">
        <v>1</v>
      </c>
      <c r="E218" s="112">
        <v>0</v>
      </c>
      <c r="F218" s="112">
        <v>5</v>
      </c>
      <c r="G218" s="112">
        <v>65</v>
      </c>
      <c r="H218" s="112">
        <v>200</v>
      </c>
      <c r="I218" s="112">
        <v>0</v>
      </c>
      <c r="J218" s="112">
        <v>6412</v>
      </c>
      <c r="K218" s="112">
        <v>0</v>
      </c>
      <c r="L218" s="87">
        <v>535</v>
      </c>
      <c r="M218" s="96" t="s">
        <v>5271</v>
      </c>
      <c r="N218" s="87">
        <v>534</v>
      </c>
      <c r="O218" s="96" t="s">
        <v>5272</v>
      </c>
      <c r="Q218" s="113"/>
      <c r="R218" s="113"/>
      <c r="S218" s="113"/>
      <c r="T218" s="113"/>
      <c r="U218" s="87">
        <v>1</v>
      </c>
      <c r="V218" s="87">
        <v>1</v>
      </c>
      <c r="W218" s="114">
        <v>5</v>
      </c>
      <c r="Z218" s="21">
        <f>VLOOKUP(G218,Sheet2!A:H,8,0)</f>
        <v>396785</v>
      </c>
      <c r="AB218" s="115"/>
      <c r="AC218" s="23">
        <f>VLOOKUP(G218,Sheet2!A$2:K$151,9,FALSE)</f>
        <v>740</v>
      </c>
      <c r="AF218" s="117" t="s">
        <v>8114</v>
      </c>
      <c r="AG218" s="117" t="s">
        <v>7699</v>
      </c>
      <c r="AH218" s="117" t="s">
        <v>7700</v>
      </c>
      <c r="AI218" s="117"/>
      <c r="AJ218" s="71" t="s">
        <v>7701</v>
      </c>
      <c r="AL218" s="112">
        <v>0</v>
      </c>
      <c r="AM218" s="96" t="s">
        <v>7950</v>
      </c>
      <c r="AN218" s="87" t="s">
        <v>7948</v>
      </c>
      <c r="AO218" s="32"/>
      <c r="AP218" s="87">
        <v>1</v>
      </c>
      <c r="AQ218" s="87">
        <v>0</v>
      </c>
      <c r="AR218" s="87">
        <v>1</v>
      </c>
      <c r="AS218" s="87">
        <v>1</v>
      </c>
      <c r="AU218" s="87">
        <v>0</v>
      </c>
      <c r="AV218" s="17">
        <f t="shared" si="69"/>
        <v>1</v>
      </c>
      <c r="AW218" s="87" t="str">
        <f>"{s_taskTalk,{"&amp;L218&amp;","&amp;N218&amp;"}}"</f>
        <v>{s_taskTalk,{535,534}}</v>
      </c>
    </row>
    <row r="219" spans="1:49" s="87" customFormat="1" ht="72" x14ac:dyDescent="0.15">
      <c r="A219" s="100">
        <v>6414</v>
      </c>
      <c r="B219" s="101"/>
      <c r="C219" s="101" t="s">
        <v>7702</v>
      </c>
      <c r="D219" s="87">
        <v>1</v>
      </c>
      <c r="E219" s="87">
        <v>0</v>
      </c>
      <c r="F219" s="87">
        <v>5</v>
      </c>
      <c r="G219" s="112">
        <v>65</v>
      </c>
      <c r="H219" s="87">
        <v>200</v>
      </c>
      <c r="I219" s="17">
        <v>0</v>
      </c>
      <c r="J219" s="112">
        <v>6413</v>
      </c>
      <c r="K219" s="87">
        <v>0</v>
      </c>
      <c r="L219" s="87">
        <v>534</v>
      </c>
      <c r="M219" s="96" t="s">
        <v>5272</v>
      </c>
      <c r="N219" s="87">
        <v>537</v>
      </c>
      <c r="O219" s="87" t="s">
        <v>7703</v>
      </c>
      <c r="Q219" s="113"/>
      <c r="R219" s="113"/>
      <c r="S219" s="113"/>
      <c r="T219" s="113"/>
      <c r="U219" s="87">
        <v>1</v>
      </c>
      <c r="V219" s="87">
        <v>1</v>
      </c>
      <c r="W219" s="114">
        <v>5</v>
      </c>
      <c r="Z219" s="21">
        <f>VLOOKUP(G219,Sheet2!A:H,8,0)</f>
        <v>396785</v>
      </c>
      <c r="AB219" s="115"/>
      <c r="AC219" s="23">
        <f>VLOOKUP(G219,Sheet2!A$2:K$151,9,FALSE)</f>
        <v>740</v>
      </c>
      <c r="AF219" s="117" t="s">
        <v>7704</v>
      </c>
      <c r="AG219" s="117" t="s">
        <v>7705</v>
      </c>
      <c r="AH219" s="117" t="s">
        <v>7706</v>
      </c>
      <c r="AI219" s="117"/>
      <c r="AJ219" s="117" t="s">
        <v>7707</v>
      </c>
      <c r="AL219" s="112">
        <v>0</v>
      </c>
      <c r="AM219" s="96" t="s">
        <v>7951</v>
      </c>
      <c r="AN219" s="87" t="s">
        <v>8780</v>
      </c>
      <c r="AP219" s="87">
        <v>1</v>
      </c>
      <c r="AQ219" s="87">
        <v>0</v>
      </c>
      <c r="AR219" s="87">
        <v>1</v>
      </c>
      <c r="AS219" s="87">
        <v>1</v>
      </c>
      <c r="AU219" s="87">
        <v>0</v>
      </c>
      <c r="AV219" s="17">
        <f t="shared" si="69"/>
        <v>1</v>
      </c>
      <c r="AW219" s="87" t="str">
        <f>"{s_taskTalk,{"&amp;L219&amp;","&amp;N219&amp;"}}"</f>
        <v>{s_taskTalk,{534,537}}</v>
      </c>
    </row>
    <row r="220" spans="1:49" s="87" customFormat="1" ht="72" x14ac:dyDescent="0.15">
      <c r="A220" s="100">
        <v>6415</v>
      </c>
      <c r="B220" s="101"/>
      <c r="C220" s="101" t="s">
        <v>7708</v>
      </c>
      <c r="D220" s="87">
        <v>1</v>
      </c>
      <c r="E220" s="87">
        <v>0</v>
      </c>
      <c r="F220" s="87">
        <v>5</v>
      </c>
      <c r="G220" s="112">
        <v>65</v>
      </c>
      <c r="H220" s="87">
        <v>200</v>
      </c>
      <c r="I220" s="17">
        <v>0</v>
      </c>
      <c r="J220" s="112">
        <v>6414</v>
      </c>
      <c r="K220" s="87">
        <v>0</v>
      </c>
      <c r="L220" s="87">
        <v>537</v>
      </c>
      <c r="M220" s="87" t="s">
        <v>7709</v>
      </c>
      <c r="N220" s="87">
        <v>531</v>
      </c>
      <c r="O220" s="96" t="s">
        <v>5264</v>
      </c>
      <c r="Q220" s="113">
        <v>2040</v>
      </c>
      <c r="R220" s="113"/>
      <c r="S220" s="113"/>
      <c r="T220" s="113"/>
      <c r="U220" s="87">
        <v>1</v>
      </c>
      <c r="V220" s="87">
        <v>0</v>
      </c>
      <c r="W220" s="114">
        <v>5</v>
      </c>
      <c r="Z220" s="21">
        <f>VLOOKUP(G220,Sheet2!A:H,8,0)</f>
        <v>396785</v>
      </c>
      <c r="AB220" s="115"/>
      <c r="AC220" s="23">
        <f>VLOOKUP(G220,Sheet2!A$2:K$151,9,FALSE)</f>
        <v>740</v>
      </c>
      <c r="AF220" s="117" t="s">
        <v>8115</v>
      </c>
      <c r="AG220" s="117" t="s">
        <v>7710</v>
      </c>
      <c r="AH220" s="117" t="s">
        <v>7711</v>
      </c>
      <c r="AI220" s="117"/>
      <c r="AJ220" s="71" t="s">
        <v>7712</v>
      </c>
      <c r="AL220" s="112">
        <v>0</v>
      </c>
      <c r="AM220" s="96" t="s">
        <v>8781</v>
      </c>
      <c r="AN220" s="87" t="s">
        <v>8782</v>
      </c>
      <c r="AO220" s="32" t="s">
        <v>7713</v>
      </c>
      <c r="AP220" s="87">
        <v>1</v>
      </c>
      <c r="AQ220" s="87">
        <v>0</v>
      </c>
      <c r="AR220" s="87">
        <v>1</v>
      </c>
      <c r="AS220" s="87">
        <v>1</v>
      </c>
      <c r="AU220" s="87">
        <v>0</v>
      </c>
      <c r="AV220" s="17">
        <f t="shared" si="69"/>
        <v>1</v>
      </c>
      <c r="AW220" s="87" t="str">
        <f t="shared" si="60"/>
        <v>{s_taskTalk,{537,531}}</v>
      </c>
    </row>
    <row r="221" spans="1:49" s="87" customFormat="1" ht="72" x14ac:dyDescent="0.15">
      <c r="A221" s="111">
        <v>6416</v>
      </c>
      <c r="C221" s="96" t="s">
        <v>7714</v>
      </c>
      <c r="D221" s="87">
        <v>1</v>
      </c>
      <c r="E221" s="87">
        <v>0</v>
      </c>
      <c r="F221" s="87">
        <v>5</v>
      </c>
      <c r="G221" s="112">
        <v>65</v>
      </c>
      <c r="H221" s="87">
        <v>200</v>
      </c>
      <c r="I221" s="17">
        <v>0</v>
      </c>
      <c r="J221" s="112">
        <v>6415</v>
      </c>
      <c r="K221" s="87">
        <v>0</v>
      </c>
      <c r="L221" s="87">
        <v>531</v>
      </c>
      <c r="M221" s="96" t="s">
        <v>5264</v>
      </c>
      <c r="N221" s="87">
        <v>537</v>
      </c>
      <c r="O221" s="87" t="s">
        <v>7715</v>
      </c>
      <c r="Q221" s="113"/>
      <c r="R221" s="113"/>
      <c r="S221" s="113"/>
      <c r="T221" s="113"/>
      <c r="U221" s="87">
        <v>1</v>
      </c>
      <c r="V221" s="87">
        <v>1</v>
      </c>
      <c r="W221" s="114">
        <v>5</v>
      </c>
      <c r="Z221" s="21">
        <f>VLOOKUP(G221,Sheet2!A:H,8,0)</f>
        <v>396785</v>
      </c>
      <c r="AB221" s="115"/>
      <c r="AC221" s="23">
        <f>VLOOKUP(G221,Sheet2!A$2:K$151,9,FALSE)</f>
        <v>740</v>
      </c>
      <c r="AF221" s="116" t="s">
        <v>8116</v>
      </c>
      <c r="AG221" s="116" t="s">
        <v>7716</v>
      </c>
      <c r="AH221" s="117" t="s">
        <v>7717</v>
      </c>
      <c r="AI221" s="117"/>
      <c r="AJ221" s="117" t="s">
        <v>7718</v>
      </c>
      <c r="AL221" s="112">
        <v>0</v>
      </c>
      <c r="AM221" s="96" t="s">
        <v>8783</v>
      </c>
      <c r="AN221" s="87" t="s">
        <v>8784</v>
      </c>
      <c r="AP221" s="87">
        <v>1</v>
      </c>
      <c r="AQ221" s="87">
        <v>0</v>
      </c>
      <c r="AR221" s="87">
        <v>1</v>
      </c>
      <c r="AS221" s="87">
        <v>1</v>
      </c>
      <c r="AU221" s="87">
        <v>0</v>
      </c>
      <c r="AV221" s="17">
        <f t="shared" si="69"/>
        <v>1</v>
      </c>
      <c r="AW221" s="87" t="str">
        <f t="shared" si="60"/>
        <v>{s_taskTalk,{531,537}}</v>
      </c>
    </row>
    <row r="222" spans="1:49" s="87" customFormat="1" ht="72" x14ac:dyDescent="0.15">
      <c r="A222" s="111">
        <v>6417</v>
      </c>
      <c r="C222" s="96" t="s">
        <v>7719</v>
      </c>
      <c r="D222" s="87">
        <v>1</v>
      </c>
      <c r="E222" s="87">
        <v>0</v>
      </c>
      <c r="F222" s="87">
        <v>5</v>
      </c>
      <c r="G222" s="112">
        <v>66</v>
      </c>
      <c r="H222" s="87">
        <v>200</v>
      </c>
      <c r="I222" s="17">
        <v>0</v>
      </c>
      <c r="J222" s="112">
        <v>6416</v>
      </c>
      <c r="K222" s="87">
        <v>0</v>
      </c>
      <c r="L222" s="87">
        <v>537</v>
      </c>
      <c r="M222" s="87" t="s">
        <v>7720</v>
      </c>
      <c r="N222" s="87">
        <v>531</v>
      </c>
      <c r="O222" s="96" t="s">
        <v>5264</v>
      </c>
      <c r="Q222" s="113"/>
      <c r="R222" s="113"/>
      <c r="S222" s="113">
        <v>10016</v>
      </c>
      <c r="T222" s="113"/>
      <c r="U222" s="87">
        <v>80</v>
      </c>
      <c r="V222" s="87">
        <v>0</v>
      </c>
      <c r="W222" s="114">
        <v>5</v>
      </c>
      <c r="Z222" s="21">
        <f>VLOOKUP(G222,Sheet2!A:H,8,0)</f>
        <v>811779</v>
      </c>
      <c r="AB222" s="115"/>
      <c r="AC222" s="23">
        <f>VLOOKUP(G222,Sheet2!A$2:K$151,9,FALSE)</f>
        <v>1500</v>
      </c>
      <c r="AF222" s="116" t="s">
        <v>7721</v>
      </c>
      <c r="AG222" s="116" t="s">
        <v>7722</v>
      </c>
      <c r="AH222" s="117" t="s">
        <v>7723</v>
      </c>
      <c r="AI222" s="117"/>
      <c r="AJ222" s="71" t="s">
        <v>7724</v>
      </c>
      <c r="AL222" s="112">
        <v>0</v>
      </c>
      <c r="AM222" s="96" t="s">
        <v>8785</v>
      </c>
      <c r="AN222" s="87" t="s">
        <v>8786</v>
      </c>
      <c r="AP222" s="87">
        <v>1</v>
      </c>
      <c r="AQ222" s="87">
        <v>0</v>
      </c>
      <c r="AR222" s="87">
        <v>1</v>
      </c>
      <c r="AS222" s="87">
        <v>1</v>
      </c>
      <c r="AU222" s="87">
        <v>0</v>
      </c>
      <c r="AV222" s="17">
        <f t="shared" si="69"/>
        <v>1</v>
      </c>
      <c r="AW222" s="87" t="str">
        <f>"{s_taskKillNpc, {"&amp;L222&amp;","&amp;N222&amp;","&amp;S222&amp;","&amp;U222&amp;"}}"</f>
        <v>{s_taskKillNpc, {537,531,10016,80}}</v>
      </c>
    </row>
    <row r="223" spans="1:49" s="87" customFormat="1" ht="72" x14ac:dyDescent="0.15">
      <c r="A223" s="100">
        <v>6418</v>
      </c>
      <c r="B223" s="101"/>
      <c r="C223" s="101" t="s">
        <v>7725</v>
      </c>
      <c r="D223" s="87">
        <v>1</v>
      </c>
      <c r="E223" s="87">
        <v>0</v>
      </c>
      <c r="F223" s="87">
        <v>5</v>
      </c>
      <c r="G223" s="112">
        <v>66</v>
      </c>
      <c r="H223" s="87">
        <v>200</v>
      </c>
      <c r="I223" s="17">
        <v>0</v>
      </c>
      <c r="J223" s="112">
        <v>6417</v>
      </c>
      <c r="K223" s="87">
        <v>0</v>
      </c>
      <c r="L223" s="87">
        <v>531</v>
      </c>
      <c r="M223" s="96" t="s">
        <v>5264</v>
      </c>
      <c r="N223" s="87">
        <v>531</v>
      </c>
      <c r="O223" s="96" t="s">
        <v>7726</v>
      </c>
      <c r="Q223" s="113">
        <v>2040</v>
      </c>
      <c r="R223" s="113"/>
      <c r="S223" s="113"/>
      <c r="T223" s="113"/>
      <c r="U223" s="87">
        <v>1</v>
      </c>
      <c r="V223" s="87">
        <v>0</v>
      </c>
      <c r="W223" s="114">
        <v>5</v>
      </c>
      <c r="Z223" s="21">
        <f>VLOOKUP(G223,Sheet2!A:H,8,0)</f>
        <v>811779</v>
      </c>
      <c r="AB223" s="115"/>
      <c r="AC223" s="23">
        <f>VLOOKUP(G223,Sheet2!A$2:K$151,9,FALSE)</f>
        <v>1500</v>
      </c>
      <c r="AF223" s="117" t="s">
        <v>8117</v>
      </c>
      <c r="AG223" s="117" t="s">
        <v>7727</v>
      </c>
      <c r="AH223" s="117" t="s">
        <v>7728</v>
      </c>
      <c r="AI223" s="117"/>
      <c r="AJ223" s="71" t="s">
        <v>7729</v>
      </c>
      <c r="AL223" s="112">
        <v>0</v>
      </c>
      <c r="AM223" s="96" t="s">
        <v>8787</v>
      </c>
      <c r="AN223" s="87" t="s">
        <v>8788</v>
      </c>
      <c r="AO223" s="32" t="s">
        <v>7730</v>
      </c>
      <c r="AP223" s="87">
        <v>1</v>
      </c>
      <c r="AQ223" s="87">
        <v>0</v>
      </c>
      <c r="AR223" s="87">
        <v>1</v>
      </c>
      <c r="AS223" s="87">
        <v>1</v>
      </c>
      <c r="AU223" s="87">
        <v>0</v>
      </c>
      <c r="AV223" s="17">
        <f t="shared" si="69"/>
        <v>1</v>
      </c>
      <c r="AW223" s="87" t="str">
        <f t="shared" si="60"/>
        <v>{s_taskTalk,{531,531}}</v>
      </c>
    </row>
    <row r="224" spans="1:49" s="87" customFormat="1" ht="72" x14ac:dyDescent="0.15">
      <c r="A224" s="111">
        <v>6419</v>
      </c>
      <c r="C224" s="87" t="s">
        <v>7731</v>
      </c>
      <c r="D224" s="87">
        <v>1</v>
      </c>
      <c r="E224" s="87">
        <v>0</v>
      </c>
      <c r="F224" s="87">
        <v>5</v>
      </c>
      <c r="G224" s="112">
        <v>67</v>
      </c>
      <c r="H224" s="87">
        <v>200</v>
      </c>
      <c r="I224" s="17">
        <v>0</v>
      </c>
      <c r="J224" s="112">
        <v>6418</v>
      </c>
      <c r="K224" s="87">
        <v>0</v>
      </c>
      <c r="L224" s="87">
        <v>531</v>
      </c>
      <c r="M224" s="96" t="s">
        <v>7732</v>
      </c>
      <c r="N224" s="87">
        <v>134</v>
      </c>
      <c r="O224" s="87" t="s">
        <v>7733</v>
      </c>
      <c r="Q224" s="113"/>
      <c r="R224" s="113"/>
      <c r="S224" s="113"/>
      <c r="T224" s="113"/>
      <c r="U224" s="87">
        <v>1</v>
      </c>
      <c r="V224" s="87">
        <v>1</v>
      </c>
      <c r="W224" s="114">
        <v>5</v>
      </c>
      <c r="Z224" s="21">
        <f>VLOOKUP(G224,Sheet2!A:H,8,0)</f>
        <v>553418</v>
      </c>
      <c r="AB224" s="115"/>
      <c r="AC224" s="23">
        <f>VLOOKUP(G224,Sheet2!A$2:K$151,9,FALSE)</f>
        <v>1013</v>
      </c>
      <c r="AF224" s="117" t="s">
        <v>8118</v>
      </c>
      <c r="AG224" s="117" t="s">
        <v>7734</v>
      </c>
      <c r="AH224" s="117" t="s">
        <v>7735</v>
      </c>
      <c r="AI224" s="117"/>
      <c r="AJ224" s="117" t="s">
        <v>7736</v>
      </c>
      <c r="AL224" s="112">
        <v>0</v>
      </c>
      <c r="AM224" s="96" t="s">
        <v>8789</v>
      </c>
      <c r="AN224" s="87" t="s">
        <v>8790</v>
      </c>
      <c r="AP224" s="87">
        <v>1</v>
      </c>
      <c r="AQ224" s="87">
        <v>0</v>
      </c>
      <c r="AR224" s="87">
        <v>1</v>
      </c>
      <c r="AS224" s="87">
        <v>1</v>
      </c>
      <c r="AU224" s="87">
        <v>0</v>
      </c>
      <c r="AV224" s="17">
        <f t="shared" si="69"/>
        <v>1</v>
      </c>
      <c r="AW224" s="87" t="str">
        <f t="shared" si="60"/>
        <v>{s_taskTalk,{531,134}}</v>
      </c>
    </row>
    <row r="225" spans="1:49" s="87" customFormat="1" ht="72" x14ac:dyDescent="0.15">
      <c r="A225" s="111">
        <v>6420</v>
      </c>
      <c r="C225" s="96" t="s">
        <v>7737</v>
      </c>
      <c r="D225" s="87">
        <v>1</v>
      </c>
      <c r="E225" s="87">
        <v>0</v>
      </c>
      <c r="F225" s="87">
        <v>5</v>
      </c>
      <c r="G225" s="112">
        <v>67</v>
      </c>
      <c r="H225" s="87">
        <v>200</v>
      </c>
      <c r="I225" s="17">
        <v>0</v>
      </c>
      <c r="J225" s="112">
        <v>6419</v>
      </c>
      <c r="K225" s="87">
        <v>0</v>
      </c>
      <c r="L225" s="87">
        <v>134</v>
      </c>
      <c r="M225" s="87" t="s">
        <v>7738</v>
      </c>
      <c r="N225" s="87">
        <v>134</v>
      </c>
      <c r="O225" s="87" t="s">
        <v>7738</v>
      </c>
      <c r="Q225" s="113"/>
      <c r="R225" s="113"/>
      <c r="S225" s="113">
        <v>10027</v>
      </c>
      <c r="T225" s="113"/>
      <c r="U225" s="87">
        <v>80</v>
      </c>
      <c r="V225" s="87">
        <v>0</v>
      </c>
      <c r="W225" s="114">
        <v>5</v>
      </c>
      <c r="Z225" s="21">
        <f>VLOOKUP(G225,Sheet2!A:H,8,0)</f>
        <v>553418</v>
      </c>
      <c r="AB225" s="115"/>
      <c r="AC225" s="23">
        <f>VLOOKUP(G225,Sheet2!A$2:K$151,9,FALSE)</f>
        <v>1013</v>
      </c>
      <c r="AF225" s="117" t="s">
        <v>7739</v>
      </c>
      <c r="AG225" s="117" t="s">
        <v>7740</v>
      </c>
      <c r="AH225" s="117" t="s">
        <v>7741</v>
      </c>
      <c r="AI225" s="117"/>
      <c r="AJ225" s="71" t="s">
        <v>7742</v>
      </c>
      <c r="AL225" s="112">
        <v>0</v>
      </c>
      <c r="AM225" s="96" t="s">
        <v>8791</v>
      </c>
      <c r="AN225" s="87" t="s">
        <v>8792</v>
      </c>
      <c r="AP225" s="87">
        <v>1</v>
      </c>
      <c r="AQ225" s="87">
        <v>0</v>
      </c>
      <c r="AR225" s="87">
        <v>1</v>
      </c>
      <c r="AS225" s="87">
        <v>1</v>
      </c>
      <c r="AU225" s="87">
        <v>0</v>
      </c>
      <c r="AV225" s="17">
        <f t="shared" si="69"/>
        <v>1</v>
      </c>
      <c r="AW225" s="87" t="str">
        <f>"{s_taskKillNpc, {"&amp;L225&amp;","&amp;N225&amp;","&amp;S225&amp;","&amp;U225&amp;"}}"</f>
        <v>{s_taskKillNpc, {134,134,10027,80}}</v>
      </c>
    </row>
    <row r="226" spans="1:49" s="87" customFormat="1" ht="72" x14ac:dyDescent="0.15">
      <c r="A226" s="111">
        <v>6421</v>
      </c>
      <c r="C226" s="87" t="s">
        <v>7743</v>
      </c>
      <c r="D226" s="87">
        <v>1</v>
      </c>
      <c r="E226" s="87">
        <v>0</v>
      </c>
      <c r="F226" s="87">
        <v>5</v>
      </c>
      <c r="G226" s="112">
        <v>67</v>
      </c>
      <c r="H226" s="87">
        <v>200</v>
      </c>
      <c r="I226" s="17">
        <v>0</v>
      </c>
      <c r="J226" s="112">
        <v>6420</v>
      </c>
      <c r="K226" s="87">
        <v>0</v>
      </c>
      <c r="L226" s="87">
        <v>134</v>
      </c>
      <c r="M226" s="87" t="s">
        <v>7744</v>
      </c>
      <c r="N226" s="87">
        <v>532</v>
      </c>
      <c r="O226" s="96" t="s">
        <v>5265</v>
      </c>
      <c r="Q226" s="113"/>
      <c r="R226" s="113"/>
      <c r="S226" s="113"/>
      <c r="T226" s="113"/>
      <c r="U226" s="87">
        <v>1</v>
      </c>
      <c r="V226" s="87">
        <v>1</v>
      </c>
      <c r="W226" s="114">
        <v>5</v>
      </c>
      <c r="Z226" s="21">
        <f>VLOOKUP(G226,Sheet2!A:H,8,0)</f>
        <v>553418</v>
      </c>
      <c r="AB226" s="115"/>
      <c r="AC226" s="23">
        <f>VLOOKUP(G226,Sheet2!A$2:K$151,9,FALSE)</f>
        <v>1013</v>
      </c>
      <c r="AF226" s="117" t="s">
        <v>7745</v>
      </c>
      <c r="AG226" s="117" t="s">
        <v>7746</v>
      </c>
      <c r="AH226" s="117" t="s">
        <v>7747</v>
      </c>
      <c r="AI226" s="117"/>
      <c r="AJ226" s="117" t="s">
        <v>6586</v>
      </c>
      <c r="AL226" s="112">
        <v>0</v>
      </c>
      <c r="AM226" s="96" t="s">
        <v>8793</v>
      </c>
      <c r="AN226" s="87" t="s">
        <v>8794</v>
      </c>
      <c r="AP226" s="87">
        <v>1</v>
      </c>
      <c r="AQ226" s="87">
        <v>0</v>
      </c>
      <c r="AR226" s="87">
        <v>1</v>
      </c>
      <c r="AS226" s="87">
        <v>1</v>
      </c>
      <c r="AU226" s="87">
        <v>0</v>
      </c>
      <c r="AV226" s="17">
        <f t="shared" si="69"/>
        <v>1</v>
      </c>
      <c r="AW226" s="87" t="str">
        <f t="shared" si="60"/>
        <v>{s_taskTalk,{134,532}}</v>
      </c>
    </row>
    <row r="227" spans="1:49" s="87" customFormat="1" ht="72" x14ac:dyDescent="0.15">
      <c r="A227" s="111">
        <v>6422</v>
      </c>
      <c r="C227" s="87" t="s">
        <v>7748</v>
      </c>
      <c r="D227" s="87">
        <v>1</v>
      </c>
      <c r="E227" s="87">
        <v>0</v>
      </c>
      <c r="F227" s="87">
        <v>5</v>
      </c>
      <c r="G227" s="112">
        <v>68</v>
      </c>
      <c r="H227" s="87">
        <v>200</v>
      </c>
      <c r="I227" s="17">
        <v>0</v>
      </c>
      <c r="J227" s="112">
        <v>6421</v>
      </c>
      <c r="K227" s="87">
        <v>0</v>
      </c>
      <c r="L227" s="87">
        <v>532</v>
      </c>
      <c r="M227" s="96" t="s">
        <v>5265</v>
      </c>
      <c r="N227" s="87">
        <v>540</v>
      </c>
      <c r="O227" s="96" t="s">
        <v>5266</v>
      </c>
      <c r="Q227" s="113"/>
      <c r="R227" s="113"/>
      <c r="S227" s="113"/>
      <c r="T227" s="113"/>
      <c r="U227" s="87">
        <v>1</v>
      </c>
      <c r="V227" s="87">
        <v>1</v>
      </c>
      <c r="W227" s="114">
        <v>5</v>
      </c>
      <c r="Z227" s="21">
        <f>VLOOKUP(G227,Sheet2!A:H,8,0)</f>
        <v>565742</v>
      </c>
      <c r="AB227" s="115"/>
      <c r="AC227" s="23">
        <f>VLOOKUP(G227,Sheet2!A$2:K$151,9,FALSE)</f>
        <v>1027</v>
      </c>
      <c r="AF227" s="117" t="s">
        <v>7749</v>
      </c>
      <c r="AG227" s="117" t="s">
        <v>7750</v>
      </c>
      <c r="AH227" s="117" t="s">
        <v>7751</v>
      </c>
      <c r="AI227" s="117"/>
      <c r="AJ227" s="117" t="s">
        <v>6587</v>
      </c>
      <c r="AL227" s="112">
        <v>0</v>
      </c>
      <c r="AM227" s="96" t="s">
        <v>8795</v>
      </c>
      <c r="AN227" s="87" t="s">
        <v>8796</v>
      </c>
      <c r="AP227" s="87">
        <v>1</v>
      </c>
      <c r="AQ227" s="87">
        <v>0</v>
      </c>
      <c r="AR227" s="87">
        <v>1</v>
      </c>
      <c r="AS227" s="87">
        <v>1</v>
      </c>
      <c r="AU227" s="87">
        <v>0</v>
      </c>
      <c r="AV227" s="17">
        <f t="shared" si="69"/>
        <v>1</v>
      </c>
      <c r="AW227" s="87" t="str">
        <f t="shared" si="60"/>
        <v>{s_taskTalk,{532,540}}</v>
      </c>
    </row>
    <row r="228" spans="1:49" s="87" customFormat="1" ht="72" x14ac:dyDescent="0.15">
      <c r="A228" s="111">
        <v>6423</v>
      </c>
      <c r="C228" s="87" t="s">
        <v>7752</v>
      </c>
      <c r="D228" s="87">
        <v>1</v>
      </c>
      <c r="E228" s="87">
        <v>0</v>
      </c>
      <c r="F228" s="87">
        <v>5</v>
      </c>
      <c r="G228" s="112">
        <v>68</v>
      </c>
      <c r="H228" s="87">
        <v>200</v>
      </c>
      <c r="I228" s="17">
        <v>0</v>
      </c>
      <c r="J228" s="112">
        <v>6422</v>
      </c>
      <c r="K228" s="87">
        <v>0</v>
      </c>
      <c r="L228" s="87">
        <v>540</v>
      </c>
      <c r="M228" s="96" t="s">
        <v>5266</v>
      </c>
      <c r="N228" s="87">
        <v>540</v>
      </c>
      <c r="O228" s="96" t="s">
        <v>5266</v>
      </c>
      <c r="Q228" s="113">
        <v>2042</v>
      </c>
      <c r="R228" s="113"/>
      <c r="S228" s="113"/>
      <c r="T228" s="113"/>
      <c r="U228" s="87">
        <v>8</v>
      </c>
      <c r="V228" s="87">
        <v>0</v>
      </c>
      <c r="W228" s="114">
        <v>5</v>
      </c>
      <c r="Z228" s="21">
        <f>VLOOKUP(G228,Sheet2!A:H,8,0)</f>
        <v>565742</v>
      </c>
      <c r="AB228" s="115"/>
      <c r="AC228" s="23">
        <f>VLOOKUP(G228,Sheet2!A$2:K$151,9,FALSE)</f>
        <v>1027</v>
      </c>
      <c r="AF228" s="117" t="s">
        <v>7753</v>
      </c>
      <c r="AG228" s="117" t="s">
        <v>7754</v>
      </c>
      <c r="AH228" s="117" t="s">
        <v>7755</v>
      </c>
      <c r="AI228" s="117"/>
      <c r="AJ228" s="71" t="s">
        <v>8124</v>
      </c>
      <c r="AL228" s="112">
        <v>0</v>
      </c>
      <c r="AM228" s="96" t="s">
        <v>8797</v>
      </c>
      <c r="AN228" s="87" t="s">
        <v>8798</v>
      </c>
      <c r="AO228" s="32" t="s">
        <v>7756</v>
      </c>
      <c r="AP228" s="87">
        <v>1</v>
      </c>
      <c r="AQ228" s="87">
        <v>0</v>
      </c>
      <c r="AR228" s="87">
        <v>1</v>
      </c>
      <c r="AS228" s="87">
        <v>1</v>
      </c>
      <c r="AU228" s="87">
        <v>0</v>
      </c>
      <c r="AV228" s="17">
        <f t="shared" si="69"/>
        <v>1</v>
      </c>
      <c r="AW228" s="87" t="str">
        <f t="shared" si="60"/>
        <v>{s_taskTalk,{540,540}}</v>
      </c>
    </row>
    <row r="229" spans="1:49" s="87" customFormat="1" ht="72" x14ac:dyDescent="0.15">
      <c r="A229" s="111">
        <v>6424</v>
      </c>
      <c r="C229" s="87" t="s">
        <v>7757</v>
      </c>
      <c r="D229" s="87">
        <v>1</v>
      </c>
      <c r="E229" s="87">
        <v>0</v>
      </c>
      <c r="F229" s="87">
        <v>5</v>
      </c>
      <c r="G229" s="112">
        <v>68</v>
      </c>
      <c r="H229" s="87">
        <v>200</v>
      </c>
      <c r="I229" s="17">
        <v>0</v>
      </c>
      <c r="J229" s="112">
        <v>6423</v>
      </c>
      <c r="K229" s="87">
        <v>0</v>
      </c>
      <c r="L229" s="87">
        <v>540</v>
      </c>
      <c r="M229" s="96" t="s">
        <v>5266</v>
      </c>
      <c r="N229" s="87">
        <v>540</v>
      </c>
      <c r="O229" s="96" t="s">
        <v>5266</v>
      </c>
      <c r="Q229" s="113">
        <v>2043</v>
      </c>
      <c r="R229" s="113"/>
      <c r="S229" s="113"/>
      <c r="T229" s="113"/>
      <c r="U229" s="87">
        <v>8</v>
      </c>
      <c r="V229" s="87">
        <v>0</v>
      </c>
      <c r="W229" s="114">
        <v>5</v>
      </c>
      <c r="Z229" s="21">
        <f>VLOOKUP(G229,Sheet2!A:H,8,0)</f>
        <v>565742</v>
      </c>
      <c r="AB229" s="115"/>
      <c r="AC229" s="23">
        <f>VLOOKUP(G229,Sheet2!A$2:K$151,9,FALSE)</f>
        <v>1027</v>
      </c>
      <c r="AF229" s="117" t="s">
        <v>8119</v>
      </c>
      <c r="AG229" s="117" t="s">
        <v>7758</v>
      </c>
      <c r="AH229" s="117" t="s">
        <v>7759</v>
      </c>
      <c r="AI229" s="117"/>
      <c r="AJ229" s="71" t="s">
        <v>8125</v>
      </c>
      <c r="AL229" s="112">
        <v>0</v>
      </c>
      <c r="AM229" s="96" t="s">
        <v>8799</v>
      </c>
      <c r="AN229" s="87" t="s">
        <v>8800</v>
      </c>
      <c r="AO229" s="32" t="s">
        <v>7760</v>
      </c>
      <c r="AP229" s="87">
        <v>1</v>
      </c>
      <c r="AQ229" s="87">
        <v>0</v>
      </c>
      <c r="AR229" s="87">
        <v>1</v>
      </c>
      <c r="AS229" s="87">
        <v>1</v>
      </c>
      <c r="AU229" s="87">
        <v>0</v>
      </c>
      <c r="AV229" s="17">
        <f t="shared" si="69"/>
        <v>1</v>
      </c>
      <c r="AW229" s="87" t="str">
        <f t="shared" ref="AW229:AW264" si="76">"{s_taskTalk,{"&amp;L229&amp;","&amp;N229&amp;"}}"</f>
        <v>{s_taskTalk,{540,540}}</v>
      </c>
    </row>
    <row r="230" spans="1:49" s="87" customFormat="1" ht="72" x14ac:dyDescent="0.15">
      <c r="A230" s="111">
        <v>6425</v>
      </c>
      <c r="C230" s="87" t="s">
        <v>7761</v>
      </c>
      <c r="D230" s="87">
        <v>1</v>
      </c>
      <c r="E230" s="87">
        <v>0</v>
      </c>
      <c r="F230" s="87">
        <v>5</v>
      </c>
      <c r="G230" s="112">
        <v>69</v>
      </c>
      <c r="H230" s="87">
        <v>200</v>
      </c>
      <c r="I230" s="17">
        <v>0</v>
      </c>
      <c r="J230" s="112">
        <v>6424</v>
      </c>
      <c r="K230" s="87">
        <v>0</v>
      </c>
      <c r="L230" s="87">
        <v>540</v>
      </c>
      <c r="M230" s="96" t="s">
        <v>5266</v>
      </c>
      <c r="N230" s="87">
        <v>532</v>
      </c>
      <c r="O230" s="96" t="s">
        <v>5265</v>
      </c>
      <c r="Q230" s="113"/>
      <c r="R230" s="113"/>
      <c r="S230" s="113"/>
      <c r="T230" s="113"/>
      <c r="U230" s="87">
        <v>1</v>
      </c>
      <c r="V230" s="87">
        <v>1</v>
      </c>
      <c r="W230" s="114">
        <v>5</v>
      </c>
      <c r="Z230" s="21">
        <f>VLOOKUP(G230,Sheet2!A:H,8,0)</f>
        <v>578157</v>
      </c>
      <c r="AB230" s="115"/>
      <c r="AC230" s="23">
        <f>VLOOKUP(G230,Sheet2!A$2:K$151,9,FALSE)</f>
        <v>1040</v>
      </c>
      <c r="AF230" s="117" t="s">
        <v>7762</v>
      </c>
      <c r="AG230" s="117" t="s">
        <v>7763</v>
      </c>
      <c r="AH230" s="117" t="s">
        <v>7764</v>
      </c>
      <c r="AI230" s="117"/>
      <c r="AJ230" s="117" t="s">
        <v>8126</v>
      </c>
      <c r="AL230" s="112">
        <v>0</v>
      </c>
      <c r="AM230" s="96" t="s">
        <v>8801</v>
      </c>
      <c r="AN230" s="87" t="s">
        <v>8802</v>
      </c>
      <c r="AP230" s="87">
        <v>1</v>
      </c>
      <c r="AQ230" s="87">
        <v>0</v>
      </c>
      <c r="AR230" s="87">
        <v>1</v>
      </c>
      <c r="AS230" s="87">
        <v>1</v>
      </c>
      <c r="AU230" s="87">
        <v>0</v>
      </c>
      <c r="AV230" s="17">
        <f t="shared" si="69"/>
        <v>1</v>
      </c>
      <c r="AW230" s="87" t="str">
        <f t="shared" si="76"/>
        <v>{s_taskTalk,{540,532}}</v>
      </c>
    </row>
    <row r="231" spans="1:49" s="87" customFormat="1" ht="72" x14ac:dyDescent="0.15">
      <c r="A231" s="111">
        <v>6426</v>
      </c>
      <c r="C231" s="87" t="s">
        <v>7765</v>
      </c>
      <c r="D231" s="87">
        <v>1</v>
      </c>
      <c r="E231" s="87">
        <v>0</v>
      </c>
      <c r="F231" s="87">
        <v>5</v>
      </c>
      <c r="G231" s="112">
        <v>69</v>
      </c>
      <c r="H231" s="87">
        <v>200</v>
      </c>
      <c r="I231" s="17">
        <v>0</v>
      </c>
      <c r="J231" s="112">
        <v>6425</v>
      </c>
      <c r="K231" s="87">
        <v>0</v>
      </c>
      <c r="L231" s="87">
        <v>532</v>
      </c>
      <c r="M231" s="96" t="s">
        <v>5265</v>
      </c>
      <c r="N231" s="87">
        <v>533</v>
      </c>
      <c r="O231" s="96" t="s">
        <v>5267</v>
      </c>
      <c r="Q231" s="113"/>
      <c r="R231" s="113"/>
      <c r="S231" s="113"/>
      <c r="T231" s="113"/>
      <c r="U231" s="87">
        <v>1</v>
      </c>
      <c r="V231" s="87">
        <v>1</v>
      </c>
      <c r="W231" s="114">
        <v>5</v>
      </c>
      <c r="Z231" s="21">
        <f>VLOOKUP(G231,Sheet2!A:H,8,0)</f>
        <v>578157</v>
      </c>
      <c r="AB231" s="115"/>
      <c r="AC231" s="23">
        <f>VLOOKUP(G231,Sheet2!A$2:K$151,9,FALSE)</f>
        <v>1040</v>
      </c>
      <c r="AF231" s="117" t="s">
        <v>7766</v>
      </c>
      <c r="AG231" s="117" t="s">
        <v>7767</v>
      </c>
      <c r="AH231" s="117" t="s">
        <v>7768</v>
      </c>
      <c r="AI231" s="117"/>
      <c r="AJ231" s="117" t="s">
        <v>6588</v>
      </c>
      <c r="AL231" s="112">
        <v>0</v>
      </c>
      <c r="AM231" s="96" t="s">
        <v>8803</v>
      </c>
      <c r="AN231" s="87" t="s">
        <v>8804</v>
      </c>
      <c r="AP231" s="87">
        <v>1</v>
      </c>
      <c r="AQ231" s="87">
        <v>0</v>
      </c>
      <c r="AR231" s="87">
        <v>1</v>
      </c>
      <c r="AS231" s="87">
        <v>1</v>
      </c>
      <c r="AU231" s="87">
        <v>0</v>
      </c>
      <c r="AV231" s="17">
        <f t="shared" si="69"/>
        <v>1</v>
      </c>
      <c r="AW231" s="87" t="str">
        <f t="shared" si="76"/>
        <v>{s_taskTalk,{532,533}}</v>
      </c>
    </row>
    <row r="232" spans="1:49" s="87" customFormat="1" ht="72" x14ac:dyDescent="0.15">
      <c r="A232" s="111">
        <v>6427</v>
      </c>
      <c r="C232" s="96" t="s">
        <v>7769</v>
      </c>
      <c r="D232" s="87">
        <v>1</v>
      </c>
      <c r="E232" s="87">
        <v>0</v>
      </c>
      <c r="F232" s="87">
        <v>5</v>
      </c>
      <c r="G232" s="112">
        <v>69</v>
      </c>
      <c r="H232" s="87">
        <v>200</v>
      </c>
      <c r="I232" s="17">
        <v>0</v>
      </c>
      <c r="J232" s="112">
        <v>6426</v>
      </c>
      <c r="K232" s="87">
        <v>0</v>
      </c>
      <c r="L232" s="87">
        <v>533</v>
      </c>
      <c r="M232" s="96" t="s">
        <v>5267</v>
      </c>
      <c r="N232" s="87">
        <v>533</v>
      </c>
      <c r="O232" s="96" t="s">
        <v>5267</v>
      </c>
      <c r="Q232" s="113"/>
      <c r="R232" s="113"/>
      <c r="S232" s="113">
        <v>10027</v>
      </c>
      <c r="T232" s="113"/>
      <c r="U232" s="87">
        <v>80</v>
      </c>
      <c r="V232" s="87">
        <v>0</v>
      </c>
      <c r="W232" s="114">
        <v>5</v>
      </c>
      <c r="Z232" s="21">
        <f>VLOOKUP(G232,Sheet2!A:H,8,0)</f>
        <v>578157</v>
      </c>
      <c r="AB232" s="115"/>
      <c r="AC232" s="23">
        <f>VLOOKUP(G232,Sheet2!A$2:K$151,9,FALSE)</f>
        <v>1040</v>
      </c>
      <c r="AF232" s="117" t="s">
        <v>7770</v>
      </c>
      <c r="AG232" s="117" t="s">
        <v>7771</v>
      </c>
      <c r="AH232" s="117" t="s">
        <v>7772</v>
      </c>
      <c r="AI232" s="117"/>
      <c r="AJ232" s="71" t="s">
        <v>7773</v>
      </c>
      <c r="AL232" s="112">
        <v>0</v>
      </c>
      <c r="AM232" s="96" t="s">
        <v>8805</v>
      </c>
      <c r="AN232" s="87" t="s">
        <v>8806</v>
      </c>
      <c r="AP232" s="87">
        <v>1</v>
      </c>
      <c r="AQ232" s="87">
        <v>0</v>
      </c>
      <c r="AR232" s="87">
        <v>1</v>
      </c>
      <c r="AS232" s="87">
        <v>1</v>
      </c>
      <c r="AU232" s="87">
        <v>0</v>
      </c>
      <c r="AV232" s="17">
        <f t="shared" si="69"/>
        <v>1</v>
      </c>
      <c r="AW232" s="87" t="str">
        <f>"{s_taskKillNpc, {"&amp;L232&amp;","&amp;N232&amp;","&amp;S232&amp;","&amp;U232&amp;"}}"</f>
        <v>{s_taskKillNpc, {533,533,10027,80}}</v>
      </c>
    </row>
    <row r="233" spans="1:49" s="87" customFormat="1" ht="72" x14ac:dyDescent="0.15">
      <c r="A233" s="111">
        <v>6428</v>
      </c>
      <c r="C233" s="87" t="s">
        <v>7774</v>
      </c>
      <c r="D233" s="87">
        <v>1</v>
      </c>
      <c r="E233" s="87">
        <v>0</v>
      </c>
      <c r="F233" s="87">
        <v>5</v>
      </c>
      <c r="G233" s="112">
        <v>70</v>
      </c>
      <c r="H233" s="87">
        <v>200</v>
      </c>
      <c r="I233" s="17">
        <v>0</v>
      </c>
      <c r="J233" s="112">
        <v>6427</v>
      </c>
      <c r="K233" s="87">
        <v>0</v>
      </c>
      <c r="L233" s="87">
        <v>533</v>
      </c>
      <c r="M233" s="96" t="s">
        <v>5267</v>
      </c>
      <c r="N233" s="118">
        <v>535</v>
      </c>
      <c r="O233" s="96" t="s">
        <v>5271</v>
      </c>
      <c r="Q233" s="113"/>
      <c r="R233" s="113"/>
      <c r="S233" s="113"/>
      <c r="T233" s="113"/>
      <c r="U233" s="87">
        <v>1</v>
      </c>
      <c r="V233" s="87">
        <v>1</v>
      </c>
      <c r="W233" s="114">
        <v>5</v>
      </c>
      <c r="Z233" s="21">
        <f>VLOOKUP(G233,Sheet2!A:H,8,0)</f>
        <v>590662</v>
      </c>
      <c r="AB233" s="115"/>
      <c r="AC233" s="23">
        <f>VLOOKUP(G233,Sheet2!A$2:K$151,9,FALSE)</f>
        <v>1053</v>
      </c>
      <c r="AF233" s="117" t="s">
        <v>7775</v>
      </c>
      <c r="AG233" s="117" t="s">
        <v>7776</v>
      </c>
      <c r="AH233" s="117" t="s">
        <v>7777</v>
      </c>
      <c r="AI233" s="117"/>
      <c r="AJ233" s="116" t="s">
        <v>7778</v>
      </c>
      <c r="AL233" s="112">
        <v>0</v>
      </c>
      <c r="AM233" s="96" t="s">
        <v>8807</v>
      </c>
      <c r="AN233" s="87" t="s">
        <v>8808</v>
      </c>
      <c r="AP233" s="87">
        <v>1</v>
      </c>
      <c r="AQ233" s="87">
        <v>0</v>
      </c>
      <c r="AR233" s="87">
        <v>1</v>
      </c>
      <c r="AS233" s="87">
        <v>1</v>
      </c>
      <c r="AU233" s="87">
        <v>0</v>
      </c>
      <c r="AV233" s="17">
        <f t="shared" si="69"/>
        <v>1</v>
      </c>
      <c r="AW233" s="87" t="str">
        <f t="shared" si="76"/>
        <v>{s_taskTalk,{533,535}}</v>
      </c>
    </row>
    <row r="234" spans="1:49" s="87" customFormat="1" ht="72" x14ac:dyDescent="0.15">
      <c r="A234" s="100">
        <v>6429</v>
      </c>
      <c r="B234" s="101"/>
      <c r="C234" s="101" t="s">
        <v>7780</v>
      </c>
      <c r="D234" s="101">
        <v>1</v>
      </c>
      <c r="E234" s="101">
        <v>0</v>
      </c>
      <c r="F234" s="101">
        <v>5</v>
      </c>
      <c r="G234" s="108">
        <v>70</v>
      </c>
      <c r="H234" s="87">
        <v>200</v>
      </c>
      <c r="I234" s="17">
        <v>0</v>
      </c>
      <c r="J234" s="112">
        <v>6428</v>
      </c>
      <c r="K234" s="87">
        <v>0</v>
      </c>
      <c r="L234" s="118">
        <v>535</v>
      </c>
      <c r="M234" s="96" t="s">
        <v>5271</v>
      </c>
      <c r="N234" s="118">
        <v>535</v>
      </c>
      <c r="O234" s="96" t="s">
        <v>5271</v>
      </c>
      <c r="Q234" s="113">
        <v>2044</v>
      </c>
      <c r="R234" s="113"/>
      <c r="S234" s="113"/>
      <c r="T234" s="113"/>
      <c r="U234" s="87">
        <v>1</v>
      </c>
      <c r="V234" s="87">
        <v>0</v>
      </c>
      <c r="W234" s="114">
        <v>5</v>
      </c>
      <c r="Z234" s="21">
        <f>VLOOKUP(G234,Sheet2!A:H,8,0)</f>
        <v>590662</v>
      </c>
      <c r="AB234" s="115"/>
      <c r="AC234" s="23">
        <f>VLOOKUP(G234,Sheet2!A$2:K$151,9,FALSE)</f>
        <v>1053</v>
      </c>
      <c r="AF234" s="117" t="s">
        <v>7781</v>
      </c>
      <c r="AG234" s="117" t="s">
        <v>7782</v>
      </c>
      <c r="AH234" s="117" t="s">
        <v>7783</v>
      </c>
      <c r="AI234" s="117"/>
      <c r="AJ234" s="71" t="s">
        <v>7784</v>
      </c>
      <c r="AL234" s="112">
        <v>0</v>
      </c>
      <c r="AM234" s="96" t="s">
        <v>8809</v>
      </c>
      <c r="AN234" s="87" t="s">
        <v>8810</v>
      </c>
      <c r="AP234" s="87">
        <v>1</v>
      </c>
      <c r="AQ234" s="87">
        <v>0</v>
      </c>
      <c r="AR234" s="87">
        <v>1</v>
      </c>
      <c r="AS234" s="87">
        <v>1</v>
      </c>
      <c r="AU234" s="87">
        <v>0</v>
      </c>
      <c r="AV234" s="17">
        <f t="shared" si="69"/>
        <v>1</v>
      </c>
      <c r="AW234" s="87" t="str">
        <f t="shared" si="76"/>
        <v>{s_taskTalk,{535,535}}</v>
      </c>
    </row>
    <row r="235" spans="1:49" s="87" customFormat="1" ht="72" x14ac:dyDescent="0.15">
      <c r="A235" s="100">
        <v>6430</v>
      </c>
      <c r="B235" s="101"/>
      <c r="C235" s="101" t="s">
        <v>7785</v>
      </c>
      <c r="D235" s="101">
        <v>1</v>
      </c>
      <c r="E235" s="101">
        <v>0</v>
      </c>
      <c r="F235" s="101">
        <v>5</v>
      </c>
      <c r="G235" s="108">
        <v>70</v>
      </c>
      <c r="H235" s="87">
        <v>200</v>
      </c>
      <c r="I235" s="17">
        <v>0</v>
      </c>
      <c r="J235" s="112">
        <v>6429</v>
      </c>
      <c r="K235" s="87">
        <v>0</v>
      </c>
      <c r="L235" s="87">
        <v>535</v>
      </c>
      <c r="M235" s="96" t="s">
        <v>5271</v>
      </c>
      <c r="N235" s="87">
        <v>535</v>
      </c>
      <c r="O235" s="96" t="s">
        <v>5271</v>
      </c>
      <c r="Q235" s="113"/>
      <c r="R235" s="113"/>
      <c r="S235" s="113">
        <v>10028</v>
      </c>
      <c r="T235" s="113"/>
      <c r="U235" s="87">
        <v>80</v>
      </c>
      <c r="V235" s="87">
        <v>0</v>
      </c>
      <c r="W235" s="114">
        <v>5</v>
      </c>
      <c r="Z235" s="21">
        <f>VLOOKUP(G235,Sheet2!A:H,8,0)</f>
        <v>590662</v>
      </c>
      <c r="AB235" s="115"/>
      <c r="AC235" s="23">
        <f>VLOOKUP(G235,Sheet2!A$2:K$151,9,FALSE)</f>
        <v>1053</v>
      </c>
      <c r="AF235" s="116" t="s">
        <v>8120</v>
      </c>
      <c r="AG235" s="116" t="s">
        <v>7786</v>
      </c>
      <c r="AH235" s="117" t="s">
        <v>7787</v>
      </c>
      <c r="AI235" s="117"/>
      <c r="AJ235" s="71" t="s">
        <v>7788</v>
      </c>
      <c r="AL235" s="112">
        <v>0</v>
      </c>
      <c r="AM235" s="96" t="s">
        <v>8811</v>
      </c>
      <c r="AN235" s="87" t="s">
        <v>8812</v>
      </c>
      <c r="AP235" s="87">
        <v>1</v>
      </c>
      <c r="AQ235" s="87">
        <v>0</v>
      </c>
      <c r="AR235" s="87">
        <v>1</v>
      </c>
      <c r="AS235" s="87">
        <v>1</v>
      </c>
      <c r="AU235" s="87">
        <v>0</v>
      </c>
      <c r="AV235" s="17">
        <f t="shared" si="69"/>
        <v>1</v>
      </c>
      <c r="AW235" s="87" t="str">
        <f>"{s_taskKillNpc, {"&amp;L235&amp;","&amp;N235&amp;","&amp;S235&amp;","&amp;U235&amp;"}}"</f>
        <v>{s_taskKillNpc, {535,535,10028,80}}</v>
      </c>
    </row>
    <row r="236" spans="1:49" s="87" customFormat="1" ht="72" x14ac:dyDescent="0.15">
      <c r="A236" s="111">
        <v>6431</v>
      </c>
      <c r="C236" s="87" t="s">
        <v>7789</v>
      </c>
      <c r="D236" s="87">
        <v>1</v>
      </c>
      <c r="E236" s="87">
        <v>0</v>
      </c>
      <c r="F236" s="87">
        <v>5</v>
      </c>
      <c r="G236" s="112">
        <v>71</v>
      </c>
      <c r="H236" s="87">
        <v>200</v>
      </c>
      <c r="I236" s="17">
        <v>0</v>
      </c>
      <c r="J236" s="112">
        <v>6430</v>
      </c>
      <c r="K236" s="87">
        <v>0</v>
      </c>
      <c r="L236" s="87">
        <v>536</v>
      </c>
      <c r="M236" s="87" t="s">
        <v>7790</v>
      </c>
      <c r="N236" s="87">
        <v>543</v>
      </c>
      <c r="O236" s="87" t="s">
        <v>7791</v>
      </c>
      <c r="Q236" s="113"/>
      <c r="R236" s="113"/>
      <c r="S236" s="113"/>
      <c r="T236" s="113"/>
      <c r="U236" s="87">
        <v>1</v>
      </c>
      <c r="V236" s="87">
        <v>1</v>
      </c>
      <c r="W236" s="114">
        <v>5</v>
      </c>
      <c r="Z236" s="21">
        <f>VLOOKUP(G236,Sheet2!A:H,8,0)</f>
        <v>603256</v>
      </c>
      <c r="AB236" s="115"/>
      <c r="AC236" s="23">
        <f>VLOOKUP(G236,Sheet2!A$2:K$151,9,FALSE)</f>
        <v>1067</v>
      </c>
      <c r="AF236" s="116" t="s">
        <v>7792</v>
      </c>
      <c r="AG236" s="116" t="s">
        <v>7793</v>
      </c>
      <c r="AH236" s="116" t="s">
        <v>7794</v>
      </c>
      <c r="AI236" s="117"/>
      <c r="AJ236" s="116" t="s">
        <v>7795</v>
      </c>
      <c r="AL236" s="112">
        <v>0</v>
      </c>
      <c r="AM236" s="96" t="s">
        <v>8813</v>
      </c>
      <c r="AN236" s="87" t="s">
        <v>8814</v>
      </c>
      <c r="AP236" s="87">
        <v>1</v>
      </c>
      <c r="AQ236" s="87">
        <v>0</v>
      </c>
      <c r="AR236" s="87">
        <v>1</v>
      </c>
      <c r="AS236" s="87">
        <v>1</v>
      </c>
      <c r="AU236" s="87">
        <v>0</v>
      </c>
      <c r="AV236" s="17">
        <f t="shared" si="69"/>
        <v>1</v>
      </c>
      <c r="AW236" s="87" t="str">
        <f t="shared" si="76"/>
        <v>{s_taskTalk,{536,543}}</v>
      </c>
    </row>
    <row r="237" spans="1:49" s="87" customFormat="1" ht="72" x14ac:dyDescent="0.15">
      <c r="A237" s="72">
        <v>6432</v>
      </c>
      <c r="B237" s="73"/>
      <c r="C237" s="73" t="s">
        <v>7796</v>
      </c>
      <c r="D237" s="73">
        <v>1</v>
      </c>
      <c r="E237" s="87">
        <v>0</v>
      </c>
      <c r="F237" s="87">
        <v>3</v>
      </c>
      <c r="G237" s="112">
        <v>71</v>
      </c>
      <c r="H237" s="87">
        <v>200</v>
      </c>
      <c r="I237" s="17">
        <v>0</v>
      </c>
      <c r="J237" s="112">
        <v>6431</v>
      </c>
      <c r="K237" s="87">
        <v>0</v>
      </c>
      <c r="L237" s="87">
        <v>543</v>
      </c>
      <c r="M237" s="87" t="s">
        <v>7791</v>
      </c>
      <c r="N237" s="87">
        <v>543</v>
      </c>
      <c r="O237" s="87" t="s">
        <v>7791</v>
      </c>
      <c r="Q237" s="113">
        <v>2045</v>
      </c>
      <c r="R237" s="113"/>
      <c r="S237" s="113"/>
      <c r="T237" s="113"/>
      <c r="U237" s="87">
        <v>8</v>
      </c>
      <c r="V237" s="87">
        <v>0</v>
      </c>
      <c r="W237" s="114">
        <v>5</v>
      </c>
      <c r="Z237" s="21">
        <f>VLOOKUP(G237,Sheet2!A:H,8,0)</f>
        <v>603256</v>
      </c>
      <c r="AB237" s="115"/>
      <c r="AC237" s="23">
        <f>VLOOKUP(G237,Sheet2!A$2:K$151,9,FALSE)</f>
        <v>1067</v>
      </c>
      <c r="AF237" s="98" t="s">
        <v>8151</v>
      </c>
      <c r="AG237" s="98" t="s">
        <v>7797</v>
      </c>
      <c r="AH237" s="117" t="s">
        <v>7798</v>
      </c>
      <c r="AI237" s="117"/>
      <c r="AJ237" s="71" t="s">
        <v>7799</v>
      </c>
      <c r="AL237" s="112">
        <v>0</v>
      </c>
      <c r="AM237" s="96" t="s">
        <v>8815</v>
      </c>
      <c r="AN237" s="87" t="s">
        <v>8816</v>
      </c>
      <c r="AO237" s="32" t="s">
        <v>7800</v>
      </c>
      <c r="AP237" s="87">
        <v>1</v>
      </c>
      <c r="AQ237" s="87">
        <v>0</v>
      </c>
      <c r="AR237" s="87">
        <v>1</v>
      </c>
      <c r="AS237" s="87">
        <v>1</v>
      </c>
      <c r="AU237" s="87">
        <v>0</v>
      </c>
      <c r="AV237" s="17">
        <f t="shared" si="69"/>
        <v>1</v>
      </c>
      <c r="AW237" s="87" t="str">
        <f t="shared" si="76"/>
        <v>{s_taskTalk,{543,543}}</v>
      </c>
    </row>
    <row r="238" spans="1:49" s="87" customFormat="1" ht="72" x14ac:dyDescent="0.15">
      <c r="A238" s="111">
        <v>6433</v>
      </c>
      <c r="C238" s="87" t="s">
        <v>7801</v>
      </c>
      <c r="D238" s="87">
        <v>1</v>
      </c>
      <c r="E238" s="87">
        <v>0</v>
      </c>
      <c r="F238" s="87">
        <v>3</v>
      </c>
      <c r="G238" s="112">
        <v>71</v>
      </c>
      <c r="H238" s="87">
        <v>200</v>
      </c>
      <c r="I238" s="17">
        <v>0</v>
      </c>
      <c r="J238" s="112">
        <v>6432</v>
      </c>
      <c r="K238" s="87">
        <v>0</v>
      </c>
      <c r="L238" s="87">
        <v>543</v>
      </c>
      <c r="M238" s="87" t="s">
        <v>7791</v>
      </c>
      <c r="N238" s="862">
        <v>619</v>
      </c>
      <c r="O238" s="863" t="s">
        <v>7802</v>
      </c>
      <c r="Q238" s="113"/>
      <c r="R238" s="113"/>
      <c r="S238" s="113"/>
      <c r="T238" s="113"/>
      <c r="U238" s="87">
        <v>1</v>
      </c>
      <c r="V238" s="87">
        <v>1</v>
      </c>
      <c r="W238" s="114">
        <v>5</v>
      </c>
      <c r="Z238" s="21">
        <f>VLOOKUP(G238,Sheet2!A:H,8,0)</f>
        <v>603256</v>
      </c>
      <c r="AB238" s="115"/>
      <c r="AC238" s="23">
        <f>VLOOKUP(G238,Sheet2!A$2:K$151,9,FALSE)</f>
        <v>1067</v>
      </c>
      <c r="AF238" s="117" t="s">
        <v>7803</v>
      </c>
      <c r="AG238" s="117" t="s">
        <v>7804</v>
      </c>
      <c r="AH238" s="117" t="s">
        <v>7805</v>
      </c>
      <c r="AI238" s="117"/>
      <c r="AJ238" s="117" t="s">
        <v>7806</v>
      </c>
      <c r="AL238" s="112">
        <v>0</v>
      </c>
      <c r="AM238" s="96" t="s">
        <v>8817</v>
      </c>
      <c r="AN238" s="87" t="s">
        <v>8818</v>
      </c>
      <c r="AP238" s="87">
        <v>1</v>
      </c>
      <c r="AQ238" s="87">
        <v>0</v>
      </c>
      <c r="AR238" s="87">
        <v>1</v>
      </c>
      <c r="AS238" s="87">
        <v>1</v>
      </c>
      <c r="AU238" s="87">
        <v>0</v>
      </c>
      <c r="AV238" s="17">
        <f t="shared" si="69"/>
        <v>1</v>
      </c>
      <c r="AW238" s="87" t="str">
        <f t="shared" si="76"/>
        <v>{s_taskTalk,{543,619}}</v>
      </c>
    </row>
    <row r="239" spans="1:49" s="87" customFormat="1" ht="72" x14ac:dyDescent="0.15">
      <c r="A239" s="111">
        <v>6434</v>
      </c>
      <c r="C239" s="87" t="s">
        <v>7807</v>
      </c>
      <c r="D239" s="87">
        <v>1</v>
      </c>
      <c r="E239" s="87">
        <v>0</v>
      </c>
      <c r="F239" s="87">
        <v>3</v>
      </c>
      <c r="G239" s="112">
        <v>72</v>
      </c>
      <c r="H239" s="87">
        <v>200</v>
      </c>
      <c r="I239" s="17">
        <v>0</v>
      </c>
      <c r="J239" s="112">
        <v>6433</v>
      </c>
      <c r="K239" s="87">
        <v>0</v>
      </c>
      <c r="L239" s="862">
        <v>614</v>
      </c>
      <c r="M239" s="863" t="s">
        <v>7808</v>
      </c>
      <c r="N239" s="862">
        <v>619</v>
      </c>
      <c r="O239" s="863" t="s">
        <v>7802</v>
      </c>
      <c r="Q239" s="113"/>
      <c r="R239" s="113"/>
      <c r="S239" s="113"/>
      <c r="T239" s="113"/>
      <c r="U239" s="87">
        <v>1</v>
      </c>
      <c r="V239" s="87">
        <v>1</v>
      </c>
      <c r="W239" s="114">
        <v>5</v>
      </c>
      <c r="Z239" s="21">
        <f>VLOOKUP(G239,Sheet2!A:H,8,0)</f>
        <v>615940</v>
      </c>
      <c r="AB239" s="115"/>
      <c r="AC239" s="23">
        <f>VLOOKUP(G239,Sheet2!A$2:K$151,9,FALSE)</f>
        <v>1080</v>
      </c>
      <c r="AF239" s="116" t="s">
        <v>7809</v>
      </c>
      <c r="AG239" s="117" t="s">
        <v>7810</v>
      </c>
      <c r="AH239" s="117" t="s">
        <v>7811</v>
      </c>
      <c r="AI239" s="117"/>
      <c r="AJ239" s="117" t="s">
        <v>7812</v>
      </c>
      <c r="AL239" s="112">
        <v>0</v>
      </c>
      <c r="AM239" s="96" t="s">
        <v>8819</v>
      </c>
      <c r="AN239" s="87" t="s">
        <v>8820</v>
      </c>
      <c r="AP239" s="87">
        <v>1</v>
      </c>
      <c r="AQ239" s="87">
        <v>0</v>
      </c>
      <c r="AR239" s="87">
        <v>1</v>
      </c>
      <c r="AS239" s="87">
        <v>1</v>
      </c>
      <c r="AU239" s="87">
        <v>0</v>
      </c>
      <c r="AV239" s="17">
        <f t="shared" si="69"/>
        <v>1</v>
      </c>
      <c r="AW239" s="87" t="str">
        <f t="shared" si="76"/>
        <v>{s_taskTalk,{614,619}}</v>
      </c>
    </row>
    <row r="240" spans="1:49" s="87" customFormat="1" ht="72" x14ac:dyDescent="0.15">
      <c r="A240" s="111">
        <v>6435</v>
      </c>
      <c r="C240" s="96" t="s">
        <v>7813</v>
      </c>
      <c r="D240" s="87">
        <v>1</v>
      </c>
      <c r="E240" s="87">
        <v>0</v>
      </c>
      <c r="F240" s="87">
        <v>3</v>
      </c>
      <c r="G240" s="112">
        <v>72</v>
      </c>
      <c r="H240" s="87">
        <v>200</v>
      </c>
      <c r="I240" s="17">
        <v>0</v>
      </c>
      <c r="J240" s="112">
        <v>6434</v>
      </c>
      <c r="K240" s="87">
        <v>0</v>
      </c>
      <c r="L240" s="862">
        <v>619</v>
      </c>
      <c r="M240" s="863" t="s">
        <v>7802</v>
      </c>
      <c r="N240" s="862">
        <v>614</v>
      </c>
      <c r="O240" s="863" t="s">
        <v>7808</v>
      </c>
      <c r="Q240" s="113"/>
      <c r="R240" s="113"/>
      <c r="S240" s="113">
        <v>10028</v>
      </c>
      <c r="T240" s="113"/>
      <c r="U240" s="87">
        <v>80</v>
      </c>
      <c r="V240" s="87">
        <v>0</v>
      </c>
      <c r="W240" s="114">
        <v>5</v>
      </c>
      <c r="Z240" s="21">
        <f>VLOOKUP(G240,Sheet2!A:H,8,0)</f>
        <v>615940</v>
      </c>
      <c r="AB240" s="115"/>
      <c r="AC240" s="23">
        <f>VLOOKUP(G240,Sheet2!A$2:K$151,9,FALSE)</f>
        <v>1080</v>
      </c>
      <c r="AF240" s="117" t="s">
        <v>7814</v>
      </c>
      <c r="AG240" s="117" t="s">
        <v>7815</v>
      </c>
      <c r="AH240" s="117" t="s">
        <v>7816</v>
      </c>
      <c r="AI240" s="117" t="s">
        <v>7815</v>
      </c>
      <c r="AJ240" s="71" t="s">
        <v>7817</v>
      </c>
      <c r="AL240" s="112">
        <v>0</v>
      </c>
      <c r="AM240" s="96" t="s">
        <v>8821</v>
      </c>
      <c r="AN240" s="87" t="s">
        <v>8822</v>
      </c>
      <c r="AP240" s="87">
        <v>1</v>
      </c>
      <c r="AQ240" s="87">
        <v>0</v>
      </c>
      <c r="AR240" s="87">
        <v>1</v>
      </c>
      <c r="AS240" s="87">
        <v>1</v>
      </c>
      <c r="AU240" s="87">
        <v>0</v>
      </c>
      <c r="AV240" s="17">
        <f t="shared" si="69"/>
        <v>1</v>
      </c>
      <c r="AW240" s="87" t="str">
        <f>"{s_taskKillNpc, {"&amp;L240&amp;","&amp;N240&amp;","&amp;S240&amp;","&amp;U240&amp;"}}"</f>
        <v>{s_taskKillNpc, {619,614,10028,80}}</v>
      </c>
    </row>
    <row r="241" spans="1:49" s="87" customFormat="1" ht="72" x14ac:dyDescent="0.15">
      <c r="A241" s="111">
        <v>6436</v>
      </c>
      <c r="C241" s="87" t="s">
        <v>7818</v>
      </c>
      <c r="D241" s="87">
        <v>1</v>
      </c>
      <c r="E241" s="87">
        <v>0</v>
      </c>
      <c r="F241" s="87">
        <v>3</v>
      </c>
      <c r="G241" s="112">
        <v>72</v>
      </c>
      <c r="H241" s="87">
        <v>200</v>
      </c>
      <c r="I241" s="17">
        <v>0</v>
      </c>
      <c r="J241" s="112">
        <v>6435</v>
      </c>
      <c r="K241" s="87">
        <v>0</v>
      </c>
      <c r="L241" s="862">
        <v>614</v>
      </c>
      <c r="M241" s="863" t="s">
        <v>7808</v>
      </c>
      <c r="N241" s="862">
        <v>620</v>
      </c>
      <c r="O241" s="863" t="s">
        <v>7819</v>
      </c>
      <c r="Q241" s="113">
        <v>2049</v>
      </c>
      <c r="R241" s="113"/>
      <c r="S241" s="113"/>
      <c r="T241" s="113"/>
      <c r="U241" s="87">
        <v>8</v>
      </c>
      <c r="V241" s="87">
        <v>0</v>
      </c>
      <c r="W241" s="114">
        <v>5</v>
      </c>
      <c r="Z241" s="21">
        <f>VLOOKUP(G241,Sheet2!A:H,8,0)</f>
        <v>615940</v>
      </c>
      <c r="AB241" s="115"/>
      <c r="AC241" s="23">
        <f>VLOOKUP(G241,Sheet2!A$2:K$151,9,FALSE)</f>
        <v>1080</v>
      </c>
      <c r="AF241" s="117" t="s">
        <v>8150</v>
      </c>
      <c r="AG241" s="117" t="s">
        <v>7820</v>
      </c>
      <c r="AH241" s="117" t="s">
        <v>7821</v>
      </c>
      <c r="AI241" s="117"/>
      <c r="AJ241" s="71" t="s">
        <v>7822</v>
      </c>
      <c r="AL241" s="112">
        <v>0</v>
      </c>
      <c r="AM241" s="96" t="s">
        <v>8823</v>
      </c>
      <c r="AN241" s="87" t="s">
        <v>8824</v>
      </c>
      <c r="AO241" s="32" t="s">
        <v>7823</v>
      </c>
      <c r="AP241" s="87">
        <v>1</v>
      </c>
      <c r="AQ241" s="87">
        <v>0</v>
      </c>
      <c r="AR241" s="87">
        <v>1</v>
      </c>
      <c r="AS241" s="87">
        <v>1</v>
      </c>
      <c r="AU241" s="87">
        <v>0</v>
      </c>
      <c r="AV241" s="17">
        <f t="shared" si="69"/>
        <v>1</v>
      </c>
      <c r="AW241" s="87" t="str">
        <f t="shared" si="76"/>
        <v>{s_taskTalk,{614,620}}</v>
      </c>
    </row>
    <row r="242" spans="1:49" s="87" customFormat="1" ht="72" x14ac:dyDescent="0.15">
      <c r="A242" s="111">
        <v>6437</v>
      </c>
      <c r="C242" s="87" t="s">
        <v>7824</v>
      </c>
      <c r="D242" s="87">
        <v>1</v>
      </c>
      <c r="E242" s="87">
        <v>0</v>
      </c>
      <c r="F242" s="87">
        <v>3</v>
      </c>
      <c r="G242" s="112">
        <v>73</v>
      </c>
      <c r="H242" s="87">
        <v>200</v>
      </c>
      <c r="I242" s="17">
        <v>0</v>
      </c>
      <c r="J242" s="112">
        <v>6436</v>
      </c>
      <c r="K242" s="87">
        <v>0</v>
      </c>
      <c r="L242" s="862">
        <v>620</v>
      </c>
      <c r="M242" s="863" t="s">
        <v>7819</v>
      </c>
      <c r="N242" s="862">
        <v>614</v>
      </c>
      <c r="O242" s="863" t="s">
        <v>7808</v>
      </c>
      <c r="Q242" s="113"/>
      <c r="R242" s="113"/>
      <c r="S242" s="113"/>
      <c r="T242" s="113"/>
      <c r="U242" s="87">
        <v>1</v>
      </c>
      <c r="V242" s="87">
        <v>1</v>
      </c>
      <c r="W242" s="114">
        <v>5</v>
      </c>
      <c r="Z242" s="21">
        <f>VLOOKUP(G242,Sheet2!A:H,8,0)</f>
        <v>628712</v>
      </c>
      <c r="AB242" s="115"/>
      <c r="AC242" s="23">
        <f>VLOOKUP(G242,Sheet2!A$2:K$151,9,FALSE)</f>
        <v>1093</v>
      </c>
      <c r="AF242" s="117" t="s">
        <v>7825</v>
      </c>
      <c r="AG242" s="117" t="s">
        <v>7826</v>
      </c>
      <c r="AH242" s="117" t="s">
        <v>7827</v>
      </c>
      <c r="AI242" s="117"/>
      <c r="AJ242" s="117" t="s">
        <v>7828</v>
      </c>
      <c r="AL242" s="112">
        <v>0</v>
      </c>
      <c r="AM242" s="96" t="s">
        <v>8825</v>
      </c>
      <c r="AN242" s="87" t="s">
        <v>8826</v>
      </c>
      <c r="AP242" s="87">
        <v>1</v>
      </c>
      <c r="AQ242" s="87">
        <v>0</v>
      </c>
      <c r="AR242" s="87">
        <v>1</v>
      </c>
      <c r="AS242" s="87">
        <v>1</v>
      </c>
      <c r="AU242" s="87">
        <v>0</v>
      </c>
      <c r="AV242" s="17">
        <f t="shared" si="69"/>
        <v>1</v>
      </c>
      <c r="AW242" s="87" t="str">
        <f t="shared" si="76"/>
        <v>{s_taskTalk,{620,614}}</v>
      </c>
    </row>
    <row r="243" spans="1:49" s="87" customFormat="1" ht="72" x14ac:dyDescent="0.15">
      <c r="A243" s="111">
        <v>6438</v>
      </c>
      <c r="C243" s="96" t="s">
        <v>7829</v>
      </c>
      <c r="D243" s="87">
        <v>1</v>
      </c>
      <c r="E243" s="87">
        <v>0</v>
      </c>
      <c r="F243" s="87">
        <v>3</v>
      </c>
      <c r="G243" s="112">
        <v>73</v>
      </c>
      <c r="H243" s="87">
        <v>200</v>
      </c>
      <c r="I243" s="17">
        <v>0</v>
      </c>
      <c r="J243" s="112">
        <v>6437</v>
      </c>
      <c r="K243" s="87">
        <v>0</v>
      </c>
      <c r="L243" s="862">
        <v>614</v>
      </c>
      <c r="M243" s="863" t="s">
        <v>7808</v>
      </c>
      <c r="N243" s="862">
        <v>620</v>
      </c>
      <c r="O243" s="863" t="s">
        <v>7819</v>
      </c>
      <c r="Q243" s="113"/>
      <c r="R243" s="113"/>
      <c r="S243" s="113">
        <v>10029</v>
      </c>
      <c r="T243" s="113"/>
      <c r="U243" s="87">
        <v>80</v>
      </c>
      <c r="V243" s="87">
        <v>0</v>
      </c>
      <c r="W243" s="114">
        <v>5</v>
      </c>
      <c r="Z243" s="21">
        <f>VLOOKUP(G243,Sheet2!A:H,8,0)</f>
        <v>628712</v>
      </c>
      <c r="AB243" s="115"/>
      <c r="AC243" s="23">
        <f>VLOOKUP(G243,Sheet2!A$2:K$151,9,FALSE)</f>
        <v>1093</v>
      </c>
      <c r="AF243" s="117" t="s">
        <v>7830</v>
      </c>
      <c r="AG243" s="117" t="s">
        <v>7831</v>
      </c>
      <c r="AH243" s="117" t="s">
        <v>7832</v>
      </c>
      <c r="AI243" s="117"/>
      <c r="AJ243" s="71" t="s">
        <v>7833</v>
      </c>
      <c r="AL243" s="112">
        <v>0</v>
      </c>
      <c r="AM243" s="96" t="s">
        <v>8827</v>
      </c>
      <c r="AN243" s="87" t="s">
        <v>8828</v>
      </c>
      <c r="AP243" s="87">
        <v>1</v>
      </c>
      <c r="AQ243" s="87">
        <v>0</v>
      </c>
      <c r="AR243" s="87">
        <v>1</v>
      </c>
      <c r="AS243" s="87">
        <v>1</v>
      </c>
      <c r="AU243" s="87">
        <v>0</v>
      </c>
      <c r="AV243" s="17">
        <f t="shared" si="69"/>
        <v>1</v>
      </c>
      <c r="AW243" s="87" t="str">
        <f>"{s_taskKillNpc, {"&amp;L243&amp;","&amp;N243&amp;","&amp;S243&amp;","&amp;U243&amp;"}}"</f>
        <v>{s_taskKillNpc, {614,620,10029,80}}</v>
      </c>
    </row>
    <row r="244" spans="1:49" s="87" customFormat="1" ht="72" x14ac:dyDescent="0.15">
      <c r="A244" s="111">
        <v>6439</v>
      </c>
      <c r="C244" s="87" t="s">
        <v>7834</v>
      </c>
      <c r="D244" s="87">
        <v>1</v>
      </c>
      <c r="E244" s="87">
        <v>0</v>
      </c>
      <c r="F244" s="87">
        <v>3</v>
      </c>
      <c r="G244" s="112">
        <v>73</v>
      </c>
      <c r="H244" s="87">
        <v>200</v>
      </c>
      <c r="I244" s="17">
        <v>0</v>
      </c>
      <c r="J244" s="112">
        <v>6438</v>
      </c>
      <c r="K244" s="87">
        <v>0</v>
      </c>
      <c r="L244" s="862">
        <v>620</v>
      </c>
      <c r="M244" s="863" t="s">
        <v>7819</v>
      </c>
      <c r="N244" s="862">
        <v>618</v>
      </c>
      <c r="O244" s="863" t="s">
        <v>7835</v>
      </c>
      <c r="Q244" s="113"/>
      <c r="R244" s="113"/>
      <c r="S244" s="113"/>
      <c r="T244" s="113"/>
      <c r="U244" s="87">
        <v>1</v>
      </c>
      <c r="V244" s="87">
        <v>1</v>
      </c>
      <c r="W244" s="114">
        <v>5</v>
      </c>
      <c r="Z244" s="21">
        <f>VLOOKUP(G244,Sheet2!A:H,8,0)</f>
        <v>628712</v>
      </c>
      <c r="AB244" s="115"/>
      <c r="AC244" s="23">
        <f>VLOOKUP(G244,Sheet2!A$2:K$151,9,FALSE)</f>
        <v>1093</v>
      </c>
      <c r="AF244" s="117" t="s">
        <v>7836</v>
      </c>
      <c r="AG244" s="117" t="s">
        <v>7837</v>
      </c>
      <c r="AH244" s="117" t="s">
        <v>7838</v>
      </c>
      <c r="AI244" s="117"/>
      <c r="AJ244" s="117" t="s">
        <v>7839</v>
      </c>
      <c r="AL244" s="112">
        <v>0</v>
      </c>
      <c r="AM244" s="96" t="s">
        <v>8829</v>
      </c>
      <c r="AN244" s="87" t="s">
        <v>8830</v>
      </c>
      <c r="AP244" s="87">
        <v>1</v>
      </c>
      <c r="AQ244" s="87">
        <v>0</v>
      </c>
      <c r="AR244" s="87">
        <v>1</v>
      </c>
      <c r="AS244" s="87">
        <v>1</v>
      </c>
      <c r="AU244" s="87">
        <v>0</v>
      </c>
      <c r="AV244" s="17">
        <f t="shared" si="69"/>
        <v>1</v>
      </c>
      <c r="AW244" s="87" t="str">
        <f t="shared" si="76"/>
        <v>{s_taskTalk,{620,618}}</v>
      </c>
    </row>
    <row r="245" spans="1:49" s="87" customFormat="1" ht="72" x14ac:dyDescent="0.15">
      <c r="A245" s="111">
        <v>6440</v>
      </c>
      <c r="C245" s="87" t="s">
        <v>7840</v>
      </c>
      <c r="D245" s="87">
        <v>1</v>
      </c>
      <c r="E245" s="87">
        <v>0</v>
      </c>
      <c r="F245" s="87">
        <v>3</v>
      </c>
      <c r="G245" s="112">
        <v>74</v>
      </c>
      <c r="H245" s="87">
        <v>200</v>
      </c>
      <c r="I245" s="17">
        <v>0</v>
      </c>
      <c r="J245" s="112">
        <v>6439</v>
      </c>
      <c r="K245" s="87">
        <v>0</v>
      </c>
      <c r="L245" s="862">
        <v>613</v>
      </c>
      <c r="M245" s="863" t="s">
        <v>7841</v>
      </c>
      <c r="N245" s="862">
        <v>618</v>
      </c>
      <c r="O245" s="863" t="s">
        <v>7835</v>
      </c>
      <c r="Q245" s="113"/>
      <c r="R245" s="113"/>
      <c r="S245" s="113"/>
      <c r="T245" s="113"/>
      <c r="U245" s="87">
        <v>1</v>
      </c>
      <c r="V245" s="87">
        <v>1</v>
      </c>
      <c r="W245" s="114">
        <v>5</v>
      </c>
      <c r="Z245" s="21">
        <f>VLOOKUP(G245,Sheet2!A:H,8,0)</f>
        <v>962358</v>
      </c>
      <c r="AB245" s="115"/>
      <c r="AC245" s="23">
        <f>VLOOKUP(G245,Sheet2!A$2:K$151,9,FALSE)</f>
        <v>1660</v>
      </c>
      <c r="AF245" s="117" t="s">
        <v>7842</v>
      </c>
      <c r="AG245" s="117" t="s">
        <v>7843</v>
      </c>
      <c r="AH245" s="117" t="s">
        <v>7844</v>
      </c>
      <c r="AI245" s="117"/>
      <c r="AJ245" s="117" t="s">
        <v>7845</v>
      </c>
      <c r="AL245" s="112">
        <v>0</v>
      </c>
      <c r="AM245" s="96" t="s">
        <v>8831</v>
      </c>
      <c r="AN245" s="87" t="s">
        <v>8832</v>
      </c>
      <c r="AP245" s="87">
        <v>1</v>
      </c>
      <c r="AQ245" s="87">
        <v>0</v>
      </c>
      <c r="AR245" s="87">
        <v>1</v>
      </c>
      <c r="AS245" s="87">
        <v>1</v>
      </c>
      <c r="AU245" s="87">
        <v>0</v>
      </c>
      <c r="AV245" s="17">
        <f t="shared" si="69"/>
        <v>1</v>
      </c>
      <c r="AW245" s="87" t="str">
        <f t="shared" si="76"/>
        <v>{s_taskTalk,{613,618}}</v>
      </c>
    </row>
    <row r="246" spans="1:49" s="87" customFormat="1" ht="72" x14ac:dyDescent="0.15">
      <c r="A246" s="111">
        <v>6441</v>
      </c>
      <c r="C246" s="87" t="s">
        <v>7846</v>
      </c>
      <c r="D246" s="87">
        <v>1</v>
      </c>
      <c r="E246" s="87">
        <v>0</v>
      </c>
      <c r="F246" s="87">
        <v>3</v>
      </c>
      <c r="G246" s="112">
        <v>74</v>
      </c>
      <c r="H246" s="87">
        <v>200</v>
      </c>
      <c r="I246" s="17">
        <v>0</v>
      </c>
      <c r="J246" s="112">
        <v>6440</v>
      </c>
      <c r="K246" s="87">
        <v>0</v>
      </c>
      <c r="L246" s="862">
        <v>618</v>
      </c>
      <c r="M246" s="863" t="s">
        <v>7835</v>
      </c>
      <c r="N246" s="862">
        <v>613</v>
      </c>
      <c r="O246" s="863" t="s">
        <v>7841</v>
      </c>
      <c r="Q246" s="113"/>
      <c r="R246" s="113"/>
      <c r="S246" s="113"/>
      <c r="T246" s="113"/>
      <c r="U246" s="87">
        <v>1</v>
      </c>
      <c r="V246" s="87">
        <v>1</v>
      </c>
      <c r="W246" s="114">
        <v>5</v>
      </c>
      <c r="Z246" s="21">
        <f>VLOOKUP(G246,Sheet2!A:H,8,0)</f>
        <v>962358</v>
      </c>
      <c r="AB246" s="115"/>
      <c r="AC246" s="23">
        <f>VLOOKUP(G246,Sheet2!A$2:K$151,9,FALSE)</f>
        <v>1660</v>
      </c>
      <c r="AF246" s="117" t="s">
        <v>7847</v>
      </c>
      <c r="AG246" s="117" t="s">
        <v>7848</v>
      </c>
      <c r="AH246" s="117" t="s">
        <v>7849</v>
      </c>
      <c r="AI246" s="117"/>
      <c r="AJ246" s="117" t="s">
        <v>7850</v>
      </c>
      <c r="AL246" s="112">
        <v>0</v>
      </c>
      <c r="AM246" s="96" t="s">
        <v>8833</v>
      </c>
      <c r="AN246" s="87" t="s">
        <v>8834</v>
      </c>
      <c r="AP246" s="87">
        <v>1</v>
      </c>
      <c r="AQ246" s="87">
        <v>0</v>
      </c>
      <c r="AR246" s="87">
        <v>1</v>
      </c>
      <c r="AS246" s="87">
        <v>1</v>
      </c>
      <c r="AU246" s="87">
        <v>0</v>
      </c>
      <c r="AV246" s="17">
        <f t="shared" si="69"/>
        <v>1</v>
      </c>
      <c r="AW246" s="87" t="str">
        <f t="shared" si="76"/>
        <v>{s_taskTalk,{618,613}}</v>
      </c>
    </row>
    <row r="247" spans="1:49" s="87" customFormat="1" ht="72" x14ac:dyDescent="0.15">
      <c r="A247" s="111">
        <v>6442</v>
      </c>
      <c r="C247" s="87" t="s">
        <v>7851</v>
      </c>
      <c r="D247" s="87">
        <v>1</v>
      </c>
      <c r="E247" s="87">
        <v>0</v>
      </c>
      <c r="F247" s="87">
        <v>3</v>
      </c>
      <c r="G247" s="112">
        <v>75</v>
      </c>
      <c r="H247" s="87">
        <v>200</v>
      </c>
      <c r="I247" s="17">
        <v>0</v>
      </c>
      <c r="J247" s="112">
        <v>6441</v>
      </c>
      <c r="K247" s="87">
        <v>0</v>
      </c>
      <c r="L247" s="862">
        <v>613</v>
      </c>
      <c r="M247" s="863" t="s">
        <v>7841</v>
      </c>
      <c r="N247" s="862">
        <v>613</v>
      </c>
      <c r="O247" s="863" t="s">
        <v>7841</v>
      </c>
      <c r="Q247" s="113">
        <v>2047</v>
      </c>
      <c r="R247" s="113"/>
      <c r="S247" s="113"/>
      <c r="T247" s="113"/>
      <c r="U247" s="87">
        <v>10</v>
      </c>
      <c r="V247" s="87">
        <v>0</v>
      </c>
      <c r="W247" s="114">
        <v>5</v>
      </c>
      <c r="Z247" s="21">
        <f>VLOOKUP(G247,Sheet2!A:H,8,0)</f>
        <v>327259</v>
      </c>
      <c r="AB247" s="115"/>
      <c r="AC247" s="23">
        <f>VLOOKUP(G247,Sheet2!A$2:K$151,9,FALSE)</f>
        <v>560</v>
      </c>
      <c r="AF247" s="117" t="s">
        <v>8121</v>
      </c>
      <c r="AG247" s="117" t="s">
        <v>7852</v>
      </c>
      <c r="AH247" s="117" t="s">
        <v>7853</v>
      </c>
      <c r="AI247" s="117"/>
      <c r="AJ247" s="71" t="s">
        <v>7854</v>
      </c>
      <c r="AL247" s="112">
        <v>0</v>
      </c>
      <c r="AM247" s="96" t="s">
        <v>8835</v>
      </c>
      <c r="AN247" s="87" t="s">
        <v>8836</v>
      </c>
      <c r="AO247" s="32" t="s">
        <v>7855</v>
      </c>
      <c r="AP247" s="87">
        <v>1</v>
      </c>
      <c r="AQ247" s="87">
        <v>0</v>
      </c>
      <c r="AR247" s="87">
        <v>1</v>
      </c>
      <c r="AS247" s="87">
        <v>1</v>
      </c>
      <c r="AU247" s="87">
        <v>0</v>
      </c>
      <c r="AV247" s="17">
        <f t="shared" si="69"/>
        <v>1</v>
      </c>
      <c r="AW247" s="87" t="str">
        <f t="shared" si="76"/>
        <v>{s_taskTalk,{613,613}}</v>
      </c>
    </row>
    <row r="248" spans="1:49" s="87" customFormat="1" ht="84" x14ac:dyDescent="0.15">
      <c r="A248" s="111">
        <v>6443</v>
      </c>
      <c r="C248" s="87" t="s">
        <v>7856</v>
      </c>
      <c r="D248" s="87">
        <v>1</v>
      </c>
      <c r="E248" s="87">
        <v>0</v>
      </c>
      <c r="F248" s="87">
        <v>3</v>
      </c>
      <c r="G248" s="112">
        <v>75</v>
      </c>
      <c r="H248" s="87">
        <v>200</v>
      </c>
      <c r="I248" s="17">
        <v>0</v>
      </c>
      <c r="J248" s="112">
        <v>6442</v>
      </c>
      <c r="K248" s="87">
        <v>0</v>
      </c>
      <c r="L248" s="862">
        <v>613</v>
      </c>
      <c r="M248" s="863" t="s">
        <v>7841</v>
      </c>
      <c r="N248" s="863">
        <v>538</v>
      </c>
      <c r="O248" s="863" t="s">
        <v>7857</v>
      </c>
      <c r="Q248" s="113"/>
      <c r="R248" s="113"/>
      <c r="S248" s="113"/>
      <c r="T248" s="113"/>
      <c r="U248" s="87">
        <v>1</v>
      </c>
      <c r="V248" s="87">
        <v>1</v>
      </c>
      <c r="W248" s="114">
        <v>5</v>
      </c>
      <c r="Z248" s="21">
        <f>VLOOKUP(G248,Sheet2!A:H,8,0)</f>
        <v>327259</v>
      </c>
      <c r="AB248" s="115"/>
      <c r="AC248" s="23">
        <f>VLOOKUP(G248,Sheet2!A$2:K$151,9,FALSE)</f>
        <v>560</v>
      </c>
      <c r="AF248" s="117" t="s">
        <v>7858</v>
      </c>
      <c r="AG248" s="117" t="s">
        <v>7859</v>
      </c>
      <c r="AH248" s="117" t="s">
        <v>7860</v>
      </c>
      <c r="AI248" s="117"/>
      <c r="AJ248" s="117" t="s">
        <v>7861</v>
      </c>
      <c r="AL248" s="112">
        <v>0</v>
      </c>
      <c r="AM248" s="96" t="s">
        <v>8837</v>
      </c>
      <c r="AN248" s="87" t="s">
        <v>8838</v>
      </c>
      <c r="AP248" s="87">
        <v>1</v>
      </c>
      <c r="AQ248" s="87">
        <v>0</v>
      </c>
      <c r="AR248" s="87">
        <v>1</v>
      </c>
      <c r="AS248" s="87">
        <v>1</v>
      </c>
      <c r="AU248" s="87">
        <v>0</v>
      </c>
      <c r="AV248" s="17">
        <f t="shared" si="69"/>
        <v>1</v>
      </c>
      <c r="AW248" s="87" t="str">
        <f t="shared" si="76"/>
        <v>{s_taskTalk,{613,538}}</v>
      </c>
    </row>
    <row r="249" spans="1:49" s="87" customFormat="1" ht="72" x14ac:dyDescent="0.15">
      <c r="A249" s="111">
        <v>6444</v>
      </c>
      <c r="C249" s="87" t="s">
        <v>7862</v>
      </c>
      <c r="D249" s="87">
        <v>1</v>
      </c>
      <c r="E249" s="87">
        <v>0</v>
      </c>
      <c r="F249" s="87">
        <v>3</v>
      </c>
      <c r="G249" s="112">
        <v>75</v>
      </c>
      <c r="H249" s="87">
        <v>200</v>
      </c>
      <c r="I249" s="17">
        <v>0</v>
      </c>
      <c r="J249" s="112">
        <v>6443</v>
      </c>
      <c r="K249" s="87">
        <v>0</v>
      </c>
      <c r="L249" s="863">
        <v>538</v>
      </c>
      <c r="M249" s="863" t="s">
        <v>7857</v>
      </c>
      <c r="N249" s="862">
        <v>614</v>
      </c>
      <c r="O249" s="863" t="s">
        <v>7808</v>
      </c>
      <c r="Q249" s="113"/>
      <c r="R249" s="113"/>
      <c r="S249" s="113"/>
      <c r="T249" s="113"/>
      <c r="U249" s="87">
        <v>1</v>
      </c>
      <c r="V249" s="87">
        <v>1</v>
      </c>
      <c r="W249" s="114">
        <v>5</v>
      </c>
      <c r="Z249" s="21">
        <f>VLOOKUP(G249,Sheet2!A:H,8,0)</f>
        <v>327259</v>
      </c>
      <c r="AB249" s="115"/>
      <c r="AC249" s="23">
        <f>VLOOKUP(G249,Sheet2!A$2:K$151,9,FALSE)</f>
        <v>560</v>
      </c>
      <c r="AF249" s="117" t="s">
        <v>7863</v>
      </c>
      <c r="AG249" s="117" t="s">
        <v>7864</v>
      </c>
      <c r="AH249" s="117" t="s">
        <v>7865</v>
      </c>
      <c r="AI249" s="117"/>
      <c r="AJ249" s="117" t="s">
        <v>7866</v>
      </c>
      <c r="AL249" s="112">
        <v>0</v>
      </c>
      <c r="AM249" s="96" t="s">
        <v>8839</v>
      </c>
      <c r="AN249" s="87" t="s">
        <v>8840</v>
      </c>
      <c r="AP249" s="87">
        <v>1</v>
      </c>
      <c r="AQ249" s="87">
        <v>0</v>
      </c>
      <c r="AR249" s="87">
        <v>1</v>
      </c>
      <c r="AS249" s="87">
        <v>1</v>
      </c>
      <c r="AU249" s="87">
        <v>0</v>
      </c>
      <c r="AV249" s="17">
        <f t="shared" si="69"/>
        <v>1</v>
      </c>
      <c r="AW249" s="87" t="str">
        <f t="shared" si="76"/>
        <v>{s_taskTalk,{538,614}}</v>
      </c>
    </row>
    <row r="250" spans="1:49" s="87" customFormat="1" ht="72" x14ac:dyDescent="0.15">
      <c r="A250" s="111">
        <v>6445</v>
      </c>
      <c r="C250" s="87" t="s">
        <v>7867</v>
      </c>
      <c r="D250" s="87">
        <v>1</v>
      </c>
      <c r="E250" s="87">
        <v>0</v>
      </c>
      <c r="F250" s="87">
        <v>3</v>
      </c>
      <c r="G250" s="112">
        <v>75</v>
      </c>
      <c r="H250" s="87">
        <v>200</v>
      </c>
      <c r="I250" s="17">
        <v>0</v>
      </c>
      <c r="J250" s="112">
        <v>6444</v>
      </c>
      <c r="K250" s="87">
        <v>0</v>
      </c>
      <c r="L250" s="862">
        <v>614</v>
      </c>
      <c r="M250" s="863" t="s">
        <v>7808</v>
      </c>
      <c r="N250" s="863">
        <v>538</v>
      </c>
      <c r="O250" s="863" t="s">
        <v>7857</v>
      </c>
      <c r="Q250" s="113"/>
      <c r="R250" s="113"/>
      <c r="S250" s="113"/>
      <c r="T250" s="113"/>
      <c r="U250" s="87">
        <v>1</v>
      </c>
      <c r="V250" s="87">
        <v>1</v>
      </c>
      <c r="W250" s="114">
        <v>5</v>
      </c>
      <c r="Z250" s="21">
        <f>VLOOKUP(G250,Sheet2!A:H,8,0)</f>
        <v>327259</v>
      </c>
      <c r="AB250" s="115"/>
      <c r="AC250" s="23">
        <f>VLOOKUP(G250,Sheet2!A$2:K$151,9,FALSE)</f>
        <v>560</v>
      </c>
      <c r="AF250" s="117" t="s">
        <v>7868</v>
      </c>
      <c r="AG250" s="117" t="s">
        <v>7869</v>
      </c>
      <c r="AH250" s="117" t="s">
        <v>7870</v>
      </c>
      <c r="AI250" s="117"/>
      <c r="AJ250" s="117" t="s">
        <v>7871</v>
      </c>
      <c r="AL250" s="112">
        <v>0</v>
      </c>
      <c r="AM250" s="96" t="s">
        <v>8841</v>
      </c>
      <c r="AN250" s="87" t="s">
        <v>8842</v>
      </c>
      <c r="AP250" s="87">
        <v>1</v>
      </c>
      <c r="AQ250" s="87">
        <v>0</v>
      </c>
      <c r="AR250" s="87">
        <v>1</v>
      </c>
      <c r="AS250" s="87">
        <v>1</v>
      </c>
      <c r="AU250" s="87">
        <v>0</v>
      </c>
      <c r="AV250" s="17">
        <f t="shared" si="69"/>
        <v>1</v>
      </c>
      <c r="AW250" s="87" t="str">
        <f t="shared" si="76"/>
        <v>{s_taskTalk,{614,538}}</v>
      </c>
    </row>
    <row r="251" spans="1:49" s="87" customFormat="1" ht="72" x14ac:dyDescent="0.15">
      <c r="A251" s="111">
        <v>6446</v>
      </c>
      <c r="C251" s="87" t="s">
        <v>7872</v>
      </c>
      <c r="D251" s="87">
        <v>1</v>
      </c>
      <c r="E251" s="87">
        <v>0</v>
      </c>
      <c r="F251" s="87">
        <v>3</v>
      </c>
      <c r="G251" s="112">
        <v>75</v>
      </c>
      <c r="H251" s="87">
        <v>200</v>
      </c>
      <c r="I251" s="17">
        <v>0</v>
      </c>
      <c r="J251" s="112">
        <v>6445</v>
      </c>
      <c r="K251" s="87">
        <v>0</v>
      </c>
      <c r="L251" s="863">
        <v>538</v>
      </c>
      <c r="M251" s="863" t="s">
        <v>7857</v>
      </c>
      <c r="N251" s="862">
        <v>614</v>
      </c>
      <c r="O251" s="863" t="s">
        <v>7808</v>
      </c>
      <c r="Q251" s="113"/>
      <c r="R251" s="113"/>
      <c r="S251" s="113"/>
      <c r="T251" s="113"/>
      <c r="U251" s="87">
        <v>1</v>
      </c>
      <c r="V251" s="87">
        <v>1</v>
      </c>
      <c r="W251" s="114">
        <v>5</v>
      </c>
      <c r="Z251" s="21">
        <f>VLOOKUP(G251,Sheet2!A:H,8,0)</f>
        <v>327259</v>
      </c>
      <c r="AB251" s="115"/>
      <c r="AC251" s="23">
        <f>VLOOKUP(G251,Sheet2!A$2:K$151,9,FALSE)</f>
        <v>560</v>
      </c>
      <c r="AF251" s="117" t="s">
        <v>7873</v>
      </c>
      <c r="AG251" s="117" t="s">
        <v>7874</v>
      </c>
      <c r="AH251" s="117" t="s">
        <v>7875</v>
      </c>
      <c r="AI251" s="117"/>
      <c r="AJ251" s="117" t="s">
        <v>7876</v>
      </c>
      <c r="AL251" s="112">
        <v>0</v>
      </c>
      <c r="AM251" s="96" t="s">
        <v>8843</v>
      </c>
      <c r="AN251" s="87" t="s">
        <v>8844</v>
      </c>
      <c r="AP251" s="87">
        <v>1</v>
      </c>
      <c r="AQ251" s="87">
        <v>0</v>
      </c>
      <c r="AR251" s="87">
        <v>1</v>
      </c>
      <c r="AS251" s="87">
        <v>1</v>
      </c>
      <c r="AU251" s="87">
        <v>0</v>
      </c>
      <c r="AV251" s="17">
        <f t="shared" si="69"/>
        <v>1</v>
      </c>
      <c r="AW251" s="87" t="str">
        <f t="shared" si="76"/>
        <v>{s_taskTalk,{538,614}}</v>
      </c>
    </row>
    <row r="252" spans="1:49" s="87" customFormat="1" ht="72" x14ac:dyDescent="0.15">
      <c r="A252" s="111">
        <v>6447</v>
      </c>
      <c r="C252" s="87" t="s">
        <v>7877</v>
      </c>
      <c r="D252" s="87">
        <v>1</v>
      </c>
      <c r="E252" s="87">
        <v>0</v>
      </c>
      <c r="F252" s="87">
        <v>3</v>
      </c>
      <c r="G252" s="112">
        <v>75</v>
      </c>
      <c r="H252" s="87">
        <v>200</v>
      </c>
      <c r="I252" s="17">
        <v>0</v>
      </c>
      <c r="J252" s="112">
        <v>6446</v>
      </c>
      <c r="K252" s="87">
        <v>0</v>
      </c>
      <c r="L252" s="862">
        <v>614</v>
      </c>
      <c r="M252" s="863" t="s">
        <v>7808</v>
      </c>
      <c r="N252" s="862">
        <v>615</v>
      </c>
      <c r="O252" s="863" t="s">
        <v>7878</v>
      </c>
      <c r="Q252" s="113"/>
      <c r="R252" s="113"/>
      <c r="S252" s="113"/>
      <c r="T252" s="113"/>
      <c r="U252" s="87">
        <v>1</v>
      </c>
      <c r="V252" s="87">
        <v>1</v>
      </c>
      <c r="W252" s="114">
        <v>5</v>
      </c>
      <c r="Z252" s="21">
        <f>VLOOKUP(G252,Sheet2!A:H,8,0)</f>
        <v>327259</v>
      </c>
      <c r="AB252" s="115"/>
      <c r="AC252" s="23">
        <f>VLOOKUP(G252,Sheet2!A$2:K$151,9,FALSE)</f>
        <v>560</v>
      </c>
      <c r="AF252" s="117" t="s">
        <v>7879</v>
      </c>
      <c r="AG252" s="117" t="s">
        <v>7880</v>
      </c>
      <c r="AH252" s="117" t="s">
        <v>7881</v>
      </c>
      <c r="AI252" s="117"/>
      <c r="AJ252" s="117" t="s">
        <v>7882</v>
      </c>
      <c r="AL252" s="112">
        <v>0</v>
      </c>
      <c r="AM252" s="96" t="s">
        <v>8845</v>
      </c>
      <c r="AN252" s="87" t="s">
        <v>8846</v>
      </c>
      <c r="AP252" s="87">
        <v>1</v>
      </c>
      <c r="AQ252" s="87">
        <v>0</v>
      </c>
      <c r="AR252" s="87">
        <v>1</v>
      </c>
      <c r="AS252" s="87">
        <v>1</v>
      </c>
      <c r="AU252" s="87">
        <v>0</v>
      </c>
      <c r="AV252" s="17">
        <f t="shared" ref="AV252:AV295" si="77">IF(D252 = 1,1,0)</f>
        <v>1</v>
      </c>
      <c r="AW252" s="87" t="str">
        <f t="shared" si="76"/>
        <v>{s_taskTalk,{614,615}}</v>
      </c>
    </row>
    <row r="253" spans="1:49" s="87" customFormat="1" ht="72" x14ac:dyDescent="0.15">
      <c r="A253" s="111">
        <v>6448</v>
      </c>
      <c r="C253" s="87" t="s">
        <v>7883</v>
      </c>
      <c r="D253" s="87">
        <v>1</v>
      </c>
      <c r="E253" s="87">
        <v>0</v>
      </c>
      <c r="F253" s="87">
        <v>3</v>
      </c>
      <c r="G253" s="112">
        <v>76</v>
      </c>
      <c r="H253" s="87">
        <v>200</v>
      </c>
      <c r="I253" s="17">
        <v>0</v>
      </c>
      <c r="J253" s="112">
        <v>6447</v>
      </c>
      <c r="K253" s="87">
        <v>0</v>
      </c>
      <c r="L253" s="862">
        <v>614</v>
      </c>
      <c r="M253" s="863" t="s">
        <v>7808</v>
      </c>
      <c r="N253" s="862">
        <v>616</v>
      </c>
      <c r="O253" s="863" t="s">
        <v>7878</v>
      </c>
      <c r="Q253" s="113"/>
      <c r="R253" s="113"/>
      <c r="S253" s="113"/>
      <c r="T253" s="113"/>
      <c r="U253" s="87">
        <v>1</v>
      </c>
      <c r="V253" s="87">
        <v>1</v>
      </c>
      <c r="W253" s="114">
        <v>5</v>
      </c>
      <c r="Z253" s="21">
        <f>VLOOKUP(G253,Sheet2!A:H,8,0)</f>
        <v>500664</v>
      </c>
      <c r="AB253" s="115"/>
      <c r="AC253" s="23">
        <f>VLOOKUP(G253,Sheet2!A$2:K$151,9,FALSE)</f>
        <v>850</v>
      </c>
      <c r="AF253" s="117" t="s">
        <v>7884</v>
      </c>
      <c r="AG253" s="117" t="s">
        <v>7885</v>
      </c>
      <c r="AH253" s="117" t="s">
        <v>7881</v>
      </c>
      <c r="AI253" s="117"/>
      <c r="AJ253" s="117" t="s">
        <v>7882</v>
      </c>
      <c r="AL253" s="112">
        <v>0</v>
      </c>
      <c r="AM253" s="96" t="s">
        <v>8847</v>
      </c>
      <c r="AN253" s="87" t="s">
        <v>8848</v>
      </c>
      <c r="AP253" s="87">
        <v>1</v>
      </c>
      <c r="AQ253" s="87">
        <v>0</v>
      </c>
      <c r="AR253" s="87">
        <v>1</v>
      </c>
      <c r="AS253" s="87">
        <v>1</v>
      </c>
      <c r="AU253" s="87">
        <v>0</v>
      </c>
      <c r="AV253" s="17">
        <f t="shared" si="77"/>
        <v>1</v>
      </c>
      <c r="AW253" s="87" t="str">
        <f t="shared" si="76"/>
        <v>{s_taskTalk,{614,616}}</v>
      </c>
    </row>
    <row r="254" spans="1:49" s="87" customFormat="1" ht="72" x14ac:dyDescent="0.15">
      <c r="A254" s="111">
        <v>6449</v>
      </c>
      <c r="C254" s="96" t="s">
        <v>7886</v>
      </c>
      <c r="D254" s="87">
        <v>1</v>
      </c>
      <c r="E254" s="87">
        <v>0</v>
      </c>
      <c r="F254" s="87">
        <v>3</v>
      </c>
      <c r="G254" s="112">
        <v>76</v>
      </c>
      <c r="H254" s="87">
        <v>200</v>
      </c>
      <c r="I254" s="17">
        <v>0</v>
      </c>
      <c r="J254" s="112">
        <v>6448</v>
      </c>
      <c r="K254" s="87">
        <v>0</v>
      </c>
      <c r="L254" s="862">
        <v>616</v>
      </c>
      <c r="M254" s="863" t="s">
        <v>7878</v>
      </c>
      <c r="N254" s="862">
        <v>616</v>
      </c>
      <c r="O254" s="863" t="s">
        <v>7878</v>
      </c>
      <c r="Q254" s="113"/>
      <c r="R254" s="113"/>
      <c r="S254" s="113">
        <v>10030</v>
      </c>
      <c r="T254" s="113"/>
      <c r="U254" s="87">
        <v>80</v>
      </c>
      <c r="V254" s="87">
        <v>0</v>
      </c>
      <c r="W254" s="114">
        <v>5</v>
      </c>
      <c r="Z254" s="21">
        <f>VLOOKUP(G254,Sheet2!A:H,8,0)</f>
        <v>500664</v>
      </c>
      <c r="AB254" s="115"/>
      <c r="AC254" s="23">
        <f>VLOOKUP(G254,Sheet2!A$2:K$151,9,FALSE)</f>
        <v>850</v>
      </c>
      <c r="AF254" s="117" t="s">
        <v>7887</v>
      </c>
      <c r="AG254" s="117" t="s">
        <v>7888</v>
      </c>
      <c r="AH254" s="117" t="s">
        <v>7889</v>
      </c>
      <c r="AI254" s="117"/>
      <c r="AJ254" s="117" t="s">
        <v>7890</v>
      </c>
      <c r="AL254" s="112">
        <v>0</v>
      </c>
      <c r="AM254" s="96" t="s">
        <v>8849</v>
      </c>
      <c r="AN254" s="87" t="s">
        <v>8850</v>
      </c>
      <c r="AP254" s="87">
        <v>1</v>
      </c>
      <c r="AQ254" s="87">
        <v>0</v>
      </c>
      <c r="AR254" s="87">
        <v>1</v>
      </c>
      <c r="AS254" s="87">
        <v>1</v>
      </c>
      <c r="AU254" s="87">
        <v>0</v>
      </c>
      <c r="AV254" s="17">
        <f t="shared" si="77"/>
        <v>1</v>
      </c>
      <c r="AW254" s="87" t="str">
        <f>"{s_taskKillNpc, {"&amp;L254&amp;","&amp;N254&amp;","&amp;S254&amp;","&amp;U254&amp;"}}"</f>
        <v>{s_taskKillNpc, {616,616,10030,80}}</v>
      </c>
    </row>
    <row r="255" spans="1:49" s="87" customFormat="1" ht="72" x14ac:dyDescent="0.15">
      <c r="A255" s="111">
        <v>6450</v>
      </c>
      <c r="C255" s="87" t="s">
        <v>7891</v>
      </c>
      <c r="D255" s="87">
        <v>1</v>
      </c>
      <c r="E255" s="87">
        <v>0</v>
      </c>
      <c r="F255" s="87">
        <v>3</v>
      </c>
      <c r="G255" s="112">
        <v>76</v>
      </c>
      <c r="H255" s="87">
        <v>200</v>
      </c>
      <c r="I255" s="17">
        <v>0</v>
      </c>
      <c r="J255" s="112">
        <v>6449</v>
      </c>
      <c r="K255" s="87">
        <v>0</v>
      </c>
      <c r="L255" s="862">
        <v>613</v>
      </c>
      <c r="M255" s="863" t="s">
        <v>7841</v>
      </c>
      <c r="N255" s="862">
        <v>619</v>
      </c>
      <c r="O255" s="863" t="s">
        <v>7802</v>
      </c>
      <c r="Q255" s="113"/>
      <c r="R255" s="113"/>
      <c r="S255" s="113"/>
      <c r="T255" s="113"/>
      <c r="U255" s="87">
        <v>1</v>
      </c>
      <c r="V255" s="87">
        <v>1</v>
      </c>
      <c r="W255" s="114">
        <v>5</v>
      </c>
      <c r="Z255" s="21">
        <f>VLOOKUP(G255,Sheet2!A:H,8,0)</f>
        <v>500664</v>
      </c>
      <c r="AB255" s="115"/>
      <c r="AC255" s="23">
        <f>VLOOKUP(G255,Sheet2!A$2:K$151,9,FALSE)</f>
        <v>850</v>
      </c>
      <c r="AF255" s="117" t="s">
        <v>7892</v>
      </c>
      <c r="AG255" s="117" t="s">
        <v>7893</v>
      </c>
      <c r="AH255" s="117" t="s">
        <v>7894</v>
      </c>
      <c r="AI255" s="117"/>
      <c r="AJ255" s="117" t="s">
        <v>7895</v>
      </c>
      <c r="AL255" s="112">
        <v>0</v>
      </c>
      <c r="AM255" s="96" t="s">
        <v>8851</v>
      </c>
      <c r="AN255" s="87" t="s">
        <v>8852</v>
      </c>
      <c r="AP255" s="87">
        <v>1</v>
      </c>
      <c r="AQ255" s="87">
        <v>0</v>
      </c>
      <c r="AR255" s="87">
        <v>1</v>
      </c>
      <c r="AS255" s="87">
        <v>1</v>
      </c>
      <c r="AU255" s="87">
        <v>0</v>
      </c>
      <c r="AV255" s="17">
        <f t="shared" si="77"/>
        <v>1</v>
      </c>
      <c r="AW255" s="87" t="str">
        <f t="shared" si="76"/>
        <v>{s_taskTalk,{613,619}}</v>
      </c>
    </row>
    <row r="256" spans="1:49" s="87" customFormat="1" ht="72" x14ac:dyDescent="0.15">
      <c r="A256" s="111">
        <v>6451</v>
      </c>
      <c r="C256" s="87" t="s">
        <v>7896</v>
      </c>
      <c r="D256" s="87">
        <v>1</v>
      </c>
      <c r="E256" s="87">
        <v>0</v>
      </c>
      <c r="F256" s="87">
        <v>3</v>
      </c>
      <c r="G256" s="112">
        <v>76</v>
      </c>
      <c r="H256" s="87">
        <v>200</v>
      </c>
      <c r="I256" s="17">
        <v>0</v>
      </c>
      <c r="J256" s="112">
        <v>6450</v>
      </c>
      <c r="K256" s="87">
        <v>0</v>
      </c>
      <c r="L256" s="862">
        <v>619</v>
      </c>
      <c r="M256" s="863" t="s">
        <v>7802</v>
      </c>
      <c r="N256" s="862">
        <v>618</v>
      </c>
      <c r="O256" s="863" t="s">
        <v>7835</v>
      </c>
      <c r="Q256" s="113">
        <v>2048</v>
      </c>
      <c r="R256" s="113"/>
      <c r="S256" s="113"/>
      <c r="T256" s="113"/>
      <c r="U256" s="87">
        <v>1</v>
      </c>
      <c r="V256" s="87">
        <v>0</v>
      </c>
      <c r="W256" s="114">
        <v>5</v>
      </c>
      <c r="Z256" s="21">
        <f>VLOOKUP(G256,Sheet2!A:H,8,0)</f>
        <v>500664</v>
      </c>
      <c r="AB256" s="115"/>
      <c r="AC256" s="23">
        <f>VLOOKUP(G256,Sheet2!A$2:K$151,9,FALSE)</f>
        <v>850</v>
      </c>
      <c r="AF256" s="117" t="s">
        <v>7897</v>
      </c>
      <c r="AG256" s="117" t="s">
        <v>7898</v>
      </c>
      <c r="AH256" s="117" t="s">
        <v>7899</v>
      </c>
      <c r="AI256" s="117"/>
      <c r="AJ256" s="117" t="s">
        <v>7900</v>
      </c>
      <c r="AL256" s="112">
        <v>0</v>
      </c>
      <c r="AM256" s="96" t="s">
        <v>8853</v>
      </c>
      <c r="AN256" s="87" t="s">
        <v>8854</v>
      </c>
      <c r="AP256" s="87">
        <v>1</v>
      </c>
      <c r="AQ256" s="87">
        <v>0</v>
      </c>
      <c r="AR256" s="87">
        <v>1</v>
      </c>
      <c r="AS256" s="87">
        <v>1</v>
      </c>
      <c r="AU256" s="87">
        <v>0</v>
      </c>
      <c r="AV256" s="17">
        <f t="shared" si="77"/>
        <v>1</v>
      </c>
      <c r="AW256" s="87" t="str">
        <f t="shared" si="76"/>
        <v>{s_taskTalk,{619,618}}</v>
      </c>
    </row>
    <row r="257" spans="1:49" s="87" customFormat="1" ht="72" x14ac:dyDescent="0.15">
      <c r="A257" s="111">
        <v>6452</v>
      </c>
      <c r="C257" s="87" t="s">
        <v>7901</v>
      </c>
      <c r="D257" s="87">
        <v>1</v>
      </c>
      <c r="E257" s="87">
        <v>0</v>
      </c>
      <c r="F257" s="87">
        <v>3</v>
      </c>
      <c r="G257" s="112">
        <v>77</v>
      </c>
      <c r="H257" s="87">
        <v>200</v>
      </c>
      <c r="I257" s="17">
        <v>0</v>
      </c>
      <c r="J257" s="112">
        <v>6451</v>
      </c>
      <c r="K257" s="87">
        <v>0</v>
      </c>
      <c r="L257" s="862">
        <v>618</v>
      </c>
      <c r="M257" s="863" t="s">
        <v>7835</v>
      </c>
      <c r="N257" s="862">
        <v>614</v>
      </c>
      <c r="O257" s="863" t="s">
        <v>7808</v>
      </c>
      <c r="Q257" s="113"/>
      <c r="R257" s="113"/>
      <c r="S257" s="113"/>
      <c r="T257" s="113"/>
      <c r="U257" s="87">
        <v>1</v>
      </c>
      <c r="V257" s="87">
        <v>1</v>
      </c>
      <c r="W257" s="114">
        <v>5</v>
      </c>
      <c r="Z257" s="21">
        <f>VLOOKUP(G257,Sheet2!A:H,8,0)</f>
        <v>680672</v>
      </c>
      <c r="AB257" s="115"/>
      <c r="AC257" s="23">
        <f>VLOOKUP(G257,Sheet2!A$2:K$151,9,FALSE)</f>
        <v>1147</v>
      </c>
      <c r="AF257" s="117" t="s">
        <v>7902</v>
      </c>
      <c r="AG257" s="117" t="s">
        <v>7903</v>
      </c>
      <c r="AH257" s="117" t="s">
        <v>7904</v>
      </c>
      <c r="AI257" s="117"/>
      <c r="AJ257" s="117" t="s">
        <v>7905</v>
      </c>
      <c r="AL257" s="112">
        <v>0</v>
      </c>
      <c r="AM257" s="96" t="s">
        <v>8855</v>
      </c>
      <c r="AN257" s="87" t="s">
        <v>8856</v>
      </c>
      <c r="AP257" s="87">
        <v>1</v>
      </c>
      <c r="AQ257" s="87">
        <v>0</v>
      </c>
      <c r="AR257" s="87">
        <v>1</v>
      </c>
      <c r="AS257" s="87">
        <v>1</v>
      </c>
      <c r="AU257" s="87">
        <v>0</v>
      </c>
      <c r="AV257" s="17">
        <f t="shared" si="77"/>
        <v>1</v>
      </c>
      <c r="AW257" s="87" t="str">
        <f t="shared" si="76"/>
        <v>{s_taskTalk,{618,614}}</v>
      </c>
    </row>
    <row r="258" spans="1:49" s="87" customFormat="1" ht="72" x14ac:dyDescent="0.15">
      <c r="A258" s="111">
        <v>6453</v>
      </c>
      <c r="C258" s="87" t="s">
        <v>7906</v>
      </c>
      <c r="D258" s="87">
        <v>1</v>
      </c>
      <c r="E258" s="87">
        <v>0</v>
      </c>
      <c r="F258" s="87">
        <v>3</v>
      </c>
      <c r="G258" s="112">
        <v>77</v>
      </c>
      <c r="H258" s="87">
        <v>200</v>
      </c>
      <c r="I258" s="17">
        <v>0</v>
      </c>
      <c r="J258" s="112">
        <v>6452</v>
      </c>
      <c r="K258" s="87">
        <v>0</v>
      </c>
      <c r="L258" s="862">
        <v>614</v>
      </c>
      <c r="M258" s="863" t="s">
        <v>7808</v>
      </c>
      <c r="N258" s="862">
        <v>614</v>
      </c>
      <c r="O258" s="863" t="s">
        <v>7808</v>
      </c>
      <c r="Q258" s="113">
        <v>2049</v>
      </c>
      <c r="R258" s="113"/>
      <c r="S258" s="113"/>
      <c r="T258" s="113"/>
      <c r="U258" s="87">
        <v>10</v>
      </c>
      <c r="V258" s="87">
        <v>0</v>
      </c>
      <c r="W258" s="114">
        <v>5</v>
      </c>
      <c r="Z258" s="21">
        <f>VLOOKUP(G258,Sheet2!A:H,8,0)</f>
        <v>680672</v>
      </c>
      <c r="AB258" s="115"/>
      <c r="AC258" s="23">
        <f>VLOOKUP(G258,Sheet2!A$2:K$151,9,FALSE)</f>
        <v>1147</v>
      </c>
      <c r="AF258" s="117" t="s">
        <v>7907</v>
      </c>
      <c r="AG258" s="117" t="s">
        <v>7908</v>
      </c>
      <c r="AH258" s="117" t="s">
        <v>7909</v>
      </c>
      <c r="AI258" s="117"/>
      <c r="AJ258" s="117" t="s">
        <v>7910</v>
      </c>
      <c r="AL258" s="112">
        <v>0</v>
      </c>
      <c r="AM258" s="96" t="s">
        <v>8857</v>
      </c>
      <c r="AN258" s="87" t="s">
        <v>8858</v>
      </c>
      <c r="AO258" s="32" t="s">
        <v>7911</v>
      </c>
      <c r="AP258" s="87">
        <v>1</v>
      </c>
      <c r="AQ258" s="87">
        <v>0</v>
      </c>
      <c r="AR258" s="87">
        <v>1</v>
      </c>
      <c r="AS258" s="87">
        <v>1</v>
      </c>
      <c r="AU258" s="87">
        <v>0</v>
      </c>
      <c r="AV258" s="17">
        <f t="shared" si="77"/>
        <v>1</v>
      </c>
      <c r="AW258" s="87" t="str">
        <f t="shared" si="76"/>
        <v>{s_taskTalk,{614,614}}</v>
      </c>
    </row>
    <row r="259" spans="1:49" s="87" customFormat="1" ht="72" x14ac:dyDescent="0.15">
      <c r="A259" s="111">
        <v>6454</v>
      </c>
      <c r="C259" s="87" t="s">
        <v>7912</v>
      </c>
      <c r="D259" s="87">
        <v>1</v>
      </c>
      <c r="E259" s="87">
        <v>0</v>
      </c>
      <c r="F259" s="87">
        <v>3</v>
      </c>
      <c r="G259" s="112">
        <v>77</v>
      </c>
      <c r="H259" s="87">
        <v>200</v>
      </c>
      <c r="I259" s="17">
        <v>0</v>
      </c>
      <c r="J259" s="112">
        <v>6453</v>
      </c>
      <c r="K259" s="87">
        <v>0</v>
      </c>
      <c r="L259" s="862">
        <v>614</v>
      </c>
      <c r="M259" s="863" t="s">
        <v>7808</v>
      </c>
      <c r="N259" s="864">
        <v>545</v>
      </c>
      <c r="O259" s="863" t="s">
        <v>7913</v>
      </c>
      <c r="Q259" s="113"/>
      <c r="R259" s="113"/>
      <c r="S259" s="113"/>
      <c r="T259" s="113"/>
      <c r="U259" s="87">
        <v>1</v>
      </c>
      <c r="V259" s="87">
        <v>1</v>
      </c>
      <c r="W259" s="114">
        <v>5</v>
      </c>
      <c r="Z259" s="21">
        <f>VLOOKUP(G259,Sheet2!A:H,8,0)</f>
        <v>680672</v>
      </c>
      <c r="AB259" s="115"/>
      <c r="AC259" s="23">
        <f>VLOOKUP(G259,Sheet2!A$2:K$151,9,FALSE)</f>
        <v>1147</v>
      </c>
      <c r="AF259" s="117" t="s">
        <v>7914</v>
      </c>
      <c r="AG259" s="117" t="s">
        <v>7915</v>
      </c>
      <c r="AH259" s="117" t="s">
        <v>7916</v>
      </c>
      <c r="AI259" s="117"/>
      <c r="AJ259" s="117" t="s">
        <v>7917</v>
      </c>
      <c r="AL259" s="112">
        <v>0</v>
      </c>
      <c r="AM259" s="96" t="s">
        <v>8859</v>
      </c>
      <c r="AN259" s="87" t="s">
        <v>8860</v>
      </c>
      <c r="AP259" s="87">
        <v>1</v>
      </c>
      <c r="AQ259" s="87">
        <v>0</v>
      </c>
      <c r="AR259" s="87">
        <v>1</v>
      </c>
      <c r="AS259" s="87">
        <v>1</v>
      </c>
      <c r="AU259" s="87">
        <v>0</v>
      </c>
      <c r="AV259" s="17">
        <f t="shared" si="77"/>
        <v>1</v>
      </c>
      <c r="AW259" s="87" t="str">
        <f t="shared" si="76"/>
        <v>{s_taskTalk,{614,545}}</v>
      </c>
    </row>
    <row r="260" spans="1:49" s="87" customFormat="1" ht="72" x14ac:dyDescent="0.15">
      <c r="A260" s="111">
        <v>6455</v>
      </c>
      <c r="C260" s="96" t="s">
        <v>7918</v>
      </c>
      <c r="D260" s="87">
        <v>1</v>
      </c>
      <c r="E260" s="87">
        <v>0</v>
      </c>
      <c r="F260" s="87">
        <v>3</v>
      </c>
      <c r="G260" s="112">
        <v>78</v>
      </c>
      <c r="H260" s="87">
        <v>200</v>
      </c>
      <c r="I260" s="17">
        <v>0</v>
      </c>
      <c r="J260" s="112">
        <v>6454</v>
      </c>
      <c r="K260" s="87">
        <v>0</v>
      </c>
      <c r="L260" s="864">
        <v>545</v>
      </c>
      <c r="M260" s="863" t="s">
        <v>7913</v>
      </c>
      <c r="N260" s="864">
        <v>545</v>
      </c>
      <c r="O260" s="863" t="s">
        <v>7913</v>
      </c>
      <c r="Q260" s="113"/>
      <c r="R260" s="113"/>
      <c r="S260" s="113">
        <v>10030</v>
      </c>
      <c r="T260" s="113"/>
      <c r="U260" s="87">
        <v>80</v>
      </c>
      <c r="V260" s="87">
        <v>0</v>
      </c>
      <c r="W260" s="114">
        <v>5</v>
      </c>
      <c r="Z260" s="21">
        <f>VLOOKUP(G260,Sheet2!A:H,8,0)</f>
        <v>693877</v>
      </c>
      <c r="AB260" s="115"/>
      <c r="AC260" s="23">
        <f>VLOOKUP(G260,Sheet2!A$2:K$151,9,FALSE)</f>
        <v>1160</v>
      </c>
      <c r="AF260" s="117" t="s">
        <v>7919</v>
      </c>
      <c r="AG260" s="117" t="s">
        <v>7920</v>
      </c>
      <c r="AH260" s="117" t="s">
        <v>7921</v>
      </c>
      <c r="AI260" s="117"/>
      <c r="AJ260" s="117" t="s">
        <v>7922</v>
      </c>
      <c r="AL260" s="112">
        <v>0</v>
      </c>
      <c r="AM260" s="96" t="s">
        <v>8861</v>
      </c>
      <c r="AN260" s="87" t="s">
        <v>8862</v>
      </c>
      <c r="AP260" s="87">
        <v>1</v>
      </c>
      <c r="AQ260" s="87">
        <v>0</v>
      </c>
      <c r="AR260" s="87">
        <v>1</v>
      </c>
      <c r="AS260" s="87">
        <v>1</v>
      </c>
      <c r="AU260" s="87">
        <v>0</v>
      </c>
      <c r="AV260" s="17">
        <f t="shared" si="77"/>
        <v>1</v>
      </c>
      <c r="AW260" s="87" t="str">
        <f>"{s_taskKillNpc, {"&amp;L260&amp;","&amp;N260&amp;","&amp;S260&amp;","&amp;U260&amp;"}}"</f>
        <v>{s_taskKillNpc, {545,545,10030,80}}</v>
      </c>
    </row>
    <row r="261" spans="1:49" s="87" customFormat="1" ht="72" x14ac:dyDescent="0.15">
      <c r="A261" s="111">
        <v>6456</v>
      </c>
      <c r="C261" s="87" t="s">
        <v>7923</v>
      </c>
      <c r="D261" s="87">
        <v>1</v>
      </c>
      <c r="E261" s="87">
        <v>0</v>
      </c>
      <c r="F261" s="87">
        <v>3</v>
      </c>
      <c r="G261" s="112">
        <v>78</v>
      </c>
      <c r="H261" s="87">
        <v>200</v>
      </c>
      <c r="I261" s="17">
        <v>0</v>
      </c>
      <c r="J261" s="112">
        <v>6455</v>
      </c>
      <c r="K261" s="87">
        <v>0</v>
      </c>
      <c r="L261" s="864">
        <v>545</v>
      </c>
      <c r="M261" s="863" t="s">
        <v>7913</v>
      </c>
      <c r="N261" s="862">
        <v>617</v>
      </c>
      <c r="O261" s="863" t="s">
        <v>7924</v>
      </c>
      <c r="Q261" s="113"/>
      <c r="R261" s="113"/>
      <c r="S261" s="113"/>
      <c r="T261" s="113"/>
      <c r="U261" s="87">
        <v>1</v>
      </c>
      <c r="V261" s="87">
        <v>1</v>
      </c>
      <c r="W261" s="114">
        <v>5</v>
      </c>
      <c r="Z261" s="21">
        <f>VLOOKUP(G261,Sheet2!A:H,8,0)</f>
        <v>693877</v>
      </c>
      <c r="AB261" s="115"/>
      <c r="AC261" s="23">
        <f>VLOOKUP(G261,Sheet2!A$2:K$151,9,FALSE)</f>
        <v>1160</v>
      </c>
      <c r="AF261" s="117" t="s">
        <v>7925</v>
      </c>
      <c r="AG261" s="117" t="s">
        <v>7926</v>
      </c>
      <c r="AH261" s="117" t="s">
        <v>7927</v>
      </c>
      <c r="AI261" s="117"/>
      <c r="AJ261" s="117" t="s">
        <v>7928</v>
      </c>
      <c r="AL261" s="112">
        <v>0</v>
      </c>
      <c r="AM261" s="96" t="s">
        <v>8863</v>
      </c>
      <c r="AN261" s="87" t="s">
        <v>8864</v>
      </c>
      <c r="AP261" s="87">
        <v>1</v>
      </c>
      <c r="AQ261" s="87">
        <v>0</v>
      </c>
      <c r="AR261" s="87">
        <v>1</v>
      </c>
      <c r="AS261" s="87">
        <v>1</v>
      </c>
      <c r="AU261" s="87">
        <v>0</v>
      </c>
      <c r="AV261" s="17">
        <f t="shared" si="77"/>
        <v>1</v>
      </c>
      <c r="AW261" s="87" t="str">
        <f t="shared" si="76"/>
        <v>{s_taskTalk,{545,617}}</v>
      </c>
    </row>
    <row r="262" spans="1:49" s="87" customFormat="1" ht="72" x14ac:dyDescent="0.15">
      <c r="A262" s="111">
        <v>6457</v>
      </c>
      <c r="C262" s="87" t="s">
        <v>7929</v>
      </c>
      <c r="D262" s="87">
        <v>1</v>
      </c>
      <c r="E262" s="87">
        <v>0</v>
      </c>
      <c r="F262" s="87">
        <v>3</v>
      </c>
      <c r="G262" s="112">
        <v>78</v>
      </c>
      <c r="H262" s="87">
        <v>200</v>
      </c>
      <c r="I262" s="17">
        <v>0</v>
      </c>
      <c r="J262" s="112">
        <v>6456</v>
      </c>
      <c r="K262" s="87">
        <v>0</v>
      </c>
      <c r="L262" s="862">
        <v>617</v>
      </c>
      <c r="M262" s="863" t="s">
        <v>7924</v>
      </c>
      <c r="N262" s="864">
        <v>545</v>
      </c>
      <c r="O262" s="863" t="s">
        <v>7913</v>
      </c>
      <c r="Q262" s="113"/>
      <c r="R262" s="113"/>
      <c r="S262" s="113"/>
      <c r="T262" s="113"/>
      <c r="U262" s="87">
        <v>1</v>
      </c>
      <c r="V262" s="87">
        <v>1</v>
      </c>
      <c r="W262" s="114">
        <v>5</v>
      </c>
      <c r="Z262" s="21">
        <f>VLOOKUP(G262,Sheet2!A:H,8,0)</f>
        <v>693877</v>
      </c>
      <c r="AB262" s="115"/>
      <c r="AC262" s="23">
        <f>VLOOKUP(G262,Sheet2!A$2:K$151,9,FALSE)</f>
        <v>1160</v>
      </c>
      <c r="AF262" s="117" t="s">
        <v>7930</v>
      </c>
      <c r="AG262" s="117" t="s">
        <v>7931</v>
      </c>
      <c r="AH262" s="117" t="s">
        <v>7932</v>
      </c>
      <c r="AI262" s="117"/>
      <c r="AJ262" s="117" t="s">
        <v>7933</v>
      </c>
      <c r="AL262" s="112">
        <v>0</v>
      </c>
      <c r="AM262" s="96" t="s">
        <v>8865</v>
      </c>
      <c r="AN262" s="87" t="s">
        <v>8866</v>
      </c>
      <c r="AP262" s="87">
        <v>1</v>
      </c>
      <c r="AQ262" s="87">
        <v>0</v>
      </c>
      <c r="AR262" s="87">
        <v>1</v>
      </c>
      <c r="AS262" s="87">
        <v>1</v>
      </c>
      <c r="AU262" s="87">
        <v>0</v>
      </c>
      <c r="AV262" s="17">
        <f t="shared" si="77"/>
        <v>1</v>
      </c>
      <c r="AW262" s="87" t="str">
        <f t="shared" si="76"/>
        <v>{s_taskTalk,{617,545}}</v>
      </c>
    </row>
    <row r="263" spans="1:49" s="87" customFormat="1" ht="72" x14ac:dyDescent="0.15">
      <c r="A263" s="111">
        <v>6458</v>
      </c>
      <c r="C263" s="96" t="s">
        <v>7934</v>
      </c>
      <c r="D263" s="87">
        <v>1</v>
      </c>
      <c r="E263" s="87">
        <v>0</v>
      </c>
      <c r="F263" s="87">
        <v>3</v>
      </c>
      <c r="G263" s="112">
        <v>79</v>
      </c>
      <c r="H263" s="87">
        <v>200</v>
      </c>
      <c r="I263" s="17">
        <v>0</v>
      </c>
      <c r="J263" s="112">
        <v>6457</v>
      </c>
      <c r="K263" s="87">
        <v>0</v>
      </c>
      <c r="L263" s="864">
        <v>545</v>
      </c>
      <c r="M263" s="863" t="s">
        <v>7913</v>
      </c>
      <c r="N263" s="864">
        <v>545</v>
      </c>
      <c r="O263" s="863" t="s">
        <v>7913</v>
      </c>
      <c r="Q263" s="113"/>
      <c r="R263" s="113"/>
      <c r="S263" s="113">
        <v>10031</v>
      </c>
      <c r="T263" s="113"/>
      <c r="U263" s="87">
        <v>80</v>
      </c>
      <c r="V263" s="87">
        <v>0</v>
      </c>
      <c r="W263" s="114">
        <v>5</v>
      </c>
      <c r="Z263" s="21">
        <f>VLOOKUP(G263,Sheet2!A:H,8,0)</f>
        <v>707167</v>
      </c>
      <c r="AB263" s="115"/>
      <c r="AC263" s="23">
        <f>VLOOKUP(G263,Sheet2!A$2:K$151,9,FALSE)</f>
        <v>1173</v>
      </c>
      <c r="AF263" s="117" t="s">
        <v>8122</v>
      </c>
      <c r="AG263" s="117" t="s">
        <v>7935</v>
      </c>
      <c r="AH263" s="117" t="s">
        <v>7936</v>
      </c>
      <c r="AI263" s="117"/>
      <c r="AJ263" s="117" t="s">
        <v>7937</v>
      </c>
      <c r="AL263" s="112">
        <v>0</v>
      </c>
      <c r="AM263" s="96" t="s">
        <v>8867</v>
      </c>
      <c r="AN263" s="87" t="s">
        <v>8868</v>
      </c>
      <c r="AP263" s="87">
        <v>1</v>
      </c>
      <c r="AQ263" s="87">
        <v>0</v>
      </c>
      <c r="AR263" s="87">
        <v>1</v>
      </c>
      <c r="AS263" s="87">
        <v>1</v>
      </c>
      <c r="AU263" s="87">
        <v>0</v>
      </c>
      <c r="AV263" s="17">
        <f t="shared" si="77"/>
        <v>1</v>
      </c>
      <c r="AW263" s="87" t="str">
        <f>"{s_taskKillNpc, {"&amp;L263&amp;","&amp;N263&amp;","&amp;S263&amp;","&amp;U263&amp;"}}"</f>
        <v>{s_taskKillNpc, {545,545,10031,80}}</v>
      </c>
    </row>
    <row r="264" spans="1:49" s="87" customFormat="1" ht="72" x14ac:dyDescent="0.15">
      <c r="A264" s="111">
        <v>6459</v>
      </c>
      <c r="C264" s="87" t="s">
        <v>7938</v>
      </c>
      <c r="D264" s="87">
        <v>1</v>
      </c>
      <c r="E264" s="87">
        <v>0</v>
      </c>
      <c r="F264" s="87">
        <v>3</v>
      </c>
      <c r="G264" s="112">
        <v>79</v>
      </c>
      <c r="H264" s="87">
        <v>200</v>
      </c>
      <c r="I264" s="17">
        <v>0</v>
      </c>
      <c r="J264" s="112">
        <v>6458</v>
      </c>
      <c r="K264" s="87">
        <v>0</v>
      </c>
      <c r="L264" s="864">
        <v>545</v>
      </c>
      <c r="M264" s="863" t="s">
        <v>7913</v>
      </c>
      <c r="N264" s="864">
        <v>545</v>
      </c>
      <c r="O264" s="863" t="s">
        <v>7913</v>
      </c>
      <c r="Q264" s="113"/>
      <c r="R264" s="113"/>
      <c r="S264" s="113"/>
      <c r="T264" s="113"/>
      <c r="U264" s="87">
        <v>1</v>
      </c>
      <c r="V264" s="87">
        <v>1</v>
      </c>
      <c r="W264" s="114">
        <v>5</v>
      </c>
      <c r="Z264" s="21">
        <f>VLOOKUP(G264,Sheet2!A:H,8,0)</f>
        <v>707167</v>
      </c>
      <c r="AB264" s="115"/>
      <c r="AC264" s="23">
        <f>VLOOKUP(G264,Sheet2!A$2:K$151,9,FALSE)</f>
        <v>1173</v>
      </c>
      <c r="AF264" s="117" t="s">
        <v>7939</v>
      </c>
      <c r="AG264" s="117" t="s">
        <v>7940</v>
      </c>
      <c r="AH264" s="117" t="s">
        <v>7941</v>
      </c>
      <c r="AI264" s="117"/>
      <c r="AJ264" s="117" t="s">
        <v>7942</v>
      </c>
      <c r="AL264" s="112">
        <v>0</v>
      </c>
      <c r="AM264" s="96" t="s">
        <v>8869</v>
      </c>
      <c r="AN264" s="87" t="s">
        <v>8870</v>
      </c>
      <c r="AP264" s="87">
        <v>1</v>
      </c>
      <c r="AQ264" s="87">
        <v>0</v>
      </c>
      <c r="AR264" s="87">
        <v>1</v>
      </c>
      <c r="AS264" s="87">
        <v>1</v>
      </c>
      <c r="AU264" s="87">
        <v>0</v>
      </c>
      <c r="AV264" s="17">
        <f t="shared" si="77"/>
        <v>1</v>
      </c>
      <c r="AW264" s="87" t="str">
        <f t="shared" si="76"/>
        <v>{s_taskTalk,{545,545}}</v>
      </c>
    </row>
    <row r="265" spans="1:49" s="87" customFormat="1" ht="72" x14ac:dyDescent="0.15">
      <c r="A265" s="111">
        <v>6460</v>
      </c>
      <c r="C265" s="119" t="s">
        <v>7943</v>
      </c>
      <c r="D265" s="87">
        <v>1</v>
      </c>
      <c r="E265" s="87">
        <v>0</v>
      </c>
      <c r="F265" s="87">
        <v>3</v>
      </c>
      <c r="G265" s="112">
        <v>79</v>
      </c>
      <c r="H265" s="87">
        <v>200</v>
      </c>
      <c r="I265" s="17">
        <v>0</v>
      </c>
      <c r="J265" s="112">
        <v>6459</v>
      </c>
      <c r="K265" s="87">
        <v>0</v>
      </c>
      <c r="L265" s="864">
        <v>545</v>
      </c>
      <c r="M265" s="863" t="s">
        <v>7913</v>
      </c>
      <c r="N265" s="863">
        <v>538</v>
      </c>
      <c r="O265" s="863" t="s">
        <v>7857</v>
      </c>
      <c r="Q265" s="113"/>
      <c r="R265" s="49">
        <v>60044</v>
      </c>
      <c r="S265" s="113"/>
      <c r="T265" s="113"/>
      <c r="U265" s="87">
        <v>1</v>
      </c>
      <c r="V265" s="87">
        <v>1</v>
      </c>
      <c r="W265" s="114">
        <v>5</v>
      </c>
      <c r="Z265" s="21">
        <f>VLOOKUP(G265,Sheet2!A:H,8,0)</f>
        <v>707167</v>
      </c>
      <c r="AB265" s="115"/>
      <c r="AC265" s="23">
        <f>VLOOKUP(G265,Sheet2!A$2:K$151,9,FALSE)</f>
        <v>1173</v>
      </c>
      <c r="AF265" s="117" t="s">
        <v>7944</v>
      </c>
      <c r="AG265" s="117" t="s">
        <v>7945</v>
      </c>
      <c r="AH265" s="117" t="s">
        <v>7946</v>
      </c>
      <c r="AI265" s="117"/>
      <c r="AJ265" s="117" t="s">
        <v>7947</v>
      </c>
      <c r="AL265" s="112">
        <v>0</v>
      </c>
      <c r="AM265" s="96" t="s">
        <v>8871</v>
      </c>
      <c r="AN265" s="87" t="s">
        <v>8872</v>
      </c>
      <c r="AP265" s="87">
        <v>1</v>
      </c>
      <c r="AQ265" s="87">
        <v>0</v>
      </c>
      <c r="AR265" s="87">
        <v>1</v>
      </c>
      <c r="AS265" s="87">
        <v>1</v>
      </c>
      <c r="AU265" s="87">
        <v>0</v>
      </c>
      <c r="AV265" s="17">
        <f t="shared" si="77"/>
        <v>1</v>
      </c>
      <c r="AW265" s="50" t="str">
        <f>"{s_taskGuard,{"&amp;L265&amp;","&amp;N265&amp;","&amp;R265&amp;"}}"</f>
        <v>{s_taskGuard,{545,538,60044}}</v>
      </c>
    </row>
    <row r="266" spans="1:49" s="87" customFormat="1" ht="72" x14ac:dyDescent="0.15">
      <c r="A266" s="111">
        <v>6461</v>
      </c>
      <c r="C266" s="87" t="s">
        <v>7952</v>
      </c>
      <c r="D266" s="87">
        <v>1</v>
      </c>
      <c r="E266" s="87">
        <v>0</v>
      </c>
      <c r="F266" s="87">
        <v>3</v>
      </c>
      <c r="G266" s="112">
        <v>80</v>
      </c>
      <c r="H266" s="87">
        <v>200</v>
      </c>
      <c r="I266" s="17">
        <v>0</v>
      </c>
      <c r="J266" s="112">
        <v>6460</v>
      </c>
      <c r="K266" s="87">
        <v>0</v>
      </c>
      <c r="L266" s="863">
        <v>538</v>
      </c>
      <c r="M266" s="863" t="s">
        <v>7953</v>
      </c>
      <c r="N266" s="863">
        <v>538</v>
      </c>
      <c r="O266" s="863" t="s">
        <v>7953</v>
      </c>
      <c r="Q266" s="113"/>
      <c r="R266" s="113"/>
      <c r="S266" s="113"/>
      <c r="T266" s="113"/>
      <c r="U266" s="87">
        <v>1</v>
      </c>
      <c r="V266" s="87">
        <v>1</v>
      </c>
      <c r="W266" s="114">
        <v>5</v>
      </c>
      <c r="Z266" s="21">
        <f>VLOOKUP(G266,Sheet2!A:H,8,0)</f>
        <v>720541</v>
      </c>
      <c r="AB266" s="115"/>
      <c r="AC266" s="23">
        <f>VLOOKUP(G266,Sheet2!A$2:K$151,9,FALSE)</f>
        <v>1187</v>
      </c>
      <c r="AF266" s="117" t="s">
        <v>7954</v>
      </c>
      <c r="AG266" s="117" t="s">
        <v>7955</v>
      </c>
      <c r="AH266" s="117" t="s">
        <v>7956</v>
      </c>
      <c r="AI266" s="117"/>
      <c r="AJ266" s="117" t="s">
        <v>7957</v>
      </c>
      <c r="AL266" s="112">
        <v>0</v>
      </c>
      <c r="AM266" s="96" t="s">
        <v>8873</v>
      </c>
      <c r="AN266" s="87" t="s">
        <v>8874</v>
      </c>
      <c r="AP266" s="87">
        <v>1</v>
      </c>
      <c r="AQ266" s="87">
        <v>0</v>
      </c>
      <c r="AR266" s="87">
        <v>1</v>
      </c>
      <c r="AS266" s="87">
        <v>1</v>
      </c>
      <c r="AU266" s="87">
        <v>0</v>
      </c>
      <c r="AV266" s="17">
        <f t="shared" si="77"/>
        <v>1</v>
      </c>
      <c r="AW266" s="87" t="str">
        <f t="shared" ref="AW266:AW294" si="78">"{s_taskTalk,{"&amp;L266&amp;","&amp;N266&amp;"}}"</f>
        <v>{s_taskTalk,{538,538}}</v>
      </c>
    </row>
    <row r="267" spans="1:49" s="87" customFormat="1" ht="72" x14ac:dyDescent="0.15">
      <c r="A267" s="111">
        <v>6462</v>
      </c>
      <c r="C267" s="87" t="s">
        <v>7958</v>
      </c>
      <c r="D267" s="87">
        <v>1</v>
      </c>
      <c r="E267" s="87">
        <v>0</v>
      </c>
      <c r="F267" s="87">
        <v>3</v>
      </c>
      <c r="G267" s="112">
        <v>80</v>
      </c>
      <c r="H267" s="87">
        <v>200</v>
      </c>
      <c r="I267" s="17">
        <v>0</v>
      </c>
      <c r="J267" s="112">
        <v>6461</v>
      </c>
      <c r="K267" s="87">
        <v>0</v>
      </c>
      <c r="L267" s="863">
        <v>538</v>
      </c>
      <c r="M267" s="863" t="s">
        <v>7959</v>
      </c>
      <c r="N267" s="864">
        <v>545</v>
      </c>
      <c r="O267" s="863" t="s">
        <v>7960</v>
      </c>
      <c r="Q267" s="113">
        <v>2050</v>
      </c>
      <c r="R267" s="113"/>
      <c r="S267" s="113"/>
      <c r="T267" s="113"/>
      <c r="U267" s="87">
        <v>10</v>
      </c>
      <c r="V267" s="87">
        <v>0</v>
      </c>
      <c r="W267" s="114">
        <v>5</v>
      </c>
      <c r="Z267" s="21">
        <f>VLOOKUP(G267,Sheet2!A:H,8,0)</f>
        <v>720541</v>
      </c>
      <c r="AB267" s="115"/>
      <c r="AC267" s="23">
        <f>VLOOKUP(G267,Sheet2!A$2:K$151,9,FALSE)</f>
        <v>1187</v>
      </c>
      <c r="AF267" s="117" t="s">
        <v>7961</v>
      </c>
      <c r="AG267" s="117" t="s">
        <v>7962</v>
      </c>
      <c r="AH267" s="117" t="s">
        <v>7963</v>
      </c>
      <c r="AI267" s="117"/>
      <c r="AJ267" s="117" t="s">
        <v>7964</v>
      </c>
      <c r="AL267" s="112">
        <v>0</v>
      </c>
      <c r="AM267" s="96" t="s">
        <v>8875</v>
      </c>
      <c r="AN267" s="87" t="s">
        <v>8876</v>
      </c>
      <c r="AO267" s="32" t="s">
        <v>7965</v>
      </c>
      <c r="AP267" s="87">
        <v>1</v>
      </c>
      <c r="AQ267" s="87">
        <v>0</v>
      </c>
      <c r="AR267" s="87">
        <v>1</v>
      </c>
      <c r="AS267" s="87">
        <v>1</v>
      </c>
      <c r="AU267" s="87">
        <v>0</v>
      </c>
      <c r="AV267" s="17">
        <f t="shared" si="77"/>
        <v>1</v>
      </c>
      <c r="AW267" s="87" t="str">
        <f t="shared" si="78"/>
        <v>{s_taskTalk,{538,545}}</v>
      </c>
    </row>
    <row r="268" spans="1:49" s="87" customFormat="1" ht="72" x14ac:dyDescent="0.15">
      <c r="A268" s="111">
        <v>6463</v>
      </c>
      <c r="C268" s="87" t="s">
        <v>7966</v>
      </c>
      <c r="D268" s="87">
        <v>1</v>
      </c>
      <c r="E268" s="87">
        <v>0</v>
      </c>
      <c r="F268" s="87">
        <v>3</v>
      </c>
      <c r="G268" s="112">
        <v>80</v>
      </c>
      <c r="H268" s="87">
        <v>200</v>
      </c>
      <c r="I268" s="17">
        <v>0</v>
      </c>
      <c r="J268" s="112">
        <v>6462</v>
      </c>
      <c r="K268" s="87">
        <v>0</v>
      </c>
      <c r="L268" s="862">
        <v>614</v>
      </c>
      <c r="M268" s="863" t="s">
        <v>7967</v>
      </c>
      <c r="N268" s="862">
        <v>618</v>
      </c>
      <c r="O268" s="863" t="s">
        <v>7968</v>
      </c>
      <c r="Q268" s="113"/>
      <c r="R268" s="113"/>
      <c r="S268" s="113"/>
      <c r="T268" s="113"/>
      <c r="U268" s="87">
        <v>1</v>
      </c>
      <c r="V268" s="87">
        <v>1</v>
      </c>
      <c r="W268" s="114">
        <v>5</v>
      </c>
      <c r="Z268" s="21">
        <f>VLOOKUP(G268,Sheet2!A:H,8,0)</f>
        <v>720541</v>
      </c>
      <c r="AB268" s="115"/>
      <c r="AC268" s="23">
        <f>VLOOKUP(G268,Sheet2!A$2:K$151,9,FALSE)</f>
        <v>1187</v>
      </c>
      <c r="AF268" s="117" t="s">
        <v>8123</v>
      </c>
      <c r="AG268" s="117" t="s">
        <v>7969</v>
      </c>
      <c r="AH268" s="117" t="s">
        <v>7970</v>
      </c>
      <c r="AI268" s="117"/>
      <c r="AJ268" s="117" t="s">
        <v>7971</v>
      </c>
      <c r="AL268" s="112">
        <v>0</v>
      </c>
      <c r="AM268" s="96" t="s">
        <v>8877</v>
      </c>
      <c r="AN268" s="87" t="s">
        <v>8878</v>
      </c>
      <c r="AP268" s="87">
        <v>1</v>
      </c>
      <c r="AQ268" s="87">
        <v>0</v>
      </c>
      <c r="AR268" s="87">
        <v>1</v>
      </c>
      <c r="AS268" s="87">
        <v>1</v>
      </c>
      <c r="AU268" s="87">
        <v>0</v>
      </c>
      <c r="AV268" s="17">
        <f t="shared" si="77"/>
        <v>1</v>
      </c>
      <c r="AW268" s="87" t="str">
        <f t="shared" si="78"/>
        <v>{s_taskTalk,{614,618}}</v>
      </c>
    </row>
    <row r="269" spans="1:49" s="87" customFormat="1" ht="72" x14ac:dyDescent="0.15">
      <c r="A269" s="111">
        <v>6464</v>
      </c>
      <c r="C269" s="87" t="s">
        <v>7972</v>
      </c>
      <c r="D269" s="87">
        <v>1</v>
      </c>
      <c r="E269" s="87">
        <v>0</v>
      </c>
      <c r="F269" s="87">
        <v>5</v>
      </c>
      <c r="G269" s="112">
        <v>81</v>
      </c>
      <c r="H269" s="87">
        <v>200</v>
      </c>
      <c r="I269" s="17">
        <v>0</v>
      </c>
      <c r="J269" s="112">
        <v>6463</v>
      </c>
      <c r="K269" s="87">
        <v>0</v>
      </c>
      <c r="L269" s="87">
        <v>60559</v>
      </c>
      <c r="M269" s="87" t="s">
        <v>7973</v>
      </c>
      <c r="N269" s="865">
        <v>621</v>
      </c>
      <c r="O269" s="866" t="s">
        <v>7974</v>
      </c>
      <c r="Q269" s="113">
        <v>2051</v>
      </c>
      <c r="R269" s="113"/>
      <c r="S269" s="113"/>
      <c r="T269" s="113"/>
      <c r="U269" s="87">
        <v>1</v>
      </c>
      <c r="V269" s="87">
        <v>0</v>
      </c>
      <c r="W269" s="114">
        <v>5</v>
      </c>
      <c r="Z269" s="21">
        <f>VLOOKUP(G269,Sheet2!A:H,8,0)</f>
        <v>1101000</v>
      </c>
      <c r="AB269" s="115"/>
      <c r="AC269" s="23">
        <f>VLOOKUP(G269,Sheet2!A$2:K$151,9,FALSE)</f>
        <v>1800</v>
      </c>
      <c r="AF269" s="117" t="s">
        <v>8152</v>
      </c>
      <c r="AG269" s="117" t="s">
        <v>7975</v>
      </c>
      <c r="AH269" s="117" t="s">
        <v>7976</v>
      </c>
      <c r="AI269" s="117"/>
      <c r="AJ269" s="117" t="s">
        <v>7977</v>
      </c>
      <c r="AL269" s="112">
        <v>0</v>
      </c>
      <c r="AM269" s="96" t="s">
        <v>8879</v>
      </c>
      <c r="AN269" s="87" t="s">
        <v>8880</v>
      </c>
      <c r="AO269" s="32"/>
      <c r="AP269" s="87">
        <v>1</v>
      </c>
      <c r="AQ269" s="87">
        <v>0</v>
      </c>
      <c r="AR269" s="87">
        <v>1</v>
      </c>
      <c r="AS269" s="87">
        <v>1</v>
      </c>
      <c r="AU269" s="87">
        <v>0</v>
      </c>
      <c r="AV269" s="17">
        <f t="shared" si="77"/>
        <v>1</v>
      </c>
      <c r="AW269" s="87" t="str">
        <f>"{s_taskTalk,{"&amp;L269&amp;","&amp;N269&amp;"}}"</f>
        <v>{s_taskTalk,{60559,621}}</v>
      </c>
    </row>
    <row r="270" spans="1:49" s="87" customFormat="1" ht="72" x14ac:dyDescent="0.15">
      <c r="A270" s="111">
        <v>6465</v>
      </c>
      <c r="C270" s="87" t="s">
        <v>7978</v>
      </c>
      <c r="D270" s="87">
        <v>1</v>
      </c>
      <c r="E270" s="87">
        <v>0</v>
      </c>
      <c r="F270" s="87">
        <v>7</v>
      </c>
      <c r="G270" s="112">
        <v>81</v>
      </c>
      <c r="H270" s="87">
        <v>200</v>
      </c>
      <c r="I270" s="17">
        <v>0</v>
      </c>
      <c r="J270" s="112">
        <v>6464</v>
      </c>
      <c r="K270" s="87">
        <v>0</v>
      </c>
      <c r="L270" s="865">
        <v>621</v>
      </c>
      <c r="M270" s="866" t="s">
        <v>7974</v>
      </c>
      <c r="N270" s="865">
        <v>622</v>
      </c>
      <c r="O270" s="865" t="s">
        <v>7979</v>
      </c>
      <c r="Q270" s="113"/>
      <c r="R270" s="113"/>
      <c r="S270" s="113"/>
      <c r="T270" s="113"/>
      <c r="U270" s="87">
        <v>1</v>
      </c>
      <c r="V270" s="87">
        <v>1</v>
      </c>
      <c r="W270" s="114">
        <v>5</v>
      </c>
      <c r="Z270" s="21">
        <f>VLOOKUP(G270,Sheet2!A:H,8,0)</f>
        <v>1101000</v>
      </c>
      <c r="AB270" s="115"/>
      <c r="AC270" s="23">
        <f>VLOOKUP(G270,Sheet2!A$2:K$151,9,FALSE)</f>
        <v>1800</v>
      </c>
      <c r="AF270" s="117" t="s">
        <v>7980</v>
      </c>
      <c r="AG270" s="117" t="s">
        <v>7981</v>
      </c>
      <c r="AH270" s="117" t="s">
        <v>7982</v>
      </c>
      <c r="AI270" s="117"/>
      <c r="AJ270" s="117" t="s">
        <v>7983</v>
      </c>
      <c r="AL270" s="112">
        <v>0</v>
      </c>
      <c r="AM270" s="96" t="s">
        <v>8881</v>
      </c>
      <c r="AN270" s="87" t="s">
        <v>8882</v>
      </c>
      <c r="AP270" s="87">
        <v>1</v>
      </c>
      <c r="AQ270" s="87">
        <v>0</v>
      </c>
      <c r="AR270" s="87">
        <v>1</v>
      </c>
      <c r="AS270" s="87">
        <v>1</v>
      </c>
      <c r="AU270" s="87">
        <v>0</v>
      </c>
      <c r="AV270" s="17">
        <f t="shared" si="77"/>
        <v>1</v>
      </c>
      <c r="AW270" s="87" t="str">
        <f t="shared" si="78"/>
        <v>{s_taskTalk,{621,622}}</v>
      </c>
    </row>
    <row r="271" spans="1:49" s="87" customFormat="1" ht="72" x14ac:dyDescent="0.15">
      <c r="A271" s="111">
        <v>6466</v>
      </c>
      <c r="C271" s="87" t="s">
        <v>7984</v>
      </c>
      <c r="D271" s="87">
        <v>1</v>
      </c>
      <c r="E271" s="87">
        <v>0</v>
      </c>
      <c r="F271" s="87">
        <v>7</v>
      </c>
      <c r="G271" s="112">
        <v>82</v>
      </c>
      <c r="H271" s="87">
        <v>200</v>
      </c>
      <c r="I271" s="17">
        <v>0</v>
      </c>
      <c r="J271" s="112">
        <v>6465</v>
      </c>
      <c r="K271" s="87">
        <v>0</v>
      </c>
      <c r="L271" s="865">
        <v>622</v>
      </c>
      <c r="M271" s="865" t="s">
        <v>7979</v>
      </c>
      <c r="N271" s="865">
        <v>622</v>
      </c>
      <c r="O271" s="865" t="s">
        <v>7979</v>
      </c>
      <c r="Q271" s="113"/>
      <c r="R271" s="113"/>
      <c r="S271" s="113"/>
      <c r="T271" s="113"/>
      <c r="U271" s="87">
        <v>1</v>
      </c>
      <c r="V271" s="87">
        <v>1</v>
      </c>
      <c r="W271" s="114">
        <v>5</v>
      </c>
      <c r="Z271" s="21">
        <f>VLOOKUP(G271,Sheet2!A:H,8,0)</f>
        <v>747541</v>
      </c>
      <c r="AB271" s="115"/>
      <c r="AC271" s="23">
        <f>VLOOKUP(G271,Sheet2!A$2:K$151,9,FALSE)</f>
        <v>1213</v>
      </c>
      <c r="AF271" s="117" t="s">
        <v>7985</v>
      </c>
      <c r="AG271" s="117" t="s">
        <v>7986</v>
      </c>
      <c r="AH271" s="117" t="s">
        <v>7987</v>
      </c>
      <c r="AI271" s="117"/>
      <c r="AJ271" s="117" t="s">
        <v>7988</v>
      </c>
      <c r="AL271" s="112">
        <v>0</v>
      </c>
      <c r="AM271" s="96" t="s">
        <v>8883</v>
      </c>
      <c r="AN271" s="87" t="s">
        <v>8884</v>
      </c>
      <c r="AP271" s="87">
        <v>1</v>
      </c>
      <c r="AQ271" s="87">
        <v>0</v>
      </c>
      <c r="AR271" s="87">
        <v>1</v>
      </c>
      <c r="AS271" s="87">
        <v>1</v>
      </c>
      <c r="AU271" s="87">
        <v>0</v>
      </c>
      <c r="AV271" s="17">
        <f t="shared" si="77"/>
        <v>1</v>
      </c>
      <c r="AW271" s="87" t="str">
        <f t="shared" si="78"/>
        <v>{s_taskTalk,{622,622}}</v>
      </c>
    </row>
    <row r="272" spans="1:49" s="87" customFormat="1" ht="72" x14ac:dyDescent="0.15">
      <c r="A272" s="111">
        <v>6467</v>
      </c>
      <c r="C272" s="96" t="s">
        <v>7989</v>
      </c>
      <c r="D272" s="87">
        <v>1</v>
      </c>
      <c r="E272" s="87">
        <v>0</v>
      </c>
      <c r="F272" s="87">
        <v>7</v>
      </c>
      <c r="G272" s="112">
        <v>82</v>
      </c>
      <c r="H272" s="87">
        <v>200</v>
      </c>
      <c r="I272" s="17">
        <v>0</v>
      </c>
      <c r="J272" s="112">
        <v>6466</v>
      </c>
      <c r="K272" s="87">
        <v>0</v>
      </c>
      <c r="L272" s="865">
        <v>622</v>
      </c>
      <c r="M272" s="865" t="s">
        <v>7979</v>
      </c>
      <c r="N272" s="865">
        <v>622</v>
      </c>
      <c r="O272" s="865" t="s">
        <v>7979</v>
      </c>
      <c r="Q272" s="113"/>
      <c r="R272" s="113"/>
      <c r="S272" s="113">
        <v>10032</v>
      </c>
      <c r="T272" s="113"/>
      <c r="U272" s="87">
        <v>80</v>
      </c>
      <c r="V272" s="87">
        <v>0</v>
      </c>
      <c r="W272" s="114">
        <v>5</v>
      </c>
      <c r="Z272" s="21">
        <f>VLOOKUP(G272,Sheet2!A:H,8,0)</f>
        <v>747541</v>
      </c>
      <c r="AB272" s="115"/>
      <c r="AC272" s="23">
        <f>VLOOKUP(G272,Sheet2!A$2:K$151,9,FALSE)</f>
        <v>1213</v>
      </c>
      <c r="AF272" s="117" t="s">
        <v>8153</v>
      </c>
      <c r="AG272" s="117" t="s">
        <v>7990</v>
      </c>
      <c r="AH272" s="117" t="s">
        <v>7991</v>
      </c>
      <c r="AI272" s="117"/>
      <c r="AJ272" s="117" t="s">
        <v>8127</v>
      </c>
      <c r="AL272" s="112">
        <v>0</v>
      </c>
      <c r="AM272" s="96" t="s">
        <v>8885</v>
      </c>
      <c r="AN272" s="87" t="s">
        <v>8886</v>
      </c>
      <c r="AP272" s="87">
        <v>1</v>
      </c>
      <c r="AQ272" s="87">
        <v>0</v>
      </c>
      <c r="AR272" s="87">
        <v>1</v>
      </c>
      <c r="AS272" s="87">
        <v>1</v>
      </c>
      <c r="AU272" s="87">
        <v>0</v>
      </c>
      <c r="AV272" s="17">
        <f t="shared" si="77"/>
        <v>1</v>
      </c>
      <c r="AW272" s="87" t="str">
        <f>"{s_taskKillNpc, {"&amp;L272&amp;","&amp;N272&amp;","&amp;S272&amp;","&amp;U272&amp;"}}"</f>
        <v>{s_taskKillNpc, {622,622,10032,80}}</v>
      </c>
    </row>
    <row r="273" spans="1:49" s="87" customFormat="1" ht="72" x14ac:dyDescent="0.15">
      <c r="A273" s="111">
        <v>6468</v>
      </c>
      <c r="C273" s="87" t="s">
        <v>7992</v>
      </c>
      <c r="D273" s="87">
        <v>1</v>
      </c>
      <c r="E273" s="87">
        <v>0</v>
      </c>
      <c r="F273" s="87">
        <v>7</v>
      </c>
      <c r="G273" s="112">
        <v>82</v>
      </c>
      <c r="H273" s="87">
        <v>200</v>
      </c>
      <c r="I273" s="17">
        <v>0</v>
      </c>
      <c r="J273" s="112">
        <v>6467</v>
      </c>
      <c r="K273" s="87">
        <v>0</v>
      </c>
      <c r="L273" s="865">
        <v>622</v>
      </c>
      <c r="M273" s="865" t="s">
        <v>7979</v>
      </c>
      <c r="N273" s="865">
        <v>622</v>
      </c>
      <c r="O273" s="865" t="s">
        <v>7979</v>
      </c>
      <c r="Q273" s="113"/>
      <c r="R273" s="113"/>
      <c r="S273" s="113"/>
      <c r="T273" s="113"/>
      <c r="U273" s="87">
        <v>1</v>
      </c>
      <c r="V273" s="87">
        <v>1</v>
      </c>
      <c r="W273" s="114">
        <v>5</v>
      </c>
      <c r="Z273" s="21">
        <f>VLOOKUP(G273,Sheet2!A:H,8,0)</f>
        <v>747541</v>
      </c>
      <c r="AB273" s="115"/>
      <c r="AC273" s="23">
        <f>VLOOKUP(G273,Sheet2!A$2:K$151,9,FALSE)</f>
        <v>1213</v>
      </c>
      <c r="AF273" s="117" t="s">
        <v>7993</v>
      </c>
      <c r="AG273" s="117" t="s">
        <v>7994</v>
      </c>
      <c r="AH273" s="117" t="s">
        <v>7995</v>
      </c>
      <c r="AI273" s="117"/>
      <c r="AJ273" s="117" t="s">
        <v>7996</v>
      </c>
      <c r="AL273" s="112">
        <v>0</v>
      </c>
      <c r="AM273" s="96" t="s">
        <v>8887</v>
      </c>
      <c r="AN273" s="87" t="s">
        <v>8888</v>
      </c>
      <c r="AP273" s="87">
        <v>1</v>
      </c>
      <c r="AQ273" s="87">
        <v>0</v>
      </c>
      <c r="AR273" s="87">
        <v>1</v>
      </c>
      <c r="AS273" s="87">
        <v>1</v>
      </c>
      <c r="AU273" s="87">
        <v>0</v>
      </c>
      <c r="AV273" s="17">
        <f t="shared" si="77"/>
        <v>1</v>
      </c>
      <c r="AW273" s="87" t="str">
        <f t="shared" si="78"/>
        <v>{s_taskTalk,{622,622}}</v>
      </c>
    </row>
    <row r="274" spans="1:49" s="87" customFormat="1" ht="72" x14ac:dyDescent="0.15">
      <c r="A274" s="111">
        <v>6469</v>
      </c>
      <c r="C274" s="87" t="s">
        <v>7997</v>
      </c>
      <c r="D274" s="87">
        <v>1</v>
      </c>
      <c r="E274" s="87">
        <v>0</v>
      </c>
      <c r="F274" s="87">
        <v>7</v>
      </c>
      <c r="G274" s="112">
        <v>83</v>
      </c>
      <c r="H274" s="87">
        <v>200</v>
      </c>
      <c r="I274" s="17">
        <v>0</v>
      </c>
      <c r="J274" s="112">
        <v>6468</v>
      </c>
      <c r="K274" s="87">
        <v>0</v>
      </c>
      <c r="L274" s="865">
        <v>622</v>
      </c>
      <c r="M274" s="865" t="s">
        <v>7979</v>
      </c>
      <c r="N274" s="865">
        <v>623</v>
      </c>
      <c r="O274" s="867" t="s">
        <v>7998</v>
      </c>
      <c r="Q274" s="113"/>
      <c r="R274" s="113"/>
      <c r="S274" s="113"/>
      <c r="T274" s="113"/>
      <c r="U274" s="87">
        <v>1</v>
      </c>
      <c r="V274" s="87">
        <v>1</v>
      </c>
      <c r="W274" s="114">
        <v>5</v>
      </c>
      <c r="Z274" s="21">
        <f>VLOOKUP(G274,Sheet2!A:H,8,0)</f>
        <v>1141748</v>
      </c>
      <c r="AB274" s="115"/>
      <c r="AC274" s="23">
        <f>VLOOKUP(G274,Sheet2!A$2:K$151,9,FALSE)</f>
        <v>1840</v>
      </c>
      <c r="AF274" s="117" t="s">
        <v>7999</v>
      </c>
      <c r="AG274" s="117" t="s">
        <v>8000</v>
      </c>
      <c r="AH274" s="117" t="s">
        <v>8001</v>
      </c>
      <c r="AI274" s="117"/>
      <c r="AJ274" s="117" t="s">
        <v>8002</v>
      </c>
      <c r="AL274" s="112">
        <v>0</v>
      </c>
      <c r="AM274" s="96" t="s">
        <v>8889</v>
      </c>
      <c r="AN274" s="87" t="s">
        <v>8890</v>
      </c>
      <c r="AP274" s="87">
        <v>1</v>
      </c>
      <c r="AQ274" s="87">
        <v>0</v>
      </c>
      <c r="AR274" s="87">
        <v>1</v>
      </c>
      <c r="AS274" s="87">
        <v>1</v>
      </c>
      <c r="AU274" s="87">
        <v>0</v>
      </c>
      <c r="AV274" s="17">
        <f t="shared" si="77"/>
        <v>1</v>
      </c>
      <c r="AW274" s="87" t="str">
        <f t="shared" si="78"/>
        <v>{s_taskTalk,{622,623}}</v>
      </c>
    </row>
    <row r="275" spans="1:49" s="87" customFormat="1" ht="72" x14ac:dyDescent="0.15">
      <c r="A275" s="111">
        <v>6470</v>
      </c>
      <c r="C275" s="96" t="s">
        <v>8003</v>
      </c>
      <c r="D275" s="87">
        <v>1</v>
      </c>
      <c r="E275" s="87">
        <v>0</v>
      </c>
      <c r="F275" s="87">
        <v>7</v>
      </c>
      <c r="G275" s="112">
        <v>83</v>
      </c>
      <c r="H275" s="87">
        <v>200</v>
      </c>
      <c r="I275" s="17">
        <v>0</v>
      </c>
      <c r="J275" s="112">
        <v>6469</v>
      </c>
      <c r="K275" s="87">
        <v>0</v>
      </c>
      <c r="L275" s="865">
        <v>623</v>
      </c>
      <c r="M275" s="867" t="s">
        <v>7998</v>
      </c>
      <c r="N275" s="865">
        <v>623</v>
      </c>
      <c r="O275" s="867" t="s">
        <v>7998</v>
      </c>
      <c r="Q275" s="113"/>
      <c r="R275" s="113"/>
      <c r="S275" s="113">
        <v>10032</v>
      </c>
      <c r="T275" s="113"/>
      <c r="U275" s="87">
        <v>80</v>
      </c>
      <c r="V275" s="87">
        <v>0</v>
      </c>
      <c r="W275" s="114">
        <v>5</v>
      </c>
      <c r="Z275" s="21">
        <f>VLOOKUP(G275,Sheet2!A:H,8,0)</f>
        <v>1141748</v>
      </c>
      <c r="AB275" s="115"/>
      <c r="AC275" s="23">
        <f>VLOOKUP(G275,Sheet2!A$2:K$151,9,FALSE)</f>
        <v>1840</v>
      </c>
      <c r="AF275" s="117" t="s">
        <v>8004</v>
      </c>
      <c r="AG275" s="117" t="s">
        <v>8005</v>
      </c>
      <c r="AH275" s="117" t="s">
        <v>8006</v>
      </c>
      <c r="AI275" s="117"/>
      <c r="AJ275" s="117" t="s">
        <v>8007</v>
      </c>
      <c r="AL275" s="112">
        <v>0</v>
      </c>
      <c r="AM275" s="96" t="s">
        <v>8891</v>
      </c>
      <c r="AN275" s="87" t="s">
        <v>8892</v>
      </c>
      <c r="AP275" s="87">
        <v>1</v>
      </c>
      <c r="AQ275" s="87">
        <v>0</v>
      </c>
      <c r="AR275" s="87">
        <v>1</v>
      </c>
      <c r="AS275" s="87">
        <v>1</v>
      </c>
      <c r="AU275" s="87">
        <v>0</v>
      </c>
      <c r="AV275" s="17">
        <f t="shared" si="77"/>
        <v>1</v>
      </c>
      <c r="AW275" s="87" t="str">
        <f>"{s_taskKillNpc, {"&amp;L275&amp;","&amp;N275&amp;","&amp;S275&amp;","&amp;U275&amp;"}}"</f>
        <v>{s_taskKillNpc, {623,623,10032,80}}</v>
      </c>
    </row>
    <row r="276" spans="1:49" s="87" customFormat="1" ht="72" x14ac:dyDescent="0.15">
      <c r="A276" s="111">
        <v>6471</v>
      </c>
      <c r="C276" s="87" t="s">
        <v>8008</v>
      </c>
      <c r="D276" s="87">
        <v>1</v>
      </c>
      <c r="E276" s="87">
        <v>0</v>
      </c>
      <c r="F276" s="87">
        <v>7</v>
      </c>
      <c r="G276" s="112">
        <v>84</v>
      </c>
      <c r="H276" s="87">
        <v>200</v>
      </c>
      <c r="I276" s="17">
        <v>0</v>
      </c>
      <c r="J276" s="112">
        <v>6470</v>
      </c>
      <c r="K276" s="87">
        <v>0</v>
      </c>
      <c r="L276" s="865">
        <v>623</v>
      </c>
      <c r="M276" s="867" t="s">
        <v>7998</v>
      </c>
      <c r="N276" s="865">
        <v>624</v>
      </c>
      <c r="O276" s="867" t="s">
        <v>8009</v>
      </c>
      <c r="Q276" s="113"/>
      <c r="R276" s="113"/>
      <c r="S276" s="113"/>
      <c r="T276" s="113"/>
      <c r="U276" s="87">
        <v>1</v>
      </c>
      <c r="V276" s="87">
        <v>1</v>
      </c>
      <c r="W276" s="114">
        <v>5</v>
      </c>
      <c r="Z276" s="21">
        <f>VLOOKUP(G276,Sheet2!A:H,8,0)</f>
        <v>581154</v>
      </c>
      <c r="AB276" s="115"/>
      <c r="AC276" s="23">
        <f>VLOOKUP(G276,Sheet2!A$2:K$151,9,FALSE)</f>
        <v>930</v>
      </c>
      <c r="AF276" s="117" t="s">
        <v>8010</v>
      </c>
      <c r="AG276" s="117" t="s">
        <v>8011</v>
      </c>
      <c r="AH276" s="117" t="s">
        <v>8012</v>
      </c>
      <c r="AI276" s="117"/>
      <c r="AJ276" s="117" t="s">
        <v>8013</v>
      </c>
      <c r="AL276" s="112">
        <v>0</v>
      </c>
      <c r="AM276" s="96" t="s">
        <v>8893</v>
      </c>
      <c r="AN276" s="87" t="s">
        <v>8894</v>
      </c>
      <c r="AP276" s="87">
        <v>1</v>
      </c>
      <c r="AQ276" s="87">
        <v>0</v>
      </c>
      <c r="AR276" s="87">
        <v>1</v>
      </c>
      <c r="AS276" s="87">
        <v>1</v>
      </c>
      <c r="AU276" s="87">
        <v>0</v>
      </c>
      <c r="AV276" s="17">
        <f t="shared" si="77"/>
        <v>1</v>
      </c>
      <c r="AW276" s="87" t="str">
        <f t="shared" si="78"/>
        <v>{s_taskTalk,{623,624}}</v>
      </c>
    </row>
    <row r="277" spans="1:49" s="87" customFormat="1" ht="72" x14ac:dyDescent="0.15">
      <c r="A277" s="111">
        <v>6472</v>
      </c>
      <c r="C277" s="87" t="s">
        <v>8014</v>
      </c>
      <c r="D277" s="87">
        <v>1</v>
      </c>
      <c r="E277" s="87">
        <v>0</v>
      </c>
      <c r="F277" s="87">
        <v>7</v>
      </c>
      <c r="G277" s="112">
        <v>84</v>
      </c>
      <c r="H277" s="87">
        <v>200</v>
      </c>
      <c r="I277" s="17">
        <v>0</v>
      </c>
      <c r="J277" s="112">
        <v>6471</v>
      </c>
      <c r="K277" s="87">
        <v>0</v>
      </c>
      <c r="L277" s="865">
        <v>624</v>
      </c>
      <c r="M277" s="867" t="s">
        <v>8009</v>
      </c>
      <c r="N277" s="865">
        <v>624</v>
      </c>
      <c r="O277" s="867" t="s">
        <v>8009</v>
      </c>
      <c r="Q277" s="113"/>
      <c r="R277" s="113"/>
      <c r="S277" s="113"/>
      <c r="T277" s="113"/>
      <c r="U277" s="87">
        <v>1</v>
      </c>
      <c r="V277" s="87">
        <v>1</v>
      </c>
      <c r="W277" s="114">
        <v>5</v>
      </c>
      <c r="Z277" s="21">
        <f>VLOOKUP(G277,Sheet2!A:H,8,0)</f>
        <v>581154</v>
      </c>
      <c r="AB277" s="115"/>
      <c r="AC277" s="23">
        <f>VLOOKUP(G277,Sheet2!A$2:K$151,9,FALSE)</f>
        <v>930</v>
      </c>
      <c r="AF277" s="117" t="s">
        <v>8015</v>
      </c>
      <c r="AG277" s="117" t="s">
        <v>8016</v>
      </c>
      <c r="AH277" s="117" t="s">
        <v>8017</v>
      </c>
      <c r="AI277" s="117"/>
      <c r="AJ277" s="117" t="s">
        <v>8018</v>
      </c>
      <c r="AL277" s="112">
        <v>0</v>
      </c>
      <c r="AM277" s="96" t="s">
        <v>8895</v>
      </c>
      <c r="AN277" s="87" t="s">
        <v>8896</v>
      </c>
      <c r="AP277" s="87">
        <v>1</v>
      </c>
      <c r="AQ277" s="87">
        <v>0</v>
      </c>
      <c r="AR277" s="87">
        <v>1</v>
      </c>
      <c r="AS277" s="87">
        <v>1</v>
      </c>
      <c r="AU277" s="87">
        <v>0</v>
      </c>
      <c r="AV277" s="17">
        <f t="shared" si="77"/>
        <v>1</v>
      </c>
      <c r="AW277" s="87" t="str">
        <f t="shared" si="78"/>
        <v>{s_taskTalk,{624,624}}</v>
      </c>
    </row>
    <row r="278" spans="1:49" s="87" customFormat="1" ht="72" x14ac:dyDescent="0.15">
      <c r="A278" s="111">
        <v>6473</v>
      </c>
      <c r="C278" s="87" t="s">
        <v>8019</v>
      </c>
      <c r="D278" s="87">
        <v>1</v>
      </c>
      <c r="E278" s="87">
        <v>0</v>
      </c>
      <c r="F278" s="87">
        <v>7</v>
      </c>
      <c r="G278" s="112">
        <v>84</v>
      </c>
      <c r="H278" s="87">
        <v>200</v>
      </c>
      <c r="I278" s="17">
        <v>0</v>
      </c>
      <c r="J278" s="112">
        <v>6472</v>
      </c>
      <c r="K278" s="87">
        <v>0</v>
      </c>
      <c r="L278" s="865">
        <v>624</v>
      </c>
      <c r="M278" s="867" t="s">
        <v>8009</v>
      </c>
      <c r="N278" s="865">
        <v>624</v>
      </c>
      <c r="O278" s="867" t="s">
        <v>8009</v>
      </c>
      <c r="Q278" s="113">
        <v>2052</v>
      </c>
      <c r="R278" s="113"/>
      <c r="S278" s="113"/>
      <c r="T278" s="113"/>
      <c r="U278" s="87">
        <v>10</v>
      </c>
      <c r="V278" s="87">
        <v>0</v>
      </c>
      <c r="W278" s="114">
        <v>5</v>
      </c>
      <c r="Z278" s="21">
        <f>VLOOKUP(G278,Sheet2!A:H,8,0)</f>
        <v>581154</v>
      </c>
      <c r="AB278" s="115"/>
      <c r="AC278" s="23">
        <f>VLOOKUP(G278,Sheet2!A$2:K$151,9,FALSE)</f>
        <v>930</v>
      </c>
      <c r="AF278" s="117" t="s">
        <v>8020</v>
      </c>
      <c r="AG278" s="117" t="s">
        <v>8021</v>
      </c>
      <c r="AH278" s="117" t="s">
        <v>8022</v>
      </c>
      <c r="AI278" s="117"/>
      <c r="AJ278" s="117" t="s">
        <v>8023</v>
      </c>
      <c r="AL278" s="112">
        <v>0</v>
      </c>
      <c r="AM278" s="96" t="s">
        <v>8897</v>
      </c>
      <c r="AN278" s="87" t="s">
        <v>8898</v>
      </c>
      <c r="AO278" s="32" t="s">
        <v>8024</v>
      </c>
      <c r="AP278" s="87">
        <v>1</v>
      </c>
      <c r="AQ278" s="87">
        <v>0</v>
      </c>
      <c r="AR278" s="87">
        <v>1</v>
      </c>
      <c r="AS278" s="87">
        <v>1</v>
      </c>
      <c r="AU278" s="87">
        <v>0</v>
      </c>
      <c r="AV278" s="17">
        <f t="shared" si="77"/>
        <v>1</v>
      </c>
      <c r="AW278" s="87" t="str">
        <f t="shared" si="78"/>
        <v>{s_taskTalk,{624,624}}</v>
      </c>
    </row>
    <row r="279" spans="1:49" s="87" customFormat="1" ht="72" x14ac:dyDescent="0.15">
      <c r="A279" s="111">
        <v>6474</v>
      </c>
      <c r="C279" s="87" t="s">
        <v>8025</v>
      </c>
      <c r="D279" s="87">
        <v>1</v>
      </c>
      <c r="E279" s="87">
        <v>0</v>
      </c>
      <c r="F279" s="87">
        <v>7</v>
      </c>
      <c r="G279" s="112">
        <v>84</v>
      </c>
      <c r="H279" s="87">
        <v>200</v>
      </c>
      <c r="I279" s="17">
        <v>0</v>
      </c>
      <c r="J279" s="112">
        <v>6473</v>
      </c>
      <c r="K279" s="87">
        <v>0</v>
      </c>
      <c r="L279" s="865">
        <v>624</v>
      </c>
      <c r="M279" s="867" t="s">
        <v>8009</v>
      </c>
      <c r="N279" s="865">
        <v>623</v>
      </c>
      <c r="O279" s="867" t="s">
        <v>7998</v>
      </c>
      <c r="Q279" s="113"/>
      <c r="R279" s="113"/>
      <c r="S279" s="113"/>
      <c r="T279" s="113"/>
      <c r="U279" s="87">
        <v>1</v>
      </c>
      <c r="V279" s="87">
        <v>1</v>
      </c>
      <c r="W279" s="114">
        <v>5</v>
      </c>
      <c r="Z279" s="21">
        <f>VLOOKUP(G279,Sheet2!A:H,8,0)</f>
        <v>581154</v>
      </c>
      <c r="AB279" s="115"/>
      <c r="AC279" s="23">
        <f>VLOOKUP(G279,Sheet2!A$2:K$151,9,FALSE)</f>
        <v>930</v>
      </c>
      <c r="AF279" s="117" t="s">
        <v>8026</v>
      </c>
      <c r="AG279" s="117" t="s">
        <v>8027</v>
      </c>
      <c r="AH279" s="117" t="s">
        <v>8028</v>
      </c>
      <c r="AI279" s="117"/>
      <c r="AJ279" s="117" t="s">
        <v>8029</v>
      </c>
      <c r="AL279" s="112">
        <v>0</v>
      </c>
      <c r="AM279" s="96" t="s">
        <v>8899</v>
      </c>
      <c r="AN279" s="87" t="s">
        <v>8900</v>
      </c>
      <c r="AP279" s="87">
        <v>1</v>
      </c>
      <c r="AQ279" s="87">
        <v>0</v>
      </c>
      <c r="AR279" s="87">
        <v>1</v>
      </c>
      <c r="AS279" s="87">
        <v>1</v>
      </c>
      <c r="AU279" s="87">
        <v>0</v>
      </c>
      <c r="AV279" s="17">
        <f t="shared" si="77"/>
        <v>1</v>
      </c>
      <c r="AW279" s="87" t="str">
        <f t="shared" si="78"/>
        <v>{s_taskTalk,{624,623}}</v>
      </c>
    </row>
    <row r="280" spans="1:49" s="87" customFormat="1" ht="72" x14ac:dyDescent="0.15">
      <c r="A280" s="111">
        <v>6475</v>
      </c>
      <c r="C280" s="87" t="s">
        <v>8030</v>
      </c>
      <c r="D280" s="87">
        <v>1</v>
      </c>
      <c r="E280" s="87">
        <v>0</v>
      </c>
      <c r="F280" s="87">
        <v>7</v>
      </c>
      <c r="G280" s="112">
        <v>85</v>
      </c>
      <c r="H280" s="87">
        <v>200</v>
      </c>
      <c r="I280" s="17">
        <v>0</v>
      </c>
      <c r="J280" s="112">
        <v>6474</v>
      </c>
      <c r="K280" s="87">
        <v>0</v>
      </c>
      <c r="L280" s="865">
        <v>623</v>
      </c>
      <c r="M280" s="867" t="s">
        <v>7998</v>
      </c>
      <c r="N280" s="865">
        <v>622</v>
      </c>
      <c r="O280" s="865" t="s">
        <v>7979</v>
      </c>
      <c r="Q280" s="113"/>
      <c r="R280" s="113"/>
      <c r="S280" s="113"/>
      <c r="T280" s="113"/>
      <c r="U280" s="87">
        <v>1</v>
      </c>
      <c r="V280" s="87">
        <v>1</v>
      </c>
      <c r="W280" s="114">
        <v>5</v>
      </c>
      <c r="Z280" s="21">
        <f>VLOOKUP(G280,Sheet2!A:H,8,0)</f>
        <v>591495</v>
      </c>
      <c r="AB280" s="115"/>
      <c r="AC280" s="23">
        <f>VLOOKUP(G280,Sheet2!A$2:K$151,9,FALSE)</f>
        <v>940</v>
      </c>
      <c r="AF280" s="117" t="s">
        <v>8031</v>
      </c>
      <c r="AG280" s="117" t="s">
        <v>8032</v>
      </c>
      <c r="AH280" s="117" t="s">
        <v>8033</v>
      </c>
      <c r="AI280" s="117"/>
      <c r="AJ280" s="117" t="s">
        <v>8034</v>
      </c>
      <c r="AL280" s="112">
        <v>0</v>
      </c>
      <c r="AM280" s="96" t="s">
        <v>8901</v>
      </c>
      <c r="AN280" s="87" t="s">
        <v>8902</v>
      </c>
      <c r="AP280" s="87">
        <v>1</v>
      </c>
      <c r="AQ280" s="87">
        <v>0</v>
      </c>
      <c r="AR280" s="87">
        <v>1</v>
      </c>
      <c r="AS280" s="87">
        <v>1</v>
      </c>
      <c r="AU280" s="87">
        <v>0</v>
      </c>
      <c r="AV280" s="17">
        <f t="shared" si="77"/>
        <v>1</v>
      </c>
      <c r="AW280" s="87" t="str">
        <f t="shared" si="78"/>
        <v>{s_taskTalk,{623,622}}</v>
      </c>
    </row>
    <row r="281" spans="1:49" s="87" customFormat="1" ht="72" x14ac:dyDescent="0.15">
      <c r="A281" s="111">
        <v>6476</v>
      </c>
      <c r="C281" s="96" t="s">
        <v>8035</v>
      </c>
      <c r="D281" s="87">
        <v>1</v>
      </c>
      <c r="E281" s="87">
        <v>0</v>
      </c>
      <c r="F281" s="87">
        <v>7</v>
      </c>
      <c r="G281" s="112">
        <v>85</v>
      </c>
      <c r="H281" s="87">
        <v>200</v>
      </c>
      <c r="I281" s="17">
        <v>0</v>
      </c>
      <c r="J281" s="112">
        <v>6475</v>
      </c>
      <c r="K281" s="87">
        <v>0</v>
      </c>
      <c r="L281" s="865">
        <v>622</v>
      </c>
      <c r="M281" s="865" t="s">
        <v>7979</v>
      </c>
      <c r="N281" s="865">
        <v>622</v>
      </c>
      <c r="O281" s="865" t="s">
        <v>7979</v>
      </c>
      <c r="Q281" s="113"/>
      <c r="R281" s="113"/>
      <c r="S281" s="113">
        <v>10033</v>
      </c>
      <c r="T281" s="113"/>
      <c r="U281" s="87">
        <v>80</v>
      </c>
      <c r="V281" s="87">
        <v>0</v>
      </c>
      <c r="W281" s="114">
        <v>5</v>
      </c>
      <c r="Z281" s="21">
        <f>VLOOKUP(G281,Sheet2!A:H,8,0)</f>
        <v>591495</v>
      </c>
      <c r="AB281" s="115"/>
      <c r="AC281" s="23">
        <f>VLOOKUP(G281,Sheet2!A$2:K$151,9,FALSE)</f>
        <v>940</v>
      </c>
      <c r="AF281" s="117" t="s">
        <v>8036</v>
      </c>
      <c r="AG281" s="117" t="s">
        <v>8037</v>
      </c>
      <c r="AH281" s="117" t="s">
        <v>8038</v>
      </c>
      <c r="AI281" s="117"/>
      <c r="AJ281" s="117" t="s">
        <v>8039</v>
      </c>
      <c r="AL281" s="112">
        <v>0</v>
      </c>
      <c r="AM281" s="96" t="s">
        <v>8040</v>
      </c>
      <c r="AN281" s="87" t="s">
        <v>8041</v>
      </c>
      <c r="AP281" s="87">
        <v>1</v>
      </c>
      <c r="AQ281" s="87">
        <v>0</v>
      </c>
      <c r="AR281" s="87">
        <v>1</v>
      </c>
      <c r="AS281" s="87">
        <v>1</v>
      </c>
      <c r="AU281" s="87">
        <v>0</v>
      </c>
      <c r="AV281" s="17">
        <f t="shared" si="77"/>
        <v>1</v>
      </c>
      <c r="AW281" s="87" t="str">
        <f>"{s_taskKillNpc, {"&amp;L281&amp;","&amp;N281&amp;","&amp;S281&amp;","&amp;U281&amp;"}}"</f>
        <v>{s_taskKillNpc, {622,622,10033,80}}</v>
      </c>
    </row>
    <row r="282" spans="1:49" s="87" customFormat="1" ht="72" x14ac:dyDescent="0.15">
      <c r="A282" s="111">
        <v>6477</v>
      </c>
      <c r="C282" s="87" t="s">
        <v>8042</v>
      </c>
      <c r="D282" s="87">
        <v>1</v>
      </c>
      <c r="E282" s="87">
        <v>0</v>
      </c>
      <c r="F282" s="87">
        <v>7</v>
      </c>
      <c r="G282" s="112">
        <v>85</v>
      </c>
      <c r="H282" s="87">
        <v>200</v>
      </c>
      <c r="I282" s="17">
        <v>0</v>
      </c>
      <c r="J282" s="112">
        <v>6476</v>
      </c>
      <c r="K282" s="87">
        <v>0</v>
      </c>
      <c r="L282" s="865">
        <v>622</v>
      </c>
      <c r="M282" s="865" t="s">
        <v>7979</v>
      </c>
      <c r="N282" s="865">
        <v>624</v>
      </c>
      <c r="O282" s="867" t="s">
        <v>8009</v>
      </c>
      <c r="Q282" s="113"/>
      <c r="R282" s="113"/>
      <c r="S282" s="113"/>
      <c r="T282" s="113"/>
      <c r="U282" s="87">
        <v>1</v>
      </c>
      <c r="V282" s="87">
        <v>1</v>
      </c>
      <c r="W282" s="114">
        <v>5</v>
      </c>
      <c r="Z282" s="21">
        <f>VLOOKUP(G282,Sheet2!A:H,8,0)</f>
        <v>591495</v>
      </c>
      <c r="AB282" s="115"/>
      <c r="AC282" s="23">
        <f>VLOOKUP(G282,Sheet2!A$2:K$151,9,FALSE)</f>
        <v>940</v>
      </c>
      <c r="AF282" s="117" t="s">
        <v>8043</v>
      </c>
      <c r="AG282" s="117" t="s">
        <v>8044</v>
      </c>
      <c r="AH282" s="117" t="s">
        <v>8045</v>
      </c>
      <c r="AI282" s="117"/>
      <c r="AJ282" s="117" t="s">
        <v>8046</v>
      </c>
      <c r="AL282" s="112">
        <v>0</v>
      </c>
      <c r="AM282" s="96" t="s">
        <v>8903</v>
      </c>
      <c r="AN282" s="87" t="s">
        <v>8904</v>
      </c>
      <c r="AP282" s="87">
        <v>1</v>
      </c>
      <c r="AQ282" s="87">
        <v>0</v>
      </c>
      <c r="AR282" s="87">
        <v>1</v>
      </c>
      <c r="AS282" s="87">
        <v>1</v>
      </c>
      <c r="AU282" s="87">
        <v>0</v>
      </c>
      <c r="AV282" s="17">
        <f t="shared" si="77"/>
        <v>1</v>
      </c>
      <c r="AW282" s="87" t="str">
        <f t="shared" si="78"/>
        <v>{s_taskTalk,{622,624}}</v>
      </c>
    </row>
    <row r="283" spans="1:49" s="87" customFormat="1" ht="72" x14ac:dyDescent="0.15">
      <c r="A283" s="111">
        <v>6478</v>
      </c>
      <c r="C283" s="87" t="s">
        <v>8047</v>
      </c>
      <c r="D283" s="87">
        <v>1</v>
      </c>
      <c r="E283" s="87">
        <v>0</v>
      </c>
      <c r="F283" s="87">
        <v>7</v>
      </c>
      <c r="G283" s="112">
        <v>85</v>
      </c>
      <c r="H283" s="87">
        <v>200</v>
      </c>
      <c r="I283" s="17">
        <v>0</v>
      </c>
      <c r="J283" s="112">
        <v>6477</v>
      </c>
      <c r="K283" s="87">
        <v>0</v>
      </c>
      <c r="L283" s="865">
        <v>624</v>
      </c>
      <c r="M283" s="867" t="s">
        <v>8009</v>
      </c>
      <c r="N283" s="865">
        <v>621</v>
      </c>
      <c r="O283" s="866" t="s">
        <v>7974</v>
      </c>
      <c r="Q283" s="113"/>
      <c r="R283" s="113"/>
      <c r="S283" s="113"/>
      <c r="T283" s="113"/>
      <c r="U283" s="87">
        <v>1</v>
      </c>
      <c r="V283" s="87">
        <v>1</v>
      </c>
      <c r="W283" s="114">
        <v>5</v>
      </c>
      <c r="Z283" s="21">
        <f>VLOOKUP(G283,Sheet2!A:H,8,0)</f>
        <v>591495</v>
      </c>
      <c r="AB283" s="115"/>
      <c r="AC283" s="23">
        <f>VLOOKUP(G283,Sheet2!A$2:K$151,9,FALSE)</f>
        <v>940</v>
      </c>
      <c r="AF283" s="117" t="s">
        <v>8048</v>
      </c>
      <c r="AG283" s="117" t="s">
        <v>8049</v>
      </c>
      <c r="AH283" s="117" t="s">
        <v>8050</v>
      </c>
      <c r="AI283" s="117"/>
      <c r="AJ283" s="117" t="s">
        <v>8051</v>
      </c>
      <c r="AL283" s="112">
        <v>0</v>
      </c>
      <c r="AM283" s="96" t="s">
        <v>8905</v>
      </c>
      <c r="AN283" s="87" t="s">
        <v>8906</v>
      </c>
      <c r="AP283" s="87">
        <v>1</v>
      </c>
      <c r="AQ283" s="87">
        <v>0</v>
      </c>
      <c r="AR283" s="87">
        <v>1</v>
      </c>
      <c r="AS283" s="87">
        <v>1</v>
      </c>
      <c r="AU283" s="87">
        <v>0</v>
      </c>
      <c r="AV283" s="17">
        <f t="shared" si="77"/>
        <v>1</v>
      </c>
      <c r="AW283" s="87" t="str">
        <f t="shared" si="78"/>
        <v>{s_taskTalk,{624,621}}</v>
      </c>
    </row>
    <row r="284" spans="1:49" s="87" customFormat="1" ht="72" x14ac:dyDescent="0.15">
      <c r="A284" s="111">
        <v>6479</v>
      </c>
      <c r="C284" s="87" t="s">
        <v>8052</v>
      </c>
      <c r="D284" s="87">
        <v>1</v>
      </c>
      <c r="E284" s="87">
        <v>0</v>
      </c>
      <c r="F284" s="87">
        <v>7</v>
      </c>
      <c r="G284" s="112">
        <v>86</v>
      </c>
      <c r="H284" s="87">
        <v>200</v>
      </c>
      <c r="I284" s="17">
        <v>0</v>
      </c>
      <c r="J284" s="112">
        <v>6478</v>
      </c>
      <c r="K284" s="87">
        <v>0</v>
      </c>
      <c r="L284" s="865">
        <v>622</v>
      </c>
      <c r="M284" s="865" t="s">
        <v>7979</v>
      </c>
      <c r="N284" s="865">
        <v>622</v>
      </c>
      <c r="O284" s="865" t="s">
        <v>7979</v>
      </c>
      <c r="Q284" s="113">
        <v>2003</v>
      </c>
      <c r="R284" s="113"/>
      <c r="S284" s="113"/>
      <c r="T284" s="113"/>
      <c r="U284" s="87">
        <v>1</v>
      </c>
      <c r="V284" s="87">
        <v>0</v>
      </c>
      <c r="W284" s="114">
        <v>5</v>
      </c>
      <c r="Z284" s="21">
        <f>VLOOKUP(G284,Sheet2!A:H,8,0)</f>
        <v>802531</v>
      </c>
      <c r="AB284" s="115"/>
      <c r="AC284" s="23">
        <f>VLOOKUP(G284,Sheet2!A$2:K$151,9,FALSE)</f>
        <v>1267</v>
      </c>
      <c r="AF284" s="117" t="s">
        <v>8053</v>
      </c>
      <c r="AG284" s="117" t="s">
        <v>8054</v>
      </c>
      <c r="AH284" s="117" t="s">
        <v>8055</v>
      </c>
      <c r="AI284" s="117"/>
      <c r="AJ284" s="117" t="s">
        <v>8056</v>
      </c>
      <c r="AL284" s="112">
        <v>0</v>
      </c>
      <c r="AM284" s="96" t="s">
        <v>8907</v>
      </c>
      <c r="AN284" s="87" t="s">
        <v>8908</v>
      </c>
      <c r="AP284" s="87">
        <v>1</v>
      </c>
      <c r="AQ284" s="87">
        <v>0</v>
      </c>
      <c r="AR284" s="87">
        <v>1</v>
      </c>
      <c r="AS284" s="87">
        <v>1</v>
      </c>
      <c r="AU284" s="87">
        <v>0</v>
      </c>
      <c r="AV284" s="17">
        <f t="shared" si="77"/>
        <v>1</v>
      </c>
      <c r="AW284" s="87" t="str">
        <f t="shared" si="78"/>
        <v>{s_taskTalk,{622,622}}</v>
      </c>
    </row>
    <row r="285" spans="1:49" s="87" customFormat="1" ht="72" x14ac:dyDescent="0.15">
      <c r="A285" s="111">
        <v>6480</v>
      </c>
      <c r="C285" s="87" t="s">
        <v>8057</v>
      </c>
      <c r="D285" s="87">
        <v>1</v>
      </c>
      <c r="E285" s="87">
        <v>0</v>
      </c>
      <c r="F285" s="87">
        <v>7</v>
      </c>
      <c r="G285" s="112">
        <v>86</v>
      </c>
      <c r="H285" s="87">
        <v>200</v>
      </c>
      <c r="I285" s="17">
        <v>0</v>
      </c>
      <c r="J285" s="112">
        <v>6479</v>
      </c>
      <c r="K285" s="87">
        <v>0</v>
      </c>
      <c r="L285" s="865">
        <v>622</v>
      </c>
      <c r="M285" s="865" t="s">
        <v>7979</v>
      </c>
      <c r="N285" s="865">
        <v>623</v>
      </c>
      <c r="O285" s="867" t="s">
        <v>7998</v>
      </c>
      <c r="Q285" s="113"/>
      <c r="R285" s="113"/>
      <c r="S285" s="113"/>
      <c r="T285" s="113"/>
      <c r="U285" s="87">
        <v>1</v>
      </c>
      <c r="V285" s="87">
        <v>1</v>
      </c>
      <c r="W285" s="114">
        <v>5</v>
      </c>
      <c r="Z285" s="21">
        <f>VLOOKUP(G285,Sheet2!A:H,8,0)</f>
        <v>802531</v>
      </c>
      <c r="AB285" s="115"/>
      <c r="AC285" s="23">
        <f>VLOOKUP(G285,Sheet2!A$2:K$151,9,FALSE)</f>
        <v>1267</v>
      </c>
      <c r="AF285" s="117" t="s">
        <v>8058</v>
      </c>
      <c r="AG285" s="117" t="s">
        <v>8059</v>
      </c>
      <c r="AH285" s="117" t="s">
        <v>8060</v>
      </c>
      <c r="AI285" s="117"/>
      <c r="AJ285" s="117" t="s">
        <v>8061</v>
      </c>
      <c r="AL285" s="112">
        <v>0</v>
      </c>
      <c r="AM285" s="96" t="s">
        <v>8909</v>
      </c>
      <c r="AN285" s="87" t="s">
        <v>8910</v>
      </c>
      <c r="AP285" s="87">
        <v>1</v>
      </c>
      <c r="AQ285" s="87">
        <v>0</v>
      </c>
      <c r="AR285" s="87">
        <v>1</v>
      </c>
      <c r="AS285" s="87">
        <v>1</v>
      </c>
      <c r="AU285" s="87">
        <v>0</v>
      </c>
      <c r="AV285" s="17">
        <f t="shared" si="77"/>
        <v>1</v>
      </c>
      <c r="AW285" s="87" t="str">
        <f t="shared" si="78"/>
        <v>{s_taskTalk,{622,623}}</v>
      </c>
    </row>
    <row r="286" spans="1:49" s="87" customFormat="1" ht="72" x14ac:dyDescent="0.15">
      <c r="A286" s="111">
        <v>6481</v>
      </c>
      <c r="C286" s="87" t="s">
        <v>8062</v>
      </c>
      <c r="D286" s="87">
        <v>1</v>
      </c>
      <c r="E286" s="87">
        <v>0</v>
      </c>
      <c r="F286" s="87">
        <v>7</v>
      </c>
      <c r="G286" s="112">
        <v>86</v>
      </c>
      <c r="H286" s="87">
        <v>200</v>
      </c>
      <c r="I286" s="17">
        <v>0</v>
      </c>
      <c r="J286" s="112">
        <v>6480</v>
      </c>
      <c r="K286" s="87">
        <v>0</v>
      </c>
      <c r="L286" s="865">
        <v>623</v>
      </c>
      <c r="M286" s="867" t="s">
        <v>7998</v>
      </c>
      <c r="N286" s="865">
        <v>622</v>
      </c>
      <c r="O286" s="865" t="s">
        <v>7979</v>
      </c>
      <c r="Q286" s="113"/>
      <c r="R286" s="113"/>
      <c r="S286" s="113"/>
      <c r="T286" s="113"/>
      <c r="U286" s="87">
        <v>1</v>
      </c>
      <c r="V286" s="87">
        <v>1</v>
      </c>
      <c r="W286" s="114">
        <v>5</v>
      </c>
      <c r="Z286" s="21">
        <f>VLOOKUP(G286,Sheet2!A:H,8,0)</f>
        <v>802531</v>
      </c>
      <c r="AB286" s="115"/>
      <c r="AC286" s="23">
        <f>VLOOKUP(G286,Sheet2!A$2:K$151,9,FALSE)</f>
        <v>1267</v>
      </c>
      <c r="AF286" s="117" t="s">
        <v>8063</v>
      </c>
      <c r="AG286" s="117" t="s">
        <v>8064</v>
      </c>
      <c r="AH286" s="117" t="s">
        <v>8065</v>
      </c>
      <c r="AI286" s="117"/>
      <c r="AJ286" s="117" t="s">
        <v>8066</v>
      </c>
      <c r="AL286" s="112">
        <v>0</v>
      </c>
      <c r="AM286" s="96" t="s">
        <v>8911</v>
      </c>
      <c r="AN286" s="87" t="s">
        <v>8912</v>
      </c>
      <c r="AP286" s="87">
        <v>1</v>
      </c>
      <c r="AQ286" s="87">
        <v>0</v>
      </c>
      <c r="AR286" s="87">
        <v>1</v>
      </c>
      <c r="AS286" s="87">
        <v>1</v>
      </c>
      <c r="AU286" s="87">
        <v>0</v>
      </c>
      <c r="AV286" s="17">
        <f t="shared" si="77"/>
        <v>1</v>
      </c>
      <c r="AW286" s="87" t="str">
        <f t="shared" si="78"/>
        <v>{s_taskTalk,{623,622}}</v>
      </c>
    </row>
    <row r="287" spans="1:49" s="87" customFormat="1" ht="72" x14ac:dyDescent="0.15">
      <c r="A287" s="111">
        <v>6482</v>
      </c>
      <c r="C287" s="87" t="s">
        <v>8067</v>
      </c>
      <c r="D287" s="87">
        <v>1</v>
      </c>
      <c r="E287" s="87">
        <v>0</v>
      </c>
      <c r="F287" s="87">
        <v>7</v>
      </c>
      <c r="G287" s="112">
        <v>87</v>
      </c>
      <c r="H287" s="87">
        <v>200</v>
      </c>
      <c r="I287" s="17">
        <v>0</v>
      </c>
      <c r="J287" s="112">
        <v>6481</v>
      </c>
      <c r="K287" s="87">
        <v>0</v>
      </c>
      <c r="L287" s="865">
        <v>622</v>
      </c>
      <c r="M287" s="865" t="s">
        <v>7979</v>
      </c>
      <c r="N287" s="865">
        <v>625</v>
      </c>
      <c r="O287" s="868" t="s">
        <v>8068</v>
      </c>
      <c r="Q287" s="113"/>
      <c r="R287" s="113"/>
      <c r="S287" s="113"/>
      <c r="T287" s="113"/>
      <c r="U287" s="87">
        <v>1</v>
      </c>
      <c r="V287" s="87">
        <v>1</v>
      </c>
      <c r="W287" s="114">
        <v>5</v>
      </c>
      <c r="Z287" s="21">
        <f>VLOOKUP(G287,Sheet2!A:H,8,0)</f>
        <v>1224722</v>
      </c>
      <c r="AB287" s="115"/>
      <c r="AC287" s="23">
        <f>VLOOKUP(G287,Sheet2!A$2:K$151,9,FALSE)</f>
        <v>1920</v>
      </c>
      <c r="AF287" s="117" t="s">
        <v>8154</v>
      </c>
      <c r="AG287" s="117" t="s">
        <v>8069</v>
      </c>
      <c r="AH287" s="117" t="s">
        <v>8070</v>
      </c>
      <c r="AI287" s="117"/>
      <c r="AJ287" s="117" t="s">
        <v>8071</v>
      </c>
      <c r="AL287" s="112">
        <v>0</v>
      </c>
      <c r="AM287" s="96" t="s">
        <v>8913</v>
      </c>
      <c r="AN287" s="87" t="s">
        <v>8914</v>
      </c>
      <c r="AP287" s="87">
        <v>1</v>
      </c>
      <c r="AQ287" s="87">
        <v>0</v>
      </c>
      <c r="AR287" s="87">
        <v>1</v>
      </c>
      <c r="AS287" s="87">
        <v>1</v>
      </c>
      <c r="AU287" s="87">
        <v>0</v>
      </c>
      <c r="AV287" s="17">
        <f t="shared" si="77"/>
        <v>1</v>
      </c>
      <c r="AW287" s="87" t="str">
        <f t="shared" si="78"/>
        <v>{s_taskTalk,{622,625}}</v>
      </c>
    </row>
    <row r="288" spans="1:49" s="87" customFormat="1" ht="72" x14ac:dyDescent="0.15">
      <c r="A288" s="111">
        <v>6483</v>
      </c>
      <c r="C288" s="96" t="s">
        <v>8072</v>
      </c>
      <c r="D288" s="87">
        <v>1</v>
      </c>
      <c r="E288" s="87">
        <v>0</v>
      </c>
      <c r="F288" s="87">
        <v>7</v>
      </c>
      <c r="G288" s="112">
        <v>87</v>
      </c>
      <c r="H288" s="87">
        <v>200</v>
      </c>
      <c r="I288" s="17">
        <v>0</v>
      </c>
      <c r="J288" s="112">
        <v>6482</v>
      </c>
      <c r="K288" s="87">
        <v>0</v>
      </c>
      <c r="L288" s="865">
        <v>625</v>
      </c>
      <c r="M288" s="868" t="s">
        <v>8068</v>
      </c>
      <c r="N288" s="865">
        <v>625</v>
      </c>
      <c r="O288" s="868" t="s">
        <v>8068</v>
      </c>
      <c r="Q288" s="113"/>
      <c r="R288" s="113"/>
      <c r="S288" s="113">
        <v>10033</v>
      </c>
      <c r="T288" s="113"/>
      <c r="U288" s="87">
        <v>80</v>
      </c>
      <c r="V288" s="87">
        <v>0</v>
      </c>
      <c r="W288" s="114">
        <v>5</v>
      </c>
      <c r="Z288" s="21">
        <f>VLOOKUP(G288,Sheet2!A:H,8,0)</f>
        <v>1224722</v>
      </c>
      <c r="AB288" s="115"/>
      <c r="AC288" s="23">
        <f>VLOOKUP(G288,Sheet2!A$2:K$151,9,FALSE)</f>
        <v>1920</v>
      </c>
      <c r="AF288" s="117" t="s">
        <v>8155</v>
      </c>
      <c r="AG288" s="117" t="s">
        <v>8073</v>
      </c>
      <c r="AH288" s="117" t="s">
        <v>8074</v>
      </c>
      <c r="AI288" s="117"/>
      <c r="AJ288" s="117" t="s">
        <v>8075</v>
      </c>
      <c r="AL288" s="112">
        <v>0</v>
      </c>
      <c r="AM288" s="96" t="s">
        <v>8915</v>
      </c>
      <c r="AN288" s="87" t="s">
        <v>8916</v>
      </c>
      <c r="AP288" s="87">
        <v>1</v>
      </c>
      <c r="AQ288" s="87">
        <v>0</v>
      </c>
      <c r="AR288" s="87">
        <v>1</v>
      </c>
      <c r="AS288" s="87">
        <v>1</v>
      </c>
      <c r="AU288" s="87">
        <v>0</v>
      </c>
      <c r="AV288" s="17">
        <f t="shared" si="77"/>
        <v>1</v>
      </c>
      <c r="AW288" s="87" t="str">
        <f>"{s_taskKillNpc, {"&amp;L288&amp;","&amp;N288&amp;","&amp;S288&amp;","&amp;U288&amp;"}}"</f>
        <v>{s_taskKillNpc, {625,625,10033,80}}</v>
      </c>
    </row>
    <row r="289" spans="1:49" s="87" customFormat="1" ht="72" x14ac:dyDescent="0.15">
      <c r="A289" s="111">
        <v>6484</v>
      </c>
      <c r="C289" s="87" t="s">
        <v>8076</v>
      </c>
      <c r="D289" s="87">
        <v>1</v>
      </c>
      <c r="E289" s="87">
        <v>0</v>
      </c>
      <c r="F289" s="87">
        <v>7</v>
      </c>
      <c r="G289" s="112">
        <v>88</v>
      </c>
      <c r="H289" s="87">
        <v>200</v>
      </c>
      <c r="I289" s="17">
        <v>0</v>
      </c>
      <c r="J289" s="112">
        <v>6483</v>
      </c>
      <c r="K289" s="87">
        <v>0</v>
      </c>
      <c r="L289" s="865">
        <v>625</v>
      </c>
      <c r="M289" s="868" t="s">
        <v>8068</v>
      </c>
      <c r="N289" s="865">
        <v>621</v>
      </c>
      <c r="O289" s="866" t="s">
        <v>7974</v>
      </c>
      <c r="Q289" s="113"/>
      <c r="R289" s="113"/>
      <c r="S289" s="113"/>
      <c r="T289" s="113"/>
      <c r="U289" s="87">
        <v>1</v>
      </c>
      <c r="V289" s="87">
        <v>1</v>
      </c>
      <c r="W289" s="114">
        <v>5</v>
      </c>
      <c r="Z289" s="21">
        <f>VLOOKUP(G289,Sheet2!A:H,8,0)</f>
        <v>830513</v>
      </c>
      <c r="AB289" s="115"/>
      <c r="AC289" s="23">
        <f>VLOOKUP(G289,Sheet2!A$2:K$151,9,FALSE)</f>
        <v>1293</v>
      </c>
      <c r="AF289" s="117" t="s">
        <v>8077</v>
      </c>
      <c r="AG289" s="117" t="s">
        <v>8078</v>
      </c>
      <c r="AH289" s="117" t="s">
        <v>8079</v>
      </c>
      <c r="AI289" s="117"/>
      <c r="AJ289" s="117" t="s">
        <v>8080</v>
      </c>
      <c r="AL289" s="112">
        <v>0</v>
      </c>
      <c r="AM289" s="96" t="s">
        <v>8917</v>
      </c>
      <c r="AN289" s="87" t="s">
        <v>8918</v>
      </c>
      <c r="AP289" s="87">
        <v>1</v>
      </c>
      <c r="AQ289" s="87">
        <v>0</v>
      </c>
      <c r="AR289" s="87">
        <v>1</v>
      </c>
      <c r="AS289" s="87">
        <v>1</v>
      </c>
      <c r="AU289" s="87">
        <v>0</v>
      </c>
      <c r="AV289" s="17">
        <f t="shared" si="77"/>
        <v>1</v>
      </c>
      <c r="AW289" s="87" t="str">
        <f t="shared" si="78"/>
        <v>{s_taskTalk,{625,621}}</v>
      </c>
    </row>
    <row r="290" spans="1:49" s="87" customFormat="1" ht="72" x14ac:dyDescent="0.15">
      <c r="A290" s="111">
        <v>6485</v>
      </c>
      <c r="C290" s="87" t="s">
        <v>8081</v>
      </c>
      <c r="D290" s="87">
        <v>1</v>
      </c>
      <c r="E290" s="87">
        <v>0</v>
      </c>
      <c r="F290" s="87">
        <v>7</v>
      </c>
      <c r="G290" s="112">
        <v>88</v>
      </c>
      <c r="H290" s="87">
        <v>200</v>
      </c>
      <c r="I290" s="17">
        <v>0</v>
      </c>
      <c r="J290" s="112">
        <v>6484</v>
      </c>
      <c r="K290" s="87">
        <v>0</v>
      </c>
      <c r="L290" s="865">
        <v>621</v>
      </c>
      <c r="M290" s="866" t="s">
        <v>7974</v>
      </c>
      <c r="N290" s="865">
        <v>626</v>
      </c>
      <c r="O290" s="868" t="s">
        <v>8082</v>
      </c>
      <c r="Q290" s="113"/>
      <c r="R290" s="113"/>
      <c r="S290" s="113"/>
      <c r="T290" s="113"/>
      <c r="U290" s="87">
        <v>1</v>
      </c>
      <c r="V290" s="87">
        <v>1</v>
      </c>
      <c r="W290" s="114">
        <v>5</v>
      </c>
      <c r="Z290" s="21">
        <f>VLOOKUP(G290,Sheet2!A:H,8,0)</f>
        <v>830513</v>
      </c>
      <c r="AB290" s="115"/>
      <c r="AC290" s="23">
        <f>VLOOKUP(G290,Sheet2!A$2:K$151,9,FALSE)</f>
        <v>1293</v>
      </c>
      <c r="AF290" s="117" t="s">
        <v>8083</v>
      </c>
      <c r="AG290" s="117" t="s">
        <v>8084</v>
      </c>
      <c r="AH290" s="117" t="s">
        <v>8128</v>
      </c>
      <c r="AI290" s="117"/>
      <c r="AJ290" s="117" t="s">
        <v>8085</v>
      </c>
      <c r="AL290" s="112">
        <v>0</v>
      </c>
      <c r="AM290" s="96" t="s">
        <v>8919</v>
      </c>
      <c r="AN290" s="87" t="s">
        <v>8920</v>
      </c>
      <c r="AP290" s="87">
        <v>1</v>
      </c>
      <c r="AQ290" s="87">
        <v>0</v>
      </c>
      <c r="AR290" s="87">
        <v>1</v>
      </c>
      <c r="AS290" s="87">
        <v>1</v>
      </c>
      <c r="AU290" s="87">
        <v>0</v>
      </c>
      <c r="AV290" s="17">
        <f t="shared" si="77"/>
        <v>1</v>
      </c>
      <c r="AW290" s="87" t="str">
        <f t="shared" si="78"/>
        <v>{s_taskTalk,{621,626}}</v>
      </c>
    </row>
    <row r="291" spans="1:49" s="87" customFormat="1" ht="72" x14ac:dyDescent="0.15">
      <c r="A291" s="111">
        <v>6486</v>
      </c>
      <c r="C291" s="96" t="s">
        <v>8086</v>
      </c>
      <c r="D291" s="87">
        <v>1</v>
      </c>
      <c r="E291" s="87">
        <v>0</v>
      </c>
      <c r="F291" s="87">
        <v>7</v>
      </c>
      <c r="G291" s="112">
        <v>88</v>
      </c>
      <c r="H291" s="87">
        <v>200</v>
      </c>
      <c r="I291" s="17">
        <v>0</v>
      </c>
      <c r="J291" s="112">
        <v>6485</v>
      </c>
      <c r="K291" s="87">
        <v>0</v>
      </c>
      <c r="L291" s="865">
        <v>626</v>
      </c>
      <c r="M291" s="868" t="s">
        <v>8082</v>
      </c>
      <c r="N291" s="865">
        <v>626</v>
      </c>
      <c r="O291" s="868" t="s">
        <v>8082</v>
      </c>
      <c r="Q291" s="113"/>
      <c r="R291" s="113"/>
      <c r="S291" s="113">
        <v>10034</v>
      </c>
      <c r="T291" s="113"/>
      <c r="U291" s="87">
        <v>80</v>
      </c>
      <c r="V291" s="87">
        <v>0</v>
      </c>
      <c r="W291" s="114">
        <v>5</v>
      </c>
      <c r="Z291" s="21">
        <f>VLOOKUP(G291,Sheet2!A:H,8,0)</f>
        <v>830513</v>
      </c>
      <c r="AB291" s="115"/>
      <c r="AC291" s="23">
        <f>VLOOKUP(G291,Sheet2!A$2:K$151,9,FALSE)</f>
        <v>1293</v>
      </c>
      <c r="AF291" s="117" t="s">
        <v>8087</v>
      </c>
      <c r="AG291" s="117" t="s">
        <v>8088</v>
      </c>
      <c r="AH291" s="117" t="s">
        <v>8089</v>
      </c>
      <c r="AI291" s="117"/>
      <c r="AJ291" s="117" t="s">
        <v>8090</v>
      </c>
      <c r="AL291" s="112">
        <v>0</v>
      </c>
      <c r="AM291" s="96" t="s">
        <v>8921</v>
      </c>
      <c r="AN291" s="87" t="s">
        <v>8922</v>
      </c>
      <c r="AP291" s="87">
        <v>1</v>
      </c>
      <c r="AQ291" s="87">
        <v>0</v>
      </c>
      <c r="AR291" s="87">
        <v>1</v>
      </c>
      <c r="AS291" s="87">
        <v>1</v>
      </c>
      <c r="AU291" s="87">
        <v>0</v>
      </c>
      <c r="AV291" s="17">
        <f t="shared" si="77"/>
        <v>1</v>
      </c>
      <c r="AW291" s="87" t="str">
        <f>"{s_taskKillNpc, {"&amp;L291&amp;","&amp;N291&amp;","&amp;S291&amp;","&amp;U291&amp;"}}"</f>
        <v>{s_taskKillNpc, {626,626,10034,80}}</v>
      </c>
    </row>
    <row r="292" spans="1:49" s="87" customFormat="1" ht="72" x14ac:dyDescent="0.15">
      <c r="A292" s="111">
        <v>6487</v>
      </c>
      <c r="C292" s="87" t="s">
        <v>8091</v>
      </c>
      <c r="D292" s="87">
        <v>1</v>
      </c>
      <c r="E292" s="87">
        <v>0</v>
      </c>
      <c r="F292" s="87">
        <v>7</v>
      </c>
      <c r="G292" s="112">
        <v>89</v>
      </c>
      <c r="H292" s="87">
        <v>200</v>
      </c>
      <c r="I292" s="17">
        <v>0</v>
      </c>
      <c r="J292" s="112">
        <v>6486</v>
      </c>
      <c r="K292" s="87">
        <v>0</v>
      </c>
      <c r="L292" s="865">
        <v>626</v>
      </c>
      <c r="M292" s="868" t="s">
        <v>8082</v>
      </c>
      <c r="N292" s="865">
        <v>626</v>
      </c>
      <c r="O292" s="868" t="s">
        <v>8082</v>
      </c>
      <c r="Q292" s="113">
        <v>2054</v>
      </c>
      <c r="R292" s="113"/>
      <c r="S292" s="113"/>
      <c r="T292" s="113"/>
      <c r="U292" s="87">
        <v>10</v>
      </c>
      <c r="V292" s="87">
        <v>0</v>
      </c>
      <c r="W292" s="114">
        <v>5</v>
      </c>
      <c r="Z292" s="21">
        <f>VLOOKUP(G292,Sheet2!A:H,8,0)</f>
        <v>1266936</v>
      </c>
      <c r="AB292" s="115"/>
      <c r="AC292" s="23">
        <f>VLOOKUP(G292,Sheet2!A$2:K$151,9,FALSE)</f>
        <v>1960</v>
      </c>
      <c r="AF292" s="117" t="s">
        <v>8092</v>
      </c>
      <c r="AG292" s="117" t="s">
        <v>8093</v>
      </c>
      <c r="AH292" s="117" t="s">
        <v>8094</v>
      </c>
      <c r="AI292" s="117"/>
      <c r="AJ292" s="117" t="s">
        <v>8095</v>
      </c>
      <c r="AL292" s="112">
        <v>0</v>
      </c>
      <c r="AM292" s="96" t="s">
        <v>8923</v>
      </c>
      <c r="AN292" s="87" t="s">
        <v>8924</v>
      </c>
      <c r="AO292" s="32" t="s">
        <v>8096</v>
      </c>
      <c r="AP292" s="87">
        <v>1</v>
      </c>
      <c r="AQ292" s="87">
        <v>0</v>
      </c>
      <c r="AR292" s="87">
        <v>1</v>
      </c>
      <c r="AS292" s="87">
        <v>1</v>
      </c>
      <c r="AU292" s="87">
        <v>0</v>
      </c>
      <c r="AV292" s="17">
        <f t="shared" si="77"/>
        <v>1</v>
      </c>
      <c r="AW292" s="87" t="str">
        <f t="shared" si="78"/>
        <v>{s_taskTalk,{626,626}}</v>
      </c>
    </row>
    <row r="293" spans="1:49" s="87" customFormat="1" ht="72" x14ac:dyDescent="0.15">
      <c r="A293" s="111">
        <v>6488</v>
      </c>
      <c r="C293" s="87" t="s">
        <v>8097</v>
      </c>
      <c r="D293" s="87">
        <v>1</v>
      </c>
      <c r="E293" s="87">
        <v>0</v>
      </c>
      <c r="F293" s="87">
        <v>7</v>
      </c>
      <c r="G293" s="112">
        <v>89</v>
      </c>
      <c r="H293" s="87">
        <v>200</v>
      </c>
      <c r="I293" s="17">
        <v>0</v>
      </c>
      <c r="J293" s="112">
        <v>6487</v>
      </c>
      <c r="K293" s="87">
        <v>0</v>
      </c>
      <c r="L293" s="865">
        <v>626</v>
      </c>
      <c r="M293" s="868" t="s">
        <v>8082</v>
      </c>
      <c r="N293" s="865">
        <v>621</v>
      </c>
      <c r="O293" s="866" t="s">
        <v>7974</v>
      </c>
      <c r="Q293" s="113"/>
      <c r="R293" s="113"/>
      <c r="S293" s="113"/>
      <c r="T293" s="113"/>
      <c r="U293" s="87">
        <v>1</v>
      </c>
      <c r="V293" s="87">
        <v>1</v>
      </c>
      <c r="W293" s="114">
        <v>5</v>
      </c>
      <c r="Z293" s="21">
        <f>VLOOKUP(G293,Sheet2!A:H,8,0)</f>
        <v>1266936</v>
      </c>
      <c r="AB293" s="115"/>
      <c r="AC293" s="23">
        <f>VLOOKUP(G293,Sheet2!A$2:K$151,9,FALSE)</f>
        <v>1960</v>
      </c>
      <c r="AF293" s="117" t="s">
        <v>8098</v>
      </c>
      <c r="AG293" s="117" t="s">
        <v>8099</v>
      </c>
      <c r="AH293" s="117" t="s">
        <v>8100</v>
      </c>
      <c r="AI293" s="117"/>
      <c r="AJ293" s="117" t="s">
        <v>8101</v>
      </c>
      <c r="AL293" s="112">
        <v>0</v>
      </c>
      <c r="AM293" s="96" t="s">
        <v>8925</v>
      </c>
      <c r="AN293" s="87" t="s">
        <v>8926</v>
      </c>
      <c r="AP293" s="87">
        <v>1</v>
      </c>
      <c r="AQ293" s="87">
        <v>0</v>
      </c>
      <c r="AR293" s="87">
        <v>1</v>
      </c>
      <c r="AS293" s="87">
        <v>1</v>
      </c>
      <c r="AU293" s="87">
        <v>0</v>
      </c>
      <c r="AV293" s="17">
        <f t="shared" si="77"/>
        <v>1</v>
      </c>
      <c r="AW293" s="87" t="str">
        <f t="shared" si="78"/>
        <v>{s_taskTalk,{626,621}}</v>
      </c>
    </row>
    <row r="294" spans="1:49" s="87" customFormat="1" ht="72" x14ac:dyDescent="0.15">
      <c r="A294" s="111">
        <v>6489</v>
      </c>
      <c r="C294" s="87" t="s">
        <v>8102</v>
      </c>
      <c r="D294" s="87">
        <v>1</v>
      </c>
      <c r="E294" s="87">
        <v>0</v>
      </c>
      <c r="F294" s="87">
        <v>5</v>
      </c>
      <c r="G294" s="112">
        <v>90</v>
      </c>
      <c r="H294" s="87">
        <v>200</v>
      </c>
      <c r="I294" s="17">
        <v>0</v>
      </c>
      <c r="J294" s="112">
        <v>6488</v>
      </c>
      <c r="K294" s="87">
        <v>0</v>
      </c>
      <c r="L294" s="87">
        <v>60559</v>
      </c>
      <c r="M294" s="87" t="s">
        <v>7973</v>
      </c>
      <c r="N294" s="865">
        <v>621</v>
      </c>
      <c r="O294" s="866" t="s">
        <v>7974</v>
      </c>
      <c r="Q294" s="113"/>
      <c r="R294" s="113"/>
      <c r="S294" s="113"/>
      <c r="T294" s="113"/>
      <c r="U294" s="87">
        <v>1</v>
      </c>
      <c r="V294" s="87">
        <v>1</v>
      </c>
      <c r="W294" s="114">
        <v>5</v>
      </c>
      <c r="Z294" s="21">
        <f>VLOOKUP(G294,Sheet2!A:H,8,0)</f>
        <v>1288222</v>
      </c>
      <c r="AB294" s="115"/>
      <c r="AC294" s="23">
        <f>VLOOKUP(G294,Sheet2!A$2:K$151,9,FALSE)</f>
        <v>1980</v>
      </c>
      <c r="AF294" s="117" t="s">
        <v>8103</v>
      </c>
      <c r="AG294" s="117" t="s">
        <v>8104</v>
      </c>
      <c r="AH294" s="117" t="s">
        <v>8105</v>
      </c>
      <c r="AI294" s="117"/>
      <c r="AJ294" s="117" t="s">
        <v>8106</v>
      </c>
      <c r="AL294" s="112">
        <v>0</v>
      </c>
      <c r="AM294" s="96" t="s">
        <v>8927</v>
      </c>
      <c r="AN294" s="87" t="s">
        <v>8928</v>
      </c>
      <c r="AP294" s="87">
        <v>1</v>
      </c>
      <c r="AQ294" s="87">
        <v>0</v>
      </c>
      <c r="AR294" s="87">
        <v>1</v>
      </c>
      <c r="AS294" s="87">
        <v>1</v>
      </c>
      <c r="AU294" s="87">
        <v>0</v>
      </c>
      <c r="AV294" s="17">
        <f t="shared" si="77"/>
        <v>1</v>
      </c>
      <c r="AW294" s="87" t="str">
        <f t="shared" si="78"/>
        <v>{s_taskTalk,{60559,621}}</v>
      </c>
    </row>
    <row r="295" spans="1:49" s="87" customFormat="1" ht="72" x14ac:dyDescent="0.15">
      <c r="A295" s="111">
        <v>6490</v>
      </c>
      <c r="C295" s="96" t="s">
        <v>8156</v>
      </c>
      <c r="D295" s="87">
        <v>1</v>
      </c>
      <c r="E295" s="87">
        <v>0</v>
      </c>
      <c r="F295" s="87">
        <v>7</v>
      </c>
      <c r="G295" s="112">
        <v>90</v>
      </c>
      <c r="H295" s="87">
        <v>200</v>
      </c>
      <c r="I295" s="17">
        <v>0</v>
      </c>
      <c r="J295" s="112">
        <v>6489</v>
      </c>
      <c r="K295" s="87">
        <v>0</v>
      </c>
      <c r="L295" s="865">
        <v>621</v>
      </c>
      <c r="M295" s="866" t="s">
        <v>7974</v>
      </c>
      <c r="N295" s="865">
        <v>621</v>
      </c>
      <c r="O295" s="866" t="s">
        <v>7974</v>
      </c>
      <c r="Q295" s="113"/>
      <c r="R295" s="113"/>
      <c r="S295" s="113">
        <v>10034</v>
      </c>
      <c r="T295" s="113"/>
      <c r="U295" s="87">
        <v>100</v>
      </c>
      <c r="V295" s="87">
        <v>0</v>
      </c>
      <c r="W295" s="114">
        <v>5</v>
      </c>
      <c r="Z295" s="21">
        <f>VLOOKUP(G295,Sheet2!A:H,8,0)</f>
        <v>1288222</v>
      </c>
      <c r="AB295" s="115"/>
      <c r="AC295" s="23">
        <f>VLOOKUP(G295,Sheet2!A$2:K$151,9,FALSE)</f>
        <v>1980</v>
      </c>
      <c r="AF295" s="117" t="s">
        <v>8107</v>
      </c>
      <c r="AG295" s="117" t="s">
        <v>8108</v>
      </c>
      <c r="AH295" s="117" t="s">
        <v>8109</v>
      </c>
      <c r="AI295" s="117"/>
      <c r="AJ295" s="117" t="s">
        <v>8110</v>
      </c>
      <c r="AL295" s="112">
        <v>0</v>
      </c>
      <c r="AM295" s="96" t="s">
        <v>9027</v>
      </c>
      <c r="AN295" s="87" t="s">
        <v>9030</v>
      </c>
      <c r="AP295" s="87">
        <v>1</v>
      </c>
      <c r="AQ295" s="87">
        <v>0</v>
      </c>
      <c r="AR295" s="87">
        <v>1</v>
      </c>
      <c r="AS295" s="87">
        <v>1</v>
      </c>
      <c r="AU295" s="87">
        <v>0</v>
      </c>
      <c r="AV295" s="17">
        <f t="shared" si="77"/>
        <v>1</v>
      </c>
      <c r="AW295" s="87" t="str">
        <f>"{s_taskKillNpc, {"&amp;L295&amp;","&amp;N295&amp;","&amp;S295&amp;","&amp;U295&amp;"}}"</f>
        <v>{s_taskKillNpc, {621,621,10034,100}}</v>
      </c>
    </row>
    <row r="296" spans="1:49" s="87" customFormat="1" ht="60" x14ac:dyDescent="0.15">
      <c r="A296" s="81">
        <v>8001</v>
      </c>
      <c r="B296" s="82"/>
      <c r="C296" s="82" t="s">
        <v>9029</v>
      </c>
      <c r="D296" s="82">
        <v>1</v>
      </c>
      <c r="E296" s="82">
        <v>0</v>
      </c>
      <c r="F296" s="82">
        <v>7</v>
      </c>
      <c r="G296" s="884">
        <v>91</v>
      </c>
      <c r="H296" s="82">
        <v>200</v>
      </c>
      <c r="I296" s="82">
        <v>0</v>
      </c>
      <c r="J296" s="83">
        <v>6490</v>
      </c>
      <c r="K296" s="82">
        <v>0</v>
      </c>
      <c r="L296" s="85">
        <v>621</v>
      </c>
      <c r="M296" s="85" t="s">
        <v>8158</v>
      </c>
      <c r="N296" s="85">
        <v>627</v>
      </c>
      <c r="O296" s="85" t="s">
        <v>8157</v>
      </c>
      <c r="P296" s="82"/>
      <c r="Q296" s="869"/>
      <c r="R296" s="84"/>
      <c r="S296" s="869"/>
      <c r="T296" s="84"/>
      <c r="U296" s="869">
        <v>1</v>
      </c>
      <c r="V296" s="869">
        <v>1</v>
      </c>
      <c r="W296" s="877">
        <v>5</v>
      </c>
      <c r="X296" s="82"/>
      <c r="Y296" s="82"/>
      <c r="Z296" s="21">
        <f>VLOOKUP(G296,Sheet2!A:H,8,0)</f>
        <v>1309627</v>
      </c>
      <c r="AA296" s="82"/>
      <c r="AB296" s="82"/>
      <c r="AC296" s="23"/>
      <c r="AD296" s="82"/>
      <c r="AE296" s="82"/>
      <c r="AF296" s="86" t="s">
        <v>8299</v>
      </c>
      <c r="AG296" s="86" t="s">
        <v>8285</v>
      </c>
      <c r="AH296" s="86" t="s">
        <v>8286</v>
      </c>
      <c r="AI296" s="86"/>
      <c r="AJ296" s="86" t="s">
        <v>8287</v>
      </c>
      <c r="AK296" s="86"/>
      <c r="AL296" s="86"/>
      <c r="AM296" s="86" t="s">
        <v>9033</v>
      </c>
      <c r="AN296" s="86" t="s">
        <v>9034</v>
      </c>
      <c r="AO296" s="86"/>
      <c r="AP296" s="86">
        <v>1</v>
      </c>
      <c r="AQ296" s="86">
        <v>0</v>
      </c>
      <c r="AR296" s="86">
        <v>0</v>
      </c>
      <c r="AS296" s="86">
        <v>0</v>
      </c>
      <c r="AT296" s="86"/>
      <c r="AU296" s="86">
        <v>0</v>
      </c>
      <c r="AV296" s="86">
        <f t="shared" ref="AV296" si="79">IF(D296 = 1,1,0)</f>
        <v>1</v>
      </c>
      <c r="AW296" s="86" t="str">
        <f t="shared" ref="AW296" si="80">"{s_taskTalk,{"&amp;L296&amp;","&amp;N296&amp;"}}"</f>
        <v>{s_taskTalk,{621,627}}</v>
      </c>
    </row>
    <row r="297" spans="1:49" s="87" customFormat="1" ht="72" x14ac:dyDescent="0.15">
      <c r="A297" s="81">
        <v>8002</v>
      </c>
      <c r="B297" s="82"/>
      <c r="C297" s="82" t="s">
        <v>8288</v>
      </c>
      <c r="D297" s="82">
        <v>1</v>
      </c>
      <c r="E297" s="82">
        <v>0</v>
      </c>
      <c r="F297" s="82">
        <v>8</v>
      </c>
      <c r="G297" s="884">
        <v>91</v>
      </c>
      <c r="H297" s="82">
        <v>200</v>
      </c>
      <c r="I297" s="82">
        <v>0</v>
      </c>
      <c r="J297" s="83">
        <v>8001</v>
      </c>
      <c r="K297" s="82">
        <v>0</v>
      </c>
      <c r="L297" s="85">
        <v>627</v>
      </c>
      <c r="M297" s="85" t="s">
        <v>8157</v>
      </c>
      <c r="N297" s="85">
        <v>627</v>
      </c>
      <c r="O297" s="85" t="s">
        <v>8157</v>
      </c>
      <c r="P297" s="82"/>
      <c r="Q297" s="869"/>
      <c r="R297" s="84"/>
      <c r="S297" s="872">
        <v>10035</v>
      </c>
      <c r="T297" s="84"/>
      <c r="U297" s="875">
        <v>100</v>
      </c>
      <c r="V297" s="875">
        <v>0</v>
      </c>
      <c r="W297" s="877">
        <v>5</v>
      </c>
      <c r="X297" s="82"/>
      <c r="Y297" s="82"/>
      <c r="Z297" s="21">
        <f>VLOOKUP(G297,Sheet2!A:H,8,0)</f>
        <v>1309627</v>
      </c>
      <c r="AA297" s="82"/>
      <c r="AB297" s="82"/>
      <c r="AC297" s="23">
        <f>VLOOKUP(G297,Sheet2!A$2:K$151,9,FALSE)</f>
        <v>2000</v>
      </c>
      <c r="AD297" s="82"/>
      <c r="AE297" s="82"/>
      <c r="AF297" s="86" t="s">
        <v>8298</v>
      </c>
      <c r="AG297" s="86" t="s">
        <v>8289</v>
      </c>
      <c r="AH297" s="86" t="s">
        <v>8290</v>
      </c>
      <c r="AI297" s="86"/>
      <c r="AJ297" s="86" t="s">
        <v>8291</v>
      </c>
      <c r="AK297" s="86"/>
      <c r="AL297" s="86"/>
      <c r="AM297" s="86" t="s">
        <v>9028</v>
      </c>
      <c r="AN297" s="86" t="s">
        <v>8172</v>
      </c>
      <c r="AO297" s="86"/>
      <c r="AP297" s="86">
        <v>1</v>
      </c>
      <c r="AQ297" s="86">
        <v>0</v>
      </c>
      <c r="AR297" s="86">
        <v>1</v>
      </c>
      <c r="AS297" s="86">
        <v>1</v>
      </c>
      <c r="AT297" s="86"/>
      <c r="AU297" s="86">
        <v>0</v>
      </c>
      <c r="AV297" s="86">
        <f t="shared" ref="AV297:AV356" si="81">IF(D297 = 1,1,0)</f>
        <v>1</v>
      </c>
      <c r="AW297" s="87" t="str">
        <f>"{s_taskKillNpc, {"&amp;L297&amp;","&amp;N297&amp;","&amp;S297&amp;","&amp;U297&amp;"}}"</f>
        <v>{s_taskKillNpc, {627,627,10035,100}}</v>
      </c>
    </row>
    <row r="298" spans="1:49" s="87" customFormat="1" ht="72" x14ac:dyDescent="0.15">
      <c r="A298" s="81">
        <v>8003</v>
      </c>
      <c r="B298" s="82"/>
      <c r="C298" s="82" t="s">
        <v>8292</v>
      </c>
      <c r="D298" s="82">
        <v>1</v>
      </c>
      <c r="E298" s="82">
        <v>0</v>
      </c>
      <c r="F298" s="82">
        <v>8</v>
      </c>
      <c r="G298" s="884">
        <v>92</v>
      </c>
      <c r="H298" s="82">
        <v>200</v>
      </c>
      <c r="I298" s="82">
        <v>0</v>
      </c>
      <c r="J298" s="83">
        <v>8002</v>
      </c>
      <c r="K298" s="82">
        <v>0</v>
      </c>
      <c r="L298" s="85">
        <v>627</v>
      </c>
      <c r="M298" s="85" t="s">
        <v>8157</v>
      </c>
      <c r="N298" s="85">
        <v>628</v>
      </c>
      <c r="O298" s="85" t="s">
        <v>8159</v>
      </c>
      <c r="P298" s="82"/>
      <c r="Q298" s="869"/>
      <c r="R298" s="84"/>
      <c r="S298" s="869"/>
      <c r="T298" s="84"/>
      <c r="U298" s="869">
        <v>1</v>
      </c>
      <c r="V298" s="869">
        <v>1</v>
      </c>
      <c r="W298" s="877">
        <v>5</v>
      </c>
      <c r="X298" s="82"/>
      <c r="Y298" s="82"/>
      <c r="Z298" s="21">
        <f>VLOOKUP(G298,Sheet2!A:H,8,0)</f>
        <v>887433</v>
      </c>
      <c r="AA298" s="82"/>
      <c r="AB298" s="82"/>
      <c r="AC298" s="23">
        <f>VLOOKUP(G298,Sheet2!A$2:K$151,9,FALSE)</f>
        <v>1347</v>
      </c>
      <c r="AD298" s="82"/>
      <c r="AE298" s="82"/>
      <c r="AF298" s="86" t="s">
        <v>8297</v>
      </c>
      <c r="AG298" s="86" t="s">
        <v>8293</v>
      </c>
      <c r="AH298" s="86" t="s">
        <v>8294</v>
      </c>
      <c r="AI298" s="86"/>
      <c r="AJ298" s="86" t="s">
        <v>8295</v>
      </c>
      <c r="AK298" s="86"/>
      <c r="AL298" s="86"/>
      <c r="AM298" s="86" t="s">
        <v>8176</v>
      </c>
      <c r="AN298" s="86" t="s">
        <v>8177</v>
      </c>
      <c r="AO298" s="86"/>
      <c r="AP298" s="86">
        <v>1</v>
      </c>
      <c r="AQ298" s="86">
        <v>0</v>
      </c>
      <c r="AR298" s="86">
        <v>1</v>
      </c>
      <c r="AS298" s="86">
        <v>1</v>
      </c>
      <c r="AT298" s="86"/>
      <c r="AU298" s="86">
        <v>0</v>
      </c>
      <c r="AV298" s="86">
        <f t="shared" si="81"/>
        <v>1</v>
      </c>
      <c r="AW298" s="86" t="str">
        <f t="shared" ref="AW298:AW356" si="82">"{s_taskTalk,{"&amp;L298&amp;","&amp;N298&amp;"}}"</f>
        <v>{s_taskTalk,{627,628}}</v>
      </c>
    </row>
    <row r="299" spans="1:49" s="87" customFormat="1" ht="72" x14ac:dyDescent="0.15">
      <c r="A299" s="81">
        <v>8004</v>
      </c>
      <c r="B299" s="82"/>
      <c r="C299" s="82" t="s">
        <v>8296</v>
      </c>
      <c r="D299" s="82">
        <v>1</v>
      </c>
      <c r="E299" s="82">
        <v>0</v>
      </c>
      <c r="F299" s="82">
        <v>8</v>
      </c>
      <c r="G299" s="884">
        <v>92</v>
      </c>
      <c r="H299" s="82">
        <v>200</v>
      </c>
      <c r="I299" s="82">
        <v>0</v>
      </c>
      <c r="J299" s="83">
        <v>8003</v>
      </c>
      <c r="K299" s="82">
        <v>0</v>
      </c>
      <c r="L299" s="85">
        <v>628</v>
      </c>
      <c r="M299" s="85" t="s">
        <v>8159</v>
      </c>
      <c r="N299" s="85">
        <v>628</v>
      </c>
      <c r="O299" s="85" t="s">
        <v>8159</v>
      </c>
      <c r="P299" s="82"/>
      <c r="Q299" s="869"/>
      <c r="R299" s="84"/>
      <c r="S299" s="872">
        <v>10035</v>
      </c>
      <c r="T299" s="84"/>
      <c r="U299" s="875">
        <v>100</v>
      </c>
      <c r="V299" s="875">
        <v>0</v>
      </c>
      <c r="W299" s="877">
        <v>5</v>
      </c>
      <c r="X299" s="82"/>
      <c r="Y299" s="82"/>
      <c r="Z299" s="21">
        <f>VLOOKUP(G299,Sheet2!A:H,8,0)</f>
        <v>887433</v>
      </c>
      <c r="AA299" s="82"/>
      <c r="AB299" s="82"/>
      <c r="AC299" s="23">
        <f>VLOOKUP(G299,Sheet2!A$2:K$151,9,FALSE)</f>
        <v>1347</v>
      </c>
      <c r="AD299" s="82"/>
      <c r="AE299" s="82"/>
      <c r="AF299" s="86" t="s">
        <v>8300</v>
      </c>
      <c r="AG299" s="86" t="s">
        <v>8301</v>
      </c>
      <c r="AH299" s="86" t="s">
        <v>8302</v>
      </c>
      <c r="AI299" s="86"/>
      <c r="AJ299" s="86" t="s">
        <v>8303</v>
      </c>
      <c r="AK299" s="86"/>
      <c r="AL299" s="86"/>
      <c r="AM299" s="86" t="s">
        <v>8179</v>
      </c>
      <c r="AN299" s="86" t="s">
        <v>8178</v>
      </c>
      <c r="AO299" s="86"/>
      <c r="AP299" s="86">
        <v>1</v>
      </c>
      <c r="AQ299" s="86">
        <v>0</v>
      </c>
      <c r="AR299" s="86">
        <v>1</v>
      </c>
      <c r="AS299" s="86">
        <v>1</v>
      </c>
      <c r="AT299" s="86"/>
      <c r="AU299" s="86">
        <v>0</v>
      </c>
      <c r="AV299" s="86">
        <f t="shared" si="81"/>
        <v>1</v>
      </c>
      <c r="AW299" s="87" t="str">
        <f>"{s_taskKillNpc, {"&amp;L299&amp;","&amp;N299&amp;","&amp;S299&amp;","&amp;U299&amp;"}}"</f>
        <v>{s_taskKillNpc, {628,628,10035,100}}</v>
      </c>
    </row>
    <row r="300" spans="1:49" s="87" customFormat="1" ht="72" x14ac:dyDescent="0.15">
      <c r="A300" s="81">
        <v>8005</v>
      </c>
      <c r="B300" s="82"/>
      <c r="C300" s="82" t="s">
        <v>8304</v>
      </c>
      <c r="D300" s="82">
        <v>1</v>
      </c>
      <c r="E300" s="82">
        <v>0</v>
      </c>
      <c r="F300" s="82">
        <v>8</v>
      </c>
      <c r="G300" s="884">
        <v>92</v>
      </c>
      <c r="H300" s="82">
        <v>200</v>
      </c>
      <c r="I300" s="82">
        <v>0</v>
      </c>
      <c r="J300" s="83">
        <v>8004</v>
      </c>
      <c r="K300" s="82">
        <v>0</v>
      </c>
      <c r="L300" s="85">
        <v>628</v>
      </c>
      <c r="M300" s="85" t="s">
        <v>8159</v>
      </c>
      <c r="N300" s="870">
        <v>633</v>
      </c>
      <c r="O300" s="871" t="s">
        <v>8160</v>
      </c>
      <c r="P300" s="82"/>
      <c r="Q300" s="869"/>
      <c r="R300" s="84"/>
      <c r="S300" s="869"/>
      <c r="T300" s="84"/>
      <c r="U300" s="869">
        <v>1</v>
      </c>
      <c r="V300" s="869">
        <v>1</v>
      </c>
      <c r="W300" s="877">
        <v>5</v>
      </c>
      <c r="X300" s="82"/>
      <c r="Y300" s="82"/>
      <c r="Z300" s="21">
        <f>VLOOKUP(G300,Sheet2!A:H,8,0)</f>
        <v>887433</v>
      </c>
      <c r="AA300" s="82"/>
      <c r="AB300" s="82"/>
      <c r="AC300" s="23">
        <f>VLOOKUP(G300,Sheet2!A$2:K$151,9,FALSE)</f>
        <v>1347</v>
      </c>
      <c r="AD300" s="82"/>
      <c r="AE300" s="82"/>
      <c r="AF300" s="86" t="s">
        <v>8305</v>
      </c>
      <c r="AG300" s="86" t="s">
        <v>8306</v>
      </c>
      <c r="AH300" s="86" t="s">
        <v>8307</v>
      </c>
      <c r="AI300" s="86"/>
      <c r="AJ300" s="86" t="s">
        <v>8308</v>
      </c>
      <c r="AK300" s="86"/>
      <c r="AL300" s="86"/>
      <c r="AM300" s="86" t="s">
        <v>8180</v>
      </c>
      <c r="AN300" s="86" t="s">
        <v>8181</v>
      </c>
      <c r="AO300" s="86"/>
      <c r="AP300" s="86">
        <v>1</v>
      </c>
      <c r="AQ300" s="86">
        <v>0</v>
      </c>
      <c r="AR300" s="86">
        <v>1</v>
      </c>
      <c r="AS300" s="86">
        <v>1</v>
      </c>
      <c r="AT300" s="86"/>
      <c r="AU300" s="86">
        <v>0</v>
      </c>
      <c r="AV300" s="86">
        <f t="shared" si="81"/>
        <v>1</v>
      </c>
      <c r="AW300" s="86" t="str">
        <f t="shared" si="82"/>
        <v>{s_taskTalk,{628,633}}</v>
      </c>
    </row>
    <row r="301" spans="1:49" s="87" customFormat="1" ht="72" x14ac:dyDescent="0.15">
      <c r="A301" s="81">
        <v>8006</v>
      </c>
      <c r="B301" s="82"/>
      <c r="C301" s="82" t="s">
        <v>8309</v>
      </c>
      <c r="D301" s="82">
        <v>1</v>
      </c>
      <c r="E301" s="82">
        <v>0</v>
      </c>
      <c r="F301" s="82">
        <v>8</v>
      </c>
      <c r="G301" s="884">
        <v>93</v>
      </c>
      <c r="H301" s="82">
        <v>200</v>
      </c>
      <c r="I301" s="82">
        <v>0</v>
      </c>
      <c r="J301" s="83">
        <v>8005</v>
      </c>
      <c r="K301" s="82">
        <v>0</v>
      </c>
      <c r="L301" s="870">
        <v>633</v>
      </c>
      <c r="M301" s="871" t="s">
        <v>8160</v>
      </c>
      <c r="N301" s="870">
        <v>633</v>
      </c>
      <c r="O301" s="871" t="s">
        <v>8160</v>
      </c>
      <c r="P301" s="82"/>
      <c r="Q301" s="869"/>
      <c r="R301" s="84"/>
      <c r="S301" s="873">
        <v>10035</v>
      </c>
      <c r="T301" s="84"/>
      <c r="U301" s="873">
        <v>100</v>
      </c>
      <c r="V301" s="875">
        <v>0</v>
      </c>
      <c r="W301" s="877">
        <v>5</v>
      </c>
      <c r="X301" s="82"/>
      <c r="Y301" s="82"/>
      <c r="Z301" s="21">
        <f>VLOOKUP(G301,Sheet2!A:H,8,0)</f>
        <v>1352789</v>
      </c>
      <c r="AA301" s="82"/>
      <c r="AB301" s="82"/>
      <c r="AC301" s="23">
        <f>VLOOKUP(G301,Sheet2!A$2:K$151,9,FALSE)</f>
        <v>2040</v>
      </c>
      <c r="AD301" s="82"/>
      <c r="AE301" s="82"/>
      <c r="AF301" s="86" t="s">
        <v>8310</v>
      </c>
      <c r="AG301" s="86" t="s">
        <v>8311</v>
      </c>
      <c r="AH301" s="86" t="s">
        <v>8312</v>
      </c>
      <c r="AI301" s="86"/>
      <c r="AJ301" s="86" t="s">
        <v>8555</v>
      </c>
      <c r="AK301" s="86"/>
      <c r="AL301" s="86"/>
      <c r="AM301" s="86" t="s">
        <v>8182</v>
      </c>
      <c r="AN301" s="86" t="s">
        <v>8183</v>
      </c>
      <c r="AO301" s="86"/>
      <c r="AP301" s="86">
        <v>1</v>
      </c>
      <c r="AQ301" s="86">
        <v>0</v>
      </c>
      <c r="AR301" s="86">
        <v>1</v>
      </c>
      <c r="AS301" s="86">
        <v>1</v>
      </c>
      <c r="AT301" s="86"/>
      <c r="AU301" s="86">
        <v>0</v>
      </c>
      <c r="AV301" s="86">
        <f t="shared" si="81"/>
        <v>1</v>
      </c>
      <c r="AW301" s="87" t="str">
        <f>"{s_taskKillNpc, {"&amp;L301&amp;","&amp;N301&amp;","&amp;S301&amp;","&amp;U301&amp;"}}"</f>
        <v>{s_taskKillNpc, {633,633,10035,100}}</v>
      </c>
    </row>
    <row r="302" spans="1:49" s="87" customFormat="1" ht="72" x14ac:dyDescent="0.15">
      <c r="A302" s="81">
        <v>8007</v>
      </c>
      <c r="B302" s="82"/>
      <c r="C302" s="82" t="s">
        <v>8313</v>
      </c>
      <c r="D302" s="82">
        <v>1</v>
      </c>
      <c r="E302" s="82">
        <v>0</v>
      </c>
      <c r="F302" s="82">
        <v>8</v>
      </c>
      <c r="G302" s="884">
        <v>93</v>
      </c>
      <c r="H302" s="82">
        <v>200</v>
      </c>
      <c r="I302" s="82">
        <v>0</v>
      </c>
      <c r="J302" s="83">
        <v>8006</v>
      </c>
      <c r="K302" s="82">
        <v>0</v>
      </c>
      <c r="L302" s="870">
        <v>633</v>
      </c>
      <c r="M302" s="871" t="s">
        <v>8160</v>
      </c>
      <c r="N302" s="85">
        <v>628</v>
      </c>
      <c r="O302" s="85" t="s">
        <v>8159</v>
      </c>
      <c r="P302" s="82"/>
      <c r="Q302" s="869"/>
      <c r="R302" s="84"/>
      <c r="S302" s="869"/>
      <c r="T302" s="84"/>
      <c r="U302" s="869">
        <v>1</v>
      </c>
      <c r="V302" s="869">
        <v>1</v>
      </c>
      <c r="W302" s="877">
        <v>5</v>
      </c>
      <c r="X302" s="82"/>
      <c r="Y302" s="82"/>
      <c r="Z302" s="21">
        <f>VLOOKUP(G302,Sheet2!A:H,8,0)</f>
        <v>1352789</v>
      </c>
      <c r="AA302" s="82"/>
      <c r="AB302" s="82"/>
      <c r="AC302" s="23">
        <f>VLOOKUP(G302,Sheet2!A$2:K$151,9,FALSE)</f>
        <v>2040</v>
      </c>
      <c r="AD302" s="82"/>
      <c r="AE302" s="82"/>
      <c r="AF302" s="86" t="s">
        <v>8314</v>
      </c>
      <c r="AG302" s="86" t="s">
        <v>8315</v>
      </c>
      <c r="AH302" s="86" t="s">
        <v>8316</v>
      </c>
      <c r="AI302" s="86"/>
      <c r="AJ302" s="86" t="s">
        <v>8317</v>
      </c>
      <c r="AK302" s="86"/>
      <c r="AL302" s="86"/>
      <c r="AM302" s="86" t="s">
        <v>8184</v>
      </c>
      <c r="AN302" s="86" t="s">
        <v>8185</v>
      </c>
      <c r="AO302" s="86"/>
      <c r="AP302" s="86">
        <v>1</v>
      </c>
      <c r="AQ302" s="86">
        <v>0</v>
      </c>
      <c r="AR302" s="86">
        <v>1</v>
      </c>
      <c r="AS302" s="86">
        <v>1</v>
      </c>
      <c r="AT302" s="86"/>
      <c r="AU302" s="86">
        <v>0</v>
      </c>
      <c r="AV302" s="86">
        <f t="shared" si="81"/>
        <v>1</v>
      </c>
      <c r="AW302" s="86" t="str">
        <f t="shared" si="82"/>
        <v>{s_taskTalk,{633,628}}</v>
      </c>
    </row>
    <row r="303" spans="1:49" s="87" customFormat="1" ht="72" x14ac:dyDescent="0.15">
      <c r="A303" s="81">
        <v>8008</v>
      </c>
      <c r="B303" s="82"/>
      <c r="C303" s="82" t="s">
        <v>8320</v>
      </c>
      <c r="D303" s="82">
        <v>1</v>
      </c>
      <c r="E303" s="82">
        <v>0</v>
      </c>
      <c r="F303" s="82">
        <v>8</v>
      </c>
      <c r="G303" s="884">
        <v>94</v>
      </c>
      <c r="H303" s="82">
        <v>200</v>
      </c>
      <c r="I303" s="82">
        <v>0</v>
      </c>
      <c r="J303" s="83">
        <v>8007</v>
      </c>
      <c r="K303" s="82">
        <v>0</v>
      </c>
      <c r="L303" s="85">
        <v>628</v>
      </c>
      <c r="M303" s="85" t="s">
        <v>8159</v>
      </c>
      <c r="N303" s="85">
        <v>627</v>
      </c>
      <c r="O303" s="85" t="s">
        <v>8157</v>
      </c>
      <c r="P303" s="82"/>
      <c r="Q303" s="869"/>
      <c r="R303" s="84"/>
      <c r="S303" s="874">
        <v>10036</v>
      </c>
      <c r="T303" s="84"/>
      <c r="U303" s="875">
        <v>100</v>
      </c>
      <c r="V303" s="875">
        <v>0</v>
      </c>
      <c r="W303" s="877">
        <v>5</v>
      </c>
      <c r="X303" s="82"/>
      <c r="Y303" s="82"/>
      <c r="Z303" s="21">
        <f>VLOOKUP(G303,Sheet2!A:H,8,0)</f>
        <v>1374545</v>
      </c>
      <c r="AA303" s="82"/>
      <c r="AB303" s="82"/>
      <c r="AC303" s="23">
        <f>VLOOKUP(G303,Sheet2!A$2:K$151,9,FALSE)</f>
        <v>2060</v>
      </c>
      <c r="AD303" s="82"/>
      <c r="AE303" s="82"/>
      <c r="AF303" s="86" t="s">
        <v>8556</v>
      </c>
      <c r="AG303" s="86" t="s">
        <v>8557</v>
      </c>
      <c r="AH303" s="86" t="s">
        <v>8318</v>
      </c>
      <c r="AI303" s="86"/>
      <c r="AJ303" s="86" t="s">
        <v>8319</v>
      </c>
      <c r="AK303" s="86"/>
      <c r="AL303" s="86"/>
      <c r="AM303" s="86" t="s">
        <v>8186</v>
      </c>
      <c r="AN303" s="86" t="s">
        <v>8187</v>
      </c>
      <c r="AO303" s="86"/>
      <c r="AP303" s="86">
        <v>1</v>
      </c>
      <c r="AQ303" s="86">
        <v>0</v>
      </c>
      <c r="AR303" s="86">
        <v>1</v>
      </c>
      <c r="AS303" s="86">
        <v>1</v>
      </c>
      <c r="AT303" s="86"/>
      <c r="AU303" s="86">
        <v>0</v>
      </c>
      <c r="AV303" s="86">
        <f t="shared" si="81"/>
        <v>1</v>
      </c>
      <c r="AW303" s="87" t="str">
        <f>"{s_taskKillNpc, {"&amp;L303&amp;","&amp;N303&amp;","&amp;S303&amp;","&amp;U303&amp;"}}"</f>
        <v>{s_taskKillNpc, {628,627,10036,100}}</v>
      </c>
    </row>
    <row r="304" spans="1:49" s="87" customFormat="1" ht="72" x14ac:dyDescent="0.15">
      <c r="A304" s="81">
        <v>8009</v>
      </c>
      <c r="B304" s="82"/>
      <c r="C304" s="82" t="s">
        <v>8321</v>
      </c>
      <c r="D304" s="82">
        <v>1</v>
      </c>
      <c r="E304" s="82">
        <v>0</v>
      </c>
      <c r="F304" s="82">
        <v>8</v>
      </c>
      <c r="G304" s="884">
        <v>94</v>
      </c>
      <c r="H304" s="82">
        <v>200</v>
      </c>
      <c r="I304" s="82">
        <v>0</v>
      </c>
      <c r="J304" s="83">
        <v>8008</v>
      </c>
      <c r="K304" s="82">
        <v>0</v>
      </c>
      <c r="L304" s="85">
        <v>627</v>
      </c>
      <c r="M304" s="85" t="s">
        <v>8157</v>
      </c>
      <c r="N304" s="870">
        <v>629</v>
      </c>
      <c r="O304" s="871" t="s">
        <v>8161</v>
      </c>
      <c r="P304" s="82"/>
      <c r="Q304" s="869"/>
      <c r="R304" s="84"/>
      <c r="S304" s="869"/>
      <c r="T304" s="84"/>
      <c r="U304" s="869">
        <v>1</v>
      </c>
      <c r="V304" s="869">
        <v>1</v>
      </c>
      <c r="W304" s="877">
        <v>5</v>
      </c>
      <c r="X304" s="82"/>
      <c r="Y304" s="82"/>
      <c r="Z304" s="21">
        <f>VLOOKUP(G304,Sheet2!A:H,8,0)</f>
        <v>1374545</v>
      </c>
      <c r="AA304" s="82"/>
      <c r="AB304" s="82"/>
      <c r="AC304" s="23">
        <f>VLOOKUP(G304,Sheet2!A$2:K$151,9,FALSE)</f>
        <v>2060</v>
      </c>
      <c r="AD304" s="82"/>
      <c r="AE304" s="82"/>
      <c r="AF304" s="86" t="s">
        <v>8322</v>
      </c>
      <c r="AG304" s="86" t="s">
        <v>8323</v>
      </c>
      <c r="AH304" s="86" t="s">
        <v>8324</v>
      </c>
      <c r="AI304" s="86"/>
      <c r="AJ304" s="86" t="s">
        <v>8558</v>
      </c>
      <c r="AK304" s="86"/>
      <c r="AL304" s="86"/>
      <c r="AM304" s="86" t="s">
        <v>8188</v>
      </c>
      <c r="AN304" s="86" t="s">
        <v>8189</v>
      </c>
      <c r="AO304" s="86"/>
      <c r="AP304" s="86">
        <v>1</v>
      </c>
      <c r="AQ304" s="86">
        <v>0</v>
      </c>
      <c r="AR304" s="86">
        <v>1</v>
      </c>
      <c r="AS304" s="86">
        <v>1</v>
      </c>
      <c r="AT304" s="86"/>
      <c r="AU304" s="86">
        <v>0</v>
      </c>
      <c r="AV304" s="86">
        <f t="shared" si="81"/>
        <v>1</v>
      </c>
      <c r="AW304" s="86" t="str">
        <f t="shared" si="82"/>
        <v>{s_taskTalk,{627,629}}</v>
      </c>
    </row>
    <row r="305" spans="1:49" s="87" customFormat="1" ht="72" x14ac:dyDescent="0.15">
      <c r="A305" s="81">
        <v>8010</v>
      </c>
      <c r="B305" s="82"/>
      <c r="C305" s="82" t="s">
        <v>8325</v>
      </c>
      <c r="D305" s="82">
        <v>1</v>
      </c>
      <c r="E305" s="82">
        <v>0</v>
      </c>
      <c r="F305" s="82">
        <v>8</v>
      </c>
      <c r="G305" s="884">
        <v>95</v>
      </c>
      <c r="H305" s="82">
        <v>200</v>
      </c>
      <c r="I305" s="82">
        <v>0</v>
      </c>
      <c r="J305" s="83">
        <v>8009</v>
      </c>
      <c r="K305" s="82">
        <v>0</v>
      </c>
      <c r="L305" s="870">
        <v>629</v>
      </c>
      <c r="M305" s="871" t="s">
        <v>8161</v>
      </c>
      <c r="N305" s="870">
        <v>630</v>
      </c>
      <c r="O305" s="871" t="s">
        <v>8162</v>
      </c>
      <c r="P305" s="82"/>
      <c r="Q305" s="869"/>
      <c r="R305" s="84"/>
      <c r="S305" s="874">
        <v>10036</v>
      </c>
      <c r="T305" s="84"/>
      <c r="U305" s="875">
        <v>100</v>
      </c>
      <c r="V305" s="875">
        <v>0</v>
      </c>
      <c r="W305" s="877">
        <v>5</v>
      </c>
      <c r="X305" s="82"/>
      <c r="Y305" s="82"/>
      <c r="Z305" s="21">
        <f>VLOOKUP(G305,Sheet2!A:H,8,0)</f>
        <v>1396418</v>
      </c>
      <c r="AA305" s="82"/>
      <c r="AB305" s="82"/>
      <c r="AC305" s="23">
        <f>VLOOKUP(G305,Sheet2!A$2:K$151,9,FALSE)</f>
        <v>2080</v>
      </c>
      <c r="AD305" s="82"/>
      <c r="AE305" s="82"/>
      <c r="AF305" s="86" t="s">
        <v>8560</v>
      </c>
      <c r="AG305" s="86" t="s">
        <v>8559</v>
      </c>
      <c r="AH305" s="86" t="s">
        <v>8562</v>
      </c>
      <c r="AI305" s="86"/>
      <c r="AJ305" s="86" t="s">
        <v>8561</v>
      </c>
      <c r="AK305" s="86"/>
      <c r="AL305" s="86"/>
      <c r="AM305" s="86" t="s">
        <v>8190</v>
      </c>
      <c r="AN305" s="86" t="s">
        <v>8191</v>
      </c>
      <c r="AO305" s="86"/>
      <c r="AP305" s="86">
        <v>1</v>
      </c>
      <c r="AQ305" s="86">
        <v>0</v>
      </c>
      <c r="AR305" s="86">
        <v>1</v>
      </c>
      <c r="AS305" s="86">
        <v>1</v>
      </c>
      <c r="AT305" s="86"/>
      <c r="AU305" s="86">
        <v>0</v>
      </c>
      <c r="AV305" s="86">
        <f t="shared" si="81"/>
        <v>1</v>
      </c>
      <c r="AW305" s="87" t="str">
        <f>"{s_taskKillNpc, {"&amp;L305&amp;","&amp;N305&amp;","&amp;S305&amp;","&amp;U305&amp;"}}"</f>
        <v>{s_taskKillNpc, {629,630,10036,100}}</v>
      </c>
    </row>
    <row r="306" spans="1:49" s="87" customFormat="1" ht="72" x14ac:dyDescent="0.15">
      <c r="A306" s="81">
        <v>8011</v>
      </c>
      <c r="B306" s="82"/>
      <c r="C306" s="82" t="s">
        <v>8326</v>
      </c>
      <c r="D306" s="82">
        <v>1</v>
      </c>
      <c r="E306" s="82">
        <v>0</v>
      </c>
      <c r="F306" s="82">
        <v>8</v>
      </c>
      <c r="G306" s="884">
        <v>95</v>
      </c>
      <c r="H306" s="82">
        <v>200</v>
      </c>
      <c r="I306" s="82">
        <v>0</v>
      </c>
      <c r="J306" s="83">
        <v>8010</v>
      </c>
      <c r="K306" s="82">
        <v>0</v>
      </c>
      <c r="L306" s="870">
        <v>630</v>
      </c>
      <c r="M306" s="871" t="s">
        <v>8162</v>
      </c>
      <c r="N306" s="870">
        <v>635</v>
      </c>
      <c r="O306" s="871" t="s">
        <v>8163</v>
      </c>
      <c r="P306" s="82"/>
      <c r="Q306" s="869"/>
      <c r="R306" s="84"/>
      <c r="S306" s="869"/>
      <c r="T306" s="84"/>
      <c r="U306" s="869">
        <v>1</v>
      </c>
      <c r="V306" s="869">
        <v>1</v>
      </c>
      <c r="W306" s="877">
        <v>5</v>
      </c>
      <c r="X306" s="82"/>
      <c r="Y306" s="82"/>
      <c r="Z306" s="21">
        <f>VLOOKUP(G306,Sheet2!A:H,8,0)</f>
        <v>1396418</v>
      </c>
      <c r="AA306" s="82"/>
      <c r="AB306" s="82"/>
      <c r="AC306" s="23">
        <f>VLOOKUP(G306,Sheet2!A$2:K$151,9,FALSE)</f>
        <v>2080</v>
      </c>
      <c r="AD306" s="82"/>
      <c r="AE306" s="82"/>
      <c r="AF306" s="86" t="s">
        <v>8327</v>
      </c>
      <c r="AG306" s="86" t="s">
        <v>8328</v>
      </c>
      <c r="AH306" s="86" t="s">
        <v>8329</v>
      </c>
      <c r="AI306" s="86"/>
      <c r="AJ306" s="86" t="s">
        <v>8330</v>
      </c>
      <c r="AK306" s="86"/>
      <c r="AL306" s="86"/>
      <c r="AM306" s="86" t="s">
        <v>8192</v>
      </c>
      <c r="AN306" s="86" t="s">
        <v>8606</v>
      </c>
      <c r="AO306" s="86"/>
      <c r="AP306" s="86">
        <v>1</v>
      </c>
      <c r="AQ306" s="86">
        <v>0</v>
      </c>
      <c r="AR306" s="86">
        <v>1</v>
      </c>
      <c r="AS306" s="86">
        <v>1</v>
      </c>
      <c r="AT306" s="86"/>
      <c r="AU306" s="86">
        <v>0</v>
      </c>
      <c r="AV306" s="86">
        <f t="shared" si="81"/>
        <v>1</v>
      </c>
      <c r="AW306" s="86" t="str">
        <f t="shared" si="82"/>
        <v>{s_taskTalk,{630,635}}</v>
      </c>
    </row>
    <row r="307" spans="1:49" s="87" customFormat="1" ht="72" x14ac:dyDescent="0.15">
      <c r="A307" s="81">
        <v>8012</v>
      </c>
      <c r="B307" s="82"/>
      <c r="C307" s="82" t="s">
        <v>8331</v>
      </c>
      <c r="D307" s="82">
        <v>1</v>
      </c>
      <c r="E307" s="82">
        <v>0</v>
      </c>
      <c r="F307" s="82">
        <v>8</v>
      </c>
      <c r="G307" s="884">
        <v>96</v>
      </c>
      <c r="H307" s="82">
        <v>200</v>
      </c>
      <c r="I307" s="82">
        <v>0</v>
      </c>
      <c r="J307" s="83">
        <v>8011</v>
      </c>
      <c r="K307" s="82">
        <v>0</v>
      </c>
      <c r="L307" s="870">
        <v>635</v>
      </c>
      <c r="M307" s="871" t="s">
        <v>8163</v>
      </c>
      <c r="N307" s="870">
        <v>635</v>
      </c>
      <c r="O307" s="871" t="s">
        <v>8163</v>
      </c>
      <c r="P307" s="82"/>
      <c r="Q307" s="849">
        <v>2055</v>
      </c>
      <c r="R307" s="84"/>
      <c r="S307" s="869"/>
      <c r="T307" s="84"/>
      <c r="U307" s="876">
        <v>1</v>
      </c>
      <c r="V307" s="875">
        <v>0</v>
      </c>
      <c r="W307" s="877">
        <v>5</v>
      </c>
      <c r="X307" s="82"/>
      <c r="Y307" s="82"/>
      <c r="Z307" s="21">
        <f>VLOOKUP(G307,Sheet2!A:H,8,0)</f>
        <v>1418406</v>
      </c>
      <c r="AA307" s="82"/>
      <c r="AB307" s="82"/>
      <c r="AC307" s="23">
        <f>VLOOKUP(G307,Sheet2!A$2:K$151,9,FALSE)</f>
        <v>2100</v>
      </c>
      <c r="AD307" s="82"/>
      <c r="AE307" s="82"/>
      <c r="AF307" s="86" t="s">
        <v>8563</v>
      </c>
      <c r="AG307" s="86" t="s">
        <v>8564</v>
      </c>
      <c r="AH307" s="86" t="s">
        <v>8332</v>
      </c>
      <c r="AI307" s="86"/>
      <c r="AJ307" s="86" t="s">
        <v>8565</v>
      </c>
      <c r="AK307" s="86"/>
      <c r="AL307" s="86"/>
      <c r="AM307" s="86" t="s">
        <v>8193</v>
      </c>
      <c r="AN307" s="86" t="s">
        <v>8194</v>
      </c>
      <c r="AO307" s="86"/>
      <c r="AP307" s="86">
        <v>1</v>
      </c>
      <c r="AQ307" s="86">
        <v>0</v>
      </c>
      <c r="AR307" s="86">
        <v>1</v>
      </c>
      <c r="AS307" s="86">
        <v>1</v>
      </c>
      <c r="AT307" s="86"/>
      <c r="AU307" s="86">
        <v>0</v>
      </c>
      <c r="AV307" s="86">
        <f t="shared" si="81"/>
        <v>1</v>
      </c>
      <c r="AW307" s="86" t="str">
        <f>"{s_taskTalk,{"&amp;L307&amp;","&amp;N307&amp;"}}"</f>
        <v>{s_taskTalk,{635,635}}</v>
      </c>
    </row>
    <row r="308" spans="1:49" s="87" customFormat="1" ht="72" x14ac:dyDescent="0.15">
      <c r="A308" s="81">
        <v>8013</v>
      </c>
      <c r="B308" s="82"/>
      <c r="C308" s="82" t="s">
        <v>8333</v>
      </c>
      <c r="D308" s="82">
        <v>1</v>
      </c>
      <c r="E308" s="82">
        <v>0</v>
      </c>
      <c r="F308" s="82">
        <v>8</v>
      </c>
      <c r="G308" s="884">
        <v>96</v>
      </c>
      <c r="H308" s="82">
        <v>200</v>
      </c>
      <c r="I308" s="82">
        <v>0</v>
      </c>
      <c r="J308" s="83">
        <v>8012</v>
      </c>
      <c r="K308" s="82">
        <v>0</v>
      </c>
      <c r="L308" s="870">
        <v>635</v>
      </c>
      <c r="M308" s="871" t="s">
        <v>8163</v>
      </c>
      <c r="N308" s="870">
        <v>635</v>
      </c>
      <c r="O308" s="871" t="s">
        <v>8163</v>
      </c>
      <c r="P308" s="82"/>
      <c r="Q308" s="869"/>
      <c r="R308" s="84"/>
      <c r="S308" s="869"/>
      <c r="T308" s="84"/>
      <c r="U308" s="869">
        <v>1</v>
      </c>
      <c r="V308" s="869">
        <v>1</v>
      </c>
      <c r="W308" s="877">
        <v>5</v>
      </c>
      <c r="X308" s="82"/>
      <c r="Y308" s="82"/>
      <c r="Z308" s="21">
        <f>VLOOKUP(G308,Sheet2!A:H,8,0)</f>
        <v>1418406</v>
      </c>
      <c r="AA308" s="82"/>
      <c r="AB308" s="82"/>
      <c r="AC308" s="23">
        <f>VLOOKUP(G308,Sheet2!A$2:K$151,9,FALSE)</f>
        <v>2100</v>
      </c>
      <c r="AD308" s="82"/>
      <c r="AE308" s="82"/>
      <c r="AF308" s="86" t="s">
        <v>8334</v>
      </c>
      <c r="AG308" s="86" t="s">
        <v>8335</v>
      </c>
      <c r="AH308" s="86" t="s">
        <v>8336</v>
      </c>
      <c r="AI308" s="86"/>
      <c r="AJ308" s="86" t="s">
        <v>8337</v>
      </c>
      <c r="AK308" s="86"/>
      <c r="AL308" s="86"/>
      <c r="AM308" s="86" t="s">
        <v>8195</v>
      </c>
      <c r="AN308" s="86" t="s">
        <v>8196</v>
      </c>
      <c r="AO308" s="86"/>
      <c r="AP308" s="86">
        <v>1</v>
      </c>
      <c r="AQ308" s="86">
        <v>0</v>
      </c>
      <c r="AR308" s="86">
        <v>1</v>
      </c>
      <c r="AS308" s="86">
        <v>1</v>
      </c>
      <c r="AT308" s="86"/>
      <c r="AU308" s="86">
        <v>0</v>
      </c>
      <c r="AV308" s="86">
        <f t="shared" si="81"/>
        <v>1</v>
      </c>
      <c r="AW308" s="86" t="str">
        <f t="shared" si="82"/>
        <v>{s_taskTalk,{635,635}}</v>
      </c>
    </row>
    <row r="309" spans="1:49" s="87" customFormat="1" ht="72" x14ac:dyDescent="0.15">
      <c r="A309" s="81">
        <v>8014</v>
      </c>
      <c r="B309" s="82"/>
      <c r="C309" s="82" t="s">
        <v>8338</v>
      </c>
      <c r="D309" s="82">
        <v>1</v>
      </c>
      <c r="E309" s="82">
        <v>0</v>
      </c>
      <c r="F309" s="82">
        <v>8</v>
      </c>
      <c r="G309" s="884">
        <v>97</v>
      </c>
      <c r="H309" s="82">
        <v>200</v>
      </c>
      <c r="I309" s="82">
        <v>0</v>
      </c>
      <c r="J309" s="83">
        <v>8013</v>
      </c>
      <c r="K309" s="82">
        <v>0</v>
      </c>
      <c r="L309" s="870">
        <v>635</v>
      </c>
      <c r="M309" s="871" t="s">
        <v>8163</v>
      </c>
      <c r="N309" s="870">
        <v>635</v>
      </c>
      <c r="O309" s="871" t="s">
        <v>8163</v>
      </c>
      <c r="P309" s="82"/>
      <c r="Q309" s="869"/>
      <c r="R309" s="84"/>
      <c r="S309" s="874">
        <v>10037</v>
      </c>
      <c r="T309" s="84"/>
      <c r="U309" s="875">
        <v>100</v>
      </c>
      <c r="V309" s="875">
        <v>0</v>
      </c>
      <c r="W309" s="877">
        <v>5</v>
      </c>
      <c r="X309" s="82"/>
      <c r="Y309" s="82"/>
      <c r="Z309" s="21">
        <f>VLOOKUP(G309,Sheet2!A:H,8,0)</f>
        <v>1440508</v>
      </c>
      <c r="AA309" s="82"/>
      <c r="AB309" s="82"/>
      <c r="AC309" s="23">
        <f>VLOOKUP(G309,Sheet2!A$2:K$151,9,FALSE)</f>
        <v>2120</v>
      </c>
      <c r="AD309" s="82"/>
      <c r="AE309" s="82"/>
      <c r="AF309" s="86" t="s">
        <v>8339</v>
      </c>
      <c r="AG309" s="86" t="s">
        <v>8340</v>
      </c>
      <c r="AH309" s="86" t="s">
        <v>8341</v>
      </c>
      <c r="AI309" s="86"/>
      <c r="AJ309" s="86" t="s">
        <v>8342</v>
      </c>
      <c r="AK309" s="86"/>
      <c r="AL309" s="86"/>
      <c r="AM309" s="86" t="s">
        <v>8197</v>
      </c>
      <c r="AN309" s="86" t="s">
        <v>8198</v>
      </c>
      <c r="AO309" s="86"/>
      <c r="AP309" s="86">
        <v>1</v>
      </c>
      <c r="AQ309" s="86">
        <v>0</v>
      </c>
      <c r="AR309" s="86">
        <v>1</v>
      </c>
      <c r="AS309" s="86">
        <v>1</v>
      </c>
      <c r="AT309" s="86"/>
      <c r="AU309" s="86">
        <v>0</v>
      </c>
      <c r="AV309" s="86">
        <f t="shared" si="81"/>
        <v>1</v>
      </c>
      <c r="AW309" s="87" t="str">
        <f>"{s_taskKillNpc, {"&amp;L309&amp;","&amp;N309&amp;","&amp;S309&amp;","&amp;U309&amp;"}}"</f>
        <v>{s_taskKillNpc, {635,635,10037,100}}</v>
      </c>
    </row>
    <row r="310" spans="1:49" s="87" customFormat="1" ht="72" x14ac:dyDescent="0.15">
      <c r="A310" s="81">
        <v>8015</v>
      </c>
      <c r="B310" s="82"/>
      <c r="C310" s="82" t="s">
        <v>8343</v>
      </c>
      <c r="D310" s="82">
        <v>1</v>
      </c>
      <c r="E310" s="82">
        <v>0</v>
      </c>
      <c r="F310" s="82">
        <v>8</v>
      </c>
      <c r="G310" s="884">
        <v>97</v>
      </c>
      <c r="H310" s="82">
        <v>200</v>
      </c>
      <c r="I310" s="82">
        <v>0</v>
      </c>
      <c r="J310" s="83">
        <v>8014</v>
      </c>
      <c r="K310" s="82">
        <v>0</v>
      </c>
      <c r="L310" s="870">
        <v>635</v>
      </c>
      <c r="M310" s="871" t="s">
        <v>8163</v>
      </c>
      <c r="N310" s="870">
        <v>634</v>
      </c>
      <c r="O310" s="871" t="s">
        <v>8164</v>
      </c>
      <c r="P310" s="82"/>
      <c r="Q310" s="869"/>
      <c r="R310" s="84"/>
      <c r="S310" s="869"/>
      <c r="T310" s="84"/>
      <c r="U310" s="869">
        <v>1</v>
      </c>
      <c r="V310" s="869">
        <v>1</v>
      </c>
      <c r="W310" s="877">
        <v>5</v>
      </c>
      <c r="X310" s="82"/>
      <c r="Y310" s="82"/>
      <c r="Z310" s="21">
        <f>VLOOKUP(G310,Sheet2!A:H,8,0)</f>
        <v>1440508</v>
      </c>
      <c r="AA310" s="82"/>
      <c r="AB310" s="82"/>
      <c r="AC310" s="23">
        <f>VLOOKUP(G310,Sheet2!A$2:K$151,9,FALSE)</f>
        <v>2120</v>
      </c>
      <c r="AD310" s="82"/>
      <c r="AE310" s="82"/>
      <c r="AF310" s="86" t="s">
        <v>8348</v>
      </c>
      <c r="AG310" s="86" t="s">
        <v>8355</v>
      </c>
      <c r="AH310" s="86" t="s">
        <v>8349</v>
      </c>
      <c r="AI310" s="86"/>
      <c r="AJ310" s="86" t="s">
        <v>8365</v>
      </c>
      <c r="AK310" s="86"/>
      <c r="AL310" s="86"/>
      <c r="AM310" s="86" t="s">
        <v>8199</v>
      </c>
      <c r="AN310" s="86" t="s">
        <v>8200</v>
      </c>
      <c r="AO310" s="86"/>
      <c r="AP310" s="86">
        <v>1</v>
      </c>
      <c r="AQ310" s="86">
        <v>0</v>
      </c>
      <c r="AR310" s="86">
        <v>1</v>
      </c>
      <c r="AS310" s="86">
        <v>1</v>
      </c>
      <c r="AT310" s="86"/>
      <c r="AU310" s="86">
        <v>0</v>
      </c>
      <c r="AV310" s="86">
        <f t="shared" si="81"/>
        <v>1</v>
      </c>
      <c r="AW310" s="86" t="str">
        <f t="shared" si="82"/>
        <v>{s_taskTalk,{635,634}}</v>
      </c>
    </row>
    <row r="311" spans="1:49" s="87" customFormat="1" ht="72" x14ac:dyDescent="0.15">
      <c r="A311" s="81">
        <v>8016</v>
      </c>
      <c r="B311" s="82"/>
      <c r="C311" s="82" t="s">
        <v>8344</v>
      </c>
      <c r="D311" s="82">
        <v>1</v>
      </c>
      <c r="E311" s="82">
        <v>0</v>
      </c>
      <c r="F311" s="82">
        <v>8</v>
      </c>
      <c r="G311" s="884">
        <v>98</v>
      </c>
      <c r="H311" s="82">
        <v>200</v>
      </c>
      <c r="I311" s="82">
        <v>0</v>
      </c>
      <c r="J311" s="83">
        <v>8015</v>
      </c>
      <c r="K311" s="82">
        <v>0</v>
      </c>
      <c r="L311" s="870">
        <v>634</v>
      </c>
      <c r="M311" s="871" t="s">
        <v>8164</v>
      </c>
      <c r="N311" s="870">
        <v>634</v>
      </c>
      <c r="O311" s="871" t="s">
        <v>8164</v>
      </c>
      <c r="P311" s="82"/>
      <c r="Q311" s="869"/>
      <c r="R311" s="84"/>
      <c r="S311" s="874">
        <v>10037</v>
      </c>
      <c r="T311" s="84"/>
      <c r="U311" s="875">
        <v>100</v>
      </c>
      <c r="V311" s="875">
        <v>0</v>
      </c>
      <c r="W311" s="877">
        <v>5</v>
      </c>
      <c r="X311" s="82"/>
      <c r="Y311" s="82"/>
      <c r="Z311" s="21">
        <f>VLOOKUP(G311,Sheet2!A:H,8,0)</f>
        <v>1462725</v>
      </c>
      <c r="AA311" s="82"/>
      <c r="AB311" s="82"/>
      <c r="AC311" s="23">
        <f>VLOOKUP(G311,Sheet2!A$2:K$151,9,FALSE)</f>
        <v>2140</v>
      </c>
      <c r="AD311" s="82"/>
      <c r="AE311" s="82"/>
      <c r="AF311" s="86" t="s">
        <v>8350</v>
      </c>
      <c r="AG311" s="86" t="s">
        <v>8354</v>
      </c>
      <c r="AH311" s="86" t="s">
        <v>8356</v>
      </c>
      <c r="AI311" s="86"/>
      <c r="AJ311" s="86" t="s">
        <v>8364</v>
      </c>
      <c r="AK311" s="86"/>
      <c r="AL311" s="86"/>
      <c r="AM311" s="86" t="s">
        <v>8201</v>
      </c>
      <c r="AN311" s="86" t="s">
        <v>8202</v>
      </c>
      <c r="AO311" s="86"/>
      <c r="AP311" s="86">
        <v>1</v>
      </c>
      <c r="AQ311" s="86">
        <v>0</v>
      </c>
      <c r="AR311" s="86">
        <v>1</v>
      </c>
      <c r="AS311" s="86">
        <v>1</v>
      </c>
      <c r="AT311" s="86"/>
      <c r="AU311" s="86">
        <v>0</v>
      </c>
      <c r="AV311" s="86">
        <f t="shared" si="81"/>
        <v>1</v>
      </c>
      <c r="AW311" s="87" t="str">
        <f>"{s_taskKillNpc, {"&amp;L311&amp;","&amp;N311&amp;","&amp;S311&amp;","&amp;U311&amp;"}}"</f>
        <v>{s_taskKillNpc, {634,634,10037,100}}</v>
      </c>
    </row>
    <row r="312" spans="1:49" s="87" customFormat="1" ht="72" x14ac:dyDescent="0.15">
      <c r="A312" s="81">
        <v>8017</v>
      </c>
      <c r="B312" s="82"/>
      <c r="C312" s="82" t="s">
        <v>8345</v>
      </c>
      <c r="D312" s="82">
        <v>1</v>
      </c>
      <c r="E312" s="82">
        <v>0</v>
      </c>
      <c r="F312" s="82">
        <v>8</v>
      </c>
      <c r="G312" s="884">
        <v>98</v>
      </c>
      <c r="H312" s="82">
        <v>200</v>
      </c>
      <c r="I312" s="82">
        <v>0</v>
      </c>
      <c r="J312" s="83">
        <v>8016</v>
      </c>
      <c r="K312" s="82">
        <v>0</v>
      </c>
      <c r="L312" s="870">
        <v>634</v>
      </c>
      <c r="M312" s="871" t="s">
        <v>8164</v>
      </c>
      <c r="N312" s="85">
        <v>627</v>
      </c>
      <c r="O312" s="85" t="s">
        <v>8157</v>
      </c>
      <c r="P312" s="82"/>
      <c r="Q312" s="869"/>
      <c r="R312" s="84"/>
      <c r="S312" s="869"/>
      <c r="T312" s="84"/>
      <c r="U312" s="869">
        <v>1</v>
      </c>
      <c r="V312" s="869">
        <v>1</v>
      </c>
      <c r="W312" s="877">
        <v>5</v>
      </c>
      <c r="X312" s="82"/>
      <c r="Y312" s="82"/>
      <c r="Z312" s="21">
        <f>VLOOKUP(G312,Sheet2!A:H,8,0)</f>
        <v>1462725</v>
      </c>
      <c r="AA312" s="82"/>
      <c r="AB312" s="82"/>
      <c r="AC312" s="23">
        <f>VLOOKUP(G312,Sheet2!A$2:K$151,9,FALSE)</f>
        <v>2140</v>
      </c>
      <c r="AD312" s="82"/>
      <c r="AE312" s="82"/>
      <c r="AF312" s="86" t="s">
        <v>8567</v>
      </c>
      <c r="AG312" s="86" t="s">
        <v>8566</v>
      </c>
      <c r="AH312" s="86" t="s">
        <v>8568</v>
      </c>
      <c r="AI312" s="86"/>
      <c r="AJ312" s="86" t="s">
        <v>8363</v>
      </c>
      <c r="AK312" s="86"/>
      <c r="AL312" s="86"/>
      <c r="AM312" s="86" t="s">
        <v>8203</v>
      </c>
      <c r="AN312" s="86" t="s">
        <v>8173</v>
      </c>
      <c r="AO312" s="86"/>
      <c r="AP312" s="86">
        <v>1</v>
      </c>
      <c r="AQ312" s="86">
        <v>0</v>
      </c>
      <c r="AR312" s="86">
        <v>1</v>
      </c>
      <c r="AS312" s="86">
        <v>1</v>
      </c>
      <c r="AT312" s="86"/>
      <c r="AU312" s="86">
        <v>0</v>
      </c>
      <c r="AV312" s="86">
        <f t="shared" si="81"/>
        <v>1</v>
      </c>
      <c r="AW312" s="86" t="str">
        <f t="shared" si="82"/>
        <v>{s_taskTalk,{634,627}}</v>
      </c>
    </row>
    <row r="313" spans="1:49" s="87" customFormat="1" ht="72" x14ac:dyDescent="0.15">
      <c r="A313" s="81">
        <v>8018</v>
      </c>
      <c r="B313" s="82"/>
      <c r="C313" s="82" t="s">
        <v>8570</v>
      </c>
      <c r="D313" s="82">
        <v>1</v>
      </c>
      <c r="E313" s="82">
        <v>0</v>
      </c>
      <c r="F313" s="82">
        <v>8</v>
      </c>
      <c r="G313" s="884">
        <v>99</v>
      </c>
      <c r="H313" s="82">
        <v>200</v>
      </c>
      <c r="I313" s="82">
        <v>0</v>
      </c>
      <c r="J313" s="83">
        <v>8017</v>
      </c>
      <c r="K313" s="82">
        <v>0</v>
      </c>
      <c r="L313" s="85">
        <v>627</v>
      </c>
      <c r="M313" s="85" t="s">
        <v>8157</v>
      </c>
      <c r="N313" s="870">
        <v>635</v>
      </c>
      <c r="O313" s="871" t="s">
        <v>8163</v>
      </c>
      <c r="P313" s="82"/>
      <c r="Q313" s="869"/>
      <c r="R313" s="84"/>
      <c r="S313" s="874">
        <v>10037</v>
      </c>
      <c r="T313" s="84"/>
      <c r="U313" s="873">
        <v>100</v>
      </c>
      <c r="V313" s="875">
        <v>0</v>
      </c>
      <c r="W313" s="877">
        <v>5</v>
      </c>
      <c r="X313" s="82"/>
      <c r="Y313" s="82"/>
      <c r="Z313" s="21">
        <f>VLOOKUP(G313,Sheet2!A:H,8,0)</f>
        <v>1485056</v>
      </c>
      <c r="AA313" s="82"/>
      <c r="AB313" s="82"/>
      <c r="AC313" s="23">
        <f>VLOOKUP(G313,Sheet2!A$2:K$151,9,FALSE)</f>
        <v>2160</v>
      </c>
      <c r="AD313" s="82"/>
      <c r="AE313" s="82"/>
      <c r="AF313" s="86" t="s">
        <v>8571</v>
      </c>
      <c r="AG313" s="86" t="s">
        <v>8569</v>
      </c>
      <c r="AH313" s="86" t="s">
        <v>8357</v>
      </c>
      <c r="AI313" s="86"/>
      <c r="AJ313" s="86" t="s">
        <v>8362</v>
      </c>
      <c r="AK313" s="86"/>
      <c r="AL313" s="86"/>
      <c r="AM313" s="86" t="s">
        <v>8206</v>
      </c>
      <c r="AN313" s="86" t="s">
        <v>8204</v>
      </c>
      <c r="AO313" s="86"/>
      <c r="AP313" s="86">
        <v>1</v>
      </c>
      <c r="AQ313" s="86">
        <v>0</v>
      </c>
      <c r="AR313" s="86">
        <v>1</v>
      </c>
      <c r="AS313" s="86">
        <v>1</v>
      </c>
      <c r="AT313" s="86"/>
      <c r="AU313" s="86">
        <v>0</v>
      </c>
      <c r="AV313" s="86">
        <f t="shared" si="81"/>
        <v>1</v>
      </c>
      <c r="AW313" s="87" t="str">
        <f>"{s_taskKillNpc, {"&amp;L313&amp;","&amp;N313&amp;","&amp;S313&amp;","&amp;U313&amp;"}}"</f>
        <v>{s_taskKillNpc, {627,635,10037,100}}</v>
      </c>
    </row>
    <row r="314" spans="1:49" s="87" customFormat="1" ht="72" x14ac:dyDescent="0.15">
      <c r="A314" s="81">
        <v>8019</v>
      </c>
      <c r="B314" s="82"/>
      <c r="C314" s="82" t="s">
        <v>8346</v>
      </c>
      <c r="D314" s="82">
        <v>1</v>
      </c>
      <c r="E314" s="82">
        <v>0</v>
      </c>
      <c r="F314" s="82">
        <v>8</v>
      </c>
      <c r="G314" s="884">
        <v>99</v>
      </c>
      <c r="H314" s="82">
        <v>200</v>
      </c>
      <c r="I314" s="82">
        <v>0</v>
      </c>
      <c r="J314" s="83">
        <v>8018</v>
      </c>
      <c r="K314" s="82">
        <v>0</v>
      </c>
      <c r="L314" s="870">
        <v>635</v>
      </c>
      <c r="M314" s="871" t="s">
        <v>8163</v>
      </c>
      <c r="N314" s="870">
        <v>634</v>
      </c>
      <c r="O314" s="871" t="s">
        <v>8164</v>
      </c>
      <c r="P314" s="82"/>
      <c r="Q314" s="869"/>
      <c r="R314" s="84"/>
      <c r="S314" s="869"/>
      <c r="T314" s="84"/>
      <c r="U314" s="869">
        <v>1</v>
      </c>
      <c r="V314" s="869">
        <v>1</v>
      </c>
      <c r="W314" s="877">
        <v>5</v>
      </c>
      <c r="X314" s="82"/>
      <c r="Y314" s="82"/>
      <c r="Z314" s="21">
        <f>VLOOKUP(G314,Sheet2!A:H,8,0)</f>
        <v>1485056</v>
      </c>
      <c r="AA314" s="82"/>
      <c r="AB314" s="82"/>
      <c r="AC314" s="23">
        <f>VLOOKUP(G314,Sheet2!A$2:K$151,9,FALSE)</f>
        <v>2160</v>
      </c>
      <c r="AD314" s="82"/>
      <c r="AE314" s="82"/>
      <c r="AF314" s="86" t="s">
        <v>8351</v>
      </c>
      <c r="AG314" s="86" t="s">
        <v>8353</v>
      </c>
      <c r="AH314" s="86" t="s">
        <v>8358</v>
      </c>
      <c r="AI314" s="86"/>
      <c r="AJ314" s="86" t="s">
        <v>8361</v>
      </c>
      <c r="AK314" s="86"/>
      <c r="AL314" s="86"/>
      <c r="AM314" s="86" t="s">
        <v>8205</v>
      </c>
      <c r="AN314" s="86" t="s">
        <v>8207</v>
      </c>
      <c r="AO314" s="86"/>
      <c r="AP314" s="86">
        <v>1</v>
      </c>
      <c r="AQ314" s="86">
        <v>0</v>
      </c>
      <c r="AR314" s="86">
        <v>1</v>
      </c>
      <c r="AS314" s="86">
        <v>1</v>
      </c>
      <c r="AT314" s="86"/>
      <c r="AU314" s="86">
        <v>0</v>
      </c>
      <c r="AV314" s="86">
        <f t="shared" si="81"/>
        <v>1</v>
      </c>
      <c r="AW314" s="86" t="str">
        <f t="shared" si="82"/>
        <v>{s_taskTalk,{635,634}}</v>
      </c>
    </row>
    <row r="315" spans="1:49" s="87" customFormat="1" ht="72" x14ac:dyDescent="0.15">
      <c r="A315" s="81">
        <v>8020</v>
      </c>
      <c r="B315" s="82"/>
      <c r="C315" s="82" t="s">
        <v>8347</v>
      </c>
      <c r="D315" s="82">
        <v>1</v>
      </c>
      <c r="E315" s="82">
        <v>0</v>
      </c>
      <c r="F315" s="82">
        <v>8</v>
      </c>
      <c r="G315" s="884">
        <v>100</v>
      </c>
      <c r="H315" s="82">
        <v>200</v>
      </c>
      <c r="I315" s="82">
        <v>0</v>
      </c>
      <c r="J315" s="83">
        <v>8019</v>
      </c>
      <c r="K315" s="82">
        <v>0</v>
      </c>
      <c r="L315" s="870">
        <v>634</v>
      </c>
      <c r="M315" s="871" t="s">
        <v>8164</v>
      </c>
      <c r="N315" s="870">
        <v>634</v>
      </c>
      <c r="O315" s="871" t="s">
        <v>8164</v>
      </c>
      <c r="P315" s="82"/>
      <c r="Q315" s="849">
        <v>2056</v>
      </c>
      <c r="R315" s="84"/>
      <c r="S315" s="869"/>
      <c r="T315" s="84"/>
      <c r="U315" s="876">
        <v>1</v>
      </c>
      <c r="V315" s="875">
        <v>0</v>
      </c>
      <c r="W315" s="877">
        <v>5</v>
      </c>
      <c r="X315" s="82"/>
      <c r="Y315" s="82"/>
      <c r="Z315" s="21">
        <f>VLOOKUP(G315,Sheet2!A:H,8,0)</f>
        <v>1507500</v>
      </c>
      <c r="AA315" s="82"/>
      <c r="AB315" s="82"/>
      <c r="AC315" s="23">
        <f>VLOOKUP(G315,Sheet2!A$2:K$151,9,FALSE)</f>
        <v>2180</v>
      </c>
      <c r="AD315" s="82"/>
      <c r="AE315" s="82"/>
      <c r="AF315" s="86" t="s">
        <v>8404</v>
      </c>
      <c r="AG315" s="86" t="s">
        <v>8352</v>
      </c>
      <c r="AH315" s="86" t="s">
        <v>8359</v>
      </c>
      <c r="AI315" s="86"/>
      <c r="AJ315" s="86" t="s">
        <v>8360</v>
      </c>
      <c r="AK315" s="86"/>
      <c r="AL315" s="86"/>
      <c r="AM315" s="86" t="s">
        <v>8208</v>
      </c>
      <c r="AN315" s="86" t="s">
        <v>8209</v>
      </c>
      <c r="AO315" s="86"/>
      <c r="AP315" s="86">
        <v>1</v>
      </c>
      <c r="AQ315" s="86">
        <v>0</v>
      </c>
      <c r="AR315" s="86">
        <v>1</v>
      </c>
      <c r="AS315" s="86">
        <v>1</v>
      </c>
      <c r="AT315" s="86"/>
      <c r="AU315" s="86">
        <v>0</v>
      </c>
      <c r="AV315" s="86">
        <f t="shared" si="81"/>
        <v>1</v>
      </c>
      <c r="AW315" s="86" t="str">
        <f t="shared" si="82"/>
        <v>{s_taskTalk,{634,634}}</v>
      </c>
    </row>
    <row r="316" spans="1:49" s="87" customFormat="1" ht="72" x14ac:dyDescent="0.15">
      <c r="A316" s="81">
        <v>8021</v>
      </c>
      <c r="B316" s="82"/>
      <c r="C316" s="82" t="s">
        <v>8366</v>
      </c>
      <c r="D316" s="82">
        <v>1</v>
      </c>
      <c r="E316" s="82">
        <v>0</v>
      </c>
      <c r="F316" s="82">
        <v>8</v>
      </c>
      <c r="G316" s="884">
        <v>100</v>
      </c>
      <c r="H316" s="82">
        <v>200</v>
      </c>
      <c r="I316" s="82">
        <v>0</v>
      </c>
      <c r="J316" s="83">
        <v>8020</v>
      </c>
      <c r="K316" s="82">
        <v>0</v>
      </c>
      <c r="L316" s="870">
        <v>634</v>
      </c>
      <c r="M316" s="871" t="s">
        <v>8164</v>
      </c>
      <c r="N316" s="870">
        <v>636</v>
      </c>
      <c r="O316" s="871" t="s">
        <v>8488</v>
      </c>
      <c r="P316" s="82"/>
      <c r="Q316" s="869"/>
      <c r="R316" s="84"/>
      <c r="S316" s="869"/>
      <c r="T316" s="84"/>
      <c r="U316" s="869">
        <v>1</v>
      </c>
      <c r="V316" s="869">
        <v>1</v>
      </c>
      <c r="W316" s="877">
        <v>5</v>
      </c>
      <c r="X316" s="82"/>
      <c r="Y316" s="82"/>
      <c r="Z316" s="21">
        <f>VLOOKUP(G316,Sheet2!A:H,8,0)</f>
        <v>1507500</v>
      </c>
      <c r="AA316" s="82"/>
      <c r="AB316" s="82"/>
      <c r="AC316" s="23">
        <f>VLOOKUP(G316,Sheet2!A$2:K$151,9,FALSE)</f>
        <v>2180</v>
      </c>
      <c r="AD316" s="82"/>
      <c r="AE316" s="82"/>
      <c r="AF316" s="86" t="s">
        <v>8367</v>
      </c>
      <c r="AG316" s="86" t="s">
        <v>8368</v>
      </c>
      <c r="AH316" s="86" t="s">
        <v>8370</v>
      </c>
      <c r="AI316" s="86"/>
      <c r="AJ316" s="86" t="s">
        <v>8369</v>
      </c>
      <c r="AK316" s="86"/>
      <c r="AL316" s="86"/>
      <c r="AM316" s="86" t="s">
        <v>8210</v>
      </c>
      <c r="AN316" s="86" t="s">
        <v>8211</v>
      </c>
      <c r="AO316" s="86"/>
      <c r="AP316" s="86">
        <v>1</v>
      </c>
      <c r="AQ316" s="86">
        <v>0</v>
      </c>
      <c r="AR316" s="86">
        <v>1</v>
      </c>
      <c r="AS316" s="86">
        <v>1</v>
      </c>
      <c r="AT316" s="86"/>
      <c r="AU316" s="86">
        <v>0</v>
      </c>
      <c r="AV316" s="86">
        <f t="shared" si="81"/>
        <v>1</v>
      </c>
      <c r="AW316" s="86" t="str">
        <f t="shared" si="82"/>
        <v>{s_taskTalk,{634,636}}</v>
      </c>
    </row>
    <row r="317" spans="1:49" s="87" customFormat="1" ht="72" x14ac:dyDescent="0.15">
      <c r="A317" s="81">
        <v>8022</v>
      </c>
      <c r="B317" s="82"/>
      <c r="C317" s="82" t="s">
        <v>8371</v>
      </c>
      <c r="D317" s="82">
        <v>1</v>
      </c>
      <c r="E317" s="82">
        <v>0</v>
      </c>
      <c r="F317" s="82">
        <v>8</v>
      </c>
      <c r="G317" s="884">
        <v>101</v>
      </c>
      <c r="H317" s="82">
        <v>200</v>
      </c>
      <c r="I317" s="82">
        <v>0</v>
      </c>
      <c r="J317" s="83">
        <v>8021</v>
      </c>
      <c r="K317" s="82">
        <v>0</v>
      </c>
      <c r="L317" s="870">
        <v>636</v>
      </c>
      <c r="M317" s="871" t="s">
        <v>8488</v>
      </c>
      <c r="N317" s="870">
        <v>636</v>
      </c>
      <c r="O317" s="871" t="s">
        <v>8488</v>
      </c>
      <c r="P317" s="82"/>
      <c r="Q317" s="869"/>
      <c r="R317" s="84"/>
      <c r="S317" s="874">
        <v>10041</v>
      </c>
      <c r="T317" s="84"/>
      <c r="U317" s="875">
        <v>120</v>
      </c>
      <c r="V317" s="875">
        <v>0</v>
      </c>
      <c r="W317" s="877">
        <v>5</v>
      </c>
      <c r="X317" s="82"/>
      <c r="Y317" s="82"/>
      <c r="Z317" s="21">
        <f>VLOOKUP(G317,Sheet2!A:H,8,0)</f>
        <v>1530056</v>
      </c>
      <c r="AA317" s="82"/>
      <c r="AB317" s="82"/>
      <c r="AC317" s="23">
        <f>VLOOKUP(G317,Sheet2!A$2:K$151,9,FALSE)</f>
        <v>2200</v>
      </c>
      <c r="AD317" s="82"/>
      <c r="AE317" s="82"/>
      <c r="AF317" s="86" t="s">
        <v>8373</v>
      </c>
      <c r="AG317" s="86" t="s">
        <v>8372</v>
      </c>
      <c r="AH317" s="86" t="s">
        <v>8374</v>
      </c>
      <c r="AI317" s="86"/>
      <c r="AJ317" s="86" t="s">
        <v>8572</v>
      </c>
      <c r="AK317" s="86"/>
      <c r="AL317" s="86"/>
      <c r="AM317" s="86" t="s">
        <v>8213</v>
      </c>
      <c r="AN317" s="86" t="s">
        <v>8212</v>
      </c>
      <c r="AO317" s="86"/>
      <c r="AP317" s="86">
        <v>1</v>
      </c>
      <c r="AQ317" s="86">
        <v>0</v>
      </c>
      <c r="AR317" s="86">
        <v>1</v>
      </c>
      <c r="AS317" s="86">
        <v>1</v>
      </c>
      <c r="AT317" s="86"/>
      <c r="AU317" s="86">
        <v>0</v>
      </c>
      <c r="AV317" s="86">
        <f t="shared" si="81"/>
        <v>1</v>
      </c>
      <c r="AW317" s="87" t="str">
        <f>"{s_taskKillNpc, {"&amp;L317&amp;","&amp;N317&amp;","&amp;S317&amp;","&amp;U317&amp;"}}"</f>
        <v>{s_taskKillNpc, {636,636,10041,120}}</v>
      </c>
    </row>
    <row r="318" spans="1:49" s="87" customFormat="1" ht="72" x14ac:dyDescent="0.15">
      <c r="A318" s="81">
        <v>8023</v>
      </c>
      <c r="B318" s="82"/>
      <c r="C318" s="82" t="s">
        <v>8375</v>
      </c>
      <c r="D318" s="82">
        <v>1</v>
      </c>
      <c r="E318" s="82">
        <v>0</v>
      </c>
      <c r="F318" s="82">
        <v>8</v>
      </c>
      <c r="G318" s="884">
        <v>101</v>
      </c>
      <c r="H318" s="82">
        <v>200</v>
      </c>
      <c r="I318" s="82">
        <v>0</v>
      </c>
      <c r="J318" s="83">
        <v>8022</v>
      </c>
      <c r="K318" s="82">
        <v>0</v>
      </c>
      <c r="L318" s="870">
        <v>636</v>
      </c>
      <c r="M318" s="871" t="s">
        <v>8488</v>
      </c>
      <c r="N318" s="870">
        <v>634</v>
      </c>
      <c r="O318" s="871" t="s">
        <v>8164</v>
      </c>
      <c r="P318" s="82"/>
      <c r="Q318" s="869"/>
      <c r="R318" s="84"/>
      <c r="S318" s="869"/>
      <c r="T318" s="84"/>
      <c r="U318" s="869">
        <v>1</v>
      </c>
      <c r="V318" s="869">
        <v>1</v>
      </c>
      <c r="W318" s="877">
        <v>5</v>
      </c>
      <c r="X318" s="82"/>
      <c r="Y318" s="82"/>
      <c r="Z318" s="21">
        <f>VLOOKUP(G318,Sheet2!A:H,8,0)</f>
        <v>1530056</v>
      </c>
      <c r="AA318" s="82"/>
      <c r="AB318" s="82"/>
      <c r="AC318" s="23">
        <f>VLOOKUP(G318,Sheet2!A$2:K$151,9,FALSE)</f>
        <v>2200</v>
      </c>
      <c r="AD318" s="82"/>
      <c r="AE318" s="82"/>
      <c r="AF318" s="86" t="s">
        <v>8376</v>
      </c>
      <c r="AG318" s="86" t="s">
        <v>8377</v>
      </c>
      <c r="AH318" s="86" t="s">
        <v>8573</v>
      </c>
      <c r="AI318" s="86"/>
      <c r="AJ318" s="86" t="s">
        <v>8378</v>
      </c>
      <c r="AK318" s="86"/>
      <c r="AL318" s="86"/>
      <c r="AM318" s="86" t="s">
        <v>8214</v>
      </c>
      <c r="AN318" s="86" t="s">
        <v>8215</v>
      </c>
      <c r="AO318" s="86"/>
      <c r="AP318" s="86">
        <v>1</v>
      </c>
      <c r="AQ318" s="86">
        <v>0</v>
      </c>
      <c r="AR318" s="86">
        <v>1</v>
      </c>
      <c r="AS318" s="86">
        <v>1</v>
      </c>
      <c r="AT318" s="86"/>
      <c r="AU318" s="86">
        <v>0</v>
      </c>
      <c r="AV318" s="86">
        <f t="shared" si="81"/>
        <v>1</v>
      </c>
      <c r="AW318" s="86" t="str">
        <f t="shared" si="82"/>
        <v>{s_taskTalk,{636,634}}</v>
      </c>
    </row>
    <row r="319" spans="1:49" s="87" customFormat="1" ht="72" x14ac:dyDescent="0.15">
      <c r="A319" s="81">
        <v>8024</v>
      </c>
      <c r="B319" s="82"/>
      <c r="C319" s="82" t="s">
        <v>8379</v>
      </c>
      <c r="D319" s="82">
        <v>1</v>
      </c>
      <c r="E319" s="82">
        <v>0</v>
      </c>
      <c r="F319" s="82">
        <v>8</v>
      </c>
      <c r="G319" s="884">
        <v>102</v>
      </c>
      <c r="H319" s="82">
        <v>200</v>
      </c>
      <c r="I319" s="82">
        <v>0</v>
      </c>
      <c r="J319" s="83">
        <v>8023</v>
      </c>
      <c r="K319" s="82">
        <v>0</v>
      </c>
      <c r="L319" s="865">
        <v>631</v>
      </c>
      <c r="M319" s="863" t="s">
        <v>8165</v>
      </c>
      <c r="N319" s="870">
        <v>631</v>
      </c>
      <c r="O319" s="863" t="s">
        <v>8165</v>
      </c>
      <c r="P319" s="82"/>
      <c r="Q319" s="869"/>
      <c r="R319" s="84"/>
      <c r="S319" s="874">
        <v>10041</v>
      </c>
      <c r="T319" s="84"/>
      <c r="U319" s="875">
        <v>120</v>
      </c>
      <c r="V319" s="875">
        <v>0</v>
      </c>
      <c r="W319" s="877">
        <v>5</v>
      </c>
      <c r="X319" s="82"/>
      <c r="Y319" s="82"/>
      <c r="Z319" s="21">
        <f>VLOOKUP(G319,Sheet2!A:H,8,0)</f>
        <v>1552724</v>
      </c>
      <c r="AA319" s="82"/>
      <c r="AB319" s="82"/>
      <c r="AC319" s="23">
        <f>VLOOKUP(G319,Sheet2!A$2:K$151,9,FALSE)</f>
        <v>2220</v>
      </c>
      <c r="AD319" s="82"/>
      <c r="AE319" s="82"/>
      <c r="AF319" s="86" t="s">
        <v>8380</v>
      </c>
      <c r="AG319" s="86" t="s">
        <v>8381</v>
      </c>
      <c r="AH319" s="86" t="s">
        <v>8574</v>
      </c>
      <c r="AI319" s="86"/>
      <c r="AJ319" s="86" t="s">
        <v>8382</v>
      </c>
      <c r="AK319" s="86"/>
      <c r="AL319" s="86"/>
      <c r="AM319" s="86" t="s">
        <v>8216</v>
      </c>
      <c r="AN319" s="86" t="s">
        <v>8217</v>
      </c>
      <c r="AO319" s="86"/>
      <c r="AP319" s="86">
        <v>1</v>
      </c>
      <c r="AQ319" s="86">
        <v>0</v>
      </c>
      <c r="AR319" s="86">
        <v>1</v>
      </c>
      <c r="AS319" s="86">
        <v>1</v>
      </c>
      <c r="AT319" s="86"/>
      <c r="AU319" s="86">
        <v>0</v>
      </c>
      <c r="AV319" s="86">
        <f t="shared" si="81"/>
        <v>1</v>
      </c>
      <c r="AW319" s="87" t="str">
        <f>"{s_taskKillNpc, {"&amp;L319&amp;","&amp;N319&amp;","&amp;S319&amp;","&amp;U319&amp;"}}"</f>
        <v>{s_taskKillNpc, {631,631,10041,120}}</v>
      </c>
    </row>
    <row r="320" spans="1:49" s="87" customFormat="1" ht="72" x14ac:dyDescent="0.15">
      <c r="A320" s="81">
        <v>8025</v>
      </c>
      <c r="B320" s="82"/>
      <c r="C320" s="82" t="s">
        <v>8383</v>
      </c>
      <c r="D320" s="82">
        <v>1</v>
      </c>
      <c r="E320" s="82">
        <v>0</v>
      </c>
      <c r="F320" s="82">
        <v>8</v>
      </c>
      <c r="G320" s="884">
        <v>102</v>
      </c>
      <c r="H320" s="82">
        <v>200</v>
      </c>
      <c r="I320" s="82">
        <v>0</v>
      </c>
      <c r="J320" s="83">
        <v>8024</v>
      </c>
      <c r="K320" s="82">
        <v>0</v>
      </c>
      <c r="L320" s="865">
        <v>631</v>
      </c>
      <c r="M320" s="863" t="s">
        <v>8165</v>
      </c>
      <c r="N320" s="865">
        <v>632</v>
      </c>
      <c r="O320" s="863" t="s">
        <v>8166</v>
      </c>
      <c r="P320" s="82"/>
      <c r="Q320" s="869"/>
      <c r="R320" s="84"/>
      <c r="S320" s="869"/>
      <c r="T320" s="84"/>
      <c r="U320" s="869">
        <v>1</v>
      </c>
      <c r="V320" s="869">
        <v>1</v>
      </c>
      <c r="W320" s="877">
        <v>5</v>
      </c>
      <c r="X320" s="82"/>
      <c r="Y320" s="82"/>
      <c r="Z320" s="21">
        <f>VLOOKUP(G320,Sheet2!A:H,8,0)</f>
        <v>1552724</v>
      </c>
      <c r="AA320" s="82"/>
      <c r="AB320" s="82"/>
      <c r="AC320" s="23">
        <f>VLOOKUP(G320,Sheet2!A$2:K$151,9,FALSE)</f>
        <v>2220</v>
      </c>
      <c r="AD320" s="82"/>
      <c r="AE320" s="82"/>
      <c r="AF320" s="86" t="s">
        <v>8576</v>
      </c>
      <c r="AG320" s="86" t="s">
        <v>8575</v>
      </c>
      <c r="AH320" s="86" t="s">
        <v>8384</v>
      </c>
      <c r="AI320" s="86"/>
      <c r="AJ320" s="86" t="s">
        <v>8385</v>
      </c>
      <c r="AK320" s="86"/>
      <c r="AL320" s="86"/>
      <c r="AM320" s="86" t="s">
        <v>8218</v>
      </c>
      <c r="AN320" s="86" t="s">
        <v>8219</v>
      </c>
      <c r="AO320" s="86"/>
      <c r="AP320" s="86">
        <v>1</v>
      </c>
      <c r="AQ320" s="86">
        <v>0</v>
      </c>
      <c r="AR320" s="86">
        <v>1</v>
      </c>
      <c r="AS320" s="86">
        <v>1</v>
      </c>
      <c r="AT320" s="86"/>
      <c r="AU320" s="86">
        <v>0</v>
      </c>
      <c r="AV320" s="86">
        <f t="shared" si="81"/>
        <v>1</v>
      </c>
      <c r="AW320" s="86" t="str">
        <f t="shared" si="82"/>
        <v>{s_taskTalk,{631,632}}</v>
      </c>
    </row>
    <row r="321" spans="1:49" s="87" customFormat="1" ht="72" x14ac:dyDescent="0.15">
      <c r="A321" s="81">
        <v>8026</v>
      </c>
      <c r="B321" s="82"/>
      <c r="C321" s="82" t="s">
        <v>8386</v>
      </c>
      <c r="D321" s="82">
        <v>1</v>
      </c>
      <c r="E321" s="82">
        <v>0</v>
      </c>
      <c r="F321" s="82">
        <v>8</v>
      </c>
      <c r="G321" s="884">
        <v>103</v>
      </c>
      <c r="H321" s="82">
        <v>200</v>
      </c>
      <c r="I321" s="82">
        <v>0</v>
      </c>
      <c r="J321" s="83">
        <v>8025</v>
      </c>
      <c r="K321" s="82">
        <v>0</v>
      </c>
      <c r="L321" s="865">
        <v>632</v>
      </c>
      <c r="M321" s="863" t="s">
        <v>8166</v>
      </c>
      <c r="N321" s="865">
        <v>632</v>
      </c>
      <c r="O321" s="863" t="s">
        <v>8166</v>
      </c>
      <c r="P321" s="82"/>
      <c r="Q321" s="869"/>
      <c r="R321" s="84"/>
      <c r="S321" s="874">
        <v>10057</v>
      </c>
      <c r="T321" s="84"/>
      <c r="U321" s="875">
        <v>120</v>
      </c>
      <c r="V321" s="875">
        <v>0</v>
      </c>
      <c r="W321" s="877">
        <v>5</v>
      </c>
      <c r="X321" s="82"/>
      <c r="Y321" s="82"/>
      <c r="Z321" s="21">
        <f>VLOOKUP(G321,Sheet2!A:H,8,0)</f>
        <v>1575503</v>
      </c>
      <c r="AA321" s="82"/>
      <c r="AB321" s="82"/>
      <c r="AC321" s="23">
        <f>VLOOKUP(G321,Sheet2!A$2:K$151,9,FALSE)</f>
        <v>2240</v>
      </c>
      <c r="AD321" s="82"/>
      <c r="AE321" s="82"/>
      <c r="AF321" s="86" t="s">
        <v>8387</v>
      </c>
      <c r="AG321" s="86" t="s">
        <v>8388</v>
      </c>
      <c r="AH321" s="86" t="s">
        <v>8389</v>
      </c>
      <c r="AI321" s="86"/>
      <c r="AJ321" s="86" t="s">
        <v>8390</v>
      </c>
      <c r="AK321" s="86"/>
      <c r="AL321" s="86"/>
      <c r="AM321" s="86" t="s">
        <v>8220</v>
      </c>
      <c r="AN321" s="86" t="s">
        <v>8221</v>
      </c>
      <c r="AO321" s="86"/>
      <c r="AP321" s="86">
        <v>1</v>
      </c>
      <c r="AQ321" s="86">
        <v>0</v>
      </c>
      <c r="AR321" s="86">
        <v>1</v>
      </c>
      <c r="AS321" s="86">
        <v>1</v>
      </c>
      <c r="AT321" s="86"/>
      <c r="AU321" s="86">
        <v>0</v>
      </c>
      <c r="AV321" s="86">
        <f t="shared" si="81"/>
        <v>1</v>
      </c>
      <c r="AW321" s="87" t="str">
        <f>"{s_taskKillNpc, {"&amp;L321&amp;","&amp;N321&amp;","&amp;S321&amp;","&amp;U321&amp;"}}"</f>
        <v>{s_taskKillNpc, {632,632,10057,120}}</v>
      </c>
    </row>
    <row r="322" spans="1:49" s="87" customFormat="1" ht="72" x14ac:dyDescent="0.15">
      <c r="A322" s="81">
        <v>8027</v>
      </c>
      <c r="B322" s="82"/>
      <c r="C322" s="82" t="s">
        <v>8393</v>
      </c>
      <c r="D322" s="82">
        <v>1</v>
      </c>
      <c r="E322" s="82">
        <v>0</v>
      </c>
      <c r="F322" s="82">
        <v>8</v>
      </c>
      <c r="G322" s="884">
        <v>103</v>
      </c>
      <c r="H322" s="82">
        <v>200</v>
      </c>
      <c r="I322" s="82">
        <v>0</v>
      </c>
      <c r="J322" s="83">
        <v>8026</v>
      </c>
      <c r="K322" s="82">
        <v>0</v>
      </c>
      <c r="L322" s="865">
        <v>632</v>
      </c>
      <c r="M322" s="863" t="s">
        <v>8166</v>
      </c>
      <c r="N322" s="85">
        <v>628</v>
      </c>
      <c r="O322" s="85" t="s">
        <v>8159</v>
      </c>
      <c r="P322" s="82"/>
      <c r="Q322" s="869"/>
      <c r="R322" s="84"/>
      <c r="S322" s="869"/>
      <c r="T322" s="84"/>
      <c r="U322" s="869">
        <v>1</v>
      </c>
      <c r="V322" s="869">
        <v>1</v>
      </c>
      <c r="W322" s="877">
        <v>5</v>
      </c>
      <c r="X322" s="82"/>
      <c r="Y322" s="82"/>
      <c r="Z322" s="21">
        <f>VLOOKUP(G322,Sheet2!A:H,8,0)</f>
        <v>1575503</v>
      </c>
      <c r="AA322" s="82"/>
      <c r="AB322" s="82"/>
      <c r="AC322" s="23">
        <f>VLOOKUP(G322,Sheet2!A$2:K$151,9,FALSE)</f>
        <v>2240</v>
      </c>
      <c r="AD322" s="82"/>
      <c r="AE322" s="82"/>
      <c r="AF322" s="86" t="s">
        <v>8391</v>
      </c>
      <c r="AG322" s="86" t="s">
        <v>8392</v>
      </c>
      <c r="AH322" s="86" t="s">
        <v>8394</v>
      </c>
      <c r="AI322" s="86"/>
      <c r="AJ322" s="86" t="s">
        <v>8395</v>
      </c>
      <c r="AK322" s="86"/>
      <c r="AL322" s="86"/>
      <c r="AM322" s="86" t="s">
        <v>8222</v>
      </c>
      <c r="AN322" s="86" t="s">
        <v>8223</v>
      </c>
      <c r="AO322" s="86"/>
      <c r="AP322" s="86">
        <v>1</v>
      </c>
      <c r="AQ322" s="86">
        <v>0</v>
      </c>
      <c r="AR322" s="86">
        <v>1</v>
      </c>
      <c r="AS322" s="86">
        <v>1</v>
      </c>
      <c r="AT322" s="86"/>
      <c r="AU322" s="86">
        <v>0</v>
      </c>
      <c r="AV322" s="86">
        <f t="shared" si="81"/>
        <v>1</v>
      </c>
      <c r="AW322" s="86" t="str">
        <f t="shared" si="82"/>
        <v>{s_taskTalk,{632,628}}</v>
      </c>
    </row>
    <row r="323" spans="1:49" s="87" customFormat="1" ht="72" x14ac:dyDescent="0.15">
      <c r="A323" s="81">
        <v>8028</v>
      </c>
      <c r="B323" s="82"/>
      <c r="C323" s="82" t="s">
        <v>8396</v>
      </c>
      <c r="D323" s="82">
        <v>1</v>
      </c>
      <c r="E323" s="82">
        <v>0</v>
      </c>
      <c r="F323" s="82">
        <v>8</v>
      </c>
      <c r="G323" s="884">
        <v>104</v>
      </c>
      <c r="H323" s="82">
        <v>200</v>
      </c>
      <c r="I323" s="82">
        <v>0</v>
      </c>
      <c r="J323" s="83">
        <v>8027</v>
      </c>
      <c r="K323" s="82">
        <v>0</v>
      </c>
      <c r="L323" s="85">
        <v>628</v>
      </c>
      <c r="M323" s="85" t="s">
        <v>8159</v>
      </c>
      <c r="N323" s="85">
        <v>628</v>
      </c>
      <c r="O323" s="85" t="s">
        <v>8159</v>
      </c>
      <c r="P323" s="82"/>
      <c r="Q323" s="869"/>
      <c r="R323" s="84"/>
      <c r="S323" s="874">
        <v>10057</v>
      </c>
      <c r="T323" s="84"/>
      <c r="U323" s="875">
        <v>120</v>
      </c>
      <c r="V323" s="875">
        <v>0</v>
      </c>
      <c r="W323" s="877">
        <v>5</v>
      </c>
      <c r="X323" s="82"/>
      <c r="Y323" s="82"/>
      <c r="Z323" s="21">
        <f>VLOOKUP(G323,Sheet2!A:H,8,0)</f>
        <v>1598394</v>
      </c>
      <c r="AA323" s="82"/>
      <c r="AB323" s="82"/>
      <c r="AC323" s="23">
        <f>VLOOKUP(G323,Sheet2!A$2:K$151,9,FALSE)</f>
        <v>2260</v>
      </c>
      <c r="AD323" s="82"/>
      <c r="AE323" s="82"/>
      <c r="AF323" s="86" t="s">
        <v>8577</v>
      </c>
      <c r="AG323" s="86" t="s">
        <v>8578</v>
      </c>
      <c r="AH323" s="86" t="s">
        <v>8397</v>
      </c>
      <c r="AI323" s="86"/>
      <c r="AJ323" s="86" t="s">
        <v>8398</v>
      </c>
      <c r="AK323" s="86"/>
      <c r="AL323" s="86"/>
      <c r="AM323" s="86" t="s">
        <v>8224</v>
      </c>
      <c r="AN323" s="86" t="s">
        <v>8225</v>
      </c>
      <c r="AO323" s="86"/>
      <c r="AP323" s="86">
        <v>1</v>
      </c>
      <c r="AQ323" s="86">
        <v>0</v>
      </c>
      <c r="AR323" s="86">
        <v>1</v>
      </c>
      <c r="AS323" s="86">
        <v>1</v>
      </c>
      <c r="AT323" s="86"/>
      <c r="AU323" s="86">
        <v>0</v>
      </c>
      <c r="AV323" s="86">
        <f t="shared" si="81"/>
        <v>1</v>
      </c>
      <c r="AW323" s="87" t="str">
        <f>"{s_taskKillNpc, {"&amp;L323&amp;","&amp;N323&amp;","&amp;S323&amp;","&amp;U323&amp;"}}"</f>
        <v>{s_taskKillNpc, {628,628,10057,120}}</v>
      </c>
    </row>
    <row r="324" spans="1:49" s="87" customFormat="1" ht="72" x14ac:dyDescent="0.15">
      <c r="A324" s="81">
        <v>8029</v>
      </c>
      <c r="B324" s="82"/>
      <c r="C324" s="82" t="s">
        <v>8399</v>
      </c>
      <c r="D324" s="82">
        <v>1</v>
      </c>
      <c r="E324" s="82">
        <v>0</v>
      </c>
      <c r="F324" s="82">
        <v>8</v>
      </c>
      <c r="G324" s="884">
        <v>104</v>
      </c>
      <c r="H324" s="82">
        <v>200</v>
      </c>
      <c r="I324" s="82">
        <v>0</v>
      </c>
      <c r="J324" s="83">
        <v>8028</v>
      </c>
      <c r="K324" s="82">
        <v>0</v>
      </c>
      <c r="L324" s="85">
        <v>628</v>
      </c>
      <c r="M324" s="85" t="s">
        <v>8159</v>
      </c>
      <c r="N324" s="85">
        <v>627</v>
      </c>
      <c r="O324" s="85" t="s">
        <v>8157</v>
      </c>
      <c r="P324" s="82"/>
      <c r="Q324" s="869"/>
      <c r="R324" s="84"/>
      <c r="S324" s="869"/>
      <c r="T324" s="84"/>
      <c r="U324" s="869">
        <v>1</v>
      </c>
      <c r="V324" s="869">
        <v>1</v>
      </c>
      <c r="W324" s="877">
        <v>5</v>
      </c>
      <c r="X324" s="82"/>
      <c r="Y324" s="82"/>
      <c r="Z324" s="21">
        <f>VLOOKUP(G324,Sheet2!A:H,8,0)</f>
        <v>1598394</v>
      </c>
      <c r="AA324" s="82"/>
      <c r="AB324" s="82"/>
      <c r="AC324" s="23">
        <f>VLOOKUP(G324,Sheet2!A$2:K$151,9,FALSE)</f>
        <v>2260</v>
      </c>
      <c r="AD324" s="82"/>
      <c r="AE324" s="82"/>
      <c r="AF324" s="86" t="s">
        <v>8400</v>
      </c>
      <c r="AG324" s="86" t="s">
        <v>8401</v>
      </c>
      <c r="AH324" s="86" t="s">
        <v>8402</v>
      </c>
      <c r="AI324" s="86"/>
      <c r="AJ324" s="86" t="s">
        <v>8579</v>
      </c>
      <c r="AK324" s="86"/>
      <c r="AL324" s="86"/>
      <c r="AM324" s="86" t="s">
        <v>8171</v>
      </c>
      <c r="AN324" s="86" t="s">
        <v>8174</v>
      </c>
      <c r="AO324" s="86"/>
      <c r="AP324" s="86">
        <v>1</v>
      </c>
      <c r="AQ324" s="86">
        <v>0</v>
      </c>
      <c r="AR324" s="86">
        <v>1</v>
      </c>
      <c r="AS324" s="86">
        <v>1</v>
      </c>
      <c r="AT324" s="86"/>
      <c r="AU324" s="86">
        <v>0</v>
      </c>
      <c r="AV324" s="86">
        <f t="shared" si="81"/>
        <v>1</v>
      </c>
      <c r="AW324" s="86" t="str">
        <f t="shared" si="82"/>
        <v>{s_taskTalk,{628,627}}</v>
      </c>
    </row>
    <row r="325" spans="1:49" s="87" customFormat="1" ht="72" x14ac:dyDescent="0.15">
      <c r="A325" s="81">
        <v>8030</v>
      </c>
      <c r="B325" s="82"/>
      <c r="C325" s="82" t="s">
        <v>8403</v>
      </c>
      <c r="D325" s="82">
        <v>1</v>
      </c>
      <c r="E325" s="82">
        <v>0</v>
      </c>
      <c r="F325" s="82">
        <v>8</v>
      </c>
      <c r="G325" s="884">
        <v>105</v>
      </c>
      <c r="H325" s="82">
        <v>200</v>
      </c>
      <c r="I325" s="82">
        <v>0</v>
      </c>
      <c r="J325" s="83">
        <v>8029</v>
      </c>
      <c r="K325" s="82">
        <v>0</v>
      </c>
      <c r="L325" s="85">
        <v>627</v>
      </c>
      <c r="M325" s="85" t="s">
        <v>8157</v>
      </c>
      <c r="N325" s="85">
        <v>627</v>
      </c>
      <c r="O325" s="85" t="s">
        <v>8157</v>
      </c>
      <c r="P325" s="82"/>
      <c r="Q325" s="849">
        <v>2057</v>
      </c>
      <c r="R325" s="84"/>
      <c r="S325" s="869"/>
      <c r="T325" s="84"/>
      <c r="U325" s="876">
        <v>1</v>
      </c>
      <c r="V325" s="875">
        <v>0</v>
      </c>
      <c r="W325" s="877">
        <v>5</v>
      </c>
      <c r="X325" s="82"/>
      <c r="Y325" s="82"/>
      <c r="Z325" s="21">
        <f>VLOOKUP(G325,Sheet2!A:H,8,0)</f>
        <v>1621394</v>
      </c>
      <c r="AA325" s="82"/>
      <c r="AB325" s="82"/>
      <c r="AC325" s="23">
        <f>VLOOKUP(G325,Sheet2!A$2:K$151,9,FALSE)</f>
        <v>2280</v>
      </c>
      <c r="AD325" s="82"/>
      <c r="AE325" s="82"/>
      <c r="AF325" s="86" t="s">
        <v>8580</v>
      </c>
      <c r="AG325" s="86" t="s">
        <v>8581</v>
      </c>
      <c r="AH325" s="86" t="s">
        <v>8405</v>
      </c>
      <c r="AI325" s="86"/>
      <c r="AJ325" s="86" t="s">
        <v>8406</v>
      </c>
      <c r="AK325" s="86"/>
      <c r="AL325" s="86"/>
      <c r="AM325" s="86" t="s">
        <v>8226</v>
      </c>
      <c r="AN325" s="86" t="s">
        <v>8175</v>
      </c>
      <c r="AO325" s="86"/>
      <c r="AP325" s="86">
        <v>1</v>
      </c>
      <c r="AQ325" s="86">
        <v>0</v>
      </c>
      <c r="AR325" s="86">
        <v>1</v>
      </c>
      <c r="AS325" s="86">
        <v>1</v>
      </c>
      <c r="AT325" s="86"/>
      <c r="AU325" s="86">
        <v>0</v>
      </c>
      <c r="AV325" s="86">
        <f t="shared" si="81"/>
        <v>1</v>
      </c>
      <c r="AW325" s="86" t="str">
        <f t="shared" si="82"/>
        <v>{s_taskTalk,{627,627}}</v>
      </c>
    </row>
    <row r="326" spans="1:49" s="87" customFormat="1" ht="72" x14ac:dyDescent="0.15">
      <c r="A326" s="81">
        <v>8031</v>
      </c>
      <c r="B326" s="82"/>
      <c r="C326" s="82" t="s">
        <v>8407</v>
      </c>
      <c r="D326" s="82">
        <v>1</v>
      </c>
      <c r="E326" s="82">
        <v>0</v>
      </c>
      <c r="F326" s="82">
        <v>8</v>
      </c>
      <c r="G326" s="884">
        <v>105</v>
      </c>
      <c r="H326" s="82">
        <v>200</v>
      </c>
      <c r="I326" s="82">
        <v>0</v>
      </c>
      <c r="J326" s="83">
        <v>8030</v>
      </c>
      <c r="K326" s="82">
        <v>0</v>
      </c>
      <c r="L326" s="85">
        <v>627</v>
      </c>
      <c r="M326" s="85" t="s">
        <v>8157</v>
      </c>
      <c r="N326" s="865">
        <v>637</v>
      </c>
      <c r="O326" s="863" t="s">
        <v>8167</v>
      </c>
      <c r="P326" s="82"/>
      <c r="Q326" s="869"/>
      <c r="R326" s="84"/>
      <c r="S326" s="869"/>
      <c r="T326" s="84"/>
      <c r="U326" s="869">
        <v>1</v>
      </c>
      <c r="V326" s="869">
        <v>1</v>
      </c>
      <c r="W326" s="877">
        <v>5</v>
      </c>
      <c r="X326" s="82"/>
      <c r="Y326" s="82"/>
      <c r="Z326" s="21">
        <f>VLOOKUP(G326,Sheet2!A:H,8,0)</f>
        <v>1621394</v>
      </c>
      <c r="AA326" s="82"/>
      <c r="AB326" s="82"/>
      <c r="AC326" s="23">
        <f>VLOOKUP(G326,Sheet2!A$2:K$151,9,FALSE)</f>
        <v>2280</v>
      </c>
      <c r="AD326" s="82"/>
      <c r="AE326" s="82"/>
      <c r="AF326" s="86" t="s">
        <v>8582</v>
      </c>
      <c r="AG326" s="86" t="s">
        <v>8583</v>
      </c>
      <c r="AH326" s="86" t="s">
        <v>8408</v>
      </c>
      <c r="AI326" s="86"/>
      <c r="AJ326" s="86" t="s">
        <v>8409</v>
      </c>
      <c r="AK326" s="86"/>
      <c r="AL326" s="86"/>
      <c r="AM326" s="86" t="s">
        <v>8227</v>
      </c>
      <c r="AN326" s="86" t="s">
        <v>8228</v>
      </c>
      <c r="AO326" s="86"/>
      <c r="AP326" s="86">
        <v>1</v>
      </c>
      <c r="AQ326" s="86">
        <v>0</v>
      </c>
      <c r="AR326" s="86">
        <v>1</v>
      </c>
      <c r="AS326" s="86">
        <v>1</v>
      </c>
      <c r="AT326" s="86"/>
      <c r="AU326" s="86">
        <v>0</v>
      </c>
      <c r="AV326" s="86">
        <f t="shared" si="81"/>
        <v>1</v>
      </c>
      <c r="AW326" s="86" t="str">
        <f t="shared" si="82"/>
        <v>{s_taskTalk,{627,637}}</v>
      </c>
    </row>
    <row r="327" spans="1:49" s="87" customFormat="1" ht="72" x14ac:dyDescent="0.15">
      <c r="A327" s="81">
        <v>8032</v>
      </c>
      <c r="B327" s="82"/>
      <c r="C327" s="82" t="s">
        <v>8410</v>
      </c>
      <c r="D327" s="82">
        <v>1</v>
      </c>
      <c r="E327" s="82">
        <v>0</v>
      </c>
      <c r="F327" s="82">
        <v>8</v>
      </c>
      <c r="G327" s="884">
        <v>106</v>
      </c>
      <c r="H327" s="82">
        <v>200</v>
      </c>
      <c r="I327" s="82">
        <v>0</v>
      </c>
      <c r="J327" s="83">
        <v>8031</v>
      </c>
      <c r="K327" s="82">
        <v>0</v>
      </c>
      <c r="L327" s="865">
        <v>637</v>
      </c>
      <c r="M327" s="863" t="s">
        <v>8167</v>
      </c>
      <c r="N327" s="865">
        <v>637</v>
      </c>
      <c r="O327" s="863" t="s">
        <v>8167</v>
      </c>
      <c r="P327" s="82"/>
      <c r="Q327" s="869"/>
      <c r="R327" s="84"/>
      <c r="S327" s="874">
        <v>10058</v>
      </c>
      <c r="T327" s="84"/>
      <c r="U327" s="875">
        <v>120</v>
      </c>
      <c r="V327" s="875">
        <v>0</v>
      </c>
      <c r="W327" s="877">
        <v>5</v>
      </c>
      <c r="X327" s="82"/>
      <c r="Y327" s="82"/>
      <c r="Z327" s="21">
        <f>VLOOKUP(G327,Sheet2!A:H,8,0)</f>
        <v>1644505</v>
      </c>
      <c r="AA327" s="82"/>
      <c r="AB327" s="82"/>
      <c r="AC327" s="23">
        <f>VLOOKUP(G327,Sheet2!A$2:K$151,9,FALSE)</f>
        <v>2300</v>
      </c>
      <c r="AD327" s="82"/>
      <c r="AE327" s="82"/>
      <c r="AF327" s="86" t="s">
        <v>8411</v>
      </c>
      <c r="AG327" s="86" t="s">
        <v>8412</v>
      </c>
      <c r="AH327" s="86" t="s">
        <v>8413</v>
      </c>
      <c r="AI327" s="86"/>
      <c r="AJ327" s="86" t="s">
        <v>8414</v>
      </c>
      <c r="AK327" s="86"/>
      <c r="AL327" s="86"/>
      <c r="AM327" s="86" t="s">
        <v>8229</v>
      </c>
      <c r="AN327" s="86" t="s">
        <v>8230</v>
      </c>
      <c r="AO327" s="86"/>
      <c r="AP327" s="86">
        <v>1</v>
      </c>
      <c r="AQ327" s="86">
        <v>0</v>
      </c>
      <c r="AR327" s="86">
        <v>1</v>
      </c>
      <c r="AS327" s="86">
        <v>1</v>
      </c>
      <c r="AT327" s="86"/>
      <c r="AU327" s="86">
        <v>0</v>
      </c>
      <c r="AV327" s="86">
        <f t="shared" si="81"/>
        <v>1</v>
      </c>
      <c r="AW327" s="87" t="str">
        <f>"{s_taskKillNpc, {"&amp;L327&amp;","&amp;N327&amp;","&amp;S327&amp;","&amp;U327&amp;"}}"</f>
        <v>{s_taskKillNpc, {637,637,10058,120}}</v>
      </c>
    </row>
    <row r="328" spans="1:49" s="87" customFormat="1" ht="72" x14ac:dyDescent="0.15">
      <c r="A328" s="81">
        <v>8033</v>
      </c>
      <c r="B328" s="82"/>
      <c r="C328" s="82" t="s">
        <v>8415</v>
      </c>
      <c r="D328" s="82">
        <v>1</v>
      </c>
      <c r="E328" s="82">
        <v>0</v>
      </c>
      <c r="F328" s="82">
        <v>8</v>
      </c>
      <c r="G328" s="884">
        <v>106</v>
      </c>
      <c r="H328" s="82">
        <v>200</v>
      </c>
      <c r="I328" s="82">
        <v>0</v>
      </c>
      <c r="J328" s="83">
        <v>8032</v>
      </c>
      <c r="K328" s="82">
        <v>0</v>
      </c>
      <c r="L328" s="865">
        <v>637</v>
      </c>
      <c r="M328" s="863" t="s">
        <v>8167</v>
      </c>
      <c r="N328" s="865">
        <v>638</v>
      </c>
      <c r="O328" s="863" t="s">
        <v>8168</v>
      </c>
      <c r="P328" s="82"/>
      <c r="Q328" s="869"/>
      <c r="R328" s="84"/>
      <c r="S328" s="869"/>
      <c r="T328" s="84"/>
      <c r="U328" s="869">
        <v>1</v>
      </c>
      <c r="V328" s="869">
        <v>1</v>
      </c>
      <c r="W328" s="877">
        <v>5</v>
      </c>
      <c r="X328" s="82"/>
      <c r="Y328" s="82"/>
      <c r="Z328" s="21">
        <f>VLOOKUP(G328,Sheet2!A:H,8,0)</f>
        <v>1644505</v>
      </c>
      <c r="AA328" s="82"/>
      <c r="AB328" s="82"/>
      <c r="AC328" s="23">
        <f>VLOOKUP(G328,Sheet2!A$2:K$151,9,FALSE)</f>
        <v>2300</v>
      </c>
      <c r="AD328" s="82"/>
      <c r="AE328" s="82"/>
      <c r="AF328" s="86" t="s">
        <v>8416</v>
      </c>
      <c r="AG328" s="86" t="s">
        <v>8417</v>
      </c>
      <c r="AH328" s="86" t="s">
        <v>8584</v>
      </c>
      <c r="AI328" s="86"/>
      <c r="AJ328" s="86" t="s">
        <v>8418</v>
      </c>
      <c r="AK328" s="86"/>
      <c r="AL328" s="86"/>
      <c r="AM328" s="86" t="s">
        <v>8231</v>
      </c>
      <c r="AN328" s="86" t="s">
        <v>8232</v>
      </c>
      <c r="AO328" s="86"/>
      <c r="AP328" s="86">
        <v>1</v>
      </c>
      <c r="AQ328" s="86">
        <v>0</v>
      </c>
      <c r="AR328" s="86">
        <v>1</v>
      </c>
      <c r="AS328" s="86">
        <v>1</v>
      </c>
      <c r="AT328" s="86"/>
      <c r="AU328" s="86">
        <v>0</v>
      </c>
      <c r="AV328" s="86">
        <f t="shared" si="81"/>
        <v>1</v>
      </c>
      <c r="AW328" s="86" t="str">
        <f t="shared" si="82"/>
        <v>{s_taskTalk,{637,638}}</v>
      </c>
    </row>
    <row r="329" spans="1:49" s="87" customFormat="1" ht="72" x14ac:dyDescent="0.15">
      <c r="A329" s="81">
        <v>8034</v>
      </c>
      <c r="B329" s="82"/>
      <c r="C329" s="82" t="s">
        <v>8419</v>
      </c>
      <c r="D329" s="82">
        <v>1</v>
      </c>
      <c r="E329" s="82">
        <v>0</v>
      </c>
      <c r="F329" s="82">
        <v>8</v>
      </c>
      <c r="G329" s="884">
        <v>107</v>
      </c>
      <c r="H329" s="82">
        <v>200</v>
      </c>
      <c r="I329" s="82">
        <v>0</v>
      </c>
      <c r="J329" s="83">
        <v>8033</v>
      </c>
      <c r="K329" s="82">
        <v>0</v>
      </c>
      <c r="L329" s="865">
        <v>638</v>
      </c>
      <c r="M329" s="863" t="s">
        <v>8168</v>
      </c>
      <c r="N329" s="865">
        <v>638</v>
      </c>
      <c r="O329" s="863" t="s">
        <v>8168</v>
      </c>
      <c r="P329" s="82"/>
      <c r="Q329" s="869"/>
      <c r="R329" s="84"/>
      <c r="S329" s="874">
        <v>10058</v>
      </c>
      <c r="T329" s="84"/>
      <c r="U329" s="875">
        <v>120</v>
      </c>
      <c r="V329" s="875">
        <v>0</v>
      </c>
      <c r="W329" s="877">
        <v>5</v>
      </c>
      <c r="X329" s="82"/>
      <c r="Y329" s="82"/>
      <c r="Z329" s="21">
        <f>VLOOKUP(G329,Sheet2!A:H,8,0)</f>
        <v>1667724</v>
      </c>
      <c r="AA329" s="82"/>
      <c r="AB329" s="82"/>
      <c r="AC329" s="23">
        <f>VLOOKUP(G329,Sheet2!A$2:K$151,9,FALSE)</f>
        <v>2320</v>
      </c>
      <c r="AD329" s="82"/>
      <c r="AE329" s="82"/>
      <c r="AF329" s="86" t="s">
        <v>8420</v>
      </c>
      <c r="AG329" s="86" t="s">
        <v>8421</v>
      </c>
      <c r="AH329" s="86" t="s">
        <v>8422</v>
      </c>
      <c r="AI329" s="86"/>
      <c r="AJ329" s="86" t="s">
        <v>8423</v>
      </c>
      <c r="AK329" s="86"/>
      <c r="AL329" s="86"/>
      <c r="AM329" s="86" t="s">
        <v>8233</v>
      </c>
      <c r="AN329" s="86" t="s">
        <v>8234</v>
      </c>
      <c r="AO329" s="86"/>
      <c r="AP329" s="86">
        <v>1</v>
      </c>
      <c r="AQ329" s="86">
        <v>0</v>
      </c>
      <c r="AR329" s="86">
        <v>1</v>
      </c>
      <c r="AS329" s="86">
        <v>1</v>
      </c>
      <c r="AT329" s="86"/>
      <c r="AU329" s="86">
        <v>0</v>
      </c>
      <c r="AV329" s="86">
        <f t="shared" si="81"/>
        <v>1</v>
      </c>
      <c r="AW329" s="87" t="str">
        <f>"{s_taskKillNpc, {"&amp;L329&amp;","&amp;N329&amp;","&amp;S329&amp;","&amp;U329&amp;"}}"</f>
        <v>{s_taskKillNpc, {638,638,10058,120}}</v>
      </c>
    </row>
    <row r="330" spans="1:49" s="87" customFormat="1" ht="72" x14ac:dyDescent="0.15">
      <c r="A330" s="81">
        <v>8035</v>
      </c>
      <c r="B330" s="82"/>
      <c r="C330" s="82" t="s">
        <v>8424</v>
      </c>
      <c r="D330" s="82">
        <v>1</v>
      </c>
      <c r="E330" s="82">
        <v>0</v>
      </c>
      <c r="F330" s="82">
        <v>8</v>
      </c>
      <c r="G330" s="884">
        <v>107</v>
      </c>
      <c r="H330" s="82">
        <v>200</v>
      </c>
      <c r="I330" s="82">
        <v>0</v>
      </c>
      <c r="J330" s="83">
        <v>8034</v>
      </c>
      <c r="K330" s="82">
        <v>0</v>
      </c>
      <c r="L330" s="865">
        <v>638</v>
      </c>
      <c r="M330" s="863" t="s">
        <v>8168</v>
      </c>
      <c r="N330" s="865">
        <v>639</v>
      </c>
      <c r="O330" s="863" t="s">
        <v>8489</v>
      </c>
      <c r="P330" s="82"/>
      <c r="Q330" s="869"/>
      <c r="R330" s="84"/>
      <c r="S330" s="869"/>
      <c r="T330" s="84"/>
      <c r="U330" s="869">
        <v>1</v>
      </c>
      <c r="V330" s="869">
        <v>1</v>
      </c>
      <c r="W330" s="877">
        <v>5</v>
      </c>
      <c r="X330" s="82"/>
      <c r="Y330" s="82"/>
      <c r="Z330" s="21">
        <f>VLOOKUP(G330,Sheet2!A:H,8,0)</f>
        <v>1667724</v>
      </c>
      <c r="AA330" s="82"/>
      <c r="AB330" s="82"/>
      <c r="AC330" s="23">
        <f>VLOOKUP(G330,Sheet2!A$2:K$151,9,FALSE)</f>
        <v>2320</v>
      </c>
      <c r="AD330" s="82"/>
      <c r="AE330" s="82"/>
      <c r="AF330" s="86" t="s">
        <v>8490</v>
      </c>
      <c r="AG330" s="86" t="s">
        <v>8491</v>
      </c>
      <c r="AH330" s="86" t="s">
        <v>8425</v>
      </c>
      <c r="AI330" s="86"/>
      <c r="AJ330" s="86" t="s">
        <v>8492</v>
      </c>
      <c r="AK330" s="86"/>
      <c r="AL330" s="86"/>
      <c r="AM330" s="86" t="s">
        <v>8235</v>
      </c>
      <c r="AN330" s="86" t="s">
        <v>8236</v>
      </c>
      <c r="AO330" s="86"/>
      <c r="AP330" s="86">
        <v>1</v>
      </c>
      <c r="AQ330" s="86">
        <v>0</v>
      </c>
      <c r="AR330" s="86">
        <v>1</v>
      </c>
      <c r="AS330" s="86">
        <v>1</v>
      </c>
      <c r="AT330" s="86"/>
      <c r="AU330" s="86">
        <v>0</v>
      </c>
      <c r="AV330" s="86">
        <f t="shared" si="81"/>
        <v>1</v>
      </c>
      <c r="AW330" s="86" t="str">
        <f t="shared" si="82"/>
        <v>{s_taskTalk,{638,639}}</v>
      </c>
    </row>
    <row r="331" spans="1:49" s="87" customFormat="1" ht="72" x14ac:dyDescent="0.15">
      <c r="A331" s="81">
        <v>8036</v>
      </c>
      <c r="B331" s="82"/>
      <c r="C331" s="82" t="s">
        <v>8493</v>
      </c>
      <c r="D331" s="82">
        <v>1</v>
      </c>
      <c r="E331" s="82">
        <v>0</v>
      </c>
      <c r="F331" s="82">
        <v>8</v>
      </c>
      <c r="G331" s="884">
        <v>108</v>
      </c>
      <c r="H331" s="82">
        <v>200</v>
      </c>
      <c r="I331" s="82">
        <v>0</v>
      </c>
      <c r="J331" s="83">
        <v>8035</v>
      </c>
      <c r="K331" s="82">
        <v>0</v>
      </c>
      <c r="L331" s="865">
        <v>639</v>
      </c>
      <c r="M331" s="863" t="s">
        <v>8489</v>
      </c>
      <c r="N331" s="865">
        <v>639</v>
      </c>
      <c r="O331" s="863" t="s">
        <v>8489</v>
      </c>
      <c r="P331" s="82"/>
      <c r="Q331" s="869"/>
      <c r="R331" s="84"/>
      <c r="S331" s="874">
        <v>10058</v>
      </c>
      <c r="T331" s="84"/>
      <c r="U331" s="875">
        <v>120</v>
      </c>
      <c r="V331" s="875">
        <v>0</v>
      </c>
      <c r="W331" s="877">
        <v>5</v>
      </c>
      <c r="X331" s="82"/>
      <c r="Y331" s="82"/>
      <c r="Z331" s="21">
        <f>VLOOKUP(G331,Sheet2!A:H,8,0)</f>
        <v>1691053</v>
      </c>
      <c r="AA331" s="82"/>
      <c r="AB331" s="82"/>
      <c r="AC331" s="23">
        <f>VLOOKUP(G331,Sheet2!A$2:K$151,9,FALSE)</f>
        <v>2340</v>
      </c>
      <c r="AD331" s="82"/>
      <c r="AE331" s="82"/>
      <c r="AF331" s="86" t="s">
        <v>8494</v>
      </c>
      <c r="AG331" s="86" t="s">
        <v>8426</v>
      </c>
      <c r="AH331" s="86" t="s">
        <v>8427</v>
      </c>
      <c r="AI331" s="86"/>
      <c r="AJ331" s="86" t="s">
        <v>8428</v>
      </c>
      <c r="AK331" s="86"/>
      <c r="AL331" s="86"/>
      <c r="AM331" s="86" t="s">
        <v>8237</v>
      </c>
      <c r="AN331" s="86" t="s">
        <v>8238</v>
      </c>
      <c r="AO331" s="86"/>
      <c r="AP331" s="86">
        <v>1</v>
      </c>
      <c r="AQ331" s="86">
        <v>0</v>
      </c>
      <c r="AR331" s="86">
        <v>1</v>
      </c>
      <c r="AS331" s="86">
        <v>1</v>
      </c>
      <c r="AT331" s="86"/>
      <c r="AU331" s="86">
        <v>0</v>
      </c>
      <c r="AV331" s="86">
        <f t="shared" si="81"/>
        <v>1</v>
      </c>
      <c r="AW331" s="87" t="str">
        <f>"{s_taskKillNpc, {"&amp;L331&amp;","&amp;N331&amp;","&amp;S331&amp;","&amp;U331&amp;"}}"</f>
        <v>{s_taskKillNpc, {639,639,10058,120}}</v>
      </c>
    </row>
    <row r="332" spans="1:49" s="87" customFormat="1" ht="72" x14ac:dyDescent="0.15">
      <c r="A332" s="81">
        <v>8037</v>
      </c>
      <c r="B332" s="82"/>
      <c r="C332" s="82" t="s">
        <v>8429</v>
      </c>
      <c r="D332" s="82">
        <v>1</v>
      </c>
      <c r="E332" s="82">
        <v>0</v>
      </c>
      <c r="F332" s="82">
        <v>8</v>
      </c>
      <c r="G332" s="884">
        <v>108</v>
      </c>
      <c r="H332" s="82">
        <v>200</v>
      </c>
      <c r="I332" s="82">
        <v>0</v>
      </c>
      <c r="J332" s="83">
        <v>8036</v>
      </c>
      <c r="K332" s="82">
        <v>0</v>
      </c>
      <c r="L332" s="865">
        <v>639</v>
      </c>
      <c r="M332" s="863" t="s">
        <v>8489</v>
      </c>
      <c r="N332" s="865">
        <v>637</v>
      </c>
      <c r="O332" s="863" t="s">
        <v>8167</v>
      </c>
      <c r="P332" s="82"/>
      <c r="Q332" s="869"/>
      <c r="R332" s="84"/>
      <c r="S332" s="869"/>
      <c r="T332" s="84"/>
      <c r="U332" s="869">
        <v>1</v>
      </c>
      <c r="V332" s="869">
        <v>1</v>
      </c>
      <c r="W332" s="877">
        <v>5</v>
      </c>
      <c r="X332" s="82"/>
      <c r="Y332" s="82"/>
      <c r="Z332" s="21">
        <f>VLOOKUP(G332,Sheet2!A:H,8,0)</f>
        <v>1691053</v>
      </c>
      <c r="AA332" s="82"/>
      <c r="AB332" s="82"/>
      <c r="AC332" s="23">
        <f>VLOOKUP(G332,Sheet2!A$2:K$151,9,FALSE)</f>
        <v>2340</v>
      </c>
      <c r="AD332" s="82"/>
      <c r="AE332" s="82"/>
      <c r="AF332" s="86" t="s">
        <v>8430</v>
      </c>
      <c r="AG332" s="86" t="s">
        <v>8431</v>
      </c>
      <c r="AH332" s="86" t="s">
        <v>8432</v>
      </c>
      <c r="AI332" s="86"/>
      <c r="AJ332" s="86" t="s">
        <v>8433</v>
      </c>
      <c r="AK332" s="86"/>
      <c r="AL332" s="86"/>
      <c r="AM332" s="86" t="s">
        <v>8239</v>
      </c>
      <c r="AN332" s="86" t="s">
        <v>8240</v>
      </c>
      <c r="AO332" s="86"/>
      <c r="AP332" s="86">
        <v>1</v>
      </c>
      <c r="AQ332" s="86">
        <v>0</v>
      </c>
      <c r="AR332" s="86">
        <v>1</v>
      </c>
      <c r="AS332" s="86">
        <v>1</v>
      </c>
      <c r="AT332" s="86"/>
      <c r="AU332" s="86">
        <v>0</v>
      </c>
      <c r="AV332" s="86">
        <f t="shared" si="81"/>
        <v>1</v>
      </c>
      <c r="AW332" s="86" t="str">
        <f t="shared" si="82"/>
        <v>{s_taskTalk,{639,637}}</v>
      </c>
    </row>
    <row r="333" spans="1:49" s="87" customFormat="1" ht="72" x14ac:dyDescent="0.15">
      <c r="A333" s="81">
        <v>8038</v>
      </c>
      <c r="B333" s="82"/>
      <c r="C333" s="82" t="s">
        <v>8434</v>
      </c>
      <c r="D333" s="82">
        <v>1</v>
      </c>
      <c r="E333" s="82">
        <v>0</v>
      </c>
      <c r="F333" s="82">
        <v>8</v>
      </c>
      <c r="G333" s="884">
        <v>109</v>
      </c>
      <c r="H333" s="82">
        <v>200</v>
      </c>
      <c r="I333" s="82">
        <v>0</v>
      </c>
      <c r="J333" s="83">
        <v>8037</v>
      </c>
      <c r="K333" s="82">
        <v>0</v>
      </c>
      <c r="L333" s="865">
        <v>637</v>
      </c>
      <c r="M333" s="863" t="s">
        <v>8167</v>
      </c>
      <c r="N333" s="865">
        <v>639</v>
      </c>
      <c r="O333" s="863" t="s">
        <v>8169</v>
      </c>
      <c r="P333" s="82"/>
      <c r="Q333" s="869"/>
      <c r="R333" s="84"/>
      <c r="S333" s="874">
        <v>10059</v>
      </c>
      <c r="T333" s="84"/>
      <c r="U333" s="875">
        <v>120</v>
      </c>
      <c r="V333" s="875">
        <v>0</v>
      </c>
      <c r="W333" s="877">
        <v>5</v>
      </c>
      <c r="X333" s="82"/>
      <c r="Y333" s="82"/>
      <c r="Z333" s="21">
        <f>VLOOKUP(G333,Sheet2!A:H,8,0)</f>
        <v>1714490</v>
      </c>
      <c r="AA333" s="82"/>
      <c r="AB333" s="82"/>
      <c r="AC333" s="23">
        <f>VLOOKUP(G333,Sheet2!A$2:K$151,9,FALSE)</f>
        <v>2360</v>
      </c>
      <c r="AD333" s="82"/>
      <c r="AE333" s="82"/>
      <c r="AF333" s="86" t="s">
        <v>8495</v>
      </c>
      <c r="AG333" s="86" t="s">
        <v>8496</v>
      </c>
      <c r="AH333" s="86" t="s">
        <v>8435</v>
      </c>
      <c r="AI333" s="86"/>
      <c r="AJ333" s="86" t="s">
        <v>8436</v>
      </c>
      <c r="AK333" s="86"/>
      <c r="AL333" s="86"/>
      <c r="AM333" s="86" t="s">
        <v>8241</v>
      </c>
      <c r="AN333" s="86" t="s">
        <v>8242</v>
      </c>
      <c r="AO333" s="86"/>
      <c r="AP333" s="86">
        <v>1</v>
      </c>
      <c r="AQ333" s="86">
        <v>0</v>
      </c>
      <c r="AR333" s="86">
        <v>1</v>
      </c>
      <c r="AS333" s="86">
        <v>1</v>
      </c>
      <c r="AT333" s="86"/>
      <c r="AU333" s="86">
        <v>0</v>
      </c>
      <c r="AV333" s="86">
        <f t="shared" si="81"/>
        <v>1</v>
      </c>
      <c r="AW333" s="87" t="str">
        <f>"{s_taskKillNpc, {"&amp;L333&amp;","&amp;N333&amp;","&amp;S333&amp;","&amp;U333&amp;"}}"</f>
        <v>{s_taskKillNpc, {637,639,10059,120}}</v>
      </c>
    </row>
    <row r="334" spans="1:49" s="87" customFormat="1" ht="72" x14ac:dyDescent="0.15">
      <c r="A334" s="81">
        <v>8039</v>
      </c>
      <c r="B334" s="82"/>
      <c r="C334" s="82" t="s">
        <v>8437</v>
      </c>
      <c r="D334" s="82">
        <v>1</v>
      </c>
      <c r="E334" s="82">
        <v>0</v>
      </c>
      <c r="F334" s="82">
        <v>8</v>
      </c>
      <c r="G334" s="884">
        <v>109</v>
      </c>
      <c r="H334" s="82">
        <v>200</v>
      </c>
      <c r="I334" s="82">
        <v>0</v>
      </c>
      <c r="J334" s="83">
        <v>8038</v>
      </c>
      <c r="K334" s="82">
        <v>0</v>
      </c>
      <c r="L334" s="865">
        <v>639</v>
      </c>
      <c r="M334" s="863" t="s">
        <v>8169</v>
      </c>
      <c r="N334" s="865">
        <v>638</v>
      </c>
      <c r="O334" s="863" t="s">
        <v>8168</v>
      </c>
      <c r="P334" s="82"/>
      <c r="Q334" s="869"/>
      <c r="R334" s="84"/>
      <c r="S334" s="869"/>
      <c r="T334" s="84"/>
      <c r="U334" s="869">
        <v>1</v>
      </c>
      <c r="V334" s="869">
        <v>1</v>
      </c>
      <c r="W334" s="877">
        <v>5</v>
      </c>
      <c r="X334" s="82"/>
      <c r="Y334" s="82"/>
      <c r="Z334" s="21">
        <f>VLOOKUP(G334,Sheet2!A:H,8,0)</f>
        <v>1714490</v>
      </c>
      <c r="AA334" s="82"/>
      <c r="AB334" s="82"/>
      <c r="AC334" s="23">
        <f>VLOOKUP(G334,Sheet2!A$2:K$151,9,FALSE)</f>
        <v>2360</v>
      </c>
      <c r="AD334" s="82"/>
      <c r="AE334" s="82"/>
      <c r="AF334" s="86" t="s">
        <v>8586</v>
      </c>
      <c r="AG334" s="86" t="s">
        <v>8585</v>
      </c>
      <c r="AH334" s="86" t="s">
        <v>8438</v>
      </c>
      <c r="AI334" s="86"/>
      <c r="AJ334" s="86" t="s">
        <v>8439</v>
      </c>
      <c r="AK334" s="86"/>
      <c r="AL334" s="86"/>
      <c r="AM334" s="86" t="s">
        <v>8243</v>
      </c>
      <c r="AN334" s="86" t="s">
        <v>8244</v>
      </c>
      <c r="AO334" s="86"/>
      <c r="AP334" s="86">
        <v>1</v>
      </c>
      <c r="AQ334" s="86">
        <v>0</v>
      </c>
      <c r="AR334" s="86">
        <v>1</v>
      </c>
      <c r="AS334" s="86">
        <v>1</v>
      </c>
      <c r="AT334" s="86"/>
      <c r="AU334" s="86">
        <v>0</v>
      </c>
      <c r="AV334" s="86">
        <f t="shared" si="81"/>
        <v>1</v>
      </c>
      <c r="AW334" s="86" t="str">
        <f t="shared" si="82"/>
        <v>{s_taskTalk,{639,638}}</v>
      </c>
    </row>
    <row r="335" spans="1:49" s="87" customFormat="1" ht="72" x14ac:dyDescent="0.15">
      <c r="A335" s="81">
        <v>8040</v>
      </c>
      <c r="B335" s="82"/>
      <c r="C335" s="82" t="s">
        <v>8440</v>
      </c>
      <c r="D335" s="82">
        <v>1</v>
      </c>
      <c r="E335" s="82">
        <v>0</v>
      </c>
      <c r="F335" s="82">
        <v>8</v>
      </c>
      <c r="G335" s="884">
        <v>110</v>
      </c>
      <c r="H335" s="82">
        <v>200</v>
      </c>
      <c r="I335" s="82">
        <v>0</v>
      </c>
      <c r="J335" s="83">
        <v>8039</v>
      </c>
      <c r="K335" s="82">
        <v>0</v>
      </c>
      <c r="L335" s="865">
        <v>638</v>
      </c>
      <c r="M335" s="863" t="s">
        <v>8168</v>
      </c>
      <c r="N335" s="865">
        <v>638</v>
      </c>
      <c r="O335" s="863" t="s">
        <v>8168</v>
      </c>
      <c r="P335" s="82"/>
      <c r="Q335" s="849">
        <v>2058</v>
      </c>
      <c r="R335" s="84"/>
      <c r="S335" s="869"/>
      <c r="T335" s="84"/>
      <c r="U335" s="876">
        <v>1</v>
      </c>
      <c r="V335" s="875">
        <v>0</v>
      </c>
      <c r="W335" s="877">
        <v>5</v>
      </c>
      <c r="X335" s="82"/>
      <c r="Y335" s="82"/>
      <c r="Z335" s="21">
        <f>VLOOKUP(G335,Sheet2!A:H,8,0)</f>
        <v>1738034</v>
      </c>
      <c r="AA335" s="82"/>
      <c r="AB335" s="82"/>
      <c r="AC335" s="23">
        <f>VLOOKUP(G335,Sheet2!A$2:K$151,9,FALSE)</f>
        <v>2380</v>
      </c>
      <c r="AD335" s="82"/>
      <c r="AE335" s="82"/>
      <c r="AF335" s="86" t="s">
        <v>8441</v>
      </c>
      <c r="AG335" s="86" t="s">
        <v>8442</v>
      </c>
      <c r="AH335" s="86" t="s">
        <v>8443</v>
      </c>
      <c r="AI335" s="86"/>
      <c r="AJ335" s="86" t="s">
        <v>8444</v>
      </c>
      <c r="AK335" s="86"/>
      <c r="AL335" s="86"/>
      <c r="AM335" s="86" t="s">
        <v>8245</v>
      </c>
      <c r="AN335" s="86" t="s">
        <v>8246</v>
      </c>
      <c r="AO335" s="86"/>
      <c r="AP335" s="86">
        <v>1</v>
      </c>
      <c r="AQ335" s="86">
        <v>0</v>
      </c>
      <c r="AR335" s="86">
        <v>1</v>
      </c>
      <c r="AS335" s="86">
        <v>1</v>
      </c>
      <c r="AT335" s="86"/>
      <c r="AU335" s="86">
        <v>0</v>
      </c>
      <c r="AV335" s="86">
        <f t="shared" si="81"/>
        <v>1</v>
      </c>
      <c r="AW335" s="86" t="str">
        <f t="shared" si="82"/>
        <v>{s_taskTalk,{638,638}}</v>
      </c>
    </row>
    <row r="336" spans="1:49" s="87" customFormat="1" ht="72" x14ac:dyDescent="0.15">
      <c r="A336" s="81">
        <v>8041</v>
      </c>
      <c r="B336" s="82"/>
      <c r="C336" s="82" t="s">
        <v>8445</v>
      </c>
      <c r="D336" s="82">
        <v>1</v>
      </c>
      <c r="E336" s="82">
        <v>0</v>
      </c>
      <c r="F336" s="82">
        <v>8</v>
      </c>
      <c r="G336" s="884">
        <v>110</v>
      </c>
      <c r="H336" s="82">
        <v>200</v>
      </c>
      <c r="I336" s="82">
        <v>0</v>
      </c>
      <c r="J336" s="83">
        <v>8040</v>
      </c>
      <c r="K336" s="82">
        <v>0</v>
      </c>
      <c r="L336" s="865">
        <v>638</v>
      </c>
      <c r="M336" s="863" t="s">
        <v>8168</v>
      </c>
      <c r="N336" s="865">
        <v>639</v>
      </c>
      <c r="O336" s="863" t="s">
        <v>8489</v>
      </c>
      <c r="P336" s="82"/>
      <c r="Q336" s="869"/>
      <c r="R336" s="84"/>
      <c r="S336" s="869"/>
      <c r="T336" s="84"/>
      <c r="U336" s="869">
        <v>1</v>
      </c>
      <c r="V336" s="869">
        <v>1</v>
      </c>
      <c r="W336" s="877">
        <v>5</v>
      </c>
      <c r="X336" s="82"/>
      <c r="Y336" s="82"/>
      <c r="Z336" s="21">
        <f>VLOOKUP(G336,Sheet2!A:H,8,0)</f>
        <v>1738034</v>
      </c>
      <c r="AA336" s="82"/>
      <c r="AB336" s="82"/>
      <c r="AC336" s="23">
        <f>VLOOKUP(G336,Sheet2!A$2:K$151,9,FALSE)</f>
        <v>2380</v>
      </c>
      <c r="AD336" s="82"/>
      <c r="AE336" s="82"/>
      <c r="AF336" s="86" t="s">
        <v>8498</v>
      </c>
      <c r="AG336" s="86" t="s">
        <v>8497</v>
      </c>
      <c r="AH336" s="86" t="s">
        <v>8446</v>
      </c>
      <c r="AI336" s="86"/>
      <c r="AJ336" s="86" t="s">
        <v>8499</v>
      </c>
      <c r="AK336" s="86"/>
      <c r="AL336" s="86"/>
      <c r="AM336" s="86" t="s">
        <v>8247</v>
      </c>
      <c r="AN336" s="86" t="s">
        <v>8248</v>
      </c>
      <c r="AO336" s="86"/>
      <c r="AP336" s="86">
        <v>1</v>
      </c>
      <c r="AQ336" s="86">
        <v>0</v>
      </c>
      <c r="AR336" s="86">
        <v>1</v>
      </c>
      <c r="AS336" s="86">
        <v>1</v>
      </c>
      <c r="AT336" s="86"/>
      <c r="AU336" s="86">
        <v>0</v>
      </c>
      <c r="AV336" s="86">
        <f t="shared" si="81"/>
        <v>1</v>
      </c>
      <c r="AW336" s="86" t="str">
        <f t="shared" si="82"/>
        <v>{s_taskTalk,{638,639}}</v>
      </c>
    </row>
    <row r="337" spans="1:49" s="87" customFormat="1" ht="72" x14ac:dyDescent="0.15">
      <c r="A337" s="81">
        <v>8042</v>
      </c>
      <c r="B337" s="82"/>
      <c r="C337" s="82" t="s">
        <v>8447</v>
      </c>
      <c r="D337" s="82">
        <v>1</v>
      </c>
      <c r="E337" s="82">
        <v>0</v>
      </c>
      <c r="F337" s="82">
        <v>8</v>
      </c>
      <c r="G337" s="884">
        <v>111</v>
      </c>
      <c r="H337" s="82">
        <v>200</v>
      </c>
      <c r="I337" s="82">
        <v>0</v>
      </c>
      <c r="J337" s="83">
        <v>8041</v>
      </c>
      <c r="K337" s="82">
        <v>0</v>
      </c>
      <c r="L337" s="865">
        <v>639</v>
      </c>
      <c r="M337" s="863" t="s">
        <v>8489</v>
      </c>
      <c r="N337" s="865">
        <v>640</v>
      </c>
      <c r="O337" s="863" t="s">
        <v>8170</v>
      </c>
      <c r="P337" s="82"/>
      <c r="Q337" s="869"/>
      <c r="R337" s="84"/>
      <c r="S337" s="874">
        <v>10059</v>
      </c>
      <c r="T337" s="84"/>
      <c r="U337" s="875">
        <v>120</v>
      </c>
      <c r="V337" s="875">
        <v>0</v>
      </c>
      <c r="W337" s="877">
        <v>5</v>
      </c>
      <c r="X337" s="82"/>
      <c r="Y337" s="82"/>
      <c r="Z337" s="21">
        <f>VLOOKUP(G337,Sheet2!A:H,8,0)</f>
        <v>1761686</v>
      </c>
      <c r="AA337" s="82"/>
      <c r="AB337" s="82"/>
      <c r="AC337" s="23">
        <f>VLOOKUP(G337,Sheet2!A$2:K$151,9,FALSE)</f>
        <v>2400</v>
      </c>
      <c r="AD337" s="82"/>
      <c r="AE337" s="82"/>
      <c r="AF337" s="86" t="s">
        <v>8448</v>
      </c>
      <c r="AG337" s="86" t="s">
        <v>8449</v>
      </c>
      <c r="AH337" s="86" t="s">
        <v>8450</v>
      </c>
      <c r="AI337" s="86"/>
      <c r="AJ337" s="86" t="s">
        <v>8451</v>
      </c>
      <c r="AK337" s="86"/>
      <c r="AL337" s="86"/>
      <c r="AM337" s="86" t="s">
        <v>8249</v>
      </c>
      <c r="AN337" s="86" t="s">
        <v>8250</v>
      </c>
      <c r="AO337" s="86"/>
      <c r="AP337" s="86">
        <v>1</v>
      </c>
      <c r="AQ337" s="86">
        <v>0</v>
      </c>
      <c r="AR337" s="86">
        <v>1</v>
      </c>
      <c r="AS337" s="86">
        <v>1</v>
      </c>
      <c r="AT337" s="86"/>
      <c r="AU337" s="86">
        <v>0</v>
      </c>
      <c r="AV337" s="86">
        <f t="shared" si="81"/>
        <v>1</v>
      </c>
      <c r="AW337" s="87" t="str">
        <f>"{s_taskKillNpc, {"&amp;L337&amp;","&amp;N337&amp;","&amp;S337&amp;","&amp;U337&amp;"}}"</f>
        <v>{s_taskKillNpc, {639,640,10059,120}}</v>
      </c>
    </row>
    <row r="338" spans="1:49" s="87" customFormat="1" ht="72" x14ac:dyDescent="0.15">
      <c r="A338" s="81">
        <v>8043</v>
      </c>
      <c r="B338" s="82"/>
      <c r="C338" s="82" t="s">
        <v>8452</v>
      </c>
      <c r="D338" s="82">
        <v>1</v>
      </c>
      <c r="E338" s="82">
        <v>0</v>
      </c>
      <c r="F338" s="82">
        <v>8</v>
      </c>
      <c r="G338" s="884">
        <v>111</v>
      </c>
      <c r="H338" s="82">
        <v>200</v>
      </c>
      <c r="I338" s="82">
        <v>0</v>
      </c>
      <c r="J338" s="83">
        <v>8042</v>
      </c>
      <c r="K338" s="82">
        <v>0</v>
      </c>
      <c r="L338" s="865">
        <v>640</v>
      </c>
      <c r="M338" s="863" t="s">
        <v>8170</v>
      </c>
      <c r="N338" s="865">
        <v>640</v>
      </c>
      <c r="O338" s="863" t="s">
        <v>8170</v>
      </c>
      <c r="P338" s="82"/>
      <c r="Q338" s="869"/>
      <c r="R338" s="84"/>
      <c r="S338" s="869"/>
      <c r="T338" s="84"/>
      <c r="U338" s="869">
        <v>1</v>
      </c>
      <c r="V338" s="869">
        <v>1</v>
      </c>
      <c r="W338" s="877">
        <v>5</v>
      </c>
      <c r="X338" s="82"/>
      <c r="Y338" s="82"/>
      <c r="Z338" s="21">
        <f>VLOOKUP(G338,Sheet2!A:H,8,0)</f>
        <v>1761686</v>
      </c>
      <c r="AA338" s="82"/>
      <c r="AB338" s="82"/>
      <c r="AC338" s="23">
        <f>VLOOKUP(G338,Sheet2!A$2:K$151,9,FALSE)</f>
        <v>2400</v>
      </c>
      <c r="AD338" s="82"/>
      <c r="AE338" s="82"/>
      <c r="AF338" s="86" t="s">
        <v>8453</v>
      </c>
      <c r="AG338" s="86" t="s">
        <v>8454</v>
      </c>
      <c r="AH338" s="86" t="s">
        <v>8455</v>
      </c>
      <c r="AI338" s="86"/>
      <c r="AJ338" s="86" t="s">
        <v>8456</v>
      </c>
      <c r="AK338" s="86"/>
      <c r="AL338" s="86"/>
      <c r="AM338" s="86" t="s">
        <v>8251</v>
      </c>
      <c r="AN338" s="86" t="s">
        <v>8252</v>
      </c>
      <c r="AO338" s="86"/>
      <c r="AP338" s="86">
        <v>1</v>
      </c>
      <c r="AQ338" s="86">
        <v>0</v>
      </c>
      <c r="AR338" s="86">
        <v>1</v>
      </c>
      <c r="AS338" s="86">
        <v>1</v>
      </c>
      <c r="AT338" s="86"/>
      <c r="AU338" s="86">
        <v>0</v>
      </c>
      <c r="AV338" s="86">
        <f t="shared" si="81"/>
        <v>1</v>
      </c>
      <c r="AW338" s="86" t="str">
        <f t="shared" si="82"/>
        <v>{s_taskTalk,{640,640}}</v>
      </c>
    </row>
    <row r="339" spans="1:49" s="87" customFormat="1" ht="72" x14ac:dyDescent="0.15">
      <c r="A339" s="81">
        <v>8044</v>
      </c>
      <c r="B339" s="82"/>
      <c r="C339" s="82" t="s">
        <v>8457</v>
      </c>
      <c r="D339" s="82">
        <v>1</v>
      </c>
      <c r="E339" s="82">
        <v>0</v>
      </c>
      <c r="F339" s="82">
        <v>8</v>
      </c>
      <c r="G339" s="884">
        <v>112</v>
      </c>
      <c r="H339" s="82">
        <v>200</v>
      </c>
      <c r="I339" s="82">
        <v>0</v>
      </c>
      <c r="J339" s="83">
        <v>8043</v>
      </c>
      <c r="K339" s="82">
        <v>0</v>
      </c>
      <c r="L339" s="865">
        <v>640</v>
      </c>
      <c r="M339" s="863" t="s">
        <v>8170</v>
      </c>
      <c r="N339" s="865">
        <v>640</v>
      </c>
      <c r="O339" s="863" t="s">
        <v>8170</v>
      </c>
      <c r="P339" s="82"/>
      <c r="Q339" s="869"/>
      <c r="R339" s="84"/>
      <c r="S339" s="874">
        <v>10060</v>
      </c>
      <c r="T339" s="84"/>
      <c r="U339" s="875">
        <v>120</v>
      </c>
      <c r="V339" s="875">
        <v>0</v>
      </c>
      <c r="W339" s="877">
        <v>5</v>
      </c>
      <c r="X339" s="82"/>
      <c r="Y339" s="82"/>
      <c r="Z339" s="21">
        <f>VLOOKUP(G339,Sheet2!A:H,8,0)</f>
        <v>1785444</v>
      </c>
      <c r="AA339" s="82"/>
      <c r="AB339" s="82"/>
      <c r="AC339" s="23">
        <f>VLOOKUP(G339,Sheet2!A$2:K$151,9,FALSE)</f>
        <v>2420</v>
      </c>
      <c r="AD339" s="82"/>
      <c r="AE339" s="82"/>
      <c r="AF339" s="86" t="s">
        <v>8458</v>
      </c>
      <c r="AG339" s="86" t="s">
        <v>8459</v>
      </c>
      <c r="AH339" s="86" t="s">
        <v>8460</v>
      </c>
      <c r="AI339" s="86"/>
      <c r="AJ339" s="86" t="s">
        <v>8461</v>
      </c>
      <c r="AK339" s="86"/>
      <c r="AL339" s="86"/>
      <c r="AM339" s="86" t="s">
        <v>8253</v>
      </c>
      <c r="AN339" s="86" t="s">
        <v>8254</v>
      </c>
      <c r="AO339" s="86"/>
      <c r="AP339" s="86">
        <v>1</v>
      </c>
      <c r="AQ339" s="86">
        <v>0</v>
      </c>
      <c r="AR339" s="86">
        <v>1</v>
      </c>
      <c r="AS339" s="86">
        <v>1</v>
      </c>
      <c r="AT339" s="86"/>
      <c r="AU339" s="86">
        <v>0</v>
      </c>
      <c r="AV339" s="86">
        <f t="shared" si="81"/>
        <v>1</v>
      </c>
      <c r="AW339" s="87" t="str">
        <f>"{s_taskKillNpc, {"&amp;L339&amp;","&amp;N339&amp;","&amp;S339&amp;","&amp;U339&amp;"}}"</f>
        <v>{s_taskKillNpc, {640,640,10060,120}}</v>
      </c>
    </row>
    <row r="340" spans="1:49" s="87" customFormat="1" ht="72" x14ac:dyDescent="0.15">
      <c r="A340" s="81">
        <v>8045</v>
      </c>
      <c r="B340" s="82"/>
      <c r="C340" s="82" t="s">
        <v>8462</v>
      </c>
      <c r="D340" s="82">
        <v>1</v>
      </c>
      <c r="E340" s="82">
        <v>0</v>
      </c>
      <c r="F340" s="82">
        <v>8</v>
      </c>
      <c r="G340" s="884">
        <v>112</v>
      </c>
      <c r="H340" s="82">
        <v>200</v>
      </c>
      <c r="I340" s="82">
        <v>0</v>
      </c>
      <c r="J340" s="83">
        <v>8044</v>
      </c>
      <c r="K340" s="82">
        <v>0</v>
      </c>
      <c r="L340" s="865">
        <v>640</v>
      </c>
      <c r="M340" s="863" t="s">
        <v>8170</v>
      </c>
      <c r="N340" s="865">
        <v>631</v>
      </c>
      <c r="O340" s="863" t="s">
        <v>8165</v>
      </c>
      <c r="P340" s="82"/>
      <c r="Q340" s="869"/>
      <c r="R340" s="84"/>
      <c r="S340" s="869"/>
      <c r="T340" s="84"/>
      <c r="U340" s="869">
        <v>1</v>
      </c>
      <c r="V340" s="869">
        <v>1</v>
      </c>
      <c r="W340" s="877">
        <v>5</v>
      </c>
      <c r="X340" s="82"/>
      <c r="Y340" s="82"/>
      <c r="Z340" s="21">
        <f>VLOOKUP(G340,Sheet2!A:H,8,0)</f>
        <v>1785444</v>
      </c>
      <c r="AA340" s="82"/>
      <c r="AB340" s="82"/>
      <c r="AC340" s="23">
        <f>VLOOKUP(G340,Sheet2!A$2:K$151,9,FALSE)</f>
        <v>2420</v>
      </c>
      <c r="AD340" s="82"/>
      <c r="AE340" s="82"/>
      <c r="AF340" s="86" t="s">
        <v>8463</v>
      </c>
      <c r="AG340" s="86" t="s">
        <v>8464</v>
      </c>
      <c r="AH340" s="86" t="s">
        <v>8465</v>
      </c>
      <c r="AI340" s="86"/>
      <c r="AJ340" s="86" t="s">
        <v>8466</v>
      </c>
      <c r="AK340" s="86"/>
      <c r="AL340" s="86"/>
      <c r="AM340" s="86" t="s">
        <v>8255</v>
      </c>
      <c r="AN340" s="86" t="s">
        <v>8256</v>
      </c>
      <c r="AO340" s="86"/>
      <c r="AP340" s="86">
        <v>1</v>
      </c>
      <c r="AQ340" s="86">
        <v>0</v>
      </c>
      <c r="AR340" s="86">
        <v>1</v>
      </c>
      <c r="AS340" s="86">
        <v>1</v>
      </c>
      <c r="AT340" s="86"/>
      <c r="AU340" s="86">
        <v>0</v>
      </c>
      <c r="AV340" s="86">
        <f t="shared" si="81"/>
        <v>1</v>
      </c>
      <c r="AW340" s="86" t="str">
        <f t="shared" si="82"/>
        <v>{s_taskTalk,{640,631}}</v>
      </c>
    </row>
    <row r="341" spans="1:49" s="87" customFormat="1" ht="72" x14ac:dyDescent="0.15">
      <c r="A341" s="81">
        <v>8046</v>
      </c>
      <c r="B341" s="82"/>
      <c r="C341" s="82" t="s">
        <v>8467</v>
      </c>
      <c r="D341" s="82">
        <v>1</v>
      </c>
      <c r="E341" s="82">
        <v>0</v>
      </c>
      <c r="F341" s="82">
        <v>8</v>
      </c>
      <c r="G341" s="884">
        <v>113</v>
      </c>
      <c r="H341" s="82">
        <v>200</v>
      </c>
      <c r="I341" s="82">
        <v>0</v>
      </c>
      <c r="J341" s="83">
        <v>8045</v>
      </c>
      <c r="K341" s="82">
        <v>0</v>
      </c>
      <c r="L341" s="865">
        <v>631</v>
      </c>
      <c r="M341" s="863" t="s">
        <v>8165</v>
      </c>
      <c r="N341" s="865">
        <v>631</v>
      </c>
      <c r="O341" s="863" t="s">
        <v>8165</v>
      </c>
      <c r="P341" s="82"/>
      <c r="Q341" s="869"/>
      <c r="R341" s="84"/>
      <c r="S341" s="874">
        <v>10060</v>
      </c>
      <c r="T341" s="84"/>
      <c r="U341" s="875">
        <v>120</v>
      </c>
      <c r="V341" s="875">
        <v>0</v>
      </c>
      <c r="W341" s="877">
        <v>5</v>
      </c>
      <c r="X341" s="82"/>
      <c r="Y341" s="82"/>
      <c r="Z341" s="21">
        <f>VLOOKUP(G341,Sheet2!A:H,8,0)</f>
        <v>1809309</v>
      </c>
      <c r="AA341" s="82"/>
      <c r="AB341" s="82"/>
      <c r="AC341" s="23">
        <f>VLOOKUP(G341,Sheet2!A$2:K$151,9,FALSE)</f>
        <v>2440</v>
      </c>
      <c r="AD341" s="82"/>
      <c r="AE341" s="82"/>
      <c r="AF341" s="86" t="s">
        <v>8468</v>
      </c>
      <c r="AG341" s="86" t="s">
        <v>8469</v>
      </c>
      <c r="AH341" s="86" t="s">
        <v>8470</v>
      </c>
      <c r="AI341" s="86"/>
      <c r="AJ341" s="86" t="s">
        <v>8471</v>
      </c>
      <c r="AK341" s="86"/>
      <c r="AL341" s="86"/>
      <c r="AM341" s="86" t="s">
        <v>8257</v>
      </c>
      <c r="AN341" s="86" t="s">
        <v>8258</v>
      </c>
      <c r="AO341" s="86"/>
      <c r="AP341" s="86">
        <v>1</v>
      </c>
      <c r="AQ341" s="86">
        <v>0</v>
      </c>
      <c r="AR341" s="86">
        <v>1</v>
      </c>
      <c r="AS341" s="86">
        <v>1</v>
      </c>
      <c r="AT341" s="86"/>
      <c r="AU341" s="86">
        <v>0</v>
      </c>
      <c r="AV341" s="86">
        <f t="shared" si="81"/>
        <v>1</v>
      </c>
      <c r="AW341" s="87" t="str">
        <f>"{s_taskKillNpc, {"&amp;L341&amp;","&amp;N341&amp;","&amp;S341&amp;","&amp;U341&amp;"}}"</f>
        <v>{s_taskKillNpc, {631,631,10060,120}}</v>
      </c>
    </row>
    <row r="342" spans="1:49" s="87" customFormat="1" ht="72" x14ac:dyDescent="0.15">
      <c r="A342" s="81">
        <v>8047</v>
      </c>
      <c r="B342" s="82"/>
      <c r="C342" s="82" t="s">
        <v>8472</v>
      </c>
      <c r="D342" s="82">
        <v>1</v>
      </c>
      <c r="E342" s="82">
        <v>0</v>
      </c>
      <c r="F342" s="82">
        <v>8</v>
      </c>
      <c r="G342" s="884">
        <v>113</v>
      </c>
      <c r="H342" s="82">
        <v>200</v>
      </c>
      <c r="I342" s="82">
        <v>0</v>
      </c>
      <c r="J342" s="83">
        <v>8046</v>
      </c>
      <c r="K342" s="82">
        <v>0</v>
      </c>
      <c r="L342" s="865">
        <v>631</v>
      </c>
      <c r="M342" s="863" t="s">
        <v>8165</v>
      </c>
      <c r="N342" s="865">
        <v>632</v>
      </c>
      <c r="O342" s="863" t="s">
        <v>8166</v>
      </c>
      <c r="P342" s="82"/>
      <c r="Q342" s="869"/>
      <c r="R342" s="84"/>
      <c r="S342" s="869"/>
      <c r="T342" s="84"/>
      <c r="U342" s="869">
        <v>1</v>
      </c>
      <c r="V342" s="869">
        <v>1</v>
      </c>
      <c r="W342" s="877">
        <v>5</v>
      </c>
      <c r="X342" s="82"/>
      <c r="Y342" s="82"/>
      <c r="Z342" s="21">
        <f>VLOOKUP(G342,Sheet2!A:H,8,0)</f>
        <v>1809309</v>
      </c>
      <c r="AA342" s="82"/>
      <c r="AB342" s="82"/>
      <c r="AC342" s="23">
        <f>VLOOKUP(G342,Sheet2!A$2:K$151,9,FALSE)</f>
        <v>2440</v>
      </c>
      <c r="AD342" s="82"/>
      <c r="AE342" s="82"/>
      <c r="AF342" s="86" t="s">
        <v>8473</v>
      </c>
      <c r="AG342" s="86" t="s">
        <v>8474</v>
      </c>
      <c r="AH342" s="86" t="s">
        <v>8475</v>
      </c>
      <c r="AI342" s="86"/>
      <c r="AJ342" s="86" t="s">
        <v>8476</v>
      </c>
      <c r="AK342" s="86"/>
      <c r="AL342" s="86"/>
      <c r="AM342" s="86" t="s">
        <v>8259</v>
      </c>
      <c r="AN342" s="86" t="s">
        <v>8260</v>
      </c>
      <c r="AO342" s="86"/>
      <c r="AP342" s="86">
        <v>1</v>
      </c>
      <c r="AQ342" s="86">
        <v>0</v>
      </c>
      <c r="AR342" s="86">
        <v>1</v>
      </c>
      <c r="AS342" s="86">
        <v>1</v>
      </c>
      <c r="AT342" s="86"/>
      <c r="AU342" s="86">
        <v>0</v>
      </c>
      <c r="AV342" s="86">
        <f t="shared" si="81"/>
        <v>1</v>
      </c>
      <c r="AW342" s="86" t="str">
        <f t="shared" si="82"/>
        <v>{s_taskTalk,{631,632}}</v>
      </c>
    </row>
    <row r="343" spans="1:49" s="87" customFormat="1" ht="72" x14ac:dyDescent="0.15">
      <c r="A343" s="81">
        <v>8048</v>
      </c>
      <c r="B343" s="82"/>
      <c r="C343" s="82" t="s">
        <v>8477</v>
      </c>
      <c r="D343" s="82">
        <v>1</v>
      </c>
      <c r="E343" s="82">
        <v>0</v>
      </c>
      <c r="F343" s="82">
        <v>8</v>
      </c>
      <c r="G343" s="884">
        <v>114</v>
      </c>
      <c r="H343" s="82">
        <v>200</v>
      </c>
      <c r="I343" s="82">
        <v>0</v>
      </c>
      <c r="J343" s="83">
        <v>8047</v>
      </c>
      <c r="K343" s="82">
        <v>0</v>
      </c>
      <c r="L343" s="865">
        <v>632</v>
      </c>
      <c r="M343" s="863" t="s">
        <v>8166</v>
      </c>
      <c r="N343" s="865">
        <v>632</v>
      </c>
      <c r="O343" s="863" t="s">
        <v>8166</v>
      </c>
      <c r="P343" s="82"/>
      <c r="Q343" s="869"/>
      <c r="R343" s="84"/>
      <c r="S343" s="874">
        <v>10060</v>
      </c>
      <c r="T343" s="84"/>
      <c r="U343" s="875">
        <v>120</v>
      </c>
      <c r="V343" s="875">
        <v>0</v>
      </c>
      <c r="W343" s="877">
        <v>5</v>
      </c>
      <c r="X343" s="82"/>
      <c r="Y343" s="82"/>
      <c r="Z343" s="21">
        <f>VLOOKUP(G343,Sheet2!A:H,8,0)</f>
        <v>1833280</v>
      </c>
      <c r="AA343" s="82"/>
      <c r="AB343" s="82"/>
      <c r="AC343" s="23">
        <f>VLOOKUP(G343,Sheet2!A$2:K$151,9,FALSE)</f>
        <v>2460</v>
      </c>
      <c r="AD343" s="82"/>
      <c r="AE343" s="82"/>
      <c r="AF343" s="86" t="s">
        <v>8502</v>
      </c>
      <c r="AG343" s="86" t="s">
        <v>8478</v>
      </c>
      <c r="AH343" s="86" t="s">
        <v>8479</v>
      </c>
      <c r="AI343" s="86"/>
      <c r="AJ343" s="86" t="s">
        <v>8480</v>
      </c>
      <c r="AK343" s="86"/>
      <c r="AL343" s="86"/>
      <c r="AM343" s="86" t="s">
        <v>8261</v>
      </c>
      <c r="AN343" s="86" t="s">
        <v>8262</v>
      </c>
      <c r="AO343" s="86"/>
      <c r="AP343" s="86">
        <v>1</v>
      </c>
      <c r="AQ343" s="86">
        <v>0</v>
      </c>
      <c r="AR343" s="86">
        <v>1</v>
      </c>
      <c r="AS343" s="86">
        <v>1</v>
      </c>
      <c r="AT343" s="86"/>
      <c r="AU343" s="86">
        <v>0</v>
      </c>
      <c r="AV343" s="86">
        <f t="shared" si="81"/>
        <v>1</v>
      </c>
      <c r="AW343" s="87" t="str">
        <f>"{s_taskKillNpc, {"&amp;L343&amp;","&amp;N343&amp;","&amp;S343&amp;","&amp;U343&amp;"}}"</f>
        <v>{s_taskKillNpc, {632,632,10060,120}}</v>
      </c>
    </row>
    <row r="344" spans="1:49" s="87" customFormat="1" ht="72" x14ac:dyDescent="0.15">
      <c r="A344" s="81">
        <v>8049</v>
      </c>
      <c r="B344" s="82"/>
      <c r="C344" s="82" t="s">
        <v>8481</v>
      </c>
      <c r="D344" s="82">
        <v>1</v>
      </c>
      <c r="E344" s="82">
        <v>0</v>
      </c>
      <c r="F344" s="82">
        <v>8</v>
      </c>
      <c r="G344" s="884">
        <v>114</v>
      </c>
      <c r="H344" s="82">
        <v>200</v>
      </c>
      <c r="I344" s="82">
        <v>0</v>
      </c>
      <c r="J344" s="83">
        <v>8048</v>
      </c>
      <c r="K344" s="82">
        <v>0</v>
      </c>
      <c r="L344" s="865">
        <v>632</v>
      </c>
      <c r="M344" s="863" t="s">
        <v>8166</v>
      </c>
      <c r="N344" s="870">
        <v>629</v>
      </c>
      <c r="O344" s="871" t="s">
        <v>8161</v>
      </c>
      <c r="P344" s="82"/>
      <c r="Q344" s="869"/>
      <c r="R344" s="84"/>
      <c r="S344" s="869"/>
      <c r="T344" s="84"/>
      <c r="U344" s="869">
        <v>1</v>
      </c>
      <c r="V344" s="869">
        <v>1</v>
      </c>
      <c r="W344" s="877">
        <v>5</v>
      </c>
      <c r="X344" s="82"/>
      <c r="Y344" s="82"/>
      <c r="Z344" s="21">
        <f>VLOOKUP(G344,Sheet2!A:H,8,0)</f>
        <v>1833280</v>
      </c>
      <c r="AA344" s="82"/>
      <c r="AB344" s="82"/>
      <c r="AC344" s="23">
        <f>VLOOKUP(G344,Sheet2!A$2:K$151,9,FALSE)</f>
        <v>2460</v>
      </c>
      <c r="AD344" s="82"/>
      <c r="AE344" s="82"/>
      <c r="AF344" s="86" t="s">
        <v>8482</v>
      </c>
      <c r="AG344" s="86" t="s">
        <v>8483</v>
      </c>
      <c r="AH344" s="86" t="s">
        <v>8484</v>
      </c>
      <c r="AI344" s="86"/>
      <c r="AJ344" s="86" t="s">
        <v>8587</v>
      </c>
      <c r="AK344" s="86"/>
      <c r="AL344" s="86"/>
      <c r="AM344" s="86" t="s">
        <v>8263</v>
      </c>
      <c r="AN344" s="86" t="s">
        <v>8264</v>
      </c>
      <c r="AO344" s="86"/>
      <c r="AP344" s="86">
        <v>1</v>
      </c>
      <c r="AQ344" s="86">
        <v>0</v>
      </c>
      <c r="AR344" s="86">
        <v>1</v>
      </c>
      <c r="AS344" s="86">
        <v>1</v>
      </c>
      <c r="AT344" s="86"/>
      <c r="AU344" s="86">
        <v>0</v>
      </c>
      <c r="AV344" s="86">
        <f t="shared" si="81"/>
        <v>1</v>
      </c>
      <c r="AW344" s="86" t="str">
        <f t="shared" si="82"/>
        <v>{s_taskTalk,{632,629}}</v>
      </c>
    </row>
    <row r="345" spans="1:49" s="87" customFormat="1" ht="72" x14ac:dyDescent="0.15">
      <c r="A345" s="81">
        <v>8050</v>
      </c>
      <c r="B345" s="82"/>
      <c r="C345" s="82" t="s">
        <v>8485</v>
      </c>
      <c r="D345" s="82">
        <v>1</v>
      </c>
      <c r="E345" s="82">
        <v>0</v>
      </c>
      <c r="F345" s="82">
        <v>8</v>
      </c>
      <c r="G345" s="884">
        <v>115</v>
      </c>
      <c r="H345" s="82">
        <v>200</v>
      </c>
      <c r="I345" s="82">
        <v>0</v>
      </c>
      <c r="J345" s="83">
        <v>8049</v>
      </c>
      <c r="K345" s="82">
        <v>0</v>
      </c>
      <c r="L345" s="870">
        <v>629</v>
      </c>
      <c r="M345" s="871" t="s">
        <v>8161</v>
      </c>
      <c r="N345" s="870">
        <v>629</v>
      </c>
      <c r="O345" s="871" t="s">
        <v>8161</v>
      </c>
      <c r="P345" s="82"/>
      <c r="Q345" s="849">
        <v>2059</v>
      </c>
      <c r="R345" s="84"/>
      <c r="S345" s="869"/>
      <c r="T345" s="84"/>
      <c r="U345" s="876">
        <v>1</v>
      </c>
      <c r="V345" s="875">
        <v>0</v>
      </c>
      <c r="W345" s="877">
        <v>5</v>
      </c>
      <c r="X345" s="82"/>
      <c r="Y345" s="82"/>
      <c r="Z345" s="21">
        <f>VLOOKUP(G345,Sheet2!A:H,8,0)</f>
        <v>1857356</v>
      </c>
      <c r="AA345" s="82"/>
      <c r="AB345" s="82"/>
      <c r="AC345" s="23">
        <f>VLOOKUP(G345,Sheet2!A$2:K$151,9,FALSE)</f>
        <v>2480</v>
      </c>
      <c r="AD345" s="82"/>
      <c r="AE345" s="82"/>
      <c r="AF345" s="86" t="s">
        <v>8542</v>
      </c>
      <c r="AG345" s="86" t="s">
        <v>8486</v>
      </c>
      <c r="AH345" s="86" t="s">
        <v>8503</v>
      </c>
      <c r="AI345" s="86"/>
      <c r="AJ345" s="86" t="s">
        <v>8487</v>
      </c>
      <c r="AK345" s="86"/>
      <c r="AL345" s="86"/>
      <c r="AM345" s="86" t="s">
        <v>8265</v>
      </c>
      <c r="AN345" s="86" t="s">
        <v>8266</v>
      </c>
      <c r="AO345" s="86"/>
      <c r="AP345" s="86">
        <v>1</v>
      </c>
      <c r="AQ345" s="86">
        <v>0</v>
      </c>
      <c r="AR345" s="86">
        <v>1</v>
      </c>
      <c r="AS345" s="86">
        <v>1</v>
      </c>
      <c r="AT345" s="86"/>
      <c r="AU345" s="86">
        <v>0</v>
      </c>
      <c r="AV345" s="86">
        <f t="shared" si="81"/>
        <v>1</v>
      </c>
      <c r="AW345" s="86" t="str">
        <f t="shared" si="82"/>
        <v>{s_taskTalk,{629,629}}</v>
      </c>
    </row>
    <row r="346" spans="1:49" s="87" customFormat="1" ht="72" x14ac:dyDescent="0.15">
      <c r="A346" s="81">
        <v>8051</v>
      </c>
      <c r="B346" s="82"/>
      <c r="C346" s="82" t="s">
        <v>8500</v>
      </c>
      <c r="D346" s="82">
        <v>1</v>
      </c>
      <c r="E346" s="82">
        <v>0</v>
      </c>
      <c r="F346" s="82">
        <v>8</v>
      </c>
      <c r="G346" s="884">
        <v>115</v>
      </c>
      <c r="H346" s="82">
        <v>200</v>
      </c>
      <c r="I346" s="82">
        <v>0</v>
      </c>
      <c r="J346" s="83">
        <v>8050</v>
      </c>
      <c r="K346" s="82">
        <v>0</v>
      </c>
      <c r="L346" s="870">
        <v>629</v>
      </c>
      <c r="M346" s="871" t="s">
        <v>8161</v>
      </c>
      <c r="N346" s="870">
        <v>633</v>
      </c>
      <c r="O346" s="871" t="s">
        <v>8160</v>
      </c>
      <c r="P346" s="82"/>
      <c r="Q346" s="869"/>
      <c r="R346" s="84"/>
      <c r="S346" s="869"/>
      <c r="T346" s="84"/>
      <c r="U346" s="869">
        <v>1</v>
      </c>
      <c r="V346" s="869">
        <v>1</v>
      </c>
      <c r="W346" s="877">
        <v>5</v>
      </c>
      <c r="X346" s="82"/>
      <c r="Y346" s="82"/>
      <c r="Z346" s="21">
        <f>VLOOKUP(G346,Sheet2!A:H,8,0)</f>
        <v>1857356</v>
      </c>
      <c r="AA346" s="82"/>
      <c r="AB346" s="82"/>
      <c r="AC346" s="23">
        <f>VLOOKUP(G346,Sheet2!A$2:K$151,9,FALSE)</f>
        <v>2480</v>
      </c>
      <c r="AD346" s="82"/>
      <c r="AE346" s="82"/>
      <c r="AF346" s="86" t="s">
        <v>8504</v>
      </c>
      <c r="AG346" s="86" t="s">
        <v>8505</v>
      </c>
      <c r="AH346" s="86" t="s">
        <v>8506</v>
      </c>
      <c r="AI346" s="86"/>
      <c r="AJ346" s="86" t="s">
        <v>8507</v>
      </c>
      <c r="AK346" s="86"/>
      <c r="AL346" s="86"/>
      <c r="AM346" s="86" t="s">
        <v>8267</v>
      </c>
      <c r="AN346" s="86" t="s">
        <v>8268</v>
      </c>
      <c r="AO346" s="86"/>
      <c r="AP346" s="86">
        <v>1</v>
      </c>
      <c r="AQ346" s="86">
        <v>0</v>
      </c>
      <c r="AR346" s="86">
        <v>1</v>
      </c>
      <c r="AS346" s="86">
        <v>1</v>
      </c>
      <c r="AT346" s="86"/>
      <c r="AU346" s="86">
        <v>0</v>
      </c>
      <c r="AV346" s="86">
        <f t="shared" si="81"/>
        <v>1</v>
      </c>
      <c r="AW346" s="86" t="str">
        <f t="shared" si="82"/>
        <v>{s_taskTalk,{629,633}}</v>
      </c>
    </row>
    <row r="347" spans="1:49" s="87" customFormat="1" ht="72" x14ac:dyDescent="0.15">
      <c r="A347" s="81">
        <v>8052</v>
      </c>
      <c r="B347" s="82"/>
      <c r="C347" s="82" t="s">
        <v>8501</v>
      </c>
      <c r="D347" s="82">
        <v>1</v>
      </c>
      <c r="E347" s="82">
        <v>0</v>
      </c>
      <c r="F347" s="82">
        <v>8</v>
      </c>
      <c r="G347" s="884">
        <v>116</v>
      </c>
      <c r="H347" s="82">
        <v>200</v>
      </c>
      <c r="I347" s="82">
        <v>0</v>
      </c>
      <c r="J347" s="83">
        <v>8051</v>
      </c>
      <c r="K347" s="82">
        <v>0</v>
      </c>
      <c r="L347" s="870">
        <v>633</v>
      </c>
      <c r="M347" s="871" t="s">
        <v>8160</v>
      </c>
      <c r="N347" s="870">
        <v>633</v>
      </c>
      <c r="O347" s="871" t="s">
        <v>8160</v>
      </c>
      <c r="P347" s="82"/>
      <c r="Q347" s="869"/>
      <c r="R347" s="84"/>
      <c r="S347" s="874">
        <v>10061</v>
      </c>
      <c r="T347" s="84"/>
      <c r="U347" s="875">
        <v>120</v>
      </c>
      <c r="V347" s="875">
        <v>0</v>
      </c>
      <c r="W347" s="877">
        <v>5</v>
      </c>
      <c r="X347" s="82"/>
      <c r="Y347" s="82"/>
      <c r="Z347" s="21">
        <f>VLOOKUP(G347,Sheet2!A:H,8,0)</f>
        <v>1881537</v>
      </c>
      <c r="AA347" s="82"/>
      <c r="AB347" s="82"/>
      <c r="AC347" s="23">
        <f>VLOOKUP(G347,Sheet2!A$2:K$151,9,FALSE)</f>
        <v>2500</v>
      </c>
      <c r="AD347" s="82"/>
      <c r="AE347" s="82"/>
      <c r="AF347" s="86" t="s">
        <v>8588</v>
      </c>
      <c r="AG347" s="86" t="s">
        <v>8589</v>
      </c>
      <c r="AH347" s="86" t="s">
        <v>8508</v>
      </c>
      <c r="AI347" s="86"/>
      <c r="AJ347" s="86" t="s">
        <v>8509</v>
      </c>
      <c r="AK347" s="86"/>
      <c r="AL347" s="86"/>
      <c r="AM347" s="86" t="s">
        <v>8269</v>
      </c>
      <c r="AN347" s="86" t="s">
        <v>8270</v>
      </c>
      <c r="AO347" s="86"/>
      <c r="AP347" s="86">
        <v>1</v>
      </c>
      <c r="AQ347" s="86">
        <v>0</v>
      </c>
      <c r="AR347" s="86">
        <v>1</v>
      </c>
      <c r="AS347" s="86">
        <v>1</v>
      </c>
      <c r="AT347" s="86"/>
      <c r="AU347" s="86">
        <v>0</v>
      </c>
      <c r="AV347" s="86">
        <f t="shared" si="81"/>
        <v>1</v>
      </c>
      <c r="AW347" s="87" t="str">
        <f>"{s_taskKillNpc, {"&amp;L347&amp;","&amp;N347&amp;","&amp;S347&amp;","&amp;U347&amp;"}}"</f>
        <v>{s_taskKillNpc, {633,633,10061,120}}</v>
      </c>
    </row>
    <row r="348" spans="1:49" s="87" customFormat="1" ht="72" x14ac:dyDescent="0.15">
      <c r="A348" s="81">
        <v>8053</v>
      </c>
      <c r="B348" s="82"/>
      <c r="C348" s="82" t="s">
        <v>8520</v>
      </c>
      <c r="D348" s="82">
        <v>1</v>
      </c>
      <c r="E348" s="82">
        <v>0</v>
      </c>
      <c r="F348" s="82">
        <v>8</v>
      </c>
      <c r="G348" s="884">
        <v>116</v>
      </c>
      <c r="H348" s="82">
        <v>200</v>
      </c>
      <c r="I348" s="82">
        <v>0</v>
      </c>
      <c r="J348" s="83">
        <v>8052</v>
      </c>
      <c r="K348" s="82">
        <v>0</v>
      </c>
      <c r="L348" s="870">
        <v>633</v>
      </c>
      <c r="M348" s="871" t="s">
        <v>8160</v>
      </c>
      <c r="N348" s="865">
        <v>638</v>
      </c>
      <c r="O348" s="863" t="s">
        <v>8168</v>
      </c>
      <c r="P348" s="82"/>
      <c r="Q348" s="869"/>
      <c r="R348" s="84"/>
      <c r="S348" s="869"/>
      <c r="T348" s="84"/>
      <c r="U348" s="869">
        <v>1</v>
      </c>
      <c r="V348" s="869">
        <v>1</v>
      </c>
      <c r="W348" s="877">
        <v>5</v>
      </c>
      <c r="X348" s="82"/>
      <c r="Y348" s="82"/>
      <c r="Z348" s="21">
        <f>VLOOKUP(G348,Sheet2!A:H,8,0)</f>
        <v>1881537</v>
      </c>
      <c r="AA348" s="82"/>
      <c r="AB348" s="82"/>
      <c r="AC348" s="23">
        <f>VLOOKUP(G348,Sheet2!A$2:K$151,9,FALSE)</f>
        <v>2500</v>
      </c>
      <c r="AD348" s="82"/>
      <c r="AE348" s="82"/>
      <c r="AF348" s="86" t="s">
        <v>8521</v>
      </c>
      <c r="AG348" s="86" t="s">
        <v>8510</v>
      </c>
      <c r="AH348" s="86" t="s">
        <v>8511</v>
      </c>
      <c r="AI348" s="86"/>
      <c r="AJ348" s="86" t="s">
        <v>8512</v>
      </c>
      <c r="AK348" s="86"/>
      <c r="AL348" s="86"/>
      <c r="AM348" s="86" t="s">
        <v>8271</v>
      </c>
      <c r="AN348" s="86" t="s">
        <v>8272</v>
      </c>
      <c r="AO348" s="86"/>
      <c r="AP348" s="86">
        <v>1</v>
      </c>
      <c r="AQ348" s="86">
        <v>0</v>
      </c>
      <c r="AR348" s="86">
        <v>1</v>
      </c>
      <c r="AS348" s="86">
        <v>1</v>
      </c>
      <c r="AT348" s="86"/>
      <c r="AU348" s="86">
        <v>0</v>
      </c>
      <c r="AV348" s="86">
        <f t="shared" si="81"/>
        <v>1</v>
      </c>
      <c r="AW348" s="86" t="str">
        <f t="shared" si="82"/>
        <v>{s_taskTalk,{633,638}}</v>
      </c>
    </row>
    <row r="349" spans="1:49" s="87" customFormat="1" ht="72" x14ac:dyDescent="0.15">
      <c r="A349" s="81">
        <v>8054</v>
      </c>
      <c r="B349" s="82"/>
      <c r="C349" s="82" t="s">
        <v>8513</v>
      </c>
      <c r="D349" s="82">
        <v>1</v>
      </c>
      <c r="E349" s="82">
        <v>0</v>
      </c>
      <c r="F349" s="82">
        <v>8</v>
      </c>
      <c r="G349" s="884">
        <v>117</v>
      </c>
      <c r="H349" s="82">
        <v>200</v>
      </c>
      <c r="I349" s="82">
        <v>0</v>
      </c>
      <c r="J349" s="83">
        <v>8053</v>
      </c>
      <c r="K349" s="82">
        <v>0</v>
      </c>
      <c r="L349" s="865">
        <v>638</v>
      </c>
      <c r="M349" s="863" t="s">
        <v>8168</v>
      </c>
      <c r="N349" s="865">
        <v>638</v>
      </c>
      <c r="O349" s="863" t="s">
        <v>8168</v>
      </c>
      <c r="P349" s="82"/>
      <c r="Q349" s="869"/>
      <c r="R349" s="84"/>
      <c r="S349" s="874">
        <v>10061</v>
      </c>
      <c r="T349" s="84"/>
      <c r="U349" s="875">
        <v>120</v>
      </c>
      <c r="V349" s="875">
        <v>0</v>
      </c>
      <c r="W349" s="877">
        <v>5</v>
      </c>
      <c r="X349" s="82"/>
      <c r="Y349" s="82"/>
      <c r="Z349" s="21">
        <f>VLOOKUP(G349,Sheet2!A:H,8,0)</f>
        <v>1905822</v>
      </c>
      <c r="AA349" s="82"/>
      <c r="AB349" s="82"/>
      <c r="AC349" s="23">
        <f>VLOOKUP(G349,Sheet2!A$2:K$151,9,FALSE)</f>
        <v>2520</v>
      </c>
      <c r="AD349" s="82"/>
      <c r="AE349" s="82"/>
      <c r="AF349" s="86" t="s">
        <v>8591</v>
      </c>
      <c r="AG349" s="86" t="s">
        <v>8590</v>
      </c>
      <c r="AH349" s="86" t="s">
        <v>8529</v>
      </c>
      <c r="AI349" s="86"/>
      <c r="AJ349" s="86" t="s">
        <v>8592</v>
      </c>
      <c r="AK349" s="86"/>
      <c r="AL349" s="86"/>
      <c r="AM349" s="86" t="s">
        <v>8273</v>
      </c>
      <c r="AN349" s="86" t="s">
        <v>8274</v>
      </c>
      <c r="AO349" s="86"/>
      <c r="AP349" s="86">
        <v>1</v>
      </c>
      <c r="AQ349" s="86">
        <v>0</v>
      </c>
      <c r="AR349" s="86">
        <v>1</v>
      </c>
      <c r="AS349" s="86">
        <v>1</v>
      </c>
      <c r="AT349" s="86"/>
      <c r="AU349" s="86">
        <v>0</v>
      </c>
      <c r="AV349" s="86">
        <f t="shared" si="81"/>
        <v>1</v>
      </c>
      <c r="AW349" s="87" t="str">
        <f>"{s_taskKillNpc, {"&amp;L349&amp;","&amp;N349&amp;","&amp;S349&amp;","&amp;U349&amp;"}}"</f>
        <v>{s_taskKillNpc, {638,638,10061,120}}</v>
      </c>
    </row>
    <row r="350" spans="1:49" s="87" customFormat="1" ht="72" x14ac:dyDescent="0.15">
      <c r="A350" s="81">
        <v>8055</v>
      </c>
      <c r="B350" s="82"/>
      <c r="C350" s="82" t="s">
        <v>8514</v>
      </c>
      <c r="D350" s="82">
        <v>1</v>
      </c>
      <c r="E350" s="82">
        <v>0</v>
      </c>
      <c r="F350" s="82">
        <v>8</v>
      </c>
      <c r="G350" s="884">
        <v>117</v>
      </c>
      <c r="H350" s="82">
        <v>200</v>
      </c>
      <c r="I350" s="82">
        <v>0</v>
      </c>
      <c r="J350" s="83">
        <v>8054</v>
      </c>
      <c r="K350" s="82">
        <v>0</v>
      </c>
      <c r="L350" s="865">
        <v>638</v>
      </c>
      <c r="M350" s="863" t="s">
        <v>8168</v>
      </c>
      <c r="N350" s="865">
        <v>639</v>
      </c>
      <c r="O350" s="863" t="s">
        <v>8489</v>
      </c>
      <c r="P350" s="82"/>
      <c r="Q350" s="869"/>
      <c r="R350" s="84"/>
      <c r="S350" s="869"/>
      <c r="T350" s="84"/>
      <c r="U350" s="869">
        <v>1</v>
      </c>
      <c r="V350" s="869">
        <v>1</v>
      </c>
      <c r="W350" s="877">
        <v>5</v>
      </c>
      <c r="X350" s="82"/>
      <c r="Y350" s="82"/>
      <c r="Z350" s="21">
        <f>VLOOKUP(G350,Sheet2!A:H,8,0)</f>
        <v>1905822</v>
      </c>
      <c r="AA350" s="82"/>
      <c r="AB350" s="82"/>
      <c r="AC350" s="23">
        <f>VLOOKUP(G350,Sheet2!A$2:K$151,9,FALSE)</f>
        <v>2520</v>
      </c>
      <c r="AD350" s="82"/>
      <c r="AE350" s="82"/>
      <c r="AF350" s="86" t="s">
        <v>8518</v>
      </c>
      <c r="AG350" s="86" t="s">
        <v>8515</v>
      </c>
      <c r="AH350" s="86" t="s">
        <v>8516</v>
      </c>
      <c r="AI350" s="86"/>
      <c r="AJ350" s="86" t="s">
        <v>8517</v>
      </c>
      <c r="AK350" s="86"/>
      <c r="AL350" s="86"/>
      <c r="AM350" s="86" t="s">
        <v>8275</v>
      </c>
      <c r="AN350" s="86" t="s">
        <v>8276</v>
      </c>
      <c r="AO350" s="86"/>
      <c r="AP350" s="86">
        <v>1</v>
      </c>
      <c r="AQ350" s="86">
        <v>0</v>
      </c>
      <c r="AR350" s="86">
        <v>1</v>
      </c>
      <c r="AS350" s="86">
        <v>1</v>
      </c>
      <c r="AT350" s="86"/>
      <c r="AU350" s="86">
        <v>0</v>
      </c>
      <c r="AV350" s="86">
        <f t="shared" si="81"/>
        <v>1</v>
      </c>
      <c r="AW350" s="86" t="str">
        <f t="shared" si="82"/>
        <v>{s_taskTalk,{638,639}}</v>
      </c>
    </row>
    <row r="351" spans="1:49" s="87" customFormat="1" ht="72" x14ac:dyDescent="0.15">
      <c r="A351" s="81">
        <v>8056</v>
      </c>
      <c r="B351" s="82"/>
      <c r="C351" s="82" t="s">
        <v>8519</v>
      </c>
      <c r="D351" s="82">
        <v>1</v>
      </c>
      <c r="E351" s="82">
        <v>0</v>
      </c>
      <c r="F351" s="82">
        <v>8</v>
      </c>
      <c r="G351" s="884">
        <v>118</v>
      </c>
      <c r="H351" s="82">
        <v>200</v>
      </c>
      <c r="I351" s="82">
        <v>0</v>
      </c>
      <c r="J351" s="83">
        <v>8055</v>
      </c>
      <c r="K351" s="82">
        <v>0</v>
      </c>
      <c r="L351" s="865">
        <v>639</v>
      </c>
      <c r="M351" s="863" t="s">
        <v>8489</v>
      </c>
      <c r="N351" s="865">
        <v>639</v>
      </c>
      <c r="O351" s="863" t="s">
        <v>8489</v>
      </c>
      <c r="P351" s="82"/>
      <c r="Q351" s="869"/>
      <c r="R351" s="84"/>
      <c r="S351" s="874">
        <v>10062</v>
      </c>
      <c r="T351" s="84"/>
      <c r="U351" s="875">
        <v>120</v>
      </c>
      <c r="V351" s="875">
        <v>0</v>
      </c>
      <c r="W351" s="877">
        <v>5</v>
      </c>
      <c r="X351" s="82"/>
      <c r="Y351" s="82"/>
      <c r="Z351" s="21">
        <f>VLOOKUP(G351,Sheet2!A:H,8,0)</f>
        <v>1930212</v>
      </c>
      <c r="AA351" s="82"/>
      <c r="AB351" s="82"/>
      <c r="AC351" s="23">
        <f>VLOOKUP(G351,Sheet2!A$2:K$151,9,FALSE)</f>
        <v>2540</v>
      </c>
      <c r="AD351" s="82"/>
      <c r="AE351" s="82"/>
      <c r="AF351" s="86" t="s">
        <v>8522</v>
      </c>
      <c r="AG351" s="86" t="s">
        <v>8523</v>
      </c>
      <c r="AH351" s="86" t="s">
        <v>8593</v>
      </c>
      <c r="AI351" s="86"/>
      <c r="AJ351" s="86" t="s">
        <v>8524</v>
      </c>
      <c r="AK351" s="86"/>
      <c r="AL351" s="86"/>
      <c r="AM351" s="86" t="s">
        <v>8277</v>
      </c>
      <c r="AN351" s="86" t="s">
        <v>8278</v>
      </c>
      <c r="AO351" s="86"/>
      <c r="AP351" s="86">
        <v>1</v>
      </c>
      <c r="AQ351" s="86">
        <v>0</v>
      </c>
      <c r="AR351" s="86">
        <v>1</v>
      </c>
      <c r="AS351" s="86">
        <v>1</v>
      </c>
      <c r="AT351" s="86"/>
      <c r="AU351" s="86">
        <v>0</v>
      </c>
      <c r="AV351" s="86">
        <f t="shared" si="81"/>
        <v>1</v>
      </c>
      <c r="AW351" s="87" t="str">
        <f>"{s_taskKillNpc, {"&amp;L351&amp;","&amp;N351&amp;","&amp;S351&amp;","&amp;U351&amp;"}}"</f>
        <v>{s_taskKillNpc, {639,639,10062,120}}</v>
      </c>
    </row>
    <row r="352" spans="1:49" s="87" customFormat="1" ht="72" x14ac:dyDescent="0.15">
      <c r="A352" s="81">
        <v>8057</v>
      </c>
      <c r="B352" s="82"/>
      <c r="C352" s="82" t="s">
        <v>8525</v>
      </c>
      <c r="D352" s="82">
        <v>1</v>
      </c>
      <c r="E352" s="82">
        <v>0</v>
      </c>
      <c r="F352" s="82">
        <v>8</v>
      </c>
      <c r="G352" s="884">
        <v>118</v>
      </c>
      <c r="H352" s="82">
        <v>200</v>
      </c>
      <c r="I352" s="82">
        <v>0</v>
      </c>
      <c r="J352" s="83">
        <v>8056</v>
      </c>
      <c r="K352" s="82">
        <v>0</v>
      </c>
      <c r="L352" s="865">
        <v>639</v>
      </c>
      <c r="M352" s="863" t="s">
        <v>8489</v>
      </c>
      <c r="N352" s="870">
        <v>634</v>
      </c>
      <c r="O352" s="871" t="s">
        <v>8164</v>
      </c>
      <c r="P352" s="82"/>
      <c r="Q352" s="869"/>
      <c r="R352" s="84"/>
      <c r="S352" s="869"/>
      <c r="T352" s="84"/>
      <c r="U352" s="869">
        <v>1</v>
      </c>
      <c r="V352" s="869">
        <v>1</v>
      </c>
      <c r="W352" s="877">
        <v>5</v>
      </c>
      <c r="X352" s="82"/>
      <c r="Y352" s="82"/>
      <c r="Z352" s="21">
        <f>VLOOKUP(G352,Sheet2!A:H,8,0)</f>
        <v>1930212</v>
      </c>
      <c r="AA352" s="82"/>
      <c r="AB352" s="82"/>
      <c r="AC352" s="23">
        <f>VLOOKUP(G352,Sheet2!A$2:K$151,9,FALSE)</f>
        <v>2540</v>
      </c>
      <c r="AD352" s="82"/>
      <c r="AE352" s="82"/>
      <c r="AF352" s="86" t="s">
        <v>8526</v>
      </c>
      <c r="AG352" s="86" t="s">
        <v>8527</v>
      </c>
      <c r="AH352" s="86" t="s">
        <v>8528</v>
      </c>
      <c r="AI352" s="86"/>
      <c r="AJ352" s="86" t="s">
        <v>8530</v>
      </c>
      <c r="AK352" s="86"/>
      <c r="AL352" s="86"/>
      <c r="AM352" s="86" t="s">
        <v>8279</v>
      </c>
      <c r="AN352" s="86" t="s">
        <v>8280</v>
      </c>
      <c r="AO352" s="86"/>
      <c r="AP352" s="86">
        <v>1</v>
      </c>
      <c r="AQ352" s="86">
        <v>0</v>
      </c>
      <c r="AR352" s="86">
        <v>1</v>
      </c>
      <c r="AS352" s="86">
        <v>1</v>
      </c>
      <c r="AT352" s="86"/>
      <c r="AU352" s="86">
        <v>0</v>
      </c>
      <c r="AV352" s="86">
        <f t="shared" si="81"/>
        <v>1</v>
      </c>
      <c r="AW352" s="86" t="str">
        <f t="shared" si="82"/>
        <v>{s_taskTalk,{639,634}}</v>
      </c>
    </row>
    <row r="353" spans="1:49" s="87" customFormat="1" ht="72" x14ac:dyDescent="0.15">
      <c r="A353" s="81">
        <v>8058</v>
      </c>
      <c r="B353" s="82"/>
      <c r="C353" s="82" t="s">
        <v>8531</v>
      </c>
      <c r="D353" s="82">
        <v>1</v>
      </c>
      <c r="E353" s="82">
        <v>0</v>
      </c>
      <c r="F353" s="82">
        <v>8</v>
      </c>
      <c r="G353" s="884">
        <v>119</v>
      </c>
      <c r="H353" s="82">
        <v>200</v>
      </c>
      <c r="I353" s="82">
        <v>0</v>
      </c>
      <c r="J353" s="83">
        <v>8057</v>
      </c>
      <c r="K353" s="82">
        <v>0</v>
      </c>
      <c r="L353" s="870">
        <v>634</v>
      </c>
      <c r="M353" s="871" t="s">
        <v>8164</v>
      </c>
      <c r="N353" s="870">
        <v>634</v>
      </c>
      <c r="O353" s="871" t="s">
        <v>8164</v>
      </c>
      <c r="P353" s="82"/>
      <c r="Q353" s="869"/>
      <c r="R353" s="84"/>
      <c r="S353" s="874">
        <v>10062</v>
      </c>
      <c r="T353" s="84"/>
      <c r="U353" s="875">
        <v>120</v>
      </c>
      <c r="V353" s="875">
        <v>0</v>
      </c>
      <c r="W353" s="877">
        <v>5</v>
      </c>
      <c r="X353" s="82"/>
      <c r="Y353" s="82"/>
      <c r="Z353" s="21">
        <f>VLOOKUP(G353,Sheet2!A:H,8,0)</f>
        <v>1954705</v>
      </c>
      <c r="AA353" s="82"/>
      <c r="AB353" s="82"/>
      <c r="AC353" s="23">
        <f>VLOOKUP(G353,Sheet2!A$2:K$151,9,FALSE)</f>
        <v>2560</v>
      </c>
      <c r="AD353" s="82"/>
      <c r="AE353" s="82"/>
      <c r="AF353" s="86" t="s">
        <v>8532</v>
      </c>
      <c r="AG353" s="86" t="s">
        <v>8533</v>
      </c>
      <c r="AH353" s="86" t="s">
        <v>8534</v>
      </c>
      <c r="AI353" s="86"/>
      <c r="AJ353" s="86" t="s">
        <v>8535</v>
      </c>
      <c r="AK353" s="86"/>
      <c r="AL353" s="86"/>
      <c r="AM353" s="86" t="s">
        <v>8281</v>
      </c>
      <c r="AN353" s="86" t="s">
        <v>8282</v>
      </c>
      <c r="AO353" s="86"/>
      <c r="AP353" s="86">
        <v>1</v>
      </c>
      <c r="AQ353" s="86">
        <v>0</v>
      </c>
      <c r="AR353" s="86">
        <v>1</v>
      </c>
      <c r="AS353" s="86">
        <v>1</v>
      </c>
      <c r="AT353" s="86"/>
      <c r="AU353" s="86">
        <v>0</v>
      </c>
      <c r="AV353" s="86">
        <f t="shared" si="81"/>
        <v>1</v>
      </c>
      <c r="AW353" s="87" t="str">
        <f>"{s_taskKillNpc, {"&amp;L353&amp;","&amp;N353&amp;","&amp;S353&amp;","&amp;U353&amp;"}}"</f>
        <v>{s_taskKillNpc, {634,634,10062,120}}</v>
      </c>
    </row>
    <row r="354" spans="1:49" s="87" customFormat="1" ht="72" x14ac:dyDescent="0.15">
      <c r="A354" s="81">
        <v>8059</v>
      </c>
      <c r="B354" s="82"/>
      <c r="C354" s="82" t="s">
        <v>8537</v>
      </c>
      <c r="D354" s="82">
        <v>1</v>
      </c>
      <c r="E354" s="82">
        <v>0</v>
      </c>
      <c r="F354" s="82">
        <v>8</v>
      </c>
      <c r="G354" s="884">
        <v>119</v>
      </c>
      <c r="H354" s="82">
        <v>200</v>
      </c>
      <c r="I354" s="82">
        <v>0</v>
      </c>
      <c r="J354" s="83">
        <v>8058</v>
      </c>
      <c r="K354" s="82">
        <v>0</v>
      </c>
      <c r="L354" s="870">
        <v>634</v>
      </c>
      <c r="M354" s="871" t="s">
        <v>8164</v>
      </c>
      <c r="N354" s="870">
        <v>639</v>
      </c>
      <c r="O354" s="871" t="s">
        <v>8536</v>
      </c>
      <c r="P354" s="82"/>
      <c r="Q354" s="869"/>
      <c r="R354" s="84"/>
      <c r="S354" s="869"/>
      <c r="T354" s="84"/>
      <c r="U354" s="869">
        <v>1</v>
      </c>
      <c r="V354" s="869">
        <v>1</v>
      </c>
      <c r="W354" s="877">
        <v>5</v>
      </c>
      <c r="X354" s="82"/>
      <c r="Y354" s="82"/>
      <c r="Z354" s="21">
        <f>VLOOKUP(G354,Sheet2!A:H,8,0)</f>
        <v>1954705</v>
      </c>
      <c r="AA354" s="82"/>
      <c r="AB354" s="82"/>
      <c r="AC354" s="23">
        <f>VLOOKUP(G354,Sheet2!A$2:K$151,9,FALSE)</f>
        <v>2560</v>
      </c>
      <c r="AD354" s="82"/>
      <c r="AE354" s="82"/>
      <c r="AF354" s="86" t="s">
        <v>8594</v>
      </c>
      <c r="AG354" s="86" t="s">
        <v>8538</v>
      </c>
      <c r="AH354" s="86" t="s">
        <v>8539</v>
      </c>
      <c r="AI354" s="86"/>
      <c r="AJ354" s="86" t="s">
        <v>8540</v>
      </c>
      <c r="AK354" s="86"/>
      <c r="AL354" s="86"/>
      <c r="AM354" s="86" t="s">
        <v>8552</v>
      </c>
      <c r="AN354" s="86" t="s">
        <v>8595</v>
      </c>
      <c r="AO354" s="86"/>
      <c r="AP354" s="86">
        <v>1</v>
      </c>
      <c r="AQ354" s="86">
        <v>0</v>
      </c>
      <c r="AR354" s="86">
        <v>1</v>
      </c>
      <c r="AS354" s="86">
        <v>1</v>
      </c>
      <c r="AT354" s="86"/>
      <c r="AU354" s="86">
        <v>0</v>
      </c>
      <c r="AV354" s="86">
        <f t="shared" si="81"/>
        <v>1</v>
      </c>
      <c r="AW354" s="86" t="str">
        <f t="shared" si="82"/>
        <v>{s_taskTalk,{634,639}}</v>
      </c>
    </row>
    <row r="355" spans="1:49" s="87" customFormat="1" ht="72" x14ac:dyDescent="0.15">
      <c r="A355" s="81">
        <v>8060</v>
      </c>
      <c r="B355" s="82"/>
      <c r="C355" s="82" t="s">
        <v>8541</v>
      </c>
      <c r="D355" s="82">
        <v>1</v>
      </c>
      <c r="E355" s="82">
        <v>0</v>
      </c>
      <c r="F355" s="82">
        <v>8</v>
      </c>
      <c r="G355" s="884">
        <v>120</v>
      </c>
      <c r="H355" s="82">
        <v>200</v>
      </c>
      <c r="I355" s="82">
        <v>0</v>
      </c>
      <c r="J355" s="83">
        <v>8059</v>
      </c>
      <c r="K355" s="82">
        <v>0</v>
      </c>
      <c r="L355" s="865">
        <v>639</v>
      </c>
      <c r="M355" s="871" t="s">
        <v>8536</v>
      </c>
      <c r="N355" s="870">
        <v>639</v>
      </c>
      <c r="O355" s="871" t="s">
        <v>8536</v>
      </c>
      <c r="P355" s="82"/>
      <c r="Q355" s="849">
        <v>2060</v>
      </c>
      <c r="R355" s="84"/>
      <c r="S355" s="869"/>
      <c r="T355" s="84"/>
      <c r="U355" s="876">
        <v>1</v>
      </c>
      <c r="V355" s="875">
        <v>0</v>
      </c>
      <c r="W355" s="877">
        <v>5</v>
      </c>
      <c r="X355" s="82"/>
      <c r="Y355" s="82"/>
      <c r="Z355" s="21">
        <f>VLOOKUP(G355,Sheet2!A:H,8,0)</f>
        <v>1979301</v>
      </c>
      <c r="AA355" s="82"/>
      <c r="AB355" s="82"/>
      <c r="AC355" s="23">
        <f>VLOOKUP(G355,Sheet2!A$2:K$151,9,FALSE)</f>
        <v>2580</v>
      </c>
      <c r="AD355" s="82"/>
      <c r="AE355" s="82"/>
      <c r="AF355" s="86" t="s">
        <v>8543</v>
      </c>
      <c r="AG355" s="86" t="s">
        <v>8544</v>
      </c>
      <c r="AH355" s="86" t="s">
        <v>8545</v>
      </c>
      <c r="AI355" s="86"/>
      <c r="AJ355" s="86" t="s">
        <v>8546</v>
      </c>
      <c r="AK355" s="86"/>
      <c r="AL355" s="86"/>
      <c r="AM355" s="86" t="s">
        <v>8283</v>
      </c>
      <c r="AN355" s="86" t="s">
        <v>8596</v>
      </c>
      <c r="AO355" s="86"/>
      <c r="AP355" s="86">
        <v>1</v>
      </c>
      <c r="AQ355" s="86">
        <v>0</v>
      </c>
      <c r="AR355" s="86">
        <v>1</v>
      </c>
      <c r="AS355" s="86">
        <v>1</v>
      </c>
      <c r="AT355" s="86"/>
      <c r="AU355" s="86">
        <v>0</v>
      </c>
      <c r="AV355" s="86">
        <f t="shared" si="81"/>
        <v>1</v>
      </c>
      <c r="AW355" s="86" t="str">
        <f t="shared" si="82"/>
        <v>{s_taskTalk,{639,639}}</v>
      </c>
    </row>
    <row r="356" spans="1:49" s="87" customFormat="1" ht="72" x14ac:dyDescent="0.15">
      <c r="A356" s="81">
        <v>8061</v>
      </c>
      <c r="B356" s="82"/>
      <c r="C356" s="82" t="s">
        <v>8554</v>
      </c>
      <c r="D356" s="82">
        <v>1</v>
      </c>
      <c r="E356" s="82">
        <v>0</v>
      </c>
      <c r="F356" s="82">
        <v>8</v>
      </c>
      <c r="G356" s="884">
        <v>120</v>
      </c>
      <c r="H356" s="82">
        <v>200</v>
      </c>
      <c r="I356" s="82">
        <v>0</v>
      </c>
      <c r="J356" s="83">
        <v>8060</v>
      </c>
      <c r="K356" s="82">
        <v>0</v>
      </c>
      <c r="L356" s="870">
        <v>639</v>
      </c>
      <c r="M356" s="871" t="s">
        <v>8536</v>
      </c>
      <c r="N356" s="865">
        <v>628</v>
      </c>
      <c r="O356" s="863" t="s">
        <v>8547</v>
      </c>
      <c r="P356" s="82"/>
      <c r="Q356" s="869"/>
      <c r="R356" s="84"/>
      <c r="S356" s="869"/>
      <c r="T356" s="84"/>
      <c r="U356" s="869">
        <v>1</v>
      </c>
      <c r="V356" s="869">
        <v>1</v>
      </c>
      <c r="W356" s="877">
        <v>5</v>
      </c>
      <c r="X356" s="82"/>
      <c r="Y356" s="82"/>
      <c r="Z356" s="21">
        <f>VLOOKUP(G356,Sheet2!A:H,8,0)</f>
        <v>1979301</v>
      </c>
      <c r="AA356" s="82"/>
      <c r="AB356" s="82"/>
      <c r="AC356" s="23">
        <f>VLOOKUP(G356,Sheet2!A$2:K$151,9,FALSE)</f>
        <v>2580</v>
      </c>
      <c r="AD356" s="82"/>
      <c r="AE356" s="82"/>
      <c r="AF356" s="86" t="s">
        <v>8548</v>
      </c>
      <c r="AG356" s="86" t="s">
        <v>8549</v>
      </c>
      <c r="AH356" s="86" t="s">
        <v>8550</v>
      </c>
      <c r="AI356" s="86"/>
      <c r="AJ356" s="86" t="s">
        <v>8551</v>
      </c>
      <c r="AK356" s="86"/>
      <c r="AL356" s="86"/>
      <c r="AM356" s="86" t="s">
        <v>8553</v>
      </c>
      <c r="AN356" s="86" t="s">
        <v>8597</v>
      </c>
      <c r="AO356" s="86"/>
      <c r="AP356" s="86">
        <v>1</v>
      </c>
      <c r="AQ356" s="86">
        <v>0</v>
      </c>
      <c r="AR356" s="86">
        <v>1</v>
      </c>
      <c r="AS356" s="86">
        <v>1</v>
      </c>
      <c r="AT356" s="86"/>
      <c r="AU356" s="86">
        <v>0</v>
      </c>
      <c r="AV356" s="86">
        <f t="shared" si="81"/>
        <v>1</v>
      </c>
      <c r="AW356" s="86" t="str">
        <f t="shared" si="82"/>
        <v>{s_taskTalk,{639,628}}</v>
      </c>
    </row>
    <row r="357" spans="1:49" s="50" customFormat="1" ht="168" x14ac:dyDescent="0.15">
      <c r="A357" s="9">
        <v>3001</v>
      </c>
      <c r="B357" s="50">
        <v>1007</v>
      </c>
      <c r="C357" s="50" t="s">
        <v>4843</v>
      </c>
      <c r="D357" s="50">
        <v>1</v>
      </c>
      <c r="E357" s="50">
        <v>0</v>
      </c>
      <c r="F357" s="50">
        <v>1</v>
      </c>
      <c r="G357" s="120">
        <v>200</v>
      </c>
      <c r="H357" s="50">
        <v>200</v>
      </c>
      <c r="I357" s="17">
        <v>0</v>
      </c>
      <c r="J357" s="120">
        <v>0</v>
      </c>
      <c r="K357" s="50">
        <v>0</v>
      </c>
      <c r="L357" s="50">
        <v>60045</v>
      </c>
      <c r="M357" s="50" t="s">
        <v>175</v>
      </c>
      <c r="N357" s="50">
        <v>60045</v>
      </c>
      <c r="O357" s="50" t="s">
        <v>5127</v>
      </c>
      <c r="Q357" s="121"/>
      <c r="R357" s="121"/>
      <c r="S357" s="121"/>
      <c r="T357" s="121"/>
      <c r="U357" s="50">
        <v>1</v>
      </c>
      <c r="V357" s="50">
        <v>1</v>
      </c>
      <c r="W357" s="122">
        <v>5</v>
      </c>
      <c r="Z357" s="123">
        <v>200</v>
      </c>
      <c r="AB357" s="124"/>
      <c r="AC357" s="125"/>
      <c r="AF357" s="126" t="s">
        <v>4874</v>
      </c>
      <c r="AG357" s="126" t="s">
        <v>3844</v>
      </c>
      <c r="AH357" s="126" t="s">
        <v>3784</v>
      </c>
      <c r="AI357" s="126"/>
      <c r="AJ357" s="126"/>
      <c r="AL357" s="120"/>
      <c r="AM357" s="50" t="s">
        <v>2994</v>
      </c>
      <c r="AN357" s="50" t="s">
        <v>5476</v>
      </c>
      <c r="AP357" s="50">
        <v>1</v>
      </c>
      <c r="AQ357" s="50">
        <v>0</v>
      </c>
      <c r="AR357" s="50">
        <v>1</v>
      </c>
      <c r="AS357" s="50">
        <v>1</v>
      </c>
      <c r="AU357" s="50">
        <v>0</v>
      </c>
      <c r="AV357" s="17">
        <f t="shared" ref="AV357:AV376" si="83">IF(D357 = 1,1,0)</f>
        <v>1</v>
      </c>
      <c r="AW357" s="50" t="str">
        <f t="shared" ref="AW357:AW369" si="84">"{s_taskTalk,{"&amp;L357&amp;","&amp;N357&amp;"}}"</f>
        <v>{s_taskTalk,{60045,60045}}</v>
      </c>
    </row>
    <row r="358" spans="1:49" s="50" customFormat="1" ht="180" x14ac:dyDescent="0.15">
      <c r="A358" s="9">
        <v>3011</v>
      </c>
      <c r="B358" s="50">
        <v>1008</v>
      </c>
      <c r="C358" s="50" t="s">
        <v>1888</v>
      </c>
      <c r="D358" s="50">
        <v>1</v>
      </c>
      <c r="E358" s="50">
        <v>0</v>
      </c>
      <c r="F358" s="50">
        <v>1</v>
      </c>
      <c r="G358" s="120">
        <v>200</v>
      </c>
      <c r="H358" s="50">
        <v>200</v>
      </c>
      <c r="I358" s="17">
        <v>0</v>
      </c>
      <c r="J358" s="120">
        <v>3001</v>
      </c>
      <c r="K358" s="50">
        <v>0</v>
      </c>
      <c r="L358" s="50">
        <v>60045</v>
      </c>
      <c r="M358" s="50" t="s">
        <v>3733</v>
      </c>
      <c r="N358" s="50">
        <v>60046</v>
      </c>
      <c r="O358" s="50" t="s">
        <v>5128</v>
      </c>
      <c r="Q358" s="121"/>
      <c r="R358" s="121"/>
      <c r="S358" s="121"/>
      <c r="T358" s="121"/>
      <c r="U358" s="50">
        <v>1</v>
      </c>
      <c r="V358" s="50">
        <v>1</v>
      </c>
      <c r="W358" s="122">
        <v>5</v>
      </c>
      <c r="Z358" s="123">
        <v>220</v>
      </c>
      <c r="AB358" s="124"/>
      <c r="AC358" s="125">
        <v>50</v>
      </c>
      <c r="AF358" s="126" t="s">
        <v>3734</v>
      </c>
      <c r="AG358" s="126" t="s">
        <v>3845</v>
      </c>
      <c r="AH358" s="126" t="s">
        <v>4236</v>
      </c>
      <c r="AI358" s="126"/>
      <c r="AJ358" s="126"/>
      <c r="AL358" s="120">
        <v>0</v>
      </c>
      <c r="AM358" s="50" t="s">
        <v>3762</v>
      </c>
      <c r="AN358" s="50" t="s">
        <v>5477</v>
      </c>
      <c r="AP358" s="50">
        <v>1</v>
      </c>
      <c r="AQ358" s="50">
        <v>0</v>
      </c>
      <c r="AR358" s="50">
        <v>1</v>
      </c>
      <c r="AS358" s="50">
        <v>1</v>
      </c>
      <c r="AU358" s="50">
        <v>0</v>
      </c>
      <c r="AV358" s="17">
        <f t="shared" si="83"/>
        <v>1</v>
      </c>
      <c r="AW358" s="50" t="str">
        <f t="shared" si="84"/>
        <v>{s_taskTalk,{60045,60046}}</v>
      </c>
    </row>
    <row r="359" spans="1:49" s="50" customFormat="1" ht="84" x14ac:dyDescent="0.15">
      <c r="A359" s="9">
        <v>3021</v>
      </c>
      <c r="B359" s="50">
        <v>1009</v>
      </c>
      <c r="C359" s="50" t="s">
        <v>1889</v>
      </c>
      <c r="D359" s="50">
        <v>1</v>
      </c>
      <c r="E359" s="50">
        <v>0</v>
      </c>
      <c r="F359" s="50">
        <v>1</v>
      </c>
      <c r="G359" s="120">
        <v>200</v>
      </c>
      <c r="H359" s="50">
        <v>200</v>
      </c>
      <c r="I359" s="17">
        <v>0</v>
      </c>
      <c r="J359" s="120">
        <v>3011</v>
      </c>
      <c r="K359" s="50">
        <v>0</v>
      </c>
      <c r="L359" s="50">
        <v>60046</v>
      </c>
      <c r="M359" s="50" t="s">
        <v>3751</v>
      </c>
      <c r="N359" s="50">
        <v>60005</v>
      </c>
      <c r="O359" s="50" t="s">
        <v>5129</v>
      </c>
      <c r="Q359" s="121"/>
      <c r="R359" s="121"/>
      <c r="S359" s="121"/>
      <c r="T359" s="121"/>
      <c r="U359" s="50">
        <v>1</v>
      </c>
      <c r="V359" s="50">
        <v>1</v>
      </c>
      <c r="W359" s="122">
        <v>5</v>
      </c>
      <c r="Z359" s="123">
        <v>240</v>
      </c>
      <c r="AB359" s="124"/>
      <c r="AC359" s="125"/>
      <c r="AF359" s="126" t="s">
        <v>3753</v>
      </c>
      <c r="AG359" s="126" t="s">
        <v>3846</v>
      </c>
      <c r="AH359" s="126" t="s">
        <v>3785</v>
      </c>
      <c r="AI359" s="126"/>
      <c r="AJ359" s="126"/>
      <c r="AL359" s="120">
        <v>0</v>
      </c>
      <c r="AM359" s="50" t="s">
        <v>3754</v>
      </c>
      <c r="AN359" s="50" t="s">
        <v>5478</v>
      </c>
      <c r="AP359" s="50">
        <v>1</v>
      </c>
      <c r="AQ359" s="50">
        <v>0</v>
      </c>
      <c r="AR359" s="50">
        <v>1</v>
      </c>
      <c r="AS359" s="50">
        <v>1</v>
      </c>
      <c r="AU359" s="50">
        <v>0</v>
      </c>
      <c r="AV359" s="17">
        <f t="shared" si="83"/>
        <v>1</v>
      </c>
      <c r="AW359" s="50" t="str">
        <f t="shared" si="84"/>
        <v>{s_taskTalk,{60046,60005}}</v>
      </c>
    </row>
    <row r="360" spans="1:49" s="50" customFormat="1" ht="132" x14ac:dyDescent="0.15">
      <c r="A360" s="9">
        <v>3031</v>
      </c>
      <c r="B360" s="50">
        <v>1011</v>
      </c>
      <c r="C360" s="50" t="s">
        <v>2428</v>
      </c>
      <c r="D360" s="50">
        <v>1</v>
      </c>
      <c r="E360" s="50">
        <v>0</v>
      </c>
      <c r="F360" s="50">
        <v>1</v>
      </c>
      <c r="G360" s="120">
        <v>200</v>
      </c>
      <c r="H360" s="50">
        <v>200</v>
      </c>
      <c r="I360" s="17">
        <v>0</v>
      </c>
      <c r="J360" s="120">
        <v>3021</v>
      </c>
      <c r="K360" s="50">
        <v>0</v>
      </c>
      <c r="L360" s="50">
        <v>60005</v>
      </c>
      <c r="M360" s="50" t="s">
        <v>3752</v>
      </c>
      <c r="N360" s="50">
        <v>60029</v>
      </c>
      <c r="O360" s="50" t="s">
        <v>5130</v>
      </c>
      <c r="Q360" s="121"/>
      <c r="R360" s="121"/>
      <c r="S360" s="121"/>
      <c r="T360" s="121"/>
      <c r="U360" s="50">
        <v>1</v>
      </c>
      <c r="V360" s="50">
        <v>1</v>
      </c>
      <c r="W360" s="122">
        <v>5</v>
      </c>
      <c r="Z360" s="123">
        <v>200</v>
      </c>
      <c r="AB360" s="124"/>
      <c r="AC360" s="125"/>
      <c r="AE360" s="50" t="s">
        <v>2830</v>
      </c>
      <c r="AF360" s="126" t="s">
        <v>4237</v>
      </c>
      <c r="AG360" s="126" t="s">
        <v>3786</v>
      </c>
      <c r="AH360" s="126" t="s">
        <v>3787</v>
      </c>
      <c r="AI360" s="126" t="s">
        <v>239</v>
      </c>
      <c r="AJ360" s="126"/>
      <c r="AK360" s="50" t="s">
        <v>626</v>
      </c>
      <c r="AL360" s="120">
        <v>0</v>
      </c>
      <c r="AM360" s="50" t="s">
        <v>3756</v>
      </c>
      <c r="AN360" s="50" t="s">
        <v>3757</v>
      </c>
      <c r="AP360" s="50">
        <v>1</v>
      </c>
      <c r="AQ360" s="50">
        <v>0</v>
      </c>
      <c r="AR360" s="50">
        <v>1</v>
      </c>
      <c r="AS360" s="50">
        <v>1</v>
      </c>
      <c r="AU360" s="50">
        <v>0</v>
      </c>
      <c r="AV360" s="17">
        <f t="shared" si="83"/>
        <v>1</v>
      </c>
      <c r="AW360" s="50" t="str">
        <f t="shared" si="84"/>
        <v>{s_taskTalk,{60005,60029}}</v>
      </c>
    </row>
    <row r="361" spans="1:49" s="50" customFormat="1" ht="96" x14ac:dyDescent="0.15">
      <c r="A361" s="9">
        <v>3041</v>
      </c>
      <c r="B361" s="50">
        <v>1012</v>
      </c>
      <c r="C361" s="50" t="s">
        <v>2429</v>
      </c>
      <c r="D361" s="50">
        <v>1</v>
      </c>
      <c r="E361" s="50">
        <v>0</v>
      </c>
      <c r="F361" s="50">
        <v>1</v>
      </c>
      <c r="G361" s="120">
        <v>200</v>
      </c>
      <c r="H361" s="50">
        <v>200</v>
      </c>
      <c r="I361" s="17">
        <v>0</v>
      </c>
      <c r="J361" s="120">
        <v>3031</v>
      </c>
      <c r="K361" s="50">
        <v>0</v>
      </c>
      <c r="L361" s="50">
        <v>60029</v>
      </c>
      <c r="M361" s="50" t="s">
        <v>3755</v>
      </c>
      <c r="N361" s="50">
        <v>60006</v>
      </c>
      <c r="O361" s="50" t="s">
        <v>5131</v>
      </c>
      <c r="Q361" s="121"/>
      <c r="R361" s="121"/>
      <c r="S361" s="121"/>
      <c r="T361" s="121"/>
      <c r="U361" s="50">
        <v>1</v>
      </c>
      <c r="V361" s="50">
        <v>1</v>
      </c>
      <c r="W361" s="122">
        <v>5</v>
      </c>
      <c r="Z361" s="123">
        <v>140</v>
      </c>
      <c r="AB361" s="124"/>
      <c r="AC361" s="125"/>
      <c r="AD361" s="50" t="s">
        <v>296</v>
      </c>
      <c r="AF361" s="126" t="s">
        <v>3758</v>
      </c>
      <c r="AG361" s="126" t="s">
        <v>4493</v>
      </c>
      <c r="AH361" s="126" t="s">
        <v>2408</v>
      </c>
      <c r="AI361" s="126"/>
      <c r="AJ361" s="126"/>
      <c r="AL361" s="120">
        <v>0</v>
      </c>
      <c r="AM361" s="50" t="s">
        <v>3759</v>
      </c>
      <c r="AN361" s="50" t="s">
        <v>5479</v>
      </c>
      <c r="AP361" s="50">
        <v>1</v>
      </c>
      <c r="AQ361" s="50">
        <v>0</v>
      </c>
      <c r="AR361" s="50">
        <v>1</v>
      </c>
      <c r="AS361" s="50">
        <v>1</v>
      </c>
      <c r="AU361" s="50">
        <v>0</v>
      </c>
      <c r="AV361" s="17">
        <f t="shared" si="83"/>
        <v>1</v>
      </c>
      <c r="AW361" s="50" t="str">
        <f t="shared" si="84"/>
        <v>{s_taskTalk,{60029,60006}}</v>
      </c>
    </row>
    <row r="362" spans="1:49" s="50" customFormat="1" ht="132" x14ac:dyDescent="0.15">
      <c r="A362" s="9">
        <v>3051</v>
      </c>
      <c r="B362" s="127">
        <v>1021</v>
      </c>
      <c r="C362" s="127" t="s">
        <v>3896</v>
      </c>
      <c r="D362" s="127">
        <v>1</v>
      </c>
      <c r="E362" s="127">
        <v>0</v>
      </c>
      <c r="F362" s="127">
        <v>1</v>
      </c>
      <c r="G362" s="120">
        <v>200</v>
      </c>
      <c r="H362" s="127">
        <v>200</v>
      </c>
      <c r="I362" s="17">
        <v>0</v>
      </c>
      <c r="J362" s="120">
        <v>3041</v>
      </c>
      <c r="K362" s="50">
        <v>0</v>
      </c>
      <c r="L362" s="127">
        <v>60006</v>
      </c>
      <c r="M362" s="127" t="s">
        <v>176</v>
      </c>
      <c r="N362" s="127">
        <v>60007</v>
      </c>
      <c r="O362" s="127" t="s">
        <v>5132</v>
      </c>
      <c r="P362" s="127"/>
      <c r="Q362" s="121"/>
      <c r="R362" s="121"/>
      <c r="S362" s="121"/>
      <c r="T362" s="121"/>
      <c r="U362" s="127">
        <v>1</v>
      </c>
      <c r="V362" s="127">
        <v>0</v>
      </c>
      <c r="W362" s="122">
        <v>5</v>
      </c>
      <c r="X362" s="127"/>
      <c r="Y362" s="127"/>
      <c r="Z362" s="123">
        <v>230</v>
      </c>
      <c r="AA362" s="127"/>
      <c r="AB362" s="124"/>
      <c r="AC362" s="125"/>
      <c r="AD362" s="128" t="s">
        <v>3984</v>
      </c>
      <c r="AE362" s="127" t="s">
        <v>107</v>
      </c>
      <c r="AF362" s="62" t="s">
        <v>2524</v>
      </c>
      <c r="AG362" s="62" t="s">
        <v>3788</v>
      </c>
      <c r="AH362" s="62" t="s">
        <v>3789</v>
      </c>
      <c r="AI362" s="62" t="s">
        <v>2474</v>
      </c>
      <c r="AJ362" s="62"/>
      <c r="AK362" s="127" t="s">
        <v>2412</v>
      </c>
      <c r="AL362" s="120">
        <v>0</v>
      </c>
      <c r="AM362" s="127" t="s">
        <v>2995</v>
      </c>
      <c r="AN362" s="127" t="s">
        <v>2996</v>
      </c>
      <c r="AO362" s="127" t="s">
        <v>2423</v>
      </c>
      <c r="AP362" s="50">
        <v>1</v>
      </c>
      <c r="AQ362" s="50">
        <v>0</v>
      </c>
      <c r="AR362" s="50">
        <v>1</v>
      </c>
      <c r="AS362" s="50">
        <v>1</v>
      </c>
      <c r="AT362" s="127"/>
      <c r="AU362" s="50">
        <v>0</v>
      </c>
      <c r="AV362" s="17">
        <f t="shared" si="83"/>
        <v>1</v>
      </c>
      <c r="AW362" s="50" t="str">
        <f t="shared" si="84"/>
        <v>{s_taskTalk,{60006,60007}}</v>
      </c>
    </row>
    <row r="363" spans="1:49" s="50" customFormat="1" ht="96" x14ac:dyDescent="0.15">
      <c r="A363" s="9">
        <v>3061</v>
      </c>
      <c r="B363" s="127">
        <v>1022</v>
      </c>
      <c r="C363" s="127" t="s">
        <v>3897</v>
      </c>
      <c r="D363" s="127">
        <v>1</v>
      </c>
      <c r="E363" s="127">
        <v>0</v>
      </c>
      <c r="F363" s="127">
        <v>1</v>
      </c>
      <c r="G363" s="120">
        <v>200</v>
      </c>
      <c r="H363" s="127">
        <v>200</v>
      </c>
      <c r="I363" s="17">
        <v>0</v>
      </c>
      <c r="J363" s="120">
        <v>3051</v>
      </c>
      <c r="K363" s="50">
        <v>0</v>
      </c>
      <c r="L363" s="127">
        <v>60007</v>
      </c>
      <c r="M363" s="127" t="s">
        <v>177</v>
      </c>
      <c r="N363" s="127">
        <v>60007</v>
      </c>
      <c r="O363" s="127" t="s">
        <v>5132</v>
      </c>
      <c r="P363" s="127"/>
      <c r="Q363" s="121">
        <v>60141</v>
      </c>
      <c r="R363" s="121"/>
      <c r="S363" s="121"/>
      <c r="T363" s="121"/>
      <c r="U363" s="127">
        <v>1</v>
      </c>
      <c r="V363" s="127">
        <v>0</v>
      </c>
      <c r="W363" s="122">
        <v>5</v>
      </c>
      <c r="X363" s="127"/>
      <c r="Y363" s="127"/>
      <c r="Z363" s="123">
        <v>200</v>
      </c>
      <c r="AA363" s="127"/>
      <c r="AB363" s="124"/>
      <c r="AC363" s="125"/>
      <c r="AD363" s="127"/>
      <c r="AE363" s="127"/>
      <c r="AF363" s="62" t="s">
        <v>4636</v>
      </c>
      <c r="AG363" s="62" t="s">
        <v>2409</v>
      </c>
      <c r="AH363" s="62" t="s">
        <v>3790</v>
      </c>
      <c r="AI363" s="62" t="s">
        <v>2410</v>
      </c>
      <c r="AJ363" s="62"/>
      <c r="AK363" s="127"/>
      <c r="AL363" s="120">
        <v>0</v>
      </c>
      <c r="AM363" s="127" t="s">
        <v>2997</v>
      </c>
      <c r="AN363" s="127" t="s">
        <v>5480</v>
      </c>
      <c r="AO363" s="127" t="s">
        <v>4865</v>
      </c>
      <c r="AP363" s="50">
        <v>1</v>
      </c>
      <c r="AQ363" s="50">
        <v>0</v>
      </c>
      <c r="AR363" s="50">
        <v>1</v>
      </c>
      <c r="AS363" s="50">
        <v>1</v>
      </c>
      <c r="AT363" s="127"/>
      <c r="AU363" s="50">
        <v>0</v>
      </c>
      <c r="AV363" s="17">
        <f t="shared" si="83"/>
        <v>1</v>
      </c>
      <c r="AW363" s="50" t="str">
        <f t="shared" si="84"/>
        <v>{s_taskTalk,{60007,60007}}</v>
      </c>
    </row>
    <row r="364" spans="1:49" s="50" customFormat="1" ht="84" x14ac:dyDescent="0.15">
      <c r="A364" s="9">
        <v>3071</v>
      </c>
      <c r="B364" s="127">
        <v>1051</v>
      </c>
      <c r="C364" s="127" t="s">
        <v>2430</v>
      </c>
      <c r="D364" s="127">
        <v>1</v>
      </c>
      <c r="E364" s="127">
        <v>0</v>
      </c>
      <c r="F364" s="127">
        <v>1</v>
      </c>
      <c r="G364" s="120">
        <v>200</v>
      </c>
      <c r="H364" s="127">
        <v>200</v>
      </c>
      <c r="I364" s="17">
        <v>0</v>
      </c>
      <c r="J364" s="120">
        <v>3061</v>
      </c>
      <c r="K364" s="50">
        <v>0</v>
      </c>
      <c r="L364" s="127">
        <v>60007</v>
      </c>
      <c r="M364" s="127" t="s">
        <v>177</v>
      </c>
      <c r="N364" s="127">
        <v>60006</v>
      </c>
      <c r="O364" s="127" t="s">
        <v>5131</v>
      </c>
      <c r="P364" s="127"/>
      <c r="Q364" s="121"/>
      <c r="R364" s="121"/>
      <c r="S364" s="121"/>
      <c r="T364" s="121"/>
      <c r="U364" s="127">
        <v>1</v>
      </c>
      <c r="V364" s="127">
        <v>1</v>
      </c>
      <c r="W364" s="122">
        <v>5</v>
      </c>
      <c r="X364" s="127"/>
      <c r="Y364" s="127"/>
      <c r="Z364" s="123">
        <v>125</v>
      </c>
      <c r="AA364" s="127"/>
      <c r="AB364" s="124"/>
      <c r="AC364" s="125"/>
      <c r="AD364" s="127"/>
      <c r="AE364" s="127"/>
      <c r="AF364" s="62" t="s">
        <v>2431</v>
      </c>
      <c r="AG364" s="62" t="s">
        <v>2411</v>
      </c>
      <c r="AH364" s="62" t="s">
        <v>3791</v>
      </c>
      <c r="AI364" s="62"/>
      <c r="AJ364" s="62"/>
      <c r="AK364" s="127"/>
      <c r="AL364" s="120">
        <v>0</v>
      </c>
      <c r="AM364" s="127" t="s">
        <v>2998</v>
      </c>
      <c r="AN364" s="127" t="s">
        <v>5481</v>
      </c>
      <c r="AO364" s="127"/>
      <c r="AP364" s="50">
        <v>1</v>
      </c>
      <c r="AQ364" s="50">
        <v>0</v>
      </c>
      <c r="AR364" s="50">
        <v>1</v>
      </c>
      <c r="AS364" s="50">
        <v>1</v>
      </c>
      <c r="AT364" s="127"/>
      <c r="AU364" s="50">
        <v>0</v>
      </c>
      <c r="AV364" s="17">
        <f t="shared" si="83"/>
        <v>1</v>
      </c>
      <c r="AW364" s="50" t="str">
        <f t="shared" si="84"/>
        <v>{s_taskTalk,{60007,60006}}</v>
      </c>
    </row>
    <row r="365" spans="1:49" s="50" customFormat="1" ht="96" x14ac:dyDescent="0.15">
      <c r="A365" s="9">
        <v>3072</v>
      </c>
      <c r="B365" s="127"/>
      <c r="C365" s="127" t="s">
        <v>1890</v>
      </c>
      <c r="D365" s="127">
        <v>1</v>
      </c>
      <c r="E365" s="127">
        <v>0</v>
      </c>
      <c r="F365" s="127">
        <v>1</v>
      </c>
      <c r="G365" s="120">
        <v>200</v>
      </c>
      <c r="H365" s="127">
        <v>200</v>
      </c>
      <c r="I365" s="17">
        <v>0</v>
      </c>
      <c r="J365" s="120">
        <v>3071</v>
      </c>
      <c r="K365" s="50">
        <v>0</v>
      </c>
      <c r="L365" s="127">
        <v>60006</v>
      </c>
      <c r="M365" s="127" t="s">
        <v>176</v>
      </c>
      <c r="N365" s="127">
        <v>60031</v>
      </c>
      <c r="O365" s="127" t="s">
        <v>5133</v>
      </c>
      <c r="P365" s="127"/>
      <c r="Q365" s="121"/>
      <c r="R365" s="121"/>
      <c r="S365" s="121"/>
      <c r="T365" s="121"/>
      <c r="U365" s="127">
        <v>1</v>
      </c>
      <c r="V365" s="127">
        <v>1</v>
      </c>
      <c r="W365" s="122">
        <v>5</v>
      </c>
      <c r="X365" s="127"/>
      <c r="Y365" s="127"/>
      <c r="Z365" s="123">
        <v>125</v>
      </c>
      <c r="AA365" s="127"/>
      <c r="AB365" s="124"/>
      <c r="AC365" s="125"/>
      <c r="AD365" s="127"/>
      <c r="AE365" s="127"/>
      <c r="AF365" s="62" t="s">
        <v>2413</v>
      </c>
      <c r="AG365" s="62" t="s">
        <v>3792</v>
      </c>
      <c r="AH365" s="62" t="s">
        <v>676</v>
      </c>
      <c r="AI365" s="62"/>
      <c r="AJ365" s="62"/>
      <c r="AK365" s="127"/>
      <c r="AL365" s="120">
        <v>0</v>
      </c>
      <c r="AM365" s="127" t="s">
        <v>2999</v>
      </c>
      <c r="AN365" s="127" t="s">
        <v>5482</v>
      </c>
      <c r="AO365" s="127"/>
      <c r="AP365" s="50">
        <v>1</v>
      </c>
      <c r="AQ365" s="50">
        <v>0</v>
      </c>
      <c r="AR365" s="50">
        <v>1</v>
      </c>
      <c r="AS365" s="50">
        <v>1</v>
      </c>
      <c r="AT365" s="127"/>
      <c r="AU365" s="50">
        <v>0</v>
      </c>
      <c r="AV365" s="17">
        <f t="shared" si="83"/>
        <v>1</v>
      </c>
      <c r="AW365" s="50" t="str">
        <f t="shared" si="84"/>
        <v>{s_taskTalk,{60006,60031}}</v>
      </c>
    </row>
    <row r="366" spans="1:49" s="50" customFormat="1" ht="144" x14ac:dyDescent="0.15">
      <c r="A366" s="9">
        <v>3073</v>
      </c>
      <c r="B366" s="127"/>
      <c r="C366" s="127" t="s">
        <v>3898</v>
      </c>
      <c r="D366" s="127">
        <v>1</v>
      </c>
      <c r="E366" s="127">
        <v>0</v>
      </c>
      <c r="F366" s="127">
        <v>1</v>
      </c>
      <c r="G366" s="120">
        <v>200</v>
      </c>
      <c r="H366" s="127">
        <v>200</v>
      </c>
      <c r="I366" s="17">
        <v>0</v>
      </c>
      <c r="J366" s="120">
        <v>3072</v>
      </c>
      <c r="K366" s="50">
        <v>0</v>
      </c>
      <c r="L366" s="127">
        <v>60031</v>
      </c>
      <c r="M366" s="127" t="s">
        <v>178</v>
      </c>
      <c r="N366" s="127">
        <v>60031</v>
      </c>
      <c r="O366" s="127" t="s">
        <v>5133</v>
      </c>
      <c r="P366" s="127"/>
      <c r="Q366" s="121"/>
      <c r="R366" s="121"/>
      <c r="S366" s="121"/>
      <c r="T366" s="121"/>
      <c r="U366" s="127">
        <v>1</v>
      </c>
      <c r="V366" s="127">
        <v>0</v>
      </c>
      <c r="W366" s="122">
        <v>5</v>
      </c>
      <c r="X366" s="127"/>
      <c r="Y366" s="127"/>
      <c r="Z366" s="123">
        <v>125</v>
      </c>
      <c r="AA366" s="127"/>
      <c r="AB366" s="124"/>
      <c r="AC366" s="125"/>
      <c r="AD366" s="128" t="s">
        <v>5304</v>
      </c>
      <c r="AE366" s="127"/>
      <c r="AF366" s="62" t="s">
        <v>2426</v>
      </c>
      <c r="AG366" s="62" t="s">
        <v>3793</v>
      </c>
      <c r="AH366" s="62" t="s">
        <v>3850</v>
      </c>
      <c r="AI366" s="62" t="s">
        <v>2414</v>
      </c>
      <c r="AJ366" s="62"/>
      <c r="AK366" s="127"/>
      <c r="AL366" s="120">
        <v>0</v>
      </c>
      <c r="AM366" s="127" t="s">
        <v>6190</v>
      </c>
      <c r="AN366" s="127" t="s">
        <v>5483</v>
      </c>
      <c r="AO366" s="127" t="s">
        <v>2424</v>
      </c>
      <c r="AP366" s="50">
        <v>1</v>
      </c>
      <c r="AQ366" s="50">
        <v>0</v>
      </c>
      <c r="AR366" s="50">
        <v>1</v>
      </c>
      <c r="AS366" s="50">
        <v>1</v>
      </c>
      <c r="AT366" s="127"/>
      <c r="AU366" s="50">
        <v>0</v>
      </c>
      <c r="AV366" s="17">
        <f t="shared" si="83"/>
        <v>1</v>
      </c>
      <c r="AW366" s="50" t="str">
        <f t="shared" si="84"/>
        <v>{s_taskTalk,{60031,60031}}</v>
      </c>
    </row>
    <row r="367" spans="1:49" s="50" customFormat="1" ht="84" x14ac:dyDescent="0.15">
      <c r="A367" s="28">
        <v>3074</v>
      </c>
      <c r="B367" s="129"/>
      <c r="C367" s="129" t="s">
        <v>1891</v>
      </c>
      <c r="D367" s="129">
        <v>1</v>
      </c>
      <c r="E367" s="129">
        <v>0</v>
      </c>
      <c r="F367" s="129">
        <v>1</v>
      </c>
      <c r="G367" s="120">
        <v>200</v>
      </c>
      <c r="H367" s="129">
        <v>200</v>
      </c>
      <c r="I367" s="17">
        <v>0</v>
      </c>
      <c r="J367" s="30">
        <v>0</v>
      </c>
      <c r="K367" s="29">
        <v>0</v>
      </c>
      <c r="L367" s="129">
        <v>60031</v>
      </c>
      <c r="M367" s="129" t="s">
        <v>325</v>
      </c>
      <c r="N367" s="129">
        <v>60031</v>
      </c>
      <c r="O367" s="129" t="s">
        <v>5133</v>
      </c>
      <c r="P367" s="129"/>
      <c r="Q367" s="130">
        <v>60169</v>
      </c>
      <c r="R367" s="130"/>
      <c r="S367" s="130"/>
      <c r="T367" s="130"/>
      <c r="U367" s="129">
        <v>1</v>
      </c>
      <c r="V367" s="129">
        <v>0</v>
      </c>
      <c r="W367" s="131">
        <v>5</v>
      </c>
      <c r="X367" s="129"/>
      <c r="Y367" s="129"/>
      <c r="Z367" s="132">
        <v>200</v>
      </c>
      <c r="AA367" s="129"/>
      <c r="AB367" s="133"/>
      <c r="AC367" s="134">
        <v>50</v>
      </c>
      <c r="AD367" s="129"/>
      <c r="AE367" s="129"/>
      <c r="AF367" s="135" t="s">
        <v>4238</v>
      </c>
      <c r="AG367" s="135" t="s">
        <v>2980</v>
      </c>
      <c r="AH367" s="135" t="s">
        <v>677</v>
      </c>
      <c r="AI367" s="135" t="s">
        <v>4239</v>
      </c>
      <c r="AJ367" s="135"/>
      <c r="AK367" s="129"/>
      <c r="AL367" s="30">
        <v>0</v>
      </c>
      <c r="AM367" s="129" t="s">
        <v>4240</v>
      </c>
      <c r="AN367" s="129" t="s">
        <v>5484</v>
      </c>
      <c r="AO367" s="129" t="s">
        <v>4868</v>
      </c>
      <c r="AP367" s="29">
        <v>1</v>
      </c>
      <c r="AQ367" s="29">
        <v>0</v>
      </c>
      <c r="AR367" s="29">
        <v>1</v>
      </c>
      <c r="AS367" s="29">
        <v>1</v>
      </c>
      <c r="AT367" s="129"/>
      <c r="AU367" s="29">
        <v>0</v>
      </c>
      <c r="AV367" s="17">
        <f t="shared" si="83"/>
        <v>1</v>
      </c>
      <c r="AW367" s="29" t="str">
        <f t="shared" si="84"/>
        <v>{s_taskTalk,{60031,60031}}</v>
      </c>
    </row>
    <row r="368" spans="1:49" s="50" customFormat="1" ht="120" x14ac:dyDescent="0.15">
      <c r="A368" s="9">
        <v>3081</v>
      </c>
      <c r="B368" s="127">
        <v>1101</v>
      </c>
      <c r="C368" s="127" t="s">
        <v>1892</v>
      </c>
      <c r="D368" s="127">
        <v>1</v>
      </c>
      <c r="E368" s="127">
        <v>0</v>
      </c>
      <c r="F368" s="127">
        <v>1</v>
      </c>
      <c r="G368" s="120">
        <v>200</v>
      </c>
      <c r="H368" s="127">
        <v>200</v>
      </c>
      <c r="I368" s="17">
        <v>0</v>
      </c>
      <c r="J368" s="136">
        <v>3073</v>
      </c>
      <c r="K368" s="50">
        <v>0</v>
      </c>
      <c r="L368" s="127">
        <v>60031</v>
      </c>
      <c r="M368" s="127" t="s">
        <v>326</v>
      </c>
      <c r="N368" s="127">
        <v>60006</v>
      </c>
      <c r="O368" s="127" t="s">
        <v>5131</v>
      </c>
      <c r="P368" s="127"/>
      <c r="Q368" s="121"/>
      <c r="R368" s="121"/>
      <c r="S368" s="121"/>
      <c r="T368" s="121"/>
      <c r="U368" s="127">
        <v>1</v>
      </c>
      <c r="V368" s="127">
        <v>1</v>
      </c>
      <c r="W368" s="122">
        <v>5</v>
      </c>
      <c r="X368" s="127"/>
      <c r="Y368" s="127"/>
      <c r="Z368" s="123">
        <v>125</v>
      </c>
      <c r="AA368" s="127"/>
      <c r="AB368" s="124"/>
      <c r="AC368" s="125"/>
      <c r="AD368" s="127"/>
      <c r="AE368" s="127"/>
      <c r="AF368" s="62" t="s">
        <v>1273</v>
      </c>
      <c r="AG368" s="62" t="s">
        <v>3794</v>
      </c>
      <c r="AH368" s="62" t="s">
        <v>3795</v>
      </c>
      <c r="AI368" s="62"/>
      <c r="AJ368" s="62"/>
      <c r="AK368" s="127" t="s">
        <v>328</v>
      </c>
      <c r="AL368" s="120">
        <v>0</v>
      </c>
      <c r="AM368" s="127" t="s">
        <v>3000</v>
      </c>
      <c r="AN368" s="127" t="s">
        <v>5485</v>
      </c>
      <c r="AO368" s="127"/>
      <c r="AP368" s="50">
        <v>1</v>
      </c>
      <c r="AQ368" s="50">
        <v>0</v>
      </c>
      <c r="AR368" s="50">
        <v>1</v>
      </c>
      <c r="AS368" s="50">
        <v>1</v>
      </c>
      <c r="AT368" s="127"/>
      <c r="AU368" s="50">
        <v>0</v>
      </c>
      <c r="AV368" s="17">
        <f t="shared" si="83"/>
        <v>1</v>
      </c>
      <c r="AW368" s="50" t="str">
        <f t="shared" si="84"/>
        <v>{s_taskTalk,{60031,60006}}</v>
      </c>
    </row>
    <row r="369" spans="1:50" s="50" customFormat="1" ht="96" x14ac:dyDescent="0.15">
      <c r="A369" s="28">
        <v>3091</v>
      </c>
      <c r="B369" s="129">
        <v>1102</v>
      </c>
      <c r="C369" s="129" t="s">
        <v>1893</v>
      </c>
      <c r="D369" s="129">
        <v>1</v>
      </c>
      <c r="E369" s="129">
        <v>0</v>
      </c>
      <c r="F369" s="129">
        <v>1</v>
      </c>
      <c r="G369" s="120">
        <v>200</v>
      </c>
      <c r="H369" s="129">
        <v>200</v>
      </c>
      <c r="I369" s="17">
        <v>0</v>
      </c>
      <c r="J369" s="30">
        <v>0</v>
      </c>
      <c r="K369" s="29">
        <v>0</v>
      </c>
      <c r="L369" s="129">
        <v>60006</v>
      </c>
      <c r="M369" s="129" t="s">
        <v>329</v>
      </c>
      <c r="N369" s="129">
        <v>60006</v>
      </c>
      <c r="O369" s="129" t="s">
        <v>5131</v>
      </c>
      <c r="P369" s="129"/>
      <c r="Q369" s="130"/>
      <c r="R369" s="130"/>
      <c r="S369" s="130"/>
      <c r="T369" s="130"/>
      <c r="U369" s="129">
        <v>4</v>
      </c>
      <c r="V369" s="129">
        <v>0</v>
      </c>
      <c r="W369" s="131">
        <v>5</v>
      </c>
      <c r="X369" s="129"/>
      <c r="Y369" s="129"/>
      <c r="Z369" s="132">
        <v>200</v>
      </c>
      <c r="AA369" s="129"/>
      <c r="AB369" s="133"/>
      <c r="AC369" s="134"/>
      <c r="AD369" s="129"/>
      <c r="AE369" s="129"/>
      <c r="AF369" s="135" t="s">
        <v>2789</v>
      </c>
      <c r="AG369" s="135" t="s">
        <v>679</v>
      </c>
      <c r="AH369" s="135" t="s">
        <v>678</v>
      </c>
      <c r="AI369" s="135" t="s">
        <v>680</v>
      </c>
      <c r="AJ369" s="135"/>
      <c r="AK369" s="129"/>
      <c r="AL369" s="30">
        <v>0</v>
      </c>
      <c r="AM369" s="129" t="s">
        <v>3001</v>
      </c>
      <c r="AN369" s="129" t="s">
        <v>5486</v>
      </c>
      <c r="AO369" s="129"/>
      <c r="AP369" s="29">
        <v>1</v>
      </c>
      <c r="AQ369" s="29">
        <v>0</v>
      </c>
      <c r="AR369" s="29">
        <v>1</v>
      </c>
      <c r="AS369" s="29">
        <v>1</v>
      </c>
      <c r="AT369" s="129"/>
      <c r="AU369" s="29">
        <v>0</v>
      </c>
      <c r="AV369" s="17">
        <f t="shared" si="83"/>
        <v>1</v>
      </c>
      <c r="AW369" s="29" t="str">
        <f t="shared" si="84"/>
        <v>{s_taskTalk,{60006,60006}}</v>
      </c>
    </row>
    <row r="370" spans="1:50" s="50" customFormat="1" ht="84" x14ac:dyDescent="0.15">
      <c r="A370" s="9">
        <v>3101</v>
      </c>
      <c r="B370" s="127">
        <v>1121</v>
      </c>
      <c r="C370" s="127" t="s">
        <v>3899</v>
      </c>
      <c r="D370" s="127">
        <v>1</v>
      </c>
      <c r="E370" s="127">
        <v>0</v>
      </c>
      <c r="F370" s="127">
        <v>1</v>
      </c>
      <c r="G370" s="120">
        <v>200</v>
      </c>
      <c r="H370" s="127">
        <v>200</v>
      </c>
      <c r="I370" s="17">
        <v>0</v>
      </c>
      <c r="J370" s="120">
        <v>3081</v>
      </c>
      <c r="K370" s="50">
        <v>0</v>
      </c>
      <c r="L370" s="127">
        <v>60006</v>
      </c>
      <c r="M370" s="127" t="s">
        <v>327</v>
      </c>
      <c r="N370" s="127">
        <v>60006</v>
      </c>
      <c r="O370" s="127" t="s">
        <v>5131</v>
      </c>
      <c r="P370" s="127"/>
      <c r="Q370" s="121"/>
      <c r="R370" s="121"/>
      <c r="S370" s="121">
        <v>10105</v>
      </c>
      <c r="T370" s="121"/>
      <c r="U370" s="127">
        <v>3</v>
      </c>
      <c r="V370" s="127">
        <v>0</v>
      </c>
      <c r="W370" s="122">
        <v>5</v>
      </c>
      <c r="X370" s="127"/>
      <c r="Y370" s="127"/>
      <c r="Z370" s="123">
        <v>410</v>
      </c>
      <c r="AA370" s="127"/>
      <c r="AB370" s="124"/>
      <c r="AC370" s="125"/>
      <c r="AD370" s="128"/>
      <c r="AE370" s="127"/>
      <c r="AF370" s="62" t="s">
        <v>3760</v>
      </c>
      <c r="AG370" s="62" t="s">
        <v>3796</v>
      </c>
      <c r="AH370" s="62" t="s">
        <v>3797</v>
      </c>
      <c r="AI370" s="62" t="s">
        <v>2415</v>
      </c>
      <c r="AJ370" s="62"/>
      <c r="AK370" s="127" t="s">
        <v>330</v>
      </c>
      <c r="AL370" s="120">
        <v>0</v>
      </c>
      <c r="AM370" s="127" t="s">
        <v>3761</v>
      </c>
      <c r="AN370" s="127" t="s">
        <v>5487</v>
      </c>
      <c r="AO370" s="127"/>
      <c r="AP370" s="50">
        <v>1</v>
      </c>
      <c r="AQ370" s="50">
        <v>0</v>
      </c>
      <c r="AR370" s="50">
        <v>1</v>
      </c>
      <c r="AS370" s="50">
        <v>1</v>
      </c>
      <c r="AT370" s="127"/>
      <c r="AU370" s="50">
        <v>0</v>
      </c>
      <c r="AV370" s="17">
        <f t="shared" si="83"/>
        <v>1</v>
      </c>
      <c r="AW370" s="50" t="str">
        <f>"{s_taskKillNpc, {"&amp;L370&amp;","&amp;N370&amp;","&amp;S370&amp;","&amp;U370&amp;"}}"</f>
        <v>{s_taskKillNpc, {60006,60006,10105,3}}</v>
      </c>
    </row>
    <row r="371" spans="1:50" s="129" customFormat="1" ht="84" x14ac:dyDescent="0.15">
      <c r="A371" s="137">
        <v>3102</v>
      </c>
      <c r="C371" s="129" t="s">
        <v>1894</v>
      </c>
      <c r="D371" s="129">
        <v>1</v>
      </c>
      <c r="E371" s="129">
        <v>0</v>
      </c>
      <c r="F371" s="129">
        <v>1</v>
      </c>
      <c r="G371" s="120">
        <v>200</v>
      </c>
      <c r="H371" s="129">
        <v>200</v>
      </c>
      <c r="I371" s="17">
        <v>0</v>
      </c>
      <c r="J371" s="138">
        <v>0</v>
      </c>
      <c r="K371" s="129">
        <v>0</v>
      </c>
      <c r="L371" s="129">
        <v>60006</v>
      </c>
      <c r="M371" s="129" t="s">
        <v>331</v>
      </c>
      <c r="N371" s="129">
        <v>60006</v>
      </c>
      <c r="O371" s="129" t="s">
        <v>5131</v>
      </c>
      <c r="Q371" s="130"/>
      <c r="R371" s="130"/>
      <c r="S371" s="130"/>
      <c r="T371" s="130"/>
      <c r="U371" s="129">
        <v>1</v>
      </c>
      <c r="V371" s="129">
        <v>1</v>
      </c>
      <c r="W371" s="131">
        <v>5</v>
      </c>
      <c r="Z371" s="132">
        <v>50</v>
      </c>
      <c r="AB371" s="133"/>
      <c r="AC371" s="134"/>
      <c r="AD371" s="139" t="s">
        <v>332</v>
      </c>
      <c r="AF371" s="135" t="s">
        <v>2416</v>
      </c>
      <c r="AG371" s="135" t="s">
        <v>2417</v>
      </c>
      <c r="AH371" s="135" t="s">
        <v>681</v>
      </c>
      <c r="AI371" s="135" t="s">
        <v>682</v>
      </c>
      <c r="AJ371" s="135"/>
      <c r="AL371" s="138">
        <v>0</v>
      </c>
      <c r="AM371" s="129" t="s">
        <v>4882</v>
      </c>
      <c r="AN371" s="129" t="s">
        <v>5488</v>
      </c>
      <c r="AP371" s="129">
        <v>1</v>
      </c>
      <c r="AQ371" s="129">
        <v>0</v>
      </c>
      <c r="AR371" s="29">
        <v>1</v>
      </c>
      <c r="AS371" s="29">
        <v>1</v>
      </c>
      <c r="AU371" s="29">
        <v>0</v>
      </c>
      <c r="AV371" s="17">
        <f t="shared" si="83"/>
        <v>1</v>
      </c>
      <c r="AW371" s="29" t="str">
        <f>"{s_taskTalk,{"&amp;L371&amp;","&amp;N371&amp;"}}"</f>
        <v>{s_taskTalk,{60006,60006}}</v>
      </c>
    </row>
    <row r="372" spans="1:50" s="50" customFormat="1" ht="168" x14ac:dyDescent="0.15">
      <c r="A372" s="9">
        <v>3111</v>
      </c>
      <c r="B372" s="127">
        <v>1131</v>
      </c>
      <c r="C372" s="127" t="s">
        <v>2938</v>
      </c>
      <c r="D372" s="127">
        <v>1</v>
      </c>
      <c r="E372" s="127">
        <v>0</v>
      </c>
      <c r="F372" s="127">
        <v>1</v>
      </c>
      <c r="G372" s="120">
        <v>200</v>
      </c>
      <c r="H372" s="127">
        <v>200</v>
      </c>
      <c r="I372" s="17">
        <v>0</v>
      </c>
      <c r="J372" s="120">
        <v>3101</v>
      </c>
      <c r="K372" s="50">
        <v>0</v>
      </c>
      <c r="L372" s="127">
        <v>60006</v>
      </c>
      <c r="M372" s="127" t="s">
        <v>333</v>
      </c>
      <c r="N372" s="127">
        <v>107</v>
      </c>
      <c r="O372" s="127" t="s">
        <v>5134</v>
      </c>
      <c r="P372" s="127"/>
      <c r="Q372" s="121"/>
      <c r="R372" s="121"/>
      <c r="S372" s="121"/>
      <c r="T372" s="121"/>
      <c r="U372" s="127">
        <v>1</v>
      </c>
      <c r="V372" s="127">
        <v>0</v>
      </c>
      <c r="W372" s="122">
        <v>5</v>
      </c>
      <c r="X372" s="127"/>
      <c r="Y372" s="127"/>
      <c r="Z372" s="123">
        <v>350</v>
      </c>
      <c r="AA372" s="127"/>
      <c r="AB372" s="124"/>
      <c r="AC372" s="125"/>
      <c r="AD372" s="128"/>
      <c r="AE372" s="127"/>
      <c r="AF372" s="62" t="s">
        <v>2418</v>
      </c>
      <c r="AG372" s="62" t="s">
        <v>3900</v>
      </c>
      <c r="AH372" s="62" t="s">
        <v>3893</v>
      </c>
      <c r="AI372" s="62" t="s">
        <v>2803</v>
      </c>
      <c r="AJ372" s="62"/>
      <c r="AK372" s="127" t="s">
        <v>334</v>
      </c>
      <c r="AL372" s="120">
        <v>0</v>
      </c>
      <c r="AM372" s="127" t="s">
        <v>6114</v>
      </c>
      <c r="AN372" s="127" t="s">
        <v>5489</v>
      </c>
      <c r="AO372" s="127"/>
      <c r="AP372" s="50">
        <v>1</v>
      </c>
      <c r="AQ372" s="50">
        <v>0</v>
      </c>
      <c r="AR372" s="50">
        <v>1</v>
      </c>
      <c r="AS372" s="50">
        <v>0</v>
      </c>
      <c r="AT372" s="127"/>
      <c r="AU372" s="50">
        <v>0</v>
      </c>
      <c r="AV372" s="17">
        <f t="shared" si="83"/>
        <v>1</v>
      </c>
      <c r="AW372" s="50" t="str">
        <f>"{s_taskTalk,{"&amp;L372&amp;","&amp;N372&amp;"}}"</f>
        <v>{s_taskTalk,{60006,107}}</v>
      </c>
    </row>
    <row r="373" spans="1:50" s="50" customFormat="1" ht="72" x14ac:dyDescent="0.15">
      <c r="A373" s="9">
        <v>3112</v>
      </c>
      <c r="B373" s="127"/>
      <c r="C373" s="127" t="s">
        <v>1895</v>
      </c>
      <c r="D373" s="127">
        <v>1</v>
      </c>
      <c r="E373" s="127">
        <v>0</v>
      </c>
      <c r="F373" s="127">
        <v>1</v>
      </c>
      <c r="G373" s="120">
        <v>200</v>
      </c>
      <c r="H373" s="127">
        <v>200</v>
      </c>
      <c r="I373" s="17">
        <v>0</v>
      </c>
      <c r="J373" s="120">
        <v>3111</v>
      </c>
      <c r="K373" s="50">
        <v>0</v>
      </c>
      <c r="L373" s="127">
        <v>107</v>
      </c>
      <c r="M373" s="127" t="s">
        <v>335</v>
      </c>
      <c r="N373" s="127">
        <v>111</v>
      </c>
      <c r="O373" s="127" t="s">
        <v>5135</v>
      </c>
      <c r="P373" s="127"/>
      <c r="Q373" s="121"/>
      <c r="R373" s="121"/>
      <c r="S373" s="121"/>
      <c r="T373" s="121"/>
      <c r="U373" s="127">
        <v>1</v>
      </c>
      <c r="V373" s="127">
        <v>1</v>
      </c>
      <c r="W373" s="122">
        <v>5</v>
      </c>
      <c r="X373" s="127"/>
      <c r="Y373" s="127"/>
      <c r="Z373" s="123">
        <v>350</v>
      </c>
      <c r="AA373" s="127"/>
      <c r="AB373" s="124"/>
      <c r="AC373" s="125"/>
      <c r="AD373" s="127"/>
      <c r="AE373" s="127"/>
      <c r="AF373" s="62" t="s">
        <v>683</v>
      </c>
      <c r="AG373" s="62" t="s">
        <v>684</v>
      </c>
      <c r="AH373" s="62" t="s">
        <v>685</v>
      </c>
      <c r="AI373" s="62" t="s">
        <v>2804</v>
      </c>
      <c r="AJ373" s="62"/>
      <c r="AK373" s="127"/>
      <c r="AL373" s="120">
        <v>0</v>
      </c>
      <c r="AM373" s="127" t="s">
        <v>6115</v>
      </c>
      <c r="AN373" s="127" t="s">
        <v>5490</v>
      </c>
      <c r="AO373" s="127"/>
      <c r="AP373" s="50">
        <v>1</v>
      </c>
      <c r="AQ373" s="50">
        <v>0</v>
      </c>
      <c r="AR373" s="50">
        <v>1</v>
      </c>
      <c r="AS373" s="50">
        <v>1</v>
      </c>
      <c r="AT373" s="127"/>
      <c r="AU373" s="50">
        <v>0</v>
      </c>
      <c r="AV373" s="17">
        <f t="shared" si="83"/>
        <v>1</v>
      </c>
      <c r="AW373" s="50" t="str">
        <f>"{s_taskTalk,{"&amp;L373&amp;","&amp;N373&amp;"}}"</f>
        <v>{s_taskTalk,{107,111}}</v>
      </c>
    </row>
    <row r="374" spans="1:50" s="50" customFormat="1" ht="72" x14ac:dyDescent="0.15">
      <c r="A374" s="9">
        <v>3131</v>
      </c>
      <c r="B374" s="127">
        <v>1133</v>
      </c>
      <c r="C374" s="127" t="s">
        <v>1896</v>
      </c>
      <c r="D374" s="127">
        <v>1</v>
      </c>
      <c r="E374" s="127">
        <v>0</v>
      </c>
      <c r="F374" s="127">
        <v>1</v>
      </c>
      <c r="G374" s="120">
        <v>200</v>
      </c>
      <c r="H374" s="127">
        <v>200</v>
      </c>
      <c r="I374" s="17">
        <v>0</v>
      </c>
      <c r="J374" s="120">
        <v>3112</v>
      </c>
      <c r="K374" s="50">
        <v>0</v>
      </c>
      <c r="L374" s="127">
        <v>111</v>
      </c>
      <c r="M374" s="127" t="s">
        <v>336</v>
      </c>
      <c r="N374" s="127">
        <v>60006</v>
      </c>
      <c r="O374" s="127" t="s">
        <v>5131</v>
      </c>
      <c r="P374" s="127"/>
      <c r="Q374" s="121"/>
      <c r="R374" s="121"/>
      <c r="S374" s="121"/>
      <c r="T374" s="121"/>
      <c r="U374" s="127">
        <v>1</v>
      </c>
      <c r="V374" s="127">
        <v>1</v>
      </c>
      <c r="W374" s="122">
        <v>5</v>
      </c>
      <c r="X374" s="127"/>
      <c r="Y374" s="127"/>
      <c r="Z374" s="123">
        <v>370</v>
      </c>
      <c r="AA374" s="127"/>
      <c r="AB374" s="124"/>
      <c r="AC374" s="125"/>
      <c r="AD374" s="127"/>
      <c r="AE374" s="127"/>
      <c r="AF374" s="62" t="s">
        <v>4241</v>
      </c>
      <c r="AG374" s="62" t="s">
        <v>515</v>
      </c>
      <c r="AH374" s="62" t="s">
        <v>108</v>
      </c>
      <c r="AI374" s="62"/>
      <c r="AJ374" s="62"/>
      <c r="AK374" s="127"/>
      <c r="AL374" s="120">
        <v>0</v>
      </c>
      <c r="AM374" s="127" t="s">
        <v>3002</v>
      </c>
      <c r="AN374" s="127" t="s">
        <v>5491</v>
      </c>
      <c r="AO374" s="127"/>
      <c r="AP374" s="50">
        <v>1</v>
      </c>
      <c r="AQ374" s="50">
        <v>0</v>
      </c>
      <c r="AR374" s="50">
        <v>1</v>
      </c>
      <c r="AS374" s="50">
        <v>1</v>
      </c>
      <c r="AT374" s="127"/>
      <c r="AU374" s="50">
        <v>0</v>
      </c>
      <c r="AV374" s="17">
        <f t="shared" si="83"/>
        <v>1</v>
      </c>
      <c r="AW374" s="50" t="str">
        <f>"{s_taskTalk,{"&amp;L374&amp;","&amp;N374&amp;"}}"</f>
        <v>{s_taskTalk,{111,60006}}</v>
      </c>
    </row>
    <row r="375" spans="1:50" s="50" customFormat="1" ht="108" x14ac:dyDescent="0.15">
      <c r="A375" s="28">
        <v>3132</v>
      </c>
      <c r="B375" s="129"/>
      <c r="C375" s="129" t="s">
        <v>2419</v>
      </c>
      <c r="D375" s="129">
        <v>1</v>
      </c>
      <c r="E375" s="129">
        <v>0</v>
      </c>
      <c r="F375" s="129">
        <v>1</v>
      </c>
      <c r="G375" s="120">
        <v>200</v>
      </c>
      <c r="H375" s="129">
        <v>200</v>
      </c>
      <c r="I375" s="17">
        <v>0</v>
      </c>
      <c r="J375" s="30">
        <v>0</v>
      </c>
      <c r="K375" s="29">
        <v>0</v>
      </c>
      <c r="L375" s="129">
        <v>60006</v>
      </c>
      <c r="M375" s="129" t="s">
        <v>327</v>
      </c>
      <c r="N375" s="129">
        <v>60006</v>
      </c>
      <c r="O375" s="129" t="s">
        <v>5131</v>
      </c>
      <c r="P375" s="129"/>
      <c r="Q375" s="130">
        <v>60172</v>
      </c>
      <c r="R375" s="130"/>
      <c r="S375" s="130">
        <v>60172</v>
      </c>
      <c r="T375" s="130"/>
      <c r="U375" s="129">
        <v>1</v>
      </c>
      <c r="V375" s="129">
        <v>0</v>
      </c>
      <c r="W375" s="131">
        <v>5</v>
      </c>
      <c r="X375" s="129"/>
      <c r="Y375" s="129"/>
      <c r="Z375" s="132">
        <v>400</v>
      </c>
      <c r="AA375" s="129"/>
      <c r="AB375" s="133"/>
      <c r="AC375" s="134"/>
      <c r="AD375" s="129"/>
      <c r="AE375" s="129"/>
      <c r="AF375" s="135" t="s">
        <v>2427</v>
      </c>
      <c r="AG375" s="135" t="s">
        <v>2425</v>
      </c>
      <c r="AH375" s="135" t="s">
        <v>686</v>
      </c>
      <c r="AI375" s="135"/>
      <c r="AJ375" s="135"/>
      <c r="AK375" s="129"/>
      <c r="AL375" s="30">
        <v>0</v>
      </c>
      <c r="AM375" s="129" t="s">
        <v>3003</v>
      </c>
      <c r="AN375" s="129" t="s">
        <v>5492</v>
      </c>
      <c r="AO375" s="129"/>
      <c r="AP375" s="29">
        <v>1</v>
      </c>
      <c r="AQ375" s="29">
        <v>0</v>
      </c>
      <c r="AR375" s="29">
        <v>1</v>
      </c>
      <c r="AS375" s="29">
        <v>1</v>
      </c>
      <c r="AT375" s="129"/>
      <c r="AU375" s="29">
        <v>0</v>
      </c>
      <c r="AV375" s="17">
        <f t="shared" si="83"/>
        <v>1</v>
      </c>
      <c r="AW375" s="29" t="str">
        <f>"{s_taskTalk,{"&amp;L375&amp;","&amp;N375&amp;"}}"</f>
        <v>{s_taskTalk,{60006,60006}}</v>
      </c>
    </row>
    <row r="376" spans="1:50" s="50" customFormat="1" ht="120" x14ac:dyDescent="0.15">
      <c r="A376" s="9">
        <v>3141</v>
      </c>
      <c r="B376" s="127">
        <v>1134</v>
      </c>
      <c r="C376" s="127" t="s">
        <v>3901</v>
      </c>
      <c r="D376" s="127">
        <v>1</v>
      </c>
      <c r="E376" s="127">
        <v>0</v>
      </c>
      <c r="F376" s="127">
        <v>1</v>
      </c>
      <c r="G376" s="120">
        <v>200</v>
      </c>
      <c r="H376" s="127">
        <v>200</v>
      </c>
      <c r="I376" s="17">
        <v>0</v>
      </c>
      <c r="J376" s="120">
        <v>3131</v>
      </c>
      <c r="K376" s="50">
        <v>0</v>
      </c>
      <c r="L376" s="127">
        <v>60006</v>
      </c>
      <c r="M376" s="127" t="s">
        <v>238</v>
      </c>
      <c r="N376" s="127">
        <v>60006</v>
      </c>
      <c r="O376" s="127" t="s">
        <v>238</v>
      </c>
      <c r="P376" s="127"/>
      <c r="Q376" s="121"/>
      <c r="R376" s="121"/>
      <c r="S376" s="121">
        <v>10106</v>
      </c>
      <c r="T376" s="121"/>
      <c r="U376" s="127">
        <v>3</v>
      </c>
      <c r="V376" s="127">
        <v>0</v>
      </c>
      <c r="W376" s="122">
        <v>5</v>
      </c>
      <c r="X376" s="127"/>
      <c r="Y376" s="127"/>
      <c r="Z376" s="123">
        <v>600</v>
      </c>
      <c r="AA376" s="127"/>
      <c r="AB376" s="124"/>
      <c r="AC376" s="125"/>
      <c r="AD376" s="128" t="s">
        <v>337</v>
      </c>
      <c r="AE376" s="127" t="s">
        <v>239</v>
      </c>
      <c r="AF376" s="62" t="s">
        <v>3963</v>
      </c>
      <c r="AG376" s="62" t="s">
        <v>3894</v>
      </c>
      <c r="AH376" s="62" t="s">
        <v>2420</v>
      </c>
      <c r="AI376" s="62" t="s">
        <v>4242</v>
      </c>
      <c r="AJ376" s="62"/>
      <c r="AK376" s="127"/>
      <c r="AL376" s="120">
        <v>0</v>
      </c>
      <c r="AM376" s="127" t="s">
        <v>3004</v>
      </c>
      <c r="AN376" s="127" t="s">
        <v>5493</v>
      </c>
      <c r="AO376" s="127"/>
      <c r="AP376" s="50">
        <v>1</v>
      </c>
      <c r="AQ376" s="50">
        <v>0</v>
      </c>
      <c r="AR376" s="50">
        <v>1</v>
      </c>
      <c r="AS376" s="50">
        <v>1</v>
      </c>
      <c r="AT376" s="127"/>
      <c r="AU376" s="50">
        <v>0</v>
      </c>
      <c r="AV376" s="17">
        <f t="shared" si="83"/>
        <v>1</v>
      </c>
      <c r="AW376" s="50" t="str">
        <f>"{s_taskKillNpc, {"&amp;L376&amp;","&amp;N376&amp;","&amp;S376&amp;","&amp;U376&amp;"}}"</f>
        <v>{s_taskKillNpc, {60006,60006,10106,3}}</v>
      </c>
    </row>
    <row r="377" spans="1:50" s="50" customFormat="1" ht="96" x14ac:dyDescent="0.15">
      <c r="A377" s="100">
        <v>3151</v>
      </c>
      <c r="B377" s="82">
        <v>1145</v>
      </c>
      <c r="C377" s="82" t="s">
        <v>1897</v>
      </c>
      <c r="D377" s="82">
        <v>1</v>
      </c>
      <c r="E377" s="82">
        <v>0</v>
      </c>
      <c r="F377" s="82">
        <v>1</v>
      </c>
      <c r="G377" s="120">
        <v>200</v>
      </c>
      <c r="H377" s="82">
        <v>200</v>
      </c>
      <c r="I377" s="17">
        <v>0</v>
      </c>
      <c r="J377" s="83">
        <v>3141</v>
      </c>
      <c r="K377" s="101">
        <v>0</v>
      </c>
      <c r="L377" s="82">
        <v>60006</v>
      </c>
      <c r="M377" s="82" t="s">
        <v>2475</v>
      </c>
      <c r="N377" s="82">
        <v>60045</v>
      </c>
      <c r="O377" s="82" t="s">
        <v>5127</v>
      </c>
      <c r="P377" s="82"/>
      <c r="Q377" s="102"/>
      <c r="R377" s="84"/>
      <c r="S377" s="84"/>
      <c r="T377" s="84"/>
      <c r="U377" s="82">
        <v>1</v>
      </c>
      <c r="V377" s="82">
        <v>0</v>
      </c>
      <c r="W377" s="103">
        <v>5</v>
      </c>
      <c r="X377" s="82"/>
      <c r="Y377" s="82"/>
      <c r="Z377" s="104">
        <v>200</v>
      </c>
      <c r="AA377" s="82"/>
      <c r="AB377" s="105"/>
      <c r="AC377" s="106"/>
      <c r="AD377" s="84"/>
      <c r="AE377" s="82" t="s">
        <v>2476</v>
      </c>
      <c r="AF377" s="86" t="s">
        <v>2477</v>
      </c>
      <c r="AG377" s="86" t="s">
        <v>3798</v>
      </c>
      <c r="AH377" s="86"/>
      <c r="AI377" s="86" t="s">
        <v>687</v>
      </c>
      <c r="AJ377" s="86"/>
      <c r="AK377" s="82"/>
      <c r="AL377" s="108">
        <v>0</v>
      </c>
      <c r="AM377" s="82"/>
      <c r="AN377" s="82" t="s">
        <v>5494</v>
      </c>
      <c r="AO377" s="82"/>
      <c r="AP377" s="101">
        <v>1</v>
      </c>
      <c r="AQ377" s="101">
        <v>0</v>
      </c>
      <c r="AR377" s="50">
        <v>1</v>
      </c>
      <c r="AS377" s="50">
        <v>1</v>
      </c>
      <c r="AT377" s="82"/>
      <c r="AU377" s="82">
        <v>0</v>
      </c>
      <c r="AV377" s="17">
        <f t="shared" ref="AV377:AV440" si="85">IF(D377 = 1,1,0)</f>
        <v>1</v>
      </c>
      <c r="AW377" s="101" t="str">
        <f t="shared" ref="AW377:AW386" si="86">"{s_taskTalk,{"&amp;L377&amp;","&amp;N377&amp;"}}"</f>
        <v>{s_taskTalk,{60006,60045}}</v>
      </c>
      <c r="AX377" s="101"/>
    </row>
    <row r="378" spans="1:50" s="50" customFormat="1" ht="96" x14ac:dyDescent="0.15">
      <c r="A378" s="100">
        <v>3152</v>
      </c>
      <c r="B378" s="82">
        <v>1145</v>
      </c>
      <c r="C378" s="82" t="s">
        <v>2478</v>
      </c>
      <c r="D378" s="82">
        <v>1</v>
      </c>
      <c r="E378" s="82">
        <v>0</v>
      </c>
      <c r="F378" s="82">
        <v>1</v>
      </c>
      <c r="G378" s="120">
        <v>200</v>
      </c>
      <c r="H378" s="82">
        <v>200</v>
      </c>
      <c r="I378" s="17">
        <v>0</v>
      </c>
      <c r="J378" s="83">
        <v>0</v>
      </c>
      <c r="K378" s="101">
        <v>0</v>
      </c>
      <c r="L378" s="82">
        <v>60006</v>
      </c>
      <c r="M378" s="82" t="s">
        <v>2479</v>
      </c>
      <c r="N378" s="82">
        <v>5064</v>
      </c>
      <c r="O378" s="82" t="s">
        <v>5136</v>
      </c>
      <c r="P378" s="82"/>
      <c r="Q378" s="102"/>
      <c r="R378" s="84"/>
      <c r="S378" s="84"/>
      <c r="T378" s="84"/>
      <c r="U378" s="82">
        <v>1</v>
      </c>
      <c r="V378" s="82">
        <v>1</v>
      </c>
      <c r="W378" s="103">
        <v>5</v>
      </c>
      <c r="X378" s="82"/>
      <c r="Y378" s="82"/>
      <c r="Z378" s="104">
        <v>200</v>
      </c>
      <c r="AA378" s="82"/>
      <c r="AB378" s="105"/>
      <c r="AC378" s="106"/>
      <c r="AD378" s="84" t="s">
        <v>7170</v>
      </c>
      <c r="AE378" s="82" t="s">
        <v>2476</v>
      </c>
      <c r="AF378" s="86" t="str">
        <f t="shared" ref="AF378:AF383" si="87">"title(（5级）出发前的训话)
body(hotyellow_3(任务进程:)newline()
   去见自己的职业导师goto("&amp;N378&amp;",1)，然后找goto(60045,1)。
blankline()space()space()space()player()我知道，总有一天你会成为你所在职业中的翘楚，远远超越曾经所有的传说。blankline()   但是，在这之前，学习一点前辈们传授的经验，对你会有好处。)"</f>
        <v>title(（5级）出发前的训话)
body(hotyellow_3(任务进程:)newline()
   去见自己的职业导师goto(5064,1)，然后找goto(60045,1)。
blankline()space()space()space()player()我知道，总有一天你会成为你所在职业中的翘楚，远远超越曾经所有的传说。blankline()   但是，在这之前，学习一点前辈们传授的经验，对你会有好处。)</v>
      </c>
      <c r="AG378" s="86" t="s">
        <v>3798</v>
      </c>
      <c r="AH378" s="86" t="s">
        <v>2491</v>
      </c>
      <c r="AI378" s="86" t="str">
        <f t="shared" ref="AI378:AI383" si="88">"对于没有上过战场的人，战争是令人感到兴奋的，不过你很很快就会感受到战争的另一面。"&amp;O378&amp;"将会告诉你，该怎么做！"</f>
        <v>对于没有上过战场的人，战争是令人感到兴奋的，不过你很很快就会感受到战争的另一面。德尔亨特将会告诉你，该怎么做！</v>
      </c>
      <c r="AJ378" s="86"/>
      <c r="AK378" s="82"/>
      <c r="AL378" s="108">
        <v>0</v>
      </c>
      <c r="AM378" s="82"/>
      <c r="AN378" s="82"/>
      <c r="AO378" s="82"/>
      <c r="AP378" s="101">
        <v>0</v>
      </c>
      <c r="AQ378" s="101">
        <v>0</v>
      </c>
      <c r="AR378" s="50">
        <v>1</v>
      </c>
      <c r="AS378" s="50">
        <v>1</v>
      </c>
      <c r="AT378" s="82"/>
      <c r="AU378" s="82">
        <v>0</v>
      </c>
      <c r="AV378" s="17">
        <f t="shared" si="85"/>
        <v>1</v>
      </c>
      <c r="AW378" s="101" t="str">
        <f t="shared" si="86"/>
        <v>{s_taskTalk,{60006,5064}}</v>
      </c>
      <c r="AX378" s="101"/>
    </row>
    <row r="379" spans="1:50" s="50" customFormat="1" ht="96" x14ac:dyDescent="0.15">
      <c r="A379" s="100">
        <v>3153</v>
      </c>
      <c r="B379" s="82">
        <v>1145</v>
      </c>
      <c r="C379" s="82" t="s">
        <v>2480</v>
      </c>
      <c r="D379" s="82">
        <v>1</v>
      </c>
      <c r="E379" s="82">
        <v>0</v>
      </c>
      <c r="F379" s="82">
        <v>1</v>
      </c>
      <c r="G379" s="120">
        <v>200</v>
      </c>
      <c r="H379" s="82">
        <v>200</v>
      </c>
      <c r="I379" s="17">
        <v>0</v>
      </c>
      <c r="J379" s="83">
        <v>0</v>
      </c>
      <c r="K379" s="101">
        <v>0</v>
      </c>
      <c r="L379" s="82">
        <v>60006</v>
      </c>
      <c r="M379" s="82" t="s">
        <v>2479</v>
      </c>
      <c r="N379" s="82">
        <v>5065</v>
      </c>
      <c r="O379" s="82" t="s">
        <v>5137</v>
      </c>
      <c r="P379" s="82"/>
      <c r="Q379" s="102"/>
      <c r="R379" s="84"/>
      <c r="S379" s="84"/>
      <c r="T379" s="84"/>
      <c r="U379" s="82">
        <v>1</v>
      </c>
      <c r="V379" s="82">
        <v>1</v>
      </c>
      <c r="W379" s="103">
        <v>5</v>
      </c>
      <c r="X379" s="82"/>
      <c r="Y379" s="82"/>
      <c r="Z379" s="104">
        <v>200</v>
      </c>
      <c r="AA379" s="82"/>
      <c r="AB379" s="105"/>
      <c r="AC379" s="106"/>
      <c r="AD379" s="84" t="s">
        <v>7171</v>
      </c>
      <c r="AE379" s="82" t="s">
        <v>2481</v>
      </c>
      <c r="AF379" s="86" t="str">
        <f t="shared" si="87"/>
        <v>title(（5级）出发前的训话)
body(hotyellow_3(任务进程:)newline()
   去见自己的职业导师goto(5065,1)，然后找goto(60045,1)。
blankline()space()space()space()player()我知道，总有一天你会成为你所在职业中的翘楚，远远超越曾经所有的传说。blankline()   但是，在这之前，学习一点前辈们传授的经验，对你会有好处。)</v>
      </c>
      <c r="AG379" s="86" t="s">
        <v>3798</v>
      </c>
      <c r="AH379" s="86" t="s">
        <v>2492</v>
      </c>
      <c r="AI379" s="86" t="str">
        <f t="shared" si="88"/>
        <v>对于没有上过战场的人，战争是令人感到兴奋的，不过你很很快就会感受到战争的另一面。乔伊娜将会告诉你，该怎么做！</v>
      </c>
      <c r="AJ379" s="86"/>
      <c r="AK379" s="82"/>
      <c r="AL379" s="108">
        <v>0</v>
      </c>
      <c r="AM379" s="82"/>
      <c r="AN379" s="82"/>
      <c r="AO379" s="82"/>
      <c r="AP379" s="101">
        <v>0</v>
      </c>
      <c r="AQ379" s="101">
        <v>0</v>
      </c>
      <c r="AR379" s="50">
        <v>1</v>
      </c>
      <c r="AS379" s="50">
        <v>1</v>
      </c>
      <c r="AT379" s="82"/>
      <c r="AU379" s="82">
        <v>0</v>
      </c>
      <c r="AV379" s="17">
        <f t="shared" si="85"/>
        <v>1</v>
      </c>
      <c r="AW379" s="101" t="str">
        <f t="shared" si="86"/>
        <v>{s_taskTalk,{60006,5065}}</v>
      </c>
      <c r="AX379" s="101"/>
    </row>
    <row r="380" spans="1:50" s="50" customFormat="1" ht="96" x14ac:dyDescent="0.15">
      <c r="A380" s="100">
        <v>3154</v>
      </c>
      <c r="B380" s="82">
        <v>1145</v>
      </c>
      <c r="C380" s="82" t="s">
        <v>2482</v>
      </c>
      <c r="D380" s="82">
        <v>1</v>
      </c>
      <c r="E380" s="82">
        <v>0</v>
      </c>
      <c r="F380" s="82">
        <v>1</v>
      </c>
      <c r="G380" s="120">
        <v>200</v>
      </c>
      <c r="H380" s="82">
        <v>200</v>
      </c>
      <c r="I380" s="17">
        <v>0</v>
      </c>
      <c r="J380" s="83">
        <v>0</v>
      </c>
      <c r="K380" s="101">
        <v>0</v>
      </c>
      <c r="L380" s="82">
        <v>60006</v>
      </c>
      <c r="M380" s="82" t="s">
        <v>2479</v>
      </c>
      <c r="N380" s="82">
        <v>5066</v>
      </c>
      <c r="O380" s="82" t="s">
        <v>5138</v>
      </c>
      <c r="P380" s="82"/>
      <c r="Q380" s="102"/>
      <c r="R380" s="84"/>
      <c r="S380" s="84"/>
      <c r="T380" s="84"/>
      <c r="U380" s="82">
        <v>1</v>
      </c>
      <c r="V380" s="82">
        <v>1</v>
      </c>
      <c r="W380" s="103">
        <v>5</v>
      </c>
      <c r="X380" s="82"/>
      <c r="Y380" s="82"/>
      <c r="Z380" s="104">
        <v>200</v>
      </c>
      <c r="AA380" s="82"/>
      <c r="AB380" s="105"/>
      <c r="AC380" s="106"/>
      <c r="AD380" s="84" t="s">
        <v>7172</v>
      </c>
      <c r="AE380" s="82" t="s">
        <v>2481</v>
      </c>
      <c r="AF380" s="86" t="str">
        <f t="shared" si="87"/>
        <v>title(（5级）出发前的训话)
body(hotyellow_3(任务进程:)newline()
   去见自己的职业导师goto(5066,1)，然后找goto(60045,1)。
blankline()space()space()space()player()我知道，总有一天你会成为你所在职业中的翘楚，远远超越曾经所有的传说。blankline()   但是，在这之前，学习一点前辈们传授的经验，对你会有好处。)</v>
      </c>
      <c r="AG380" s="86" t="s">
        <v>3798</v>
      </c>
      <c r="AH380" s="86" t="s">
        <v>2493</v>
      </c>
      <c r="AI380" s="86" t="str">
        <f t="shared" si="88"/>
        <v>对于没有上过战场的人，战争是令人感到兴奋的，不过你很很快就会感受到战争的另一面。艾尔维纳将会告诉你，该怎么做！</v>
      </c>
      <c r="AJ380" s="86"/>
      <c r="AK380" s="82"/>
      <c r="AL380" s="108">
        <v>0</v>
      </c>
      <c r="AM380" s="82"/>
      <c r="AN380" s="82"/>
      <c r="AO380" s="82"/>
      <c r="AP380" s="101">
        <v>0</v>
      </c>
      <c r="AQ380" s="101">
        <v>0</v>
      </c>
      <c r="AR380" s="50">
        <v>1</v>
      </c>
      <c r="AS380" s="50">
        <v>1</v>
      </c>
      <c r="AT380" s="82"/>
      <c r="AU380" s="82">
        <v>0</v>
      </c>
      <c r="AV380" s="17">
        <f t="shared" si="85"/>
        <v>1</v>
      </c>
      <c r="AW380" s="101" t="str">
        <f t="shared" si="86"/>
        <v>{s_taskTalk,{60006,5066}}</v>
      </c>
      <c r="AX380" s="101"/>
    </row>
    <row r="381" spans="1:50" s="50" customFormat="1" ht="96" x14ac:dyDescent="0.15">
      <c r="A381" s="100">
        <v>3155</v>
      </c>
      <c r="B381" s="82">
        <v>1145</v>
      </c>
      <c r="C381" s="82" t="s">
        <v>2496</v>
      </c>
      <c r="D381" s="82">
        <v>1</v>
      </c>
      <c r="E381" s="82">
        <v>0</v>
      </c>
      <c r="F381" s="82">
        <v>1</v>
      </c>
      <c r="G381" s="120">
        <v>200</v>
      </c>
      <c r="H381" s="82">
        <v>200</v>
      </c>
      <c r="I381" s="17">
        <v>0</v>
      </c>
      <c r="J381" s="83">
        <v>0</v>
      </c>
      <c r="K381" s="101">
        <v>0</v>
      </c>
      <c r="L381" s="82">
        <v>60006</v>
      </c>
      <c r="M381" s="82" t="s">
        <v>2483</v>
      </c>
      <c r="N381" s="82">
        <v>5067</v>
      </c>
      <c r="O381" s="82" t="s">
        <v>5139</v>
      </c>
      <c r="P381" s="82"/>
      <c r="Q381" s="102"/>
      <c r="R381" s="84"/>
      <c r="S381" s="84"/>
      <c r="T381" s="84"/>
      <c r="U381" s="82">
        <v>1</v>
      </c>
      <c r="V381" s="82">
        <v>1</v>
      </c>
      <c r="W381" s="103">
        <v>5</v>
      </c>
      <c r="X381" s="82"/>
      <c r="Y381" s="82"/>
      <c r="Z381" s="104">
        <v>200</v>
      </c>
      <c r="AA381" s="82"/>
      <c r="AB381" s="105"/>
      <c r="AC381" s="106"/>
      <c r="AD381" s="84" t="s">
        <v>7173</v>
      </c>
      <c r="AE381" s="82" t="s">
        <v>2484</v>
      </c>
      <c r="AF381" s="86" t="str">
        <f t="shared" si="87"/>
        <v>title(（5级）出发前的训话)
body(hotyellow_3(任务进程:)newline()
   去见自己的职业导师goto(5067,1)，然后找goto(60045,1)。
blankline()space()space()space()player()我知道，总有一天你会成为你所在职业中的翘楚，远远超越曾经所有的传说。blankline()   但是，在这之前，学习一点前辈们传授的经验，对你会有好处。)</v>
      </c>
      <c r="AG381" s="86" t="s">
        <v>3798</v>
      </c>
      <c r="AH381" s="86" t="s">
        <v>3951</v>
      </c>
      <c r="AI381" s="86" t="str">
        <f t="shared" si="88"/>
        <v>对于没有上过战场的人，战争是令人感到兴奋的，不过你很很快就会感受到战争的另一面。莱因哈克将会告诉你，该怎么做！</v>
      </c>
      <c r="AJ381" s="86"/>
      <c r="AK381" s="82"/>
      <c r="AL381" s="108">
        <v>0</v>
      </c>
      <c r="AM381" s="82"/>
      <c r="AN381" s="82"/>
      <c r="AO381" s="82"/>
      <c r="AP381" s="101">
        <v>0</v>
      </c>
      <c r="AQ381" s="101">
        <v>0</v>
      </c>
      <c r="AR381" s="50">
        <v>1</v>
      </c>
      <c r="AS381" s="50">
        <v>1</v>
      </c>
      <c r="AT381" s="82"/>
      <c r="AU381" s="82">
        <v>0</v>
      </c>
      <c r="AV381" s="17">
        <f t="shared" si="85"/>
        <v>1</v>
      </c>
      <c r="AW381" s="101" t="str">
        <f t="shared" si="86"/>
        <v>{s_taskTalk,{60006,5067}}</v>
      </c>
      <c r="AX381" s="101"/>
    </row>
    <row r="382" spans="1:50" s="50" customFormat="1" ht="96" x14ac:dyDescent="0.15">
      <c r="A382" s="100">
        <v>3156</v>
      </c>
      <c r="B382" s="82">
        <v>1145</v>
      </c>
      <c r="C382" s="82" t="s">
        <v>2485</v>
      </c>
      <c r="D382" s="82">
        <v>1</v>
      </c>
      <c r="E382" s="82">
        <v>0</v>
      </c>
      <c r="F382" s="82">
        <v>1</v>
      </c>
      <c r="G382" s="120">
        <v>200</v>
      </c>
      <c r="H382" s="82">
        <v>200</v>
      </c>
      <c r="I382" s="17">
        <v>0</v>
      </c>
      <c r="J382" s="83">
        <v>0</v>
      </c>
      <c r="K382" s="101">
        <v>0</v>
      </c>
      <c r="L382" s="82">
        <v>60006</v>
      </c>
      <c r="M382" s="82" t="s">
        <v>2486</v>
      </c>
      <c r="N382" s="82">
        <v>5068</v>
      </c>
      <c r="O382" s="82" t="s">
        <v>5140</v>
      </c>
      <c r="P382" s="82"/>
      <c r="Q382" s="102"/>
      <c r="R382" s="84"/>
      <c r="S382" s="84"/>
      <c r="T382" s="84"/>
      <c r="U382" s="82">
        <v>1</v>
      </c>
      <c r="V382" s="82">
        <v>1</v>
      </c>
      <c r="W382" s="103">
        <v>5</v>
      </c>
      <c r="X382" s="82"/>
      <c r="Y382" s="82"/>
      <c r="Z382" s="104">
        <v>200</v>
      </c>
      <c r="AA382" s="82"/>
      <c r="AB382" s="105"/>
      <c r="AC382" s="106"/>
      <c r="AD382" s="84" t="s">
        <v>7174</v>
      </c>
      <c r="AE382" s="82" t="s">
        <v>2487</v>
      </c>
      <c r="AF382" s="86" t="str">
        <f t="shared" si="87"/>
        <v>title(（5级）出发前的训话)
body(hotyellow_3(任务进程:)newline()
   去见自己的职业导师goto(5068,1)，然后找goto(60045,1)。
blankline()space()space()space()player()我知道，总有一天你会成为你所在职业中的翘楚，远远超越曾经所有的传说。blankline()   但是，在这之前，学习一点前辈们传授的经验，对你会有好处。)</v>
      </c>
      <c r="AG382" s="86" t="s">
        <v>3798</v>
      </c>
      <c r="AH382" s="86" t="s">
        <v>2494</v>
      </c>
      <c r="AI382" s="86" t="str">
        <f t="shared" si="88"/>
        <v>对于没有上过战场的人，战争是令人感到兴奋的，不过你很很快就会感受到战争的另一面。迈克道格将会告诉你，该怎么做！</v>
      </c>
      <c r="AJ382" s="86"/>
      <c r="AK382" s="82"/>
      <c r="AL382" s="108">
        <v>0</v>
      </c>
      <c r="AM382" s="82"/>
      <c r="AN382" s="82"/>
      <c r="AO382" s="82"/>
      <c r="AP382" s="101">
        <v>0</v>
      </c>
      <c r="AQ382" s="101">
        <v>0</v>
      </c>
      <c r="AR382" s="50">
        <v>1</v>
      </c>
      <c r="AS382" s="50">
        <v>1</v>
      </c>
      <c r="AT382" s="82"/>
      <c r="AU382" s="82">
        <v>0</v>
      </c>
      <c r="AV382" s="17">
        <f t="shared" si="85"/>
        <v>1</v>
      </c>
      <c r="AW382" s="101" t="str">
        <f t="shared" si="86"/>
        <v>{s_taskTalk,{60006,5068}}</v>
      </c>
      <c r="AX382" s="101"/>
    </row>
    <row r="383" spans="1:50" s="50" customFormat="1" ht="96" x14ac:dyDescent="0.15">
      <c r="A383" s="100">
        <v>3157</v>
      </c>
      <c r="B383" s="82">
        <v>1145</v>
      </c>
      <c r="C383" s="82" t="s">
        <v>2488</v>
      </c>
      <c r="D383" s="82">
        <v>1</v>
      </c>
      <c r="E383" s="82">
        <v>0</v>
      </c>
      <c r="F383" s="82">
        <v>1</v>
      </c>
      <c r="G383" s="120">
        <v>200</v>
      </c>
      <c r="H383" s="82">
        <v>200</v>
      </c>
      <c r="I383" s="17">
        <v>0</v>
      </c>
      <c r="J383" s="83">
        <v>0</v>
      </c>
      <c r="K383" s="101">
        <v>0</v>
      </c>
      <c r="L383" s="82">
        <v>60006</v>
      </c>
      <c r="M383" s="82" t="s">
        <v>2489</v>
      </c>
      <c r="N383" s="82">
        <v>5069</v>
      </c>
      <c r="O383" s="82" t="s">
        <v>5141</v>
      </c>
      <c r="P383" s="82"/>
      <c r="Q383" s="102"/>
      <c r="R383" s="84"/>
      <c r="S383" s="84"/>
      <c r="T383" s="84"/>
      <c r="U383" s="82">
        <v>1</v>
      </c>
      <c r="V383" s="82">
        <v>1</v>
      </c>
      <c r="W383" s="103">
        <v>5</v>
      </c>
      <c r="X383" s="82"/>
      <c r="Y383" s="82"/>
      <c r="Z383" s="104">
        <v>200</v>
      </c>
      <c r="AA383" s="82"/>
      <c r="AB383" s="105"/>
      <c r="AC383" s="106"/>
      <c r="AD383" s="84" t="s">
        <v>7175</v>
      </c>
      <c r="AE383" s="82" t="s">
        <v>2490</v>
      </c>
      <c r="AF383" s="86" t="str">
        <f t="shared" si="87"/>
        <v>title(（5级）出发前的训话)
body(hotyellow_3(任务进程:)newline()
   去见自己的职业导师goto(5069,1)，然后找goto(60045,1)。
blankline()space()space()space()player()我知道，总有一天你会成为你所在职业中的翘楚，远远超越曾经所有的传说。blankline()   但是，在这之前，学习一点前辈们传授的经验，对你会有好处。)</v>
      </c>
      <c r="AG383" s="86" t="s">
        <v>3798</v>
      </c>
      <c r="AH383" s="86" t="s">
        <v>2495</v>
      </c>
      <c r="AI383" s="86" t="str">
        <f t="shared" si="88"/>
        <v>对于没有上过战场的人，战争是令人感到兴奋的，不过你很很快就会感受到战争的另一面。希尔罗兰将会告诉你，该怎么做！</v>
      </c>
      <c r="AJ383" s="86"/>
      <c r="AK383" s="82"/>
      <c r="AL383" s="108">
        <v>0</v>
      </c>
      <c r="AM383" s="82"/>
      <c r="AN383" s="82"/>
      <c r="AO383" s="82"/>
      <c r="AP383" s="101">
        <v>0</v>
      </c>
      <c r="AQ383" s="101">
        <v>0</v>
      </c>
      <c r="AR383" s="50">
        <v>1</v>
      </c>
      <c r="AS383" s="50">
        <v>1</v>
      </c>
      <c r="AT383" s="82"/>
      <c r="AU383" s="82">
        <v>0</v>
      </c>
      <c r="AV383" s="17">
        <f t="shared" si="85"/>
        <v>1</v>
      </c>
      <c r="AW383" s="101" t="str">
        <f t="shared" si="86"/>
        <v>{s_taskTalk,{60006,5069}}</v>
      </c>
      <c r="AX383" s="101"/>
    </row>
    <row r="384" spans="1:50" s="29" customFormat="1" ht="72" x14ac:dyDescent="0.15">
      <c r="A384" s="28">
        <v>3161</v>
      </c>
      <c r="B384" s="129">
        <v>1146</v>
      </c>
      <c r="C384" s="129" t="s">
        <v>1898</v>
      </c>
      <c r="D384" s="129">
        <v>1</v>
      </c>
      <c r="E384" s="129">
        <v>0</v>
      </c>
      <c r="F384" s="129">
        <v>1</v>
      </c>
      <c r="G384" s="120">
        <v>200</v>
      </c>
      <c r="H384" s="129">
        <v>200</v>
      </c>
      <c r="I384" s="17">
        <v>0</v>
      </c>
      <c r="J384" s="30">
        <v>0</v>
      </c>
      <c r="K384" s="29">
        <v>0</v>
      </c>
      <c r="L384" s="129">
        <v>60045</v>
      </c>
      <c r="M384" s="129" t="s">
        <v>338</v>
      </c>
      <c r="N384" s="129">
        <v>60045</v>
      </c>
      <c r="O384" s="129" t="s">
        <v>5127</v>
      </c>
      <c r="P384" s="129"/>
      <c r="Q384" s="130"/>
      <c r="R384" s="130"/>
      <c r="S384" s="130"/>
      <c r="T384" s="130"/>
      <c r="U384" s="129">
        <v>1</v>
      </c>
      <c r="V384" s="129">
        <v>1</v>
      </c>
      <c r="W384" s="131">
        <v>5</v>
      </c>
      <c r="X384" s="129"/>
      <c r="Y384" s="129"/>
      <c r="Z384" s="132">
        <v>300</v>
      </c>
      <c r="AA384" s="129"/>
      <c r="AB384" s="133"/>
      <c r="AC384" s="134"/>
      <c r="AD384" s="129"/>
      <c r="AE384" s="129"/>
      <c r="AF384" s="135" t="s">
        <v>688</v>
      </c>
      <c r="AG384" s="135" t="s">
        <v>689</v>
      </c>
      <c r="AH384" s="135" t="s">
        <v>690</v>
      </c>
      <c r="AI384" s="135" t="s">
        <v>680</v>
      </c>
      <c r="AJ384" s="135"/>
      <c r="AK384" s="129"/>
      <c r="AL384" s="30">
        <v>0</v>
      </c>
      <c r="AM384" s="129" t="s">
        <v>3005</v>
      </c>
      <c r="AN384" s="129" t="s">
        <v>5495</v>
      </c>
      <c r="AO384" s="129"/>
      <c r="AP384" s="29">
        <v>1</v>
      </c>
      <c r="AQ384" s="29">
        <v>0</v>
      </c>
      <c r="AR384" s="29">
        <v>1</v>
      </c>
      <c r="AS384" s="29">
        <v>1</v>
      </c>
      <c r="AT384" s="129"/>
      <c r="AU384" s="129">
        <v>0</v>
      </c>
      <c r="AV384" s="17">
        <f t="shared" si="85"/>
        <v>1</v>
      </c>
      <c r="AW384" s="29" t="str">
        <f t="shared" si="86"/>
        <v>{s_taskTalk,{60045,60045}}</v>
      </c>
    </row>
    <row r="385" spans="1:60" s="73" customFormat="1" ht="120" x14ac:dyDescent="0.15">
      <c r="A385" s="72">
        <v>3171</v>
      </c>
      <c r="B385" s="73">
        <v>1151</v>
      </c>
      <c r="C385" s="73" t="s">
        <v>1899</v>
      </c>
      <c r="D385" s="73">
        <v>1</v>
      </c>
      <c r="E385" s="73">
        <v>0</v>
      </c>
      <c r="F385" s="73">
        <v>1</v>
      </c>
      <c r="G385" s="120">
        <v>200</v>
      </c>
      <c r="H385" s="73">
        <v>200</v>
      </c>
      <c r="I385" s="17">
        <v>0</v>
      </c>
      <c r="J385" s="80">
        <v>3151</v>
      </c>
      <c r="K385" s="73">
        <v>0</v>
      </c>
      <c r="L385" s="73">
        <v>60045</v>
      </c>
      <c r="M385" s="73" t="s">
        <v>338</v>
      </c>
      <c r="N385" s="73">
        <v>121</v>
      </c>
      <c r="O385" s="73" t="s">
        <v>5142</v>
      </c>
      <c r="Q385" s="140"/>
      <c r="R385" s="140"/>
      <c r="S385" s="140"/>
      <c r="T385" s="140"/>
      <c r="U385" s="73">
        <v>1</v>
      </c>
      <c r="V385" s="73">
        <v>1</v>
      </c>
      <c r="W385" s="141">
        <v>5</v>
      </c>
      <c r="Z385" s="142">
        <v>450</v>
      </c>
      <c r="AB385" s="143"/>
      <c r="AC385" s="144"/>
      <c r="AF385" s="145" t="s">
        <v>691</v>
      </c>
      <c r="AG385" s="145" t="s">
        <v>3799</v>
      </c>
      <c r="AH385" s="145" t="s">
        <v>692</v>
      </c>
      <c r="AI385" s="145"/>
      <c r="AJ385" s="146"/>
      <c r="AK385" s="73" t="s">
        <v>628</v>
      </c>
      <c r="AL385" s="80">
        <v>0</v>
      </c>
      <c r="AM385" s="147" t="s">
        <v>3006</v>
      </c>
      <c r="AN385" s="147" t="s">
        <v>5496</v>
      </c>
      <c r="AP385" s="73">
        <v>1</v>
      </c>
      <c r="AQ385" s="73">
        <v>0</v>
      </c>
      <c r="AR385" s="50">
        <v>1</v>
      </c>
      <c r="AS385" s="50">
        <v>1</v>
      </c>
      <c r="AU385" s="73">
        <v>0</v>
      </c>
      <c r="AV385" s="17">
        <f t="shared" si="85"/>
        <v>1</v>
      </c>
      <c r="AW385" s="73" t="str">
        <f t="shared" si="86"/>
        <v>{s_taskTalk,{60045,121}}</v>
      </c>
    </row>
    <row r="386" spans="1:60" s="50" customFormat="1" ht="96" x14ac:dyDescent="0.15">
      <c r="A386" s="9">
        <v>3181</v>
      </c>
      <c r="B386" s="50">
        <v>1161</v>
      </c>
      <c r="C386" s="50" t="s">
        <v>1900</v>
      </c>
      <c r="D386" s="50">
        <v>1</v>
      </c>
      <c r="E386" s="50">
        <v>0</v>
      </c>
      <c r="F386" s="50">
        <v>2</v>
      </c>
      <c r="G386" s="120">
        <v>200</v>
      </c>
      <c r="H386" s="50">
        <v>200</v>
      </c>
      <c r="I386" s="17">
        <v>0</v>
      </c>
      <c r="J386" s="120">
        <v>3171</v>
      </c>
      <c r="K386" s="50">
        <v>0</v>
      </c>
      <c r="L386" s="50">
        <v>124</v>
      </c>
      <c r="M386" s="50" t="s">
        <v>340</v>
      </c>
      <c r="N386" s="50">
        <v>60015</v>
      </c>
      <c r="O386" s="50" t="s">
        <v>5143</v>
      </c>
      <c r="Q386" s="121"/>
      <c r="R386" s="121"/>
      <c r="S386" s="121"/>
      <c r="T386" s="121"/>
      <c r="U386" s="50">
        <v>1</v>
      </c>
      <c r="V386" s="50">
        <v>1</v>
      </c>
      <c r="W386" s="122">
        <v>5</v>
      </c>
      <c r="Z386" s="123">
        <v>300</v>
      </c>
      <c r="AB386" s="124"/>
      <c r="AC386" s="125"/>
      <c r="AF386" s="126" t="s">
        <v>1737</v>
      </c>
      <c r="AG386" s="126" t="s">
        <v>3800</v>
      </c>
      <c r="AH386" s="126" t="s">
        <v>693</v>
      </c>
      <c r="AI386" s="126"/>
      <c r="AJ386" s="62"/>
      <c r="AK386" s="50" t="s">
        <v>629</v>
      </c>
      <c r="AL386" s="120">
        <v>0</v>
      </c>
      <c r="AM386" s="127" t="s">
        <v>3007</v>
      </c>
      <c r="AN386" s="127" t="s">
        <v>3008</v>
      </c>
      <c r="AP386" s="50">
        <v>1</v>
      </c>
      <c r="AQ386" s="50">
        <v>0</v>
      </c>
      <c r="AR386" s="50">
        <v>1</v>
      </c>
      <c r="AS386" s="50">
        <v>1</v>
      </c>
      <c r="AU386" s="50">
        <v>0</v>
      </c>
      <c r="AV386" s="17">
        <f t="shared" si="85"/>
        <v>1</v>
      </c>
      <c r="AW386" s="50" t="str">
        <f t="shared" si="86"/>
        <v>{s_taskTalk,{124,60015}}</v>
      </c>
    </row>
    <row r="387" spans="1:60" s="50" customFormat="1" ht="120" x14ac:dyDescent="0.15">
      <c r="A387" s="9">
        <v>3191</v>
      </c>
      <c r="B387" s="50">
        <v>1171</v>
      </c>
      <c r="C387" s="50" t="s">
        <v>1901</v>
      </c>
      <c r="D387" s="50">
        <v>1</v>
      </c>
      <c r="E387" s="50">
        <v>0</v>
      </c>
      <c r="F387" s="50">
        <v>2</v>
      </c>
      <c r="G387" s="120">
        <v>200</v>
      </c>
      <c r="H387" s="50">
        <v>200</v>
      </c>
      <c r="I387" s="17">
        <v>0</v>
      </c>
      <c r="J387" s="120">
        <v>3181</v>
      </c>
      <c r="K387" s="50">
        <v>0</v>
      </c>
      <c r="L387" s="50">
        <v>60015</v>
      </c>
      <c r="M387" s="50" t="s">
        <v>341</v>
      </c>
      <c r="N387" s="50">
        <v>60026</v>
      </c>
      <c r="O387" s="50" t="s">
        <v>5144</v>
      </c>
      <c r="Q387" s="121"/>
      <c r="R387" s="121"/>
      <c r="S387" s="121">
        <v>10005</v>
      </c>
      <c r="T387" s="121"/>
      <c r="U387" s="25">
        <v>3</v>
      </c>
      <c r="V387" s="50">
        <v>0</v>
      </c>
      <c r="W387" s="122">
        <v>5</v>
      </c>
      <c r="Z387" s="123">
        <v>700</v>
      </c>
      <c r="AB387" s="124"/>
      <c r="AC387" s="125"/>
      <c r="AF387" s="126" t="s">
        <v>4243</v>
      </c>
      <c r="AG387" s="126" t="s">
        <v>3801</v>
      </c>
      <c r="AH387" s="126" t="s">
        <v>694</v>
      </c>
      <c r="AI387" s="126" t="s">
        <v>695</v>
      </c>
      <c r="AJ387" s="62"/>
      <c r="AK387" s="50" t="s">
        <v>343</v>
      </c>
      <c r="AL387" s="120">
        <v>0</v>
      </c>
      <c r="AM387" s="127" t="s">
        <v>6140</v>
      </c>
      <c r="AN387" s="127" t="s">
        <v>5497</v>
      </c>
      <c r="AP387" s="50">
        <v>1</v>
      </c>
      <c r="AQ387" s="50">
        <v>0</v>
      </c>
      <c r="AR387" s="50">
        <v>1</v>
      </c>
      <c r="AS387" s="50">
        <v>1</v>
      </c>
      <c r="AU387" s="50">
        <v>0</v>
      </c>
      <c r="AV387" s="17">
        <f t="shared" si="85"/>
        <v>1</v>
      </c>
      <c r="AW387" s="50" t="str">
        <f>"{s_taskKillNpc, {"&amp;L387&amp;","&amp;N387&amp;","&amp;S387&amp;","&amp;U387&amp;"}}"</f>
        <v>{s_taskKillNpc, {60015,60026,10005,3}}</v>
      </c>
    </row>
    <row r="388" spans="1:60" s="50" customFormat="1" ht="84" x14ac:dyDescent="0.15">
      <c r="A388" s="9">
        <v>3201</v>
      </c>
      <c r="B388" s="50">
        <v>1181</v>
      </c>
      <c r="C388" s="50" t="s">
        <v>3895</v>
      </c>
      <c r="D388" s="50">
        <v>1</v>
      </c>
      <c r="E388" s="50">
        <v>0</v>
      </c>
      <c r="F388" s="50">
        <v>2</v>
      </c>
      <c r="G388" s="120">
        <v>200</v>
      </c>
      <c r="H388" s="50">
        <v>200</v>
      </c>
      <c r="I388" s="17">
        <v>0</v>
      </c>
      <c r="J388" s="120">
        <v>3191</v>
      </c>
      <c r="K388" s="50">
        <v>0</v>
      </c>
      <c r="L388" s="50">
        <v>60026</v>
      </c>
      <c r="M388" s="50" t="s">
        <v>342</v>
      </c>
      <c r="N388" s="50">
        <v>60026</v>
      </c>
      <c r="O388" s="50" t="s">
        <v>5144</v>
      </c>
      <c r="Q388" s="121">
        <v>60142</v>
      </c>
      <c r="R388" s="121"/>
      <c r="S388" s="121">
        <v>60142</v>
      </c>
      <c r="T388" s="121"/>
      <c r="U388" s="25">
        <v>2</v>
      </c>
      <c r="V388" s="50">
        <v>0</v>
      </c>
      <c r="W388" s="122">
        <v>5</v>
      </c>
      <c r="Z388" s="123">
        <v>500</v>
      </c>
      <c r="AB388" s="124"/>
      <c r="AC388" s="125"/>
      <c r="AF388" s="126" t="s">
        <v>3936</v>
      </c>
      <c r="AG388" s="126" t="s">
        <v>3802</v>
      </c>
      <c r="AH388" s="126" t="s">
        <v>696</v>
      </c>
      <c r="AI388" s="126" t="s">
        <v>697</v>
      </c>
      <c r="AJ388" s="62"/>
      <c r="AK388" s="50" t="s">
        <v>344</v>
      </c>
      <c r="AL388" s="120">
        <v>0</v>
      </c>
      <c r="AM388" s="127" t="s">
        <v>6133</v>
      </c>
      <c r="AN388" s="127" t="s">
        <v>5498</v>
      </c>
      <c r="AO388" s="50" t="s">
        <v>4866</v>
      </c>
      <c r="AP388" s="50">
        <v>1</v>
      </c>
      <c r="AQ388" s="50">
        <v>0</v>
      </c>
      <c r="AR388" s="50">
        <v>1</v>
      </c>
      <c r="AS388" s="50">
        <v>1</v>
      </c>
      <c r="AU388" s="50">
        <v>0</v>
      </c>
      <c r="AV388" s="17">
        <f t="shared" si="85"/>
        <v>1</v>
      </c>
      <c r="AW388" s="50" t="str">
        <f t="shared" ref="AW388:AW417" si="89">"{s_taskTalk,{"&amp;L388&amp;","&amp;N388&amp;"}}"</f>
        <v>{s_taskTalk,{60026,60026}}</v>
      </c>
    </row>
    <row r="389" spans="1:60" s="50" customFormat="1" ht="72" x14ac:dyDescent="0.15">
      <c r="A389" s="9">
        <v>3211</v>
      </c>
      <c r="B389" s="50">
        <v>1182</v>
      </c>
      <c r="C389" s="50" t="s">
        <v>1902</v>
      </c>
      <c r="D389" s="50">
        <v>1</v>
      </c>
      <c r="E389" s="50">
        <v>0</v>
      </c>
      <c r="F389" s="50">
        <v>2</v>
      </c>
      <c r="G389" s="120">
        <v>200</v>
      </c>
      <c r="H389" s="50">
        <v>200</v>
      </c>
      <c r="I389" s="17">
        <v>0</v>
      </c>
      <c r="J389" s="120">
        <v>3201</v>
      </c>
      <c r="K389" s="50">
        <v>0</v>
      </c>
      <c r="L389" s="50">
        <v>60026</v>
      </c>
      <c r="M389" s="50" t="s">
        <v>342</v>
      </c>
      <c r="N389" s="50">
        <v>60015</v>
      </c>
      <c r="O389" s="50" t="s">
        <v>5143</v>
      </c>
      <c r="Q389" s="121"/>
      <c r="R389" s="121"/>
      <c r="S389" s="121"/>
      <c r="T389" s="121"/>
      <c r="U389" s="50">
        <v>1</v>
      </c>
      <c r="V389" s="50">
        <v>1</v>
      </c>
      <c r="W389" s="122">
        <v>5</v>
      </c>
      <c r="Z389" s="123">
        <v>300</v>
      </c>
      <c r="AB389" s="124"/>
      <c r="AC389" s="125"/>
      <c r="AD389" s="122"/>
      <c r="AF389" s="126" t="s">
        <v>698</v>
      </c>
      <c r="AG389" s="126" t="s">
        <v>699</v>
      </c>
      <c r="AH389" s="126" t="s">
        <v>4244</v>
      </c>
      <c r="AI389" s="126"/>
      <c r="AJ389" s="126"/>
      <c r="AK389" s="50" t="s">
        <v>345</v>
      </c>
      <c r="AL389" s="120">
        <v>0</v>
      </c>
      <c r="AM389" s="127" t="s">
        <v>3009</v>
      </c>
      <c r="AN389" s="127" t="s">
        <v>5499</v>
      </c>
      <c r="AP389" s="50">
        <v>1</v>
      </c>
      <c r="AQ389" s="50">
        <v>0</v>
      </c>
      <c r="AR389" s="50">
        <v>1</v>
      </c>
      <c r="AS389" s="50">
        <v>1</v>
      </c>
      <c r="AU389" s="50">
        <v>0</v>
      </c>
      <c r="AV389" s="17">
        <f t="shared" si="85"/>
        <v>1</v>
      </c>
      <c r="AW389" s="50" t="str">
        <f t="shared" si="89"/>
        <v>{s_taskTalk,{60026,60015}}</v>
      </c>
    </row>
    <row r="390" spans="1:60" s="50" customFormat="1" ht="72" x14ac:dyDescent="0.15">
      <c r="A390" s="9">
        <v>3212</v>
      </c>
      <c r="B390" s="50">
        <v>1182</v>
      </c>
      <c r="C390" s="50" t="s">
        <v>1902</v>
      </c>
      <c r="D390" s="50">
        <v>1</v>
      </c>
      <c r="E390" s="50">
        <v>0</v>
      </c>
      <c r="F390" s="50">
        <v>2</v>
      </c>
      <c r="G390" s="120">
        <v>200</v>
      </c>
      <c r="H390" s="50">
        <v>200</v>
      </c>
      <c r="I390" s="17">
        <v>0</v>
      </c>
      <c r="J390" s="120">
        <v>0</v>
      </c>
      <c r="K390" s="50">
        <v>0</v>
      </c>
      <c r="L390" s="50">
        <v>60026</v>
      </c>
      <c r="M390" s="50" t="s">
        <v>342</v>
      </c>
      <c r="N390" s="50">
        <v>60015</v>
      </c>
      <c r="O390" s="50" t="s">
        <v>5143</v>
      </c>
      <c r="Q390" s="121"/>
      <c r="R390" s="121"/>
      <c r="S390" s="121"/>
      <c r="T390" s="121"/>
      <c r="U390" s="50">
        <v>1</v>
      </c>
      <c r="V390" s="50">
        <v>1</v>
      </c>
      <c r="W390" s="122">
        <v>5</v>
      </c>
      <c r="Z390" s="123">
        <v>300</v>
      </c>
      <c r="AB390" s="124"/>
      <c r="AC390" s="125"/>
      <c r="AD390" s="148"/>
      <c r="AF390" s="126" t="s">
        <v>698</v>
      </c>
      <c r="AG390" s="126" t="s">
        <v>699</v>
      </c>
      <c r="AH390" s="126" t="s">
        <v>4244</v>
      </c>
      <c r="AI390" s="126"/>
      <c r="AJ390" s="126"/>
      <c r="AK390" s="50" t="s">
        <v>345</v>
      </c>
      <c r="AL390" s="120">
        <v>0</v>
      </c>
      <c r="AM390" s="127" t="s">
        <v>3977</v>
      </c>
      <c r="AN390" s="127" t="s">
        <v>5500</v>
      </c>
      <c r="AP390" s="50">
        <v>0</v>
      </c>
      <c r="AQ390" s="50">
        <v>0</v>
      </c>
      <c r="AR390" s="50">
        <v>1</v>
      </c>
      <c r="AS390" s="50">
        <v>1</v>
      </c>
      <c r="AU390" s="50">
        <v>0</v>
      </c>
      <c r="AV390" s="17">
        <f t="shared" si="85"/>
        <v>1</v>
      </c>
      <c r="AW390" s="50" t="str">
        <f t="shared" si="89"/>
        <v>{s_taskTalk,{60026,60015}}</v>
      </c>
    </row>
    <row r="391" spans="1:60" s="50" customFormat="1" ht="72" x14ac:dyDescent="0.15">
      <c r="A391" s="9">
        <v>3213</v>
      </c>
      <c r="B391" s="50">
        <v>1182</v>
      </c>
      <c r="C391" s="50" t="s">
        <v>1902</v>
      </c>
      <c r="D391" s="50">
        <v>1</v>
      </c>
      <c r="E391" s="50">
        <v>0</v>
      </c>
      <c r="F391" s="50">
        <v>2</v>
      </c>
      <c r="G391" s="120">
        <v>200</v>
      </c>
      <c r="H391" s="50">
        <v>200</v>
      </c>
      <c r="I391" s="17">
        <v>0</v>
      </c>
      <c r="J391" s="120">
        <v>0</v>
      </c>
      <c r="K391" s="50">
        <v>0</v>
      </c>
      <c r="L391" s="50">
        <v>60026</v>
      </c>
      <c r="M391" s="50" t="s">
        <v>342</v>
      </c>
      <c r="N391" s="50">
        <v>60015</v>
      </c>
      <c r="O391" s="50" t="s">
        <v>5143</v>
      </c>
      <c r="Q391" s="121"/>
      <c r="R391" s="121"/>
      <c r="S391" s="121"/>
      <c r="T391" s="121"/>
      <c r="U391" s="50">
        <v>1</v>
      </c>
      <c r="V391" s="50">
        <v>1</v>
      </c>
      <c r="W391" s="122">
        <v>5</v>
      </c>
      <c r="Z391" s="123">
        <v>300</v>
      </c>
      <c r="AB391" s="124"/>
      <c r="AC391" s="125"/>
      <c r="AD391" s="148"/>
      <c r="AF391" s="126" t="s">
        <v>698</v>
      </c>
      <c r="AG391" s="126" t="s">
        <v>699</v>
      </c>
      <c r="AH391" s="126" t="s">
        <v>4244</v>
      </c>
      <c r="AI391" s="126"/>
      <c r="AJ391" s="126"/>
      <c r="AK391" s="50" t="s">
        <v>345</v>
      </c>
      <c r="AL391" s="120">
        <v>0</v>
      </c>
      <c r="AM391" s="127" t="s">
        <v>3978</v>
      </c>
      <c r="AN391" s="127" t="s">
        <v>5501</v>
      </c>
      <c r="AP391" s="50">
        <v>0</v>
      </c>
      <c r="AQ391" s="50">
        <v>0</v>
      </c>
      <c r="AR391" s="50">
        <v>1</v>
      </c>
      <c r="AS391" s="50">
        <v>1</v>
      </c>
      <c r="AU391" s="50">
        <v>0</v>
      </c>
      <c r="AV391" s="17">
        <f t="shared" si="85"/>
        <v>1</v>
      </c>
      <c r="AW391" s="50" t="str">
        <f t="shared" si="89"/>
        <v>{s_taskTalk,{60026,60015}}</v>
      </c>
    </row>
    <row r="392" spans="1:60" s="50" customFormat="1" ht="120" x14ac:dyDescent="0.15">
      <c r="A392" s="9">
        <v>3221</v>
      </c>
      <c r="B392" s="50">
        <v>1183</v>
      </c>
      <c r="C392" s="50" t="s">
        <v>3769</v>
      </c>
      <c r="D392" s="50">
        <v>1</v>
      </c>
      <c r="E392" s="50">
        <v>0</v>
      </c>
      <c r="F392" s="50">
        <v>2</v>
      </c>
      <c r="G392" s="120">
        <v>200</v>
      </c>
      <c r="H392" s="50">
        <v>200</v>
      </c>
      <c r="I392" s="17">
        <v>0</v>
      </c>
      <c r="J392" s="120">
        <v>3211</v>
      </c>
      <c r="K392" s="50">
        <v>0</v>
      </c>
      <c r="L392" s="50">
        <v>60015</v>
      </c>
      <c r="M392" s="50" t="s">
        <v>341</v>
      </c>
      <c r="N392" s="50">
        <v>60006</v>
      </c>
      <c r="O392" s="50" t="s">
        <v>5131</v>
      </c>
      <c r="Q392" s="121"/>
      <c r="R392" s="121"/>
      <c r="S392" s="121"/>
      <c r="T392" s="121"/>
      <c r="U392" s="50">
        <v>1</v>
      </c>
      <c r="V392" s="50">
        <v>1</v>
      </c>
      <c r="W392" s="122">
        <v>5</v>
      </c>
      <c r="Z392" s="123">
        <v>350</v>
      </c>
      <c r="AB392" s="124"/>
      <c r="AC392" s="125"/>
      <c r="AF392" s="126" t="s">
        <v>4245</v>
      </c>
      <c r="AG392" s="126" t="s">
        <v>4876</v>
      </c>
      <c r="AH392" s="126" t="s">
        <v>4637</v>
      </c>
      <c r="AI392" s="62"/>
      <c r="AJ392" s="62"/>
      <c r="AL392" s="120">
        <v>0</v>
      </c>
      <c r="AM392" s="127" t="str">
        <f>"&lt;p&gt;
&lt;n&gt;  &lt;/n&gt;&lt;dialog taskid="""&amp;A392&amp;""" text=""快速传送"" hotkeyid=""52""/&gt;&lt;n&gt;“返回桃源圣地”&lt;/n&gt;
&lt;newline/&gt;
&lt;n&gt;  回复：&lt;/n&gt;
 &lt;n&gt; &lt;/n&gt;&lt;goto quick=""1"" id=""60006"" mapid=""1"" flagpoint=""1"" taskid="""&amp;A392&amp;"""/&gt;
&lt;/p&gt;"</f>
        <v>&lt;p&gt;
&lt;n&gt;  &lt;/n&gt;&lt;dialog taskid="3221" text="快速传送" hotkeyid="52"/&gt;&lt;n&gt;“返回桃源圣地”&lt;/n&gt;
&lt;newline/&gt;
&lt;n&gt;  回复：&lt;/n&gt;
 &lt;n&gt; &lt;/n&gt;&lt;goto quick="1" id="60006" mapid="1" flagpoint="1" taskid="3221"/&gt;
&lt;/p&gt;</v>
      </c>
      <c r="AN392" s="127" t="str">
        <f>"&lt;p&gt;
&lt;n&gt;  &lt;/n&gt;&lt;dialog taskid="""&amp;A392&amp;""" text=""快速传送"" hotkeyid=""52""/&gt;&lt;n&gt;“返回桃源圣地”&lt;/n&gt;
&lt;newline/&gt;
&lt;n&gt;  交：&lt;/n&gt;
 &lt;n&gt; &lt;/n&gt;&lt;goto quick=""1"" id=""60006"" mapid=""1"" flagpoint=""1"" taskid="""&amp;A392&amp;"""/&gt;
&lt;/p&gt;"</f>
        <v>&lt;p&gt;
&lt;n&gt;  &lt;/n&gt;&lt;dialog taskid="3221" text="快速传送" hotkeyid="52"/&gt;&lt;n&gt;“返回桃源圣地”&lt;/n&gt;
&lt;newline/&gt;
&lt;n&gt;  交：&lt;/n&gt;
 &lt;n&gt; &lt;/n&gt;&lt;goto quick="1" id="60006" mapid="1" flagpoint="1" taskid="3221"/&gt;
&lt;/p&gt;</v>
      </c>
      <c r="AP392" s="50">
        <v>1</v>
      </c>
      <c r="AQ392" s="50">
        <v>0</v>
      </c>
      <c r="AR392" s="50">
        <v>1</v>
      </c>
      <c r="AS392" s="50">
        <v>0</v>
      </c>
      <c r="AU392" s="50">
        <v>0</v>
      </c>
      <c r="AV392" s="17">
        <f t="shared" si="85"/>
        <v>1</v>
      </c>
      <c r="AW392" s="50" t="str">
        <f t="shared" si="89"/>
        <v>{s_taskTalk,{60015,60006}}</v>
      </c>
    </row>
    <row r="393" spans="1:60" s="50" customFormat="1" ht="96" x14ac:dyDescent="0.15">
      <c r="A393" s="9">
        <v>3231</v>
      </c>
      <c r="B393" s="50">
        <v>1184</v>
      </c>
      <c r="C393" s="50" t="s">
        <v>4918</v>
      </c>
      <c r="D393" s="50">
        <v>1</v>
      </c>
      <c r="E393" s="50">
        <v>0</v>
      </c>
      <c r="F393" s="50">
        <v>1</v>
      </c>
      <c r="G393" s="120">
        <v>200</v>
      </c>
      <c r="H393" s="50">
        <v>200</v>
      </c>
      <c r="I393" s="17">
        <v>0</v>
      </c>
      <c r="J393" s="120">
        <v>3221</v>
      </c>
      <c r="K393" s="50">
        <v>0</v>
      </c>
      <c r="L393" s="50">
        <v>60006</v>
      </c>
      <c r="M393" s="50" t="s">
        <v>329</v>
      </c>
      <c r="N393" s="50">
        <v>60006</v>
      </c>
      <c r="O393" s="50" t="s">
        <v>5131</v>
      </c>
      <c r="Q393" s="121"/>
      <c r="R393" s="121"/>
      <c r="S393" s="121"/>
      <c r="T393" s="121"/>
      <c r="U393" s="50">
        <v>1</v>
      </c>
      <c r="V393" s="50">
        <v>1</v>
      </c>
      <c r="W393" s="122">
        <v>5</v>
      </c>
      <c r="Z393" s="123">
        <v>500</v>
      </c>
      <c r="AB393" s="124"/>
      <c r="AC393" s="125">
        <v>100</v>
      </c>
      <c r="AD393" s="122" t="s">
        <v>3998</v>
      </c>
      <c r="AF393" s="126" t="s">
        <v>4495</v>
      </c>
      <c r="AG393" s="126" t="s">
        <v>3902</v>
      </c>
      <c r="AH393" s="126" t="s">
        <v>4638</v>
      </c>
      <c r="AI393" s="126" t="s">
        <v>700</v>
      </c>
      <c r="AL393" s="120">
        <v>0</v>
      </c>
      <c r="AM393" s="127" t="s">
        <v>3848</v>
      </c>
      <c r="AN393" s="127" t="s">
        <v>5502</v>
      </c>
      <c r="AP393" s="50">
        <v>1</v>
      </c>
      <c r="AQ393" s="50">
        <v>0</v>
      </c>
      <c r="AR393" s="50">
        <v>1</v>
      </c>
      <c r="AS393" s="50">
        <v>0</v>
      </c>
      <c r="AU393" s="50">
        <v>0</v>
      </c>
      <c r="AV393" s="17">
        <f t="shared" si="85"/>
        <v>1</v>
      </c>
      <c r="AW393" s="50" t="str">
        <f t="shared" si="89"/>
        <v>{s_taskTalk,{60006,60006}}</v>
      </c>
    </row>
    <row r="394" spans="1:60" s="99" customFormat="1" ht="96" x14ac:dyDescent="0.15">
      <c r="A394" s="149">
        <v>3232</v>
      </c>
      <c r="B394" s="99">
        <v>1184</v>
      </c>
      <c r="C394" s="99" t="s">
        <v>4639</v>
      </c>
      <c r="D394" s="99">
        <v>1</v>
      </c>
      <c r="E394" s="99">
        <v>0</v>
      </c>
      <c r="F394" s="99">
        <v>1</v>
      </c>
      <c r="G394" s="120">
        <v>200</v>
      </c>
      <c r="H394" s="99">
        <v>200</v>
      </c>
      <c r="I394" s="17">
        <v>0</v>
      </c>
      <c r="J394" s="150">
        <v>3231</v>
      </c>
      <c r="K394" s="99">
        <v>0</v>
      </c>
      <c r="L394" s="99">
        <v>60006</v>
      </c>
      <c r="M394" s="99" t="s">
        <v>176</v>
      </c>
      <c r="N394" s="99">
        <v>60006</v>
      </c>
      <c r="O394" s="99" t="s">
        <v>5131</v>
      </c>
      <c r="Q394" s="151"/>
      <c r="R394" s="151"/>
      <c r="S394" s="151"/>
      <c r="T394" s="151"/>
      <c r="U394" s="99">
        <v>2</v>
      </c>
      <c r="V394" s="99">
        <v>0</v>
      </c>
      <c r="W394" s="152">
        <v>5</v>
      </c>
      <c r="Z394" s="153">
        <v>150</v>
      </c>
      <c r="AB394" s="154"/>
      <c r="AC394" s="155"/>
      <c r="AD394" s="152"/>
      <c r="AF394" s="156" t="s">
        <v>4640</v>
      </c>
      <c r="AG394" s="156" t="s">
        <v>4641</v>
      </c>
      <c r="AH394" s="156" t="s">
        <v>1285</v>
      </c>
      <c r="AI394" s="156" t="s">
        <v>4642</v>
      </c>
      <c r="AL394" s="150">
        <v>0</v>
      </c>
      <c r="AM394" s="157" t="s">
        <v>3910</v>
      </c>
      <c r="AN394" s="157" t="s">
        <v>5503</v>
      </c>
      <c r="AP394" s="99">
        <v>1</v>
      </c>
      <c r="AQ394" s="99">
        <v>0</v>
      </c>
      <c r="AR394" s="99">
        <v>1</v>
      </c>
      <c r="AS394" s="99">
        <v>0</v>
      </c>
      <c r="AU394" s="99">
        <v>0</v>
      </c>
      <c r="AV394" s="17">
        <f t="shared" si="85"/>
        <v>1</v>
      </c>
      <c r="AW394" s="99" t="str">
        <f t="shared" si="89"/>
        <v>{s_taskTalk,{60006,60006}}</v>
      </c>
    </row>
    <row r="395" spans="1:60" s="63" customFormat="1" ht="72" x14ac:dyDescent="0.15">
      <c r="A395" s="76">
        <v>3233</v>
      </c>
      <c r="C395" s="63" t="s">
        <v>3913</v>
      </c>
      <c r="D395" s="63">
        <v>1</v>
      </c>
      <c r="E395" s="63">
        <v>0</v>
      </c>
      <c r="F395" s="63">
        <v>1</v>
      </c>
      <c r="G395" s="120">
        <v>200</v>
      </c>
      <c r="H395" s="63">
        <v>200</v>
      </c>
      <c r="I395" s="17">
        <v>0</v>
      </c>
      <c r="J395" s="77">
        <v>3231</v>
      </c>
      <c r="K395" s="63">
        <v>0</v>
      </c>
      <c r="L395" s="63">
        <v>60006</v>
      </c>
      <c r="M395" s="63" t="s">
        <v>176</v>
      </c>
      <c r="N395" s="63">
        <v>60006</v>
      </c>
      <c r="O395" s="63" t="s">
        <v>5131</v>
      </c>
      <c r="Q395" s="158"/>
      <c r="R395" s="158"/>
      <c r="S395" s="158"/>
      <c r="T395" s="158"/>
      <c r="U395" s="159">
        <v>1</v>
      </c>
      <c r="V395" s="159">
        <v>0</v>
      </c>
      <c r="W395" s="160">
        <v>5</v>
      </c>
      <c r="X395" s="159"/>
      <c r="Y395" s="159"/>
      <c r="Z395" s="161">
        <v>200</v>
      </c>
      <c r="AA395" s="159"/>
      <c r="AB395" s="162"/>
      <c r="AC395" s="163"/>
      <c r="AD395" s="164"/>
      <c r="AE395" s="159" t="s">
        <v>6595</v>
      </c>
      <c r="AF395" s="165" t="s">
        <v>4881</v>
      </c>
      <c r="AG395" s="165" t="s">
        <v>3873</v>
      </c>
      <c r="AH395" s="165" t="s">
        <v>3847</v>
      </c>
      <c r="AI395" s="165" t="s">
        <v>3874</v>
      </c>
      <c r="AJ395" s="165"/>
      <c r="AK395" s="166"/>
      <c r="AL395" s="77">
        <v>0</v>
      </c>
      <c r="AM395" s="166" t="s">
        <v>3892</v>
      </c>
      <c r="AN395" s="166" t="s">
        <v>5504</v>
      </c>
      <c r="AO395" s="166"/>
      <c r="AP395" s="63">
        <v>1</v>
      </c>
      <c r="AQ395" s="63">
        <v>0</v>
      </c>
      <c r="AR395" s="63">
        <v>1</v>
      </c>
      <c r="AS395" s="63">
        <v>0</v>
      </c>
      <c r="AT395" s="166"/>
      <c r="AU395" s="63">
        <v>0</v>
      </c>
      <c r="AV395" s="17">
        <f t="shared" si="85"/>
        <v>1</v>
      </c>
      <c r="AW395" s="63" t="str">
        <f>"{s_taskTalk,{"&amp;L395&amp;","&amp;N395&amp;"}}"</f>
        <v>{s_taskTalk,{60006,60006}}</v>
      </c>
      <c r="AX395" s="159"/>
      <c r="AY395" s="159"/>
      <c r="AZ395" s="159"/>
      <c r="BA395" s="159"/>
      <c r="BB395" s="159"/>
      <c r="BC395" s="159"/>
      <c r="BD395" s="159"/>
      <c r="BE395" s="159"/>
      <c r="BF395" s="159"/>
      <c r="BG395" s="159"/>
      <c r="BH395" s="159"/>
    </row>
    <row r="396" spans="1:60" s="50" customFormat="1" ht="120.75" thickBot="1" x14ac:dyDescent="0.2">
      <c r="A396" s="9">
        <v>3241</v>
      </c>
      <c r="B396" s="50">
        <v>1185</v>
      </c>
      <c r="C396" s="50" t="s">
        <v>3768</v>
      </c>
      <c r="D396" s="50">
        <v>1</v>
      </c>
      <c r="E396" s="50">
        <v>0</v>
      </c>
      <c r="F396" s="50">
        <v>1</v>
      </c>
      <c r="G396" s="120">
        <v>200</v>
      </c>
      <c r="H396" s="50">
        <v>200</v>
      </c>
      <c r="I396" s="17">
        <v>0</v>
      </c>
      <c r="J396" s="120">
        <v>3233</v>
      </c>
      <c r="K396" s="50">
        <v>0</v>
      </c>
      <c r="L396" s="50">
        <v>60006</v>
      </c>
      <c r="M396" s="50" t="s">
        <v>346</v>
      </c>
      <c r="N396" s="50">
        <v>60015</v>
      </c>
      <c r="O396" s="50" t="s">
        <v>5143</v>
      </c>
      <c r="Q396" s="121"/>
      <c r="R396" s="121"/>
      <c r="S396" s="121"/>
      <c r="T396" s="121"/>
      <c r="U396" s="50">
        <v>1</v>
      </c>
      <c r="V396" s="50">
        <v>0</v>
      </c>
      <c r="W396" s="122">
        <v>5</v>
      </c>
      <c r="Z396" s="123">
        <v>200</v>
      </c>
      <c r="AB396" s="124"/>
      <c r="AC396" s="125"/>
      <c r="AF396" s="126" t="s">
        <v>4246</v>
      </c>
      <c r="AG396" s="126" t="s">
        <v>3803</v>
      </c>
      <c r="AH396" s="126" t="s">
        <v>4496</v>
      </c>
      <c r="AI396" s="126" t="s">
        <v>239</v>
      </c>
      <c r="AL396" s="120">
        <v>0</v>
      </c>
      <c r="AM396" s="127" t="s">
        <v>5290</v>
      </c>
      <c r="AN396" s="127" t="s">
        <v>5505</v>
      </c>
      <c r="AP396" s="50">
        <v>1</v>
      </c>
      <c r="AQ396" s="50">
        <v>0</v>
      </c>
      <c r="AR396" s="50">
        <v>1</v>
      </c>
      <c r="AS396" s="50">
        <v>1</v>
      </c>
      <c r="AU396" s="50">
        <v>0</v>
      </c>
      <c r="AV396" s="17">
        <f t="shared" si="85"/>
        <v>1</v>
      </c>
      <c r="AW396" s="50" t="str">
        <f t="shared" si="89"/>
        <v>{s_taskTalk,{60006,60015}}</v>
      </c>
    </row>
    <row r="397" spans="1:60" s="181" customFormat="1" ht="108.75" thickBot="1" x14ac:dyDescent="0.2">
      <c r="A397" s="167">
        <v>3251</v>
      </c>
      <c r="B397" s="168"/>
      <c r="C397" s="168" t="s">
        <v>1903</v>
      </c>
      <c r="D397" s="169">
        <v>1</v>
      </c>
      <c r="E397" s="169">
        <v>0</v>
      </c>
      <c r="F397" s="169">
        <v>2</v>
      </c>
      <c r="G397" s="120">
        <v>200</v>
      </c>
      <c r="H397" s="168">
        <v>200</v>
      </c>
      <c r="I397" s="17">
        <v>0</v>
      </c>
      <c r="J397" s="170">
        <v>3241</v>
      </c>
      <c r="K397" s="168">
        <v>0</v>
      </c>
      <c r="L397" s="168">
        <v>60015</v>
      </c>
      <c r="M397" s="168" t="s">
        <v>630</v>
      </c>
      <c r="N397" s="168">
        <v>60016</v>
      </c>
      <c r="O397" s="168" t="s">
        <v>5145</v>
      </c>
      <c r="P397" s="168"/>
      <c r="Q397" s="171"/>
      <c r="R397" s="171"/>
      <c r="S397" s="171"/>
      <c r="T397" s="171"/>
      <c r="U397" s="168">
        <v>1</v>
      </c>
      <c r="V397" s="168">
        <v>1</v>
      </c>
      <c r="W397" s="122">
        <v>5</v>
      </c>
      <c r="X397" s="168"/>
      <c r="Y397" s="168"/>
      <c r="Z397" s="172">
        <v>350</v>
      </c>
      <c r="AA397" s="168"/>
      <c r="AB397" s="173"/>
      <c r="AC397" s="174">
        <v>100</v>
      </c>
      <c r="AD397" s="175"/>
      <c r="AE397" s="168"/>
      <c r="AF397" s="176" t="s">
        <v>1431</v>
      </c>
      <c r="AG397" s="176" t="s">
        <v>3804</v>
      </c>
      <c r="AH397" s="177" t="s">
        <v>701</v>
      </c>
      <c r="AI397" s="178"/>
      <c r="AJ397" s="50"/>
      <c r="AK397" s="50"/>
      <c r="AL397" s="179">
        <v>0</v>
      </c>
      <c r="AM397" s="180" t="s">
        <v>3010</v>
      </c>
      <c r="AN397" s="180" t="s">
        <v>5506</v>
      </c>
      <c r="AP397" s="181">
        <v>1</v>
      </c>
      <c r="AQ397" s="181">
        <v>0</v>
      </c>
      <c r="AR397" s="50">
        <v>1</v>
      </c>
      <c r="AS397" s="50">
        <v>1</v>
      </c>
      <c r="AU397" s="50">
        <v>0</v>
      </c>
      <c r="AV397" s="17">
        <f t="shared" si="85"/>
        <v>1</v>
      </c>
      <c r="AW397" s="50" t="str">
        <f t="shared" si="89"/>
        <v>{s_taskTalk,{60015,60016}}</v>
      </c>
    </row>
    <row r="398" spans="1:60" s="52" customFormat="1" ht="84.75" thickBot="1" x14ac:dyDescent="0.2">
      <c r="A398" s="182">
        <v>3252</v>
      </c>
      <c r="C398" s="52" t="s">
        <v>1904</v>
      </c>
      <c r="D398" s="147">
        <v>1</v>
      </c>
      <c r="E398" s="147">
        <v>0</v>
      </c>
      <c r="F398" s="147">
        <v>2</v>
      </c>
      <c r="G398" s="120">
        <v>200</v>
      </c>
      <c r="H398" s="52">
        <v>200</v>
      </c>
      <c r="I398" s="17">
        <v>0</v>
      </c>
      <c r="J398" s="183">
        <v>3251</v>
      </c>
      <c r="K398" s="52">
        <v>0</v>
      </c>
      <c r="L398" s="52">
        <v>60016</v>
      </c>
      <c r="M398" s="52" t="s">
        <v>347</v>
      </c>
      <c r="N398" s="52">
        <v>60016</v>
      </c>
      <c r="O398" s="52" t="s">
        <v>5145</v>
      </c>
      <c r="Q398" s="184"/>
      <c r="R398" s="184"/>
      <c r="S398" s="184"/>
      <c r="T398" s="184"/>
      <c r="U398" s="52">
        <v>3</v>
      </c>
      <c r="V398" s="52">
        <v>0</v>
      </c>
      <c r="W398" s="141">
        <v>5</v>
      </c>
      <c r="Z398" s="142">
        <v>350</v>
      </c>
      <c r="AB398" s="185"/>
      <c r="AC398" s="186"/>
      <c r="AD398" s="187"/>
      <c r="AF398" s="188" t="s">
        <v>4034</v>
      </c>
      <c r="AG398" s="188" t="s">
        <v>3805</v>
      </c>
      <c r="AH398" s="188" t="s">
        <v>702</v>
      </c>
      <c r="AI398" s="189" t="s">
        <v>1738</v>
      </c>
      <c r="AJ398" s="189"/>
      <c r="AL398" s="53">
        <v>0</v>
      </c>
      <c r="AM398" s="180"/>
      <c r="AN398" s="180"/>
      <c r="AP398" s="52">
        <v>1</v>
      </c>
      <c r="AQ398" s="52">
        <v>0</v>
      </c>
      <c r="AR398" s="50">
        <v>1</v>
      </c>
      <c r="AS398" s="50">
        <v>0</v>
      </c>
      <c r="AU398" s="52">
        <v>0</v>
      </c>
      <c r="AV398" s="17">
        <f t="shared" si="85"/>
        <v>1</v>
      </c>
      <c r="AW398" s="73" t="str">
        <f t="shared" si="89"/>
        <v>{s_taskTalk,{60016,60016}}</v>
      </c>
    </row>
    <row r="399" spans="1:60" s="50" customFormat="1" ht="96" x14ac:dyDescent="0.15">
      <c r="A399" s="9">
        <v>3261</v>
      </c>
      <c r="B399" s="50">
        <v>1195</v>
      </c>
      <c r="C399" s="50" t="s">
        <v>3771</v>
      </c>
      <c r="D399" s="50">
        <v>1</v>
      </c>
      <c r="E399" s="50">
        <v>0</v>
      </c>
      <c r="F399" s="50">
        <v>2</v>
      </c>
      <c r="G399" s="120">
        <v>200</v>
      </c>
      <c r="H399" s="50">
        <v>200</v>
      </c>
      <c r="I399" s="17">
        <v>0</v>
      </c>
      <c r="J399" s="120">
        <v>3252</v>
      </c>
      <c r="K399" s="50">
        <v>0</v>
      </c>
      <c r="L399" s="50">
        <v>60016</v>
      </c>
      <c r="M399" s="50" t="s">
        <v>347</v>
      </c>
      <c r="N399" s="50">
        <v>60017</v>
      </c>
      <c r="O399" s="50" t="s">
        <v>5146</v>
      </c>
      <c r="Q399" s="121"/>
      <c r="R399" s="121"/>
      <c r="S399" s="121"/>
      <c r="T399" s="121"/>
      <c r="U399" s="50">
        <v>1</v>
      </c>
      <c r="V399" s="50">
        <v>1</v>
      </c>
      <c r="W399" s="122">
        <v>5</v>
      </c>
      <c r="Z399" s="123">
        <v>400</v>
      </c>
      <c r="AB399" s="124"/>
      <c r="AC399" s="125"/>
      <c r="AF399" s="126" t="s">
        <v>703</v>
      </c>
      <c r="AG399" s="126" t="s">
        <v>3806</v>
      </c>
      <c r="AH399" s="126" t="s">
        <v>704</v>
      </c>
      <c r="AI399" s="126"/>
      <c r="AL399" s="120"/>
      <c r="AM399" s="127" t="s">
        <v>3011</v>
      </c>
      <c r="AN399" s="127" t="s">
        <v>5507</v>
      </c>
      <c r="AP399" s="50">
        <v>1</v>
      </c>
      <c r="AQ399" s="50">
        <v>0</v>
      </c>
      <c r="AR399" s="50">
        <v>1</v>
      </c>
      <c r="AS399" s="50">
        <v>1</v>
      </c>
      <c r="AU399" s="50">
        <v>0</v>
      </c>
      <c r="AV399" s="17">
        <f t="shared" si="85"/>
        <v>1</v>
      </c>
      <c r="AW399" s="50" t="str">
        <f t="shared" si="89"/>
        <v>{s_taskTalk,{60016,60017}}</v>
      </c>
    </row>
    <row r="400" spans="1:60" s="50" customFormat="1" ht="96" x14ac:dyDescent="0.15">
      <c r="A400" s="9">
        <v>3271</v>
      </c>
      <c r="B400" s="50">
        <v>1198</v>
      </c>
      <c r="C400" s="50" t="s">
        <v>3773</v>
      </c>
      <c r="D400" s="50">
        <v>1</v>
      </c>
      <c r="E400" s="50">
        <v>0</v>
      </c>
      <c r="F400" s="50">
        <v>2</v>
      </c>
      <c r="G400" s="120">
        <v>200</v>
      </c>
      <c r="H400" s="50">
        <v>200</v>
      </c>
      <c r="I400" s="17">
        <v>0</v>
      </c>
      <c r="J400" s="120">
        <v>3261</v>
      </c>
      <c r="K400" s="50">
        <v>0</v>
      </c>
      <c r="L400" s="50">
        <v>60017</v>
      </c>
      <c r="M400" s="50" t="s">
        <v>348</v>
      </c>
      <c r="N400" s="50">
        <v>60017</v>
      </c>
      <c r="O400" s="50" t="s">
        <v>5146</v>
      </c>
      <c r="Q400" s="121"/>
      <c r="R400" s="121"/>
      <c r="S400" s="121"/>
      <c r="T400" s="121"/>
      <c r="U400" s="50">
        <v>6</v>
      </c>
      <c r="V400" s="50">
        <v>0</v>
      </c>
      <c r="W400" s="122">
        <v>5</v>
      </c>
      <c r="Z400" s="123">
        <v>750</v>
      </c>
      <c r="AB400" s="124"/>
      <c r="AC400" s="125"/>
      <c r="AD400" s="122" t="s">
        <v>7176</v>
      </c>
      <c r="AF400" s="126" t="s">
        <v>3912</v>
      </c>
      <c r="AG400" s="126" t="s">
        <v>3807</v>
      </c>
      <c r="AH400" s="126" t="s">
        <v>2421</v>
      </c>
      <c r="AI400" s="126" t="s">
        <v>2422</v>
      </c>
      <c r="AL400" s="120">
        <v>0</v>
      </c>
      <c r="AM400" s="127" t="s">
        <v>3012</v>
      </c>
      <c r="AN400" s="127" t="s">
        <v>5508</v>
      </c>
      <c r="AO400" s="50" t="s">
        <v>3763</v>
      </c>
      <c r="AP400" s="50">
        <v>1</v>
      </c>
      <c r="AQ400" s="50">
        <v>0</v>
      </c>
      <c r="AR400" s="50">
        <v>1</v>
      </c>
      <c r="AS400" s="50">
        <v>1</v>
      </c>
      <c r="AU400" s="50">
        <v>0</v>
      </c>
      <c r="AV400" s="17">
        <f t="shared" si="85"/>
        <v>1</v>
      </c>
      <c r="AW400" s="50" t="str">
        <f t="shared" si="89"/>
        <v>{s_taskTalk,{60017,60017}}</v>
      </c>
    </row>
    <row r="401" spans="1:49" s="50" customFormat="1" ht="72" x14ac:dyDescent="0.15">
      <c r="A401" s="9">
        <v>3281</v>
      </c>
      <c r="B401" s="50">
        <v>1203</v>
      </c>
      <c r="C401" s="50" t="s">
        <v>3770</v>
      </c>
      <c r="D401" s="50">
        <v>1</v>
      </c>
      <c r="E401" s="50">
        <v>0</v>
      </c>
      <c r="F401" s="50">
        <v>2</v>
      </c>
      <c r="G401" s="120">
        <v>200</v>
      </c>
      <c r="H401" s="50">
        <v>200</v>
      </c>
      <c r="I401" s="17">
        <v>0</v>
      </c>
      <c r="J401" s="120">
        <v>3271</v>
      </c>
      <c r="K401" s="50">
        <v>0</v>
      </c>
      <c r="L401" s="50">
        <v>60017</v>
      </c>
      <c r="M401" s="50" t="s">
        <v>349</v>
      </c>
      <c r="N401" s="50">
        <v>60017</v>
      </c>
      <c r="O401" s="50" t="s">
        <v>5146</v>
      </c>
      <c r="Q401" s="121"/>
      <c r="R401" s="121"/>
      <c r="S401" s="121"/>
      <c r="T401" s="121"/>
      <c r="U401" s="50">
        <v>1</v>
      </c>
      <c r="V401" s="50">
        <v>0</v>
      </c>
      <c r="W401" s="122">
        <v>5</v>
      </c>
      <c r="Z401" s="123">
        <v>400</v>
      </c>
      <c r="AB401" s="124"/>
      <c r="AC401" s="125"/>
      <c r="AF401" s="126" t="s">
        <v>705</v>
      </c>
      <c r="AG401" s="126" t="s">
        <v>706</v>
      </c>
      <c r="AH401" s="126" t="s">
        <v>707</v>
      </c>
      <c r="AI401" s="126" t="s">
        <v>708</v>
      </c>
      <c r="AL401" s="120">
        <v>0</v>
      </c>
      <c r="AM401" s="127" t="s">
        <v>3013</v>
      </c>
      <c r="AN401" s="127" t="s">
        <v>5509</v>
      </c>
      <c r="AP401" s="50">
        <v>1</v>
      </c>
      <c r="AQ401" s="50">
        <v>0</v>
      </c>
      <c r="AR401" s="50">
        <v>1</v>
      </c>
      <c r="AS401" s="50">
        <v>0</v>
      </c>
      <c r="AU401" s="50">
        <v>0</v>
      </c>
      <c r="AV401" s="17">
        <f t="shared" si="85"/>
        <v>1</v>
      </c>
      <c r="AW401" s="50" t="str">
        <f t="shared" si="89"/>
        <v>{s_taskTalk,{60017,60017}}</v>
      </c>
    </row>
    <row r="402" spans="1:49" s="50" customFormat="1" ht="96" x14ac:dyDescent="0.15">
      <c r="A402" s="9">
        <v>3291</v>
      </c>
      <c r="B402" s="50">
        <v>1199</v>
      </c>
      <c r="C402" s="50" t="s">
        <v>1905</v>
      </c>
      <c r="D402" s="50">
        <v>1</v>
      </c>
      <c r="E402" s="50">
        <v>0</v>
      </c>
      <c r="F402" s="50">
        <v>2</v>
      </c>
      <c r="G402" s="120">
        <v>200</v>
      </c>
      <c r="H402" s="50">
        <v>200</v>
      </c>
      <c r="I402" s="17">
        <v>0</v>
      </c>
      <c r="J402" s="120">
        <v>3281</v>
      </c>
      <c r="K402" s="50">
        <v>0</v>
      </c>
      <c r="L402" s="50">
        <v>60017</v>
      </c>
      <c r="M402" s="50" t="s">
        <v>350</v>
      </c>
      <c r="N402" s="50">
        <v>60042</v>
      </c>
      <c r="O402" s="50" t="s">
        <v>5147</v>
      </c>
      <c r="Q402" s="121"/>
      <c r="R402" s="121"/>
      <c r="S402" s="121"/>
      <c r="T402" s="121"/>
      <c r="U402" s="50">
        <v>1</v>
      </c>
      <c r="V402" s="50">
        <v>1</v>
      </c>
      <c r="W402" s="122">
        <v>5</v>
      </c>
      <c r="Z402" s="123">
        <v>400</v>
      </c>
      <c r="AB402" s="124"/>
      <c r="AC402" s="125"/>
      <c r="AD402" s="122"/>
      <c r="AF402" s="126" t="s">
        <v>709</v>
      </c>
      <c r="AG402" s="126" t="s">
        <v>3808</v>
      </c>
      <c r="AH402" s="126" t="s">
        <v>3851</v>
      </c>
      <c r="AI402" s="126"/>
      <c r="AL402" s="120"/>
      <c r="AM402" s="127" t="s">
        <v>3014</v>
      </c>
      <c r="AN402" s="127" t="s">
        <v>5510</v>
      </c>
      <c r="AP402" s="50">
        <v>1</v>
      </c>
      <c r="AQ402" s="50">
        <v>0</v>
      </c>
      <c r="AR402" s="50">
        <v>1</v>
      </c>
      <c r="AS402" s="50">
        <v>1</v>
      </c>
      <c r="AU402" s="50">
        <v>0</v>
      </c>
      <c r="AV402" s="17">
        <f t="shared" si="85"/>
        <v>1</v>
      </c>
      <c r="AW402" s="50" t="str">
        <f t="shared" si="89"/>
        <v>{s_taskTalk,{60017,60042}}</v>
      </c>
    </row>
    <row r="403" spans="1:49" s="50" customFormat="1" ht="132" x14ac:dyDescent="0.15">
      <c r="A403" s="9">
        <v>3301</v>
      </c>
      <c r="B403" s="50">
        <v>1200</v>
      </c>
      <c r="C403" s="50" t="s">
        <v>1906</v>
      </c>
      <c r="D403" s="50">
        <v>1</v>
      </c>
      <c r="E403" s="50">
        <v>0</v>
      </c>
      <c r="F403" s="50">
        <v>2</v>
      </c>
      <c r="G403" s="120">
        <v>200</v>
      </c>
      <c r="H403" s="50">
        <v>200</v>
      </c>
      <c r="I403" s="17">
        <v>0</v>
      </c>
      <c r="J403" s="120">
        <v>3291</v>
      </c>
      <c r="K403" s="50">
        <v>0</v>
      </c>
      <c r="L403" s="50">
        <v>60042</v>
      </c>
      <c r="M403" s="50" t="s">
        <v>351</v>
      </c>
      <c r="N403" s="50">
        <v>60034</v>
      </c>
      <c r="O403" s="50" t="s">
        <v>5148</v>
      </c>
      <c r="Q403" s="121"/>
      <c r="R403" s="121"/>
      <c r="S403" s="121"/>
      <c r="T403" s="121"/>
      <c r="U403" s="50">
        <v>1</v>
      </c>
      <c r="V403" s="50">
        <v>1</v>
      </c>
      <c r="W403" s="122">
        <v>5</v>
      </c>
      <c r="Z403" s="123">
        <v>800</v>
      </c>
      <c r="AB403" s="124"/>
      <c r="AC403" s="125"/>
      <c r="AF403" s="126" t="s">
        <v>710</v>
      </c>
      <c r="AG403" s="126" t="s">
        <v>3809</v>
      </c>
      <c r="AH403" s="126" t="s">
        <v>711</v>
      </c>
      <c r="AI403" s="126"/>
      <c r="AL403" s="120">
        <v>0</v>
      </c>
      <c r="AM403" s="127" t="s">
        <v>3015</v>
      </c>
      <c r="AN403" s="127" t="s">
        <v>5511</v>
      </c>
      <c r="AP403" s="50">
        <v>1</v>
      </c>
      <c r="AQ403" s="50">
        <v>0</v>
      </c>
      <c r="AR403" s="50">
        <v>1</v>
      </c>
      <c r="AS403" s="50">
        <v>1</v>
      </c>
      <c r="AU403" s="50">
        <v>0</v>
      </c>
      <c r="AV403" s="17">
        <f t="shared" si="85"/>
        <v>1</v>
      </c>
      <c r="AW403" s="50" t="str">
        <f t="shared" si="89"/>
        <v>{s_taskTalk,{60042,60034}}</v>
      </c>
    </row>
    <row r="404" spans="1:49" s="50" customFormat="1" ht="96" x14ac:dyDescent="0.15">
      <c r="A404" s="9">
        <v>3311</v>
      </c>
      <c r="B404" s="50">
        <v>1201</v>
      </c>
      <c r="C404" s="50" t="s">
        <v>1907</v>
      </c>
      <c r="D404" s="50">
        <v>1</v>
      </c>
      <c r="E404" s="50">
        <v>0</v>
      </c>
      <c r="F404" s="50">
        <v>2</v>
      </c>
      <c r="G404" s="120">
        <v>200</v>
      </c>
      <c r="H404" s="50">
        <v>200</v>
      </c>
      <c r="I404" s="17">
        <v>0</v>
      </c>
      <c r="J404" s="120">
        <v>3301</v>
      </c>
      <c r="K404" s="50">
        <v>0</v>
      </c>
      <c r="L404" s="50">
        <v>60034</v>
      </c>
      <c r="M404" s="50" t="s">
        <v>632</v>
      </c>
      <c r="N404" s="50">
        <v>60034</v>
      </c>
      <c r="O404" s="50" t="s">
        <v>632</v>
      </c>
      <c r="Q404" s="121">
        <v>60143</v>
      </c>
      <c r="R404" s="121"/>
      <c r="S404" s="121">
        <v>60143</v>
      </c>
      <c r="T404" s="121"/>
      <c r="U404" s="50">
        <v>2</v>
      </c>
      <c r="V404" s="50">
        <v>0</v>
      </c>
      <c r="W404" s="122">
        <v>5</v>
      </c>
      <c r="Z404" s="123">
        <v>550</v>
      </c>
      <c r="AB404" s="124"/>
      <c r="AC404" s="125"/>
      <c r="AF404" s="126" t="s">
        <v>3952</v>
      </c>
      <c r="AG404" s="126" t="s">
        <v>3937</v>
      </c>
      <c r="AH404" s="126" t="s">
        <v>712</v>
      </c>
      <c r="AI404" s="126" t="s">
        <v>713</v>
      </c>
      <c r="AL404" s="120">
        <v>0</v>
      </c>
      <c r="AM404" s="127" t="s">
        <v>3938</v>
      </c>
      <c r="AN404" s="127" t="s">
        <v>5512</v>
      </c>
      <c r="AO404" s="50" t="s">
        <v>3939</v>
      </c>
      <c r="AP404" s="50">
        <v>1</v>
      </c>
      <c r="AQ404" s="50">
        <v>0</v>
      </c>
      <c r="AR404" s="50">
        <v>1</v>
      </c>
      <c r="AS404" s="50">
        <v>1</v>
      </c>
      <c r="AU404" s="50">
        <v>0</v>
      </c>
      <c r="AV404" s="17">
        <f t="shared" si="85"/>
        <v>1</v>
      </c>
      <c r="AW404" s="50" t="str">
        <f t="shared" si="89"/>
        <v>{s_taskTalk,{60034,60034}}</v>
      </c>
    </row>
    <row r="405" spans="1:49" s="191" customFormat="1" ht="108" x14ac:dyDescent="0.15">
      <c r="A405" s="190">
        <v>3321</v>
      </c>
      <c r="B405" s="191">
        <v>1202</v>
      </c>
      <c r="C405" s="191" t="s">
        <v>3774</v>
      </c>
      <c r="D405" s="191">
        <v>1</v>
      </c>
      <c r="E405" s="191">
        <v>0</v>
      </c>
      <c r="F405" s="191">
        <v>2</v>
      </c>
      <c r="G405" s="120">
        <v>200</v>
      </c>
      <c r="H405" s="191">
        <v>200</v>
      </c>
      <c r="I405" s="17">
        <v>0</v>
      </c>
      <c r="J405" s="192">
        <v>3311</v>
      </c>
      <c r="K405" s="191">
        <v>0</v>
      </c>
      <c r="L405" s="191">
        <v>60034</v>
      </c>
      <c r="M405" s="191" t="s">
        <v>632</v>
      </c>
      <c r="N405" s="191">
        <v>60034</v>
      </c>
      <c r="O405" s="191" t="s">
        <v>632</v>
      </c>
      <c r="Q405" s="193"/>
      <c r="R405" s="193"/>
      <c r="S405" s="193"/>
      <c r="T405" s="193"/>
      <c r="U405" s="191">
        <v>6</v>
      </c>
      <c r="V405" s="191">
        <v>0</v>
      </c>
      <c r="W405" s="148">
        <v>5</v>
      </c>
      <c r="Z405" s="194">
        <v>450</v>
      </c>
      <c r="AB405" s="195"/>
      <c r="AC405" s="196"/>
      <c r="AF405" s="197" t="s">
        <v>3735</v>
      </c>
      <c r="AG405" s="197" t="s">
        <v>3810</v>
      </c>
      <c r="AH405" s="197" t="s">
        <v>3811</v>
      </c>
      <c r="AI405" s="197" t="s">
        <v>714</v>
      </c>
      <c r="AL405" s="192">
        <v>0</v>
      </c>
      <c r="AM405" s="198" t="s">
        <v>3016</v>
      </c>
      <c r="AN405" s="198" t="s">
        <v>5513</v>
      </c>
      <c r="AO405" s="191" t="s">
        <v>3764</v>
      </c>
      <c r="AP405" s="191">
        <v>1</v>
      </c>
      <c r="AQ405" s="191">
        <v>0</v>
      </c>
      <c r="AR405" s="50">
        <v>1</v>
      </c>
      <c r="AS405" s="50">
        <v>1</v>
      </c>
      <c r="AU405" s="191">
        <v>0</v>
      </c>
      <c r="AV405" s="17">
        <f t="shared" si="85"/>
        <v>1</v>
      </c>
      <c r="AW405" s="191" t="str">
        <f t="shared" si="89"/>
        <v>{s_taskTalk,{60034,60034}}</v>
      </c>
    </row>
    <row r="406" spans="1:49" s="191" customFormat="1" ht="108" x14ac:dyDescent="0.15">
      <c r="A406" s="190">
        <v>3322</v>
      </c>
      <c r="B406" s="191">
        <v>1202</v>
      </c>
      <c r="C406" s="191" t="s">
        <v>1908</v>
      </c>
      <c r="D406" s="191">
        <v>1</v>
      </c>
      <c r="E406" s="191">
        <v>0</v>
      </c>
      <c r="F406" s="191">
        <v>2</v>
      </c>
      <c r="G406" s="120">
        <v>200</v>
      </c>
      <c r="H406" s="191">
        <v>200</v>
      </c>
      <c r="I406" s="17">
        <v>0</v>
      </c>
      <c r="J406" s="192">
        <v>0</v>
      </c>
      <c r="K406" s="191">
        <v>0</v>
      </c>
      <c r="L406" s="191">
        <v>60034</v>
      </c>
      <c r="M406" s="191" t="s">
        <v>632</v>
      </c>
      <c r="N406" s="191">
        <v>60034</v>
      </c>
      <c r="O406" s="191" t="s">
        <v>632</v>
      </c>
      <c r="Q406" s="193"/>
      <c r="R406" s="193"/>
      <c r="S406" s="193"/>
      <c r="T406" s="193"/>
      <c r="U406" s="191">
        <v>6</v>
      </c>
      <c r="V406" s="191">
        <v>0</v>
      </c>
      <c r="W406" s="148">
        <v>5</v>
      </c>
      <c r="Z406" s="194">
        <v>450</v>
      </c>
      <c r="AB406" s="195"/>
      <c r="AC406" s="196"/>
      <c r="AD406" s="148" t="s">
        <v>7177</v>
      </c>
      <c r="AF406" s="197" t="s">
        <v>3735</v>
      </c>
      <c r="AG406" s="197" t="s">
        <v>3810</v>
      </c>
      <c r="AH406" s="197" t="s">
        <v>3811</v>
      </c>
      <c r="AI406" s="197" t="s">
        <v>714</v>
      </c>
      <c r="AL406" s="192">
        <v>0</v>
      </c>
      <c r="AM406" s="198" t="s">
        <v>3016</v>
      </c>
      <c r="AN406" s="198" t="s">
        <v>5513</v>
      </c>
      <c r="AO406" s="191" t="s">
        <v>3911</v>
      </c>
      <c r="AP406" s="191">
        <v>0</v>
      </c>
      <c r="AQ406" s="191">
        <v>0</v>
      </c>
      <c r="AR406" s="50">
        <v>1</v>
      </c>
      <c r="AS406" s="50">
        <v>1</v>
      </c>
      <c r="AU406" s="191">
        <v>0</v>
      </c>
      <c r="AV406" s="17">
        <f t="shared" si="85"/>
        <v>1</v>
      </c>
      <c r="AW406" s="191" t="str">
        <f t="shared" si="89"/>
        <v>{s_taskTalk,{60034,60034}}</v>
      </c>
    </row>
    <row r="407" spans="1:49" s="191" customFormat="1" ht="108" x14ac:dyDescent="0.15">
      <c r="A407" s="190">
        <v>3323</v>
      </c>
      <c r="B407" s="191">
        <v>1202</v>
      </c>
      <c r="C407" s="191" t="s">
        <v>1908</v>
      </c>
      <c r="D407" s="191">
        <v>1</v>
      </c>
      <c r="E407" s="191">
        <v>0</v>
      </c>
      <c r="F407" s="191">
        <v>2</v>
      </c>
      <c r="G407" s="120">
        <v>200</v>
      </c>
      <c r="H407" s="191">
        <v>200</v>
      </c>
      <c r="I407" s="17">
        <v>0</v>
      </c>
      <c r="J407" s="192">
        <v>0</v>
      </c>
      <c r="K407" s="191">
        <v>0</v>
      </c>
      <c r="L407" s="191">
        <v>60034</v>
      </c>
      <c r="M407" s="191" t="s">
        <v>632</v>
      </c>
      <c r="N407" s="191">
        <v>60034</v>
      </c>
      <c r="O407" s="191" t="s">
        <v>632</v>
      </c>
      <c r="Q407" s="193"/>
      <c r="R407" s="193"/>
      <c r="S407" s="193"/>
      <c r="T407" s="193"/>
      <c r="U407" s="191">
        <v>6</v>
      </c>
      <c r="V407" s="191">
        <v>0</v>
      </c>
      <c r="W407" s="148">
        <v>5</v>
      </c>
      <c r="Z407" s="194">
        <v>450</v>
      </c>
      <c r="AB407" s="195"/>
      <c r="AC407" s="196"/>
      <c r="AD407" s="148" t="s">
        <v>7178</v>
      </c>
      <c r="AF407" s="197" t="s">
        <v>3735</v>
      </c>
      <c r="AG407" s="197" t="s">
        <v>3810</v>
      </c>
      <c r="AH407" s="197" t="s">
        <v>3811</v>
      </c>
      <c r="AI407" s="197" t="s">
        <v>714</v>
      </c>
      <c r="AL407" s="192">
        <v>0</v>
      </c>
      <c r="AM407" s="198" t="s">
        <v>3016</v>
      </c>
      <c r="AN407" s="198" t="s">
        <v>5513</v>
      </c>
      <c r="AO407" s="191" t="s">
        <v>3911</v>
      </c>
      <c r="AP407" s="191">
        <v>0</v>
      </c>
      <c r="AQ407" s="191">
        <v>0</v>
      </c>
      <c r="AR407" s="50">
        <v>1</v>
      </c>
      <c r="AS407" s="50">
        <v>1</v>
      </c>
      <c r="AU407" s="191">
        <v>0</v>
      </c>
      <c r="AV407" s="17">
        <f t="shared" si="85"/>
        <v>1</v>
      </c>
      <c r="AW407" s="191" t="str">
        <f t="shared" si="89"/>
        <v>{s_taskTalk,{60034,60034}}</v>
      </c>
    </row>
    <row r="408" spans="1:49" s="50" customFormat="1" ht="132" x14ac:dyDescent="0.15">
      <c r="A408" s="9">
        <v>3331</v>
      </c>
      <c r="B408" s="50">
        <v>1204</v>
      </c>
      <c r="C408" s="50" t="s">
        <v>1909</v>
      </c>
      <c r="D408" s="50">
        <v>1</v>
      </c>
      <c r="E408" s="50">
        <v>0</v>
      </c>
      <c r="F408" s="50">
        <v>2</v>
      </c>
      <c r="G408" s="120">
        <v>200</v>
      </c>
      <c r="H408" s="50">
        <v>200</v>
      </c>
      <c r="I408" s="17">
        <v>0</v>
      </c>
      <c r="J408" s="120">
        <v>3321</v>
      </c>
      <c r="K408" s="50">
        <v>0</v>
      </c>
      <c r="L408" s="50">
        <v>60034</v>
      </c>
      <c r="M408" s="50" t="s">
        <v>632</v>
      </c>
      <c r="N408" s="50">
        <v>60035</v>
      </c>
      <c r="O408" s="50" t="s">
        <v>184</v>
      </c>
      <c r="Q408" s="121"/>
      <c r="R408" s="121"/>
      <c r="S408" s="121"/>
      <c r="T408" s="121"/>
      <c r="U408" s="50">
        <v>1</v>
      </c>
      <c r="V408" s="50">
        <v>1</v>
      </c>
      <c r="W408" s="122">
        <v>5</v>
      </c>
      <c r="Z408" s="123">
        <v>450</v>
      </c>
      <c r="AB408" s="124"/>
      <c r="AC408" s="125"/>
      <c r="AD408" s="50" t="s">
        <v>5289</v>
      </c>
      <c r="AF408" s="126" t="s">
        <v>715</v>
      </c>
      <c r="AG408" s="126" t="s">
        <v>3812</v>
      </c>
      <c r="AH408" s="126" t="s">
        <v>716</v>
      </c>
      <c r="AI408" s="126"/>
      <c r="AL408" s="120">
        <v>0</v>
      </c>
      <c r="AM408" s="127" t="s">
        <v>3915</v>
      </c>
      <c r="AN408" s="127" t="s">
        <v>5514</v>
      </c>
      <c r="AP408" s="50">
        <v>1</v>
      </c>
      <c r="AQ408" s="50">
        <v>0</v>
      </c>
      <c r="AR408" s="50">
        <v>1</v>
      </c>
      <c r="AS408" s="50">
        <v>1</v>
      </c>
      <c r="AU408" s="50">
        <v>0</v>
      </c>
      <c r="AV408" s="17">
        <f t="shared" si="85"/>
        <v>1</v>
      </c>
      <c r="AW408" s="50" t="str">
        <f t="shared" si="89"/>
        <v>{s_taskTalk,{60034,60035}}</v>
      </c>
    </row>
    <row r="409" spans="1:49" s="52" customFormat="1" ht="216" x14ac:dyDescent="0.15">
      <c r="A409" s="199">
        <v>3341</v>
      </c>
      <c r="C409" s="52" t="s">
        <v>3916</v>
      </c>
      <c r="D409" s="147">
        <v>1</v>
      </c>
      <c r="E409" s="147">
        <v>0</v>
      </c>
      <c r="F409" s="52">
        <v>2</v>
      </c>
      <c r="G409" s="120">
        <v>200</v>
      </c>
      <c r="H409" s="52">
        <v>200</v>
      </c>
      <c r="I409" s="17">
        <v>0</v>
      </c>
      <c r="J409" s="53">
        <v>3331</v>
      </c>
      <c r="K409" s="52">
        <v>0</v>
      </c>
      <c r="L409" s="52">
        <v>60035</v>
      </c>
      <c r="M409" s="52" t="s">
        <v>184</v>
      </c>
      <c r="N409" s="52">
        <v>60035</v>
      </c>
      <c r="O409" s="52" t="s">
        <v>5149</v>
      </c>
      <c r="Q409" s="184"/>
      <c r="R409" s="184"/>
      <c r="S409" s="184"/>
      <c r="T409" s="184"/>
      <c r="U409" s="52">
        <v>1</v>
      </c>
      <c r="V409" s="52">
        <v>1</v>
      </c>
      <c r="W409" s="141">
        <v>5</v>
      </c>
      <c r="Z409" s="142">
        <v>500</v>
      </c>
      <c r="AB409" s="185"/>
      <c r="AC409" s="186"/>
      <c r="AF409" s="188" t="s">
        <v>3780</v>
      </c>
      <c r="AG409" s="188" t="s">
        <v>3813</v>
      </c>
      <c r="AH409" s="188" t="s">
        <v>3814</v>
      </c>
      <c r="AI409" s="188" t="s">
        <v>3852</v>
      </c>
      <c r="AJ409" s="188"/>
      <c r="AL409" s="53">
        <v>0</v>
      </c>
      <c r="AM409" s="54" t="s">
        <v>4033</v>
      </c>
      <c r="AN409" s="54" t="s">
        <v>4033</v>
      </c>
      <c r="AO409" s="147"/>
      <c r="AP409" s="52">
        <v>1</v>
      </c>
      <c r="AQ409" s="52">
        <v>0</v>
      </c>
      <c r="AR409" s="50">
        <v>1</v>
      </c>
      <c r="AS409" s="50">
        <v>1</v>
      </c>
      <c r="AU409" s="52">
        <v>0</v>
      </c>
      <c r="AV409" s="17">
        <f t="shared" si="85"/>
        <v>1</v>
      </c>
      <c r="AW409" s="73" t="str">
        <f t="shared" si="89"/>
        <v>{s_taskTalk,{60035,60035}}</v>
      </c>
    </row>
    <row r="410" spans="1:49" s="50" customFormat="1" ht="84" x14ac:dyDescent="0.15">
      <c r="A410" s="9">
        <v>3351</v>
      </c>
      <c r="B410" s="50">
        <v>1205</v>
      </c>
      <c r="C410" s="50" t="s">
        <v>3776</v>
      </c>
      <c r="D410" s="50">
        <v>1</v>
      </c>
      <c r="E410" s="50">
        <v>0</v>
      </c>
      <c r="F410" s="50">
        <v>2</v>
      </c>
      <c r="G410" s="120">
        <v>200</v>
      </c>
      <c r="H410" s="50">
        <v>200</v>
      </c>
      <c r="I410" s="17">
        <v>0</v>
      </c>
      <c r="J410" s="120">
        <v>3341</v>
      </c>
      <c r="K410" s="50">
        <v>0</v>
      </c>
      <c r="L410" s="50">
        <v>60035</v>
      </c>
      <c r="M410" s="50" t="s">
        <v>184</v>
      </c>
      <c r="N410" s="50">
        <v>60035</v>
      </c>
      <c r="O410" s="50" t="s">
        <v>5149</v>
      </c>
      <c r="Q410" s="121"/>
      <c r="R410" s="121"/>
      <c r="S410" s="121"/>
      <c r="T410" s="121"/>
      <c r="U410" s="25">
        <v>6</v>
      </c>
      <c r="V410" s="50">
        <v>0</v>
      </c>
      <c r="W410" s="122">
        <v>5</v>
      </c>
      <c r="Z410" s="123">
        <v>1000</v>
      </c>
      <c r="AB410" s="124"/>
      <c r="AC410" s="125"/>
      <c r="AD410" s="122" t="s">
        <v>7179</v>
      </c>
      <c r="AF410" s="126" t="s">
        <v>3964</v>
      </c>
      <c r="AG410" s="126" t="s">
        <v>3903</v>
      </c>
      <c r="AH410" s="126" t="s">
        <v>717</v>
      </c>
      <c r="AI410" s="126" t="s">
        <v>718</v>
      </c>
      <c r="AL410" s="120">
        <v>0</v>
      </c>
      <c r="AM410" s="127" t="s">
        <v>3777</v>
      </c>
      <c r="AN410" s="127" t="s">
        <v>5515</v>
      </c>
      <c r="AO410" s="50" t="s">
        <v>3765</v>
      </c>
      <c r="AP410" s="50">
        <v>1</v>
      </c>
      <c r="AQ410" s="50">
        <v>0</v>
      </c>
      <c r="AR410" s="50">
        <v>1</v>
      </c>
      <c r="AS410" s="50">
        <v>1</v>
      </c>
      <c r="AU410" s="50">
        <v>0</v>
      </c>
      <c r="AV410" s="17">
        <f t="shared" si="85"/>
        <v>1</v>
      </c>
      <c r="AW410" s="50" t="str">
        <f t="shared" si="89"/>
        <v>{s_taskTalk,{60035,60035}}</v>
      </c>
    </row>
    <row r="411" spans="1:49" s="50" customFormat="1" ht="84" x14ac:dyDescent="0.15">
      <c r="A411" s="200">
        <v>3361</v>
      </c>
      <c r="B411" s="50">
        <v>1206</v>
      </c>
      <c r="C411" s="50" t="s">
        <v>1910</v>
      </c>
      <c r="D411" s="50">
        <v>1</v>
      </c>
      <c r="E411" s="50">
        <v>0</v>
      </c>
      <c r="F411" s="50">
        <v>2</v>
      </c>
      <c r="G411" s="120">
        <v>200</v>
      </c>
      <c r="H411" s="50">
        <v>200</v>
      </c>
      <c r="I411" s="17">
        <v>0</v>
      </c>
      <c r="J411" s="201">
        <v>3351</v>
      </c>
      <c r="K411" s="50">
        <v>0</v>
      </c>
      <c r="L411" s="50">
        <v>60035</v>
      </c>
      <c r="M411" s="50" t="s">
        <v>184</v>
      </c>
      <c r="N411" s="50">
        <v>60034</v>
      </c>
      <c r="O411" s="50" t="s">
        <v>5148</v>
      </c>
      <c r="Q411" s="121"/>
      <c r="R411" s="121"/>
      <c r="S411" s="121"/>
      <c r="T411" s="121"/>
      <c r="U411" s="50">
        <v>1</v>
      </c>
      <c r="V411" s="50">
        <v>1</v>
      </c>
      <c r="W411" s="122">
        <v>5</v>
      </c>
      <c r="Z411" s="123">
        <v>800</v>
      </c>
      <c r="AB411" s="124"/>
      <c r="AC411" s="125"/>
      <c r="AF411" s="126" t="s">
        <v>719</v>
      </c>
      <c r="AG411" s="126" t="s">
        <v>720</v>
      </c>
      <c r="AH411" s="126" t="s">
        <v>721</v>
      </c>
      <c r="AI411" s="126"/>
      <c r="AL411" s="120">
        <v>0</v>
      </c>
      <c r="AM411" s="127" t="s">
        <v>3017</v>
      </c>
      <c r="AN411" s="127" t="s">
        <v>5516</v>
      </c>
      <c r="AP411" s="50">
        <v>1</v>
      </c>
      <c r="AQ411" s="50">
        <v>0</v>
      </c>
      <c r="AR411" s="50">
        <v>1</v>
      </c>
      <c r="AS411" s="50">
        <v>1</v>
      </c>
      <c r="AU411" s="50">
        <v>0</v>
      </c>
      <c r="AV411" s="17">
        <f t="shared" si="85"/>
        <v>1</v>
      </c>
      <c r="AW411" s="50" t="str">
        <f t="shared" si="89"/>
        <v>{s_taskTalk,{60035,60034}}</v>
      </c>
    </row>
    <row r="412" spans="1:49" s="29" customFormat="1" ht="84" x14ac:dyDescent="0.15">
      <c r="A412" s="28">
        <v>3371</v>
      </c>
      <c r="B412" s="29">
        <v>1207</v>
      </c>
      <c r="C412" s="29" t="s">
        <v>1911</v>
      </c>
      <c r="D412" s="29">
        <v>1</v>
      </c>
      <c r="E412" s="29">
        <v>0</v>
      </c>
      <c r="F412" s="29">
        <v>2</v>
      </c>
      <c r="G412" s="120">
        <v>200</v>
      </c>
      <c r="H412" s="29">
        <v>200</v>
      </c>
      <c r="I412" s="17">
        <v>0</v>
      </c>
      <c r="J412" s="30">
        <v>0</v>
      </c>
      <c r="K412" s="29">
        <v>0</v>
      </c>
      <c r="L412" s="29">
        <v>60034</v>
      </c>
      <c r="M412" s="29" t="s">
        <v>632</v>
      </c>
      <c r="N412" s="29">
        <v>60034</v>
      </c>
      <c r="O412" s="29" t="s">
        <v>632</v>
      </c>
      <c r="Q412" s="130"/>
      <c r="R412" s="130"/>
      <c r="S412" s="130"/>
      <c r="T412" s="130"/>
      <c r="U412" s="29">
        <v>1</v>
      </c>
      <c r="V412" s="29">
        <v>1</v>
      </c>
      <c r="W412" s="131">
        <v>5</v>
      </c>
      <c r="Z412" s="132">
        <v>700</v>
      </c>
      <c r="AB412" s="133"/>
      <c r="AC412" s="134"/>
      <c r="AF412" s="202" t="s">
        <v>722</v>
      </c>
      <c r="AG412" s="202" t="s">
        <v>723</v>
      </c>
      <c r="AH412" s="202" t="s">
        <v>724</v>
      </c>
      <c r="AI412" s="202" t="s">
        <v>725</v>
      </c>
      <c r="AJ412" s="202"/>
      <c r="AL412" s="30">
        <v>0</v>
      </c>
      <c r="AM412" s="129" t="s">
        <v>3018</v>
      </c>
      <c r="AN412" s="129" t="s">
        <v>5517</v>
      </c>
      <c r="AP412" s="29">
        <v>1</v>
      </c>
      <c r="AQ412" s="29">
        <v>0</v>
      </c>
      <c r="AR412" s="29">
        <v>1</v>
      </c>
      <c r="AS412" s="29">
        <v>1</v>
      </c>
      <c r="AU412" s="29">
        <v>0</v>
      </c>
      <c r="AV412" s="17">
        <f t="shared" si="85"/>
        <v>1</v>
      </c>
      <c r="AW412" s="29" t="str">
        <f t="shared" si="89"/>
        <v>{s_taskTalk,{60034,60034}}</v>
      </c>
    </row>
    <row r="413" spans="1:49" s="50" customFormat="1" ht="96" x14ac:dyDescent="0.15">
      <c r="A413" s="9">
        <v>3381</v>
      </c>
      <c r="B413" s="50">
        <v>1208</v>
      </c>
      <c r="C413" s="50" t="s">
        <v>1912</v>
      </c>
      <c r="D413" s="50">
        <v>1</v>
      </c>
      <c r="E413" s="50">
        <v>0</v>
      </c>
      <c r="F413" s="50">
        <v>2</v>
      </c>
      <c r="G413" s="120">
        <v>200</v>
      </c>
      <c r="H413" s="50">
        <v>200</v>
      </c>
      <c r="I413" s="17">
        <v>0</v>
      </c>
      <c r="J413" s="201">
        <v>3361</v>
      </c>
      <c r="K413" s="50">
        <v>0</v>
      </c>
      <c r="L413" s="50">
        <v>60034</v>
      </c>
      <c r="M413" s="50" t="s">
        <v>632</v>
      </c>
      <c r="N413" s="50">
        <v>60035</v>
      </c>
      <c r="O413" s="50" t="s">
        <v>183</v>
      </c>
      <c r="Q413" s="121"/>
      <c r="R413" s="121"/>
      <c r="S413" s="121"/>
      <c r="T413" s="121"/>
      <c r="U413" s="50">
        <v>1</v>
      </c>
      <c r="V413" s="50">
        <v>1</v>
      </c>
      <c r="W413" s="122">
        <v>10</v>
      </c>
      <c r="Z413" s="123">
        <v>900</v>
      </c>
      <c r="AB413" s="124"/>
      <c r="AC413" s="125"/>
      <c r="AF413" s="126" t="s">
        <v>726</v>
      </c>
      <c r="AG413" s="126" t="s">
        <v>3815</v>
      </c>
      <c r="AH413" s="126" t="s">
        <v>3816</v>
      </c>
      <c r="AI413" s="126"/>
      <c r="AJ413" s="126"/>
      <c r="AL413" s="120">
        <v>0</v>
      </c>
      <c r="AM413" s="127" t="s">
        <v>3019</v>
      </c>
      <c r="AN413" s="127" t="s">
        <v>5518</v>
      </c>
      <c r="AP413" s="50">
        <v>1</v>
      </c>
      <c r="AQ413" s="50">
        <v>0</v>
      </c>
      <c r="AR413" s="50">
        <v>1</v>
      </c>
      <c r="AS413" s="50">
        <v>1</v>
      </c>
      <c r="AU413" s="50">
        <v>0</v>
      </c>
      <c r="AV413" s="17">
        <f t="shared" si="85"/>
        <v>1</v>
      </c>
      <c r="AW413" s="50" t="str">
        <f t="shared" si="89"/>
        <v>{s_taskTalk,{60034,60035}}</v>
      </c>
    </row>
    <row r="414" spans="1:49" s="50" customFormat="1" ht="96" x14ac:dyDescent="0.15">
      <c r="A414" s="9">
        <v>3391</v>
      </c>
      <c r="B414" s="50">
        <v>1209</v>
      </c>
      <c r="C414" s="50" t="s">
        <v>1913</v>
      </c>
      <c r="D414" s="50">
        <v>1</v>
      </c>
      <c r="E414" s="50">
        <v>0</v>
      </c>
      <c r="F414" s="50">
        <v>2</v>
      </c>
      <c r="G414" s="120">
        <v>200</v>
      </c>
      <c r="H414" s="50">
        <v>200</v>
      </c>
      <c r="I414" s="17">
        <v>0</v>
      </c>
      <c r="J414" s="120">
        <v>3381</v>
      </c>
      <c r="K414" s="50">
        <v>0</v>
      </c>
      <c r="L414" s="50">
        <v>60035</v>
      </c>
      <c r="M414" s="50" t="s">
        <v>183</v>
      </c>
      <c r="N414" s="50">
        <v>60035</v>
      </c>
      <c r="O414" s="50" t="s">
        <v>183</v>
      </c>
      <c r="Q414" s="121"/>
      <c r="R414" s="121"/>
      <c r="S414" s="121"/>
      <c r="T414" s="121"/>
      <c r="U414" s="25">
        <v>8</v>
      </c>
      <c r="V414" s="50">
        <v>0</v>
      </c>
      <c r="W414" s="122">
        <v>10</v>
      </c>
      <c r="Z414" s="123">
        <v>1200</v>
      </c>
      <c r="AB414" s="124"/>
      <c r="AC414" s="125"/>
      <c r="AD414" s="50" t="s">
        <v>7180</v>
      </c>
      <c r="AF414" s="126" t="s">
        <v>3965</v>
      </c>
      <c r="AG414" s="126" t="s">
        <v>3904</v>
      </c>
      <c r="AH414" s="126" t="s">
        <v>3817</v>
      </c>
      <c r="AI414" s="126" t="s">
        <v>727</v>
      </c>
      <c r="AJ414" s="126"/>
      <c r="AL414" s="120">
        <v>0</v>
      </c>
      <c r="AM414" s="127" t="s">
        <v>3966</v>
      </c>
      <c r="AN414" s="127" t="s">
        <v>5519</v>
      </c>
      <c r="AO414" s="50" t="s">
        <v>3969</v>
      </c>
      <c r="AP414" s="50">
        <v>1</v>
      </c>
      <c r="AQ414" s="50">
        <v>0</v>
      </c>
      <c r="AR414" s="50">
        <v>1</v>
      </c>
      <c r="AS414" s="50">
        <v>0</v>
      </c>
      <c r="AU414" s="50">
        <v>0</v>
      </c>
      <c r="AV414" s="17">
        <f t="shared" si="85"/>
        <v>1</v>
      </c>
      <c r="AW414" s="50" t="str">
        <f t="shared" si="89"/>
        <v>{s_taskTalk,{60035,60035}}</v>
      </c>
    </row>
    <row r="415" spans="1:49" s="50" customFormat="1" ht="72" x14ac:dyDescent="0.15">
      <c r="A415" s="9">
        <v>3401</v>
      </c>
      <c r="B415" s="50">
        <v>1210</v>
      </c>
      <c r="C415" s="50" t="s">
        <v>1914</v>
      </c>
      <c r="D415" s="50">
        <v>1</v>
      </c>
      <c r="E415" s="50">
        <v>0</v>
      </c>
      <c r="F415" s="50">
        <v>2</v>
      </c>
      <c r="G415" s="120">
        <v>200</v>
      </c>
      <c r="H415" s="50">
        <v>200</v>
      </c>
      <c r="I415" s="17">
        <v>0</v>
      </c>
      <c r="J415" s="201">
        <v>3391</v>
      </c>
      <c r="K415" s="50">
        <v>0</v>
      </c>
      <c r="L415" s="50">
        <v>60035</v>
      </c>
      <c r="M415" s="50" t="s">
        <v>183</v>
      </c>
      <c r="N415" s="50">
        <v>60042</v>
      </c>
      <c r="O415" s="50" t="s">
        <v>181</v>
      </c>
      <c r="Q415" s="121"/>
      <c r="R415" s="121"/>
      <c r="S415" s="121"/>
      <c r="T415" s="121"/>
      <c r="U415" s="50">
        <v>1</v>
      </c>
      <c r="V415" s="50">
        <v>1</v>
      </c>
      <c r="W415" s="122">
        <v>10</v>
      </c>
      <c r="Z415" s="123">
        <v>600</v>
      </c>
      <c r="AB415" s="124"/>
      <c r="AC415" s="125"/>
      <c r="AD415" s="122"/>
      <c r="AF415" s="126" t="s">
        <v>728</v>
      </c>
      <c r="AG415" s="126" t="s">
        <v>4877</v>
      </c>
      <c r="AH415" s="126" t="s">
        <v>729</v>
      </c>
      <c r="AI415" s="126"/>
      <c r="AJ415" s="126"/>
      <c r="AL415" s="120">
        <v>0</v>
      </c>
      <c r="AM415" s="127" t="s">
        <v>3020</v>
      </c>
      <c r="AN415" s="127" t="s">
        <v>5520</v>
      </c>
      <c r="AP415" s="50">
        <v>1</v>
      </c>
      <c r="AQ415" s="50">
        <v>0</v>
      </c>
      <c r="AR415" s="50">
        <v>1</v>
      </c>
      <c r="AS415" s="50">
        <v>1</v>
      </c>
      <c r="AU415" s="50">
        <v>0</v>
      </c>
      <c r="AV415" s="17">
        <f t="shared" si="85"/>
        <v>1</v>
      </c>
      <c r="AW415" s="50" t="str">
        <f t="shared" si="89"/>
        <v>{s_taskTalk,{60035,60042}}</v>
      </c>
    </row>
    <row r="416" spans="1:49" s="50" customFormat="1" ht="96" x14ac:dyDescent="0.15">
      <c r="A416" s="9">
        <v>3411</v>
      </c>
      <c r="B416" s="50">
        <v>1211</v>
      </c>
      <c r="C416" s="50" t="s">
        <v>1915</v>
      </c>
      <c r="D416" s="50">
        <v>1</v>
      </c>
      <c r="E416" s="50">
        <v>0</v>
      </c>
      <c r="F416" s="50">
        <v>2</v>
      </c>
      <c r="G416" s="120">
        <v>200</v>
      </c>
      <c r="H416" s="50">
        <v>200</v>
      </c>
      <c r="I416" s="17">
        <v>0</v>
      </c>
      <c r="J416" s="120">
        <v>3401</v>
      </c>
      <c r="K416" s="50">
        <v>0</v>
      </c>
      <c r="L416" s="50">
        <v>60042</v>
      </c>
      <c r="M416" s="50" t="s">
        <v>182</v>
      </c>
      <c r="N416" s="50">
        <v>60015</v>
      </c>
      <c r="O416" s="50" t="s">
        <v>5150</v>
      </c>
      <c r="Q416" s="121"/>
      <c r="R416" s="121"/>
      <c r="S416" s="121"/>
      <c r="T416" s="121"/>
      <c r="U416" s="50">
        <v>1</v>
      </c>
      <c r="V416" s="50">
        <v>1</v>
      </c>
      <c r="W416" s="122">
        <v>10</v>
      </c>
      <c r="Z416" s="123">
        <v>600</v>
      </c>
      <c r="AB416" s="124"/>
      <c r="AC416" s="125"/>
      <c r="AF416" s="126" t="s">
        <v>730</v>
      </c>
      <c r="AG416" s="126" t="s">
        <v>3818</v>
      </c>
      <c r="AH416" s="126" t="s">
        <v>265</v>
      </c>
      <c r="AI416" s="126"/>
      <c r="AJ416" s="126"/>
      <c r="AL416" s="120">
        <v>0</v>
      </c>
      <c r="AM416" s="127" t="s">
        <v>3021</v>
      </c>
      <c r="AN416" s="127" t="s">
        <v>5521</v>
      </c>
      <c r="AP416" s="50">
        <v>1</v>
      </c>
      <c r="AQ416" s="50">
        <v>0</v>
      </c>
      <c r="AR416" s="50">
        <v>1</v>
      </c>
      <c r="AS416" s="50">
        <v>1</v>
      </c>
      <c r="AU416" s="50">
        <v>0</v>
      </c>
      <c r="AV416" s="17">
        <f t="shared" si="85"/>
        <v>1</v>
      </c>
      <c r="AW416" s="50" t="str">
        <f t="shared" si="89"/>
        <v>{s_taskTalk,{60042,60015}}</v>
      </c>
    </row>
    <row r="417" spans="1:49" s="50" customFormat="1" ht="84" x14ac:dyDescent="0.15">
      <c r="A417" s="9">
        <v>3421</v>
      </c>
      <c r="B417" s="50">
        <v>1212</v>
      </c>
      <c r="C417" s="50" t="s">
        <v>1916</v>
      </c>
      <c r="D417" s="50">
        <v>1</v>
      </c>
      <c r="E417" s="50">
        <v>0</v>
      </c>
      <c r="F417" s="50">
        <v>2</v>
      </c>
      <c r="G417" s="120">
        <v>200</v>
      </c>
      <c r="H417" s="50">
        <v>200</v>
      </c>
      <c r="I417" s="17">
        <v>0</v>
      </c>
      <c r="J417" s="201">
        <v>3411</v>
      </c>
      <c r="K417" s="50">
        <v>0</v>
      </c>
      <c r="L417" s="50">
        <v>60015</v>
      </c>
      <c r="M417" s="50" t="s">
        <v>179</v>
      </c>
      <c r="N417" s="50">
        <v>60016</v>
      </c>
      <c r="O417" s="50" t="s">
        <v>180</v>
      </c>
      <c r="Q417" s="121"/>
      <c r="R417" s="121"/>
      <c r="S417" s="121"/>
      <c r="T417" s="121"/>
      <c r="U417" s="50">
        <v>1</v>
      </c>
      <c r="V417" s="50">
        <v>1</v>
      </c>
      <c r="W417" s="122">
        <v>10</v>
      </c>
      <c r="Z417" s="123">
        <v>700</v>
      </c>
      <c r="AB417" s="124"/>
      <c r="AC417" s="125"/>
      <c r="AD417" s="128"/>
      <c r="AF417" s="126" t="s">
        <v>77</v>
      </c>
      <c r="AG417" s="126" t="s">
        <v>3905</v>
      </c>
      <c r="AH417" s="126" t="s">
        <v>3819</v>
      </c>
      <c r="AI417" s="126"/>
      <c r="AJ417" s="126"/>
      <c r="AL417" s="120">
        <v>0</v>
      </c>
      <c r="AM417" s="127" t="s">
        <v>3022</v>
      </c>
      <c r="AN417" s="127" t="s">
        <v>5522</v>
      </c>
      <c r="AP417" s="50">
        <v>1</v>
      </c>
      <c r="AQ417" s="50">
        <v>0</v>
      </c>
      <c r="AR417" s="50">
        <v>1</v>
      </c>
      <c r="AS417" s="50">
        <v>1</v>
      </c>
      <c r="AU417" s="50">
        <v>0</v>
      </c>
      <c r="AV417" s="17">
        <f t="shared" si="85"/>
        <v>1</v>
      </c>
      <c r="AW417" s="50" t="str">
        <f t="shared" si="89"/>
        <v>{s_taskTalk,{60015,60016}}</v>
      </c>
    </row>
    <row r="418" spans="1:49" s="73" customFormat="1" ht="132" x14ac:dyDescent="0.15">
      <c r="A418" s="72">
        <v>3431</v>
      </c>
      <c r="B418" s="73">
        <v>1213</v>
      </c>
      <c r="C418" s="73" t="s">
        <v>1917</v>
      </c>
      <c r="D418" s="73">
        <v>1</v>
      </c>
      <c r="E418" s="73">
        <v>0</v>
      </c>
      <c r="F418" s="73">
        <v>2</v>
      </c>
      <c r="G418" s="120">
        <v>200</v>
      </c>
      <c r="H418" s="73">
        <v>200</v>
      </c>
      <c r="I418" s="17">
        <v>0</v>
      </c>
      <c r="J418" s="80">
        <v>3421</v>
      </c>
      <c r="K418" s="73">
        <v>0</v>
      </c>
      <c r="L418" s="73">
        <v>60016</v>
      </c>
      <c r="M418" s="73" t="s">
        <v>180</v>
      </c>
      <c r="N418" s="73">
        <v>60019</v>
      </c>
      <c r="O418" s="73" t="s">
        <v>185</v>
      </c>
      <c r="Q418" s="140"/>
      <c r="R418" s="140"/>
      <c r="S418" s="140">
        <v>10009</v>
      </c>
      <c r="T418" s="140"/>
      <c r="U418" s="25">
        <v>3</v>
      </c>
      <c r="V418" s="73">
        <v>0</v>
      </c>
      <c r="W418" s="141">
        <v>10</v>
      </c>
      <c r="Z418" s="142">
        <v>1600</v>
      </c>
      <c r="AB418" s="143"/>
      <c r="AC418" s="144"/>
      <c r="AF418" s="145" t="s">
        <v>1799</v>
      </c>
      <c r="AG418" s="145" t="s">
        <v>3820</v>
      </c>
      <c r="AH418" s="145" t="s">
        <v>731</v>
      </c>
      <c r="AI418" s="145" t="s">
        <v>732</v>
      </c>
      <c r="AJ418" s="145"/>
      <c r="AL418" s="80">
        <v>0</v>
      </c>
      <c r="AM418" s="147" t="s">
        <v>4022</v>
      </c>
      <c r="AN418" s="147" t="s">
        <v>5523</v>
      </c>
      <c r="AP418" s="73">
        <v>1</v>
      </c>
      <c r="AQ418" s="73">
        <v>0</v>
      </c>
      <c r="AR418" s="50">
        <v>1</v>
      </c>
      <c r="AS418" s="50">
        <v>1</v>
      </c>
      <c r="AU418" s="73">
        <v>0</v>
      </c>
      <c r="AV418" s="17">
        <f t="shared" si="85"/>
        <v>1</v>
      </c>
      <c r="AW418" s="73" t="str">
        <f t="shared" ref="AW418:AW424" si="90">"{s_taskKillNpc, {"&amp;L418&amp;","&amp;N418&amp;","&amp;S418&amp;","&amp;U418&amp;"}}"</f>
        <v>{s_taskKillNpc, {60016,60019,10009,3}}</v>
      </c>
    </row>
    <row r="419" spans="1:49" s="73" customFormat="1" ht="132" x14ac:dyDescent="0.15">
      <c r="A419" s="72">
        <v>3432</v>
      </c>
      <c r="B419" s="73">
        <v>1213</v>
      </c>
      <c r="C419" s="73" t="s">
        <v>1917</v>
      </c>
      <c r="D419" s="73">
        <v>1</v>
      </c>
      <c r="E419" s="73">
        <v>0</v>
      </c>
      <c r="F419" s="73">
        <v>2</v>
      </c>
      <c r="G419" s="120">
        <v>200</v>
      </c>
      <c r="H419" s="73">
        <v>200</v>
      </c>
      <c r="I419" s="17">
        <v>0</v>
      </c>
      <c r="J419" s="80">
        <v>0</v>
      </c>
      <c r="K419" s="73">
        <v>0</v>
      </c>
      <c r="L419" s="73">
        <v>60016</v>
      </c>
      <c r="M419" s="73" t="s">
        <v>180</v>
      </c>
      <c r="N419" s="73">
        <v>60019</v>
      </c>
      <c r="O419" s="73" t="s">
        <v>185</v>
      </c>
      <c r="Q419" s="140"/>
      <c r="R419" s="140"/>
      <c r="S419" s="140">
        <v>10009</v>
      </c>
      <c r="T419" s="140"/>
      <c r="U419" s="25">
        <v>3</v>
      </c>
      <c r="V419" s="73">
        <v>0</v>
      </c>
      <c r="W419" s="141">
        <v>10</v>
      </c>
      <c r="Z419" s="142">
        <v>1600</v>
      </c>
      <c r="AB419" s="143"/>
      <c r="AC419" s="144"/>
      <c r="AD419" s="122" t="s">
        <v>7181</v>
      </c>
      <c r="AF419" s="145" t="s">
        <v>1799</v>
      </c>
      <c r="AG419" s="145" t="s">
        <v>3820</v>
      </c>
      <c r="AH419" s="145" t="s">
        <v>731</v>
      </c>
      <c r="AI419" s="145" t="s">
        <v>732</v>
      </c>
      <c r="AJ419" s="145"/>
      <c r="AL419" s="80">
        <v>0</v>
      </c>
      <c r="AM419" s="147" t="s">
        <v>4026</v>
      </c>
      <c r="AN419" s="147" t="s">
        <v>5524</v>
      </c>
      <c r="AP419" s="73">
        <v>0</v>
      </c>
      <c r="AQ419" s="73">
        <v>0</v>
      </c>
      <c r="AR419" s="50">
        <v>1</v>
      </c>
      <c r="AS419" s="50">
        <v>1</v>
      </c>
      <c r="AU419" s="73">
        <v>0</v>
      </c>
      <c r="AV419" s="17">
        <f t="shared" si="85"/>
        <v>1</v>
      </c>
      <c r="AW419" s="73" t="str">
        <f t="shared" si="90"/>
        <v>{s_taskKillNpc, {60016,60019,10009,3}}</v>
      </c>
    </row>
    <row r="420" spans="1:49" s="73" customFormat="1" ht="132" x14ac:dyDescent="0.15">
      <c r="A420" s="72">
        <v>3433</v>
      </c>
      <c r="B420" s="73">
        <v>1213</v>
      </c>
      <c r="C420" s="73" t="s">
        <v>1917</v>
      </c>
      <c r="D420" s="73">
        <v>1</v>
      </c>
      <c r="E420" s="73">
        <v>0</v>
      </c>
      <c r="F420" s="73">
        <v>2</v>
      </c>
      <c r="G420" s="120">
        <v>200</v>
      </c>
      <c r="H420" s="73">
        <v>200</v>
      </c>
      <c r="I420" s="17">
        <v>0</v>
      </c>
      <c r="J420" s="80">
        <v>0</v>
      </c>
      <c r="K420" s="73">
        <v>0</v>
      </c>
      <c r="L420" s="73">
        <v>60016</v>
      </c>
      <c r="M420" s="73" t="s">
        <v>180</v>
      </c>
      <c r="N420" s="73">
        <v>60019</v>
      </c>
      <c r="O420" s="73" t="s">
        <v>185</v>
      </c>
      <c r="Q420" s="140"/>
      <c r="R420" s="140"/>
      <c r="S420" s="140">
        <v>10009</v>
      </c>
      <c r="T420" s="140"/>
      <c r="U420" s="25">
        <v>3</v>
      </c>
      <c r="V420" s="73">
        <v>0</v>
      </c>
      <c r="W420" s="141">
        <v>10</v>
      </c>
      <c r="Z420" s="142">
        <v>1600</v>
      </c>
      <c r="AB420" s="143"/>
      <c r="AC420" s="144"/>
      <c r="AD420" s="122" t="s">
        <v>7182</v>
      </c>
      <c r="AF420" s="145" t="s">
        <v>1799</v>
      </c>
      <c r="AG420" s="145" t="s">
        <v>3820</v>
      </c>
      <c r="AH420" s="145" t="s">
        <v>731</v>
      </c>
      <c r="AI420" s="145" t="s">
        <v>732</v>
      </c>
      <c r="AJ420" s="145"/>
      <c r="AL420" s="80">
        <v>0</v>
      </c>
      <c r="AM420" s="147" t="s">
        <v>4027</v>
      </c>
      <c r="AN420" s="147" t="s">
        <v>5524</v>
      </c>
      <c r="AP420" s="73">
        <v>0</v>
      </c>
      <c r="AQ420" s="73">
        <v>0</v>
      </c>
      <c r="AR420" s="50">
        <v>1</v>
      </c>
      <c r="AS420" s="50">
        <v>1</v>
      </c>
      <c r="AU420" s="73">
        <v>0</v>
      </c>
      <c r="AV420" s="17">
        <f t="shared" si="85"/>
        <v>1</v>
      </c>
      <c r="AW420" s="73" t="str">
        <f t="shared" si="90"/>
        <v>{s_taskKillNpc, {60016,60019,10009,3}}</v>
      </c>
    </row>
    <row r="421" spans="1:49" s="73" customFormat="1" ht="132" x14ac:dyDescent="0.15">
      <c r="A421" s="72">
        <v>3434</v>
      </c>
      <c r="B421" s="73">
        <v>1213</v>
      </c>
      <c r="C421" s="73" t="s">
        <v>1917</v>
      </c>
      <c r="D421" s="73">
        <v>1</v>
      </c>
      <c r="E421" s="73">
        <v>0</v>
      </c>
      <c r="F421" s="73">
        <v>2</v>
      </c>
      <c r="G421" s="120">
        <v>200</v>
      </c>
      <c r="H421" s="73">
        <v>200</v>
      </c>
      <c r="I421" s="17">
        <v>0</v>
      </c>
      <c r="J421" s="80">
        <v>0</v>
      </c>
      <c r="K421" s="73">
        <v>0</v>
      </c>
      <c r="L421" s="73">
        <v>60016</v>
      </c>
      <c r="M421" s="73" t="s">
        <v>180</v>
      </c>
      <c r="N421" s="73">
        <v>60019</v>
      </c>
      <c r="O421" s="73" t="s">
        <v>185</v>
      </c>
      <c r="Q421" s="140"/>
      <c r="R421" s="140"/>
      <c r="S421" s="140">
        <v>10009</v>
      </c>
      <c r="T421" s="140"/>
      <c r="U421" s="25">
        <v>3</v>
      </c>
      <c r="V421" s="73">
        <v>0</v>
      </c>
      <c r="W421" s="141">
        <v>10</v>
      </c>
      <c r="Z421" s="142">
        <v>1600</v>
      </c>
      <c r="AB421" s="143"/>
      <c r="AC421" s="144"/>
      <c r="AD421" s="122" t="s">
        <v>7183</v>
      </c>
      <c r="AF421" s="145" t="s">
        <v>1799</v>
      </c>
      <c r="AG421" s="145" t="s">
        <v>3820</v>
      </c>
      <c r="AH421" s="145" t="s">
        <v>731</v>
      </c>
      <c r="AI421" s="145" t="s">
        <v>732</v>
      </c>
      <c r="AJ421" s="145"/>
      <c r="AL421" s="80">
        <v>0</v>
      </c>
      <c r="AM421" s="147" t="s">
        <v>4028</v>
      </c>
      <c r="AN421" s="147" t="s">
        <v>5525</v>
      </c>
      <c r="AP421" s="73">
        <v>0</v>
      </c>
      <c r="AQ421" s="73">
        <v>0</v>
      </c>
      <c r="AR421" s="50">
        <v>1</v>
      </c>
      <c r="AS421" s="50">
        <v>1</v>
      </c>
      <c r="AU421" s="73">
        <v>0</v>
      </c>
      <c r="AV421" s="17">
        <f t="shared" si="85"/>
        <v>1</v>
      </c>
      <c r="AW421" s="73" t="str">
        <f t="shared" si="90"/>
        <v>{s_taskKillNpc, {60016,60019,10009,3}}</v>
      </c>
    </row>
    <row r="422" spans="1:49" s="73" customFormat="1" ht="132" x14ac:dyDescent="0.15">
      <c r="A422" s="72">
        <v>3435</v>
      </c>
      <c r="B422" s="73">
        <v>1213</v>
      </c>
      <c r="C422" s="73" t="s">
        <v>1917</v>
      </c>
      <c r="D422" s="73">
        <v>1</v>
      </c>
      <c r="E422" s="73">
        <v>0</v>
      </c>
      <c r="F422" s="73">
        <v>2</v>
      </c>
      <c r="G422" s="120">
        <v>200</v>
      </c>
      <c r="H422" s="73">
        <v>200</v>
      </c>
      <c r="I422" s="17">
        <v>0</v>
      </c>
      <c r="J422" s="80">
        <v>0</v>
      </c>
      <c r="K422" s="73">
        <v>0</v>
      </c>
      <c r="L422" s="73">
        <v>60016</v>
      </c>
      <c r="M422" s="73" t="s">
        <v>180</v>
      </c>
      <c r="N422" s="73">
        <v>60019</v>
      </c>
      <c r="O422" s="73" t="s">
        <v>185</v>
      </c>
      <c r="Q422" s="140"/>
      <c r="R422" s="140"/>
      <c r="S422" s="140">
        <v>10009</v>
      </c>
      <c r="T422" s="140"/>
      <c r="U422" s="25">
        <v>3</v>
      </c>
      <c r="V422" s="73">
        <v>0</v>
      </c>
      <c r="W422" s="141">
        <v>10</v>
      </c>
      <c r="Z422" s="142">
        <v>1600</v>
      </c>
      <c r="AB422" s="143"/>
      <c r="AC422" s="144"/>
      <c r="AD422" s="122" t="s">
        <v>7184</v>
      </c>
      <c r="AF422" s="145" t="s">
        <v>1799</v>
      </c>
      <c r="AG422" s="145" t="s">
        <v>3820</v>
      </c>
      <c r="AH422" s="145" t="s">
        <v>731</v>
      </c>
      <c r="AI422" s="145" t="s">
        <v>732</v>
      </c>
      <c r="AJ422" s="145"/>
      <c r="AL422" s="80">
        <v>0</v>
      </c>
      <c r="AM422" s="147" t="s">
        <v>4029</v>
      </c>
      <c r="AN422" s="147" t="s">
        <v>5526</v>
      </c>
      <c r="AP422" s="73">
        <v>0</v>
      </c>
      <c r="AQ422" s="73">
        <v>0</v>
      </c>
      <c r="AR422" s="50">
        <v>1</v>
      </c>
      <c r="AS422" s="50">
        <v>1</v>
      </c>
      <c r="AU422" s="73">
        <v>0</v>
      </c>
      <c r="AV422" s="17">
        <f t="shared" si="85"/>
        <v>1</v>
      </c>
      <c r="AW422" s="73" t="str">
        <f t="shared" si="90"/>
        <v>{s_taskKillNpc, {60016,60019,10009,3}}</v>
      </c>
    </row>
    <row r="423" spans="1:49" s="73" customFormat="1" ht="132" x14ac:dyDescent="0.15">
      <c r="A423" s="72">
        <v>3436</v>
      </c>
      <c r="B423" s="73">
        <v>1213</v>
      </c>
      <c r="C423" s="73" t="s">
        <v>1917</v>
      </c>
      <c r="D423" s="73">
        <v>1</v>
      </c>
      <c r="E423" s="73">
        <v>0</v>
      </c>
      <c r="F423" s="73">
        <v>2</v>
      </c>
      <c r="G423" s="120">
        <v>200</v>
      </c>
      <c r="H423" s="73">
        <v>200</v>
      </c>
      <c r="I423" s="17">
        <v>0</v>
      </c>
      <c r="J423" s="80">
        <v>0</v>
      </c>
      <c r="K423" s="73">
        <v>0</v>
      </c>
      <c r="L423" s="73">
        <v>60016</v>
      </c>
      <c r="M423" s="73" t="s">
        <v>180</v>
      </c>
      <c r="N423" s="73">
        <v>60019</v>
      </c>
      <c r="O423" s="73" t="s">
        <v>185</v>
      </c>
      <c r="Q423" s="140"/>
      <c r="R423" s="140"/>
      <c r="S423" s="140">
        <v>10009</v>
      </c>
      <c r="T423" s="140"/>
      <c r="U423" s="25">
        <v>3</v>
      </c>
      <c r="V423" s="73">
        <v>0</v>
      </c>
      <c r="W423" s="141">
        <v>10</v>
      </c>
      <c r="Z423" s="142">
        <v>1600</v>
      </c>
      <c r="AB423" s="143"/>
      <c r="AC423" s="144"/>
      <c r="AD423" s="122" t="s">
        <v>7185</v>
      </c>
      <c r="AF423" s="145" t="s">
        <v>1799</v>
      </c>
      <c r="AG423" s="145" t="s">
        <v>3820</v>
      </c>
      <c r="AH423" s="145" t="s">
        <v>731</v>
      </c>
      <c r="AI423" s="145" t="s">
        <v>732</v>
      </c>
      <c r="AJ423" s="145"/>
      <c r="AL423" s="80">
        <v>0</v>
      </c>
      <c r="AM423" s="147" t="s">
        <v>4030</v>
      </c>
      <c r="AN423" s="147" t="s">
        <v>5527</v>
      </c>
      <c r="AP423" s="73">
        <v>0</v>
      </c>
      <c r="AQ423" s="73">
        <v>0</v>
      </c>
      <c r="AR423" s="50">
        <v>1</v>
      </c>
      <c r="AS423" s="50">
        <v>1</v>
      </c>
      <c r="AU423" s="73">
        <v>0</v>
      </c>
      <c r="AV423" s="17">
        <f t="shared" si="85"/>
        <v>1</v>
      </c>
      <c r="AW423" s="73" t="str">
        <f t="shared" si="90"/>
        <v>{s_taskKillNpc, {60016,60019,10009,3}}</v>
      </c>
    </row>
    <row r="424" spans="1:49" s="73" customFormat="1" ht="132" x14ac:dyDescent="0.15">
      <c r="A424" s="72">
        <v>3437</v>
      </c>
      <c r="B424" s="73">
        <v>1213</v>
      </c>
      <c r="C424" s="73" t="s">
        <v>1917</v>
      </c>
      <c r="D424" s="73">
        <v>1</v>
      </c>
      <c r="E424" s="73">
        <v>0</v>
      </c>
      <c r="F424" s="73">
        <v>2</v>
      </c>
      <c r="G424" s="120">
        <v>200</v>
      </c>
      <c r="H424" s="73">
        <v>200</v>
      </c>
      <c r="I424" s="17">
        <v>0</v>
      </c>
      <c r="J424" s="80">
        <v>0</v>
      </c>
      <c r="K424" s="73">
        <v>0</v>
      </c>
      <c r="L424" s="73">
        <v>60016</v>
      </c>
      <c r="M424" s="73" t="s">
        <v>180</v>
      </c>
      <c r="N424" s="73">
        <v>60019</v>
      </c>
      <c r="O424" s="73" t="s">
        <v>185</v>
      </c>
      <c r="Q424" s="140"/>
      <c r="R424" s="140"/>
      <c r="S424" s="140">
        <v>10009</v>
      </c>
      <c r="T424" s="140"/>
      <c r="U424" s="25">
        <v>3</v>
      </c>
      <c r="V424" s="73">
        <v>0</v>
      </c>
      <c r="W424" s="141">
        <v>10</v>
      </c>
      <c r="Z424" s="142">
        <v>1600</v>
      </c>
      <c r="AB424" s="143"/>
      <c r="AC424" s="144"/>
      <c r="AD424" s="122" t="s">
        <v>7186</v>
      </c>
      <c r="AF424" s="145" t="s">
        <v>1799</v>
      </c>
      <c r="AG424" s="145" t="s">
        <v>3820</v>
      </c>
      <c r="AH424" s="145" t="s">
        <v>731</v>
      </c>
      <c r="AI424" s="145" t="s">
        <v>732</v>
      </c>
      <c r="AJ424" s="145"/>
      <c r="AL424" s="80">
        <v>0</v>
      </c>
      <c r="AM424" s="147" t="s">
        <v>4031</v>
      </c>
      <c r="AN424" s="147" t="s">
        <v>5528</v>
      </c>
      <c r="AP424" s="73">
        <v>0</v>
      </c>
      <c r="AQ424" s="73">
        <v>0</v>
      </c>
      <c r="AR424" s="50">
        <v>1</v>
      </c>
      <c r="AS424" s="50">
        <v>1</v>
      </c>
      <c r="AU424" s="73">
        <v>0</v>
      </c>
      <c r="AV424" s="17">
        <f t="shared" si="85"/>
        <v>1</v>
      </c>
      <c r="AW424" s="73" t="str">
        <f t="shared" si="90"/>
        <v>{s_taskKillNpc, {60016,60019,10009,3}}</v>
      </c>
    </row>
    <row r="425" spans="1:49" s="29" customFormat="1" ht="72" x14ac:dyDescent="0.15">
      <c r="A425" s="28">
        <v>3441</v>
      </c>
      <c r="B425" s="29">
        <v>1214</v>
      </c>
      <c r="C425" s="29" t="s">
        <v>1918</v>
      </c>
      <c r="D425" s="29">
        <v>1</v>
      </c>
      <c r="E425" s="29">
        <v>0</v>
      </c>
      <c r="F425" s="29">
        <v>2</v>
      </c>
      <c r="G425" s="120">
        <v>200</v>
      </c>
      <c r="H425" s="29">
        <v>200</v>
      </c>
      <c r="I425" s="17">
        <v>0</v>
      </c>
      <c r="J425" s="203">
        <v>0</v>
      </c>
      <c r="K425" s="29">
        <v>0</v>
      </c>
      <c r="L425" s="29">
        <v>60019</v>
      </c>
      <c r="M425" s="29" t="s">
        <v>185</v>
      </c>
      <c r="N425" s="29">
        <v>60019</v>
      </c>
      <c r="O425" s="29" t="s">
        <v>185</v>
      </c>
      <c r="Q425" s="130"/>
      <c r="R425" s="130"/>
      <c r="S425" s="130"/>
      <c r="T425" s="130"/>
      <c r="U425" s="29">
        <v>1</v>
      </c>
      <c r="V425" s="29">
        <v>1</v>
      </c>
      <c r="W425" s="131">
        <v>10</v>
      </c>
      <c r="Z425" s="132">
        <v>700</v>
      </c>
      <c r="AB425" s="133"/>
      <c r="AC425" s="134"/>
      <c r="AD425" s="131"/>
      <c r="AF425" s="202" t="s">
        <v>2979</v>
      </c>
      <c r="AG425" s="202" t="s">
        <v>2977</v>
      </c>
      <c r="AH425" s="202" t="s">
        <v>2978</v>
      </c>
      <c r="AI425" s="202"/>
      <c r="AJ425" s="202"/>
      <c r="AL425" s="30">
        <v>0</v>
      </c>
      <c r="AM425" s="129" t="s">
        <v>3023</v>
      </c>
      <c r="AN425" s="129" t="s">
        <v>5529</v>
      </c>
      <c r="AP425" s="29">
        <v>1</v>
      </c>
      <c r="AQ425" s="29">
        <v>0</v>
      </c>
      <c r="AR425" s="29">
        <v>1</v>
      </c>
      <c r="AS425" s="29">
        <v>1</v>
      </c>
      <c r="AU425" s="29">
        <v>0</v>
      </c>
      <c r="AV425" s="17">
        <f t="shared" si="85"/>
        <v>1</v>
      </c>
      <c r="AW425" s="29" t="str">
        <f t="shared" ref="AW425:AW431" si="91">"{s_taskTalk,{"&amp;L425&amp;","&amp;N425&amp;"}}"</f>
        <v>{s_taskTalk,{60019,60019}}</v>
      </c>
    </row>
    <row r="426" spans="1:49" s="204" customFormat="1" ht="96" x14ac:dyDescent="0.15">
      <c r="A426" s="9">
        <v>3451</v>
      </c>
      <c r="B426" s="204">
        <v>1061</v>
      </c>
      <c r="C426" s="204" t="s">
        <v>1919</v>
      </c>
      <c r="D426" s="205">
        <v>1</v>
      </c>
      <c r="E426" s="205">
        <v>0</v>
      </c>
      <c r="F426" s="205">
        <v>2</v>
      </c>
      <c r="G426" s="120">
        <v>200</v>
      </c>
      <c r="H426" s="204">
        <v>200</v>
      </c>
      <c r="I426" s="17">
        <v>0</v>
      </c>
      <c r="J426" s="136">
        <v>3431</v>
      </c>
      <c r="K426" s="205">
        <v>0</v>
      </c>
      <c r="L426" s="50">
        <v>60019</v>
      </c>
      <c r="M426" s="50" t="s">
        <v>185</v>
      </c>
      <c r="N426" s="50">
        <v>60011</v>
      </c>
      <c r="O426" s="50" t="s">
        <v>186</v>
      </c>
      <c r="Q426" s="121"/>
      <c r="R426" s="121"/>
      <c r="S426" s="121"/>
      <c r="T426" s="121"/>
      <c r="U426" s="204">
        <v>1</v>
      </c>
      <c r="V426" s="204">
        <v>1</v>
      </c>
      <c r="W426" s="122">
        <v>10</v>
      </c>
      <c r="Z426" s="206">
        <v>1500</v>
      </c>
      <c r="AB426" s="207"/>
      <c r="AC426" s="125"/>
      <c r="AD426" s="128"/>
      <c r="AF426" s="208" t="s">
        <v>4247</v>
      </c>
      <c r="AG426" s="208" t="s">
        <v>4248</v>
      </c>
      <c r="AH426" s="208" t="s">
        <v>3821</v>
      </c>
      <c r="AI426" s="208" t="s">
        <v>239</v>
      </c>
      <c r="AJ426" s="208"/>
      <c r="AK426" s="204" t="s">
        <v>625</v>
      </c>
      <c r="AL426" s="136">
        <v>0</v>
      </c>
      <c r="AM426" s="204" t="s">
        <v>4049</v>
      </c>
      <c r="AN426" s="204" t="s">
        <v>5530</v>
      </c>
      <c r="AP426" s="205">
        <v>1</v>
      </c>
      <c r="AQ426" s="205">
        <v>0</v>
      </c>
      <c r="AR426" s="50">
        <v>1</v>
      </c>
      <c r="AS426" s="50">
        <v>0</v>
      </c>
      <c r="AU426" s="50">
        <v>0</v>
      </c>
      <c r="AV426" s="17">
        <f t="shared" si="85"/>
        <v>1</v>
      </c>
      <c r="AW426" s="50" t="str">
        <f t="shared" si="91"/>
        <v>{s_taskTalk,{60019,60011}}</v>
      </c>
    </row>
    <row r="427" spans="1:49" s="204" customFormat="1" ht="132" x14ac:dyDescent="0.15">
      <c r="A427" s="9">
        <v>3461</v>
      </c>
      <c r="B427" s="204">
        <v>1071</v>
      </c>
      <c r="C427" s="204" t="s">
        <v>3682</v>
      </c>
      <c r="D427" s="205">
        <v>1</v>
      </c>
      <c r="E427" s="205">
        <v>0</v>
      </c>
      <c r="F427" s="205">
        <v>2</v>
      </c>
      <c r="G427" s="120">
        <v>200</v>
      </c>
      <c r="H427" s="204">
        <v>200</v>
      </c>
      <c r="I427" s="17">
        <v>0</v>
      </c>
      <c r="J427" s="136">
        <v>3451</v>
      </c>
      <c r="K427" s="205">
        <v>0</v>
      </c>
      <c r="L427" s="204">
        <v>60011</v>
      </c>
      <c r="M427" s="204" t="s">
        <v>186</v>
      </c>
      <c r="N427" s="204">
        <v>60011</v>
      </c>
      <c r="O427" s="204" t="s">
        <v>186</v>
      </c>
      <c r="Q427" s="121"/>
      <c r="R427" s="121"/>
      <c r="S427" s="121"/>
      <c r="T427" s="121"/>
      <c r="U427" s="204">
        <v>1</v>
      </c>
      <c r="V427" s="204">
        <v>0</v>
      </c>
      <c r="W427" s="122">
        <v>10</v>
      </c>
      <c r="Z427" s="206">
        <v>2000</v>
      </c>
      <c r="AB427" s="207"/>
      <c r="AC427" s="125"/>
      <c r="AD427" s="128"/>
      <c r="AF427" s="208" t="s">
        <v>4035</v>
      </c>
      <c r="AG427" s="208" t="s">
        <v>3822</v>
      </c>
      <c r="AH427" s="208" t="s">
        <v>733</v>
      </c>
      <c r="AI427" s="208" t="s">
        <v>734</v>
      </c>
      <c r="AJ427" s="208"/>
      <c r="AK427" s="204" t="s">
        <v>2498</v>
      </c>
      <c r="AL427" s="136">
        <v>0</v>
      </c>
      <c r="AM427" s="204" t="s">
        <v>4050</v>
      </c>
      <c r="AN427" s="204" t="s">
        <v>5531</v>
      </c>
      <c r="AP427" s="205">
        <v>1</v>
      </c>
      <c r="AQ427" s="205">
        <v>0</v>
      </c>
      <c r="AR427" s="50">
        <v>1</v>
      </c>
      <c r="AS427" s="50">
        <v>0</v>
      </c>
      <c r="AU427" s="50">
        <v>0</v>
      </c>
      <c r="AV427" s="17">
        <f t="shared" si="85"/>
        <v>1</v>
      </c>
      <c r="AW427" s="50" t="str">
        <f t="shared" si="91"/>
        <v>{s_taskTalk,{60011,60011}}</v>
      </c>
    </row>
    <row r="428" spans="1:49" s="204" customFormat="1" ht="96" x14ac:dyDescent="0.15">
      <c r="A428" s="9">
        <v>3471</v>
      </c>
      <c r="B428" s="204">
        <v>1081</v>
      </c>
      <c r="C428" s="204" t="s">
        <v>1920</v>
      </c>
      <c r="D428" s="205">
        <v>1</v>
      </c>
      <c r="E428" s="205">
        <v>0</v>
      </c>
      <c r="F428" s="205">
        <v>2</v>
      </c>
      <c r="G428" s="120">
        <v>200</v>
      </c>
      <c r="H428" s="204">
        <v>200</v>
      </c>
      <c r="I428" s="17">
        <v>0</v>
      </c>
      <c r="J428" s="136">
        <v>3461</v>
      </c>
      <c r="K428" s="205">
        <v>0</v>
      </c>
      <c r="L428" s="204">
        <v>60011</v>
      </c>
      <c r="M428" s="204" t="s">
        <v>186</v>
      </c>
      <c r="N428" s="204">
        <v>60146</v>
      </c>
      <c r="O428" s="204" t="s">
        <v>187</v>
      </c>
      <c r="Q428" s="121"/>
      <c r="R428" s="121"/>
      <c r="S428" s="121"/>
      <c r="T428" s="121"/>
      <c r="U428" s="204">
        <v>1</v>
      </c>
      <c r="V428" s="204">
        <v>0</v>
      </c>
      <c r="W428" s="122">
        <v>10</v>
      </c>
      <c r="Z428" s="206">
        <v>1200</v>
      </c>
      <c r="AB428" s="207"/>
      <c r="AC428" s="125"/>
      <c r="AD428" s="128"/>
      <c r="AE428" s="204" t="s">
        <v>352</v>
      </c>
      <c r="AF428" s="208" t="s">
        <v>3165</v>
      </c>
      <c r="AG428" s="208" t="s">
        <v>3823</v>
      </c>
      <c r="AH428" s="208" t="s">
        <v>3824</v>
      </c>
      <c r="AI428" s="208" t="s">
        <v>735</v>
      </c>
      <c r="AJ428" s="208"/>
      <c r="AK428" s="204" t="s">
        <v>2500</v>
      </c>
      <c r="AL428" s="136">
        <v>0</v>
      </c>
      <c r="AM428" s="204" t="s">
        <v>631</v>
      </c>
      <c r="AN428" s="204" t="s">
        <v>5532</v>
      </c>
      <c r="AP428" s="205">
        <v>1</v>
      </c>
      <c r="AQ428" s="205">
        <v>0</v>
      </c>
      <c r="AR428" s="50">
        <v>1</v>
      </c>
      <c r="AS428" s="50">
        <v>0</v>
      </c>
      <c r="AU428" s="50">
        <v>0</v>
      </c>
      <c r="AV428" s="17">
        <f t="shared" si="85"/>
        <v>1</v>
      </c>
      <c r="AW428" s="50" t="str">
        <f>"{s_taskTalk,{"&amp;L428&amp;","&amp;N428&amp;"}}"</f>
        <v>{s_taskTalk,{60011,60146}}</v>
      </c>
    </row>
    <row r="429" spans="1:49" s="204" customFormat="1" ht="156" x14ac:dyDescent="0.15">
      <c r="A429" s="9">
        <v>3481</v>
      </c>
      <c r="B429" s="204">
        <v>1091</v>
      </c>
      <c r="C429" s="204" t="s">
        <v>3778</v>
      </c>
      <c r="D429" s="205">
        <v>1</v>
      </c>
      <c r="E429" s="205">
        <v>0</v>
      </c>
      <c r="F429" s="205">
        <v>2</v>
      </c>
      <c r="G429" s="120">
        <v>200</v>
      </c>
      <c r="H429" s="204">
        <v>200</v>
      </c>
      <c r="I429" s="17">
        <v>0</v>
      </c>
      <c r="J429" s="136">
        <v>3471</v>
      </c>
      <c r="K429" s="205">
        <v>0</v>
      </c>
      <c r="L429" s="204">
        <v>60146</v>
      </c>
      <c r="M429" s="204" t="s">
        <v>187</v>
      </c>
      <c r="N429" s="204">
        <v>60011</v>
      </c>
      <c r="O429" s="204" t="s">
        <v>186</v>
      </c>
      <c r="Q429" s="121"/>
      <c r="R429" s="121"/>
      <c r="S429" s="121"/>
      <c r="T429" s="121"/>
      <c r="U429" s="204">
        <v>1</v>
      </c>
      <c r="V429" s="204">
        <v>0</v>
      </c>
      <c r="W429" s="122">
        <v>10</v>
      </c>
      <c r="Z429" s="206">
        <v>1700</v>
      </c>
      <c r="AB429" s="207"/>
      <c r="AC429" s="125"/>
      <c r="AD429" s="128"/>
      <c r="AF429" s="208" t="s">
        <v>1747</v>
      </c>
      <c r="AG429" s="208" t="s">
        <v>2497</v>
      </c>
      <c r="AH429" s="208" t="s">
        <v>736</v>
      </c>
      <c r="AI429" s="208" t="s">
        <v>737</v>
      </c>
      <c r="AJ429" s="208"/>
      <c r="AK429" s="204" t="s">
        <v>2501</v>
      </c>
      <c r="AL429" s="136">
        <v>0</v>
      </c>
      <c r="AM429" s="204" t="s">
        <v>4051</v>
      </c>
      <c r="AN429" s="204" t="s">
        <v>5533</v>
      </c>
      <c r="AP429" s="205">
        <v>1</v>
      </c>
      <c r="AQ429" s="205">
        <v>0</v>
      </c>
      <c r="AR429" s="50">
        <v>1</v>
      </c>
      <c r="AS429" s="50">
        <v>0</v>
      </c>
      <c r="AU429" s="50">
        <v>0</v>
      </c>
      <c r="AV429" s="17">
        <f t="shared" si="85"/>
        <v>1</v>
      </c>
      <c r="AW429" s="50" t="str">
        <f t="shared" si="91"/>
        <v>{s_taskTalk,{60146,60011}}</v>
      </c>
    </row>
    <row r="430" spans="1:49" s="210" customFormat="1" ht="96" x14ac:dyDescent="0.15">
      <c r="A430" s="209">
        <v>3491</v>
      </c>
      <c r="C430" s="211" t="s">
        <v>1921</v>
      </c>
      <c r="D430" s="129">
        <v>1</v>
      </c>
      <c r="E430" s="129">
        <v>0</v>
      </c>
      <c r="F430" s="129">
        <v>2</v>
      </c>
      <c r="G430" s="120">
        <v>200</v>
      </c>
      <c r="H430" s="210">
        <v>200</v>
      </c>
      <c r="I430" s="17">
        <v>0</v>
      </c>
      <c r="J430" s="212">
        <v>0</v>
      </c>
      <c r="K430" s="210">
        <v>0</v>
      </c>
      <c r="L430" s="210">
        <v>60011</v>
      </c>
      <c r="M430" s="210" t="s">
        <v>186</v>
      </c>
      <c r="N430" s="210">
        <v>60011</v>
      </c>
      <c r="O430" s="210" t="s">
        <v>186</v>
      </c>
      <c r="Q430" s="213"/>
      <c r="R430" s="213"/>
      <c r="S430" s="213"/>
      <c r="T430" s="213"/>
      <c r="U430" s="210">
        <v>1</v>
      </c>
      <c r="V430" s="210">
        <v>1</v>
      </c>
      <c r="W430" s="131">
        <v>10</v>
      </c>
      <c r="Z430" s="132">
        <v>900</v>
      </c>
      <c r="AB430" s="214"/>
      <c r="AC430" s="215">
        <v>100</v>
      </c>
      <c r="AF430" s="216" t="s">
        <v>738</v>
      </c>
      <c r="AG430" s="216" t="s">
        <v>317</v>
      </c>
      <c r="AH430" s="217" t="s">
        <v>739</v>
      </c>
      <c r="AI430" s="217" t="s">
        <v>318</v>
      </c>
      <c r="AJ430" s="217"/>
      <c r="AL430" s="138">
        <v>0</v>
      </c>
      <c r="AM430" s="211" t="s">
        <v>3024</v>
      </c>
      <c r="AN430" s="211" t="s">
        <v>5534</v>
      </c>
      <c r="AP430" s="210">
        <v>1</v>
      </c>
      <c r="AQ430" s="210">
        <v>0</v>
      </c>
      <c r="AR430" s="29">
        <v>1</v>
      </c>
      <c r="AS430" s="29">
        <v>1</v>
      </c>
      <c r="AU430" s="29">
        <v>0</v>
      </c>
      <c r="AV430" s="17">
        <f t="shared" si="85"/>
        <v>1</v>
      </c>
      <c r="AW430" s="29" t="str">
        <f t="shared" si="91"/>
        <v>{s_taskTalk,{60011,60011}}</v>
      </c>
    </row>
    <row r="431" spans="1:49" s="218" customFormat="1" ht="72" x14ac:dyDescent="0.15">
      <c r="A431" s="9">
        <v>3501</v>
      </c>
      <c r="C431" s="219" t="s">
        <v>1922</v>
      </c>
      <c r="D431" s="50">
        <v>1</v>
      </c>
      <c r="E431" s="50">
        <v>0</v>
      </c>
      <c r="F431" s="50">
        <v>2</v>
      </c>
      <c r="G431" s="120">
        <v>200</v>
      </c>
      <c r="H431" s="218">
        <v>200</v>
      </c>
      <c r="I431" s="17">
        <v>0</v>
      </c>
      <c r="J431" s="201">
        <v>3481</v>
      </c>
      <c r="K431" s="218">
        <v>0</v>
      </c>
      <c r="L431" s="218">
        <v>60011</v>
      </c>
      <c r="M431" s="218" t="s">
        <v>186</v>
      </c>
      <c r="N431" s="218">
        <v>60019</v>
      </c>
      <c r="O431" s="218" t="s">
        <v>185</v>
      </c>
      <c r="Q431" s="220"/>
      <c r="R431" s="220"/>
      <c r="S431" s="220"/>
      <c r="T431" s="220"/>
      <c r="U431" s="218">
        <v>1</v>
      </c>
      <c r="V431" s="218">
        <v>1</v>
      </c>
      <c r="W431" s="122">
        <v>10</v>
      </c>
      <c r="Z431" s="123">
        <v>2000</v>
      </c>
      <c r="AB431" s="221"/>
      <c r="AC431" s="222"/>
      <c r="AF431" s="223" t="s">
        <v>516</v>
      </c>
      <c r="AG431" s="223" t="s">
        <v>740</v>
      </c>
      <c r="AH431" s="224" t="s">
        <v>741</v>
      </c>
      <c r="AI431" s="224"/>
      <c r="AJ431" s="224"/>
      <c r="AL431" s="120">
        <v>0</v>
      </c>
      <c r="AM431" s="219" t="s">
        <v>3025</v>
      </c>
      <c r="AN431" s="219" t="s">
        <v>5535</v>
      </c>
      <c r="AP431" s="218">
        <v>1</v>
      </c>
      <c r="AQ431" s="218">
        <v>0</v>
      </c>
      <c r="AR431" s="50">
        <v>1</v>
      </c>
      <c r="AS431" s="50">
        <v>1</v>
      </c>
      <c r="AU431" s="50">
        <v>0</v>
      </c>
      <c r="AV431" s="17">
        <f t="shared" si="85"/>
        <v>1</v>
      </c>
      <c r="AW431" s="50" t="str">
        <f t="shared" si="91"/>
        <v>{s_taskTalk,{60011,60019}}</v>
      </c>
    </row>
    <row r="432" spans="1:49" s="226" customFormat="1" ht="96" x14ac:dyDescent="0.15">
      <c r="A432" s="225">
        <v>3511</v>
      </c>
      <c r="B432" s="226">
        <v>1221</v>
      </c>
      <c r="C432" s="226" t="s">
        <v>1923</v>
      </c>
      <c r="D432" s="226">
        <v>1</v>
      </c>
      <c r="E432" s="226">
        <v>0</v>
      </c>
      <c r="F432" s="226">
        <v>2</v>
      </c>
      <c r="G432" s="120">
        <v>200</v>
      </c>
      <c r="H432" s="226">
        <v>200</v>
      </c>
      <c r="I432" s="17">
        <v>0</v>
      </c>
      <c r="J432" s="227">
        <v>3501</v>
      </c>
      <c r="K432" s="226">
        <v>0</v>
      </c>
      <c r="L432" s="226">
        <v>60019</v>
      </c>
      <c r="M432" s="226" t="s">
        <v>185</v>
      </c>
      <c r="N432" s="226">
        <v>60019</v>
      </c>
      <c r="O432" s="226" t="s">
        <v>185</v>
      </c>
      <c r="Q432" s="228"/>
      <c r="R432" s="228"/>
      <c r="S432" s="228">
        <v>10011</v>
      </c>
      <c r="T432" s="228"/>
      <c r="U432" s="25">
        <v>4</v>
      </c>
      <c r="V432" s="226">
        <v>0</v>
      </c>
      <c r="W432" s="229">
        <v>10</v>
      </c>
      <c r="Z432" s="230">
        <v>1800</v>
      </c>
      <c r="AB432" s="231"/>
      <c r="AC432" s="232"/>
      <c r="AF432" s="233" t="s">
        <v>3917</v>
      </c>
      <c r="AG432" s="233" t="s">
        <v>3825</v>
      </c>
      <c r="AH432" s="233" t="s">
        <v>742</v>
      </c>
      <c r="AI432" s="233" t="s">
        <v>743</v>
      </c>
      <c r="AJ432" s="233"/>
      <c r="AK432" s="226" t="s">
        <v>3918</v>
      </c>
      <c r="AL432" s="234">
        <v>0</v>
      </c>
      <c r="AM432" s="235" t="s">
        <v>6141</v>
      </c>
      <c r="AN432" s="235" t="s">
        <v>5536</v>
      </c>
      <c r="AP432" s="226">
        <v>1</v>
      </c>
      <c r="AQ432" s="226">
        <v>0</v>
      </c>
      <c r="AR432" s="50">
        <v>1</v>
      </c>
      <c r="AS432" s="50">
        <v>1</v>
      </c>
      <c r="AU432" s="226">
        <v>0</v>
      </c>
      <c r="AV432" s="17">
        <f t="shared" si="85"/>
        <v>1</v>
      </c>
      <c r="AW432" s="226" t="str">
        <f>"{s_taskKillNpc, {"&amp;L432&amp;","&amp;N432&amp;","&amp;S432&amp;","&amp;U432&amp;"}}"</f>
        <v>{s_taskKillNpc, {60019,60019,10011,4}}</v>
      </c>
    </row>
    <row r="433" spans="1:49" s="226" customFormat="1" ht="96" x14ac:dyDescent="0.15">
      <c r="A433" s="225">
        <v>3512</v>
      </c>
      <c r="B433" s="226">
        <v>1221</v>
      </c>
      <c r="C433" s="226" t="s">
        <v>1923</v>
      </c>
      <c r="D433" s="226">
        <v>1</v>
      </c>
      <c r="E433" s="226">
        <v>0</v>
      </c>
      <c r="F433" s="226">
        <v>2</v>
      </c>
      <c r="G433" s="120">
        <v>200</v>
      </c>
      <c r="H433" s="226">
        <v>200</v>
      </c>
      <c r="I433" s="17">
        <v>0</v>
      </c>
      <c r="J433" s="227">
        <v>0</v>
      </c>
      <c r="K433" s="226">
        <v>0</v>
      </c>
      <c r="L433" s="226">
        <v>60019</v>
      </c>
      <c r="M433" s="226" t="s">
        <v>185</v>
      </c>
      <c r="N433" s="226">
        <v>60019</v>
      </c>
      <c r="O433" s="226" t="s">
        <v>185</v>
      </c>
      <c r="Q433" s="228"/>
      <c r="R433" s="228"/>
      <c r="S433" s="228">
        <v>10011</v>
      </c>
      <c r="T433" s="228"/>
      <c r="U433" s="25">
        <v>4</v>
      </c>
      <c r="V433" s="226">
        <v>0</v>
      </c>
      <c r="W433" s="229">
        <v>10</v>
      </c>
      <c r="Z433" s="230">
        <v>1800</v>
      </c>
      <c r="AB433" s="231"/>
      <c r="AC433" s="232"/>
      <c r="AD433" s="122" t="s">
        <v>7187</v>
      </c>
      <c r="AF433" s="233" t="s">
        <v>3917</v>
      </c>
      <c r="AG433" s="233" t="s">
        <v>3825</v>
      </c>
      <c r="AH433" s="233" t="s">
        <v>742</v>
      </c>
      <c r="AI433" s="233" t="s">
        <v>743</v>
      </c>
      <c r="AJ433" s="233"/>
      <c r="AK433" s="226" t="s">
        <v>3918</v>
      </c>
      <c r="AL433" s="234">
        <v>0</v>
      </c>
      <c r="AM433" s="235" t="s">
        <v>6142</v>
      </c>
      <c r="AN433" s="235" t="s">
        <v>5537</v>
      </c>
      <c r="AP433" s="226">
        <v>0</v>
      </c>
      <c r="AQ433" s="226">
        <v>0</v>
      </c>
      <c r="AR433" s="50">
        <v>1</v>
      </c>
      <c r="AS433" s="50">
        <v>1</v>
      </c>
      <c r="AU433" s="226">
        <v>0</v>
      </c>
      <c r="AV433" s="17">
        <f t="shared" si="85"/>
        <v>1</v>
      </c>
      <c r="AW433" s="226" t="str">
        <f>"{s_taskKillNpc, {"&amp;L433&amp;","&amp;N433&amp;","&amp;S433&amp;","&amp;U433&amp;"}}"</f>
        <v>{s_taskKillNpc, {60019,60019,10011,4}}</v>
      </c>
    </row>
    <row r="434" spans="1:49" s="226" customFormat="1" ht="96" x14ac:dyDescent="0.15">
      <c r="A434" s="225">
        <v>3513</v>
      </c>
      <c r="B434" s="226">
        <v>1221</v>
      </c>
      <c r="C434" s="226" t="s">
        <v>1923</v>
      </c>
      <c r="D434" s="226">
        <v>1</v>
      </c>
      <c r="E434" s="226">
        <v>0</v>
      </c>
      <c r="F434" s="226">
        <v>2</v>
      </c>
      <c r="G434" s="120">
        <v>200</v>
      </c>
      <c r="H434" s="226">
        <v>200</v>
      </c>
      <c r="I434" s="17">
        <v>0</v>
      </c>
      <c r="J434" s="227">
        <v>0</v>
      </c>
      <c r="K434" s="226">
        <v>0</v>
      </c>
      <c r="L434" s="226">
        <v>60019</v>
      </c>
      <c r="M434" s="226" t="s">
        <v>185</v>
      </c>
      <c r="N434" s="226">
        <v>60019</v>
      </c>
      <c r="O434" s="226" t="s">
        <v>185</v>
      </c>
      <c r="Q434" s="228"/>
      <c r="R434" s="228"/>
      <c r="S434" s="228">
        <v>10011</v>
      </c>
      <c r="T434" s="228"/>
      <c r="U434" s="25">
        <v>4</v>
      </c>
      <c r="V434" s="226">
        <v>0</v>
      </c>
      <c r="W434" s="229">
        <v>10</v>
      </c>
      <c r="Z434" s="230">
        <v>1800</v>
      </c>
      <c r="AB434" s="231"/>
      <c r="AC434" s="232"/>
      <c r="AD434" s="122" t="s">
        <v>7188</v>
      </c>
      <c r="AF434" s="233" t="s">
        <v>3917</v>
      </c>
      <c r="AG434" s="233" t="s">
        <v>3825</v>
      </c>
      <c r="AH434" s="233" t="s">
        <v>742</v>
      </c>
      <c r="AI434" s="233" t="s">
        <v>743</v>
      </c>
      <c r="AJ434" s="233"/>
      <c r="AK434" s="226" t="s">
        <v>3918</v>
      </c>
      <c r="AL434" s="234">
        <v>0</v>
      </c>
      <c r="AM434" s="235" t="s">
        <v>6143</v>
      </c>
      <c r="AN434" s="235" t="s">
        <v>5538</v>
      </c>
      <c r="AP434" s="226">
        <v>0</v>
      </c>
      <c r="AQ434" s="226">
        <v>0</v>
      </c>
      <c r="AR434" s="50">
        <v>1</v>
      </c>
      <c r="AS434" s="50">
        <v>1</v>
      </c>
      <c r="AU434" s="226">
        <v>0</v>
      </c>
      <c r="AV434" s="17">
        <f t="shared" si="85"/>
        <v>1</v>
      </c>
      <c r="AW434" s="226" t="str">
        <f>"{s_taskKillNpc, {"&amp;L434&amp;","&amp;N434&amp;","&amp;S434&amp;","&amp;U434&amp;"}}"</f>
        <v>{s_taskKillNpc, {60019,60019,10011,4}}</v>
      </c>
    </row>
    <row r="435" spans="1:49" s="50" customFormat="1" ht="132" x14ac:dyDescent="0.15">
      <c r="A435" s="9">
        <v>3521</v>
      </c>
      <c r="B435" s="50">
        <v>1222</v>
      </c>
      <c r="C435" s="50" t="s">
        <v>3775</v>
      </c>
      <c r="D435" s="50">
        <v>1</v>
      </c>
      <c r="E435" s="50">
        <v>0</v>
      </c>
      <c r="F435" s="50">
        <v>2</v>
      </c>
      <c r="G435" s="120">
        <v>200</v>
      </c>
      <c r="H435" s="50">
        <v>200</v>
      </c>
      <c r="I435" s="17">
        <v>0</v>
      </c>
      <c r="J435" s="201">
        <v>3511</v>
      </c>
      <c r="K435" s="50">
        <v>0</v>
      </c>
      <c r="L435" s="50">
        <v>60019</v>
      </c>
      <c r="M435" s="50" t="s">
        <v>185</v>
      </c>
      <c r="N435" s="50">
        <v>60019</v>
      </c>
      <c r="O435" s="50" t="s">
        <v>185</v>
      </c>
      <c r="Q435" s="121"/>
      <c r="R435" s="121"/>
      <c r="S435" s="121"/>
      <c r="T435" s="121"/>
      <c r="U435" s="50">
        <v>1</v>
      </c>
      <c r="V435" s="50">
        <v>0</v>
      </c>
      <c r="W435" s="122">
        <v>10</v>
      </c>
      <c r="Z435" s="123">
        <v>3000</v>
      </c>
      <c r="AB435" s="124"/>
      <c r="AC435" s="125"/>
      <c r="AF435" s="126" t="s">
        <v>9024</v>
      </c>
      <c r="AG435" s="126" t="s">
        <v>3826</v>
      </c>
      <c r="AH435" s="126" t="s">
        <v>744</v>
      </c>
      <c r="AI435" s="126" t="s">
        <v>745</v>
      </c>
      <c r="AJ435" s="126"/>
      <c r="AL435" s="120">
        <v>0</v>
      </c>
      <c r="AM435" s="127" t="s">
        <v>4052</v>
      </c>
      <c r="AN435" s="127" t="s">
        <v>5539</v>
      </c>
      <c r="AP435" s="50">
        <v>1</v>
      </c>
      <c r="AQ435" s="50">
        <v>0</v>
      </c>
      <c r="AR435" s="50">
        <v>1</v>
      </c>
      <c r="AS435" s="50">
        <v>1</v>
      </c>
      <c r="AU435" s="226">
        <v>0</v>
      </c>
      <c r="AV435" s="17">
        <f t="shared" si="85"/>
        <v>1</v>
      </c>
      <c r="AW435" s="50" t="str">
        <f>"{s_taskTalk,{"&amp;L435&amp;","&amp;N435&amp;"}}"</f>
        <v>{s_taskTalk,{60019,60019}}</v>
      </c>
    </row>
    <row r="436" spans="1:49" s="29" customFormat="1" ht="72" x14ac:dyDescent="0.15">
      <c r="A436" s="236">
        <v>3531</v>
      </c>
      <c r="B436" s="29">
        <v>1235</v>
      </c>
      <c r="C436" s="29" t="s">
        <v>1924</v>
      </c>
      <c r="D436" s="29">
        <v>1</v>
      </c>
      <c r="E436" s="29">
        <v>0</v>
      </c>
      <c r="F436" s="29">
        <v>2</v>
      </c>
      <c r="G436" s="120">
        <v>200</v>
      </c>
      <c r="H436" s="29">
        <v>200</v>
      </c>
      <c r="I436" s="17">
        <v>0</v>
      </c>
      <c r="J436" s="203">
        <v>0</v>
      </c>
      <c r="K436" s="29">
        <v>0</v>
      </c>
      <c r="L436" s="29">
        <v>60019</v>
      </c>
      <c r="M436" s="29" t="s">
        <v>185</v>
      </c>
      <c r="N436" s="29">
        <v>60019</v>
      </c>
      <c r="O436" s="29" t="s">
        <v>185</v>
      </c>
      <c r="Q436" s="130"/>
      <c r="R436" s="130"/>
      <c r="S436" s="130"/>
      <c r="T436" s="130"/>
      <c r="U436" s="29">
        <v>1</v>
      </c>
      <c r="V436" s="29">
        <v>1</v>
      </c>
      <c r="W436" s="131">
        <v>10</v>
      </c>
      <c r="Z436" s="132">
        <v>1000</v>
      </c>
      <c r="AB436" s="133"/>
      <c r="AC436" s="134">
        <v>100</v>
      </c>
      <c r="AD436" s="131" t="s">
        <v>353</v>
      </c>
      <c r="AF436" s="202" t="s">
        <v>746</v>
      </c>
      <c r="AG436" s="202" t="s">
        <v>747</v>
      </c>
      <c r="AH436" s="202" t="s">
        <v>748</v>
      </c>
      <c r="AI436" s="202"/>
      <c r="AJ436" s="202"/>
      <c r="AL436" s="30">
        <v>0</v>
      </c>
      <c r="AM436" s="129" t="s">
        <v>3026</v>
      </c>
      <c r="AN436" s="129" t="s">
        <v>5540</v>
      </c>
      <c r="AP436" s="29">
        <v>1</v>
      </c>
      <c r="AQ436" s="29">
        <v>0</v>
      </c>
      <c r="AR436" s="29">
        <v>1</v>
      </c>
      <c r="AS436" s="29">
        <v>1</v>
      </c>
      <c r="AU436" s="29">
        <v>0</v>
      </c>
      <c r="AV436" s="17">
        <f t="shared" si="85"/>
        <v>1</v>
      </c>
      <c r="AW436" s="29" t="str">
        <f>"{s_taskTalk,{"&amp;L436&amp;","&amp;N436&amp;"}}"</f>
        <v>{s_taskTalk,{60019,60019}}</v>
      </c>
    </row>
    <row r="437" spans="1:49" s="50" customFormat="1" ht="120" x14ac:dyDescent="0.15">
      <c r="A437" s="9">
        <v>3541</v>
      </c>
      <c r="B437" s="50">
        <v>1233</v>
      </c>
      <c r="C437" s="50" t="s">
        <v>1925</v>
      </c>
      <c r="D437" s="50">
        <v>1</v>
      </c>
      <c r="E437" s="50">
        <v>0</v>
      </c>
      <c r="F437" s="50">
        <v>2</v>
      </c>
      <c r="G437" s="120">
        <v>200</v>
      </c>
      <c r="H437" s="50">
        <v>200</v>
      </c>
      <c r="I437" s="17">
        <v>0</v>
      </c>
      <c r="J437" s="201">
        <v>3521</v>
      </c>
      <c r="K437" s="50">
        <v>0</v>
      </c>
      <c r="L437" s="50">
        <v>60019</v>
      </c>
      <c r="M437" s="50" t="s">
        <v>185</v>
      </c>
      <c r="N437" s="50">
        <v>60019</v>
      </c>
      <c r="O437" s="50" t="s">
        <v>185</v>
      </c>
      <c r="Q437" s="121"/>
      <c r="R437" s="121"/>
      <c r="S437" s="121">
        <v>10012</v>
      </c>
      <c r="T437" s="121"/>
      <c r="U437" s="25">
        <v>4</v>
      </c>
      <c r="V437" s="50">
        <v>0</v>
      </c>
      <c r="W437" s="122">
        <v>10</v>
      </c>
      <c r="Z437" s="123">
        <v>2500</v>
      </c>
      <c r="AB437" s="124"/>
      <c r="AC437" s="125"/>
      <c r="AD437" s="122" t="s">
        <v>3388</v>
      </c>
      <c r="AF437" s="126" t="s">
        <v>3919</v>
      </c>
      <c r="AG437" s="126" t="s">
        <v>3827</v>
      </c>
      <c r="AH437" s="126" t="s">
        <v>3853</v>
      </c>
      <c r="AI437" s="126" t="s">
        <v>749</v>
      </c>
      <c r="AJ437" s="126"/>
      <c r="AL437" s="120">
        <v>0</v>
      </c>
      <c r="AM437" s="127" t="s">
        <v>6144</v>
      </c>
      <c r="AN437" s="127" t="s">
        <v>5541</v>
      </c>
      <c r="AP437" s="50">
        <v>1</v>
      </c>
      <c r="AQ437" s="50">
        <v>0</v>
      </c>
      <c r="AR437" s="50">
        <v>1</v>
      </c>
      <c r="AS437" s="50">
        <v>1</v>
      </c>
      <c r="AU437" s="226">
        <v>0</v>
      </c>
      <c r="AV437" s="17">
        <f t="shared" si="85"/>
        <v>1</v>
      </c>
      <c r="AW437" s="50" t="str">
        <f>"{s_taskKillNpc, {"&amp;L437&amp;","&amp;N437&amp;","&amp;S437&amp;","&amp;U437&amp;"}}"</f>
        <v>{s_taskKillNpc, {60019,60019,10012,4}}</v>
      </c>
    </row>
    <row r="438" spans="1:49" s="50" customFormat="1" ht="108" x14ac:dyDescent="0.15">
      <c r="A438" s="200">
        <v>3551</v>
      </c>
      <c r="B438" s="50">
        <v>1234</v>
      </c>
      <c r="C438" s="50" t="s">
        <v>1926</v>
      </c>
      <c r="D438" s="50">
        <v>1</v>
      </c>
      <c r="E438" s="50">
        <v>0</v>
      </c>
      <c r="F438" s="50">
        <v>2</v>
      </c>
      <c r="G438" s="120">
        <v>200</v>
      </c>
      <c r="H438" s="50">
        <v>200</v>
      </c>
      <c r="I438" s="17">
        <v>0</v>
      </c>
      <c r="J438" s="201">
        <v>3541</v>
      </c>
      <c r="K438" s="50">
        <v>0</v>
      </c>
      <c r="L438" s="50">
        <v>60019</v>
      </c>
      <c r="M438" s="50" t="s">
        <v>185</v>
      </c>
      <c r="N438" s="50">
        <v>60038</v>
      </c>
      <c r="O438" s="50" t="s">
        <v>354</v>
      </c>
      <c r="Q438" s="121"/>
      <c r="R438" s="121"/>
      <c r="S438" s="121"/>
      <c r="T438" s="121"/>
      <c r="U438" s="50">
        <v>1</v>
      </c>
      <c r="V438" s="50">
        <v>1</v>
      </c>
      <c r="W438" s="122">
        <v>10</v>
      </c>
      <c r="Z438" s="123">
        <v>2000</v>
      </c>
      <c r="AB438" s="124"/>
      <c r="AC438" s="125"/>
      <c r="AF438" s="126" t="s">
        <v>76</v>
      </c>
      <c r="AG438" s="126" t="s">
        <v>750</v>
      </c>
      <c r="AH438" s="126" t="s">
        <v>751</v>
      </c>
      <c r="AI438" s="126"/>
      <c r="AJ438" s="126"/>
      <c r="AL438" s="120">
        <v>0</v>
      </c>
      <c r="AM438" s="127" t="s">
        <v>3027</v>
      </c>
      <c r="AN438" s="127" t="s">
        <v>5542</v>
      </c>
      <c r="AP438" s="50">
        <v>1</v>
      </c>
      <c r="AQ438" s="50">
        <v>0</v>
      </c>
      <c r="AR438" s="50">
        <v>1</v>
      </c>
      <c r="AS438" s="50">
        <v>1</v>
      </c>
      <c r="AU438" s="226">
        <v>0</v>
      </c>
      <c r="AV438" s="17">
        <f t="shared" si="85"/>
        <v>1</v>
      </c>
      <c r="AW438" s="50" t="str">
        <f>"{s_taskTalk,{"&amp;L438&amp;","&amp;N438&amp;"}}"</f>
        <v>{s_taskTalk,{60019,60038}}</v>
      </c>
    </row>
    <row r="439" spans="1:49" s="29" customFormat="1" ht="84" x14ac:dyDescent="0.15">
      <c r="A439" s="28">
        <v>3561</v>
      </c>
      <c r="C439" s="29" t="s">
        <v>1927</v>
      </c>
      <c r="D439" s="29">
        <v>1</v>
      </c>
      <c r="E439" s="29">
        <v>0</v>
      </c>
      <c r="F439" s="29">
        <v>2</v>
      </c>
      <c r="G439" s="120">
        <v>200</v>
      </c>
      <c r="H439" s="29">
        <v>200</v>
      </c>
      <c r="I439" s="17">
        <v>0</v>
      </c>
      <c r="J439" s="203">
        <v>0</v>
      </c>
      <c r="K439" s="29">
        <v>0</v>
      </c>
      <c r="L439" s="29">
        <v>60038</v>
      </c>
      <c r="M439" s="29" t="s">
        <v>188</v>
      </c>
      <c r="N439" s="29">
        <v>60038</v>
      </c>
      <c r="O439" s="29" t="s">
        <v>188</v>
      </c>
      <c r="Q439" s="130"/>
      <c r="R439" s="130"/>
      <c r="S439" s="130"/>
      <c r="T439" s="130"/>
      <c r="U439" s="29">
        <v>4</v>
      </c>
      <c r="V439" s="29">
        <v>0</v>
      </c>
      <c r="W439" s="131">
        <v>10</v>
      </c>
      <c r="Z439" s="132">
        <v>1600</v>
      </c>
      <c r="AB439" s="133"/>
      <c r="AC439" s="134"/>
      <c r="AF439" s="202" t="s">
        <v>752</v>
      </c>
      <c r="AG439" s="202" t="s">
        <v>753</v>
      </c>
      <c r="AH439" s="202" t="s">
        <v>641</v>
      </c>
      <c r="AI439" s="202"/>
      <c r="AJ439" s="202"/>
      <c r="AL439" s="30">
        <v>0</v>
      </c>
      <c r="AM439" s="129" t="s">
        <v>3028</v>
      </c>
      <c r="AN439" s="129" t="s">
        <v>5543</v>
      </c>
      <c r="AP439" s="29">
        <v>1</v>
      </c>
      <c r="AQ439" s="29">
        <v>0</v>
      </c>
      <c r="AR439" s="29">
        <v>1</v>
      </c>
      <c r="AS439" s="29">
        <v>1</v>
      </c>
      <c r="AU439" s="29">
        <v>0</v>
      </c>
      <c r="AV439" s="17">
        <f t="shared" si="85"/>
        <v>1</v>
      </c>
      <c r="AW439" s="29" t="str">
        <f>"{s_taskTalk,{"&amp;L439&amp;","&amp;N439&amp;"}}"</f>
        <v>{s_taskTalk,{60038,60038}}</v>
      </c>
    </row>
    <row r="440" spans="1:49" s="127" customFormat="1" ht="72" x14ac:dyDescent="0.15">
      <c r="A440" s="237">
        <v>3571</v>
      </c>
      <c r="C440" s="127" t="s">
        <v>4807</v>
      </c>
      <c r="D440" s="127">
        <v>1</v>
      </c>
      <c r="E440" s="127">
        <v>0</v>
      </c>
      <c r="F440" s="127">
        <v>2</v>
      </c>
      <c r="G440" s="120">
        <v>200</v>
      </c>
      <c r="H440" s="127">
        <v>200</v>
      </c>
      <c r="I440" s="17">
        <v>0</v>
      </c>
      <c r="J440" s="238">
        <v>3551</v>
      </c>
      <c r="K440" s="127">
        <v>0</v>
      </c>
      <c r="L440" s="127">
        <v>60038</v>
      </c>
      <c r="M440" s="127" t="s">
        <v>188</v>
      </c>
      <c r="N440" s="127">
        <v>60038</v>
      </c>
      <c r="O440" s="127" t="s">
        <v>188</v>
      </c>
      <c r="Q440" s="121"/>
      <c r="R440" s="121"/>
      <c r="S440" s="121"/>
      <c r="T440" s="121"/>
      <c r="U440" s="127">
        <v>1</v>
      </c>
      <c r="V440" s="127">
        <v>1</v>
      </c>
      <c r="W440" s="122">
        <v>10</v>
      </c>
      <c r="Z440" s="123">
        <v>2000</v>
      </c>
      <c r="AB440" s="124"/>
      <c r="AC440" s="125"/>
      <c r="AD440" s="128" t="s">
        <v>355</v>
      </c>
      <c r="AF440" s="62" t="s">
        <v>4808</v>
      </c>
      <c r="AG440" s="62" t="s">
        <v>642</v>
      </c>
      <c r="AH440" s="62" t="s">
        <v>562</v>
      </c>
      <c r="AI440" s="62" t="s">
        <v>754</v>
      </c>
      <c r="AJ440" s="62"/>
      <c r="AL440" s="239">
        <v>0</v>
      </c>
      <c r="AM440" s="127" t="s">
        <v>3029</v>
      </c>
      <c r="AN440" s="127" t="s">
        <v>5544</v>
      </c>
      <c r="AP440" s="127">
        <v>1</v>
      </c>
      <c r="AQ440" s="127">
        <v>0</v>
      </c>
      <c r="AR440" s="50">
        <v>1</v>
      </c>
      <c r="AS440" s="50">
        <v>1</v>
      </c>
      <c r="AU440" s="226">
        <v>0</v>
      </c>
      <c r="AV440" s="17">
        <f t="shared" si="85"/>
        <v>1</v>
      </c>
      <c r="AW440" s="50" t="str">
        <f>"{s_taskTalk,{"&amp;L440&amp;","&amp;N440&amp;"}}"</f>
        <v>{s_taskTalk,{60038,60038}}</v>
      </c>
    </row>
    <row r="441" spans="1:49" s="226" customFormat="1" ht="132" x14ac:dyDescent="0.15">
      <c r="A441" s="240">
        <v>3581</v>
      </c>
      <c r="B441" s="226">
        <v>1237</v>
      </c>
      <c r="C441" s="226" t="s">
        <v>3906</v>
      </c>
      <c r="D441" s="226">
        <v>1</v>
      </c>
      <c r="E441" s="226">
        <v>0</v>
      </c>
      <c r="F441" s="226">
        <v>2</v>
      </c>
      <c r="G441" s="120">
        <v>200</v>
      </c>
      <c r="H441" s="226">
        <v>200</v>
      </c>
      <c r="I441" s="17">
        <v>0</v>
      </c>
      <c r="J441" s="227">
        <v>3571</v>
      </c>
      <c r="K441" s="226">
        <v>0</v>
      </c>
      <c r="L441" s="226">
        <v>60038</v>
      </c>
      <c r="M441" s="226" t="s">
        <v>188</v>
      </c>
      <c r="N441" s="226">
        <v>60038</v>
      </c>
      <c r="O441" s="226" t="s">
        <v>188</v>
      </c>
      <c r="Q441" s="228"/>
      <c r="R441" s="228"/>
      <c r="S441" s="228">
        <v>10013</v>
      </c>
      <c r="T441" s="228"/>
      <c r="U441" s="25">
        <v>4</v>
      </c>
      <c r="V441" s="226">
        <v>0</v>
      </c>
      <c r="W441" s="229">
        <v>10</v>
      </c>
      <c r="Z441" s="230">
        <v>2500</v>
      </c>
      <c r="AB441" s="231"/>
      <c r="AC441" s="232"/>
      <c r="AF441" s="233" t="s">
        <v>3920</v>
      </c>
      <c r="AG441" s="233" t="s">
        <v>3828</v>
      </c>
      <c r="AH441" s="233" t="s">
        <v>3854</v>
      </c>
      <c r="AI441" s="233" t="s">
        <v>755</v>
      </c>
      <c r="AJ441" s="233"/>
      <c r="AL441" s="234">
        <v>0</v>
      </c>
      <c r="AM441" s="235" t="s">
        <v>3921</v>
      </c>
      <c r="AN441" s="235" t="s">
        <v>5545</v>
      </c>
      <c r="AP441" s="226">
        <v>1</v>
      </c>
      <c r="AQ441" s="226">
        <v>0</v>
      </c>
      <c r="AR441" s="50">
        <v>1</v>
      </c>
      <c r="AS441" s="50">
        <v>1</v>
      </c>
      <c r="AU441" s="226">
        <v>0</v>
      </c>
      <c r="AV441" s="17">
        <f t="shared" ref="AV441:AV504" si="92">IF(D441 = 1,1,0)</f>
        <v>1</v>
      </c>
      <c r="AW441" s="226" t="str">
        <f>"{s_taskKillNpc, {"&amp;L441&amp;","&amp;N441&amp;","&amp;S441&amp;","&amp;U441&amp;"}}"</f>
        <v>{s_taskKillNpc, {60038,60038,10013,4}}</v>
      </c>
    </row>
    <row r="442" spans="1:49" s="226" customFormat="1" ht="132" x14ac:dyDescent="0.15">
      <c r="A442" s="240">
        <v>3582</v>
      </c>
      <c r="B442" s="226">
        <v>1237</v>
      </c>
      <c r="C442" s="226" t="s">
        <v>1928</v>
      </c>
      <c r="D442" s="226">
        <v>1</v>
      </c>
      <c r="E442" s="226">
        <v>0</v>
      </c>
      <c r="F442" s="226">
        <v>2</v>
      </c>
      <c r="G442" s="120">
        <v>200</v>
      </c>
      <c r="H442" s="226">
        <v>200</v>
      </c>
      <c r="I442" s="17">
        <v>0</v>
      </c>
      <c r="J442" s="227">
        <v>0</v>
      </c>
      <c r="K442" s="226">
        <v>0</v>
      </c>
      <c r="L442" s="226">
        <v>60038</v>
      </c>
      <c r="M442" s="226" t="s">
        <v>188</v>
      </c>
      <c r="N442" s="226">
        <v>60038</v>
      </c>
      <c r="O442" s="226" t="s">
        <v>188</v>
      </c>
      <c r="Q442" s="228"/>
      <c r="R442" s="228"/>
      <c r="S442" s="228">
        <v>10013</v>
      </c>
      <c r="T442" s="228"/>
      <c r="U442" s="25">
        <v>4</v>
      </c>
      <c r="V442" s="226">
        <v>0</v>
      </c>
      <c r="W442" s="229">
        <v>10</v>
      </c>
      <c r="Z442" s="230">
        <v>2500</v>
      </c>
      <c r="AB442" s="231"/>
      <c r="AC442" s="232"/>
      <c r="AD442" s="229" t="s">
        <v>7189</v>
      </c>
      <c r="AF442" s="233" t="s">
        <v>3920</v>
      </c>
      <c r="AG442" s="233" t="s">
        <v>3828</v>
      </c>
      <c r="AH442" s="233" t="s">
        <v>3854</v>
      </c>
      <c r="AI442" s="233" t="s">
        <v>755</v>
      </c>
      <c r="AJ442" s="233"/>
      <c r="AL442" s="234">
        <v>0</v>
      </c>
      <c r="AM442" s="235" t="s">
        <v>4053</v>
      </c>
      <c r="AN442" s="235" t="s">
        <v>5545</v>
      </c>
      <c r="AP442" s="226">
        <v>0</v>
      </c>
      <c r="AQ442" s="226">
        <v>0</v>
      </c>
      <c r="AR442" s="50">
        <v>1</v>
      </c>
      <c r="AS442" s="50">
        <v>1</v>
      </c>
      <c r="AU442" s="226">
        <v>0</v>
      </c>
      <c r="AV442" s="17">
        <f t="shared" si="92"/>
        <v>1</v>
      </c>
      <c r="AW442" s="226" t="str">
        <f>"{s_taskKillNpc, {"&amp;L442&amp;","&amp;N442&amp;","&amp;S442&amp;","&amp;U442&amp;"}}"</f>
        <v>{s_taskKillNpc, {60038,60038,10013,4}}</v>
      </c>
    </row>
    <row r="443" spans="1:49" s="226" customFormat="1" ht="132" x14ac:dyDescent="0.15">
      <c r="A443" s="240">
        <v>3583</v>
      </c>
      <c r="B443" s="226">
        <v>1237</v>
      </c>
      <c r="C443" s="226" t="s">
        <v>1928</v>
      </c>
      <c r="D443" s="226">
        <v>1</v>
      </c>
      <c r="E443" s="226">
        <v>0</v>
      </c>
      <c r="F443" s="226">
        <v>2</v>
      </c>
      <c r="G443" s="120">
        <v>200</v>
      </c>
      <c r="H443" s="226">
        <v>200</v>
      </c>
      <c r="I443" s="17">
        <v>0</v>
      </c>
      <c r="J443" s="227">
        <v>0</v>
      </c>
      <c r="K443" s="226">
        <v>0</v>
      </c>
      <c r="L443" s="226">
        <v>60038</v>
      </c>
      <c r="M443" s="226" t="s">
        <v>188</v>
      </c>
      <c r="N443" s="226">
        <v>60038</v>
      </c>
      <c r="O443" s="226" t="s">
        <v>188</v>
      </c>
      <c r="Q443" s="228"/>
      <c r="R443" s="228"/>
      <c r="S443" s="228">
        <v>10013</v>
      </c>
      <c r="T443" s="228"/>
      <c r="U443" s="25">
        <v>4</v>
      </c>
      <c r="V443" s="226">
        <v>0</v>
      </c>
      <c r="W443" s="229">
        <v>10</v>
      </c>
      <c r="Z443" s="230">
        <v>2500</v>
      </c>
      <c r="AB443" s="231"/>
      <c r="AC443" s="232"/>
      <c r="AD443" s="229" t="s">
        <v>7190</v>
      </c>
      <c r="AF443" s="233" t="s">
        <v>3920</v>
      </c>
      <c r="AG443" s="233" t="s">
        <v>3828</v>
      </c>
      <c r="AH443" s="233" t="s">
        <v>3854</v>
      </c>
      <c r="AI443" s="233" t="s">
        <v>755</v>
      </c>
      <c r="AJ443" s="233"/>
      <c r="AL443" s="234">
        <v>0</v>
      </c>
      <c r="AM443" s="235" t="s">
        <v>4054</v>
      </c>
      <c r="AN443" s="235" t="s">
        <v>5545</v>
      </c>
      <c r="AP443" s="226">
        <v>0</v>
      </c>
      <c r="AQ443" s="226">
        <v>0</v>
      </c>
      <c r="AR443" s="50">
        <v>1</v>
      </c>
      <c r="AS443" s="50">
        <v>1</v>
      </c>
      <c r="AU443" s="226">
        <v>0</v>
      </c>
      <c r="AV443" s="17">
        <f t="shared" si="92"/>
        <v>1</v>
      </c>
      <c r="AW443" s="226" t="str">
        <f>"{s_taskKillNpc, {"&amp;L443&amp;","&amp;N443&amp;","&amp;S443&amp;","&amp;U443&amp;"}}"</f>
        <v>{s_taskKillNpc, {60038,60038,10013,4}}</v>
      </c>
    </row>
    <row r="444" spans="1:49" s="50" customFormat="1" ht="96" x14ac:dyDescent="0.15">
      <c r="A444" s="200">
        <v>3591</v>
      </c>
      <c r="B444" s="50">
        <v>1241</v>
      </c>
      <c r="C444" s="50" t="s">
        <v>1929</v>
      </c>
      <c r="D444" s="50">
        <v>1</v>
      </c>
      <c r="E444" s="50">
        <v>0</v>
      </c>
      <c r="F444" s="50">
        <v>2</v>
      </c>
      <c r="G444" s="120">
        <v>200</v>
      </c>
      <c r="H444" s="50">
        <v>200</v>
      </c>
      <c r="I444" s="17">
        <v>0</v>
      </c>
      <c r="J444" s="201">
        <v>3581</v>
      </c>
      <c r="K444" s="50">
        <v>0</v>
      </c>
      <c r="L444" s="50">
        <v>60038</v>
      </c>
      <c r="M444" s="50" t="s">
        <v>188</v>
      </c>
      <c r="N444" s="50">
        <v>60038</v>
      </c>
      <c r="O444" s="50" t="s">
        <v>188</v>
      </c>
      <c r="Q444" s="121">
        <v>60144</v>
      </c>
      <c r="R444" s="121"/>
      <c r="S444" s="121"/>
      <c r="T444" s="121"/>
      <c r="U444" s="50">
        <v>2</v>
      </c>
      <c r="V444" s="50">
        <v>0</v>
      </c>
      <c r="W444" s="122">
        <v>10</v>
      </c>
      <c r="Z444" s="123">
        <v>1400</v>
      </c>
      <c r="AB444" s="124"/>
      <c r="AC444" s="125"/>
      <c r="AD444" s="122"/>
      <c r="AF444" s="126" t="s">
        <v>3940</v>
      </c>
      <c r="AG444" s="126" t="s">
        <v>266</v>
      </c>
      <c r="AH444" s="126" t="s">
        <v>756</v>
      </c>
      <c r="AI444" s="126" t="s">
        <v>757</v>
      </c>
      <c r="AJ444" s="126"/>
      <c r="AL444" s="120">
        <v>0</v>
      </c>
      <c r="AM444" s="127" t="s">
        <v>3941</v>
      </c>
      <c r="AN444" s="127" t="s">
        <v>5546</v>
      </c>
      <c r="AO444" s="50" t="s">
        <v>3942</v>
      </c>
      <c r="AP444" s="50">
        <v>1</v>
      </c>
      <c r="AQ444" s="50">
        <v>0</v>
      </c>
      <c r="AR444" s="50">
        <v>1</v>
      </c>
      <c r="AS444" s="50">
        <v>1</v>
      </c>
      <c r="AU444" s="226">
        <v>0</v>
      </c>
      <c r="AV444" s="17">
        <f t="shared" si="92"/>
        <v>1</v>
      </c>
      <c r="AW444" s="50" t="str">
        <f>"{s_taskTalk,{"&amp;L444&amp;","&amp;N444&amp;"}}"</f>
        <v>{s_taskTalk,{60038,60038}}</v>
      </c>
    </row>
    <row r="445" spans="1:49" s="50" customFormat="1" ht="72" x14ac:dyDescent="0.15">
      <c r="A445" s="9">
        <v>3601</v>
      </c>
      <c r="B445" s="50">
        <v>1203</v>
      </c>
      <c r="C445" s="50" t="s">
        <v>1930</v>
      </c>
      <c r="D445" s="50">
        <v>1</v>
      </c>
      <c r="E445" s="50">
        <v>0</v>
      </c>
      <c r="F445" s="50">
        <v>2</v>
      </c>
      <c r="G445" s="120">
        <v>200</v>
      </c>
      <c r="H445" s="50">
        <v>200</v>
      </c>
      <c r="I445" s="17">
        <v>0</v>
      </c>
      <c r="J445" s="201">
        <v>3591</v>
      </c>
      <c r="K445" s="50">
        <v>0</v>
      </c>
      <c r="L445" s="50">
        <v>60038</v>
      </c>
      <c r="M445" s="50" t="s">
        <v>188</v>
      </c>
      <c r="N445" s="50">
        <v>60038</v>
      </c>
      <c r="O445" s="50" t="s">
        <v>188</v>
      </c>
      <c r="Q445" s="121"/>
      <c r="R445" s="121"/>
      <c r="S445" s="121"/>
      <c r="T445" s="121"/>
      <c r="U445" s="50">
        <v>1</v>
      </c>
      <c r="V445" s="50">
        <v>0</v>
      </c>
      <c r="W445" s="122">
        <v>10</v>
      </c>
      <c r="Z445" s="123">
        <v>1200</v>
      </c>
      <c r="AB445" s="124"/>
      <c r="AC445" s="125"/>
      <c r="AF445" s="126" t="s">
        <v>758</v>
      </c>
      <c r="AG445" s="126" t="s">
        <v>759</v>
      </c>
      <c r="AH445" s="126" t="s">
        <v>707</v>
      </c>
      <c r="AI445" s="126" t="s">
        <v>708</v>
      </c>
      <c r="AJ445" s="126"/>
      <c r="AL445" s="120">
        <v>0</v>
      </c>
      <c r="AM445" s="127" t="s">
        <v>3030</v>
      </c>
      <c r="AN445" s="127" t="s">
        <v>5547</v>
      </c>
      <c r="AP445" s="50">
        <v>1</v>
      </c>
      <c r="AQ445" s="50">
        <v>0</v>
      </c>
      <c r="AR445" s="50">
        <v>1</v>
      </c>
      <c r="AS445" s="50">
        <v>0</v>
      </c>
      <c r="AU445" s="226">
        <v>0</v>
      </c>
      <c r="AV445" s="17">
        <f t="shared" si="92"/>
        <v>1</v>
      </c>
      <c r="AW445" s="50" t="str">
        <f>"{s_taskTalk,{"&amp;L445&amp;","&amp;N445&amp;"}}"</f>
        <v>{s_taskTalk,{60038,60038}}</v>
      </c>
    </row>
    <row r="446" spans="1:49" s="218" customFormat="1" ht="108" x14ac:dyDescent="0.15">
      <c r="A446" s="200">
        <v>3611</v>
      </c>
      <c r="C446" s="218" t="s">
        <v>1931</v>
      </c>
      <c r="D446" s="50">
        <v>1</v>
      </c>
      <c r="E446" s="50">
        <v>0</v>
      </c>
      <c r="F446" s="218">
        <v>2</v>
      </c>
      <c r="G446" s="120">
        <v>200</v>
      </c>
      <c r="H446" s="218">
        <v>200</v>
      </c>
      <c r="I446" s="17">
        <v>0</v>
      </c>
      <c r="J446" s="201">
        <v>3601</v>
      </c>
      <c r="K446" s="218">
        <v>0</v>
      </c>
      <c r="L446" s="218">
        <v>60038</v>
      </c>
      <c r="M446" s="218" t="s">
        <v>188</v>
      </c>
      <c r="N446" s="218">
        <v>60019</v>
      </c>
      <c r="O446" s="218" t="s">
        <v>185</v>
      </c>
      <c r="Q446" s="220"/>
      <c r="R446" s="220"/>
      <c r="S446" s="220"/>
      <c r="T446" s="220"/>
      <c r="U446" s="218">
        <v>1</v>
      </c>
      <c r="V446" s="218">
        <v>1</v>
      </c>
      <c r="W446" s="122">
        <v>10</v>
      </c>
      <c r="Z446" s="123">
        <v>1200</v>
      </c>
      <c r="AB446" s="221"/>
      <c r="AC446" s="222"/>
      <c r="AF446" s="223" t="s">
        <v>760</v>
      </c>
      <c r="AG446" s="223" t="s">
        <v>3829</v>
      </c>
      <c r="AH446" s="223" t="s">
        <v>761</v>
      </c>
      <c r="AI446" s="224"/>
      <c r="AJ446" s="224"/>
      <c r="AL446" s="201">
        <v>0</v>
      </c>
      <c r="AM446" s="219" t="s">
        <v>3031</v>
      </c>
      <c r="AN446" s="219" t="s">
        <v>5548</v>
      </c>
      <c r="AP446" s="218">
        <v>1</v>
      </c>
      <c r="AQ446" s="218">
        <v>0</v>
      </c>
      <c r="AR446" s="50">
        <v>1</v>
      </c>
      <c r="AS446" s="50">
        <v>1</v>
      </c>
      <c r="AU446" s="226">
        <v>0</v>
      </c>
      <c r="AV446" s="17">
        <f t="shared" si="92"/>
        <v>1</v>
      </c>
      <c r="AW446" s="50" t="str">
        <f>"{s_taskTalk,{"&amp;L446&amp;","&amp;N446&amp;"}}"</f>
        <v>{s_taskTalk,{60038,60019}}</v>
      </c>
    </row>
    <row r="447" spans="1:49" s="50" customFormat="1" ht="108.75" thickBot="1" x14ac:dyDescent="0.2">
      <c r="A447" s="9">
        <v>3621</v>
      </c>
      <c r="B447" s="50">
        <v>1243</v>
      </c>
      <c r="C447" s="218" t="s">
        <v>3779</v>
      </c>
      <c r="D447" s="50">
        <v>1</v>
      </c>
      <c r="E447" s="50">
        <v>0</v>
      </c>
      <c r="F447" s="50">
        <v>2</v>
      </c>
      <c r="G447" s="120">
        <v>200</v>
      </c>
      <c r="H447" s="50">
        <v>200</v>
      </c>
      <c r="I447" s="17">
        <v>0</v>
      </c>
      <c r="J447" s="201">
        <v>3611</v>
      </c>
      <c r="K447" s="50">
        <v>0</v>
      </c>
      <c r="L447" s="50">
        <v>60019</v>
      </c>
      <c r="M447" s="50" t="s">
        <v>185</v>
      </c>
      <c r="N447" s="50">
        <v>60028</v>
      </c>
      <c r="O447" s="50" t="s">
        <v>189</v>
      </c>
      <c r="Q447" s="121"/>
      <c r="R447" s="121"/>
      <c r="S447" s="121">
        <v>10014</v>
      </c>
      <c r="T447" s="121"/>
      <c r="U447" s="25">
        <v>3</v>
      </c>
      <c r="V447" s="50">
        <v>0</v>
      </c>
      <c r="W447" s="122">
        <v>10</v>
      </c>
      <c r="Z447" s="123">
        <v>2900</v>
      </c>
      <c r="AB447" s="124"/>
      <c r="AC447" s="125"/>
      <c r="AF447" s="126" t="s">
        <v>3967</v>
      </c>
      <c r="AG447" s="126" t="s">
        <v>3830</v>
      </c>
      <c r="AH447" s="126" t="s">
        <v>3831</v>
      </c>
      <c r="AI447" s="126" t="s">
        <v>762</v>
      </c>
      <c r="AJ447" s="126"/>
      <c r="AL447" s="120">
        <v>0</v>
      </c>
      <c r="AM447" s="127" t="s">
        <v>3766</v>
      </c>
      <c r="AN447" s="127" t="s">
        <v>5549</v>
      </c>
      <c r="AO447" s="50" t="s">
        <v>3767</v>
      </c>
      <c r="AP447" s="50">
        <v>1</v>
      </c>
      <c r="AQ447" s="50">
        <v>0</v>
      </c>
      <c r="AR447" s="50">
        <v>1</v>
      </c>
      <c r="AS447" s="50">
        <v>1</v>
      </c>
      <c r="AU447" s="226">
        <v>0</v>
      </c>
      <c r="AV447" s="17">
        <f t="shared" si="92"/>
        <v>1</v>
      </c>
      <c r="AW447" s="50" t="str">
        <f>"{s_taskKillNpc, {"&amp;L447&amp;","&amp;N447&amp;","&amp;S447&amp;","&amp;U447&amp;"}}"</f>
        <v>{s_taskKillNpc, {60019,60028,10014,3}}</v>
      </c>
    </row>
    <row r="448" spans="1:49" s="242" customFormat="1" ht="108" x14ac:dyDescent="0.15">
      <c r="A448" s="241">
        <v>3631</v>
      </c>
      <c r="C448" s="242" t="s">
        <v>1932</v>
      </c>
      <c r="D448" s="242">
        <v>1</v>
      </c>
      <c r="E448" s="242">
        <v>0</v>
      </c>
      <c r="F448" s="242">
        <v>2</v>
      </c>
      <c r="G448" s="120">
        <v>200</v>
      </c>
      <c r="H448" s="242">
        <v>200</v>
      </c>
      <c r="I448" s="17">
        <v>0</v>
      </c>
      <c r="J448" s="243">
        <v>3621</v>
      </c>
      <c r="K448" s="242">
        <v>0</v>
      </c>
      <c r="L448" s="242">
        <v>60028</v>
      </c>
      <c r="M448" s="242" t="s">
        <v>189</v>
      </c>
      <c r="N448" s="242">
        <v>60028</v>
      </c>
      <c r="O448" s="242" t="s">
        <v>189</v>
      </c>
      <c r="Q448" s="244"/>
      <c r="R448" s="244"/>
      <c r="S448" s="244"/>
      <c r="T448" s="244"/>
      <c r="U448" s="242">
        <v>1</v>
      </c>
      <c r="V448" s="242">
        <v>1</v>
      </c>
      <c r="W448" s="122">
        <v>10</v>
      </c>
      <c r="Z448" s="245">
        <v>1700</v>
      </c>
      <c r="AB448" s="246"/>
      <c r="AC448" s="247"/>
      <c r="AF448" s="248" t="s">
        <v>763</v>
      </c>
      <c r="AG448" s="248" t="s">
        <v>3832</v>
      </c>
      <c r="AH448" s="248" t="s">
        <v>764</v>
      </c>
      <c r="AI448" s="248"/>
      <c r="AJ448" s="248"/>
      <c r="AL448" s="249">
        <v>0</v>
      </c>
      <c r="AM448" s="242" t="s">
        <v>3032</v>
      </c>
      <c r="AN448" s="242" t="s">
        <v>5550</v>
      </c>
      <c r="AP448" s="242">
        <v>1</v>
      </c>
      <c r="AQ448" s="242">
        <v>0</v>
      </c>
      <c r="AR448" s="50">
        <v>1</v>
      </c>
      <c r="AS448" s="50">
        <v>1</v>
      </c>
      <c r="AU448" s="226">
        <v>0</v>
      </c>
      <c r="AV448" s="17">
        <f t="shared" si="92"/>
        <v>1</v>
      </c>
      <c r="AW448" s="50" t="str">
        <f>"{s_taskTalk,{"&amp;L448&amp;","&amp;N448&amp;"}}"</f>
        <v>{s_taskTalk,{60028,60028}}</v>
      </c>
    </row>
    <row r="449" spans="1:49" s="127" customFormat="1" ht="84" x14ac:dyDescent="0.15">
      <c r="A449" s="250">
        <v>3651</v>
      </c>
      <c r="C449" s="127" t="s">
        <v>1933</v>
      </c>
      <c r="D449" s="127">
        <v>1</v>
      </c>
      <c r="E449" s="127">
        <v>0</v>
      </c>
      <c r="F449" s="127">
        <v>2</v>
      </c>
      <c r="G449" s="120">
        <v>200</v>
      </c>
      <c r="H449" s="127">
        <v>200</v>
      </c>
      <c r="I449" s="17">
        <v>0</v>
      </c>
      <c r="J449" s="238">
        <v>3631</v>
      </c>
      <c r="K449" s="127">
        <v>0</v>
      </c>
      <c r="L449" s="127">
        <v>60028</v>
      </c>
      <c r="M449" s="127" t="s">
        <v>189</v>
      </c>
      <c r="N449" s="127">
        <v>60037</v>
      </c>
      <c r="O449" s="127" t="s">
        <v>190</v>
      </c>
      <c r="Q449" s="121"/>
      <c r="R449" s="121"/>
      <c r="S449" s="121"/>
      <c r="T449" s="121"/>
      <c r="U449" s="127">
        <v>1</v>
      </c>
      <c r="V449" s="127">
        <v>1</v>
      </c>
      <c r="W449" s="122">
        <v>10</v>
      </c>
      <c r="Z449" s="123">
        <v>2500</v>
      </c>
      <c r="AB449" s="124"/>
      <c r="AC449" s="125"/>
      <c r="AF449" s="62" t="s">
        <v>4643</v>
      </c>
      <c r="AG449" s="62" t="s">
        <v>4644</v>
      </c>
      <c r="AH449" s="62" t="s">
        <v>765</v>
      </c>
      <c r="AI449" s="62"/>
      <c r="AJ449" s="62"/>
      <c r="AL449" s="239">
        <v>0</v>
      </c>
      <c r="AM449" s="127" t="s">
        <v>3033</v>
      </c>
      <c r="AN449" s="127" t="s">
        <v>5551</v>
      </c>
      <c r="AP449" s="127">
        <v>1</v>
      </c>
      <c r="AQ449" s="127">
        <v>0</v>
      </c>
      <c r="AR449" s="50">
        <v>1</v>
      </c>
      <c r="AS449" s="50">
        <v>1</v>
      </c>
      <c r="AU449" s="226">
        <v>0</v>
      </c>
      <c r="AV449" s="17">
        <f t="shared" si="92"/>
        <v>1</v>
      </c>
      <c r="AW449" s="50" t="str">
        <f>"{s_taskTalk,{"&amp;L449&amp;","&amp;N449&amp;"}}"</f>
        <v>{s_taskTalk,{60028,60037}}</v>
      </c>
    </row>
    <row r="450" spans="1:49" s="127" customFormat="1" ht="72" x14ac:dyDescent="0.15">
      <c r="A450" s="251">
        <v>3661</v>
      </c>
      <c r="B450" s="127">
        <v>1253</v>
      </c>
      <c r="C450" s="127" t="s">
        <v>1934</v>
      </c>
      <c r="D450" s="127">
        <v>1</v>
      </c>
      <c r="E450" s="127">
        <v>0</v>
      </c>
      <c r="F450" s="127">
        <v>2</v>
      </c>
      <c r="G450" s="120">
        <v>200</v>
      </c>
      <c r="H450" s="127">
        <v>200</v>
      </c>
      <c r="I450" s="17">
        <v>0</v>
      </c>
      <c r="J450" s="238">
        <v>3651</v>
      </c>
      <c r="K450" s="127">
        <v>0</v>
      </c>
      <c r="L450" s="127">
        <v>60037</v>
      </c>
      <c r="M450" s="127" t="s">
        <v>190</v>
      </c>
      <c r="N450" s="127">
        <v>60037</v>
      </c>
      <c r="O450" s="127" t="s">
        <v>190</v>
      </c>
      <c r="Q450" s="121"/>
      <c r="R450" s="121"/>
      <c r="S450" s="121"/>
      <c r="T450" s="121"/>
      <c r="U450" s="127">
        <v>1</v>
      </c>
      <c r="V450" s="127">
        <v>1</v>
      </c>
      <c r="W450" s="122">
        <v>10</v>
      </c>
      <c r="Z450" s="123">
        <v>2500</v>
      </c>
      <c r="AB450" s="124"/>
      <c r="AC450" s="125"/>
      <c r="AD450" s="122"/>
      <c r="AF450" s="62" t="s">
        <v>766</v>
      </c>
      <c r="AG450" s="62" t="s">
        <v>3907</v>
      </c>
      <c r="AH450" s="62" t="s">
        <v>267</v>
      </c>
      <c r="AI450" s="62" t="s">
        <v>767</v>
      </c>
      <c r="AJ450" s="62"/>
      <c r="AL450" s="239">
        <v>0</v>
      </c>
      <c r="AM450" s="127" t="s">
        <v>3034</v>
      </c>
      <c r="AN450" s="127" t="s">
        <v>5552</v>
      </c>
      <c r="AP450" s="127">
        <v>1</v>
      </c>
      <c r="AQ450" s="127">
        <v>0</v>
      </c>
      <c r="AR450" s="50">
        <v>1</v>
      </c>
      <c r="AS450" s="50">
        <v>1</v>
      </c>
      <c r="AU450" s="226">
        <v>0</v>
      </c>
      <c r="AV450" s="17">
        <f t="shared" si="92"/>
        <v>1</v>
      </c>
      <c r="AW450" s="50" t="str">
        <f>"{s_taskTalk,{"&amp;L450&amp;","&amp;N450&amp;"}}"</f>
        <v>{s_taskTalk,{60037,60037}}</v>
      </c>
    </row>
    <row r="451" spans="1:49" s="204" customFormat="1" ht="120" x14ac:dyDescent="0.15">
      <c r="A451" s="250">
        <v>3671</v>
      </c>
      <c r="B451" s="204">
        <v>1255</v>
      </c>
      <c r="C451" s="204" t="s">
        <v>1935</v>
      </c>
      <c r="D451" s="204">
        <v>1</v>
      </c>
      <c r="E451" s="204">
        <v>0</v>
      </c>
      <c r="F451" s="204">
        <v>2</v>
      </c>
      <c r="G451" s="120">
        <v>200</v>
      </c>
      <c r="H451" s="204">
        <v>200</v>
      </c>
      <c r="I451" s="17">
        <v>0</v>
      </c>
      <c r="J451" s="252">
        <v>3661</v>
      </c>
      <c r="K451" s="204">
        <v>0</v>
      </c>
      <c r="L451" s="204">
        <v>60037</v>
      </c>
      <c r="M451" s="204" t="s">
        <v>190</v>
      </c>
      <c r="N451" s="204">
        <v>60043</v>
      </c>
      <c r="O451" s="204" t="s">
        <v>356</v>
      </c>
      <c r="Q451" s="121"/>
      <c r="R451" s="121"/>
      <c r="S451" s="121">
        <v>16005</v>
      </c>
      <c r="T451" s="121"/>
      <c r="U451" s="253">
        <v>5</v>
      </c>
      <c r="V451" s="204">
        <v>0</v>
      </c>
      <c r="W451" s="122">
        <v>10</v>
      </c>
      <c r="Z451" s="206">
        <v>3500</v>
      </c>
      <c r="AB451" s="207"/>
      <c r="AC451" s="125"/>
      <c r="AD451" s="122" t="s">
        <v>7191</v>
      </c>
      <c r="AF451" s="208" t="s">
        <v>3922</v>
      </c>
      <c r="AG451" s="208" t="s">
        <v>3855</v>
      </c>
      <c r="AH451" s="208" t="s">
        <v>768</v>
      </c>
      <c r="AI451" s="208" t="s">
        <v>769</v>
      </c>
      <c r="AJ451" s="208"/>
      <c r="AL451" s="254">
        <v>0</v>
      </c>
      <c r="AM451" s="204" t="s">
        <v>6145</v>
      </c>
      <c r="AN451" s="204" t="s">
        <v>5553</v>
      </c>
      <c r="AP451" s="204">
        <v>1</v>
      </c>
      <c r="AQ451" s="204">
        <v>0</v>
      </c>
      <c r="AR451" s="50">
        <v>1</v>
      </c>
      <c r="AS451" s="50">
        <v>1</v>
      </c>
      <c r="AU451" s="226">
        <v>0</v>
      </c>
      <c r="AV451" s="17">
        <f t="shared" si="92"/>
        <v>1</v>
      </c>
      <c r="AW451" s="50" t="str">
        <f>"{s_taskKillNpc, {"&amp;L451&amp;","&amp;N451&amp;","&amp;S451&amp;","&amp;U451&amp;"}}"</f>
        <v>{s_taskKillNpc, {60037,60043,16005,5}}</v>
      </c>
    </row>
    <row r="452" spans="1:49" s="127" customFormat="1" ht="108" x14ac:dyDescent="0.15">
      <c r="A452" s="255">
        <v>3641</v>
      </c>
      <c r="B452" s="127">
        <v>10171</v>
      </c>
      <c r="C452" s="127" t="s">
        <v>3772</v>
      </c>
      <c r="D452" s="127">
        <v>1</v>
      </c>
      <c r="E452" s="127">
        <v>0</v>
      </c>
      <c r="F452" s="127">
        <v>2</v>
      </c>
      <c r="G452" s="120">
        <v>200</v>
      </c>
      <c r="H452" s="127">
        <v>200</v>
      </c>
      <c r="I452" s="17">
        <v>0</v>
      </c>
      <c r="J452" s="238">
        <v>3671</v>
      </c>
      <c r="K452" s="127">
        <v>0</v>
      </c>
      <c r="L452" s="127">
        <v>60043</v>
      </c>
      <c r="M452" s="127" t="s">
        <v>237</v>
      </c>
      <c r="N452" s="127">
        <v>60028</v>
      </c>
      <c r="O452" s="127" t="s">
        <v>5151</v>
      </c>
      <c r="Q452" s="121"/>
      <c r="R452" s="121">
        <v>60044</v>
      </c>
      <c r="S452" s="121"/>
      <c r="T452" s="121"/>
      <c r="U452" s="127">
        <v>1</v>
      </c>
      <c r="V452" s="127">
        <v>1</v>
      </c>
      <c r="W452" s="122">
        <v>10</v>
      </c>
      <c r="Z452" s="123">
        <v>3000</v>
      </c>
      <c r="AB452" s="124"/>
      <c r="AC452" s="125"/>
      <c r="AD452" s="128" t="s">
        <v>172</v>
      </c>
      <c r="AF452" s="62" t="s">
        <v>1779</v>
      </c>
      <c r="AG452" s="62" t="s">
        <v>3833</v>
      </c>
      <c r="AH452" s="62" t="s">
        <v>3834</v>
      </c>
      <c r="AI452" s="62" t="s">
        <v>770</v>
      </c>
      <c r="AJ452" s="62"/>
      <c r="AK452" s="127" t="s">
        <v>79</v>
      </c>
      <c r="AL452" s="239">
        <v>0</v>
      </c>
      <c r="AM452" s="127" t="s">
        <v>3186</v>
      </c>
      <c r="AN452" s="127" t="s">
        <v>4058</v>
      </c>
      <c r="AP452" s="127">
        <v>1</v>
      </c>
      <c r="AQ452" s="127">
        <v>0</v>
      </c>
      <c r="AR452" s="50">
        <v>0</v>
      </c>
      <c r="AS452" s="50">
        <v>0</v>
      </c>
      <c r="AT452" s="127">
        <v>0</v>
      </c>
      <c r="AU452" s="226">
        <v>0</v>
      </c>
      <c r="AV452" s="17">
        <f t="shared" si="92"/>
        <v>1</v>
      </c>
      <c r="AW452" s="50" t="str">
        <f>"{s_taskGuard,{"&amp;L452&amp;","&amp;N452&amp;","&amp;R452&amp;"}}"</f>
        <v>{s_taskGuard,{60043,60028,60044}}</v>
      </c>
    </row>
    <row r="453" spans="1:49" s="73" customFormat="1" ht="84" x14ac:dyDescent="0.15">
      <c r="A453" s="72">
        <v>3681</v>
      </c>
      <c r="B453" s="73">
        <v>11874</v>
      </c>
      <c r="C453" s="73" t="s">
        <v>3908</v>
      </c>
      <c r="D453" s="73">
        <v>1</v>
      </c>
      <c r="E453" s="73">
        <v>0</v>
      </c>
      <c r="F453" s="73">
        <v>2</v>
      </c>
      <c r="G453" s="120">
        <v>200</v>
      </c>
      <c r="H453" s="73">
        <v>200</v>
      </c>
      <c r="I453" s="17">
        <v>0</v>
      </c>
      <c r="J453" s="256">
        <v>3641</v>
      </c>
      <c r="K453" s="73">
        <v>0</v>
      </c>
      <c r="L453" s="147">
        <v>60028</v>
      </c>
      <c r="M453" s="147" t="s">
        <v>207</v>
      </c>
      <c r="N453" s="147">
        <v>116</v>
      </c>
      <c r="O453" s="147" t="s">
        <v>5152</v>
      </c>
      <c r="Q453" s="140"/>
      <c r="R453" s="140"/>
      <c r="S453" s="140">
        <v>10175</v>
      </c>
      <c r="T453" s="140"/>
      <c r="U453" s="73">
        <v>1</v>
      </c>
      <c r="V453" s="73">
        <v>0</v>
      </c>
      <c r="W453" s="141">
        <v>10</v>
      </c>
      <c r="Z453" s="142">
        <v>3000</v>
      </c>
      <c r="AB453" s="143"/>
      <c r="AC453" s="144"/>
      <c r="AF453" s="145" t="s">
        <v>1466</v>
      </c>
      <c r="AG453" s="145" t="s">
        <v>771</v>
      </c>
      <c r="AH453" s="145" t="s">
        <v>772</v>
      </c>
      <c r="AI453" s="145" t="s">
        <v>773</v>
      </c>
      <c r="AJ453" s="145"/>
      <c r="AL453" s="80">
        <v>0</v>
      </c>
      <c r="AM453" s="147" t="s">
        <v>6146</v>
      </c>
      <c r="AN453" s="147" t="s">
        <v>5554</v>
      </c>
      <c r="AP453" s="73">
        <v>1</v>
      </c>
      <c r="AQ453" s="73">
        <v>0</v>
      </c>
      <c r="AR453" s="50">
        <v>1</v>
      </c>
      <c r="AS453" s="50">
        <v>1</v>
      </c>
      <c r="AT453" s="73">
        <v>0</v>
      </c>
      <c r="AU453" s="226">
        <v>0</v>
      </c>
      <c r="AV453" s="17">
        <f t="shared" si="92"/>
        <v>1</v>
      </c>
      <c r="AW453" s="73" t="str">
        <f>"{s_taskKillNpc, {"&amp;L453&amp;","&amp;N453&amp;","&amp;S453&amp;","&amp;U453&amp;"}}"</f>
        <v>{s_taskKillNpc, {60028,116,10175,1}}</v>
      </c>
    </row>
    <row r="454" spans="1:49" s="73" customFormat="1" ht="96.75" thickBot="1" x14ac:dyDescent="0.2">
      <c r="A454" s="257">
        <v>3691</v>
      </c>
      <c r="B454" s="73">
        <v>1262</v>
      </c>
      <c r="C454" s="73" t="s">
        <v>1936</v>
      </c>
      <c r="D454" s="73">
        <v>1</v>
      </c>
      <c r="E454" s="73">
        <v>0</v>
      </c>
      <c r="F454" s="73">
        <v>2</v>
      </c>
      <c r="G454" s="120">
        <v>200</v>
      </c>
      <c r="H454" s="73">
        <v>200</v>
      </c>
      <c r="I454" s="17">
        <v>0</v>
      </c>
      <c r="J454" s="256">
        <v>3681</v>
      </c>
      <c r="K454" s="73">
        <v>0</v>
      </c>
      <c r="L454" s="73">
        <v>116</v>
      </c>
      <c r="M454" s="73" t="s">
        <v>191</v>
      </c>
      <c r="N454" s="73">
        <v>60037</v>
      </c>
      <c r="O454" s="73" t="s">
        <v>190</v>
      </c>
      <c r="Q454" s="140"/>
      <c r="R454" s="140"/>
      <c r="S454" s="140"/>
      <c r="T454" s="140"/>
      <c r="U454" s="73">
        <v>1</v>
      </c>
      <c r="V454" s="73">
        <v>1</v>
      </c>
      <c r="W454" s="141">
        <v>10</v>
      </c>
      <c r="Z454" s="142">
        <v>3000</v>
      </c>
      <c r="AB454" s="143"/>
      <c r="AC454" s="144"/>
      <c r="AF454" s="145" t="s">
        <v>517</v>
      </c>
      <c r="AG454" s="145" t="s">
        <v>1066</v>
      </c>
      <c r="AH454" s="145" t="s">
        <v>774</v>
      </c>
      <c r="AI454" s="145" t="s">
        <v>775</v>
      </c>
      <c r="AJ454" s="145"/>
      <c r="AL454" s="80">
        <v>0</v>
      </c>
      <c r="AM454" s="147" t="s">
        <v>3035</v>
      </c>
      <c r="AN454" s="147" t="s">
        <v>5555</v>
      </c>
      <c r="AP454" s="73">
        <v>1</v>
      </c>
      <c r="AQ454" s="73">
        <v>0</v>
      </c>
      <c r="AR454" s="50">
        <v>1</v>
      </c>
      <c r="AS454" s="50">
        <v>1</v>
      </c>
      <c r="AU454" s="226">
        <v>0</v>
      </c>
      <c r="AV454" s="17">
        <f t="shared" si="92"/>
        <v>1</v>
      </c>
      <c r="AW454" s="73" t="str">
        <f>"{s_taskTalk,{"&amp;L454&amp;","&amp;N454&amp;"}}"</f>
        <v>{s_taskTalk,{116,60037}}</v>
      </c>
    </row>
    <row r="455" spans="1:49" s="73" customFormat="1" ht="120" x14ac:dyDescent="0.15">
      <c r="A455" s="72">
        <v>3701</v>
      </c>
      <c r="B455" s="73">
        <v>1263</v>
      </c>
      <c r="C455" s="73" t="s">
        <v>1937</v>
      </c>
      <c r="D455" s="73">
        <v>1</v>
      </c>
      <c r="E455" s="73">
        <v>0</v>
      </c>
      <c r="F455" s="73">
        <v>2</v>
      </c>
      <c r="G455" s="120">
        <v>200</v>
      </c>
      <c r="H455" s="73">
        <v>200</v>
      </c>
      <c r="I455" s="17">
        <v>0</v>
      </c>
      <c r="J455" s="256">
        <v>3691</v>
      </c>
      <c r="K455" s="73">
        <v>0</v>
      </c>
      <c r="L455" s="73">
        <v>60037</v>
      </c>
      <c r="M455" s="73" t="s">
        <v>190</v>
      </c>
      <c r="N455" s="73">
        <v>60028</v>
      </c>
      <c r="O455" s="73" t="s">
        <v>189</v>
      </c>
      <c r="Q455" s="140"/>
      <c r="R455" s="140"/>
      <c r="S455" s="140">
        <v>16006</v>
      </c>
      <c r="T455" s="140"/>
      <c r="U455" s="25">
        <v>5</v>
      </c>
      <c r="V455" s="73">
        <v>0</v>
      </c>
      <c r="W455" s="141">
        <v>10</v>
      </c>
      <c r="Z455" s="142">
        <v>4000</v>
      </c>
      <c r="AB455" s="143"/>
      <c r="AC455" s="144"/>
      <c r="AD455" s="258"/>
      <c r="AF455" s="145" t="s">
        <v>3923</v>
      </c>
      <c r="AG455" s="145" t="s">
        <v>3835</v>
      </c>
      <c r="AH455" s="145" t="s">
        <v>1067</v>
      </c>
      <c r="AI455" s="145" t="s">
        <v>776</v>
      </c>
      <c r="AJ455" s="145"/>
      <c r="AL455" s="80">
        <v>0</v>
      </c>
      <c r="AM455" s="147" t="s">
        <v>6147</v>
      </c>
      <c r="AN455" s="147" t="s">
        <v>5556</v>
      </c>
      <c r="AP455" s="73">
        <v>1</v>
      </c>
      <c r="AQ455" s="73">
        <v>0</v>
      </c>
      <c r="AR455" s="50">
        <v>1</v>
      </c>
      <c r="AS455" s="50">
        <v>1</v>
      </c>
      <c r="AU455" s="226">
        <v>0</v>
      </c>
      <c r="AV455" s="17">
        <f t="shared" si="92"/>
        <v>1</v>
      </c>
      <c r="AW455" s="73" t="str">
        <f>"{s_taskKillNpc, {"&amp;L455&amp;","&amp;N455&amp;","&amp;S455&amp;","&amp;U455&amp;"}}"</f>
        <v>{s_taskKillNpc, {60037,60028,16006,5}}</v>
      </c>
    </row>
    <row r="456" spans="1:49" s="210" customFormat="1" ht="108" x14ac:dyDescent="0.15">
      <c r="A456" s="209">
        <v>3711</v>
      </c>
      <c r="C456" s="210" t="s">
        <v>3781</v>
      </c>
      <c r="D456" s="129">
        <v>1</v>
      </c>
      <c r="E456" s="129">
        <v>0</v>
      </c>
      <c r="F456" s="210">
        <v>2</v>
      </c>
      <c r="G456" s="120">
        <v>200</v>
      </c>
      <c r="H456" s="210">
        <v>200</v>
      </c>
      <c r="I456" s="17">
        <v>0</v>
      </c>
      <c r="J456" s="212">
        <v>0</v>
      </c>
      <c r="K456" s="210">
        <v>0</v>
      </c>
      <c r="L456" s="210">
        <v>60028</v>
      </c>
      <c r="M456" s="210" t="s">
        <v>189</v>
      </c>
      <c r="N456" s="210">
        <v>60028</v>
      </c>
      <c r="O456" s="210" t="s">
        <v>189</v>
      </c>
      <c r="Q456" s="213"/>
      <c r="R456" s="213"/>
      <c r="S456" s="213"/>
      <c r="T456" s="213"/>
      <c r="U456" s="210">
        <v>1</v>
      </c>
      <c r="V456" s="210">
        <v>1</v>
      </c>
      <c r="W456" s="131">
        <v>10</v>
      </c>
      <c r="Z456" s="132">
        <v>2500</v>
      </c>
      <c r="AB456" s="214"/>
      <c r="AC456" s="215"/>
      <c r="AD456" s="139"/>
      <c r="AF456" s="216" t="s">
        <v>777</v>
      </c>
      <c r="AG456" s="216" t="s">
        <v>1069</v>
      </c>
      <c r="AH456" s="216" t="s">
        <v>778</v>
      </c>
      <c r="AI456" s="216" t="s">
        <v>779</v>
      </c>
      <c r="AJ456" s="216"/>
      <c r="AL456" s="212">
        <v>0</v>
      </c>
      <c r="AM456" s="211" t="s">
        <v>7220</v>
      </c>
      <c r="AN456" s="211" t="s">
        <v>5557</v>
      </c>
      <c r="AP456" s="210">
        <v>1</v>
      </c>
      <c r="AQ456" s="210">
        <v>0</v>
      </c>
      <c r="AR456" s="29">
        <v>1</v>
      </c>
      <c r="AS456" s="29">
        <v>0</v>
      </c>
      <c r="AU456" s="29">
        <v>0</v>
      </c>
      <c r="AV456" s="17">
        <f t="shared" si="92"/>
        <v>1</v>
      </c>
      <c r="AW456" s="29" t="str">
        <f>"{s_taskTalk,{"&amp;L456&amp;","&amp;N456&amp;"}}"</f>
        <v>{s_taskTalk,{60028,60028}}</v>
      </c>
    </row>
    <row r="457" spans="1:49" s="259" customFormat="1" ht="96" x14ac:dyDescent="0.15">
      <c r="A457" s="237">
        <v>3721</v>
      </c>
      <c r="B457" s="259">
        <v>10121</v>
      </c>
      <c r="C457" s="259" t="s">
        <v>3950</v>
      </c>
      <c r="D457" s="127">
        <v>1</v>
      </c>
      <c r="E457" s="127">
        <v>0</v>
      </c>
      <c r="F457" s="259">
        <v>2</v>
      </c>
      <c r="G457" s="120">
        <v>200</v>
      </c>
      <c r="H457" s="259">
        <v>200</v>
      </c>
      <c r="I457" s="17">
        <v>0</v>
      </c>
      <c r="J457" s="238">
        <v>3701</v>
      </c>
      <c r="K457" s="259">
        <v>0</v>
      </c>
      <c r="L457" s="259">
        <v>60028</v>
      </c>
      <c r="M457" s="259" t="s">
        <v>189</v>
      </c>
      <c r="N457" s="259">
        <v>60028</v>
      </c>
      <c r="O457" s="259" t="s">
        <v>189</v>
      </c>
      <c r="Q457" s="220"/>
      <c r="R457" s="220"/>
      <c r="S457" s="220"/>
      <c r="T457" s="220"/>
      <c r="U457" s="259">
        <v>1</v>
      </c>
      <c r="V457" s="259">
        <v>0</v>
      </c>
      <c r="W457" s="122">
        <v>10</v>
      </c>
      <c r="Z457" s="123">
        <v>4000</v>
      </c>
      <c r="AB457" s="221"/>
      <c r="AC457" s="222"/>
      <c r="AD457" s="128"/>
      <c r="AF457" s="260" t="s">
        <v>780</v>
      </c>
      <c r="AG457" s="260" t="s">
        <v>1068</v>
      </c>
      <c r="AH457" s="260" t="s">
        <v>781</v>
      </c>
      <c r="AI457" s="260" t="s">
        <v>782</v>
      </c>
      <c r="AJ457" s="260"/>
      <c r="AK457" s="259" t="s">
        <v>357</v>
      </c>
      <c r="AL457" s="238">
        <v>0</v>
      </c>
      <c r="AM457" s="261" t="s">
        <v>4059</v>
      </c>
      <c r="AN457" s="261" t="s">
        <v>5558</v>
      </c>
      <c r="AO457" s="259" t="s">
        <v>358</v>
      </c>
      <c r="AP457" s="259">
        <v>1</v>
      </c>
      <c r="AQ457" s="259">
        <v>0</v>
      </c>
      <c r="AR457" s="50">
        <v>1</v>
      </c>
      <c r="AS457" s="50">
        <v>1</v>
      </c>
      <c r="AT457" s="259">
        <v>0</v>
      </c>
      <c r="AU457" s="226">
        <v>0</v>
      </c>
      <c r="AV457" s="17">
        <f t="shared" si="92"/>
        <v>1</v>
      </c>
      <c r="AW457" s="50" t="str">
        <f>"{s_taskTalk,{"&amp;L457&amp;","&amp;N457&amp;"}}"</f>
        <v>{s_taskTalk,{60028,60028}}</v>
      </c>
    </row>
    <row r="458" spans="1:49" s="127" customFormat="1" ht="72" x14ac:dyDescent="0.15">
      <c r="A458" s="255">
        <v>3731</v>
      </c>
      <c r="B458" s="127">
        <v>10122</v>
      </c>
      <c r="C458" s="127" t="s">
        <v>1938</v>
      </c>
      <c r="D458" s="127">
        <v>1</v>
      </c>
      <c r="E458" s="127">
        <v>0</v>
      </c>
      <c r="F458" s="127">
        <v>2</v>
      </c>
      <c r="G458" s="120">
        <v>200</v>
      </c>
      <c r="H458" s="127">
        <v>200</v>
      </c>
      <c r="I458" s="17">
        <v>0</v>
      </c>
      <c r="J458" s="238">
        <v>3721</v>
      </c>
      <c r="K458" s="127">
        <v>0</v>
      </c>
      <c r="L458" s="127">
        <v>60028</v>
      </c>
      <c r="M458" s="127" t="s">
        <v>189</v>
      </c>
      <c r="N458" s="127">
        <v>60028</v>
      </c>
      <c r="O458" s="127" t="s">
        <v>189</v>
      </c>
      <c r="Q458" s="121"/>
      <c r="R458" s="121"/>
      <c r="S458" s="121"/>
      <c r="T458" s="121"/>
      <c r="U458" s="127">
        <v>4</v>
      </c>
      <c r="V458" s="127">
        <v>0</v>
      </c>
      <c r="W458" s="122">
        <v>10</v>
      </c>
      <c r="Z458" s="123">
        <v>4000</v>
      </c>
      <c r="AB458" s="124"/>
      <c r="AC458" s="125"/>
      <c r="AD458" s="128" t="s">
        <v>359</v>
      </c>
      <c r="AF458" s="62" t="s">
        <v>1739</v>
      </c>
      <c r="AG458" s="62" t="s">
        <v>783</v>
      </c>
      <c r="AH458" s="62" t="s">
        <v>3836</v>
      </c>
      <c r="AI458" s="62" t="s">
        <v>784</v>
      </c>
      <c r="AJ458" s="62"/>
      <c r="AL458" s="239"/>
      <c r="AM458" s="127" t="s">
        <v>3036</v>
      </c>
      <c r="AN458" s="127" t="s">
        <v>5559</v>
      </c>
      <c r="AP458" s="127">
        <v>1</v>
      </c>
      <c r="AQ458" s="127">
        <v>0</v>
      </c>
      <c r="AR458" s="50">
        <v>1</v>
      </c>
      <c r="AS458" s="50">
        <v>1</v>
      </c>
      <c r="AT458" s="127">
        <v>0</v>
      </c>
      <c r="AU458" s="226">
        <v>0</v>
      </c>
      <c r="AV458" s="17">
        <f t="shared" si="92"/>
        <v>1</v>
      </c>
      <c r="AW458" s="50" t="str">
        <f>"{s_taskTalk,{"&amp;L458&amp;","&amp;N458&amp;"}}"</f>
        <v>{s_taskTalk,{60028,60028}}</v>
      </c>
    </row>
    <row r="459" spans="1:49" s="127" customFormat="1" ht="108" x14ac:dyDescent="0.15">
      <c r="A459" s="255">
        <v>3741</v>
      </c>
      <c r="B459" s="127">
        <v>1271</v>
      </c>
      <c r="C459" s="127" t="s">
        <v>3948</v>
      </c>
      <c r="D459" s="127">
        <v>1</v>
      </c>
      <c r="E459" s="127">
        <v>0</v>
      </c>
      <c r="F459" s="127">
        <v>2</v>
      </c>
      <c r="G459" s="120">
        <v>200</v>
      </c>
      <c r="H459" s="127">
        <v>200</v>
      </c>
      <c r="I459" s="17">
        <v>0</v>
      </c>
      <c r="J459" s="238">
        <v>3721</v>
      </c>
      <c r="K459" s="127">
        <v>0</v>
      </c>
      <c r="L459" s="127">
        <v>60028</v>
      </c>
      <c r="M459" s="127" t="s">
        <v>189</v>
      </c>
      <c r="N459" s="127">
        <v>60028</v>
      </c>
      <c r="O459" s="127" t="s">
        <v>189</v>
      </c>
      <c r="Q459" s="121"/>
      <c r="R459" s="121"/>
      <c r="S459" s="121">
        <v>10015</v>
      </c>
      <c r="T459" s="121"/>
      <c r="U459" s="127">
        <v>5</v>
      </c>
      <c r="V459" s="127">
        <v>0</v>
      </c>
      <c r="W459" s="122">
        <v>10</v>
      </c>
      <c r="Z459" s="123">
        <v>4000</v>
      </c>
      <c r="AB459" s="124"/>
      <c r="AC459" s="125"/>
      <c r="AD459" s="128" t="s">
        <v>78</v>
      </c>
      <c r="AF459" s="62" t="s">
        <v>3924</v>
      </c>
      <c r="AG459" s="62" t="s">
        <v>3837</v>
      </c>
      <c r="AH459" s="62" t="s">
        <v>785</v>
      </c>
      <c r="AI459" s="62" t="s">
        <v>786</v>
      </c>
      <c r="AJ459" s="62"/>
      <c r="AL459" s="239">
        <v>0</v>
      </c>
      <c r="AM459" s="127" t="s">
        <v>6148</v>
      </c>
      <c r="AN459" s="127" t="s">
        <v>3037</v>
      </c>
      <c r="AO459" s="127" t="s">
        <v>3925</v>
      </c>
      <c r="AP459" s="127">
        <v>1</v>
      </c>
      <c r="AQ459" s="127">
        <v>0</v>
      </c>
      <c r="AR459" s="50">
        <v>1</v>
      </c>
      <c r="AS459" s="50">
        <v>1</v>
      </c>
      <c r="AT459" s="127">
        <v>0</v>
      </c>
      <c r="AU459" s="226">
        <v>0</v>
      </c>
      <c r="AV459" s="17">
        <f t="shared" si="92"/>
        <v>1</v>
      </c>
      <c r="AW459" s="50" t="str">
        <f>"{s_taskKillNpc, {"&amp;L459&amp;","&amp;N459&amp;","&amp;S459&amp;","&amp;U459&amp;"}}"</f>
        <v>{s_taskKillNpc, {60028,60028,10015,5}}</v>
      </c>
    </row>
    <row r="460" spans="1:49" s="50" customFormat="1" ht="72" x14ac:dyDescent="0.15">
      <c r="A460" s="200">
        <v>3751</v>
      </c>
      <c r="B460" s="50">
        <v>1272</v>
      </c>
      <c r="C460" s="50" t="s">
        <v>2503</v>
      </c>
      <c r="D460" s="50">
        <v>1</v>
      </c>
      <c r="E460" s="50">
        <v>0</v>
      </c>
      <c r="F460" s="50">
        <v>2</v>
      </c>
      <c r="G460" s="120">
        <v>200</v>
      </c>
      <c r="H460" s="50">
        <v>200</v>
      </c>
      <c r="I460" s="17">
        <v>0</v>
      </c>
      <c r="J460" s="201">
        <v>3741</v>
      </c>
      <c r="K460" s="50">
        <v>0</v>
      </c>
      <c r="L460" s="50">
        <v>60028</v>
      </c>
      <c r="M460" s="50" t="s">
        <v>560</v>
      </c>
      <c r="N460" s="50">
        <v>60028</v>
      </c>
      <c r="O460" s="50" t="s">
        <v>5153</v>
      </c>
      <c r="Q460" s="121">
        <v>60145</v>
      </c>
      <c r="R460" s="121"/>
      <c r="S460" s="121">
        <v>60145</v>
      </c>
      <c r="T460" s="121"/>
      <c r="U460" s="50">
        <v>3</v>
      </c>
      <c r="V460" s="50">
        <v>0</v>
      </c>
      <c r="W460" s="122">
        <v>10</v>
      </c>
      <c r="Z460" s="123">
        <v>2700</v>
      </c>
      <c r="AB460" s="124"/>
      <c r="AC460" s="125"/>
      <c r="AF460" s="126" t="s">
        <v>3943</v>
      </c>
      <c r="AG460" s="126" t="s">
        <v>3944</v>
      </c>
      <c r="AH460" s="126" t="s">
        <v>787</v>
      </c>
      <c r="AI460" s="126" t="s">
        <v>3945</v>
      </c>
      <c r="AJ460" s="126"/>
      <c r="AL460" s="120">
        <v>0</v>
      </c>
      <c r="AM460" s="127" t="s">
        <v>3946</v>
      </c>
      <c r="AN460" s="127" t="s">
        <v>5560</v>
      </c>
      <c r="AO460" s="50" t="s">
        <v>3947</v>
      </c>
      <c r="AP460" s="50">
        <v>1</v>
      </c>
      <c r="AQ460" s="50">
        <v>0</v>
      </c>
      <c r="AR460" s="50">
        <v>1</v>
      </c>
      <c r="AS460" s="50">
        <v>1</v>
      </c>
      <c r="AT460" s="50">
        <v>0</v>
      </c>
      <c r="AU460" s="226">
        <v>0</v>
      </c>
      <c r="AV460" s="17">
        <f t="shared" si="92"/>
        <v>1</v>
      </c>
      <c r="AW460" s="50" t="str">
        <f t="shared" ref="AW460:AW468" si="93">"{s_taskTalk,{"&amp;L460&amp;","&amp;N460&amp;"}}"</f>
        <v>{s_taskTalk,{60028,60028}}</v>
      </c>
    </row>
    <row r="461" spans="1:49" s="73" customFormat="1" ht="144" x14ac:dyDescent="0.15">
      <c r="A461" s="72">
        <v>3761</v>
      </c>
      <c r="C461" s="73" t="s">
        <v>1939</v>
      </c>
      <c r="D461" s="73">
        <v>1</v>
      </c>
      <c r="E461" s="73">
        <v>0</v>
      </c>
      <c r="F461" s="73">
        <v>2</v>
      </c>
      <c r="G461" s="120">
        <v>200</v>
      </c>
      <c r="H461" s="73">
        <v>200</v>
      </c>
      <c r="I461" s="17">
        <v>0</v>
      </c>
      <c r="J461" s="256">
        <v>3751</v>
      </c>
      <c r="L461" s="73">
        <v>60028</v>
      </c>
      <c r="M461" s="73" t="s">
        <v>189</v>
      </c>
      <c r="N461" s="73">
        <v>60037</v>
      </c>
      <c r="O461" s="73" t="s">
        <v>190</v>
      </c>
      <c r="Q461" s="140"/>
      <c r="R461" s="140"/>
      <c r="S461" s="140"/>
      <c r="T461" s="140"/>
      <c r="U461" s="73">
        <v>1</v>
      </c>
      <c r="V461" s="73">
        <v>1</v>
      </c>
      <c r="W461" s="141">
        <v>10</v>
      </c>
      <c r="Z461" s="142">
        <v>2500</v>
      </c>
      <c r="AB461" s="143"/>
      <c r="AC461" s="144"/>
      <c r="AF461" s="145" t="s">
        <v>4255</v>
      </c>
      <c r="AG461" s="145" t="s">
        <v>3838</v>
      </c>
      <c r="AH461" s="145" t="s">
        <v>4586</v>
      </c>
      <c r="AI461" s="145"/>
      <c r="AJ461" s="145"/>
      <c r="AL461" s="80">
        <v>0</v>
      </c>
      <c r="AM461" s="147" t="s">
        <v>3038</v>
      </c>
      <c r="AN461" s="147" t="s">
        <v>5561</v>
      </c>
      <c r="AP461" s="73">
        <v>1</v>
      </c>
      <c r="AQ461" s="73">
        <v>0</v>
      </c>
      <c r="AR461" s="50">
        <v>1</v>
      </c>
      <c r="AS461" s="50">
        <v>1</v>
      </c>
      <c r="AT461" s="73">
        <v>0</v>
      </c>
      <c r="AU461" s="226">
        <v>0</v>
      </c>
      <c r="AV461" s="17">
        <f t="shared" si="92"/>
        <v>1</v>
      </c>
      <c r="AW461" s="73" t="str">
        <f t="shared" si="93"/>
        <v>{s_taskTalk,{60028,60037}}</v>
      </c>
    </row>
    <row r="462" spans="1:49" s="50" customFormat="1" ht="156" x14ac:dyDescent="0.15">
      <c r="A462" s="200">
        <v>3771</v>
      </c>
      <c r="B462" s="50">
        <v>11941</v>
      </c>
      <c r="C462" s="50" t="s">
        <v>1940</v>
      </c>
      <c r="D462" s="50">
        <v>1</v>
      </c>
      <c r="E462" s="50">
        <v>0</v>
      </c>
      <c r="F462" s="50">
        <v>2</v>
      </c>
      <c r="G462" s="120">
        <v>200</v>
      </c>
      <c r="H462" s="50">
        <v>200</v>
      </c>
      <c r="I462" s="17">
        <v>0</v>
      </c>
      <c r="J462" s="201">
        <v>3761</v>
      </c>
      <c r="K462" s="50">
        <v>0</v>
      </c>
      <c r="L462" s="50">
        <v>60037</v>
      </c>
      <c r="M462" s="50" t="s">
        <v>190</v>
      </c>
      <c r="N462" s="50">
        <v>60627</v>
      </c>
      <c r="O462" s="50" t="s">
        <v>1843</v>
      </c>
      <c r="Q462" s="121"/>
      <c r="R462" s="121"/>
      <c r="S462" s="121"/>
      <c r="T462" s="121"/>
      <c r="U462" s="50">
        <v>1</v>
      </c>
      <c r="V462" s="50">
        <v>1</v>
      </c>
      <c r="W462" s="122">
        <v>5</v>
      </c>
      <c r="Z462" s="123">
        <v>1400</v>
      </c>
      <c r="AB462" s="124"/>
      <c r="AC462" s="125"/>
      <c r="AF462" s="126" t="s">
        <v>4587</v>
      </c>
      <c r="AG462" s="126" t="s">
        <v>4588</v>
      </c>
      <c r="AH462" s="126" t="s">
        <v>3839</v>
      </c>
      <c r="AI462" s="126" t="s">
        <v>4589</v>
      </c>
      <c r="AJ462" s="126"/>
      <c r="AL462" s="120">
        <v>0</v>
      </c>
      <c r="AM462" s="127" t="s">
        <v>3039</v>
      </c>
      <c r="AN462" s="127" t="s">
        <v>5562</v>
      </c>
      <c r="AP462" s="50">
        <v>1</v>
      </c>
      <c r="AQ462" s="50">
        <v>0</v>
      </c>
      <c r="AR462" s="50">
        <v>1</v>
      </c>
      <c r="AS462" s="50">
        <v>1</v>
      </c>
      <c r="AT462" s="50">
        <v>0</v>
      </c>
      <c r="AU462" s="226">
        <v>0</v>
      </c>
      <c r="AV462" s="17">
        <f t="shared" si="92"/>
        <v>1</v>
      </c>
      <c r="AW462" s="50" t="str">
        <f t="shared" si="93"/>
        <v>{s_taskTalk,{60037,60627}}</v>
      </c>
    </row>
    <row r="463" spans="1:49" s="50" customFormat="1" ht="72" x14ac:dyDescent="0.15">
      <c r="A463" s="200">
        <v>3772</v>
      </c>
      <c r="C463" s="50" t="s">
        <v>1941</v>
      </c>
      <c r="D463" s="50">
        <v>1</v>
      </c>
      <c r="E463" s="50">
        <v>0</v>
      </c>
      <c r="F463" s="50">
        <v>2</v>
      </c>
      <c r="G463" s="120">
        <v>200</v>
      </c>
      <c r="H463" s="50">
        <v>200</v>
      </c>
      <c r="I463" s="17">
        <v>0</v>
      </c>
      <c r="J463" s="201">
        <v>3771</v>
      </c>
      <c r="K463" s="50">
        <v>0</v>
      </c>
      <c r="L463" s="50">
        <v>60627</v>
      </c>
      <c r="M463" s="50" t="s">
        <v>1844</v>
      </c>
      <c r="N463" s="50">
        <v>60028</v>
      </c>
      <c r="O463" s="50" t="s">
        <v>5153</v>
      </c>
      <c r="Q463" s="121"/>
      <c r="R463" s="121"/>
      <c r="S463" s="121"/>
      <c r="T463" s="121"/>
      <c r="U463" s="50">
        <v>1</v>
      </c>
      <c r="V463" s="50">
        <v>1</v>
      </c>
      <c r="W463" s="122">
        <v>5</v>
      </c>
      <c r="Z463" s="123">
        <v>1400</v>
      </c>
      <c r="AB463" s="124"/>
      <c r="AC463" s="125"/>
      <c r="AF463" s="126" t="s">
        <v>1851</v>
      </c>
      <c r="AG463" s="126" t="s">
        <v>1847</v>
      </c>
      <c r="AH463" s="126" t="s">
        <v>1845</v>
      </c>
      <c r="AI463" s="126" t="s">
        <v>1846</v>
      </c>
      <c r="AJ463" s="126"/>
      <c r="AL463" s="120">
        <v>0</v>
      </c>
      <c r="AM463" s="127" t="s">
        <v>3040</v>
      </c>
      <c r="AN463" s="127" t="s">
        <v>5563</v>
      </c>
      <c r="AP463" s="50">
        <v>1</v>
      </c>
      <c r="AQ463" s="50">
        <v>0</v>
      </c>
      <c r="AR463" s="50">
        <v>1</v>
      </c>
      <c r="AS463" s="50">
        <v>1</v>
      </c>
      <c r="AT463" s="50">
        <v>0</v>
      </c>
      <c r="AU463" s="226">
        <v>0</v>
      </c>
      <c r="AV463" s="17">
        <f t="shared" si="92"/>
        <v>1</v>
      </c>
      <c r="AW463" s="50" t="str">
        <f t="shared" si="93"/>
        <v>{s_taskTalk,{60627,60028}}</v>
      </c>
    </row>
    <row r="464" spans="1:49" s="50" customFormat="1" ht="132" x14ac:dyDescent="0.15">
      <c r="A464" s="9">
        <v>3781</v>
      </c>
      <c r="B464" s="50">
        <v>1281</v>
      </c>
      <c r="C464" s="50" t="s">
        <v>3949</v>
      </c>
      <c r="D464" s="50">
        <v>1</v>
      </c>
      <c r="E464" s="50">
        <v>0</v>
      </c>
      <c r="F464" s="50">
        <v>2</v>
      </c>
      <c r="G464" s="120">
        <v>200</v>
      </c>
      <c r="H464" s="50">
        <v>200</v>
      </c>
      <c r="I464" s="17">
        <v>0</v>
      </c>
      <c r="J464" s="201">
        <v>3772</v>
      </c>
      <c r="K464" s="50">
        <v>0</v>
      </c>
      <c r="L464" s="50">
        <v>60028</v>
      </c>
      <c r="M464" s="50" t="s">
        <v>189</v>
      </c>
      <c r="N464" s="50">
        <v>60028</v>
      </c>
      <c r="O464" s="50" t="s">
        <v>189</v>
      </c>
      <c r="Q464" s="121"/>
      <c r="R464" s="121"/>
      <c r="S464" s="121"/>
      <c r="T464" s="121"/>
      <c r="U464" s="25">
        <v>5</v>
      </c>
      <c r="V464" s="50">
        <v>0</v>
      </c>
      <c r="W464" s="122">
        <v>10</v>
      </c>
      <c r="Z464" s="123">
        <v>4500</v>
      </c>
      <c r="AB464" s="124"/>
      <c r="AC464" s="125"/>
      <c r="AF464" s="126" t="s">
        <v>3926</v>
      </c>
      <c r="AG464" s="126" t="s">
        <v>3840</v>
      </c>
      <c r="AH464" s="126" t="s">
        <v>4249</v>
      </c>
      <c r="AI464" s="126" t="s">
        <v>788</v>
      </c>
      <c r="AJ464" s="126"/>
      <c r="AL464" s="120">
        <v>0</v>
      </c>
      <c r="AM464" s="127" t="s">
        <v>3041</v>
      </c>
      <c r="AN464" s="127" t="s">
        <v>5564</v>
      </c>
      <c r="AO464" s="50" t="s">
        <v>3927</v>
      </c>
      <c r="AP464" s="50">
        <v>1</v>
      </c>
      <c r="AQ464" s="50">
        <v>0</v>
      </c>
      <c r="AR464" s="50">
        <v>1</v>
      </c>
      <c r="AS464" s="50">
        <v>1</v>
      </c>
      <c r="AT464" s="50">
        <v>0</v>
      </c>
      <c r="AU464" s="226">
        <v>0</v>
      </c>
      <c r="AV464" s="17">
        <f t="shared" si="92"/>
        <v>1</v>
      </c>
      <c r="AW464" s="50" t="str">
        <f t="shared" si="93"/>
        <v>{s_taskTalk,{60028,60028}}</v>
      </c>
    </row>
    <row r="465" spans="1:49" s="50" customFormat="1" ht="84" x14ac:dyDescent="0.15">
      <c r="A465" s="200">
        <v>3791</v>
      </c>
      <c r="B465" s="50">
        <v>1282</v>
      </c>
      <c r="C465" s="50" t="s">
        <v>1942</v>
      </c>
      <c r="D465" s="50">
        <v>1</v>
      </c>
      <c r="E465" s="50">
        <v>0</v>
      </c>
      <c r="F465" s="50">
        <v>2</v>
      </c>
      <c r="G465" s="120">
        <v>200</v>
      </c>
      <c r="H465" s="50">
        <v>200</v>
      </c>
      <c r="I465" s="17">
        <v>0</v>
      </c>
      <c r="J465" s="201">
        <v>3781</v>
      </c>
      <c r="K465" s="50">
        <v>0</v>
      </c>
      <c r="L465" s="50">
        <v>60028</v>
      </c>
      <c r="M465" s="50" t="s">
        <v>189</v>
      </c>
      <c r="N465" s="50">
        <v>60028</v>
      </c>
      <c r="O465" s="50" t="s">
        <v>189</v>
      </c>
      <c r="Q465" s="121"/>
      <c r="R465" s="121"/>
      <c r="S465" s="121"/>
      <c r="T465" s="121"/>
      <c r="U465" s="50">
        <v>1</v>
      </c>
      <c r="V465" s="50">
        <v>0</v>
      </c>
      <c r="W465" s="122">
        <v>15</v>
      </c>
      <c r="Z465" s="123">
        <v>1700</v>
      </c>
      <c r="AB465" s="124"/>
      <c r="AC465" s="125"/>
      <c r="AF465" s="126" t="s">
        <v>789</v>
      </c>
      <c r="AG465" s="126" t="s">
        <v>790</v>
      </c>
      <c r="AH465" s="126" t="s">
        <v>286</v>
      </c>
      <c r="AI465" s="126" t="s">
        <v>791</v>
      </c>
      <c r="AJ465" s="126"/>
      <c r="AL465" s="120">
        <v>0</v>
      </c>
      <c r="AM465" s="127" t="s">
        <v>3042</v>
      </c>
      <c r="AN465" s="127" t="s">
        <v>5565</v>
      </c>
      <c r="AP465" s="50">
        <v>1</v>
      </c>
      <c r="AQ465" s="50">
        <v>0</v>
      </c>
      <c r="AR465" s="50">
        <v>1</v>
      </c>
      <c r="AS465" s="50">
        <v>0</v>
      </c>
      <c r="AT465" s="50">
        <v>0</v>
      </c>
      <c r="AU465" s="226">
        <v>0</v>
      </c>
      <c r="AV465" s="17">
        <f t="shared" si="92"/>
        <v>1</v>
      </c>
      <c r="AW465" s="50" t="str">
        <f t="shared" si="93"/>
        <v>{s_taskTalk,{60028,60028}}</v>
      </c>
    </row>
    <row r="466" spans="1:49" s="50" customFormat="1" ht="72.75" thickBot="1" x14ac:dyDescent="0.2">
      <c r="A466" s="9">
        <v>3801</v>
      </c>
      <c r="B466" s="50">
        <v>1291</v>
      </c>
      <c r="C466" s="50" t="s">
        <v>1943</v>
      </c>
      <c r="D466" s="50">
        <v>1</v>
      </c>
      <c r="E466" s="50">
        <v>0</v>
      </c>
      <c r="F466" s="50">
        <v>2</v>
      </c>
      <c r="G466" s="120">
        <v>200</v>
      </c>
      <c r="H466" s="50">
        <v>200</v>
      </c>
      <c r="I466" s="17">
        <v>0</v>
      </c>
      <c r="J466" s="201">
        <v>3791</v>
      </c>
      <c r="K466" s="50">
        <v>0</v>
      </c>
      <c r="L466" s="50">
        <v>60028</v>
      </c>
      <c r="M466" s="50" t="s">
        <v>189</v>
      </c>
      <c r="N466" s="50">
        <v>60000</v>
      </c>
      <c r="O466" s="50" t="s">
        <v>192</v>
      </c>
      <c r="Q466" s="121"/>
      <c r="R466" s="121"/>
      <c r="S466" s="121"/>
      <c r="T466" s="121"/>
      <c r="U466" s="50">
        <v>1</v>
      </c>
      <c r="V466" s="50">
        <v>1</v>
      </c>
      <c r="W466" s="122">
        <v>15</v>
      </c>
      <c r="Z466" s="123">
        <v>3800</v>
      </c>
      <c r="AA466" s="50">
        <v>1</v>
      </c>
      <c r="AB466" s="125"/>
      <c r="AC466" s="125"/>
      <c r="AD466" s="122" t="s">
        <v>3971</v>
      </c>
      <c r="AE466" s="50" t="s">
        <v>2829</v>
      </c>
      <c r="AF466" s="126" t="s">
        <v>4256</v>
      </c>
      <c r="AG466" s="126" t="s">
        <v>4519</v>
      </c>
      <c r="AH466" s="126" t="s">
        <v>3841</v>
      </c>
      <c r="AI466" s="126" t="s">
        <v>4520</v>
      </c>
      <c r="AJ466" s="126"/>
      <c r="AL466" s="120">
        <v>0</v>
      </c>
      <c r="AM466" s="127" t="s">
        <v>3043</v>
      </c>
      <c r="AN466" s="127" t="s">
        <v>3044</v>
      </c>
      <c r="AP466" s="50">
        <v>1</v>
      </c>
      <c r="AQ466" s="50">
        <v>0</v>
      </c>
      <c r="AR466" s="50">
        <v>1</v>
      </c>
      <c r="AS466" s="50">
        <v>1</v>
      </c>
      <c r="AT466" s="50">
        <v>0</v>
      </c>
      <c r="AU466" s="226">
        <v>0</v>
      </c>
      <c r="AV466" s="17">
        <f t="shared" si="92"/>
        <v>1</v>
      </c>
      <c r="AW466" s="50" t="str">
        <f t="shared" si="93"/>
        <v>{s_taskTalk,{60028,60000}}</v>
      </c>
    </row>
    <row r="467" spans="1:49" s="263" customFormat="1" ht="96.75" thickBot="1" x14ac:dyDescent="0.2">
      <c r="A467" s="262">
        <v>3803</v>
      </c>
      <c r="C467" s="263" t="s">
        <v>4257</v>
      </c>
      <c r="D467" s="264">
        <v>1</v>
      </c>
      <c r="E467" s="264">
        <v>0</v>
      </c>
      <c r="F467" s="264">
        <v>3</v>
      </c>
      <c r="G467" s="120">
        <v>200</v>
      </c>
      <c r="H467" s="263">
        <v>200</v>
      </c>
      <c r="I467" s="17">
        <v>0</v>
      </c>
      <c r="J467" s="265">
        <v>0</v>
      </c>
      <c r="K467" s="263">
        <v>0</v>
      </c>
      <c r="L467" s="264">
        <v>60000</v>
      </c>
      <c r="M467" s="264" t="s">
        <v>192</v>
      </c>
      <c r="N467" s="264">
        <v>60000</v>
      </c>
      <c r="O467" s="264" t="s">
        <v>192</v>
      </c>
      <c r="P467" s="264"/>
      <c r="Q467" s="266"/>
      <c r="R467" s="266"/>
      <c r="S467" s="266"/>
      <c r="T467" s="266"/>
      <c r="U467" s="263">
        <v>5</v>
      </c>
      <c r="V467" s="263">
        <v>0</v>
      </c>
      <c r="W467" s="141">
        <v>15</v>
      </c>
      <c r="Z467" s="267">
        <v>1700</v>
      </c>
      <c r="AB467" s="268"/>
      <c r="AC467" s="269"/>
      <c r="AD467" s="270"/>
      <c r="AF467" s="271" t="s">
        <v>4521</v>
      </c>
      <c r="AG467" s="271" t="s">
        <v>1070</v>
      </c>
      <c r="AH467" s="271" t="s">
        <v>1071</v>
      </c>
      <c r="AI467" s="272" t="s">
        <v>1072</v>
      </c>
      <c r="AJ467" s="272"/>
      <c r="AL467" s="273">
        <v>0</v>
      </c>
      <c r="AM467" s="274"/>
      <c r="AN467" s="274"/>
      <c r="AP467" s="263">
        <v>1</v>
      </c>
      <c r="AQ467" s="263">
        <v>0</v>
      </c>
      <c r="AR467" s="50">
        <v>1</v>
      </c>
      <c r="AS467" s="50">
        <v>0</v>
      </c>
      <c r="AU467" s="226">
        <v>0</v>
      </c>
      <c r="AV467" s="17">
        <f t="shared" si="92"/>
        <v>1</v>
      </c>
      <c r="AW467" s="73" t="str">
        <f t="shared" si="93"/>
        <v>{s_taskTalk,{60000,60000}}</v>
      </c>
    </row>
    <row r="468" spans="1:49" s="50" customFormat="1" ht="120" x14ac:dyDescent="0.15">
      <c r="A468" s="9">
        <v>3802</v>
      </c>
      <c r="C468" s="50" t="s">
        <v>1944</v>
      </c>
      <c r="D468" s="50">
        <v>1</v>
      </c>
      <c r="E468" s="50">
        <v>0</v>
      </c>
      <c r="F468" s="50">
        <v>3</v>
      </c>
      <c r="G468" s="120">
        <v>200</v>
      </c>
      <c r="H468" s="50">
        <v>200</v>
      </c>
      <c r="I468" s="17">
        <v>0</v>
      </c>
      <c r="J468" s="201">
        <v>3803</v>
      </c>
      <c r="K468" s="50">
        <v>0</v>
      </c>
      <c r="L468" s="50">
        <v>60000</v>
      </c>
      <c r="M468" s="50" t="s">
        <v>192</v>
      </c>
      <c r="N468" s="50">
        <v>60000</v>
      </c>
      <c r="O468" s="50" t="s">
        <v>192</v>
      </c>
      <c r="Q468" s="121"/>
      <c r="R468" s="121"/>
      <c r="S468" s="121"/>
      <c r="T468" s="121"/>
      <c r="U468" s="50">
        <v>4</v>
      </c>
      <c r="V468" s="50">
        <v>0</v>
      </c>
      <c r="W468" s="122">
        <v>15</v>
      </c>
      <c r="Z468" s="123">
        <v>1800</v>
      </c>
      <c r="AA468" s="128">
        <v>10</v>
      </c>
      <c r="AB468" s="124"/>
      <c r="AC468" s="125"/>
      <c r="AF468" s="126" t="s">
        <v>4645</v>
      </c>
      <c r="AG468" s="126" t="s">
        <v>4646</v>
      </c>
      <c r="AH468" s="126" t="s">
        <v>4647</v>
      </c>
      <c r="AI468" s="126"/>
      <c r="AJ468" s="126"/>
      <c r="AL468" s="120">
        <v>0</v>
      </c>
      <c r="AM468" s="127" t="s">
        <v>4648</v>
      </c>
      <c r="AN468" s="127" t="s">
        <v>5566</v>
      </c>
      <c r="AP468" s="50">
        <v>1</v>
      </c>
      <c r="AQ468" s="50">
        <v>0</v>
      </c>
      <c r="AR468" s="50">
        <v>1</v>
      </c>
      <c r="AS468" s="50">
        <v>1</v>
      </c>
      <c r="AU468" s="226">
        <v>0</v>
      </c>
      <c r="AV468" s="17">
        <f t="shared" si="92"/>
        <v>1</v>
      </c>
      <c r="AW468" s="50" t="str">
        <f t="shared" si="93"/>
        <v>{s_taskTalk,{60000,60000}}</v>
      </c>
    </row>
    <row r="469" spans="1:49" s="127" customFormat="1" ht="120" x14ac:dyDescent="0.15">
      <c r="A469" s="237">
        <v>3811</v>
      </c>
      <c r="B469" s="127">
        <v>1292</v>
      </c>
      <c r="C469" s="127" t="s">
        <v>4497</v>
      </c>
      <c r="D469" s="127">
        <v>1</v>
      </c>
      <c r="E469" s="127">
        <v>0</v>
      </c>
      <c r="F469" s="127">
        <v>3</v>
      </c>
      <c r="G469" s="120">
        <v>200</v>
      </c>
      <c r="H469" s="127">
        <v>200</v>
      </c>
      <c r="I469" s="17">
        <v>0</v>
      </c>
      <c r="J469" s="238">
        <v>3802</v>
      </c>
      <c r="K469" s="127">
        <v>0</v>
      </c>
      <c r="L469" s="127">
        <v>60000</v>
      </c>
      <c r="M469" s="127" t="s">
        <v>192</v>
      </c>
      <c r="N469" s="127">
        <v>60052</v>
      </c>
      <c r="O469" s="127" t="s">
        <v>1418</v>
      </c>
      <c r="Q469" s="121"/>
      <c r="R469" s="121">
        <v>60044</v>
      </c>
      <c r="S469" s="121"/>
      <c r="T469" s="121"/>
      <c r="U469" s="127">
        <v>1</v>
      </c>
      <c r="V469" s="127">
        <v>1</v>
      </c>
      <c r="W469" s="122">
        <v>15</v>
      </c>
      <c r="Z469" s="123">
        <v>17000</v>
      </c>
      <c r="AB469" s="124"/>
      <c r="AC469" s="125"/>
      <c r="AD469" s="50" t="s">
        <v>3999</v>
      </c>
      <c r="AF469" s="62" t="s">
        <v>4498</v>
      </c>
      <c r="AG469" s="62" t="s">
        <v>4499</v>
      </c>
      <c r="AH469" s="62" t="s">
        <v>4649</v>
      </c>
      <c r="AI469" s="62" t="s">
        <v>792</v>
      </c>
      <c r="AJ469" s="62"/>
      <c r="AL469" s="239">
        <v>0</v>
      </c>
      <c r="AM469" s="127" t="s">
        <v>3187</v>
      </c>
      <c r="AN469" s="127" t="s">
        <v>5567</v>
      </c>
      <c r="AP469" s="127">
        <v>1</v>
      </c>
      <c r="AQ469" s="127">
        <v>0</v>
      </c>
      <c r="AR469" s="50">
        <v>0</v>
      </c>
      <c r="AS469" s="50">
        <v>0</v>
      </c>
      <c r="AT469" s="127">
        <v>0</v>
      </c>
      <c r="AU469" s="226">
        <v>0</v>
      </c>
      <c r="AV469" s="17">
        <f t="shared" si="92"/>
        <v>1</v>
      </c>
      <c r="AW469" s="50" t="str">
        <f>"{s_taskGuard,{"&amp;L469&amp;","&amp;N469&amp;","&amp;R469&amp;"}}"</f>
        <v>{s_taskGuard,{60000,60052,60044}}</v>
      </c>
    </row>
    <row r="470" spans="1:49" s="127" customFormat="1" ht="96" x14ac:dyDescent="0.15">
      <c r="A470" s="255">
        <v>3821</v>
      </c>
      <c r="C470" s="127" t="s">
        <v>4500</v>
      </c>
      <c r="D470" s="127">
        <v>1</v>
      </c>
      <c r="E470" s="127">
        <v>0</v>
      </c>
      <c r="F470" s="127">
        <v>4</v>
      </c>
      <c r="G470" s="120">
        <v>200</v>
      </c>
      <c r="H470" s="127">
        <v>200</v>
      </c>
      <c r="I470" s="17">
        <v>0</v>
      </c>
      <c r="J470" s="238">
        <v>3811</v>
      </c>
      <c r="K470" s="127">
        <v>0</v>
      </c>
      <c r="L470" s="127">
        <v>60052</v>
      </c>
      <c r="M470" s="127" t="s">
        <v>1418</v>
      </c>
      <c r="N470" s="127">
        <v>135</v>
      </c>
      <c r="O470" s="127" t="s">
        <v>5154</v>
      </c>
      <c r="Q470" s="121"/>
      <c r="R470" s="121"/>
      <c r="S470" s="121"/>
      <c r="T470" s="121"/>
      <c r="U470" s="127">
        <v>1</v>
      </c>
      <c r="V470" s="127">
        <v>1</v>
      </c>
      <c r="W470" s="122">
        <v>15</v>
      </c>
      <c r="Z470" s="123">
        <v>1800</v>
      </c>
      <c r="AB470" s="124"/>
      <c r="AC470" s="125"/>
      <c r="AD470" s="275" t="s">
        <v>5292</v>
      </c>
      <c r="AF470" s="62" t="s">
        <v>4650</v>
      </c>
      <c r="AG470" s="62" t="s">
        <v>4651</v>
      </c>
      <c r="AH470" s="62" t="s">
        <v>4652</v>
      </c>
      <c r="AI470" s="62"/>
      <c r="AJ470" s="62"/>
      <c r="AL470" s="239">
        <v>0</v>
      </c>
      <c r="AM470" s="127" t="s">
        <v>3045</v>
      </c>
      <c r="AN470" s="127" t="s">
        <v>4258</v>
      </c>
      <c r="AP470" s="127">
        <v>1</v>
      </c>
      <c r="AQ470" s="127">
        <v>0</v>
      </c>
      <c r="AR470" s="50">
        <v>1</v>
      </c>
      <c r="AS470" s="50">
        <v>1</v>
      </c>
      <c r="AU470" s="226">
        <v>0</v>
      </c>
      <c r="AV470" s="17">
        <f t="shared" si="92"/>
        <v>1</v>
      </c>
      <c r="AW470" s="50" t="str">
        <f t="shared" ref="AW470:AW485" si="94">"{s_taskTalk,{"&amp;L470&amp;","&amp;N470&amp;"}}"</f>
        <v>{s_taskTalk,{60052,135}}</v>
      </c>
    </row>
    <row r="471" spans="1:49" s="275" customFormat="1" ht="84" x14ac:dyDescent="0.15">
      <c r="A471" s="276">
        <v>3823</v>
      </c>
      <c r="C471" s="275" t="s">
        <v>4008</v>
      </c>
      <c r="D471" s="275">
        <v>1</v>
      </c>
      <c r="E471" s="275">
        <v>0</v>
      </c>
      <c r="F471" s="275">
        <v>3</v>
      </c>
      <c r="G471" s="120">
        <v>200</v>
      </c>
      <c r="H471" s="275">
        <v>200</v>
      </c>
      <c r="I471" s="17">
        <v>0</v>
      </c>
      <c r="J471" s="277">
        <v>3821</v>
      </c>
      <c r="K471" s="275">
        <v>0</v>
      </c>
      <c r="L471" s="275">
        <v>113</v>
      </c>
      <c r="M471" s="275" t="s">
        <v>4002</v>
      </c>
      <c r="N471" s="275">
        <v>113</v>
      </c>
      <c r="O471" s="275" t="s">
        <v>5155</v>
      </c>
      <c r="Q471" s="43"/>
      <c r="R471" s="43"/>
      <c r="S471" s="43"/>
      <c r="T471" s="43"/>
      <c r="U471" s="275">
        <v>1</v>
      </c>
      <c r="V471" s="275">
        <v>1</v>
      </c>
      <c r="W471" s="44">
        <v>15</v>
      </c>
      <c r="Z471" s="278">
        <v>1800</v>
      </c>
      <c r="AB471" s="45"/>
      <c r="AC471" s="46"/>
      <c r="AF471" s="188" t="s">
        <v>5306</v>
      </c>
      <c r="AG471" s="188" t="s">
        <v>4145</v>
      </c>
      <c r="AH471" s="189" t="s">
        <v>824</v>
      </c>
      <c r="AI471" s="189" t="s">
        <v>4055</v>
      </c>
      <c r="AJ471" s="189"/>
      <c r="AK471" s="279"/>
      <c r="AL471" s="280">
        <v>0</v>
      </c>
      <c r="AM471" s="281" t="s">
        <v>7221</v>
      </c>
      <c r="AN471" s="281" t="s">
        <v>5568</v>
      </c>
      <c r="AO471" s="279"/>
      <c r="AP471" s="279">
        <v>1</v>
      </c>
      <c r="AQ471" s="279">
        <v>0</v>
      </c>
      <c r="AR471" s="73">
        <v>1</v>
      </c>
      <c r="AS471" s="73">
        <v>0</v>
      </c>
      <c r="AT471" s="279"/>
      <c r="AU471" s="226">
        <v>0</v>
      </c>
      <c r="AV471" s="17">
        <f t="shared" si="92"/>
        <v>1</v>
      </c>
      <c r="AW471" s="73" t="str">
        <f>"{s_taskCustom,{"&amp;L471&amp;","&amp;N471&amp;","&amp;U471&amp;","&amp;V471&amp;"}}"</f>
        <v>{s_taskCustom,{113,113,1,1}}</v>
      </c>
    </row>
    <row r="472" spans="1:49" s="127" customFormat="1" ht="84" x14ac:dyDescent="0.15">
      <c r="A472" s="255">
        <v>3822</v>
      </c>
      <c r="C472" s="127" t="s">
        <v>1945</v>
      </c>
      <c r="D472" s="127">
        <v>1</v>
      </c>
      <c r="E472" s="127">
        <v>0</v>
      </c>
      <c r="F472" s="127">
        <v>3</v>
      </c>
      <c r="G472" s="120">
        <v>200</v>
      </c>
      <c r="H472" s="127">
        <v>200</v>
      </c>
      <c r="I472" s="17">
        <v>0</v>
      </c>
      <c r="J472" s="238">
        <v>3823</v>
      </c>
      <c r="K472" s="127">
        <v>0</v>
      </c>
      <c r="L472" s="127">
        <v>113</v>
      </c>
      <c r="M472" s="127" t="s">
        <v>4002</v>
      </c>
      <c r="N472" s="127">
        <v>60550</v>
      </c>
      <c r="O472" s="127" t="s">
        <v>5156</v>
      </c>
      <c r="Q472" s="121"/>
      <c r="R472" s="121"/>
      <c r="S472" s="121"/>
      <c r="T472" s="121"/>
      <c r="U472" s="127">
        <v>1</v>
      </c>
      <c r="V472" s="127">
        <v>1</v>
      </c>
      <c r="W472" s="122">
        <v>15</v>
      </c>
      <c r="Z472" s="123">
        <v>1800</v>
      </c>
      <c r="AB472" s="124"/>
      <c r="AC472" s="125"/>
      <c r="AF472" s="62" t="s">
        <v>4259</v>
      </c>
      <c r="AG472" s="62" t="s">
        <v>4260</v>
      </c>
      <c r="AH472" s="62" t="s">
        <v>4261</v>
      </c>
      <c r="AI472" s="62"/>
      <c r="AJ472" s="62"/>
      <c r="AL472" s="239">
        <v>0</v>
      </c>
      <c r="AM472" s="127" t="s">
        <v>3046</v>
      </c>
      <c r="AN472" s="127" t="s">
        <v>3046</v>
      </c>
      <c r="AP472" s="127">
        <v>1</v>
      </c>
      <c r="AQ472" s="127">
        <v>0</v>
      </c>
      <c r="AR472" s="50">
        <v>1</v>
      </c>
      <c r="AS472" s="50">
        <v>0</v>
      </c>
      <c r="AU472" s="226">
        <v>0</v>
      </c>
      <c r="AV472" s="17">
        <f t="shared" si="92"/>
        <v>1</v>
      </c>
      <c r="AW472" s="50" t="str">
        <f t="shared" si="94"/>
        <v>{s_taskTalk,{113,60550}}</v>
      </c>
    </row>
    <row r="473" spans="1:49" s="218" customFormat="1" ht="96" x14ac:dyDescent="0.15">
      <c r="A473" s="200">
        <v>3831</v>
      </c>
      <c r="C473" s="218" t="s">
        <v>1946</v>
      </c>
      <c r="D473" s="50">
        <v>1</v>
      </c>
      <c r="E473" s="50">
        <v>0</v>
      </c>
      <c r="F473" s="218">
        <v>3</v>
      </c>
      <c r="G473" s="120">
        <v>200</v>
      </c>
      <c r="H473" s="218">
        <v>200</v>
      </c>
      <c r="I473" s="17">
        <v>0</v>
      </c>
      <c r="J473" s="201">
        <v>3822</v>
      </c>
      <c r="K473" s="218">
        <v>0</v>
      </c>
      <c r="L473" s="218">
        <v>60550</v>
      </c>
      <c r="M473" s="218" t="s">
        <v>635</v>
      </c>
      <c r="N473" s="218">
        <v>60065</v>
      </c>
      <c r="O473" s="218" t="s">
        <v>5157</v>
      </c>
      <c r="Q473" s="220"/>
      <c r="R473" s="220"/>
      <c r="S473" s="220"/>
      <c r="T473" s="220"/>
      <c r="U473" s="218">
        <v>1</v>
      </c>
      <c r="V473" s="218">
        <v>1</v>
      </c>
      <c r="W473" s="122">
        <v>15</v>
      </c>
      <c r="Z473" s="123">
        <v>2400</v>
      </c>
      <c r="AB473" s="221"/>
      <c r="AC473" s="222"/>
      <c r="AF473" s="223" t="s">
        <v>4262</v>
      </c>
      <c r="AG473" s="223" t="s">
        <v>4263</v>
      </c>
      <c r="AH473" s="223" t="s">
        <v>793</v>
      </c>
      <c r="AI473" s="224"/>
      <c r="AJ473" s="224"/>
      <c r="AL473" s="201">
        <v>0</v>
      </c>
      <c r="AM473" s="219" t="s">
        <v>3868</v>
      </c>
      <c r="AN473" s="219" t="s">
        <v>5569</v>
      </c>
      <c r="AP473" s="218">
        <v>1</v>
      </c>
      <c r="AQ473" s="218">
        <v>0</v>
      </c>
      <c r="AR473" s="50">
        <v>1</v>
      </c>
      <c r="AS473" s="50">
        <v>0</v>
      </c>
      <c r="AU473" s="226">
        <v>0</v>
      </c>
      <c r="AV473" s="17">
        <f t="shared" si="92"/>
        <v>1</v>
      </c>
      <c r="AW473" s="50" t="str">
        <f t="shared" si="94"/>
        <v>{s_taskTalk,{60550,60065}}</v>
      </c>
    </row>
    <row r="474" spans="1:49" s="218" customFormat="1" ht="72" x14ac:dyDescent="0.15">
      <c r="A474" s="200">
        <v>3851</v>
      </c>
      <c r="C474" s="218" t="s">
        <v>1947</v>
      </c>
      <c r="D474" s="50">
        <v>1</v>
      </c>
      <c r="E474" s="50">
        <v>0</v>
      </c>
      <c r="F474" s="218">
        <v>3</v>
      </c>
      <c r="G474" s="120">
        <v>200</v>
      </c>
      <c r="H474" s="218">
        <v>200</v>
      </c>
      <c r="I474" s="17">
        <v>0</v>
      </c>
      <c r="J474" s="201">
        <v>3831</v>
      </c>
      <c r="K474" s="218">
        <v>0</v>
      </c>
      <c r="L474" s="218">
        <v>60065</v>
      </c>
      <c r="M474" s="218" t="s">
        <v>193</v>
      </c>
      <c r="N474" s="218">
        <v>60066</v>
      </c>
      <c r="O474" s="218" t="s">
        <v>194</v>
      </c>
      <c r="Q474" s="220"/>
      <c r="R474" s="220"/>
      <c r="S474" s="220"/>
      <c r="T474" s="220"/>
      <c r="U474" s="218">
        <v>1</v>
      </c>
      <c r="V474" s="218">
        <v>1</v>
      </c>
      <c r="W474" s="122">
        <v>15</v>
      </c>
      <c r="Z474" s="123">
        <v>2400</v>
      </c>
      <c r="AB474" s="221"/>
      <c r="AC474" s="222"/>
      <c r="AF474" s="223" t="s">
        <v>4264</v>
      </c>
      <c r="AG474" s="223" t="s">
        <v>4265</v>
      </c>
      <c r="AH474" s="223" t="s">
        <v>796</v>
      </c>
      <c r="AI474" s="224"/>
      <c r="AJ474" s="224"/>
      <c r="AL474" s="201">
        <v>0</v>
      </c>
      <c r="AM474" s="219" t="s">
        <v>3047</v>
      </c>
      <c r="AN474" s="219" t="s">
        <v>5570</v>
      </c>
      <c r="AP474" s="218">
        <v>1</v>
      </c>
      <c r="AQ474" s="218">
        <v>0</v>
      </c>
      <c r="AR474" s="50">
        <v>1</v>
      </c>
      <c r="AS474" s="50">
        <v>1</v>
      </c>
      <c r="AU474" s="226">
        <v>0</v>
      </c>
      <c r="AV474" s="17">
        <f t="shared" si="92"/>
        <v>1</v>
      </c>
      <c r="AW474" s="50" t="str">
        <f t="shared" si="94"/>
        <v>{s_taskTalk,{60065,60066}}</v>
      </c>
    </row>
    <row r="475" spans="1:49" s="50" customFormat="1" ht="84" x14ac:dyDescent="0.15">
      <c r="A475" s="9">
        <v>3861</v>
      </c>
      <c r="B475" s="50">
        <v>1304</v>
      </c>
      <c r="C475" s="50" t="s">
        <v>1948</v>
      </c>
      <c r="D475" s="50">
        <v>1</v>
      </c>
      <c r="E475" s="50">
        <v>0</v>
      </c>
      <c r="F475" s="50">
        <v>3</v>
      </c>
      <c r="G475" s="120">
        <v>200</v>
      </c>
      <c r="H475" s="50">
        <v>200</v>
      </c>
      <c r="I475" s="17">
        <v>0</v>
      </c>
      <c r="J475" s="201">
        <v>3851</v>
      </c>
      <c r="K475" s="50">
        <v>0</v>
      </c>
      <c r="L475" s="50">
        <v>60066</v>
      </c>
      <c r="M475" s="50" t="s">
        <v>194</v>
      </c>
      <c r="N475" s="50">
        <v>60036</v>
      </c>
      <c r="O475" s="50" t="s">
        <v>195</v>
      </c>
      <c r="Q475" s="121"/>
      <c r="R475" s="121"/>
      <c r="S475" s="121"/>
      <c r="T475" s="121"/>
      <c r="U475" s="50">
        <v>1</v>
      </c>
      <c r="V475" s="50">
        <v>1</v>
      </c>
      <c r="W475" s="122">
        <v>15</v>
      </c>
      <c r="Z475" s="123">
        <v>2400</v>
      </c>
      <c r="AB475" s="124"/>
      <c r="AC475" s="125"/>
      <c r="AD475" s="122"/>
      <c r="AF475" s="126" t="s">
        <v>797</v>
      </c>
      <c r="AG475" s="126" t="s">
        <v>798</v>
      </c>
      <c r="AH475" s="126" t="s">
        <v>799</v>
      </c>
      <c r="AI475" s="126"/>
      <c r="AJ475" s="126"/>
      <c r="AL475" s="120">
        <v>0</v>
      </c>
      <c r="AM475" s="127" t="s">
        <v>3048</v>
      </c>
      <c r="AN475" s="127" t="s">
        <v>5571</v>
      </c>
      <c r="AP475" s="50">
        <v>1</v>
      </c>
      <c r="AQ475" s="50">
        <v>0</v>
      </c>
      <c r="AR475" s="50">
        <v>1</v>
      </c>
      <c r="AS475" s="50">
        <v>1</v>
      </c>
      <c r="AU475" s="226">
        <v>0</v>
      </c>
      <c r="AV475" s="17">
        <f t="shared" si="92"/>
        <v>1</v>
      </c>
      <c r="AW475" s="50" t="str">
        <f t="shared" si="94"/>
        <v>{s_taskTalk,{60066,60036}}</v>
      </c>
    </row>
    <row r="476" spans="1:49" s="226" customFormat="1" ht="96" x14ac:dyDescent="0.15">
      <c r="A476" s="225">
        <v>3871</v>
      </c>
      <c r="B476" s="226">
        <v>1311</v>
      </c>
      <c r="C476" s="226" t="s">
        <v>3782</v>
      </c>
      <c r="D476" s="226">
        <v>1</v>
      </c>
      <c r="E476" s="226">
        <v>0</v>
      </c>
      <c r="F476" s="226">
        <v>4</v>
      </c>
      <c r="G476" s="120">
        <v>200</v>
      </c>
      <c r="H476" s="226">
        <v>200</v>
      </c>
      <c r="I476" s="17">
        <v>0</v>
      </c>
      <c r="J476" s="227">
        <v>3861</v>
      </c>
      <c r="K476" s="226">
        <v>0</v>
      </c>
      <c r="L476" s="226">
        <v>60036</v>
      </c>
      <c r="M476" s="226" t="s">
        <v>195</v>
      </c>
      <c r="N476" s="226">
        <v>60036</v>
      </c>
      <c r="O476" s="226" t="s">
        <v>195</v>
      </c>
      <c r="Q476" s="228"/>
      <c r="R476" s="228"/>
      <c r="S476" s="228"/>
      <c r="T476" s="228"/>
      <c r="U476" s="25">
        <v>10</v>
      </c>
      <c r="V476" s="226">
        <v>0</v>
      </c>
      <c r="W476" s="229">
        <v>15</v>
      </c>
      <c r="Z476" s="230">
        <v>7700</v>
      </c>
      <c r="AB476" s="231"/>
      <c r="AC476" s="232"/>
      <c r="AF476" s="233" t="s">
        <v>3736</v>
      </c>
      <c r="AG476" s="233" t="s">
        <v>800</v>
      </c>
      <c r="AH476" s="233" t="s">
        <v>3869</v>
      </c>
      <c r="AI476" s="233" t="s">
        <v>801</v>
      </c>
      <c r="AJ476" s="233"/>
      <c r="AL476" s="234">
        <v>0</v>
      </c>
      <c r="AM476" s="235" t="s">
        <v>3738</v>
      </c>
      <c r="AN476" s="235" t="s">
        <v>5572</v>
      </c>
      <c r="AP476" s="226">
        <v>1</v>
      </c>
      <c r="AQ476" s="226">
        <v>0</v>
      </c>
      <c r="AR476" s="50">
        <v>1</v>
      </c>
      <c r="AS476" s="50">
        <v>1</v>
      </c>
      <c r="AU476" s="226">
        <v>0</v>
      </c>
      <c r="AV476" s="17">
        <f t="shared" si="92"/>
        <v>1</v>
      </c>
      <c r="AW476" s="226" t="str">
        <f t="shared" si="94"/>
        <v>{s_taskTalk,{60036,60036}}</v>
      </c>
    </row>
    <row r="477" spans="1:49" s="226" customFormat="1" ht="96" x14ac:dyDescent="0.15">
      <c r="A477" s="225">
        <v>3872</v>
      </c>
      <c r="B477" s="226">
        <v>1311</v>
      </c>
      <c r="C477" s="226" t="s">
        <v>1949</v>
      </c>
      <c r="D477" s="226">
        <v>1</v>
      </c>
      <c r="E477" s="226">
        <v>0</v>
      </c>
      <c r="F477" s="226">
        <v>4</v>
      </c>
      <c r="G477" s="120">
        <v>200</v>
      </c>
      <c r="H477" s="226">
        <v>200</v>
      </c>
      <c r="I477" s="17">
        <v>0</v>
      </c>
      <c r="J477" s="227">
        <v>0</v>
      </c>
      <c r="K477" s="226">
        <v>0</v>
      </c>
      <c r="L477" s="226">
        <v>60036</v>
      </c>
      <c r="M477" s="226" t="s">
        <v>195</v>
      </c>
      <c r="N477" s="226">
        <v>60036</v>
      </c>
      <c r="O477" s="226" t="s">
        <v>195</v>
      </c>
      <c r="Q477" s="228"/>
      <c r="R477" s="228"/>
      <c r="S477" s="228"/>
      <c r="T477" s="228"/>
      <c r="U477" s="25">
        <v>10</v>
      </c>
      <c r="V477" s="226">
        <v>0</v>
      </c>
      <c r="W477" s="229">
        <v>15</v>
      </c>
      <c r="Z477" s="230">
        <v>7700</v>
      </c>
      <c r="AB477" s="231"/>
      <c r="AC477" s="232"/>
      <c r="AD477" s="229" t="s">
        <v>7192</v>
      </c>
      <c r="AF477" s="233" t="s">
        <v>3737</v>
      </c>
      <c r="AG477" s="233" t="s">
        <v>800</v>
      </c>
      <c r="AH477" s="233" t="s">
        <v>3869</v>
      </c>
      <c r="AI477" s="233" t="s">
        <v>801</v>
      </c>
      <c r="AJ477" s="233"/>
      <c r="AL477" s="234">
        <v>0</v>
      </c>
      <c r="AM477" s="235" t="s">
        <v>4060</v>
      </c>
      <c r="AN477" s="235" t="s">
        <v>5573</v>
      </c>
      <c r="AO477" s="226" t="s">
        <v>3739</v>
      </c>
      <c r="AP477" s="226">
        <v>0</v>
      </c>
      <c r="AQ477" s="226">
        <v>0</v>
      </c>
      <c r="AR477" s="50">
        <v>1</v>
      </c>
      <c r="AS477" s="50">
        <v>1</v>
      </c>
      <c r="AU477" s="226">
        <v>0</v>
      </c>
      <c r="AV477" s="17">
        <f t="shared" si="92"/>
        <v>1</v>
      </c>
      <c r="AW477" s="226" t="str">
        <f t="shared" si="94"/>
        <v>{s_taskTalk,{60036,60036}}</v>
      </c>
    </row>
    <row r="478" spans="1:49" s="226" customFormat="1" ht="96" x14ac:dyDescent="0.15">
      <c r="A478" s="225">
        <v>3873</v>
      </c>
      <c r="B478" s="226">
        <v>1311</v>
      </c>
      <c r="C478" s="226" t="s">
        <v>1949</v>
      </c>
      <c r="D478" s="226">
        <v>1</v>
      </c>
      <c r="E478" s="226">
        <v>0</v>
      </c>
      <c r="F478" s="226">
        <v>4</v>
      </c>
      <c r="G478" s="120">
        <v>200</v>
      </c>
      <c r="H478" s="226">
        <v>200</v>
      </c>
      <c r="I478" s="17">
        <v>0</v>
      </c>
      <c r="J478" s="227">
        <v>0</v>
      </c>
      <c r="K478" s="226">
        <v>0</v>
      </c>
      <c r="L478" s="226">
        <v>60036</v>
      </c>
      <c r="M478" s="226" t="s">
        <v>195</v>
      </c>
      <c r="N478" s="226">
        <v>60036</v>
      </c>
      <c r="O478" s="226" t="s">
        <v>195</v>
      </c>
      <c r="Q478" s="228"/>
      <c r="R478" s="228"/>
      <c r="S478" s="228"/>
      <c r="T478" s="228"/>
      <c r="U478" s="25">
        <v>10</v>
      </c>
      <c r="V478" s="226">
        <v>0</v>
      </c>
      <c r="W478" s="229">
        <v>15</v>
      </c>
      <c r="Z478" s="230">
        <v>7700</v>
      </c>
      <c r="AB478" s="231"/>
      <c r="AC478" s="232"/>
      <c r="AD478" s="229" t="s">
        <v>7193</v>
      </c>
      <c r="AF478" s="233" t="s">
        <v>3737</v>
      </c>
      <c r="AG478" s="233" t="s">
        <v>800</v>
      </c>
      <c r="AH478" s="233" t="s">
        <v>3869</v>
      </c>
      <c r="AI478" s="233" t="s">
        <v>801</v>
      </c>
      <c r="AJ478" s="233"/>
      <c r="AL478" s="234">
        <v>0</v>
      </c>
      <c r="AM478" s="235" t="s">
        <v>4061</v>
      </c>
      <c r="AN478" s="235" t="s">
        <v>5574</v>
      </c>
      <c r="AO478" s="226" t="s">
        <v>3739</v>
      </c>
      <c r="AP478" s="226">
        <v>0</v>
      </c>
      <c r="AQ478" s="226">
        <v>0</v>
      </c>
      <c r="AR478" s="50">
        <v>1</v>
      </c>
      <c r="AS478" s="50">
        <v>1</v>
      </c>
      <c r="AU478" s="226">
        <v>0</v>
      </c>
      <c r="AV478" s="17">
        <f t="shared" si="92"/>
        <v>1</v>
      </c>
      <c r="AW478" s="226" t="str">
        <f t="shared" si="94"/>
        <v>{s_taskTalk,{60036,60036}}</v>
      </c>
    </row>
    <row r="479" spans="1:49" s="50" customFormat="1" ht="96" x14ac:dyDescent="0.15">
      <c r="A479" s="9">
        <v>3881</v>
      </c>
      <c r="B479" s="50">
        <v>1317</v>
      </c>
      <c r="C479" s="50" t="s">
        <v>1950</v>
      </c>
      <c r="D479" s="50">
        <v>1</v>
      </c>
      <c r="E479" s="50">
        <v>0</v>
      </c>
      <c r="F479" s="50">
        <v>4</v>
      </c>
      <c r="G479" s="120">
        <v>200</v>
      </c>
      <c r="H479" s="50">
        <v>200</v>
      </c>
      <c r="I479" s="17">
        <v>0</v>
      </c>
      <c r="J479" s="201">
        <v>3871</v>
      </c>
      <c r="K479" s="50">
        <v>0</v>
      </c>
      <c r="L479" s="50">
        <v>60036</v>
      </c>
      <c r="M479" s="50" t="s">
        <v>195</v>
      </c>
      <c r="N479" s="50">
        <v>60084</v>
      </c>
      <c r="O479" s="50" t="s">
        <v>196</v>
      </c>
      <c r="Q479" s="121"/>
      <c r="R479" s="121"/>
      <c r="S479" s="121"/>
      <c r="T479" s="121"/>
      <c r="U479" s="50">
        <v>1</v>
      </c>
      <c r="V479" s="50">
        <v>1</v>
      </c>
      <c r="W479" s="122">
        <v>15</v>
      </c>
      <c r="Z479" s="123">
        <v>2800</v>
      </c>
      <c r="AB479" s="124"/>
      <c r="AC479" s="125"/>
      <c r="AD479" s="50" t="s">
        <v>7194</v>
      </c>
      <c r="AF479" s="126" t="s">
        <v>4266</v>
      </c>
      <c r="AG479" s="126" t="s">
        <v>3870</v>
      </c>
      <c r="AH479" s="126" t="s">
        <v>802</v>
      </c>
      <c r="AI479" s="126"/>
      <c r="AJ479" s="126"/>
      <c r="AL479" s="120">
        <v>0</v>
      </c>
      <c r="AM479" s="127" t="s">
        <v>3049</v>
      </c>
      <c r="AN479" s="127" t="s">
        <v>5575</v>
      </c>
      <c r="AP479" s="50">
        <v>1</v>
      </c>
      <c r="AQ479" s="50">
        <v>0</v>
      </c>
      <c r="AR479" s="50">
        <v>1</v>
      </c>
      <c r="AS479" s="50">
        <v>1</v>
      </c>
      <c r="AU479" s="226">
        <v>0</v>
      </c>
      <c r="AV479" s="17">
        <f t="shared" si="92"/>
        <v>1</v>
      </c>
      <c r="AW479" s="50" t="str">
        <f t="shared" si="94"/>
        <v>{s_taskTalk,{60036,60084}}</v>
      </c>
    </row>
    <row r="480" spans="1:49" s="50" customFormat="1" ht="84" x14ac:dyDescent="0.15">
      <c r="A480" s="200">
        <v>3891</v>
      </c>
      <c r="B480" s="50">
        <v>1333</v>
      </c>
      <c r="C480" s="50" t="s">
        <v>1951</v>
      </c>
      <c r="D480" s="50">
        <v>1</v>
      </c>
      <c r="E480" s="50">
        <v>0</v>
      </c>
      <c r="F480" s="50">
        <v>4</v>
      </c>
      <c r="G480" s="120">
        <v>200</v>
      </c>
      <c r="H480" s="50">
        <v>200</v>
      </c>
      <c r="I480" s="17">
        <v>0</v>
      </c>
      <c r="J480" s="201">
        <v>3881</v>
      </c>
      <c r="K480" s="50">
        <v>0</v>
      </c>
      <c r="L480" s="50">
        <v>60084</v>
      </c>
      <c r="M480" s="50" t="s">
        <v>196</v>
      </c>
      <c r="N480" s="50">
        <v>60036</v>
      </c>
      <c r="O480" s="50" t="s">
        <v>195</v>
      </c>
      <c r="Q480" s="121"/>
      <c r="R480" s="121"/>
      <c r="S480" s="121"/>
      <c r="T480" s="121"/>
      <c r="U480" s="50">
        <v>4</v>
      </c>
      <c r="V480" s="50">
        <v>0</v>
      </c>
      <c r="W480" s="122">
        <v>15</v>
      </c>
      <c r="Z480" s="123">
        <v>2800</v>
      </c>
      <c r="AB480" s="124"/>
      <c r="AC480" s="125"/>
      <c r="AD480" s="122"/>
      <c r="AF480" s="126" t="s">
        <v>3727</v>
      </c>
      <c r="AG480" s="126" t="s">
        <v>803</v>
      </c>
      <c r="AH480" s="126" t="s">
        <v>518</v>
      </c>
      <c r="AI480" s="126"/>
      <c r="AJ480" s="126"/>
      <c r="AL480" s="120">
        <v>0</v>
      </c>
      <c r="AM480" s="127" t="s">
        <v>3726</v>
      </c>
      <c r="AN480" s="127" t="s">
        <v>5576</v>
      </c>
      <c r="AP480" s="50">
        <v>1</v>
      </c>
      <c r="AQ480" s="50">
        <v>0</v>
      </c>
      <c r="AR480" s="50">
        <v>1</v>
      </c>
      <c r="AS480" s="50">
        <v>1</v>
      </c>
      <c r="AU480" s="226">
        <v>0</v>
      </c>
      <c r="AV480" s="17">
        <f t="shared" si="92"/>
        <v>1</v>
      </c>
      <c r="AW480" s="50" t="str">
        <f t="shared" si="94"/>
        <v>{s_taskTalk,{60084,60036}}</v>
      </c>
    </row>
    <row r="481" spans="1:49" s="283" customFormat="1" ht="96" x14ac:dyDescent="0.15">
      <c r="A481" s="282">
        <v>1321</v>
      </c>
      <c r="C481" s="283" t="s">
        <v>3783</v>
      </c>
      <c r="D481" s="283">
        <v>1</v>
      </c>
      <c r="E481" s="283">
        <v>0</v>
      </c>
      <c r="F481" s="283">
        <v>4</v>
      </c>
      <c r="G481" s="120">
        <v>200</v>
      </c>
      <c r="H481" s="283">
        <v>200</v>
      </c>
      <c r="I481" s="17">
        <v>0</v>
      </c>
      <c r="J481" s="284">
        <v>3891</v>
      </c>
      <c r="K481" s="283">
        <v>0</v>
      </c>
      <c r="L481" s="283">
        <v>60036</v>
      </c>
      <c r="M481" s="283" t="s">
        <v>195</v>
      </c>
      <c r="N481" s="283">
        <v>60036</v>
      </c>
      <c r="O481" s="283" t="s">
        <v>195</v>
      </c>
      <c r="Q481" s="285"/>
      <c r="R481" s="285"/>
      <c r="S481" s="285"/>
      <c r="T481" s="285"/>
      <c r="U481" s="286">
        <v>10</v>
      </c>
      <c r="V481" s="283">
        <v>0</v>
      </c>
      <c r="W481" s="229">
        <v>15</v>
      </c>
      <c r="Z481" s="230">
        <v>9700</v>
      </c>
      <c r="AB481" s="287"/>
      <c r="AC481" s="288"/>
      <c r="AF481" s="289" t="s">
        <v>3740</v>
      </c>
      <c r="AG481" s="289" t="s">
        <v>3871</v>
      </c>
      <c r="AH481" s="289" t="s">
        <v>804</v>
      </c>
      <c r="AI481" s="289" t="s">
        <v>805</v>
      </c>
      <c r="AJ481" s="289"/>
      <c r="AL481" s="284">
        <v>0</v>
      </c>
      <c r="AM481" s="290" t="s">
        <v>3050</v>
      </c>
      <c r="AN481" s="290" t="s">
        <v>5577</v>
      </c>
      <c r="AP481" s="283">
        <v>1</v>
      </c>
      <c r="AQ481" s="283">
        <v>0</v>
      </c>
      <c r="AR481" s="50">
        <v>1</v>
      </c>
      <c r="AS481" s="50">
        <v>1</v>
      </c>
      <c r="AU481" s="226">
        <v>0</v>
      </c>
      <c r="AV481" s="17">
        <f t="shared" si="92"/>
        <v>1</v>
      </c>
      <c r="AW481" s="226" t="str">
        <f t="shared" si="94"/>
        <v>{s_taskTalk,{60036,60036}}</v>
      </c>
    </row>
    <row r="482" spans="1:49" s="283" customFormat="1" ht="96" x14ac:dyDescent="0.15">
      <c r="A482" s="282">
        <v>1319</v>
      </c>
      <c r="C482" s="283" t="s">
        <v>1952</v>
      </c>
      <c r="D482" s="283">
        <v>1</v>
      </c>
      <c r="E482" s="283">
        <v>0</v>
      </c>
      <c r="F482" s="283">
        <v>4</v>
      </c>
      <c r="G482" s="120">
        <v>200</v>
      </c>
      <c r="H482" s="283">
        <v>200</v>
      </c>
      <c r="I482" s="17">
        <v>0</v>
      </c>
      <c r="J482" s="284">
        <v>0</v>
      </c>
      <c r="K482" s="283">
        <v>0</v>
      </c>
      <c r="L482" s="283">
        <v>60036</v>
      </c>
      <c r="M482" s="283" t="s">
        <v>195</v>
      </c>
      <c r="N482" s="283">
        <v>60036</v>
      </c>
      <c r="O482" s="283" t="s">
        <v>195</v>
      </c>
      <c r="Q482" s="285"/>
      <c r="R482" s="285"/>
      <c r="S482" s="285"/>
      <c r="T482" s="285"/>
      <c r="U482" s="286">
        <v>10</v>
      </c>
      <c r="V482" s="283">
        <v>0</v>
      </c>
      <c r="W482" s="229">
        <v>15</v>
      </c>
      <c r="Z482" s="230">
        <v>9700</v>
      </c>
      <c r="AB482" s="287"/>
      <c r="AC482" s="288"/>
      <c r="AD482" s="229" t="s">
        <v>7195</v>
      </c>
      <c r="AF482" s="289" t="s">
        <v>3740</v>
      </c>
      <c r="AG482" s="289" t="s">
        <v>3871</v>
      </c>
      <c r="AH482" s="289" t="s">
        <v>804</v>
      </c>
      <c r="AI482" s="289" t="s">
        <v>805</v>
      </c>
      <c r="AJ482" s="289"/>
      <c r="AL482" s="284">
        <v>0</v>
      </c>
      <c r="AM482" s="290" t="s">
        <v>4062</v>
      </c>
      <c r="AN482" s="290" t="s">
        <v>5578</v>
      </c>
      <c r="AP482" s="283">
        <v>0</v>
      </c>
      <c r="AQ482" s="283">
        <v>0</v>
      </c>
      <c r="AR482" s="50">
        <v>1</v>
      </c>
      <c r="AS482" s="50">
        <v>1</v>
      </c>
      <c r="AU482" s="226">
        <v>0</v>
      </c>
      <c r="AV482" s="17">
        <f t="shared" si="92"/>
        <v>1</v>
      </c>
      <c r="AW482" s="226" t="str">
        <f t="shared" si="94"/>
        <v>{s_taskTalk,{60036,60036}}</v>
      </c>
    </row>
    <row r="483" spans="1:49" s="283" customFormat="1" ht="96" x14ac:dyDescent="0.15">
      <c r="A483" s="282">
        <v>1320</v>
      </c>
      <c r="C483" s="283" t="s">
        <v>1952</v>
      </c>
      <c r="D483" s="283">
        <v>1</v>
      </c>
      <c r="E483" s="283">
        <v>0</v>
      </c>
      <c r="F483" s="283">
        <v>4</v>
      </c>
      <c r="G483" s="120">
        <v>200</v>
      </c>
      <c r="H483" s="283">
        <v>200</v>
      </c>
      <c r="I483" s="17">
        <v>0</v>
      </c>
      <c r="J483" s="284">
        <v>0</v>
      </c>
      <c r="K483" s="283">
        <v>0</v>
      </c>
      <c r="L483" s="283">
        <v>60036</v>
      </c>
      <c r="M483" s="283" t="s">
        <v>195</v>
      </c>
      <c r="N483" s="283">
        <v>60036</v>
      </c>
      <c r="O483" s="283" t="s">
        <v>195</v>
      </c>
      <c r="Q483" s="285"/>
      <c r="R483" s="285"/>
      <c r="S483" s="285"/>
      <c r="T483" s="285"/>
      <c r="U483" s="286">
        <v>10</v>
      </c>
      <c r="V483" s="283">
        <v>0</v>
      </c>
      <c r="W483" s="229">
        <v>15</v>
      </c>
      <c r="Z483" s="230">
        <v>9700</v>
      </c>
      <c r="AB483" s="287"/>
      <c r="AC483" s="288"/>
      <c r="AD483" s="229" t="s">
        <v>7196</v>
      </c>
      <c r="AF483" s="289" t="s">
        <v>3740</v>
      </c>
      <c r="AG483" s="289" t="s">
        <v>3871</v>
      </c>
      <c r="AH483" s="289" t="s">
        <v>804</v>
      </c>
      <c r="AI483" s="289" t="s">
        <v>805</v>
      </c>
      <c r="AJ483" s="289"/>
      <c r="AL483" s="284">
        <v>0</v>
      </c>
      <c r="AM483" s="290" t="s">
        <v>4063</v>
      </c>
      <c r="AN483" s="290" t="s">
        <v>5579</v>
      </c>
      <c r="AP483" s="283">
        <v>0</v>
      </c>
      <c r="AQ483" s="283">
        <v>0</v>
      </c>
      <c r="AR483" s="50">
        <v>1</v>
      </c>
      <c r="AS483" s="50">
        <v>1</v>
      </c>
      <c r="AU483" s="226">
        <v>0</v>
      </c>
      <c r="AV483" s="17">
        <f t="shared" si="92"/>
        <v>1</v>
      </c>
      <c r="AW483" s="226" t="str">
        <f t="shared" si="94"/>
        <v>{s_taskTalk,{60036,60036}}</v>
      </c>
    </row>
    <row r="484" spans="1:49" s="292" customFormat="1" ht="96" x14ac:dyDescent="0.15">
      <c r="A484" s="291">
        <v>1323</v>
      </c>
      <c r="C484" s="292" t="s">
        <v>1953</v>
      </c>
      <c r="D484" s="292">
        <v>1</v>
      </c>
      <c r="E484" s="292">
        <v>0</v>
      </c>
      <c r="F484" s="292">
        <v>4</v>
      </c>
      <c r="G484" s="120">
        <v>200</v>
      </c>
      <c r="H484" s="292">
        <v>200</v>
      </c>
      <c r="I484" s="17">
        <v>0</v>
      </c>
      <c r="J484" s="293">
        <v>1321</v>
      </c>
      <c r="K484" s="292">
        <v>0</v>
      </c>
      <c r="L484" s="292">
        <v>60036</v>
      </c>
      <c r="M484" s="292" t="s">
        <v>195</v>
      </c>
      <c r="N484" s="292">
        <v>60036</v>
      </c>
      <c r="O484" s="292" t="s">
        <v>195</v>
      </c>
      <c r="Q484" s="294">
        <v>60145</v>
      </c>
      <c r="R484" s="294"/>
      <c r="S484" s="294">
        <v>60145</v>
      </c>
      <c r="T484" s="294"/>
      <c r="U484" s="292">
        <v>3</v>
      </c>
      <c r="V484" s="292">
        <v>0</v>
      </c>
      <c r="W484" s="122">
        <v>15</v>
      </c>
      <c r="Z484" s="123">
        <v>4000</v>
      </c>
      <c r="AB484" s="295"/>
      <c r="AC484" s="296"/>
      <c r="AD484" s="122" t="s">
        <v>3386</v>
      </c>
      <c r="AF484" s="297" t="s">
        <v>3930</v>
      </c>
      <c r="AG484" s="297" t="s">
        <v>3872</v>
      </c>
      <c r="AH484" s="297" t="s">
        <v>806</v>
      </c>
      <c r="AI484" s="297"/>
      <c r="AJ484" s="297"/>
      <c r="AL484" s="293">
        <v>0</v>
      </c>
      <c r="AM484" s="298" t="s">
        <v>3928</v>
      </c>
      <c r="AN484" s="298" t="s">
        <v>5580</v>
      </c>
      <c r="AO484" s="292" t="s">
        <v>3929</v>
      </c>
      <c r="AP484" s="292">
        <v>1</v>
      </c>
      <c r="AQ484" s="292">
        <v>0</v>
      </c>
      <c r="AR484" s="50">
        <v>1</v>
      </c>
      <c r="AS484" s="50">
        <v>1</v>
      </c>
      <c r="AU484" s="226">
        <v>0</v>
      </c>
      <c r="AV484" s="17">
        <f t="shared" si="92"/>
        <v>1</v>
      </c>
      <c r="AW484" s="50" t="str">
        <f t="shared" si="94"/>
        <v>{s_taskTalk,{60036,60036}}</v>
      </c>
    </row>
    <row r="485" spans="1:49" s="50" customFormat="1" ht="96" x14ac:dyDescent="0.15">
      <c r="A485" s="9">
        <v>3901</v>
      </c>
      <c r="B485" s="50">
        <v>1335</v>
      </c>
      <c r="C485" s="50" t="s">
        <v>1954</v>
      </c>
      <c r="D485" s="50">
        <v>1</v>
      </c>
      <c r="E485" s="50">
        <v>0</v>
      </c>
      <c r="F485" s="50">
        <v>4</v>
      </c>
      <c r="G485" s="120">
        <v>200</v>
      </c>
      <c r="H485" s="50">
        <v>200</v>
      </c>
      <c r="I485" s="17">
        <v>0</v>
      </c>
      <c r="J485" s="201">
        <v>1323</v>
      </c>
      <c r="K485" s="50">
        <v>0</v>
      </c>
      <c r="L485" s="50">
        <v>60036</v>
      </c>
      <c r="M485" s="50" t="s">
        <v>195</v>
      </c>
      <c r="N485" s="50">
        <v>60051</v>
      </c>
      <c r="O485" s="50" t="s">
        <v>197</v>
      </c>
      <c r="Q485" s="121"/>
      <c r="R485" s="121"/>
      <c r="S485" s="121"/>
      <c r="T485" s="121"/>
      <c r="U485" s="50">
        <v>1</v>
      </c>
      <c r="V485" s="50">
        <v>1</v>
      </c>
      <c r="W485" s="122">
        <v>15</v>
      </c>
      <c r="Z485" s="123">
        <v>2500</v>
      </c>
      <c r="AB485" s="124"/>
      <c r="AC485" s="125"/>
      <c r="AD485" s="122" t="s">
        <v>4007</v>
      </c>
      <c r="AF485" s="126" t="s">
        <v>807</v>
      </c>
      <c r="AG485" s="126" t="s">
        <v>3876</v>
      </c>
      <c r="AH485" s="126" t="s">
        <v>3877</v>
      </c>
      <c r="AI485" s="126"/>
      <c r="AJ485" s="126"/>
      <c r="AL485" s="120">
        <v>0</v>
      </c>
      <c r="AM485" s="127" t="s">
        <v>3051</v>
      </c>
      <c r="AN485" s="127" t="s">
        <v>5581</v>
      </c>
      <c r="AP485" s="50">
        <v>1</v>
      </c>
      <c r="AQ485" s="50">
        <v>0</v>
      </c>
      <c r="AR485" s="50">
        <v>1</v>
      </c>
      <c r="AS485" s="50">
        <v>1</v>
      </c>
      <c r="AU485" s="226">
        <v>0</v>
      </c>
      <c r="AV485" s="17">
        <f t="shared" si="92"/>
        <v>1</v>
      </c>
      <c r="AW485" s="50" t="str">
        <f t="shared" si="94"/>
        <v>{s_taskTalk,{60036,60051}}</v>
      </c>
    </row>
    <row r="486" spans="1:49" s="50" customFormat="1" ht="108" x14ac:dyDescent="0.15">
      <c r="A486" s="200">
        <v>3911</v>
      </c>
      <c r="B486" s="50">
        <v>1336</v>
      </c>
      <c r="C486" s="50" t="s">
        <v>1955</v>
      </c>
      <c r="D486" s="50">
        <v>1</v>
      </c>
      <c r="E486" s="50">
        <v>0</v>
      </c>
      <c r="F486" s="50">
        <v>4</v>
      </c>
      <c r="G486" s="120">
        <v>200</v>
      </c>
      <c r="H486" s="50">
        <v>200</v>
      </c>
      <c r="I486" s="17">
        <v>0</v>
      </c>
      <c r="J486" s="201">
        <v>3901</v>
      </c>
      <c r="K486" s="50">
        <v>0</v>
      </c>
      <c r="L486" s="50">
        <v>60051</v>
      </c>
      <c r="M486" s="50" t="s">
        <v>197</v>
      </c>
      <c r="N486" s="50">
        <v>60056</v>
      </c>
      <c r="O486" s="50" t="s">
        <v>198</v>
      </c>
      <c r="Q486" s="121"/>
      <c r="R486" s="121"/>
      <c r="S486" s="121">
        <v>10029</v>
      </c>
      <c r="T486" s="121"/>
      <c r="U486" s="25">
        <v>10</v>
      </c>
      <c r="V486" s="50">
        <v>0</v>
      </c>
      <c r="W486" s="122">
        <v>15</v>
      </c>
      <c r="Z486" s="123">
        <v>11000</v>
      </c>
      <c r="AB486" s="124"/>
      <c r="AC486" s="125"/>
      <c r="AD486" s="50" t="s">
        <v>7197</v>
      </c>
      <c r="AF486" s="126" t="s">
        <v>3741</v>
      </c>
      <c r="AG486" s="126" t="s">
        <v>3878</v>
      </c>
      <c r="AH486" s="126" t="s">
        <v>3879</v>
      </c>
      <c r="AI486" s="126" t="s">
        <v>808</v>
      </c>
      <c r="AJ486" s="126"/>
      <c r="AL486" s="120">
        <v>0</v>
      </c>
      <c r="AM486" s="127" t="s">
        <v>6149</v>
      </c>
      <c r="AN486" s="127" t="s">
        <v>5582</v>
      </c>
      <c r="AP486" s="50">
        <v>1</v>
      </c>
      <c r="AQ486" s="50">
        <v>0</v>
      </c>
      <c r="AR486" s="50">
        <v>1</v>
      </c>
      <c r="AS486" s="50">
        <v>0</v>
      </c>
      <c r="AU486" s="226">
        <v>0</v>
      </c>
      <c r="AV486" s="17">
        <f t="shared" si="92"/>
        <v>1</v>
      </c>
      <c r="AW486" s="50" t="str">
        <f>"{s_taskKillNpc, {"&amp;L486&amp;","&amp;N486&amp;","&amp;S486&amp;","&amp;U486&amp;"}}"</f>
        <v>{s_taskKillNpc, {60051,60056,10029,10}}</v>
      </c>
    </row>
    <row r="487" spans="1:49" s="50" customFormat="1" ht="84" x14ac:dyDescent="0.15">
      <c r="A487" s="9">
        <v>3921</v>
      </c>
      <c r="B487" s="50">
        <v>1341</v>
      </c>
      <c r="C487" s="50" t="s">
        <v>1956</v>
      </c>
      <c r="D487" s="50">
        <v>1</v>
      </c>
      <c r="E487" s="50">
        <v>0</v>
      </c>
      <c r="F487" s="50">
        <v>4</v>
      </c>
      <c r="G487" s="120">
        <v>200</v>
      </c>
      <c r="H487" s="50">
        <v>200</v>
      </c>
      <c r="I487" s="17">
        <v>0</v>
      </c>
      <c r="J487" s="201">
        <v>3911</v>
      </c>
      <c r="K487" s="50">
        <v>0</v>
      </c>
      <c r="L487" s="50">
        <v>60056</v>
      </c>
      <c r="M487" s="50" t="s">
        <v>198</v>
      </c>
      <c r="N487" s="50">
        <v>60056</v>
      </c>
      <c r="O487" s="50" t="s">
        <v>198</v>
      </c>
      <c r="Q487" s="121"/>
      <c r="R487" s="121"/>
      <c r="S487" s="121"/>
      <c r="T487" s="121"/>
      <c r="U487" s="50">
        <v>4</v>
      </c>
      <c r="V487" s="50">
        <v>0</v>
      </c>
      <c r="W487" s="122">
        <v>15</v>
      </c>
      <c r="Z487" s="123">
        <v>2500</v>
      </c>
      <c r="AB487" s="124"/>
      <c r="AC487" s="125"/>
      <c r="AF487" s="126" t="s">
        <v>809</v>
      </c>
      <c r="AG487" s="126" t="s">
        <v>810</v>
      </c>
      <c r="AH487" s="126" t="s">
        <v>643</v>
      </c>
      <c r="AI487" s="126" t="s">
        <v>811</v>
      </c>
      <c r="AJ487" s="126"/>
      <c r="AL487" s="120">
        <v>0</v>
      </c>
      <c r="AM487" s="127" t="s">
        <v>3052</v>
      </c>
      <c r="AN487" s="127" t="s">
        <v>5583</v>
      </c>
      <c r="AP487" s="50">
        <v>1</v>
      </c>
      <c r="AQ487" s="50">
        <v>0</v>
      </c>
      <c r="AR487" s="50">
        <v>1</v>
      </c>
      <c r="AS487" s="50">
        <v>1</v>
      </c>
      <c r="AU487" s="226">
        <v>0</v>
      </c>
      <c r="AV487" s="17">
        <f t="shared" si="92"/>
        <v>1</v>
      </c>
      <c r="AW487" s="50" t="str">
        <f>"{s_taskTalk,{"&amp;L487&amp;","&amp;N487&amp;"}}"</f>
        <v>{s_taskTalk,{60056,60056}}</v>
      </c>
    </row>
    <row r="488" spans="1:49" s="50" customFormat="1" ht="96" x14ac:dyDescent="0.15">
      <c r="A488" s="200">
        <v>3931</v>
      </c>
      <c r="B488" s="50">
        <v>1342</v>
      </c>
      <c r="C488" s="50" t="s">
        <v>1957</v>
      </c>
      <c r="D488" s="50">
        <v>1</v>
      </c>
      <c r="E488" s="50">
        <v>0</v>
      </c>
      <c r="F488" s="50">
        <v>4</v>
      </c>
      <c r="G488" s="120">
        <v>200</v>
      </c>
      <c r="H488" s="50">
        <v>200</v>
      </c>
      <c r="I488" s="17">
        <v>0</v>
      </c>
      <c r="J488" s="201">
        <v>3921</v>
      </c>
      <c r="K488" s="50">
        <v>0</v>
      </c>
      <c r="L488" s="50">
        <v>60056</v>
      </c>
      <c r="M488" s="50" t="s">
        <v>198</v>
      </c>
      <c r="N488" s="50">
        <v>60051</v>
      </c>
      <c r="O488" s="50" t="s">
        <v>197</v>
      </c>
      <c r="Q488" s="121"/>
      <c r="R488" s="121"/>
      <c r="S488" s="121"/>
      <c r="T488" s="121"/>
      <c r="U488" s="50">
        <v>1</v>
      </c>
      <c r="V488" s="50">
        <v>1</v>
      </c>
      <c r="W488" s="122">
        <v>15</v>
      </c>
      <c r="Z488" s="123">
        <v>2500</v>
      </c>
      <c r="AB488" s="124"/>
      <c r="AC488" s="125"/>
      <c r="AF488" s="126" t="s">
        <v>812</v>
      </c>
      <c r="AG488" s="126" t="s">
        <v>3880</v>
      </c>
      <c r="AH488" s="126" t="s">
        <v>3881</v>
      </c>
      <c r="AI488" s="126"/>
      <c r="AJ488" s="126"/>
      <c r="AL488" s="120">
        <v>0</v>
      </c>
      <c r="AM488" s="127" t="s">
        <v>3053</v>
      </c>
      <c r="AN488" s="127" t="s">
        <v>5584</v>
      </c>
      <c r="AP488" s="50">
        <v>1</v>
      </c>
      <c r="AQ488" s="50">
        <v>0</v>
      </c>
      <c r="AR488" s="50">
        <v>1</v>
      </c>
      <c r="AS488" s="50">
        <v>1</v>
      </c>
      <c r="AU488" s="226">
        <v>0</v>
      </c>
      <c r="AV488" s="17">
        <f t="shared" si="92"/>
        <v>1</v>
      </c>
      <c r="AW488" s="50" t="str">
        <f>"{s_taskTalk,{"&amp;L488&amp;","&amp;N488&amp;"}}"</f>
        <v>{s_taskTalk,{60056,60051}}</v>
      </c>
    </row>
    <row r="489" spans="1:49" s="50" customFormat="1" ht="96" x14ac:dyDescent="0.15">
      <c r="A489" s="9">
        <v>3941</v>
      </c>
      <c r="B489" s="50">
        <v>1352</v>
      </c>
      <c r="C489" s="50" t="s">
        <v>1958</v>
      </c>
      <c r="D489" s="50">
        <v>1</v>
      </c>
      <c r="E489" s="50">
        <v>0</v>
      </c>
      <c r="F489" s="50">
        <v>4</v>
      </c>
      <c r="G489" s="120">
        <v>200</v>
      </c>
      <c r="H489" s="50">
        <v>200</v>
      </c>
      <c r="I489" s="17">
        <v>0</v>
      </c>
      <c r="J489" s="201">
        <v>3931</v>
      </c>
      <c r="K489" s="50">
        <v>0</v>
      </c>
      <c r="L489" s="50">
        <v>60051</v>
      </c>
      <c r="M489" s="50" t="s">
        <v>197</v>
      </c>
      <c r="N489" s="50">
        <v>60051</v>
      </c>
      <c r="O489" s="50" t="s">
        <v>197</v>
      </c>
      <c r="Q489" s="121"/>
      <c r="R489" s="121"/>
      <c r="S489" s="121">
        <v>10030</v>
      </c>
      <c r="T489" s="121"/>
      <c r="U489" s="25">
        <v>10</v>
      </c>
      <c r="V489" s="50">
        <v>0</v>
      </c>
      <c r="W489" s="122">
        <v>15</v>
      </c>
      <c r="Z489" s="123">
        <v>11000</v>
      </c>
      <c r="AB489" s="124"/>
      <c r="AC489" s="125"/>
      <c r="AD489" s="122" t="s">
        <v>3387</v>
      </c>
      <c r="AF489" s="126" t="s">
        <v>3742</v>
      </c>
      <c r="AG489" s="126" t="s">
        <v>3882</v>
      </c>
      <c r="AH489" s="126" t="s">
        <v>813</v>
      </c>
      <c r="AI489" s="126" t="s">
        <v>814</v>
      </c>
      <c r="AJ489" s="126"/>
      <c r="AL489" s="120">
        <v>0</v>
      </c>
      <c r="AM489" s="127" t="s">
        <v>6150</v>
      </c>
      <c r="AN489" s="127" t="s">
        <v>5585</v>
      </c>
      <c r="AP489" s="50">
        <v>1</v>
      </c>
      <c r="AQ489" s="50">
        <v>0</v>
      </c>
      <c r="AR489" s="50">
        <v>1</v>
      </c>
      <c r="AS489" s="50">
        <v>1</v>
      </c>
      <c r="AU489" s="226">
        <v>0</v>
      </c>
      <c r="AV489" s="17">
        <f t="shared" si="92"/>
        <v>1</v>
      </c>
      <c r="AW489" s="50" t="str">
        <f>"{s_taskKillNpc, {"&amp;L489&amp;","&amp;N489&amp;","&amp;S489&amp;","&amp;U489&amp;"}}"</f>
        <v>{s_taskKillNpc, {60051,60051,10030,10}}</v>
      </c>
    </row>
    <row r="490" spans="1:49" s="50" customFormat="1" ht="120" x14ac:dyDescent="0.15">
      <c r="A490" s="200">
        <v>3951</v>
      </c>
      <c r="B490" s="50">
        <v>1353</v>
      </c>
      <c r="C490" s="50" t="s">
        <v>1959</v>
      </c>
      <c r="D490" s="50">
        <v>1</v>
      </c>
      <c r="E490" s="50">
        <v>0</v>
      </c>
      <c r="F490" s="50">
        <v>4</v>
      </c>
      <c r="G490" s="120">
        <v>200</v>
      </c>
      <c r="H490" s="50">
        <v>200</v>
      </c>
      <c r="I490" s="17">
        <v>0</v>
      </c>
      <c r="J490" s="201">
        <v>3941</v>
      </c>
      <c r="K490" s="50">
        <v>0</v>
      </c>
      <c r="L490" s="50">
        <v>60051</v>
      </c>
      <c r="M490" s="50" t="s">
        <v>197</v>
      </c>
      <c r="N490" s="50">
        <v>60051</v>
      </c>
      <c r="O490" s="50" t="s">
        <v>514</v>
      </c>
      <c r="Q490" s="121"/>
      <c r="R490" s="121"/>
      <c r="S490" s="121"/>
      <c r="T490" s="121"/>
      <c r="U490" s="50">
        <v>1</v>
      </c>
      <c r="V490" s="50">
        <v>0</v>
      </c>
      <c r="W490" s="122">
        <v>15</v>
      </c>
      <c r="Z490" s="123">
        <v>4500</v>
      </c>
      <c r="AB490" s="124"/>
      <c r="AC490" s="125"/>
      <c r="AD490" s="122"/>
      <c r="AF490" s="126" t="s">
        <v>2987</v>
      </c>
      <c r="AG490" s="126" t="s">
        <v>815</v>
      </c>
      <c r="AH490" s="126" t="s">
        <v>816</v>
      </c>
      <c r="AI490" s="126" t="s">
        <v>817</v>
      </c>
      <c r="AJ490" s="126"/>
      <c r="AL490" s="120">
        <v>0</v>
      </c>
      <c r="AM490" s="127" t="s">
        <v>2390</v>
      </c>
      <c r="AN490" s="127" t="s">
        <v>5586</v>
      </c>
      <c r="AP490" s="50">
        <v>1</v>
      </c>
      <c r="AQ490" s="50">
        <v>0</v>
      </c>
      <c r="AR490" s="50">
        <v>1</v>
      </c>
      <c r="AS490" s="50">
        <v>1</v>
      </c>
      <c r="AU490" s="226">
        <v>0</v>
      </c>
      <c r="AV490" s="17">
        <f t="shared" si="92"/>
        <v>1</v>
      </c>
      <c r="AW490" s="50" t="str">
        <f>"{s_taskTalk,{"&amp;L490&amp;","&amp;N490&amp;"}}"</f>
        <v>{s_taskTalk,{60051,60051}}</v>
      </c>
    </row>
    <row r="491" spans="1:49" s="127" customFormat="1" ht="144" x14ac:dyDescent="0.15">
      <c r="A491" s="255">
        <v>3961</v>
      </c>
      <c r="B491" s="127">
        <v>1364</v>
      </c>
      <c r="C491" s="127" t="s">
        <v>1960</v>
      </c>
      <c r="D491" s="127">
        <v>1</v>
      </c>
      <c r="E491" s="127">
        <v>0</v>
      </c>
      <c r="F491" s="127">
        <v>4</v>
      </c>
      <c r="G491" s="120">
        <v>200</v>
      </c>
      <c r="H491" s="127">
        <v>200</v>
      </c>
      <c r="I491" s="17">
        <v>0</v>
      </c>
      <c r="J491" s="238">
        <v>3951</v>
      </c>
      <c r="K491" s="127">
        <v>0</v>
      </c>
      <c r="L491" s="127">
        <v>60051</v>
      </c>
      <c r="M491" s="127" t="s">
        <v>197</v>
      </c>
      <c r="N491" s="127">
        <v>60000</v>
      </c>
      <c r="O491" s="127" t="s">
        <v>192</v>
      </c>
      <c r="Q491" s="121"/>
      <c r="R491" s="121"/>
      <c r="S491" s="121"/>
      <c r="T491" s="121"/>
      <c r="U491" s="127">
        <v>1</v>
      </c>
      <c r="V491" s="127">
        <v>1</v>
      </c>
      <c r="W491" s="122">
        <v>15</v>
      </c>
      <c r="Z491" s="123">
        <v>4500</v>
      </c>
      <c r="AB491" s="124"/>
      <c r="AC491" s="125"/>
      <c r="AD491" s="128" t="s">
        <v>7198</v>
      </c>
      <c r="AF491" s="62" t="s">
        <v>1389</v>
      </c>
      <c r="AG491" s="62" t="s">
        <v>3883</v>
      </c>
      <c r="AH491" s="62" t="s">
        <v>818</v>
      </c>
      <c r="AI491" s="62"/>
      <c r="AJ491" s="62"/>
      <c r="AL491" s="239">
        <v>0</v>
      </c>
      <c r="AM491" s="127" t="s">
        <v>4267</v>
      </c>
      <c r="AN491" s="127" t="s">
        <v>5587</v>
      </c>
      <c r="AP491" s="127">
        <v>1</v>
      </c>
      <c r="AQ491" s="127">
        <v>0</v>
      </c>
      <c r="AR491" s="50">
        <v>1</v>
      </c>
      <c r="AS491" s="50">
        <v>1</v>
      </c>
      <c r="AU491" s="226">
        <v>0</v>
      </c>
      <c r="AV491" s="17">
        <f t="shared" si="92"/>
        <v>1</v>
      </c>
      <c r="AW491" s="50" t="str">
        <f>"{s_taskTalk,{"&amp;L491&amp;","&amp;N491&amp;"}}"</f>
        <v>{s_taskTalk,{60051,60000}}</v>
      </c>
    </row>
    <row r="492" spans="1:49" s="127" customFormat="1" ht="120" x14ac:dyDescent="0.15">
      <c r="A492" s="237">
        <v>3971</v>
      </c>
      <c r="B492" s="127">
        <v>1301</v>
      </c>
      <c r="C492" s="127" t="s">
        <v>4523</v>
      </c>
      <c r="D492" s="127">
        <v>1</v>
      </c>
      <c r="E492" s="127">
        <v>0</v>
      </c>
      <c r="F492" s="127">
        <v>3</v>
      </c>
      <c r="G492" s="120">
        <v>200</v>
      </c>
      <c r="H492" s="127">
        <v>200</v>
      </c>
      <c r="I492" s="17">
        <v>0</v>
      </c>
      <c r="J492" s="238">
        <v>3961</v>
      </c>
      <c r="K492" s="127">
        <v>0</v>
      </c>
      <c r="L492" s="127">
        <v>60000</v>
      </c>
      <c r="M492" s="127" t="s">
        <v>192</v>
      </c>
      <c r="N492" s="127">
        <v>122</v>
      </c>
      <c r="O492" s="127" t="s">
        <v>1267</v>
      </c>
      <c r="Q492" s="121"/>
      <c r="R492" s="121"/>
      <c r="S492" s="121"/>
      <c r="T492" s="121"/>
      <c r="U492" s="127">
        <v>1</v>
      </c>
      <c r="V492" s="127">
        <v>1</v>
      </c>
      <c r="W492" s="122">
        <v>15</v>
      </c>
      <c r="Z492" s="123">
        <v>5000</v>
      </c>
      <c r="AB492" s="124"/>
      <c r="AC492" s="125"/>
      <c r="AF492" s="62" t="s">
        <v>4653</v>
      </c>
      <c r="AG492" s="62" t="s">
        <v>4654</v>
      </c>
      <c r="AH492" s="62" t="s">
        <v>819</v>
      </c>
      <c r="AI492" s="62"/>
      <c r="AJ492" s="62"/>
      <c r="AL492" s="239">
        <v>0</v>
      </c>
      <c r="AM492" s="127" t="s">
        <v>3054</v>
      </c>
      <c r="AN492" s="127" t="s">
        <v>5588</v>
      </c>
      <c r="AP492" s="127">
        <v>1</v>
      </c>
      <c r="AQ492" s="127">
        <v>0</v>
      </c>
      <c r="AR492" s="50">
        <v>1</v>
      </c>
      <c r="AS492" s="50">
        <v>1</v>
      </c>
      <c r="AU492" s="226">
        <v>0</v>
      </c>
      <c r="AV492" s="17">
        <f t="shared" si="92"/>
        <v>1</v>
      </c>
      <c r="AW492" s="50" t="str">
        <f>"{s_taskTalk,{"&amp;L492&amp;","&amp;N492&amp;"}}"</f>
        <v>{s_taskTalk,{60000,122}}</v>
      </c>
    </row>
    <row r="493" spans="1:49" s="127" customFormat="1" ht="120" x14ac:dyDescent="0.15">
      <c r="A493" s="255">
        <v>3981</v>
      </c>
      <c r="B493" s="127">
        <v>1302</v>
      </c>
      <c r="C493" s="127" t="s">
        <v>1961</v>
      </c>
      <c r="D493" s="127">
        <v>1</v>
      </c>
      <c r="E493" s="127">
        <v>0</v>
      </c>
      <c r="F493" s="127">
        <v>3</v>
      </c>
      <c r="G493" s="120">
        <v>200</v>
      </c>
      <c r="H493" s="127">
        <v>200</v>
      </c>
      <c r="I493" s="17">
        <v>0</v>
      </c>
      <c r="J493" s="238">
        <v>3971</v>
      </c>
      <c r="K493" s="127">
        <v>0</v>
      </c>
      <c r="L493" s="127">
        <v>122</v>
      </c>
      <c r="M493" s="127" t="s">
        <v>1267</v>
      </c>
      <c r="N493" s="127">
        <v>122</v>
      </c>
      <c r="O493" s="127" t="s">
        <v>1267</v>
      </c>
      <c r="Q493" s="121"/>
      <c r="R493" s="121"/>
      <c r="S493" s="121"/>
      <c r="T493" s="121"/>
      <c r="U493" s="127">
        <v>1</v>
      </c>
      <c r="V493" s="127">
        <v>1</v>
      </c>
      <c r="W493" s="122">
        <v>15</v>
      </c>
      <c r="Z493" s="123">
        <v>5000</v>
      </c>
      <c r="AB493" s="124"/>
      <c r="AC493" s="125"/>
      <c r="AF493" s="62" t="s">
        <v>4655</v>
      </c>
      <c r="AG493" s="62" t="s">
        <v>4656</v>
      </c>
      <c r="AH493" s="62" t="s">
        <v>820</v>
      </c>
      <c r="AI493" s="62"/>
      <c r="AJ493" s="62"/>
      <c r="AL493" s="239">
        <v>0</v>
      </c>
      <c r="AM493" s="127" t="s">
        <v>3055</v>
      </c>
      <c r="AN493" s="127" t="s">
        <v>5589</v>
      </c>
      <c r="AP493" s="127">
        <v>1</v>
      </c>
      <c r="AQ493" s="127">
        <v>0</v>
      </c>
      <c r="AR493" s="50">
        <v>1</v>
      </c>
      <c r="AS493" s="50">
        <v>1</v>
      </c>
      <c r="AU493" s="226">
        <v>0</v>
      </c>
      <c r="AV493" s="17">
        <f t="shared" si="92"/>
        <v>1</v>
      </c>
      <c r="AW493" s="50" t="str">
        <f>"{s_taskTalk,{"&amp;L493&amp;","&amp;N493&amp;"}}"</f>
        <v>{s_taskTalk,{122,122}}</v>
      </c>
    </row>
    <row r="494" spans="1:49" s="279" customFormat="1" ht="72" x14ac:dyDescent="0.15">
      <c r="A494" s="199">
        <v>3991</v>
      </c>
      <c r="C494" s="279" t="s">
        <v>3397</v>
      </c>
      <c r="D494" s="147">
        <v>1</v>
      </c>
      <c r="E494" s="147">
        <v>0</v>
      </c>
      <c r="F494" s="147">
        <v>3</v>
      </c>
      <c r="G494" s="120">
        <v>200</v>
      </c>
      <c r="H494" s="147">
        <v>200</v>
      </c>
      <c r="I494" s="17">
        <v>0</v>
      </c>
      <c r="J494" s="53">
        <v>1765</v>
      </c>
      <c r="K494" s="147">
        <v>0</v>
      </c>
      <c r="L494" s="279">
        <v>113</v>
      </c>
      <c r="M494" s="279" t="s">
        <v>199</v>
      </c>
      <c r="N494" s="279">
        <v>113</v>
      </c>
      <c r="O494" s="279" t="s">
        <v>199</v>
      </c>
      <c r="Q494" s="299"/>
      <c r="R494" s="299"/>
      <c r="S494" s="299"/>
      <c r="T494" s="299"/>
      <c r="U494" s="279">
        <v>1</v>
      </c>
      <c r="V494" s="279">
        <v>1</v>
      </c>
      <c r="W494" s="141">
        <v>15</v>
      </c>
      <c r="Z494" s="142">
        <v>16000</v>
      </c>
      <c r="AB494" s="300"/>
      <c r="AC494" s="301"/>
      <c r="AD494" s="187" t="s">
        <v>3954</v>
      </c>
      <c r="AF494" s="188" t="s">
        <v>7222</v>
      </c>
      <c r="AG494" s="188" t="s">
        <v>821</v>
      </c>
      <c r="AH494" s="188" t="s">
        <v>822</v>
      </c>
      <c r="AI494" s="189"/>
      <c r="AJ494" s="189"/>
      <c r="AL494" s="280">
        <v>0</v>
      </c>
      <c r="AM494" s="281" t="s">
        <v>3056</v>
      </c>
      <c r="AN494" s="281" t="s">
        <v>5590</v>
      </c>
      <c r="AP494" s="279">
        <v>1</v>
      </c>
      <c r="AQ494" s="279">
        <v>0</v>
      </c>
      <c r="AR494" s="73">
        <v>1</v>
      </c>
      <c r="AS494" s="73">
        <v>1</v>
      </c>
      <c r="AU494" s="226">
        <v>0</v>
      </c>
      <c r="AV494" s="17">
        <f t="shared" si="92"/>
        <v>1</v>
      </c>
      <c r="AW494" s="73" t="str">
        <f>"{s_taskTalk,{"&amp;L494&amp;","&amp;N494&amp;"}}"</f>
        <v>{s_taskTalk,{113,113}}</v>
      </c>
    </row>
    <row r="495" spans="1:49" s="279" customFormat="1" ht="84" x14ac:dyDescent="0.15">
      <c r="A495" s="182">
        <v>4001</v>
      </c>
      <c r="C495" s="279" t="s">
        <v>3395</v>
      </c>
      <c r="D495" s="147">
        <v>1</v>
      </c>
      <c r="E495" s="147">
        <v>0</v>
      </c>
      <c r="F495" s="147">
        <v>3</v>
      </c>
      <c r="G495" s="120">
        <v>200</v>
      </c>
      <c r="H495" s="147">
        <v>200</v>
      </c>
      <c r="I495" s="17">
        <v>0</v>
      </c>
      <c r="J495" s="53">
        <v>0</v>
      </c>
      <c r="K495" s="147">
        <v>0</v>
      </c>
      <c r="L495" s="279">
        <v>113</v>
      </c>
      <c r="M495" s="279" t="s">
        <v>199</v>
      </c>
      <c r="N495" s="279">
        <v>60000</v>
      </c>
      <c r="O495" s="279" t="s">
        <v>3396</v>
      </c>
      <c r="Q495" s="299"/>
      <c r="R495" s="299"/>
      <c r="S495" s="299"/>
      <c r="T495" s="299"/>
      <c r="U495" s="279">
        <v>1</v>
      </c>
      <c r="V495" s="279">
        <v>0</v>
      </c>
      <c r="W495" s="141">
        <v>15</v>
      </c>
      <c r="Z495" s="142">
        <v>25000</v>
      </c>
      <c r="AB495" s="300"/>
      <c r="AC495" s="301"/>
      <c r="AD495" s="187" t="s">
        <v>3955</v>
      </c>
      <c r="AF495" s="188" t="s">
        <v>4146</v>
      </c>
      <c r="AG495" s="188" t="s">
        <v>4147</v>
      </c>
      <c r="AH495" s="189" t="s">
        <v>824</v>
      </c>
      <c r="AI495" s="189" t="s">
        <v>3985</v>
      </c>
      <c r="AJ495" s="189"/>
      <c r="AL495" s="280">
        <v>0</v>
      </c>
      <c r="AM495" s="281" t="s">
        <v>3988</v>
      </c>
      <c r="AN495" s="281" t="s">
        <v>5591</v>
      </c>
      <c r="AP495" s="279">
        <v>1</v>
      </c>
      <c r="AQ495" s="279">
        <v>0</v>
      </c>
      <c r="AR495" s="73">
        <v>1</v>
      </c>
      <c r="AS495" s="73">
        <v>0</v>
      </c>
      <c r="AU495" s="226">
        <v>0</v>
      </c>
      <c r="AV495" s="17">
        <f t="shared" si="92"/>
        <v>1</v>
      </c>
      <c r="AW495" s="73" t="str">
        <f>"{s_taskCustom,{"&amp;L495&amp;","&amp;N495&amp;","&amp;U495&amp;","&amp;V495&amp;"}}"</f>
        <v>{s_taskCustom,{113,60000,1,0}}</v>
      </c>
    </row>
    <row r="496" spans="1:49" s="302" customFormat="1" ht="156" x14ac:dyDescent="0.15">
      <c r="A496" s="237">
        <v>4011</v>
      </c>
      <c r="C496" s="302" t="s">
        <v>1962</v>
      </c>
      <c r="D496" s="127">
        <v>1</v>
      </c>
      <c r="E496" s="127">
        <v>0</v>
      </c>
      <c r="F496" s="127">
        <v>3</v>
      </c>
      <c r="G496" s="120">
        <v>200</v>
      </c>
      <c r="H496" s="127">
        <v>200</v>
      </c>
      <c r="I496" s="17">
        <v>0</v>
      </c>
      <c r="J496" s="238">
        <v>3981</v>
      </c>
      <c r="K496" s="127">
        <v>0</v>
      </c>
      <c r="L496" s="127">
        <v>122</v>
      </c>
      <c r="M496" s="127" t="s">
        <v>1267</v>
      </c>
      <c r="N496" s="127">
        <v>60063</v>
      </c>
      <c r="O496" s="127" t="s">
        <v>264</v>
      </c>
      <c r="Q496" s="303"/>
      <c r="R496" s="303"/>
      <c r="S496" s="303"/>
      <c r="T496" s="303"/>
      <c r="U496" s="302">
        <v>1</v>
      </c>
      <c r="V496" s="302">
        <v>0</v>
      </c>
      <c r="W496" s="122">
        <v>15</v>
      </c>
      <c r="Z496" s="123">
        <v>13000</v>
      </c>
      <c r="AB496" s="125"/>
      <c r="AC496" s="304">
        <v>300</v>
      </c>
      <c r="AF496" s="260" t="s">
        <v>4218</v>
      </c>
      <c r="AG496" s="260" t="s">
        <v>4219</v>
      </c>
      <c r="AH496" s="260" t="s">
        <v>825</v>
      </c>
      <c r="AI496" s="305"/>
      <c r="AJ496" s="305"/>
      <c r="AL496" s="306">
        <v>0</v>
      </c>
      <c r="AM496" s="307" t="s">
        <v>1871</v>
      </c>
      <c r="AN496" s="307" t="s">
        <v>5592</v>
      </c>
      <c r="AP496" s="302">
        <v>1</v>
      </c>
      <c r="AQ496" s="302">
        <v>0</v>
      </c>
      <c r="AR496" s="50">
        <v>1</v>
      </c>
      <c r="AS496" s="50">
        <v>0</v>
      </c>
      <c r="AU496" s="226">
        <v>0</v>
      </c>
      <c r="AV496" s="17">
        <f t="shared" si="92"/>
        <v>1</v>
      </c>
      <c r="AW496" s="50" t="str">
        <f t="shared" ref="AW496:AW508" si="95">"{s_taskTalk,{"&amp;L496&amp;","&amp;N496&amp;"}}"</f>
        <v>{s_taskTalk,{122,60063}}</v>
      </c>
    </row>
    <row r="497" spans="1:49" s="308" customFormat="1" ht="96" x14ac:dyDescent="0.15">
      <c r="A497" s="9">
        <v>4021</v>
      </c>
      <c r="C497" s="308" t="s">
        <v>1963</v>
      </c>
      <c r="D497" s="50">
        <v>1</v>
      </c>
      <c r="E497" s="50">
        <v>0</v>
      </c>
      <c r="F497" s="308">
        <v>4</v>
      </c>
      <c r="G497" s="120">
        <v>200</v>
      </c>
      <c r="H497" s="50">
        <v>200</v>
      </c>
      <c r="I497" s="17">
        <v>0</v>
      </c>
      <c r="J497" s="201">
        <v>4011</v>
      </c>
      <c r="K497" s="50">
        <v>0</v>
      </c>
      <c r="L497" s="308">
        <v>60063</v>
      </c>
      <c r="M497" s="308" t="s">
        <v>200</v>
      </c>
      <c r="N497" s="308">
        <v>60166</v>
      </c>
      <c r="O497" s="308" t="s">
        <v>201</v>
      </c>
      <c r="Q497" s="303"/>
      <c r="R497" s="303"/>
      <c r="S497" s="303"/>
      <c r="T497" s="303"/>
      <c r="U497" s="308">
        <v>1</v>
      </c>
      <c r="V497" s="308">
        <v>1</v>
      </c>
      <c r="W497" s="122">
        <v>15</v>
      </c>
      <c r="Z497" s="123">
        <v>13000</v>
      </c>
      <c r="AB497" s="309"/>
      <c r="AC497" s="309"/>
      <c r="AF497" s="223" t="s">
        <v>4657</v>
      </c>
      <c r="AG497" s="223" t="s">
        <v>4658</v>
      </c>
      <c r="AH497" s="260" t="s">
        <v>826</v>
      </c>
      <c r="AI497" s="224"/>
      <c r="AJ497" s="224"/>
      <c r="AL497" s="310">
        <v>0</v>
      </c>
      <c r="AM497" s="311">
        <v>0</v>
      </c>
      <c r="AN497" s="311" t="s">
        <v>5593</v>
      </c>
      <c r="AP497" s="308">
        <v>1</v>
      </c>
      <c r="AQ497" s="308">
        <v>0</v>
      </c>
      <c r="AR497" s="50">
        <v>1</v>
      </c>
      <c r="AS497" s="50">
        <v>1</v>
      </c>
      <c r="AU497" s="226">
        <v>0</v>
      </c>
      <c r="AV497" s="17">
        <f t="shared" si="92"/>
        <v>1</v>
      </c>
      <c r="AW497" s="50" t="str">
        <f t="shared" si="95"/>
        <v>{s_taskTalk,{60063,60166}}</v>
      </c>
    </row>
    <row r="498" spans="1:49" s="101" customFormat="1" ht="132" x14ac:dyDescent="0.15">
      <c r="A498" s="312">
        <v>4031</v>
      </c>
      <c r="B498" s="101">
        <v>1361</v>
      </c>
      <c r="C498" s="101" t="s">
        <v>3842</v>
      </c>
      <c r="D498" s="101">
        <v>1</v>
      </c>
      <c r="E498" s="101">
        <v>0</v>
      </c>
      <c r="F498" s="101">
        <v>4</v>
      </c>
      <c r="G498" s="120">
        <v>200</v>
      </c>
      <c r="H498" s="101">
        <v>200</v>
      </c>
      <c r="I498" s="17">
        <v>0</v>
      </c>
      <c r="J498" s="313">
        <v>4021</v>
      </c>
      <c r="K498" s="101">
        <v>0</v>
      </c>
      <c r="L498" s="101">
        <v>60166</v>
      </c>
      <c r="M498" s="101" t="s">
        <v>201</v>
      </c>
      <c r="N498" s="101">
        <v>60166</v>
      </c>
      <c r="O498" s="101" t="s">
        <v>201</v>
      </c>
      <c r="Q498" s="102"/>
      <c r="R498" s="102"/>
      <c r="S498" s="102"/>
      <c r="T498" s="102"/>
      <c r="U498" s="25">
        <v>10</v>
      </c>
      <c r="V498" s="101">
        <v>0</v>
      </c>
      <c r="W498" s="103">
        <v>15</v>
      </c>
      <c r="Z498" s="104">
        <v>14500</v>
      </c>
      <c r="AB498" s="105"/>
      <c r="AC498" s="105"/>
      <c r="AF498" s="107" t="s">
        <v>3743</v>
      </c>
      <c r="AG498" s="107" t="s">
        <v>827</v>
      </c>
      <c r="AH498" s="107" t="s">
        <v>3884</v>
      </c>
      <c r="AI498" s="107" t="s">
        <v>828</v>
      </c>
      <c r="AJ498" s="107"/>
      <c r="AL498" s="108">
        <v>0</v>
      </c>
      <c r="AM498" s="82" t="s">
        <v>3057</v>
      </c>
      <c r="AN498" s="82" t="s">
        <v>5594</v>
      </c>
      <c r="AP498" s="101">
        <v>1</v>
      </c>
      <c r="AQ498" s="101">
        <v>0</v>
      </c>
      <c r="AR498" s="50">
        <v>1</v>
      </c>
      <c r="AS498" s="50">
        <v>1</v>
      </c>
      <c r="AU498" s="226">
        <v>0</v>
      </c>
      <c r="AV498" s="17">
        <f t="shared" si="92"/>
        <v>1</v>
      </c>
      <c r="AW498" s="101" t="str">
        <f t="shared" si="95"/>
        <v>{s_taskTalk,{60166,60166}}</v>
      </c>
    </row>
    <row r="499" spans="1:49" s="101" customFormat="1" ht="132" x14ac:dyDescent="0.15">
      <c r="A499" s="312">
        <v>4032</v>
      </c>
      <c r="B499" s="101">
        <v>1361</v>
      </c>
      <c r="C499" s="101" t="s">
        <v>1964</v>
      </c>
      <c r="D499" s="101">
        <v>1</v>
      </c>
      <c r="E499" s="101">
        <v>0</v>
      </c>
      <c r="F499" s="101">
        <v>4</v>
      </c>
      <c r="G499" s="120">
        <v>200</v>
      </c>
      <c r="H499" s="101">
        <v>200</v>
      </c>
      <c r="I499" s="17">
        <v>0</v>
      </c>
      <c r="J499" s="313">
        <v>0</v>
      </c>
      <c r="K499" s="101">
        <v>0</v>
      </c>
      <c r="L499" s="101">
        <v>60166</v>
      </c>
      <c r="M499" s="101" t="s">
        <v>201</v>
      </c>
      <c r="N499" s="101">
        <v>60166</v>
      </c>
      <c r="O499" s="101" t="s">
        <v>201</v>
      </c>
      <c r="Q499" s="102"/>
      <c r="R499" s="102"/>
      <c r="S499" s="102"/>
      <c r="T499" s="102"/>
      <c r="U499" s="25">
        <v>10</v>
      </c>
      <c r="V499" s="101">
        <v>0</v>
      </c>
      <c r="W499" s="103">
        <v>15</v>
      </c>
      <c r="Z499" s="104">
        <v>14500</v>
      </c>
      <c r="AB499" s="105"/>
      <c r="AC499" s="105"/>
      <c r="AD499" s="103" t="s">
        <v>7199</v>
      </c>
      <c r="AF499" s="107" t="s">
        <v>3744</v>
      </c>
      <c r="AG499" s="107" t="s">
        <v>827</v>
      </c>
      <c r="AH499" s="107" t="s">
        <v>3884</v>
      </c>
      <c r="AI499" s="107" t="s">
        <v>828</v>
      </c>
      <c r="AJ499" s="107"/>
      <c r="AL499" s="108">
        <v>0</v>
      </c>
      <c r="AM499" s="82" t="s">
        <v>4064</v>
      </c>
      <c r="AN499" s="82" t="s">
        <v>5595</v>
      </c>
      <c r="AO499" s="101" t="s">
        <v>3745</v>
      </c>
      <c r="AP499" s="101">
        <v>0</v>
      </c>
      <c r="AQ499" s="101">
        <v>0</v>
      </c>
      <c r="AR499" s="50">
        <v>1</v>
      </c>
      <c r="AS499" s="50">
        <v>1</v>
      </c>
      <c r="AU499" s="226">
        <v>0</v>
      </c>
      <c r="AV499" s="17">
        <f t="shared" si="92"/>
        <v>1</v>
      </c>
      <c r="AW499" s="101" t="str">
        <f t="shared" si="95"/>
        <v>{s_taskTalk,{60166,60166}}</v>
      </c>
    </row>
    <row r="500" spans="1:49" s="101" customFormat="1" ht="132" x14ac:dyDescent="0.15">
      <c r="A500" s="312">
        <v>4033</v>
      </c>
      <c r="B500" s="101">
        <v>1361</v>
      </c>
      <c r="C500" s="101" t="s">
        <v>1964</v>
      </c>
      <c r="D500" s="101">
        <v>1</v>
      </c>
      <c r="E500" s="101">
        <v>0</v>
      </c>
      <c r="F500" s="101">
        <v>4</v>
      </c>
      <c r="G500" s="120">
        <v>200</v>
      </c>
      <c r="H500" s="101">
        <v>200</v>
      </c>
      <c r="I500" s="17">
        <v>0</v>
      </c>
      <c r="J500" s="313">
        <v>0</v>
      </c>
      <c r="K500" s="101">
        <v>0</v>
      </c>
      <c r="L500" s="101">
        <v>60166</v>
      </c>
      <c r="M500" s="101" t="s">
        <v>201</v>
      </c>
      <c r="N500" s="101">
        <v>60166</v>
      </c>
      <c r="O500" s="101" t="s">
        <v>201</v>
      </c>
      <c r="Q500" s="102"/>
      <c r="R500" s="102"/>
      <c r="S500" s="102"/>
      <c r="T500" s="102"/>
      <c r="U500" s="25">
        <v>10</v>
      </c>
      <c r="V500" s="101">
        <v>0</v>
      </c>
      <c r="W500" s="103">
        <v>15</v>
      </c>
      <c r="Z500" s="104">
        <v>14500</v>
      </c>
      <c r="AB500" s="105"/>
      <c r="AC500" s="105"/>
      <c r="AD500" s="103" t="s">
        <v>7200</v>
      </c>
      <c r="AF500" s="107" t="s">
        <v>3743</v>
      </c>
      <c r="AG500" s="107" t="s">
        <v>827</v>
      </c>
      <c r="AH500" s="107" t="s">
        <v>3884</v>
      </c>
      <c r="AI500" s="107" t="s">
        <v>828</v>
      </c>
      <c r="AJ500" s="107"/>
      <c r="AL500" s="108">
        <v>0</v>
      </c>
      <c r="AM500" s="82" t="s">
        <v>4065</v>
      </c>
      <c r="AN500" s="82" t="s">
        <v>5596</v>
      </c>
      <c r="AO500" s="101" t="s">
        <v>3746</v>
      </c>
      <c r="AP500" s="101">
        <v>0</v>
      </c>
      <c r="AQ500" s="101">
        <v>0</v>
      </c>
      <c r="AR500" s="50">
        <v>1</v>
      </c>
      <c r="AS500" s="50">
        <v>1</v>
      </c>
      <c r="AU500" s="226">
        <v>0</v>
      </c>
      <c r="AV500" s="17">
        <f t="shared" si="92"/>
        <v>1</v>
      </c>
      <c r="AW500" s="101" t="str">
        <f t="shared" si="95"/>
        <v>{s_taskTalk,{60166,60166}}</v>
      </c>
    </row>
    <row r="501" spans="1:49" s="50" customFormat="1" ht="96" x14ac:dyDescent="0.15">
      <c r="A501" s="9">
        <v>4041</v>
      </c>
      <c r="C501" s="50" t="s">
        <v>1965</v>
      </c>
      <c r="D501" s="50">
        <v>1</v>
      </c>
      <c r="E501" s="50">
        <v>0</v>
      </c>
      <c r="F501" s="50">
        <v>4</v>
      </c>
      <c r="G501" s="120">
        <v>200</v>
      </c>
      <c r="H501" s="50">
        <v>200</v>
      </c>
      <c r="I501" s="17">
        <v>0</v>
      </c>
      <c r="J501" s="201">
        <v>4031</v>
      </c>
      <c r="L501" s="50">
        <v>60166</v>
      </c>
      <c r="M501" s="50" t="s">
        <v>201</v>
      </c>
      <c r="N501" s="50">
        <v>60051</v>
      </c>
      <c r="O501" s="50" t="s">
        <v>197</v>
      </c>
      <c r="Q501" s="121"/>
      <c r="R501" s="121"/>
      <c r="S501" s="121"/>
      <c r="T501" s="121"/>
      <c r="U501" s="50">
        <v>1</v>
      </c>
      <c r="V501" s="50">
        <v>1</v>
      </c>
      <c r="W501" s="122">
        <v>15</v>
      </c>
      <c r="Z501" s="123">
        <v>7600</v>
      </c>
      <c r="AB501" s="124"/>
      <c r="AC501" s="124"/>
      <c r="AF501" s="126" t="s">
        <v>1740</v>
      </c>
      <c r="AG501" s="126" t="s">
        <v>829</v>
      </c>
      <c r="AH501" s="126" t="s">
        <v>830</v>
      </c>
      <c r="AI501" s="126"/>
      <c r="AJ501" s="126"/>
      <c r="AL501" s="120">
        <v>0</v>
      </c>
      <c r="AM501" s="127" t="s">
        <v>3058</v>
      </c>
      <c r="AN501" s="127" t="s">
        <v>5597</v>
      </c>
      <c r="AP501" s="50">
        <v>1</v>
      </c>
      <c r="AQ501" s="50">
        <v>0</v>
      </c>
      <c r="AR501" s="50">
        <v>1</v>
      </c>
      <c r="AS501" s="50">
        <v>1</v>
      </c>
      <c r="AU501" s="226">
        <v>0</v>
      </c>
      <c r="AV501" s="17">
        <f t="shared" si="92"/>
        <v>1</v>
      </c>
      <c r="AW501" s="50" t="str">
        <f t="shared" si="95"/>
        <v>{s_taskTalk,{60166,60051}}</v>
      </c>
    </row>
    <row r="502" spans="1:49" s="50" customFormat="1" ht="96" x14ac:dyDescent="0.15">
      <c r="A502" s="200">
        <v>4051</v>
      </c>
      <c r="B502" s="50">
        <v>1371</v>
      </c>
      <c r="C502" s="50" t="s">
        <v>3843</v>
      </c>
      <c r="D502" s="50">
        <v>1</v>
      </c>
      <c r="E502" s="50">
        <v>0</v>
      </c>
      <c r="F502" s="50">
        <v>4</v>
      </c>
      <c r="G502" s="120">
        <v>200</v>
      </c>
      <c r="H502" s="50">
        <v>200</v>
      </c>
      <c r="I502" s="17">
        <v>0</v>
      </c>
      <c r="J502" s="201">
        <v>4041</v>
      </c>
      <c r="K502" s="50">
        <v>0</v>
      </c>
      <c r="L502" s="50">
        <v>60051</v>
      </c>
      <c r="M502" s="50" t="s">
        <v>197</v>
      </c>
      <c r="N502" s="50">
        <v>60051</v>
      </c>
      <c r="O502" s="50" t="s">
        <v>197</v>
      </c>
      <c r="Q502" s="121"/>
      <c r="R502" s="121"/>
      <c r="S502" s="121"/>
      <c r="T502" s="121"/>
      <c r="U502" s="25">
        <v>10</v>
      </c>
      <c r="V502" s="50">
        <v>0</v>
      </c>
      <c r="W502" s="122">
        <v>15</v>
      </c>
      <c r="Z502" s="123">
        <v>16000</v>
      </c>
      <c r="AB502" s="124"/>
      <c r="AC502" s="124"/>
      <c r="AF502" s="126" t="s">
        <v>3747</v>
      </c>
      <c r="AG502" s="126" t="s">
        <v>831</v>
      </c>
      <c r="AH502" s="126" t="s">
        <v>832</v>
      </c>
      <c r="AI502" s="126" t="s">
        <v>833</v>
      </c>
      <c r="AJ502" s="126"/>
      <c r="AL502" s="120">
        <v>0</v>
      </c>
      <c r="AM502" s="127" t="s">
        <v>3748</v>
      </c>
      <c r="AN502" s="127" t="s">
        <v>5598</v>
      </c>
      <c r="AO502" s="50" t="s">
        <v>3749</v>
      </c>
      <c r="AP502" s="50">
        <v>1</v>
      </c>
      <c r="AQ502" s="50">
        <v>0</v>
      </c>
      <c r="AR502" s="50">
        <v>1</v>
      </c>
      <c r="AS502" s="50">
        <v>1</v>
      </c>
      <c r="AU502" s="226">
        <v>0</v>
      </c>
      <c r="AV502" s="17">
        <f t="shared" si="92"/>
        <v>1</v>
      </c>
      <c r="AW502" s="50" t="str">
        <f t="shared" si="95"/>
        <v>{s_taskTalk,{60051,60051}}</v>
      </c>
    </row>
    <row r="503" spans="1:49" s="50" customFormat="1" ht="96" x14ac:dyDescent="0.15">
      <c r="A503" s="9">
        <v>4061</v>
      </c>
      <c r="B503" s="50">
        <v>1372</v>
      </c>
      <c r="C503" s="50" t="s">
        <v>1966</v>
      </c>
      <c r="D503" s="50">
        <v>1</v>
      </c>
      <c r="E503" s="50">
        <v>0</v>
      </c>
      <c r="F503" s="50">
        <v>4</v>
      </c>
      <c r="G503" s="120">
        <v>200</v>
      </c>
      <c r="H503" s="50">
        <v>200</v>
      </c>
      <c r="I503" s="17">
        <v>0</v>
      </c>
      <c r="J503" s="201">
        <v>4051</v>
      </c>
      <c r="K503" s="50">
        <v>0</v>
      </c>
      <c r="L503" s="50">
        <v>60051</v>
      </c>
      <c r="M503" s="50" t="s">
        <v>197</v>
      </c>
      <c r="N503" s="50">
        <v>60057</v>
      </c>
      <c r="O503" s="50" t="s">
        <v>202</v>
      </c>
      <c r="Q503" s="121"/>
      <c r="R503" s="121"/>
      <c r="S503" s="121"/>
      <c r="T503" s="121"/>
      <c r="U503" s="50">
        <v>1</v>
      </c>
      <c r="V503" s="50">
        <v>1</v>
      </c>
      <c r="W503" s="122">
        <v>15</v>
      </c>
      <c r="Z503" s="123">
        <v>15000</v>
      </c>
      <c r="AB503" s="124"/>
      <c r="AC503" s="124"/>
      <c r="AD503" s="122" t="s">
        <v>3956</v>
      </c>
      <c r="AF503" s="126" t="s">
        <v>834</v>
      </c>
      <c r="AG503" s="126" t="s">
        <v>3885</v>
      </c>
      <c r="AH503" s="126" t="s">
        <v>835</v>
      </c>
      <c r="AI503" s="126"/>
      <c r="AJ503" s="126"/>
      <c r="AL503" s="120">
        <v>0</v>
      </c>
      <c r="AM503" s="127" t="s">
        <v>3059</v>
      </c>
      <c r="AN503" s="127" t="s">
        <v>5599</v>
      </c>
      <c r="AP503" s="50">
        <v>1</v>
      </c>
      <c r="AQ503" s="50">
        <v>0</v>
      </c>
      <c r="AR503" s="50">
        <v>1</v>
      </c>
      <c r="AS503" s="50">
        <v>1</v>
      </c>
      <c r="AU503" s="226">
        <v>0</v>
      </c>
      <c r="AV503" s="17">
        <f t="shared" si="92"/>
        <v>1</v>
      </c>
      <c r="AW503" s="50" t="str">
        <f t="shared" si="95"/>
        <v>{s_taskTalk,{60051,60057}}</v>
      </c>
    </row>
    <row r="504" spans="1:49" s="50" customFormat="1" ht="84" x14ac:dyDescent="0.15">
      <c r="A504" s="200">
        <v>4071</v>
      </c>
      <c r="B504" s="50">
        <v>1373</v>
      </c>
      <c r="C504" s="50" t="s">
        <v>1967</v>
      </c>
      <c r="D504" s="50">
        <v>1</v>
      </c>
      <c r="E504" s="50">
        <v>0</v>
      </c>
      <c r="F504" s="50">
        <v>4</v>
      </c>
      <c r="G504" s="120">
        <v>200</v>
      </c>
      <c r="H504" s="50">
        <v>200</v>
      </c>
      <c r="I504" s="17">
        <v>0</v>
      </c>
      <c r="J504" s="201">
        <v>4061</v>
      </c>
      <c r="K504" s="50">
        <v>0</v>
      </c>
      <c r="L504" s="50">
        <v>60057</v>
      </c>
      <c r="M504" s="50" t="s">
        <v>202</v>
      </c>
      <c r="N504" s="50">
        <v>60057</v>
      </c>
      <c r="O504" s="50" t="s">
        <v>202</v>
      </c>
      <c r="Q504" s="121"/>
      <c r="R504" s="121"/>
      <c r="S504" s="121"/>
      <c r="T504" s="121"/>
      <c r="U504" s="50">
        <v>1</v>
      </c>
      <c r="V504" s="50">
        <v>1</v>
      </c>
      <c r="W504" s="122">
        <v>15</v>
      </c>
      <c r="Z504" s="123">
        <v>15000</v>
      </c>
      <c r="AB504" s="124"/>
      <c r="AC504" s="124"/>
      <c r="AF504" s="126" t="s">
        <v>836</v>
      </c>
      <c r="AG504" s="126" t="s">
        <v>837</v>
      </c>
      <c r="AH504" s="126" t="s">
        <v>838</v>
      </c>
      <c r="AI504" s="126" t="s">
        <v>839</v>
      </c>
      <c r="AJ504" s="126"/>
      <c r="AL504" s="120">
        <v>0</v>
      </c>
      <c r="AM504" s="127" t="s">
        <v>3060</v>
      </c>
      <c r="AN504" s="127" t="s">
        <v>5600</v>
      </c>
      <c r="AP504" s="50">
        <v>1</v>
      </c>
      <c r="AQ504" s="50">
        <v>0</v>
      </c>
      <c r="AR504" s="50">
        <v>1</v>
      </c>
      <c r="AS504" s="50">
        <v>1</v>
      </c>
      <c r="AU504" s="226">
        <v>0</v>
      </c>
      <c r="AV504" s="17">
        <f t="shared" si="92"/>
        <v>1</v>
      </c>
      <c r="AW504" s="50" t="str">
        <f t="shared" si="95"/>
        <v>{s_taskTalk,{60057,60057}}</v>
      </c>
    </row>
    <row r="505" spans="1:49" s="50" customFormat="1" ht="72.75" thickBot="1" x14ac:dyDescent="0.2">
      <c r="A505" s="9">
        <v>4081</v>
      </c>
      <c r="B505" s="50">
        <v>1375</v>
      </c>
      <c r="C505" s="50" t="s">
        <v>1968</v>
      </c>
      <c r="D505" s="50">
        <v>1</v>
      </c>
      <c r="E505" s="50">
        <v>0</v>
      </c>
      <c r="F505" s="50">
        <v>4</v>
      </c>
      <c r="G505" s="120">
        <v>200</v>
      </c>
      <c r="H505" s="50">
        <v>200</v>
      </c>
      <c r="I505" s="17">
        <v>0</v>
      </c>
      <c r="J505" s="201">
        <v>4071</v>
      </c>
      <c r="K505" s="50">
        <v>0</v>
      </c>
      <c r="L505" s="50">
        <v>60057</v>
      </c>
      <c r="M505" s="50" t="s">
        <v>202</v>
      </c>
      <c r="N505" s="50">
        <v>60052</v>
      </c>
      <c r="O505" s="50" t="s">
        <v>636</v>
      </c>
      <c r="Q505" s="121"/>
      <c r="R505" s="121"/>
      <c r="S505" s="121"/>
      <c r="T505" s="121"/>
      <c r="U505" s="50">
        <v>1</v>
      </c>
      <c r="V505" s="50">
        <v>1</v>
      </c>
      <c r="W505" s="122">
        <v>15</v>
      </c>
      <c r="Z505" s="123">
        <v>15000</v>
      </c>
      <c r="AB505" s="124"/>
      <c r="AC505" s="124"/>
      <c r="AF505" s="126" t="s">
        <v>840</v>
      </c>
      <c r="AG505" s="126" t="s">
        <v>841</v>
      </c>
      <c r="AH505" s="126" t="s">
        <v>842</v>
      </c>
      <c r="AI505" s="126"/>
      <c r="AJ505" s="126"/>
      <c r="AL505" s="120"/>
      <c r="AM505" s="127" t="s">
        <v>3061</v>
      </c>
      <c r="AN505" s="127" t="s">
        <v>5601</v>
      </c>
      <c r="AP505" s="50">
        <v>1</v>
      </c>
      <c r="AQ505" s="50">
        <v>0</v>
      </c>
      <c r="AR505" s="50">
        <v>1</v>
      </c>
      <c r="AS505" s="50">
        <v>1</v>
      </c>
      <c r="AU505" s="226">
        <v>0</v>
      </c>
      <c r="AV505" s="17">
        <f t="shared" ref="AV505:AV568" si="96">IF(D505 = 1,1,0)</f>
        <v>1</v>
      </c>
      <c r="AW505" s="50" t="str">
        <f t="shared" si="95"/>
        <v>{s_taskTalk,{60057,60052}}</v>
      </c>
    </row>
    <row r="506" spans="1:49" s="315" customFormat="1" ht="132" x14ac:dyDescent="0.15">
      <c r="A506" s="314">
        <v>4091</v>
      </c>
      <c r="C506" s="315" t="s">
        <v>1969</v>
      </c>
      <c r="D506" s="315">
        <v>1</v>
      </c>
      <c r="E506" s="315">
        <v>0</v>
      </c>
      <c r="F506" s="315">
        <v>4</v>
      </c>
      <c r="G506" s="120">
        <v>200</v>
      </c>
      <c r="H506" s="315">
        <v>200</v>
      </c>
      <c r="I506" s="17">
        <v>0</v>
      </c>
      <c r="J506" s="316">
        <v>4081</v>
      </c>
      <c r="K506" s="315">
        <v>0</v>
      </c>
      <c r="L506" s="315">
        <v>60052</v>
      </c>
      <c r="M506" s="315" t="s">
        <v>636</v>
      </c>
      <c r="N506" s="315">
        <v>60000</v>
      </c>
      <c r="O506" s="315" t="s">
        <v>192</v>
      </c>
      <c r="Q506" s="317"/>
      <c r="R506" s="317"/>
      <c r="S506" s="317"/>
      <c r="T506" s="317"/>
      <c r="U506" s="315">
        <v>1</v>
      </c>
      <c r="V506" s="315">
        <v>1</v>
      </c>
      <c r="W506" s="141">
        <v>15</v>
      </c>
      <c r="Z506" s="318">
        <v>6000</v>
      </c>
      <c r="AB506" s="319"/>
      <c r="AC506" s="319"/>
      <c r="AF506" s="320" t="s">
        <v>4524</v>
      </c>
      <c r="AG506" s="320" t="s">
        <v>4525</v>
      </c>
      <c r="AH506" s="320" t="s">
        <v>843</v>
      </c>
      <c r="AI506" s="320"/>
      <c r="AJ506" s="320"/>
      <c r="AL506" s="321">
        <v>0</v>
      </c>
      <c r="AM506" s="315" t="s">
        <v>4268</v>
      </c>
      <c r="AN506" s="315" t="s">
        <v>5602</v>
      </c>
      <c r="AP506" s="315">
        <v>1</v>
      </c>
      <c r="AQ506" s="315">
        <v>0</v>
      </c>
      <c r="AR506" s="50">
        <v>1</v>
      </c>
      <c r="AS506" s="50">
        <v>0</v>
      </c>
      <c r="AU506" s="226">
        <v>0</v>
      </c>
      <c r="AV506" s="17">
        <f t="shared" si="96"/>
        <v>1</v>
      </c>
      <c r="AW506" s="73" t="str">
        <f t="shared" si="95"/>
        <v>{s_taskTalk,{60052,60000}}</v>
      </c>
    </row>
    <row r="507" spans="1:49" s="147" customFormat="1" ht="72" x14ac:dyDescent="0.15">
      <c r="A507" s="322">
        <v>4101</v>
      </c>
      <c r="C507" s="147" t="s">
        <v>1970</v>
      </c>
      <c r="D507" s="147">
        <v>2</v>
      </c>
      <c r="E507" s="147">
        <v>0</v>
      </c>
      <c r="F507" s="147">
        <v>3</v>
      </c>
      <c r="G507" s="120">
        <v>200</v>
      </c>
      <c r="H507" s="147">
        <v>200</v>
      </c>
      <c r="I507" s="17">
        <v>0</v>
      </c>
      <c r="J507" s="53">
        <v>4091</v>
      </c>
      <c r="K507" s="147">
        <v>0</v>
      </c>
      <c r="L507" s="147">
        <v>60000</v>
      </c>
      <c r="M507" s="147" t="s">
        <v>192</v>
      </c>
      <c r="N507" s="147">
        <v>60049</v>
      </c>
      <c r="O507" s="147" t="s">
        <v>203</v>
      </c>
      <c r="Q507" s="140"/>
      <c r="R507" s="140"/>
      <c r="S507" s="140"/>
      <c r="T507" s="140"/>
      <c r="U507" s="147">
        <v>1</v>
      </c>
      <c r="V507" s="147">
        <v>1</v>
      </c>
      <c r="W507" s="141">
        <v>15</v>
      </c>
      <c r="Z507" s="142">
        <v>6000</v>
      </c>
      <c r="AB507" s="143"/>
      <c r="AC507" s="143"/>
      <c r="AF507" s="146" t="s">
        <v>844</v>
      </c>
      <c r="AG507" s="146" t="s">
        <v>519</v>
      </c>
      <c r="AH507" s="146" t="s">
        <v>843</v>
      </c>
      <c r="AI507" s="146"/>
      <c r="AJ507" s="146"/>
      <c r="AL507" s="183">
        <v>0</v>
      </c>
      <c r="AM507" s="147" t="s">
        <v>3062</v>
      </c>
      <c r="AN507" s="147" t="s">
        <v>5603</v>
      </c>
      <c r="AP507" s="147">
        <v>1</v>
      </c>
      <c r="AQ507" s="147">
        <v>0</v>
      </c>
      <c r="AR507" s="50">
        <v>1</v>
      </c>
      <c r="AS507" s="50">
        <v>0</v>
      </c>
      <c r="AU507" s="226">
        <v>0</v>
      </c>
      <c r="AV507" s="17">
        <f t="shared" si="96"/>
        <v>0</v>
      </c>
      <c r="AW507" s="73" t="str">
        <f t="shared" si="95"/>
        <v>{s_taskTalk,{60000,60049}}</v>
      </c>
    </row>
    <row r="508" spans="1:49" s="147" customFormat="1" ht="72" x14ac:dyDescent="0.15">
      <c r="A508" s="323">
        <v>4111</v>
      </c>
      <c r="B508" s="147">
        <v>10280</v>
      </c>
      <c r="C508" s="147" t="s">
        <v>1971</v>
      </c>
      <c r="D508" s="147">
        <v>2</v>
      </c>
      <c r="E508" s="147">
        <v>0</v>
      </c>
      <c r="F508" s="147">
        <v>3</v>
      </c>
      <c r="G508" s="120">
        <v>200</v>
      </c>
      <c r="H508" s="147">
        <v>200</v>
      </c>
      <c r="I508" s="17">
        <v>0</v>
      </c>
      <c r="J508" s="53">
        <v>4101</v>
      </c>
      <c r="K508" s="147">
        <v>0</v>
      </c>
      <c r="L508" s="147">
        <v>60049</v>
      </c>
      <c r="M508" s="147" t="s">
        <v>203</v>
      </c>
      <c r="N508" s="147">
        <v>60049</v>
      </c>
      <c r="O508" s="147" t="s">
        <v>203</v>
      </c>
      <c r="Q508" s="140"/>
      <c r="R508" s="140"/>
      <c r="S508" s="140"/>
      <c r="T508" s="140"/>
      <c r="U508" s="147">
        <v>1</v>
      </c>
      <c r="V508" s="147">
        <v>1</v>
      </c>
      <c r="W508" s="141">
        <v>15</v>
      </c>
      <c r="Z508" s="142">
        <v>6000</v>
      </c>
      <c r="AB508" s="143"/>
      <c r="AC508" s="143"/>
      <c r="AD508" s="187" t="s">
        <v>1381</v>
      </c>
      <c r="AF508" s="146" t="s">
        <v>845</v>
      </c>
      <c r="AG508" s="146" t="s">
        <v>63</v>
      </c>
      <c r="AH508" s="146" t="s">
        <v>3886</v>
      </c>
      <c r="AI508" s="146"/>
      <c r="AJ508" s="146"/>
      <c r="AL508" s="183">
        <v>0</v>
      </c>
      <c r="AM508" s="147" t="s">
        <v>3063</v>
      </c>
      <c r="AN508" s="147" t="s">
        <v>5604</v>
      </c>
      <c r="AP508" s="147">
        <v>1</v>
      </c>
      <c r="AQ508" s="147">
        <v>0</v>
      </c>
      <c r="AR508" s="50">
        <v>1</v>
      </c>
      <c r="AS508" s="50">
        <v>0</v>
      </c>
      <c r="AT508" s="147">
        <v>0</v>
      </c>
      <c r="AU508" s="226">
        <v>0</v>
      </c>
      <c r="AV508" s="17">
        <f t="shared" si="96"/>
        <v>0</v>
      </c>
      <c r="AW508" s="73" t="str">
        <f t="shared" si="95"/>
        <v>{s_taskTalk,{60049,60049}}</v>
      </c>
    </row>
    <row r="509" spans="1:49" s="147" customFormat="1" ht="96" x14ac:dyDescent="0.15">
      <c r="A509" s="322">
        <v>4121</v>
      </c>
      <c r="B509" s="147">
        <v>10281</v>
      </c>
      <c r="C509" s="147" t="s">
        <v>1972</v>
      </c>
      <c r="D509" s="147">
        <v>2</v>
      </c>
      <c r="E509" s="147">
        <v>0</v>
      </c>
      <c r="F509" s="147">
        <v>3</v>
      </c>
      <c r="G509" s="120">
        <v>200</v>
      </c>
      <c r="H509" s="147">
        <v>200</v>
      </c>
      <c r="I509" s="17">
        <v>0</v>
      </c>
      <c r="J509" s="53">
        <v>4111</v>
      </c>
      <c r="K509" s="147">
        <v>0</v>
      </c>
      <c r="L509" s="147">
        <v>60049</v>
      </c>
      <c r="M509" s="147" t="s">
        <v>203</v>
      </c>
      <c r="N509" s="147">
        <v>60049</v>
      </c>
      <c r="O509" s="147" t="s">
        <v>203</v>
      </c>
      <c r="Q509" s="140"/>
      <c r="R509" s="140"/>
      <c r="S509" s="140"/>
      <c r="T509" s="140">
        <v>27113</v>
      </c>
      <c r="U509" s="147">
        <v>2</v>
      </c>
      <c r="V509" s="147">
        <v>0</v>
      </c>
      <c r="W509" s="141">
        <v>15</v>
      </c>
      <c r="Z509" s="142">
        <v>11000</v>
      </c>
      <c r="AB509" s="143"/>
      <c r="AC509" s="143"/>
      <c r="AD509" s="187" t="s">
        <v>1382</v>
      </c>
      <c r="AE509" s="147" t="s">
        <v>171</v>
      </c>
      <c r="AF509" s="146" t="s">
        <v>3312</v>
      </c>
      <c r="AG509" s="146" t="s">
        <v>3887</v>
      </c>
      <c r="AH509" s="146" t="s">
        <v>846</v>
      </c>
      <c r="AI509" s="146" t="s">
        <v>3313</v>
      </c>
      <c r="AJ509" s="146"/>
      <c r="AL509" s="183">
        <v>0</v>
      </c>
      <c r="AM509" s="147" t="s">
        <v>6134</v>
      </c>
      <c r="AN509" s="147" t="s">
        <v>5605</v>
      </c>
      <c r="AP509" s="147">
        <v>1</v>
      </c>
      <c r="AQ509" s="147">
        <v>0</v>
      </c>
      <c r="AR509" s="50">
        <v>1</v>
      </c>
      <c r="AS509" s="50">
        <v>0</v>
      </c>
      <c r="AT509" s="147">
        <v>0</v>
      </c>
      <c r="AU509" s="226">
        <v>0</v>
      </c>
      <c r="AV509" s="17">
        <f t="shared" si="96"/>
        <v>0</v>
      </c>
      <c r="AW509" s="73" t="str">
        <f>"{s_taskGather,{"&amp;L509&amp;","&amp;N509&amp;","&amp;T509&amp;","&amp;U509&amp;",1,0}}"</f>
        <v>{s_taskGather,{60049,60049,27113,2,1,0}}</v>
      </c>
    </row>
    <row r="510" spans="1:49" s="147" customFormat="1" ht="96" x14ac:dyDescent="0.15">
      <c r="A510" s="323">
        <v>4131</v>
      </c>
      <c r="B510" s="147">
        <v>10282</v>
      </c>
      <c r="C510" s="147" t="s">
        <v>1973</v>
      </c>
      <c r="D510" s="147">
        <v>2</v>
      </c>
      <c r="E510" s="147">
        <v>0</v>
      </c>
      <c r="F510" s="147">
        <v>3</v>
      </c>
      <c r="G510" s="120">
        <v>200</v>
      </c>
      <c r="H510" s="147">
        <v>200</v>
      </c>
      <c r="I510" s="17">
        <v>0</v>
      </c>
      <c r="J510" s="53">
        <v>4121</v>
      </c>
      <c r="K510" s="147">
        <v>0</v>
      </c>
      <c r="L510" s="147">
        <v>60049</v>
      </c>
      <c r="M510" s="147" t="s">
        <v>203</v>
      </c>
      <c r="N510" s="147">
        <v>114</v>
      </c>
      <c r="O510" s="147" t="s">
        <v>205</v>
      </c>
      <c r="Q510" s="140"/>
      <c r="R510" s="140"/>
      <c r="S510" s="140"/>
      <c r="T510" s="140"/>
      <c r="U510" s="147">
        <v>1</v>
      </c>
      <c r="V510" s="147">
        <v>1</v>
      </c>
      <c r="W510" s="141">
        <v>15</v>
      </c>
      <c r="Z510" s="142">
        <v>6000</v>
      </c>
      <c r="AB510" s="143"/>
      <c r="AC510" s="143"/>
      <c r="AF510" s="146" t="s">
        <v>60</v>
      </c>
      <c r="AG510" s="146" t="s">
        <v>847</v>
      </c>
      <c r="AH510" s="146" t="s">
        <v>848</v>
      </c>
      <c r="AI510" s="146"/>
      <c r="AJ510" s="146"/>
      <c r="AL510" s="183">
        <v>0</v>
      </c>
      <c r="AM510" s="147" t="s">
        <v>3064</v>
      </c>
      <c r="AN510" s="147" t="s">
        <v>5606</v>
      </c>
      <c r="AP510" s="147">
        <v>1</v>
      </c>
      <c r="AQ510" s="147">
        <v>0</v>
      </c>
      <c r="AR510" s="50">
        <v>1</v>
      </c>
      <c r="AS510" s="50">
        <v>0</v>
      </c>
      <c r="AT510" s="147">
        <v>0</v>
      </c>
      <c r="AU510" s="226">
        <v>0</v>
      </c>
      <c r="AV510" s="17">
        <f t="shared" si="96"/>
        <v>0</v>
      </c>
      <c r="AW510" s="73" t="str">
        <f>"{s_taskTalk,{"&amp;L510&amp;","&amp;N510&amp;"}}"</f>
        <v>{s_taskTalk,{60049,114}}</v>
      </c>
    </row>
    <row r="511" spans="1:49" s="147" customFormat="1" ht="132" x14ac:dyDescent="0.15">
      <c r="A511" s="322">
        <v>4141</v>
      </c>
      <c r="B511" s="147">
        <v>10283</v>
      </c>
      <c r="C511" s="147" t="s">
        <v>1974</v>
      </c>
      <c r="D511" s="147">
        <v>2</v>
      </c>
      <c r="E511" s="147">
        <v>0</v>
      </c>
      <c r="F511" s="147">
        <v>3</v>
      </c>
      <c r="G511" s="120">
        <v>200</v>
      </c>
      <c r="H511" s="147">
        <v>200</v>
      </c>
      <c r="I511" s="17">
        <v>0</v>
      </c>
      <c r="J511" s="53">
        <v>4131</v>
      </c>
      <c r="K511" s="147">
        <v>0</v>
      </c>
      <c r="L511" s="147">
        <v>114</v>
      </c>
      <c r="M511" s="147" t="s">
        <v>204</v>
      </c>
      <c r="N511" s="147">
        <v>114</v>
      </c>
      <c r="O511" s="147" t="s">
        <v>204</v>
      </c>
      <c r="Q511" s="140"/>
      <c r="R511" s="140"/>
      <c r="S511" s="140"/>
      <c r="T511" s="140">
        <v>27113</v>
      </c>
      <c r="U511" s="147">
        <v>1</v>
      </c>
      <c r="V511" s="147">
        <v>0</v>
      </c>
      <c r="W511" s="141">
        <v>15</v>
      </c>
      <c r="Z511" s="142">
        <v>11000</v>
      </c>
      <c r="AB511" s="143"/>
      <c r="AC511" s="143"/>
      <c r="AD511" s="147" t="s">
        <v>2791</v>
      </c>
      <c r="AF511" s="146" t="s">
        <v>61</v>
      </c>
      <c r="AG511" s="146" t="s">
        <v>849</v>
      </c>
      <c r="AH511" s="146" t="s">
        <v>3888</v>
      </c>
      <c r="AI511" s="146" t="s">
        <v>850</v>
      </c>
      <c r="AJ511" s="146"/>
      <c r="AL511" s="183">
        <v>0</v>
      </c>
      <c r="AM511" s="147" t="s">
        <v>4000</v>
      </c>
      <c r="AN511" s="147" t="s">
        <v>5607</v>
      </c>
      <c r="AP511" s="147">
        <v>1</v>
      </c>
      <c r="AQ511" s="147">
        <v>0</v>
      </c>
      <c r="AR511" s="50">
        <v>1</v>
      </c>
      <c r="AS511" s="50">
        <v>0</v>
      </c>
      <c r="AT511" s="147">
        <v>0</v>
      </c>
      <c r="AU511" s="226">
        <v>0</v>
      </c>
      <c r="AV511" s="17">
        <f t="shared" si="96"/>
        <v>0</v>
      </c>
      <c r="AW511" s="73" t="str">
        <f>"{s_taskGather,{"&amp;L511&amp;","&amp;N511&amp;","&amp;T511&amp;","&amp;U511&amp;",2,0}}"</f>
        <v>{s_taskGather,{114,114,27113,1,2,0}}</v>
      </c>
    </row>
    <row r="512" spans="1:49" s="147" customFormat="1" ht="72" x14ac:dyDescent="0.15">
      <c r="A512" s="323">
        <v>4151</v>
      </c>
      <c r="B512" s="147">
        <v>10290</v>
      </c>
      <c r="C512" s="147" t="s">
        <v>1975</v>
      </c>
      <c r="D512" s="147">
        <v>2</v>
      </c>
      <c r="E512" s="147">
        <v>0</v>
      </c>
      <c r="F512" s="147">
        <v>3</v>
      </c>
      <c r="G512" s="120">
        <v>200</v>
      </c>
      <c r="H512" s="147">
        <v>200</v>
      </c>
      <c r="I512" s="17">
        <v>0</v>
      </c>
      <c r="J512" s="53">
        <v>4101</v>
      </c>
      <c r="K512" s="147">
        <v>0</v>
      </c>
      <c r="L512" s="147">
        <v>60049</v>
      </c>
      <c r="M512" s="147" t="s">
        <v>203</v>
      </c>
      <c r="N512" s="147">
        <v>60049</v>
      </c>
      <c r="O512" s="147" t="s">
        <v>203</v>
      </c>
      <c r="Q512" s="140"/>
      <c r="R512" s="140"/>
      <c r="S512" s="140"/>
      <c r="T512" s="140"/>
      <c r="U512" s="147">
        <v>1</v>
      </c>
      <c r="V512" s="147">
        <v>1</v>
      </c>
      <c r="W512" s="141">
        <v>15</v>
      </c>
      <c r="Z512" s="142">
        <v>6000</v>
      </c>
      <c r="AB512" s="143"/>
      <c r="AC512" s="143"/>
      <c r="AD512" s="147" t="s">
        <v>173</v>
      </c>
      <c r="AF512" s="146" t="s">
        <v>520</v>
      </c>
      <c r="AG512" s="146" t="s">
        <v>63</v>
      </c>
      <c r="AH512" s="146" t="s">
        <v>64</v>
      </c>
      <c r="AI512" s="146"/>
      <c r="AJ512" s="146"/>
      <c r="AL512" s="183">
        <v>0</v>
      </c>
      <c r="AM512" s="147" t="s">
        <v>3065</v>
      </c>
      <c r="AN512" s="147" t="s">
        <v>5608</v>
      </c>
      <c r="AP512" s="147">
        <v>1</v>
      </c>
      <c r="AQ512" s="147">
        <v>0</v>
      </c>
      <c r="AR512" s="50">
        <v>1</v>
      </c>
      <c r="AS512" s="50">
        <v>0</v>
      </c>
      <c r="AT512" s="147">
        <v>0</v>
      </c>
      <c r="AU512" s="226">
        <v>0</v>
      </c>
      <c r="AV512" s="17">
        <f t="shared" si="96"/>
        <v>0</v>
      </c>
      <c r="AW512" s="73" t="str">
        <f>"{s_taskTalk,{"&amp;L512&amp;","&amp;N512&amp;"}}"</f>
        <v>{s_taskTalk,{60049,60049}}</v>
      </c>
    </row>
    <row r="513" spans="1:49" s="147" customFormat="1" ht="96" x14ac:dyDescent="0.15">
      <c r="A513" s="322">
        <v>4161</v>
      </c>
      <c r="B513" s="147">
        <v>10291</v>
      </c>
      <c r="C513" s="147" t="s">
        <v>1976</v>
      </c>
      <c r="D513" s="147">
        <v>2</v>
      </c>
      <c r="E513" s="147">
        <v>0</v>
      </c>
      <c r="F513" s="147">
        <v>3</v>
      </c>
      <c r="G513" s="120">
        <v>200</v>
      </c>
      <c r="H513" s="147">
        <v>200</v>
      </c>
      <c r="I513" s="17">
        <v>0</v>
      </c>
      <c r="J513" s="53">
        <v>4151</v>
      </c>
      <c r="K513" s="147">
        <v>0</v>
      </c>
      <c r="L513" s="147">
        <v>60049</v>
      </c>
      <c r="M513" s="147" t="s">
        <v>203</v>
      </c>
      <c r="N513" s="147">
        <v>60049</v>
      </c>
      <c r="O513" s="147" t="s">
        <v>203</v>
      </c>
      <c r="Q513" s="140"/>
      <c r="R513" s="140"/>
      <c r="S513" s="140"/>
      <c r="T513" s="140">
        <v>27112</v>
      </c>
      <c r="U513" s="147">
        <v>2</v>
      </c>
      <c r="V513" s="147">
        <v>0</v>
      </c>
      <c r="W513" s="141">
        <v>15</v>
      </c>
      <c r="Z513" s="142">
        <v>7000</v>
      </c>
      <c r="AB513" s="143"/>
      <c r="AC513" s="143"/>
      <c r="AD513" s="147" t="s">
        <v>261</v>
      </c>
      <c r="AE513" s="147" t="s">
        <v>171</v>
      </c>
      <c r="AF513" s="146" t="s">
        <v>3316</v>
      </c>
      <c r="AG513" s="146" t="s">
        <v>3315</v>
      </c>
      <c r="AH513" s="146" t="s">
        <v>846</v>
      </c>
      <c r="AI513" s="146" t="s">
        <v>3314</v>
      </c>
      <c r="AJ513" s="146"/>
      <c r="AL513" s="183">
        <v>0</v>
      </c>
      <c r="AM513" s="147" t="s">
        <v>6135</v>
      </c>
      <c r="AN513" s="147" t="s">
        <v>5609</v>
      </c>
      <c r="AP513" s="147">
        <v>1</v>
      </c>
      <c r="AQ513" s="147">
        <v>0</v>
      </c>
      <c r="AR513" s="50">
        <v>1</v>
      </c>
      <c r="AS513" s="50">
        <v>0</v>
      </c>
      <c r="AT513" s="147">
        <v>0</v>
      </c>
      <c r="AU513" s="226">
        <v>0</v>
      </c>
      <c r="AV513" s="17">
        <f t="shared" si="96"/>
        <v>0</v>
      </c>
      <c r="AW513" s="73" t="str">
        <f>"{s_taskGather,{"&amp;L513&amp;","&amp;N513&amp;","&amp;T513&amp;","&amp;U513&amp;",1,0}}"</f>
        <v>{s_taskGather,{60049,60049,27112,2,1,0}}</v>
      </c>
    </row>
    <row r="514" spans="1:49" s="147" customFormat="1" ht="84" x14ac:dyDescent="0.15">
      <c r="A514" s="323">
        <v>4171</v>
      </c>
      <c r="B514" s="147">
        <v>10292</v>
      </c>
      <c r="C514" s="147" t="s">
        <v>1973</v>
      </c>
      <c r="D514" s="147">
        <v>2</v>
      </c>
      <c r="E514" s="147">
        <v>0</v>
      </c>
      <c r="F514" s="147">
        <v>3</v>
      </c>
      <c r="G514" s="120">
        <v>200</v>
      </c>
      <c r="H514" s="147">
        <v>200</v>
      </c>
      <c r="I514" s="17">
        <v>0</v>
      </c>
      <c r="J514" s="53">
        <v>4161</v>
      </c>
      <c r="K514" s="147">
        <v>0</v>
      </c>
      <c r="L514" s="147">
        <v>60049</v>
      </c>
      <c r="M514" s="147" t="s">
        <v>203</v>
      </c>
      <c r="N514" s="147">
        <v>114</v>
      </c>
      <c r="O514" s="147" t="s">
        <v>204</v>
      </c>
      <c r="Q514" s="140"/>
      <c r="R514" s="140"/>
      <c r="S514" s="140"/>
      <c r="T514" s="140"/>
      <c r="U514" s="147">
        <v>1</v>
      </c>
      <c r="V514" s="147">
        <v>1</v>
      </c>
      <c r="W514" s="141">
        <v>15</v>
      </c>
      <c r="Z514" s="142">
        <v>6000</v>
      </c>
      <c r="AB514" s="143"/>
      <c r="AC514" s="143"/>
      <c r="AF514" s="146" t="s">
        <v>60</v>
      </c>
      <c r="AG514" s="146" t="s">
        <v>851</v>
      </c>
      <c r="AH514" s="146" t="s">
        <v>848</v>
      </c>
      <c r="AI514" s="146"/>
      <c r="AJ514" s="146"/>
      <c r="AL514" s="183">
        <v>0</v>
      </c>
      <c r="AM514" s="147" t="s">
        <v>3066</v>
      </c>
      <c r="AN514" s="147" t="s">
        <v>5610</v>
      </c>
      <c r="AP514" s="147">
        <v>1</v>
      </c>
      <c r="AQ514" s="147">
        <v>0</v>
      </c>
      <c r="AR514" s="50">
        <v>1</v>
      </c>
      <c r="AS514" s="50">
        <v>0</v>
      </c>
      <c r="AT514" s="147">
        <v>0</v>
      </c>
      <c r="AU514" s="226">
        <v>0</v>
      </c>
      <c r="AV514" s="17">
        <f t="shared" si="96"/>
        <v>0</v>
      </c>
      <c r="AW514" s="73" t="str">
        <f>"{s_taskTalk,{"&amp;L514&amp;","&amp;N514&amp;"}}"</f>
        <v>{s_taskTalk,{60049,114}}</v>
      </c>
    </row>
    <row r="515" spans="1:49" s="147" customFormat="1" ht="120" x14ac:dyDescent="0.15">
      <c r="A515" s="322">
        <v>4181</v>
      </c>
      <c r="B515" s="147">
        <v>10293</v>
      </c>
      <c r="C515" s="147" t="s">
        <v>1977</v>
      </c>
      <c r="D515" s="147">
        <v>2</v>
      </c>
      <c r="E515" s="147">
        <v>0</v>
      </c>
      <c r="F515" s="147">
        <v>3</v>
      </c>
      <c r="G515" s="120">
        <v>200</v>
      </c>
      <c r="H515" s="147">
        <v>200</v>
      </c>
      <c r="I515" s="17">
        <v>0</v>
      </c>
      <c r="J515" s="53">
        <v>4171</v>
      </c>
      <c r="K515" s="147">
        <v>0</v>
      </c>
      <c r="L515" s="147">
        <v>114</v>
      </c>
      <c r="M515" s="147" t="s">
        <v>204</v>
      </c>
      <c r="N515" s="147">
        <v>114</v>
      </c>
      <c r="O515" s="147" t="s">
        <v>204</v>
      </c>
      <c r="Q515" s="140"/>
      <c r="R515" s="140"/>
      <c r="S515" s="140"/>
      <c r="T515" s="140">
        <v>27112</v>
      </c>
      <c r="U515" s="147">
        <v>1</v>
      </c>
      <c r="V515" s="147">
        <v>0</v>
      </c>
      <c r="W515" s="141">
        <v>15</v>
      </c>
      <c r="Z515" s="142">
        <v>7000</v>
      </c>
      <c r="AB515" s="143"/>
      <c r="AC515" s="143"/>
      <c r="AD515" s="147" t="s">
        <v>2790</v>
      </c>
      <c r="AF515" s="146" t="s">
        <v>62</v>
      </c>
      <c r="AG515" s="146" t="s">
        <v>852</v>
      </c>
      <c r="AH515" s="146" t="s">
        <v>624</v>
      </c>
      <c r="AI515" s="146" t="s">
        <v>853</v>
      </c>
      <c r="AJ515" s="146"/>
      <c r="AL515" s="183">
        <v>0</v>
      </c>
      <c r="AM515" s="147" t="s">
        <v>3067</v>
      </c>
      <c r="AN515" s="147" t="s">
        <v>5611</v>
      </c>
      <c r="AP515" s="147">
        <v>1</v>
      </c>
      <c r="AQ515" s="147">
        <v>0</v>
      </c>
      <c r="AR515" s="50">
        <v>1</v>
      </c>
      <c r="AS515" s="50">
        <v>0</v>
      </c>
      <c r="AT515" s="147">
        <v>0</v>
      </c>
      <c r="AU515" s="226">
        <v>0</v>
      </c>
      <c r="AV515" s="17">
        <f t="shared" si="96"/>
        <v>0</v>
      </c>
      <c r="AW515" s="73" t="str">
        <f>"{s_taskGather,{"&amp;L515&amp;","&amp;N515&amp;","&amp;T515&amp;","&amp;U515&amp;",2,0}}"</f>
        <v>{s_taskGather,{114,114,27112,1,2,0}}</v>
      </c>
    </row>
    <row r="516" spans="1:49" s="147" customFormat="1" ht="108" x14ac:dyDescent="0.15">
      <c r="A516" s="323">
        <v>4191</v>
      </c>
      <c r="B516" s="147">
        <v>10551</v>
      </c>
      <c r="C516" s="147" t="s">
        <v>1978</v>
      </c>
      <c r="D516" s="147">
        <v>2</v>
      </c>
      <c r="E516" s="147">
        <v>0</v>
      </c>
      <c r="F516" s="147">
        <v>3</v>
      </c>
      <c r="G516" s="120">
        <v>200</v>
      </c>
      <c r="H516" s="147">
        <v>200</v>
      </c>
      <c r="I516" s="17">
        <v>0</v>
      </c>
      <c r="J516" s="53">
        <v>4181</v>
      </c>
      <c r="K516" s="147">
        <v>0</v>
      </c>
      <c r="L516" s="147">
        <v>114</v>
      </c>
      <c r="M516" s="147" t="s">
        <v>204</v>
      </c>
      <c r="N516" s="147">
        <v>114</v>
      </c>
      <c r="O516" s="147" t="s">
        <v>204</v>
      </c>
      <c r="Q516" s="140"/>
      <c r="R516" s="140"/>
      <c r="S516" s="140"/>
      <c r="T516" s="140">
        <v>22021</v>
      </c>
      <c r="U516" s="147">
        <v>1</v>
      </c>
      <c r="V516" s="147">
        <v>1</v>
      </c>
      <c r="W516" s="141">
        <v>15</v>
      </c>
      <c r="Z516" s="142">
        <v>7000</v>
      </c>
      <c r="AB516" s="143"/>
      <c r="AC516" s="143"/>
      <c r="AD516" s="187" t="s">
        <v>3957</v>
      </c>
      <c r="AF516" s="146" t="s">
        <v>854</v>
      </c>
      <c r="AG516" s="146" t="s">
        <v>855</v>
      </c>
      <c r="AH516" s="146" t="s">
        <v>58</v>
      </c>
      <c r="AI516" s="146" t="s">
        <v>856</v>
      </c>
      <c r="AJ516" s="146"/>
      <c r="AL516" s="183">
        <v>0</v>
      </c>
      <c r="AM516" s="147" t="s">
        <v>622</v>
      </c>
      <c r="AN516" s="147" t="s">
        <v>5612</v>
      </c>
      <c r="AP516" s="147">
        <v>1</v>
      </c>
      <c r="AQ516" s="147">
        <v>0</v>
      </c>
      <c r="AR516" s="50">
        <v>1</v>
      </c>
      <c r="AS516" s="50">
        <v>0</v>
      </c>
      <c r="AT516" s="147">
        <v>0</v>
      </c>
      <c r="AU516" s="226">
        <v>0</v>
      </c>
      <c r="AV516" s="17">
        <f t="shared" si="96"/>
        <v>0</v>
      </c>
      <c r="AW516" s="50" t="str">
        <f>"{s_taskTalk,{"&amp;L516&amp;","&amp;N516&amp;"}}"</f>
        <v>{s_taskTalk,{114,114}}</v>
      </c>
    </row>
    <row r="517" spans="1:49" s="147" customFormat="1" ht="120" x14ac:dyDescent="0.15">
      <c r="A517" s="322">
        <v>4201</v>
      </c>
      <c r="B517" s="147">
        <v>10552</v>
      </c>
      <c r="C517" s="147" t="s">
        <v>1979</v>
      </c>
      <c r="D517" s="147">
        <v>2</v>
      </c>
      <c r="E517" s="147">
        <v>0</v>
      </c>
      <c r="F517" s="147">
        <v>3</v>
      </c>
      <c r="G517" s="120">
        <v>200</v>
      </c>
      <c r="H517" s="147">
        <v>200</v>
      </c>
      <c r="I517" s="17">
        <v>0</v>
      </c>
      <c r="J517" s="53">
        <v>4141</v>
      </c>
      <c r="K517" s="147">
        <v>0</v>
      </c>
      <c r="L517" s="147">
        <v>114</v>
      </c>
      <c r="M517" s="147" t="s">
        <v>204</v>
      </c>
      <c r="N517" s="147">
        <v>114</v>
      </c>
      <c r="O517" s="147" t="s">
        <v>204</v>
      </c>
      <c r="Q517" s="140"/>
      <c r="R517" s="140"/>
      <c r="S517" s="140"/>
      <c r="T517" s="140">
        <v>23031</v>
      </c>
      <c r="U517" s="147">
        <v>1</v>
      </c>
      <c r="V517" s="147">
        <v>1</v>
      </c>
      <c r="W517" s="141">
        <v>15</v>
      </c>
      <c r="Z517" s="142">
        <v>7000</v>
      </c>
      <c r="AB517" s="143"/>
      <c r="AC517" s="143"/>
      <c r="AD517" s="187" t="s">
        <v>3957</v>
      </c>
      <c r="AF517" s="146" t="s">
        <v>857</v>
      </c>
      <c r="AG517" s="146" t="s">
        <v>858</v>
      </c>
      <c r="AH517" s="146" t="s">
        <v>58</v>
      </c>
      <c r="AI517" s="146" t="s">
        <v>856</v>
      </c>
      <c r="AJ517" s="146"/>
      <c r="AL517" s="183">
        <v>0</v>
      </c>
      <c r="AM517" s="147" t="s">
        <v>623</v>
      </c>
      <c r="AN517" s="147" t="s">
        <v>5613</v>
      </c>
      <c r="AP517" s="147">
        <v>1</v>
      </c>
      <c r="AQ517" s="147">
        <v>0</v>
      </c>
      <c r="AR517" s="50">
        <v>1</v>
      </c>
      <c r="AS517" s="50">
        <v>0</v>
      </c>
      <c r="AT517" s="147">
        <v>0</v>
      </c>
      <c r="AU517" s="226">
        <v>0</v>
      </c>
      <c r="AV517" s="17">
        <f t="shared" si="96"/>
        <v>0</v>
      </c>
      <c r="AW517" s="50" t="str">
        <f>"{s_taskTalk,{"&amp;L517&amp;","&amp;N517&amp;"}}"</f>
        <v>{s_taskTalk,{114,114}}</v>
      </c>
    </row>
    <row r="518" spans="1:49" s="127" customFormat="1" x14ac:dyDescent="0.15">
      <c r="A518" s="251">
        <v>4202</v>
      </c>
      <c r="C518" s="127" t="s">
        <v>59</v>
      </c>
      <c r="D518" s="147">
        <v>2</v>
      </c>
      <c r="E518" s="147">
        <v>0</v>
      </c>
      <c r="F518" s="127">
        <v>0</v>
      </c>
      <c r="G518" s="120">
        <v>200</v>
      </c>
      <c r="H518" s="127">
        <v>200</v>
      </c>
      <c r="I518" s="17">
        <v>0</v>
      </c>
      <c r="J518" s="239">
        <v>11101</v>
      </c>
      <c r="K518" s="127">
        <v>0</v>
      </c>
      <c r="L518" s="127">
        <v>0</v>
      </c>
      <c r="N518" s="127">
        <v>0</v>
      </c>
      <c r="Q518" s="121"/>
      <c r="R518" s="121"/>
      <c r="S518" s="121"/>
      <c r="T518" s="121"/>
      <c r="U518" s="127">
        <v>1</v>
      </c>
      <c r="V518" s="127">
        <v>1</v>
      </c>
      <c r="W518" s="122">
        <v>15</v>
      </c>
      <c r="Z518" s="123">
        <v>0</v>
      </c>
      <c r="AB518" s="124"/>
      <c r="AC518" s="124"/>
      <c r="AF518" s="62"/>
      <c r="AG518" s="62"/>
      <c r="AH518" s="62"/>
      <c r="AI518" s="62"/>
      <c r="AJ518" s="62"/>
      <c r="AL518" s="239">
        <v>0</v>
      </c>
      <c r="AN518" s="127" t="s">
        <v>14</v>
      </c>
      <c r="AP518" s="127">
        <v>0</v>
      </c>
      <c r="AQ518" s="127">
        <v>0</v>
      </c>
      <c r="AR518" s="50">
        <v>1</v>
      </c>
      <c r="AS518" s="50">
        <v>1</v>
      </c>
      <c r="AT518" s="127">
        <v>0</v>
      </c>
      <c r="AU518" s="226">
        <v>0</v>
      </c>
      <c r="AV518" s="17">
        <f t="shared" si="96"/>
        <v>0</v>
      </c>
      <c r="AW518" s="50" t="str">
        <f>"{s_taskTalk,{"&amp;L518&amp;","&amp;N518&amp;"}}"</f>
        <v>{s_taskTalk,{0,0}}</v>
      </c>
    </row>
    <row r="519" spans="1:49" s="127" customFormat="1" ht="84" x14ac:dyDescent="0.15">
      <c r="A519" s="250">
        <v>4211</v>
      </c>
      <c r="C519" s="127" t="s">
        <v>1980</v>
      </c>
      <c r="D519" s="147">
        <v>2</v>
      </c>
      <c r="E519" s="147">
        <v>0</v>
      </c>
      <c r="F519" s="127">
        <v>3</v>
      </c>
      <c r="G519" s="120">
        <v>200</v>
      </c>
      <c r="H519" s="127">
        <v>200</v>
      </c>
      <c r="I519" s="17">
        <v>0</v>
      </c>
      <c r="J519" s="238">
        <v>4202</v>
      </c>
      <c r="K519" s="127">
        <v>0</v>
      </c>
      <c r="L519" s="127">
        <v>114</v>
      </c>
      <c r="M519" s="127" t="s">
        <v>204</v>
      </c>
      <c r="N519" s="127">
        <v>60000</v>
      </c>
      <c r="O519" s="127" t="s">
        <v>192</v>
      </c>
      <c r="Q519" s="121"/>
      <c r="R519" s="121"/>
      <c r="S519" s="121"/>
      <c r="T519" s="121"/>
      <c r="U519" s="127">
        <v>1</v>
      </c>
      <c r="V519" s="127">
        <v>1</v>
      </c>
      <c r="W519" s="122">
        <v>15</v>
      </c>
      <c r="Z519" s="123">
        <v>4500</v>
      </c>
      <c r="AA519" s="127">
        <v>30</v>
      </c>
      <c r="AB519" s="124"/>
      <c r="AC519" s="124"/>
      <c r="AF519" s="62" t="s">
        <v>4526</v>
      </c>
      <c r="AG519" s="62" t="s">
        <v>4527</v>
      </c>
      <c r="AH519" s="62" t="s">
        <v>859</v>
      </c>
      <c r="AI519" s="62"/>
      <c r="AJ519" s="62"/>
      <c r="AL519" s="239">
        <v>0</v>
      </c>
      <c r="AM519" s="127" t="s">
        <v>3068</v>
      </c>
      <c r="AN519" s="127" t="s">
        <v>5614</v>
      </c>
      <c r="AP519" s="127">
        <v>1</v>
      </c>
      <c r="AQ519" s="127">
        <v>0</v>
      </c>
      <c r="AR519" s="50">
        <v>1</v>
      </c>
      <c r="AS519" s="50">
        <v>1</v>
      </c>
      <c r="AU519" s="226">
        <v>0</v>
      </c>
      <c r="AV519" s="17">
        <f t="shared" si="96"/>
        <v>0</v>
      </c>
      <c r="AW519" s="50" t="str">
        <f>"{s_taskTalk,{"&amp;L519&amp;","&amp;N519&amp;"}}"</f>
        <v>{s_taskTalk,{114,60000}}</v>
      </c>
    </row>
    <row r="520" spans="1:49" s="325" customFormat="1" ht="132.75" thickBot="1" x14ac:dyDescent="0.2">
      <c r="A520" s="324">
        <v>4221</v>
      </c>
      <c r="C520" s="325" t="s">
        <v>1981</v>
      </c>
      <c r="D520" s="325">
        <v>1</v>
      </c>
      <c r="E520" s="325">
        <v>0</v>
      </c>
      <c r="F520" s="325">
        <v>3</v>
      </c>
      <c r="G520" s="120">
        <v>200</v>
      </c>
      <c r="H520" s="325">
        <v>200</v>
      </c>
      <c r="I520" s="17">
        <v>0</v>
      </c>
      <c r="J520" s="326">
        <v>4091</v>
      </c>
      <c r="K520" s="325">
        <v>0</v>
      </c>
      <c r="L520" s="325">
        <v>60000</v>
      </c>
      <c r="M520" s="325" t="s">
        <v>192</v>
      </c>
      <c r="N520" s="325">
        <v>60052</v>
      </c>
      <c r="O520" s="325" t="s">
        <v>636</v>
      </c>
      <c r="Q520" s="327"/>
      <c r="R520" s="327"/>
      <c r="S520" s="327"/>
      <c r="T520" s="327"/>
      <c r="U520" s="325">
        <v>1</v>
      </c>
      <c r="V520" s="325">
        <v>1</v>
      </c>
      <c r="W520" s="122">
        <v>15</v>
      </c>
      <c r="Z520" s="328">
        <v>4500</v>
      </c>
      <c r="AB520" s="329"/>
      <c r="AC520" s="329"/>
      <c r="AF520" s="330" t="s">
        <v>637</v>
      </c>
      <c r="AG520" s="330" t="s">
        <v>860</v>
      </c>
      <c r="AH520" s="330" t="s">
        <v>861</v>
      </c>
      <c r="AI520" s="330"/>
      <c r="AJ520" s="330"/>
      <c r="AL520" s="331">
        <v>0</v>
      </c>
      <c r="AM520" s="325" t="s">
        <v>3069</v>
      </c>
      <c r="AN520" s="325" t="s">
        <v>5615</v>
      </c>
      <c r="AP520" s="325">
        <v>1</v>
      </c>
      <c r="AQ520" s="325">
        <v>0</v>
      </c>
      <c r="AR520" s="50">
        <v>1</v>
      </c>
      <c r="AS520" s="50">
        <v>1</v>
      </c>
      <c r="AU520" s="226">
        <v>0</v>
      </c>
      <c r="AV520" s="17">
        <f t="shared" si="96"/>
        <v>1</v>
      </c>
      <c r="AW520" s="50" t="str">
        <f>"{s_taskTalk,{"&amp;L520&amp;","&amp;N520&amp;"}}"</f>
        <v>{s_taskTalk,{60000,60052}}</v>
      </c>
    </row>
    <row r="521" spans="1:49" s="50" customFormat="1" ht="120" x14ac:dyDescent="0.15">
      <c r="A521" s="200">
        <v>4231</v>
      </c>
      <c r="B521" s="50">
        <v>1381</v>
      </c>
      <c r="C521" s="50" t="s">
        <v>3891</v>
      </c>
      <c r="D521" s="50">
        <v>1</v>
      </c>
      <c r="E521" s="50">
        <v>0</v>
      </c>
      <c r="F521" s="50">
        <v>4</v>
      </c>
      <c r="G521" s="120">
        <v>200</v>
      </c>
      <c r="H521" s="50">
        <v>200</v>
      </c>
      <c r="I521" s="17">
        <v>0</v>
      </c>
      <c r="J521" s="201">
        <v>4221</v>
      </c>
      <c r="K521" s="50">
        <v>0</v>
      </c>
      <c r="L521" s="50">
        <v>60052</v>
      </c>
      <c r="M521" s="50" t="s">
        <v>636</v>
      </c>
      <c r="N521" s="50">
        <v>60052</v>
      </c>
      <c r="O521" s="50" t="s">
        <v>636</v>
      </c>
      <c r="Q521" s="121"/>
      <c r="R521" s="121"/>
      <c r="S521" s="121">
        <v>10033</v>
      </c>
      <c r="T521" s="121"/>
      <c r="U521" s="25">
        <v>10</v>
      </c>
      <c r="V521" s="50">
        <v>0</v>
      </c>
      <c r="W521" s="122">
        <v>15</v>
      </c>
      <c r="Z521" s="123">
        <v>18000</v>
      </c>
      <c r="AB521" s="124"/>
      <c r="AC521" s="124"/>
      <c r="AF521" s="126" t="s">
        <v>3968</v>
      </c>
      <c r="AG521" s="126" t="s">
        <v>3889</v>
      </c>
      <c r="AH521" s="126" t="s">
        <v>3890</v>
      </c>
      <c r="AI521" s="126" t="s">
        <v>862</v>
      </c>
      <c r="AJ521" s="126"/>
      <c r="AL521" s="120">
        <v>0</v>
      </c>
      <c r="AM521" s="127" t="s">
        <v>6151</v>
      </c>
      <c r="AN521" s="127" t="s">
        <v>5616</v>
      </c>
      <c r="AP521" s="50">
        <v>1</v>
      </c>
      <c r="AQ521" s="50">
        <v>0</v>
      </c>
      <c r="AR521" s="50">
        <v>1</v>
      </c>
      <c r="AS521" s="50">
        <v>1</v>
      </c>
      <c r="AU521" s="226">
        <v>0</v>
      </c>
      <c r="AV521" s="17">
        <f t="shared" si="96"/>
        <v>1</v>
      </c>
      <c r="AW521" s="50" t="str">
        <f>"{s_taskKillNpc, {"&amp;L521&amp;","&amp;N521&amp;","&amp;S521&amp;","&amp;U521&amp;"}}"</f>
        <v>{s_taskKillNpc, {60052,60052,10033,10}}</v>
      </c>
    </row>
    <row r="522" spans="1:49" s="50" customFormat="1" ht="72" x14ac:dyDescent="0.15">
      <c r="A522" s="9">
        <v>4241</v>
      </c>
      <c r="B522" s="50">
        <v>1383</v>
      </c>
      <c r="C522" s="50" t="s">
        <v>1982</v>
      </c>
      <c r="D522" s="50">
        <v>1</v>
      </c>
      <c r="E522" s="50">
        <v>0</v>
      </c>
      <c r="F522" s="50">
        <v>4</v>
      </c>
      <c r="G522" s="120">
        <v>200</v>
      </c>
      <c r="H522" s="50">
        <v>200</v>
      </c>
      <c r="I522" s="17">
        <v>0</v>
      </c>
      <c r="J522" s="201">
        <v>4231</v>
      </c>
      <c r="K522" s="50">
        <v>0</v>
      </c>
      <c r="L522" s="50">
        <v>60052</v>
      </c>
      <c r="M522" s="50" t="s">
        <v>636</v>
      </c>
      <c r="N522" s="50">
        <v>60052</v>
      </c>
      <c r="O522" s="50" t="s">
        <v>636</v>
      </c>
      <c r="Q522" s="121"/>
      <c r="R522" s="121"/>
      <c r="S522" s="121"/>
      <c r="T522" s="121"/>
      <c r="U522" s="50">
        <v>4</v>
      </c>
      <c r="V522" s="50">
        <v>0</v>
      </c>
      <c r="W522" s="122">
        <v>15</v>
      </c>
      <c r="Z522" s="123">
        <v>4500</v>
      </c>
      <c r="AB522" s="124"/>
      <c r="AC522" s="124"/>
      <c r="AF522" s="126" t="s">
        <v>4494</v>
      </c>
      <c r="AG522" s="126" t="s">
        <v>863</v>
      </c>
      <c r="AH522" s="126" t="s">
        <v>644</v>
      </c>
      <c r="AI522" s="126"/>
      <c r="AJ522" s="126"/>
      <c r="AL522" s="120">
        <v>0</v>
      </c>
      <c r="AM522" s="127" t="s">
        <v>3070</v>
      </c>
      <c r="AN522" s="127" t="s">
        <v>5617</v>
      </c>
      <c r="AP522" s="50">
        <v>1</v>
      </c>
      <c r="AQ522" s="50">
        <v>0</v>
      </c>
      <c r="AR522" s="50">
        <v>1</v>
      </c>
      <c r="AS522" s="50">
        <v>1</v>
      </c>
      <c r="AU522" s="226">
        <v>0</v>
      </c>
      <c r="AV522" s="17">
        <f t="shared" si="96"/>
        <v>1</v>
      </c>
      <c r="AW522" s="50" t="str">
        <f>"{s_taskTalk,{"&amp;L522&amp;","&amp;N522&amp;"}}"</f>
        <v>{s_taskTalk,{60052,60052}}</v>
      </c>
    </row>
    <row r="523" spans="1:49" s="50" customFormat="1" ht="84" x14ac:dyDescent="0.15">
      <c r="A523" s="200">
        <v>4251</v>
      </c>
      <c r="B523" s="50">
        <v>1385</v>
      </c>
      <c r="C523" s="50" t="s">
        <v>1983</v>
      </c>
      <c r="D523" s="50">
        <v>1</v>
      </c>
      <c r="E523" s="50">
        <v>0</v>
      </c>
      <c r="F523" s="50">
        <v>4</v>
      </c>
      <c r="G523" s="120">
        <v>200</v>
      </c>
      <c r="H523" s="50">
        <v>200</v>
      </c>
      <c r="I523" s="17">
        <v>0</v>
      </c>
      <c r="J523" s="201">
        <v>4241</v>
      </c>
      <c r="K523" s="50">
        <v>0</v>
      </c>
      <c r="L523" s="50">
        <v>60052</v>
      </c>
      <c r="M523" s="50" t="s">
        <v>636</v>
      </c>
      <c r="N523" s="50">
        <v>60052</v>
      </c>
      <c r="O523" s="50" t="s">
        <v>636</v>
      </c>
      <c r="Q523" s="121"/>
      <c r="R523" s="121"/>
      <c r="S523" s="121"/>
      <c r="T523" s="121"/>
      <c r="U523" s="50">
        <v>1</v>
      </c>
      <c r="V523" s="50">
        <v>0</v>
      </c>
      <c r="W523" s="122">
        <v>15</v>
      </c>
      <c r="Z523" s="123">
        <v>7500</v>
      </c>
      <c r="AB523" s="124"/>
      <c r="AC523" s="124"/>
      <c r="AD523" s="128" t="s">
        <v>1375</v>
      </c>
      <c r="AF523" s="126" t="s">
        <v>1741</v>
      </c>
      <c r="AG523" s="126" t="s">
        <v>864</v>
      </c>
      <c r="AH523" s="126" t="s">
        <v>865</v>
      </c>
      <c r="AI523" s="126"/>
      <c r="AJ523" s="126"/>
      <c r="AL523" s="120">
        <v>0</v>
      </c>
      <c r="AM523" s="127" t="s">
        <v>3071</v>
      </c>
      <c r="AN523" s="127" t="s">
        <v>5618</v>
      </c>
      <c r="AP523" s="50">
        <v>1</v>
      </c>
      <c r="AQ523" s="50">
        <v>0</v>
      </c>
      <c r="AR523" s="50">
        <v>1</v>
      </c>
      <c r="AS523" s="50">
        <v>0</v>
      </c>
      <c r="AU523" s="226">
        <v>0</v>
      </c>
      <c r="AV523" s="17">
        <f t="shared" si="96"/>
        <v>1</v>
      </c>
      <c r="AW523" s="50" t="str">
        <f>"{s_taskTalk,{"&amp;L523&amp;","&amp;N523&amp;"}}"</f>
        <v>{s_taskTalk,{60052,60052}}</v>
      </c>
    </row>
    <row r="524" spans="1:49" s="50" customFormat="1" ht="120" x14ac:dyDescent="0.15">
      <c r="A524" s="9">
        <v>4261</v>
      </c>
      <c r="B524" s="50">
        <v>1391</v>
      </c>
      <c r="C524" s="50" t="s">
        <v>4659</v>
      </c>
      <c r="D524" s="50">
        <v>1</v>
      </c>
      <c r="E524" s="50">
        <v>0</v>
      </c>
      <c r="F524" s="50">
        <v>4</v>
      </c>
      <c r="G524" s="120">
        <v>200</v>
      </c>
      <c r="H524" s="50">
        <v>200</v>
      </c>
      <c r="I524" s="17">
        <v>0</v>
      </c>
      <c r="J524" s="201">
        <v>4251</v>
      </c>
      <c r="K524" s="50">
        <v>0</v>
      </c>
      <c r="L524" s="50">
        <v>60052</v>
      </c>
      <c r="M524" s="50" t="s">
        <v>636</v>
      </c>
      <c r="N524" s="50">
        <v>60053</v>
      </c>
      <c r="O524" s="50" t="s">
        <v>4660</v>
      </c>
      <c r="Q524" s="121"/>
      <c r="R524" s="121"/>
      <c r="S524" s="121">
        <v>10034</v>
      </c>
      <c r="T524" s="121"/>
      <c r="U524" s="25">
        <v>10</v>
      </c>
      <c r="V524" s="50">
        <v>0</v>
      </c>
      <c r="W524" s="122">
        <v>15</v>
      </c>
      <c r="Z524" s="123">
        <v>17500</v>
      </c>
      <c r="AB524" s="124"/>
      <c r="AC524" s="124"/>
      <c r="AD524" s="128"/>
      <c r="AF524" s="126" t="s">
        <v>4661</v>
      </c>
      <c r="AG524" s="126" t="s">
        <v>3909</v>
      </c>
      <c r="AH524" s="126" t="s">
        <v>4662</v>
      </c>
      <c r="AI524" s="126" t="s">
        <v>866</v>
      </c>
      <c r="AJ524" s="126"/>
      <c r="AL524" s="120">
        <v>0</v>
      </c>
      <c r="AM524" s="127" t="s">
        <v>3750</v>
      </c>
      <c r="AN524" s="127" t="s">
        <v>3072</v>
      </c>
      <c r="AP524" s="50">
        <v>1</v>
      </c>
      <c r="AQ524" s="50">
        <v>0</v>
      </c>
      <c r="AR524" s="50">
        <v>1</v>
      </c>
      <c r="AS524" s="50">
        <v>1</v>
      </c>
      <c r="AU524" s="226">
        <v>0</v>
      </c>
      <c r="AV524" s="17">
        <f t="shared" si="96"/>
        <v>1</v>
      </c>
      <c r="AW524" s="50" t="str">
        <f>"{s_taskKillNpc, {"&amp;L524&amp;","&amp;N524&amp;","&amp;S524&amp;","&amp;U524&amp;"}}"</f>
        <v>{s_taskKillNpc, {60052,60053,10034,10}}</v>
      </c>
    </row>
    <row r="525" spans="1:49" s="50" customFormat="1" ht="96" x14ac:dyDescent="0.15">
      <c r="A525" s="200">
        <v>4271</v>
      </c>
      <c r="B525" s="50">
        <v>1395</v>
      </c>
      <c r="C525" s="50" t="s">
        <v>1984</v>
      </c>
      <c r="D525" s="50">
        <v>1</v>
      </c>
      <c r="E525" s="50">
        <v>0</v>
      </c>
      <c r="F525" s="50">
        <v>4</v>
      </c>
      <c r="G525" s="120">
        <v>200</v>
      </c>
      <c r="H525" s="50">
        <v>200</v>
      </c>
      <c r="I525" s="17">
        <v>0</v>
      </c>
      <c r="J525" s="201">
        <v>4261</v>
      </c>
      <c r="K525" s="50">
        <v>0</v>
      </c>
      <c r="L525" s="50">
        <v>60053</v>
      </c>
      <c r="M525" s="50" t="s">
        <v>4660</v>
      </c>
      <c r="N525" s="50">
        <v>60053</v>
      </c>
      <c r="O525" s="50" t="s">
        <v>4660</v>
      </c>
      <c r="Q525" s="121"/>
      <c r="R525" s="121"/>
      <c r="S525" s="121"/>
      <c r="T525" s="121"/>
      <c r="U525" s="50">
        <v>1</v>
      </c>
      <c r="V525" s="50">
        <v>0</v>
      </c>
      <c r="W525" s="122">
        <v>15</v>
      </c>
      <c r="Z525" s="123">
        <v>12000</v>
      </c>
      <c r="AB525" s="124"/>
      <c r="AC525" s="124"/>
      <c r="AF525" s="126" t="s">
        <v>1742</v>
      </c>
      <c r="AG525" s="126" t="s">
        <v>867</v>
      </c>
      <c r="AH525" s="126" t="s">
        <v>868</v>
      </c>
      <c r="AI525" s="126" t="s">
        <v>869</v>
      </c>
      <c r="AJ525" s="126"/>
      <c r="AL525" s="120">
        <v>0</v>
      </c>
      <c r="AM525" s="127" t="s">
        <v>3073</v>
      </c>
      <c r="AN525" s="127" t="s">
        <v>5619</v>
      </c>
      <c r="AP525" s="50">
        <v>1</v>
      </c>
      <c r="AQ525" s="50">
        <v>0</v>
      </c>
      <c r="AR525" s="50">
        <v>1</v>
      </c>
      <c r="AS525" s="50">
        <v>0</v>
      </c>
      <c r="AU525" s="226">
        <v>0</v>
      </c>
      <c r="AV525" s="17">
        <f t="shared" si="96"/>
        <v>1</v>
      </c>
      <c r="AW525" s="50" t="str">
        <f>"{s_taskTalk,{"&amp;L525&amp;","&amp;N525&amp;"}}"</f>
        <v>{s_taskTalk,{60053,60053}}</v>
      </c>
    </row>
    <row r="526" spans="1:49" s="50" customFormat="1" ht="132.75" thickBot="1" x14ac:dyDescent="0.2">
      <c r="A526" s="9">
        <v>4281</v>
      </c>
      <c r="B526" s="50">
        <v>1400</v>
      </c>
      <c r="C526" s="50" t="s">
        <v>1985</v>
      </c>
      <c r="D526" s="50">
        <v>1</v>
      </c>
      <c r="E526" s="50">
        <v>0</v>
      </c>
      <c r="F526" s="50">
        <v>4</v>
      </c>
      <c r="G526" s="120">
        <v>200</v>
      </c>
      <c r="H526" s="50">
        <v>200</v>
      </c>
      <c r="I526" s="17">
        <v>0</v>
      </c>
      <c r="J526" s="201">
        <v>4271</v>
      </c>
      <c r="K526" s="50">
        <v>0</v>
      </c>
      <c r="L526" s="50">
        <v>60053</v>
      </c>
      <c r="M526" s="50" t="s">
        <v>4660</v>
      </c>
      <c r="N526" s="50">
        <v>60000</v>
      </c>
      <c r="O526" s="50" t="s">
        <v>192</v>
      </c>
      <c r="Q526" s="121"/>
      <c r="R526" s="121"/>
      <c r="S526" s="121"/>
      <c r="T526" s="121"/>
      <c r="U526" s="50">
        <v>1</v>
      </c>
      <c r="V526" s="50">
        <v>1</v>
      </c>
      <c r="W526" s="122">
        <v>15</v>
      </c>
      <c r="Z526" s="123">
        <v>20000</v>
      </c>
      <c r="AB526" s="124"/>
      <c r="AC526" s="124"/>
      <c r="AF526" s="126" t="s">
        <v>4041</v>
      </c>
      <c r="AG526" s="126" t="s">
        <v>4042</v>
      </c>
      <c r="AH526" s="126" t="s">
        <v>268</v>
      </c>
      <c r="AI526" s="126"/>
      <c r="AJ526" s="126"/>
      <c r="AL526" s="120">
        <v>0</v>
      </c>
      <c r="AM526" s="127" t="s">
        <v>4269</v>
      </c>
      <c r="AN526" s="127" t="s">
        <v>5620</v>
      </c>
      <c r="AP526" s="50">
        <v>1</v>
      </c>
      <c r="AQ526" s="50">
        <v>0</v>
      </c>
      <c r="AR526" s="50">
        <v>1</v>
      </c>
      <c r="AS526" s="50">
        <v>1</v>
      </c>
      <c r="AU526" s="226">
        <v>0</v>
      </c>
      <c r="AV526" s="17">
        <f t="shared" si="96"/>
        <v>1</v>
      </c>
      <c r="AW526" s="50" t="str">
        <f>"{s_taskTalk,{"&amp;L526&amp;","&amp;N526&amp;"}}"</f>
        <v>{s_taskTalk,{60053,60000}}</v>
      </c>
    </row>
    <row r="527" spans="1:49" s="242" customFormat="1" ht="120" x14ac:dyDescent="0.15">
      <c r="A527" s="241">
        <v>4291</v>
      </c>
      <c r="C527" s="242" t="s">
        <v>1986</v>
      </c>
      <c r="D527" s="242">
        <v>1</v>
      </c>
      <c r="E527" s="242">
        <v>0</v>
      </c>
      <c r="F527" s="242">
        <v>3</v>
      </c>
      <c r="G527" s="120">
        <v>200</v>
      </c>
      <c r="H527" s="242">
        <v>200</v>
      </c>
      <c r="I527" s="17">
        <v>0</v>
      </c>
      <c r="J527" s="243">
        <v>4281</v>
      </c>
      <c r="K527" s="242">
        <v>0</v>
      </c>
      <c r="L527" s="242">
        <v>60000</v>
      </c>
      <c r="M527" s="242" t="s">
        <v>206</v>
      </c>
      <c r="N527" s="242">
        <v>60049</v>
      </c>
      <c r="O527" s="242" t="s">
        <v>5158</v>
      </c>
      <c r="Q527" s="244"/>
      <c r="R527" s="244"/>
      <c r="S527" s="244"/>
      <c r="T527" s="244"/>
      <c r="U527" s="242">
        <v>1</v>
      </c>
      <c r="V527" s="242">
        <v>1</v>
      </c>
      <c r="W527" s="122">
        <v>15</v>
      </c>
      <c r="Z527" s="245">
        <v>8000</v>
      </c>
      <c r="AB527" s="246"/>
      <c r="AC527" s="246"/>
      <c r="AD527" s="332"/>
      <c r="AF527" s="248" t="s">
        <v>4270</v>
      </c>
      <c r="AG527" s="248" t="s">
        <v>4271</v>
      </c>
      <c r="AH527" s="248" t="s">
        <v>870</v>
      </c>
      <c r="AI527" s="248"/>
      <c r="AJ527" s="248"/>
      <c r="AL527" s="249">
        <v>0</v>
      </c>
      <c r="AM527" s="242" t="s">
        <v>3074</v>
      </c>
      <c r="AN527" s="242" t="s">
        <v>5621</v>
      </c>
      <c r="AP527" s="242">
        <v>1</v>
      </c>
      <c r="AQ527" s="242">
        <v>0</v>
      </c>
      <c r="AR527" s="50">
        <v>1</v>
      </c>
      <c r="AS527" s="50">
        <v>1</v>
      </c>
      <c r="AU527" s="226">
        <v>0</v>
      </c>
      <c r="AV527" s="17">
        <f t="shared" si="96"/>
        <v>1</v>
      </c>
      <c r="AW527" s="50" t="str">
        <f>"{s_taskTalk,{"&amp;L527&amp;","&amp;N527&amp;"}}"</f>
        <v>{s_taskTalk,{60000,60049}}</v>
      </c>
    </row>
    <row r="528" spans="1:49" s="334" customFormat="1" ht="72.75" thickBot="1" x14ac:dyDescent="0.2">
      <c r="A528" s="333">
        <v>4311</v>
      </c>
      <c r="C528" s="334" t="s">
        <v>1987</v>
      </c>
      <c r="D528" s="334">
        <v>1</v>
      </c>
      <c r="E528" s="334">
        <v>0</v>
      </c>
      <c r="F528" s="334">
        <v>3</v>
      </c>
      <c r="G528" s="120">
        <v>200</v>
      </c>
      <c r="H528" s="334">
        <v>200</v>
      </c>
      <c r="I528" s="17">
        <v>0</v>
      </c>
      <c r="J528" s="335">
        <v>4291</v>
      </c>
      <c r="K528" s="334">
        <v>0</v>
      </c>
      <c r="L528" s="334">
        <v>60049</v>
      </c>
      <c r="M528" s="334" t="s">
        <v>203</v>
      </c>
      <c r="N528" s="334">
        <v>60000</v>
      </c>
      <c r="O528" s="334" t="s">
        <v>192</v>
      </c>
      <c r="Q528" s="336"/>
      <c r="R528" s="336"/>
      <c r="S528" s="336"/>
      <c r="T528" s="336"/>
      <c r="U528" s="334">
        <v>1</v>
      </c>
      <c r="V528" s="334">
        <v>1</v>
      </c>
      <c r="W528" s="141">
        <v>15</v>
      </c>
      <c r="Z528" s="337">
        <v>10000</v>
      </c>
      <c r="AB528" s="338"/>
      <c r="AC528" s="338">
        <v>300</v>
      </c>
      <c r="AF528" s="339" t="s">
        <v>4528</v>
      </c>
      <c r="AG528" s="339" t="s">
        <v>4529</v>
      </c>
      <c r="AH528" s="339" t="s">
        <v>873</v>
      </c>
      <c r="AI528" s="339"/>
      <c r="AJ528" s="339"/>
      <c r="AL528" s="340">
        <v>0</v>
      </c>
      <c r="AM528" s="334" t="s">
        <v>3075</v>
      </c>
      <c r="AN528" s="334" t="s">
        <v>5622</v>
      </c>
      <c r="AP528" s="334">
        <v>1</v>
      </c>
      <c r="AQ528" s="334">
        <v>0</v>
      </c>
      <c r="AR528" s="50">
        <v>1</v>
      </c>
      <c r="AS528" s="50">
        <v>1</v>
      </c>
      <c r="AU528" s="226">
        <v>0</v>
      </c>
      <c r="AV528" s="17">
        <f t="shared" si="96"/>
        <v>1</v>
      </c>
      <c r="AW528" s="73" t="str">
        <f>"{s_taskTalk,{"&amp;L528&amp;","&amp;N528&amp;"}}"</f>
        <v>{s_taskTalk,{60049,60000}}</v>
      </c>
    </row>
    <row r="529" spans="1:49" s="332" customFormat="1" ht="120.75" thickBot="1" x14ac:dyDescent="0.2">
      <c r="A529" s="341">
        <v>4312</v>
      </c>
      <c r="C529" s="332" t="s">
        <v>4501</v>
      </c>
      <c r="D529" s="332">
        <v>1</v>
      </c>
      <c r="E529" s="332">
        <v>0</v>
      </c>
      <c r="F529" s="332">
        <v>3</v>
      </c>
      <c r="G529" s="120">
        <v>200</v>
      </c>
      <c r="H529" s="332">
        <v>200</v>
      </c>
      <c r="I529" s="17">
        <v>0</v>
      </c>
      <c r="J529" s="342">
        <v>4311</v>
      </c>
      <c r="K529" s="332">
        <v>0</v>
      </c>
      <c r="L529" s="332">
        <v>60000</v>
      </c>
      <c r="M529" s="332" t="s">
        <v>206</v>
      </c>
      <c r="N529" s="332">
        <v>60000</v>
      </c>
      <c r="O529" s="332" t="s">
        <v>5159</v>
      </c>
      <c r="Q529" s="343"/>
      <c r="R529" s="343"/>
      <c r="S529" s="343"/>
      <c r="T529" s="343"/>
      <c r="U529" s="332">
        <v>1</v>
      </c>
      <c r="V529" s="332">
        <v>1</v>
      </c>
      <c r="W529" s="344">
        <v>20</v>
      </c>
      <c r="Z529" s="245">
        <v>15000</v>
      </c>
      <c r="AB529" s="245"/>
      <c r="AC529" s="245"/>
      <c r="AD529" s="345" t="s">
        <v>3953</v>
      </c>
      <c r="AF529" s="346" t="str">
        <f>"title("&amp;C529&amp;")
body(hotyellow_3(任务进程:)newline()
   进入单人副本，触发剧情，然后击杀目标怪。（离开副本可直接完成）
blankline()hotyellow_3(任务描述:)newline() space()space()space()亲爱的player()，我是hot(卡尔),我们王国美丽的公主安妮总是忧伤地让人心碎，虽然表面上安妮强作着坚强，但是每晚她总重复着一个同样情景的梦，每次都从梦中哭醒，究竟是个怎样的梦？进入梦境，看看那天发生的事吧。)"</f>
        <v>title([授勋]正九品上)
body(hotyellow_3(任务进程:)newline()
   进入单人副本，触发剧情，然后击杀目标怪。（离开副本可直接完成）
blankline()hotyellow_3(任务描述:)newline() space()space()space()亲爱的player()，我是hot(卡尔),我们王国美丽的公主安妮总是忧伤地让人心碎，虽然表面上安妮强作着坚强，但是每晚她总重复着一个同样情景的梦，每次都从梦中哭醒，究竟是个怎样的梦？进入梦境，看看那天发生的事吧。)</v>
      </c>
      <c r="AG529" s="346" t="s">
        <v>3399</v>
      </c>
      <c r="AH529" s="346" t="s">
        <v>3400</v>
      </c>
      <c r="AI529" s="346" t="s">
        <v>3301</v>
      </c>
      <c r="AJ529" s="346"/>
      <c r="AK529" s="346"/>
      <c r="AL529" s="347">
        <v>0</v>
      </c>
      <c r="AM529" s="348" t="str">
        <f>"&lt;p&gt;&lt;n&gt;  杀：魔帮会大将后&lt;/n&gt;&lt;newline/&gt;
&lt;n&gt;  回复：&lt;/n&gt;&lt;goto id="""&amp;N529&amp;""" mapid=""5"" flagpoint=""1"" taskid="""&amp;A529&amp;"""/&gt;
&lt;/p&gt;"</f>
        <v>&lt;p&gt;&lt;n&gt;  杀：魔帮会大将后&lt;/n&gt;&lt;newline/&gt;
&lt;n&gt;  回复：&lt;/n&gt;&lt;goto id="60000" mapid="5" flagpoint="1" taskid="4312"/&gt;
&lt;/p&gt;</v>
      </c>
      <c r="AN529" s="348" t="str">
        <f>"&lt;p&gt;&lt;n&gt;  杀死魔帮会大将后与丘比特对话（离开副本可直接完成）&lt;/n&gt;&lt;newline/&gt;
&lt;n&gt;  交：&lt;/n&gt;&lt;goto id="""&amp;N529&amp;""" mapid=""5"" flagpoint=""1"" taskid="""&amp;A529&amp;"""/&gt;
&lt;/p&gt;"</f>
        <v>&lt;p&gt;&lt;n&gt;  杀死魔帮会大将后与丘比特对话（离开副本可直接完成）&lt;/n&gt;&lt;newline/&gt;
&lt;n&gt;  交：&lt;/n&gt;&lt;goto id="60000" mapid="5" flagpoint="1" taskid="4312"/&gt;
&lt;/p&gt;</v>
      </c>
      <c r="AO529" s="346"/>
      <c r="AP529" s="346">
        <v>1</v>
      </c>
      <c r="AQ529" s="346">
        <v>0</v>
      </c>
      <c r="AR529" s="346">
        <v>0</v>
      </c>
      <c r="AS529" s="346">
        <v>0</v>
      </c>
      <c r="AT529" s="346"/>
      <c r="AU529" s="226">
        <v>0</v>
      </c>
      <c r="AV529" s="17">
        <f t="shared" si="96"/>
        <v>1</v>
      </c>
      <c r="AW529" s="73" t="str">
        <f>"{s_taskTalk,{"&amp;L529&amp;","&amp;N529&amp;"}}"</f>
        <v>{s_taskTalk,{60000,60000}}</v>
      </c>
    </row>
    <row r="530" spans="1:49" s="332" customFormat="1" ht="96" x14ac:dyDescent="0.15">
      <c r="A530" s="341">
        <v>4313</v>
      </c>
      <c r="C530" s="332" t="s">
        <v>4214</v>
      </c>
      <c r="D530" s="332">
        <v>1</v>
      </c>
      <c r="E530" s="332">
        <v>0</v>
      </c>
      <c r="F530" s="332">
        <v>3</v>
      </c>
      <c r="G530" s="120">
        <v>200</v>
      </c>
      <c r="H530" s="332">
        <v>200</v>
      </c>
      <c r="I530" s="17">
        <v>0</v>
      </c>
      <c r="J530" s="342">
        <v>4312</v>
      </c>
      <c r="K530" s="332">
        <v>0</v>
      </c>
      <c r="L530" s="332">
        <v>60000</v>
      </c>
      <c r="M530" s="332" t="s">
        <v>4004</v>
      </c>
      <c r="N530" s="332">
        <v>60000</v>
      </c>
      <c r="O530" s="332" t="s">
        <v>5159</v>
      </c>
      <c r="Q530" s="343"/>
      <c r="R530" s="343"/>
      <c r="S530" s="343"/>
      <c r="T530" s="343"/>
      <c r="U530" s="332">
        <v>1</v>
      </c>
      <c r="V530" s="332">
        <v>0</v>
      </c>
      <c r="W530" s="344">
        <v>20</v>
      </c>
      <c r="Z530" s="245">
        <v>7500</v>
      </c>
      <c r="AB530" s="245"/>
      <c r="AC530" s="245"/>
      <c r="AD530" s="345"/>
      <c r="AF530" s="346" t="s">
        <v>4462</v>
      </c>
      <c r="AG530" s="346" t="s">
        <v>4463</v>
      </c>
      <c r="AH530" s="346" t="s">
        <v>4215</v>
      </c>
      <c r="AI530" s="346" t="s">
        <v>4216</v>
      </c>
      <c r="AJ530" s="346"/>
      <c r="AK530" s="346"/>
      <c r="AL530" s="347">
        <v>0</v>
      </c>
      <c r="AM530" s="348" t="s">
        <v>4217</v>
      </c>
      <c r="AN530" s="348" t="s">
        <v>5623</v>
      </c>
      <c r="AO530" s="346"/>
      <c r="AP530" s="346">
        <v>1</v>
      </c>
      <c r="AQ530" s="346">
        <v>0</v>
      </c>
      <c r="AR530" s="346">
        <v>1</v>
      </c>
      <c r="AS530" s="346">
        <v>0</v>
      </c>
      <c r="AT530" s="346">
        <v>0</v>
      </c>
      <c r="AU530" s="226">
        <v>0</v>
      </c>
      <c r="AV530" s="17">
        <f t="shared" si="96"/>
        <v>1</v>
      </c>
      <c r="AW530" s="73" t="str">
        <f>"{s_taskCustom,{"&amp;L530&amp;","&amp;N530&amp;","&amp;U530&amp;","&amp;V530&amp;"}}"</f>
        <v>{s_taskCustom,{60000,60000,1,0}}</v>
      </c>
    </row>
    <row r="531" spans="1:49" s="50" customFormat="1" ht="144" x14ac:dyDescent="0.15">
      <c r="A531" s="9">
        <v>4321</v>
      </c>
      <c r="B531" s="50">
        <v>1401</v>
      </c>
      <c r="C531" s="50" t="s">
        <v>4530</v>
      </c>
      <c r="D531" s="50">
        <v>1</v>
      </c>
      <c r="E531" s="50">
        <v>0</v>
      </c>
      <c r="F531" s="50">
        <v>3</v>
      </c>
      <c r="G531" s="120">
        <v>200</v>
      </c>
      <c r="H531" s="50">
        <v>200</v>
      </c>
      <c r="I531" s="17">
        <v>0</v>
      </c>
      <c r="J531" s="201">
        <v>4313</v>
      </c>
      <c r="K531" s="50">
        <v>0</v>
      </c>
      <c r="L531" s="50">
        <v>60000</v>
      </c>
      <c r="M531" s="50" t="s">
        <v>192</v>
      </c>
      <c r="N531" s="50">
        <v>60163</v>
      </c>
      <c r="O531" s="50" t="s">
        <v>189</v>
      </c>
      <c r="Q531" s="121"/>
      <c r="R531" s="121"/>
      <c r="S531" s="121"/>
      <c r="T531" s="121"/>
      <c r="U531" s="50">
        <v>1</v>
      </c>
      <c r="V531" s="50">
        <v>1</v>
      </c>
      <c r="W531" s="344">
        <v>20</v>
      </c>
      <c r="Z531" s="123">
        <v>6400</v>
      </c>
      <c r="AB531" s="124"/>
      <c r="AC531" s="124"/>
      <c r="AD531" s="50" t="s">
        <v>3385</v>
      </c>
      <c r="AF531" s="126" t="s">
        <v>4531</v>
      </c>
      <c r="AG531" s="126" t="s">
        <v>4532</v>
      </c>
      <c r="AH531" s="126" t="s">
        <v>3307</v>
      </c>
      <c r="AI531" s="126"/>
      <c r="AJ531" s="126"/>
      <c r="AL531" s="120">
        <v>0</v>
      </c>
      <c r="AM531" s="127" t="s">
        <v>3076</v>
      </c>
      <c r="AN531" s="127" t="s">
        <v>5624</v>
      </c>
      <c r="AP531" s="50">
        <v>1</v>
      </c>
      <c r="AQ531" s="50">
        <v>0</v>
      </c>
      <c r="AR531" s="50">
        <v>1</v>
      </c>
      <c r="AS531" s="50">
        <v>0</v>
      </c>
      <c r="AU531" s="226">
        <v>0</v>
      </c>
      <c r="AV531" s="17">
        <f t="shared" si="96"/>
        <v>1</v>
      </c>
      <c r="AW531" s="50" t="str">
        <f>"{s_taskTalk,{"&amp;L531&amp;","&amp;N531&amp;"}}"</f>
        <v>{s_taskTalk,{60000,60163}}</v>
      </c>
    </row>
    <row r="532" spans="1:49" s="50" customFormat="1" ht="72" x14ac:dyDescent="0.15">
      <c r="A532" s="9">
        <v>4322</v>
      </c>
      <c r="C532" s="50" t="s">
        <v>4533</v>
      </c>
      <c r="D532" s="50">
        <v>1</v>
      </c>
      <c r="E532" s="50">
        <v>0</v>
      </c>
      <c r="F532" s="50">
        <v>4</v>
      </c>
      <c r="G532" s="120">
        <v>200</v>
      </c>
      <c r="H532" s="50">
        <v>200</v>
      </c>
      <c r="I532" s="17">
        <v>0</v>
      </c>
      <c r="J532" s="201">
        <v>4321</v>
      </c>
      <c r="K532" s="50">
        <v>0</v>
      </c>
      <c r="L532" s="50">
        <v>60163</v>
      </c>
      <c r="M532" s="50" t="s">
        <v>189</v>
      </c>
      <c r="N532" s="50">
        <v>60163</v>
      </c>
      <c r="O532" s="50" t="s">
        <v>189</v>
      </c>
      <c r="Q532" s="121"/>
      <c r="R532" s="121"/>
      <c r="S532" s="121"/>
      <c r="T532" s="121"/>
      <c r="U532" s="50">
        <v>1</v>
      </c>
      <c r="V532" s="50">
        <v>1</v>
      </c>
      <c r="W532" s="344">
        <v>20</v>
      </c>
      <c r="Z532" s="123">
        <v>10000</v>
      </c>
      <c r="AB532" s="124"/>
      <c r="AC532" s="124"/>
      <c r="AF532" s="126" t="s">
        <v>4534</v>
      </c>
      <c r="AG532" s="126" t="s">
        <v>874</v>
      </c>
      <c r="AH532" s="126" t="s">
        <v>4663</v>
      </c>
      <c r="AI532" s="126"/>
      <c r="AJ532" s="126"/>
      <c r="AL532" s="120">
        <v>0</v>
      </c>
      <c r="AM532" s="127" t="s">
        <v>3077</v>
      </c>
      <c r="AN532" s="127" t="s">
        <v>5625</v>
      </c>
      <c r="AP532" s="50">
        <v>1</v>
      </c>
      <c r="AQ532" s="50">
        <v>0</v>
      </c>
      <c r="AR532" s="50">
        <v>1</v>
      </c>
      <c r="AS532" s="50">
        <v>1</v>
      </c>
      <c r="AU532" s="226">
        <v>0</v>
      </c>
      <c r="AV532" s="17">
        <f t="shared" si="96"/>
        <v>1</v>
      </c>
      <c r="AW532" s="50" t="str">
        <f>"{s_taskTalk,{"&amp;L532&amp;","&amp;N532&amp;"}}"</f>
        <v>{s_taskTalk,{60163,60163}}</v>
      </c>
    </row>
    <row r="533" spans="1:49" s="50" customFormat="1" ht="96.75" thickBot="1" x14ac:dyDescent="0.2">
      <c r="A533" s="200">
        <v>4331</v>
      </c>
      <c r="B533" s="50">
        <v>1405</v>
      </c>
      <c r="C533" s="50" t="s">
        <v>1988</v>
      </c>
      <c r="D533" s="50">
        <v>1</v>
      </c>
      <c r="E533" s="50">
        <v>0</v>
      </c>
      <c r="F533" s="50">
        <v>4</v>
      </c>
      <c r="G533" s="120">
        <v>200</v>
      </c>
      <c r="H533" s="50">
        <v>200</v>
      </c>
      <c r="I533" s="17">
        <v>0</v>
      </c>
      <c r="J533" s="201">
        <v>4322</v>
      </c>
      <c r="K533" s="50">
        <v>0</v>
      </c>
      <c r="L533" s="50">
        <v>60163</v>
      </c>
      <c r="M533" s="50" t="s">
        <v>189</v>
      </c>
      <c r="N533" s="50">
        <v>60164</v>
      </c>
      <c r="O533" s="50" t="s">
        <v>640</v>
      </c>
      <c r="Q533" s="121"/>
      <c r="R533" s="121"/>
      <c r="S533" s="121"/>
      <c r="T533" s="121"/>
      <c r="U533" s="50">
        <v>1</v>
      </c>
      <c r="V533" s="50">
        <v>1</v>
      </c>
      <c r="W533" s="344">
        <v>20</v>
      </c>
      <c r="Z533" s="123">
        <v>13000</v>
      </c>
      <c r="AB533" s="124"/>
      <c r="AC533" s="124"/>
      <c r="AF533" s="126" t="s">
        <v>639</v>
      </c>
      <c r="AG533" s="126" t="s">
        <v>654</v>
      </c>
      <c r="AH533" s="126" t="s">
        <v>875</v>
      </c>
      <c r="AI533" s="126"/>
      <c r="AJ533" s="126"/>
      <c r="AL533" s="120">
        <v>0</v>
      </c>
      <c r="AM533" s="127" t="s">
        <v>3078</v>
      </c>
      <c r="AN533" s="127" t="s">
        <v>5626</v>
      </c>
      <c r="AP533" s="50">
        <v>1</v>
      </c>
      <c r="AQ533" s="50">
        <v>0</v>
      </c>
      <c r="AR533" s="50">
        <v>1</v>
      </c>
      <c r="AS533" s="50">
        <v>1</v>
      </c>
      <c r="AU533" s="226">
        <v>0</v>
      </c>
      <c r="AV533" s="17">
        <f t="shared" si="96"/>
        <v>1</v>
      </c>
      <c r="AW533" s="50" t="str">
        <f>"{s_taskTalk,{"&amp;L533&amp;","&amp;N533&amp;"}}"</f>
        <v>{s_taskTalk,{60163,60164}}</v>
      </c>
    </row>
    <row r="534" spans="1:49" s="50" customFormat="1" ht="96" x14ac:dyDescent="0.15">
      <c r="A534" s="9">
        <v>4341</v>
      </c>
      <c r="B534" s="50">
        <v>1410</v>
      </c>
      <c r="C534" s="50" t="s">
        <v>1989</v>
      </c>
      <c r="D534" s="50">
        <v>1</v>
      </c>
      <c r="E534" s="50">
        <v>0</v>
      </c>
      <c r="F534" s="50">
        <v>4</v>
      </c>
      <c r="G534" s="120">
        <v>200</v>
      </c>
      <c r="H534" s="50">
        <v>200</v>
      </c>
      <c r="I534" s="17">
        <v>0</v>
      </c>
      <c r="J534" s="201">
        <v>4331</v>
      </c>
      <c r="K534" s="50">
        <v>0</v>
      </c>
      <c r="L534" s="50">
        <v>60164</v>
      </c>
      <c r="M534" s="50" t="s">
        <v>640</v>
      </c>
      <c r="N534" s="50">
        <v>60164</v>
      </c>
      <c r="O534" s="50" t="s">
        <v>640</v>
      </c>
      <c r="Q534" s="121"/>
      <c r="R534" s="121"/>
      <c r="S534" s="121">
        <v>10035</v>
      </c>
      <c r="T534" s="121"/>
      <c r="U534" s="50">
        <v>20</v>
      </c>
      <c r="V534" s="50">
        <v>0</v>
      </c>
      <c r="W534" s="344">
        <v>20</v>
      </c>
      <c r="Z534" s="123">
        <v>16500</v>
      </c>
      <c r="AB534" s="124"/>
      <c r="AC534" s="124"/>
      <c r="AD534" s="345" t="s">
        <v>7201</v>
      </c>
      <c r="AF534" s="126" t="s">
        <v>876</v>
      </c>
      <c r="AG534" s="126" t="s">
        <v>877</v>
      </c>
      <c r="AH534" s="126" t="s">
        <v>3309</v>
      </c>
      <c r="AI534" s="126" t="s">
        <v>878</v>
      </c>
      <c r="AJ534" s="126"/>
      <c r="AL534" s="120">
        <v>0</v>
      </c>
      <c r="AM534" s="127" t="s">
        <v>3849</v>
      </c>
      <c r="AN534" s="127" t="s">
        <v>5627</v>
      </c>
      <c r="AP534" s="50">
        <v>1</v>
      </c>
      <c r="AQ534" s="50">
        <v>0</v>
      </c>
      <c r="AR534" s="50">
        <v>1</v>
      </c>
      <c r="AS534" s="50">
        <v>0</v>
      </c>
      <c r="AU534" s="226">
        <v>0</v>
      </c>
      <c r="AV534" s="17">
        <f t="shared" si="96"/>
        <v>1</v>
      </c>
      <c r="AW534" s="50" t="str">
        <f>"{s_taskKillNpc, {"&amp;L534&amp;","&amp;N534&amp;","&amp;S534&amp;","&amp;U534&amp;"}}"</f>
        <v>{s_taskKillNpc, {60164,60164,10035,20}}</v>
      </c>
    </row>
    <row r="535" spans="1:49" s="50" customFormat="1" ht="72" x14ac:dyDescent="0.15">
      <c r="A535" s="200">
        <v>4351</v>
      </c>
      <c r="B535" s="50">
        <v>1411</v>
      </c>
      <c r="C535" s="50" t="s">
        <v>1990</v>
      </c>
      <c r="D535" s="50">
        <v>1</v>
      </c>
      <c r="E535" s="50">
        <v>0</v>
      </c>
      <c r="F535" s="50">
        <v>4</v>
      </c>
      <c r="G535" s="120">
        <v>200</v>
      </c>
      <c r="H535" s="50">
        <v>200</v>
      </c>
      <c r="I535" s="17">
        <v>0</v>
      </c>
      <c r="J535" s="201">
        <v>4341</v>
      </c>
      <c r="K535" s="50">
        <v>0</v>
      </c>
      <c r="L535" s="50">
        <v>60164</v>
      </c>
      <c r="M535" s="50" t="s">
        <v>640</v>
      </c>
      <c r="N535" s="50">
        <v>60163</v>
      </c>
      <c r="O535" s="50" t="s">
        <v>189</v>
      </c>
      <c r="Q535" s="121"/>
      <c r="R535" s="121"/>
      <c r="S535" s="121"/>
      <c r="T535" s="121"/>
      <c r="U535" s="50">
        <v>1</v>
      </c>
      <c r="V535" s="50">
        <v>1</v>
      </c>
      <c r="W535" s="344">
        <v>20</v>
      </c>
      <c r="Z535" s="123">
        <v>15000</v>
      </c>
      <c r="AB535" s="124"/>
      <c r="AC535" s="124"/>
      <c r="AF535" s="126" t="s">
        <v>879</v>
      </c>
      <c r="AG535" s="126" t="s">
        <v>4535</v>
      </c>
      <c r="AH535" s="126" t="s">
        <v>880</v>
      </c>
      <c r="AI535" s="126"/>
      <c r="AJ535" s="126"/>
      <c r="AL535" s="120">
        <v>0</v>
      </c>
      <c r="AM535" s="127" t="s">
        <v>3079</v>
      </c>
      <c r="AN535" s="127" t="s">
        <v>5628</v>
      </c>
      <c r="AP535" s="50">
        <v>1</v>
      </c>
      <c r="AQ535" s="50">
        <v>0</v>
      </c>
      <c r="AR535" s="50">
        <v>1</v>
      </c>
      <c r="AS535" s="50">
        <v>1</v>
      </c>
      <c r="AU535" s="226">
        <v>0</v>
      </c>
      <c r="AV535" s="17">
        <f t="shared" si="96"/>
        <v>1</v>
      </c>
      <c r="AW535" s="50" t="str">
        <f>"{s_taskTalk,{"&amp;L535&amp;","&amp;N535&amp;"}}"</f>
        <v>{s_taskTalk,{60164,60163}}</v>
      </c>
    </row>
    <row r="536" spans="1:49" s="50" customFormat="1" ht="84" x14ac:dyDescent="0.15">
      <c r="A536" s="9">
        <v>4361</v>
      </c>
      <c r="B536" s="50">
        <v>1413</v>
      </c>
      <c r="C536" s="50" t="s">
        <v>1991</v>
      </c>
      <c r="D536" s="50">
        <v>1</v>
      </c>
      <c r="E536" s="50">
        <v>0</v>
      </c>
      <c r="F536" s="50">
        <v>4</v>
      </c>
      <c r="G536" s="120">
        <v>200</v>
      </c>
      <c r="H536" s="50">
        <v>200</v>
      </c>
      <c r="I536" s="17">
        <v>0</v>
      </c>
      <c r="J536" s="201">
        <v>4351</v>
      </c>
      <c r="K536" s="50">
        <v>0</v>
      </c>
      <c r="L536" s="50">
        <v>60163</v>
      </c>
      <c r="M536" s="50" t="s">
        <v>189</v>
      </c>
      <c r="N536" s="50">
        <v>60163</v>
      </c>
      <c r="O536" s="50" t="s">
        <v>189</v>
      </c>
      <c r="Q536" s="121"/>
      <c r="R536" s="121"/>
      <c r="S536" s="121">
        <v>10141</v>
      </c>
      <c r="T536" s="121"/>
      <c r="U536" s="50">
        <v>1</v>
      </c>
      <c r="V536" s="50">
        <v>0</v>
      </c>
      <c r="W536" s="344">
        <v>20</v>
      </c>
      <c r="Z536" s="123">
        <v>6400</v>
      </c>
      <c r="AB536" s="124"/>
      <c r="AC536" s="124"/>
      <c r="AD536" s="128"/>
      <c r="AF536" s="126" t="s">
        <v>881</v>
      </c>
      <c r="AG536" s="126" t="s">
        <v>882</v>
      </c>
      <c r="AH536" s="126" t="s">
        <v>883</v>
      </c>
      <c r="AI536" s="126" t="s">
        <v>884</v>
      </c>
      <c r="AJ536" s="126"/>
      <c r="AL536" s="120">
        <v>0</v>
      </c>
      <c r="AM536" s="127" t="s">
        <v>3080</v>
      </c>
      <c r="AN536" s="127" t="s">
        <v>5629</v>
      </c>
      <c r="AP536" s="50">
        <v>1</v>
      </c>
      <c r="AQ536" s="50">
        <v>0</v>
      </c>
      <c r="AR536" s="50">
        <v>1</v>
      </c>
      <c r="AS536" s="50">
        <v>1</v>
      </c>
      <c r="AU536" s="226">
        <v>0</v>
      </c>
      <c r="AV536" s="17">
        <f t="shared" si="96"/>
        <v>1</v>
      </c>
      <c r="AW536" s="50" t="str">
        <f>"{s_taskKillNpc, {"&amp;L536&amp;","&amp;N536&amp;","&amp;S536&amp;","&amp;U536&amp;"}}"</f>
        <v>{s_taskKillNpc, {60163,60163,10141,1}}</v>
      </c>
    </row>
    <row r="537" spans="1:49" s="50" customFormat="1" ht="84" x14ac:dyDescent="0.15">
      <c r="A537" s="200">
        <v>4371</v>
      </c>
      <c r="B537" s="50">
        <v>1414</v>
      </c>
      <c r="C537" s="50" t="s">
        <v>1992</v>
      </c>
      <c r="D537" s="50">
        <v>1</v>
      </c>
      <c r="E537" s="50">
        <v>0</v>
      </c>
      <c r="F537" s="50">
        <v>4</v>
      </c>
      <c r="G537" s="120">
        <v>200</v>
      </c>
      <c r="H537" s="50">
        <v>200</v>
      </c>
      <c r="I537" s="17">
        <v>0</v>
      </c>
      <c r="J537" s="201">
        <v>4361</v>
      </c>
      <c r="K537" s="50">
        <v>0</v>
      </c>
      <c r="L537" s="50">
        <v>60163</v>
      </c>
      <c r="M537" s="50" t="s">
        <v>207</v>
      </c>
      <c r="N537" s="50">
        <v>60164</v>
      </c>
      <c r="O537" s="50" t="s">
        <v>5160</v>
      </c>
      <c r="Q537" s="121"/>
      <c r="R537" s="121"/>
      <c r="S537" s="121"/>
      <c r="T537" s="121"/>
      <c r="U537" s="50">
        <v>1</v>
      </c>
      <c r="V537" s="50">
        <v>1</v>
      </c>
      <c r="W537" s="344">
        <v>20</v>
      </c>
      <c r="Z537" s="123">
        <v>10000</v>
      </c>
      <c r="AB537" s="124"/>
      <c r="AC537" s="124"/>
      <c r="AF537" s="126" t="s">
        <v>885</v>
      </c>
      <c r="AG537" s="126" t="s">
        <v>886</v>
      </c>
      <c r="AH537" s="126" t="s">
        <v>887</v>
      </c>
      <c r="AI537" s="126"/>
      <c r="AJ537" s="126"/>
      <c r="AL537" s="120">
        <v>0</v>
      </c>
      <c r="AM537" s="127" t="s">
        <v>6116</v>
      </c>
      <c r="AN537" s="127" t="s">
        <v>5630</v>
      </c>
      <c r="AP537" s="50">
        <v>1</v>
      </c>
      <c r="AQ537" s="50">
        <v>0</v>
      </c>
      <c r="AR537" s="50">
        <v>1</v>
      </c>
      <c r="AS537" s="50">
        <v>1</v>
      </c>
      <c r="AU537" s="226">
        <v>0</v>
      </c>
      <c r="AV537" s="17">
        <f t="shared" si="96"/>
        <v>1</v>
      </c>
      <c r="AW537" s="50" t="str">
        <f>"{s_taskTalk,{"&amp;L537&amp;","&amp;N537&amp;"}}"</f>
        <v>{s_taskTalk,{60163,60164}}</v>
      </c>
    </row>
    <row r="538" spans="1:49" s="50" customFormat="1" ht="108" x14ac:dyDescent="0.15">
      <c r="A538" s="9">
        <v>4381</v>
      </c>
      <c r="B538" s="50">
        <v>1415</v>
      </c>
      <c r="C538" s="50" t="s">
        <v>1993</v>
      </c>
      <c r="D538" s="50">
        <v>1</v>
      </c>
      <c r="E538" s="50">
        <v>0</v>
      </c>
      <c r="F538" s="50">
        <v>4</v>
      </c>
      <c r="G538" s="120">
        <v>200</v>
      </c>
      <c r="H538" s="50">
        <v>200</v>
      </c>
      <c r="I538" s="17">
        <v>0</v>
      </c>
      <c r="J538" s="201">
        <v>4371</v>
      </c>
      <c r="K538" s="50">
        <v>0</v>
      </c>
      <c r="L538" s="50">
        <v>60164</v>
      </c>
      <c r="M538" s="50" t="s">
        <v>640</v>
      </c>
      <c r="N538" s="50">
        <v>60164</v>
      </c>
      <c r="O538" s="50" t="s">
        <v>640</v>
      </c>
      <c r="Q538" s="121"/>
      <c r="R538" s="121"/>
      <c r="S538" s="121">
        <v>10036</v>
      </c>
      <c r="T538" s="121"/>
      <c r="U538" s="50">
        <v>20</v>
      </c>
      <c r="V538" s="50">
        <v>0</v>
      </c>
      <c r="W538" s="344">
        <v>20</v>
      </c>
      <c r="Z538" s="123">
        <v>18000</v>
      </c>
      <c r="AB538" s="124"/>
      <c r="AC538" s="124"/>
      <c r="AF538" s="126" t="s">
        <v>4272</v>
      </c>
      <c r="AG538" s="126" t="s">
        <v>4273</v>
      </c>
      <c r="AH538" s="126" t="s">
        <v>3310</v>
      </c>
      <c r="AI538" s="126" t="s">
        <v>888</v>
      </c>
      <c r="AJ538" s="126"/>
      <c r="AL538" s="120">
        <v>0</v>
      </c>
      <c r="AM538" s="127" t="s">
        <v>6152</v>
      </c>
      <c r="AN538" s="127" t="s">
        <v>5631</v>
      </c>
      <c r="AP538" s="50">
        <v>1</v>
      </c>
      <c r="AQ538" s="50">
        <v>0</v>
      </c>
      <c r="AR538" s="50">
        <v>1</v>
      </c>
      <c r="AS538" s="50">
        <v>0</v>
      </c>
      <c r="AU538" s="226">
        <v>0</v>
      </c>
      <c r="AV538" s="17">
        <f t="shared" si="96"/>
        <v>1</v>
      </c>
      <c r="AW538" s="50" t="str">
        <f>"{s_taskKillNpc, {"&amp;L538&amp;","&amp;N538&amp;","&amp;S538&amp;","&amp;U538&amp;"}}"</f>
        <v>{s_taskKillNpc, {60164,60164,10036,20}}</v>
      </c>
    </row>
    <row r="539" spans="1:49" s="78" customFormat="1" ht="84.75" thickBot="1" x14ac:dyDescent="0.2">
      <c r="A539" s="349">
        <v>4391</v>
      </c>
      <c r="B539" s="78">
        <v>1417</v>
      </c>
      <c r="C539" s="78" t="s">
        <v>1994</v>
      </c>
      <c r="D539" s="78">
        <v>1</v>
      </c>
      <c r="E539" s="78">
        <v>0</v>
      </c>
      <c r="F539" s="78">
        <v>4</v>
      </c>
      <c r="G539" s="120">
        <v>200</v>
      </c>
      <c r="H539" s="78">
        <v>200</v>
      </c>
      <c r="I539" s="17">
        <v>0</v>
      </c>
      <c r="J539" s="350">
        <v>4381</v>
      </c>
      <c r="K539" s="78">
        <v>0</v>
      </c>
      <c r="L539" s="78">
        <v>60164</v>
      </c>
      <c r="M539" s="78" t="s">
        <v>4039</v>
      </c>
      <c r="N539" s="78">
        <v>60163</v>
      </c>
      <c r="O539" s="78" t="s">
        <v>5151</v>
      </c>
      <c r="Q539" s="91"/>
      <c r="R539" s="91"/>
      <c r="S539" s="91"/>
      <c r="T539" s="91"/>
      <c r="U539" s="78">
        <v>1</v>
      </c>
      <c r="V539" s="78">
        <v>1</v>
      </c>
      <c r="W539" s="351">
        <v>20</v>
      </c>
      <c r="Z539" s="352">
        <v>7200</v>
      </c>
      <c r="AB539" s="92"/>
      <c r="AC539" s="92"/>
      <c r="AD539" s="122"/>
      <c r="AF539" s="93" t="s">
        <v>4536</v>
      </c>
      <c r="AG539" s="93" t="s">
        <v>4040</v>
      </c>
      <c r="AH539" s="93" t="s">
        <v>889</v>
      </c>
      <c r="AI539" s="93"/>
      <c r="AJ539" s="93"/>
      <c r="AL539" s="94"/>
      <c r="AM539" s="353" t="s">
        <v>3081</v>
      </c>
      <c r="AN539" s="353" t="s">
        <v>5632</v>
      </c>
      <c r="AP539" s="78">
        <v>1</v>
      </c>
      <c r="AQ539" s="78">
        <v>0</v>
      </c>
      <c r="AR539" s="50">
        <v>1</v>
      </c>
      <c r="AS539" s="50">
        <v>1</v>
      </c>
      <c r="AU539" s="226">
        <v>0</v>
      </c>
      <c r="AV539" s="17">
        <f t="shared" si="96"/>
        <v>1</v>
      </c>
      <c r="AW539" s="78" t="str">
        <f>"{s_taskTalk,{"&amp;L539&amp;","&amp;N539&amp;"}}"</f>
        <v>{s_taskTalk,{60164,60163}}</v>
      </c>
    </row>
    <row r="540" spans="1:49" s="242" customFormat="1" ht="84" x14ac:dyDescent="0.15">
      <c r="A540" s="354">
        <v>4401</v>
      </c>
      <c r="B540" s="242">
        <v>1418</v>
      </c>
      <c r="C540" s="242" t="s">
        <v>1995</v>
      </c>
      <c r="D540" s="242">
        <v>1</v>
      </c>
      <c r="E540" s="242">
        <v>0</v>
      </c>
      <c r="F540" s="242">
        <v>4</v>
      </c>
      <c r="G540" s="120">
        <v>200</v>
      </c>
      <c r="H540" s="242">
        <v>200</v>
      </c>
      <c r="I540" s="17">
        <v>0</v>
      </c>
      <c r="J540" s="243">
        <v>4391</v>
      </c>
      <c r="K540" s="242">
        <v>0</v>
      </c>
      <c r="L540" s="242">
        <v>60163</v>
      </c>
      <c r="M540" s="242" t="s">
        <v>189</v>
      </c>
      <c r="N540" s="242">
        <v>60166</v>
      </c>
      <c r="O540" s="242" t="s">
        <v>1358</v>
      </c>
      <c r="P540" s="127"/>
      <c r="Q540" s="244">
        <v>60144</v>
      </c>
      <c r="R540" s="244"/>
      <c r="S540" s="244">
        <v>60144</v>
      </c>
      <c r="T540" s="244"/>
      <c r="U540" s="242">
        <v>5</v>
      </c>
      <c r="V540" s="242">
        <v>0</v>
      </c>
      <c r="W540" s="344">
        <v>20</v>
      </c>
      <c r="Z540" s="245">
        <v>7200</v>
      </c>
      <c r="AB540" s="246"/>
      <c r="AC540" s="246"/>
      <c r="AD540" s="122" t="s">
        <v>3956</v>
      </c>
      <c r="AF540" s="248" t="s">
        <v>1744</v>
      </c>
      <c r="AG540" s="248" t="s">
        <v>1359</v>
      </c>
      <c r="AH540" s="248" t="s">
        <v>1360</v>
      </c>
      <c r="AI540" s="248" t="s">
        <v>1361</v>
      </c>
      <c r="AJ540" s="248"/>
      <c r="AL540" s="249">
        <v>0</v>
      </c>
      <c r="AM540" s="242" t="s">
        <v>3082</v>
      </c>
      <c r="AN540" s="242" t="s">
        <v>5633</v>
      </c>
      <c r="AO540" s="242" t="s">
        <v>65</v>
      </c>
      <c r="AP540" s="242">
        <v>1</v>
      </c>
      <c r="AQ540" s="242">
        <v>0</v>
      </c>
      <c r="AR540" s="50">
        <v>1</v>
      </c>
      <c r="AS540" s="50">
        <v>1</v>
      </c>
      <c r="AU540" s="226">
        <v>0</v>
      </c>
      <c r="AV540" s="17">
        <f t="shared" si="96"/>
        <v>1</v>
      </c>
      <c r="AW540" s="50" t="str">
        <f>"{s_taskTalk,{"&amp;L540&amp;","&amp;N540&amp;"}}"</f>
        <v>{s_taskTalk,{60163,60166}}</v>
      </c>
    </row>
    <row r="541" spans="1:49" s="147" customFormat="1" ht="144" x14ac:dyDescent="0.15">
      <c r="A541" s="323">
        <v>4411</v>
      </c>
      <c r="C541" s="147" t="s">
        <v>1996</v>
      </c>
      <c r="D541" s="147">
        <v>1</v>
      </c>
      <c r="E541" s="147">
        <v>0</v>
      </c>
      <c r="F541" s="147">
        <v>3</v>
      </c>
      <c r="G541" s="120">
        <v>200</v>
      </c>
      <c r="H541" s="147">
        <v>200</v>
      </c>
      <c r="I541" s="17">
        <v>0</v>
      </c>
      <c r="J541" s="53">
        <v>4401</v>
      </c>
      <c r="K541" s="147">
        <v>0</v>
      </c>
      <c r="L541" s="147">
        <v>60166</v>
      </c>
      <c r="M541" s="147" t="s">
        <v>1358</v>
      </c>
      <c r="N541" s="147">
        <v>60171</v>
      </c>
      <c r="O541" s="147" t="s">
        <v>5161</v>
      </c>
      <c r="Q541" s="140"/>
      <c r="R541" s="140"/>
      <c r="S541" s="140"/>
      <c r="T541" s="140"/>
      <c r="U541" s="147">
        <v>1</v>
      </c>
      <c r="V541" s="147">
        <v>0</v>
      </c>
      <c r="W541" s="355">
        <v>20</v>
      </c>
      <c r="Z541" s="142">
        <v>7200</v>
      </c>
      <c r="AB541" s="143"/>
      <c r="AC541" s="143"/>
      <c r="AF541" s="146" t="s">
        <v>1745</v>
      </c>
      <c r="AG541" s="146" t="s">
        <v>1362</v>
      </c>
      <c r="AH541" s="146" t="s">
        <v>319</v>
      </c>
      <c r="AI541" s="146" t="s">
        <v>890</v>
      </c>
      <c r="AJ541" s="146"/>
      <c r="AL541" s="183">
        <v>0</v>
      </c>
      <c r="AM541" s="147" t="s">
        <v>3083</v>
      </c>
      <c r="AN541" s="147" t="s">
        <v>5634</v>
      </c>
      <c r="AP541" s="147">
        <v>1</v>
      </c>
      <c r="AQ541" s="147">
        <v>0</v>
      </c>
      <c r="AR541" s="50">
        <v>1</v>
      </c>
      <c r="AS541" s="50">
        <v>0</v>
      </c>
      <c r="AU541" s="226">
        <v>0</v>
      </c>
      <c r="AV541" s="17">
        <f t="shared" si="96"/>
        <v>1</v>
      </c>
      <c r="AW541" s="356" t="str">
        <f>"{s_taskCustom,{"&amp;L541&amp;","&amp;N541&amp;","&amp;U541&amp;","&amp;V541&amp;"}}"</f>
        <v>{s_taskCustom,{60166,60171,1,0}}</v>
      </c>
    </row>
    <row r="542" spans="1:49" s="147" customFormat="1" ht="108" x14ac:dyDescent="0.15">
      <c r="A542" s="323">
        <v>4412</v>
      </c>
      <c r="C542" s="147" t="s">
        <v>1997</v>
      </c>
      <c r="D542" s="147">
        <v>1</v>
      </c>
      <c r="E542" s="147">
        <v>0</v>
      </c>
      <c r="F542" s="147">
        <v>3</v>
      </c>
      <c r="G542" s="120">
        <v>200</v>
      </c>
      <c r="H542" s="147">
        <v>200</v>
      </c>
      <c r="I542" s="17">
        <v>0</v>
      </c>
      <c r="J542" s="53">
        <v>4411</v>
      </c>
      <c r="K542" s="147">
        <v>0</v>
      </c>
      <c r="L542" s="147">
        <v>60171</v>
      </c>
      <c r="M542" s="147" t="s">
        <v>208</v>
      </c>
      <c r="N542" s="147">
        <v>60166</v>
      </c>
      <c r="O542" s="147" t="s">
        <v>1358</v>
      </c>
      <c r="Q542" s="140"/>
      <c r="R542" s="140"/>
      <c r="S542" s="140"/>
      <c r="T542" s="140"/>
      <c r="U542" s="147">
        <v>1</v>
      </c>
      <c r="V542" s="147">
        <v>1</v>
      </c>
      <c r="W542" s="355">
        <v>20</v>
      </c>
      <c r="Z542" s="142">
        <v>15000</v>
      </c>
      <c r="AB542" s="143"/>
      <c r="AC542" s="143"/>
      <c r="AF542" s="146" t="s">
        <v>1743</v>
      </c>
      <c r="AG542" s="146" t="s">
        <v>1365</v>
      </c>
      <c r="AH542" s="146" t="s">
        <v>1364</v>
      </c>
      <c r="AI542" s="146" t="s">
        <v>1363</v>
      </c>
      <c r="AJ542" s="146"/>
      <c r="AL542" s="183">
        <v>0</v>
      </c>
      <c r="AM542" s="147" t="s">
        <v>3084</v>
      </c>
      <c r="AN542" s="147" t="s">
        <v>5635</v>
      </c>
      <c r="AP542" s="147">
        <v>1</v>
      </c>
      <c r="AQ542" s="147">
        <v>0</v>
      </c>
      <c r="AR542" s="50">
        <v>1</v>
      </c>
      <c r="AS542" s="50">
        <v>0</v>
      </c>
      <c r="AU542" s="226">
        <v>0</v>
      </c>
      <c r="AV542" s="17">
        <f t="shared" si="96"/>
        <v>1</v>
      </c>
      <c r="AW542" s="356" t="str">
        <f>"{s_taskCustom,{"&amp;L542&amp;","&amp;N542&amp;","&amp;U542&amp;","&amp;V542&amp;"}}"</f>
        <v>{s_taskCustom,{60171,60166,1,1}}</v>
      </c>
    </row>
    <row r="543" spans="1:49" s="334" customFormat="1" ht="72.75" thickBot="1" x14ac:dyDescent="0.2">
      <c r="A543" s="333">
        <v>4421</v>
      </c>
      <c r="B543" s="334">
        <v>1419</v>
      </c>
      <c r="C543" s="334" t="s">
        <v>1998</v>
      </c>
      <c r="D543" s="334">
        <v>1</v>
      </c>
      <c r="E543" s="334">
        <v>0</v>
      </c>
      <c r="F543" s="334">
        <v>4</v>
      </c>
      <c r="G543" s="120">
        <v>200</v>
      </c>
      <c r="H543" s="334">
        <v>200</v>
      </c>
      <c r="I543" s="17">
        <v>0</v>
      </c>
      <c r="J543" s="335">
        <v>4412</v>
      </c>
      <c r="K543" s="334">
        <v>0</v>
      </c>
      <c r="L543" s="147">
        <v>60166</v>
      </c>
      <c r="M543" s="147" t="s">
        <v>1358</v>
      </c>
      <c r="N543" s="147">
        <v>60036</v>
      </c>
      <c r="O543" s="147" t="s">
        <v>5162</v>
      </c>
      <c r="Q543" s="336"/>
      <c r="R543" s="336"/>
      <c r="S543" s="336"/>
      <c r="T543" s="336"/>
      <c r="U543" s="334">
        <v>1</v>
      </c>
      <c r="V543" s="334">
        <v>1</v>
      </c>
      <c r="W543" s="355">
        <v>20</v>
      </c>
      <c r="Z543" s="337">
        <v>20000</v>
      </c>
      <c r="AB543" s="338"/>
      <c r="AC543" s="338"/>
      <c r="AF543" s="339" t="s">
        <v>891</v>
      </c>
      <c r="AG543" s="339" t="s">
        <v>1366</v>
      </c>
      <c r="AH543" s="339" t="s">
        <v>4537</v>
      </c>
      <c r="AI543" s="339"/>
      <c r="AJ543" s="339"/>
      <c r="AL543" s="340">
        <v>0</v>
      </c>
      <c r="AM543" s="334" t="s">
        <v>6117</v>
      </c>
      <c r="AN543" s="334" t="s">
        <v>5636</v>
      </c>
      <c r="AP543" s="334">
        <v>1</v>
      </c>
      <c r="AQ543" s="334">
        <v>0</v>
      </c>
      <c r="AR543" s="50">
        <v>1</v>
      </c>
      <c r="AS543" s="50">
        <v>0</v>
      </c>
      <c r="AU543" s="226">
        <v>0</v>
      </c>
      <c r="AV543" s="17">
        <f t="shared" si="96"/>
        <v>1</v>
      </c>
      <c r="AW543" s="50" t="str">
        <f>"{s_taskTalk,{"&amp;L543&amp;","&amp;N543&amp;"}}"</f>
        <v>{s_taskTalk,{60166,60036}}</v>
      </c>
    </row>
    <row r="544" spans="1:49" s="50" customFormat="1" ht="108" x14ac:dyDescent="0.15">
      <c r="A544" s="200">
        <v>4431</v>
      </c>
      <c r="B544" s="50">
        <v>1420</v>
      </c>
      <c r="C544" s="50" t="s">
        <v>1999</v>
      </c>
      <c r="D544" s="50">
        <v>1</v>
      </c>
      <c r="E544" s="50">
        <v>0</v>
      </c>
      <c r="F544" s="50">
        <v>4</v>
      </c>
      <c r="G544" s="120">
        <v>200</v>
      </c>
      <c r="H544" s="50">
        <v>200</v>
      </c>
      <c r="I544" s="17">
        <v>0</v>
      </c>
      <c r="J544" s="201">
        <v>4421</v>
      </c>
      <c r="K544" s="50">
        <v>0</v>
      </c>
      <c r="L544" s="50">
        <v>60036</v>
      </c>
      <c r="M544" s="50" t="s">
        <v>195</v>
      </c>
      <c r="N544" s="50">
        <v>60165</v>
      </c>
      <c r="O544" s="50" t="s">
        <v>209</v>
      </c>
      <c r="Q544" s="121"/>
      <c r="R544" s="121"/>
      <c r="S544" s="121"/>
      <c r="T544" s="121"/>
      <c r="U544" s="50">
        <v>1</v>
      </c>
      <c r="V544" s="50">
        <v>1</v>
      </c>
      <c r="W544" s="344">
        <v>20</v>
      </c>
      <c r="Z544" s="123">
        <v>15000</v>
      </c>
      <c r="AB544" s="124"/>
      <c r="AC544" s="124"/>
      <c r="AF544" s="126" t="s">
        <v>4538</v>
      </c>
      <c r="AG544" s="126" t="s">
        <v>4539</v>
      </c>
      <c r="AH544" s="126" t="s">
        <v>892</v>
      </c>
      <c r="AI544" s="126"/>
      <c r="AJ544" s="126"/>
      <c r="AL544" s="120">
        <v>0</v>
      </c>
      <c r="AM544" s="127" t="s">
        <v>6118</v>
      </c>
      <c r="AN544" s="127" t="s">
        <v>5637</v>
      </c>
      <c r="AP544" s="50">
        <v>1</v>
      </c>
      <c r="AQ544" s="50">
        <v>0</v>
      </c>
      <c r="AR544" s="50">
        <v>1</v>
      </c>
      <c r="AS544" s="50">
        <v>1</v>
      </c>
      <c r="AU544" s="226">
        <v>0</v>
      </c>
      <c r="AV544" s="17">
        <f t="shared" si="96"/>
        <v>1</v>
      </c>
      <c r="AW544" s="50" t="str">
        <f>"{s_taskTalk,{"&amp;L544&amp;","&amp;N544&amp;"}}"</f>
        <v>{s_taskTalk,{60036,60165}}</v>
      </c>
    </row>
    <row r="545" spans="1:49" s="101" customFormat="1" ht="120" x14ac:dyDescent="0.15">
      <c r="A545" s="100">
        <v>4441</v>
      </c>
      <c r="B545" s="101">
        <v>1421</v>
      </c>
      <c r="C545" s="101" t="s">
        <v>2000</v>
      </c>
      <c r="D545" s="101">
        <v>1</v>
      </c>
      <c r="E545" s="101">
        <v>0</v>
      </c>
      <c r="F545" s="101">
        <v>4</v>
      </c>
      <c r="G545" s="120">
        <v>200</v>
      </c>
      <c r="H545" s="101">
        <v>200</v>
      </c>
      <c r="I545" s="17">
        <v>0</v>
      </c>
      <c r="J545" s="313">
        <v>4431</v>
      </c>
      <c r="K545" s="101">
        <v>0</v>
      </c>
      <c r="L545" s="101">
        <v>60165</v>
      </c>
      <c r="M545" s="101" t="s">
        <v>209</v>
      </c>
      <c r="N545" s="101">
        <v>60165</v>
      </c>
      <c r="O545" s="101" t="s">
        <v>209</v>
      </c>
      <c r="Q545" s="102"/>
      <c r="R545" s="102"/>
      <c r="S545" s="102">
        <v>10041</v>
      </c>
      <c r="T545" s="102"/>
      <c r="U545" s="101">
        <v>30</v>
      </c>
      <c r="V545" s="101">
        <v>0</v>
      </c>
      <c r="W545" s="357">
        <v>20</v>
      </c>
      <c r="Z545" s="104">
        <v>20000</v>
      </c>
      <c r="AB545" s="105"/>
      <c r="AC545" s="105"/>
      <c r="AF545" s="107" t="s">
        <v>1756</v>
      </c>
      <c r="AG545" s="107" t="s">
        <v>1757</v>
      </c>
      <c r="AH545" s="107" t="s">
        <v>893</v>
      </c>
      <c r="AI545" s="107" t="s">
        <v>894</v>
      </c>
      <c r="AJ545" s="107"/>
      <c r="AL545" s="108">
        <v>0</v>
      </c>
      <c r="AM545" s="82" t="s">
        <v>6153</v>
      </c>
      <c r="AN545" s="82" t="s">
        <v>5638</v>
      </c>
      <c r="AP545" s="101">
        <v>1</v>
      </c>
      <c r="AQ545" s="101">
        <v>0</v>
      </c>
      <c r="AR545" s="50">
        <v>1</v>
      </c>
      <c r="AS545" s="50">
        <v>1</v>
      </c>
      <c r="AU545" s="226">
        <v>0</v>
      </c>
      <c r="AV545" s="17">
        <f t="shared" si="96"/>
        <v>1</v>
      </c>
      <c r="AW545" s="101" t="str">
        <f>"{s_taskKillNpc, {"&amp;L545&amp;","&amp;N545&amp;","&amp;S545&amp;","&amp;U545&amp;"}}"</f>
        <v>{s_taskKillNpc, {60165,60165,10041,30}}</v>
      </c>
    </row>
    <row r="546" spans="1:49" s="101" customFormat="1" ht="120" x14ac:dyDescent="0.15">
      <c r="A546" s="100">
        <v>4439</v>
      </c>
      <c r="B546" s="101">
        <v>1421</v>
      </c>
      <c r="C546" s="101" t="s">
        <v>2000</v>
      </c>
      <c r="D546" s="101">
        <v>1</v>
      </c>
      <c r="E546" s="101">
        <v>0</v>
      </c>
      <c r="F546" s="101">
        <v>4</v>
      </c>
      <c r="G546" s="120">
        <v>200</v>
      </c>
      <c r="H546" s="101">
        <v>200</v>
      </c>
      <c r="I546" s="17">
        <v>0</v>
      </c>
      <c r="J546" s="313">
        <v>0</v>
      </c>
      <c r="K546" s="101">
        <v>0</v>
      </c>
      <c r="L546" s="101">
        <v>60165</v>
      </c>
      <c r="M546" s="101" t="s">
        <v>209</v>
      </c>
      <c r="N546" s="101">
        <v>60165</v>
      </c>
      <c r="O546" s="101" t="s">
        <v>209</v>
      </c>
      <c r="Q546" s="102"/>
      <c r="R546" s="102"/>
      <c r="S546" s="102">
        <v>10041</v>
      </c>
      <c r="T546" s="102"/>
      <c r="U546" s="101">
        <v>30</v>
      </c>
      <c r="V546" s="101">
        <v>0</v>
      </c>
      <c r="W546" s="357">
        <v>20</v>
      </c>
      <c r="Z546" s="104">
        <v>20000</v>
      </c>
      <c r="AB546" s="105"/>
      <c r="AC546" s="105"/>
      <c r="AD546" s="103" t="s">
        <v>7202</v>
      </c>
      <c r="AF546" s="107" t="s">
        <v>1756</v>
      </c>
      <c r="AG546" s="107" t="s">
        <v>1757</v>
      </c>
      <c r="AH546" s="107" t="s">
        <v>893</v>
      </c>
      <c r="AI546" s="107" t="s">
        <v>894</v>
      </c>
      <c r="AJ546" s="107"/>
      <c r="AL546" s="108">
        <v>0</v>
      </c>
      <c r="AM546" s="82" t="s">
        <v>6153</v>
      </c>
      <c r="AN546" s="82" t="s">
        <v>5638</v>
      </c>
      <c r="AP546" s="101">
        <v>0</v>
      </c>
      <c r="AQ546" s="101">
        <v>0</v>
      </c>
      <c r="AR546" s="50">
        <v>1</v>
      </c>
      <c r="AS546" s="50">
        <v>1</v>
      </c>
      <c r="AU546" s="226">
        <v>0</v>
      </c>
      <c r="AV546" s="17">
        <f t="shared" si="96"/>
        <v>1</v>
      </c>
      <c r="AW546" s="101" t="str">
        <f>"{s_taskKillNpc, {"&amp;L546&amp;","&amp;N546&amp;","&amp;S546&amp;","&amp;U546&amp;"}}"</f>
        <v>{s_taskKillNpc, {60165,60165,10041,30}}</v>
      </c>
    </row>
    <row r="547" spans="1:49" s="101" customFormat="1" ht="120" x14ac:dyDescent="0.15">
      <c r="A547" s="100">
        <v>4440</v>
      </c>
      <c r="B547" s="101">
        <v>1421</v>
      </c>
      <c r="C547" s="101" t="s">
        <v>2000</v>
      </c>
      <c r="D547" s="101">
        <v>1</v>
      </c>
      <c r="E547" s="101">
        <v>0</v>
      </c>
      <c r="F547" s="101">
        <v>4</v>
      </c>
      <c r="G547" s="120">
        <v>200</v>
      </c>
      <c r="H547" s="101">
        <v>200</v>
      </c>
      <c r="I547" s="17">
        <v>0</v>
      </c>
      <c r="J547" s="313">
        <v>0</v>
      </c>
      <c r="K547" s="101">
        <v>0</v>
      </c>
      <c r="L547" s="101">
        <v>60165</v>
      </c>
      <c r="M547" s="101" t="s">
        <v>209</v>
      </c>
      <c r="N547" s="101">
        <v>60165</v>
      </c>
      <c r="O547" s="101" t="s">
        <v>209</v>
      </c>
      <c r="Q547" s="102"/>
      <c r="R547" s="102"/>
      <c r="S547" s="102">
        <v>10041</v>
      </c>
      <c r="T547" s="102"/>
      <c r="U547" s="101">
        <v>30</v>
      </c>
      <c r="V547" s="101">
        <v>0</v>
      </c>
      <c r="W547" s="357">
        <v>20</v>
      </c>
      <c r="Z547" s="104">
        <v>20000</v>
      </c>
      <c r="AB547" s="105"/>
      <c r="AC547" s="105"/>
      <c r="AD547" s="103" t="s">
        <v>7203</v>
      </c>
      <c r="AF547" s="107" t="s">
        <v>1756</v>
      </c>
      <c r="AG547" s="107" t="s">
        <v>1757</v>
      </c>
      <c r="AH547" s="107" t="s">
        <v>893</v>
      </c>
      <c r="AI547" s="107" t="s">
        <v>894</v>
      </c>
      <c r="AJ547" s="107"/>
      <c r="AL547" s="108">
        <v>0</v>
      </c>
      <c r="AM547" s="82" t="s">
        <v>6153</v>
      </c>
      <c r="AN547" s="82" t="s">
        <v>5638</v>
      </c>
      <c r="AP547" s="101">
        <v>0</v>
      </c>
      <c r="AQ547" s="101">
        <v>0</v>
      </c>
      <c r="AR547" s="50">
        <v>1</v>
      </c>
      <c r="AS547" s="50">
        <v>1</v>
      </c>
      <c r="AU547" s="226">
        <v>0</v>
      </c>
      <c r="AV547" s="17">
        <f t="shared" si="96"/>
        <v>1</v>
      </c>
      <c r="AW547" s="101" t="str">
        <f>"{s_taskKillNpc, {"&amp;L547&amp;","&amp;N547&amp;","&amp;S547&amp;","&amp;U547&amp;"}}"</f>
        <v>{s_taskKillNpc, {60165,60165,10041,30}}</v>
      </c>
    </row>
    <row r="548" spans="1:49" s="292" customFormat="1" ht="84" x14ac:dyDescent="0.15">
      <c r="A548" s="291">
        <v>4442</v>
      </c>
      <c r="B548" s="292">
        <v>1492</v>
      </c>
      <c r="C548" s="292" t="s">
        <v>2001</v>
      </c>
      <c r="D548" s="292">
        <v>1</v>
      </c>
      <c r="E548" s="292">
        <v>0</v>
      </c>
      <c r="F548" s="292">
        <v>4</v>
      </c>
      <c r="G548" s="120">
        <v>200</v>
      </c>
      <c r="H548" s="292">
        <v>200</v>
      </c>
      <c r="I548" s="17">
        <v>0</v>
      </c>
      <c r="J548" s="293">
        <v>4441</v>
      </c>
      <c r="K548" s="292">
        <v>0</v>
      </c>
      <c r="L548" s="292">
        <v>60165</v>
      </c>
      <c r="M548" s="292" t="s">
        <v>209</v>
      </c>
      <c r="N548" s="292">
        <v>60165</v>
      </c>
      <c r="O548" s="292" t="s">
        <v>209</v>
      </c>
      <c r="Q548" s="294"/>
      <c r="R548" s="294"/>
      <c r="S548" s="294"/>
      <c r="T548" s="294"/>
      <c r="U548" s="292">
        <v>1</v>
      </c>
      <c r="V548" s="292">
        <v>0</v>
      </c>
      <c r="W548" s="344">
        <v>20</v>
      </c>
      <c r="Z548" s="123">
        <v>20000</v>
      </c>
      <c r="AB548" s="295"/>
      <c r="AC548" s="295"/>
      <c r="AF548" s="297" t="s">
        <v>895</v>
      </c>
      <c r="AG548" s="297" t="s">
        <v>521</v>
      </c>
      <c r="AH548" s="297" t="s">
        <v>269</v>
      </c>
      <c r="AI548" s="297" t="s">
        <v>896</v>
      </c>
      <c r="AJ548" s="297"/>
      <c r="AL548" s="293">
        <v>0</v>
      </c>
      <c r="AM548" s="298" t="s">
        <v>3085</v>
      </c>
      <c r="AN548" s="298" t="s">
        <v>5639</v>
      </c>
      <c r="AP548" s="50">
        <v>1</v>
      </c>
      <c r="AQ548" s="50">
        <v>0</v>
      </c>
      <c r="AR548" s="50">
        <v>1</v>
      </c>
      <c r="AS548" s="50">
        <v>0</v>
      </c>
      <c r="AU548" s="226">
        <v>0</v>
      </c>
      <c r="AV548" s="17">
        <f t="shared" si="96"/>
        <v>1</v>
      </c>
      <c r="AW548" s="50" t="str">
        <f>"{s_taskTalk,{"&amp;L548&amp;","&amp;N548&amp;"}}"</f>
        <v>{s_taskTalk,{60165,60165}}</v>
      </c>
    </row>
    <row r="549" spans="1:49" s="292" customFormat="1" ht="84" x14ac:dyDescent="0.15">
      <c r="A549" s="291">
        <v>4443</v>
      </c>
      <c r="C549" s="292" t="s">
        <v>2002</v>
      </c>
      <c r="D549" s="292">
        <v>1</v>
      </c>
      <c r="E549" s="292">
        <v>0</v>
      </c>
      <c r="F549" s="292">
        <v>4</v>
      </c>
      <c r="G549" s="120">
        <v>200</v>
      </c>
      <c r="H549" s="292">
        <v>200</v>
      </c>
      <c r="I549" s="17">
        <v>0</v>
      </c>
      <c r="J549" s="293">
        <v>4442</v>
      </c>
      <c r="K549" s="292">
        <v>0</v>
      </c>
      <c r="L549" s="292">
        <v>60165</v>
      </c>
      <c r="M549" s="292" t="s">
        <v>209</v>
      </c>
      <c r="N549" s="292">
        <v>60165</v>
      </c>
      <c r="O549" s="292" t="s">
        <v>209</v>
      </c>
      <c r="Q549" s="294"/>
      <c r="R549" s="294"/>
      <c r="S549" s="294"/>
      <c r="T549" s="294"/>
      <c r="U549" s="292">
        <v>4</v>
      </c>
      <c r="V549" s="292">
        <v>0</v>
      </c>
      <c r="W549" s="344">
        <v>20</v>
      </c>
      <c r="Z549" s="123">
        <v>30000</v>
      </c>
      <c r="AB549" s="295"/>
      <c r="AC549" s="295"/>
      <c r="AF549" s="297" t="s">
        <v>4274</v>
      </c>
      <c r="AG549" s="297" t="s">
        <v>4275</v>
      </c>
      <c r="AH549" s="297" t="s">
        <v>897</v>
      </c>
      <c r="AI549" s="297" t="s">
        <v>898</v>
      </c>
      <c r="AJ549" s="297"/>
      <c r="AL549" s="293">
        <v>0</v>
      </c>
      <c r="AM549" s="298" t="s">
        <v>3086</v>
      </c>
      <c r="AN549" s="298" t="s">
        <v>5640</v>
      </c>
      <c r="AP549" s="50">
        <v>1</v>
      </c>
      <c r="AQ549" s="50">
        <v>0</v>
      </c>
      <c r="AR549" s="50">
        <v>1</v>
      </c>
      <c r="AS549" s="50">
        <v>1</v>
      </c>
      <c r="AU549" s="226">
        <v>0</v>
      </c>
      <c r="AV549" s="17">
        <f t="shared" si="96"/>
        <v>1</v>
      </c>
      <c r="AW549" s="50" t="str">
        <f>"{s_taskTalk,{"&amp;L549&amp;","&amp;N549&amp;"}}"</f>
        <v>{s_taskTalk,{60165,60165}}</v>
      </c>
    </row>
    <row r="550" spans="1:49" s="292" customFormat="1" ht="84" x14ac:dyDescent="0.15">
      <c r="A550" s="291">
        <v>4445</v>
      </c>
      <c r="B550" s="292">
        <v>1451</v>
      </c>
      <c r="C550" s="292" t="s">
        <v>2003</v>
      </c>
      <c r="D550" s="292">
        <v>1</v>
      </c>
      <c r="E550" s="292">
        <v>0</v>
      </c>
      <c r="F550" s="292">
        <v>4</v>
      </c>
      <c r="G550" s="120">
        <v>200</v>
      </c>
      <c r="H550" s="292">
        <v>200</v>
      </c>
      <c r="I550" s="17">
        <v>0</v>
      </c>
      <c r="J550" s="293">
        <v>4443</v>
      </c>
      <c r="K550" s="292">
        <v>0</v>
      </c>
      <c r="L550" s="292">
        <v>60165</v>
      </c>
      <c r="M550" s="292" t="s">
        <v>209</v>
      </c>
      <c r="N550" s="292">
        <v>60165</v>
      </c>
      <c r="O550" s="292" t="s">
        <v>209</v>
      </c>
      <c r="Q550" s="294"/>
      <c r="R550" s="294"/>
      <c r="S550" s="294">
        <v>10037</v>
      </c>
      <c r="T550" s="294"/>
      <c r="U550" s="292">
        <v>30</v>
      </c>
      <c r="V550" s="292">
        <v>0</v>
      </c>
      <c r="W550" s="344">
        <v>20</v>
      </c>
      <c r="Z550" s="123">
        <v>40000</v>
      </c>
      <c r="AB550" s="295"/>
      <c r="AC550" s="295"/>
      <c r="AD550" s="122" t="s">
        <v>4006</v>
      </c>
      <c r="AF550" s="297" t="s">
        <v>899</v>
      </c>
      <c r="AG550" s="297" t="s">
        <v>900</v>
      </c>
      <c r="AH550" s="297" t="s">
        <v>901</v>
      </c>
      <c r="AI550" s="297" t="s">
        <v>902</v>
      </c>
      <c r="AJ550" s="297"/>
      <c r="AL550" s="293">
        <v>0</v>
      </c>
      <c r="AM550" s="298" t="s">
        <v>3087</v>
      </c>
      <c r="AN550" s="298" t="s">
        <v>5641</v>
      </c>
      <c r="AP550" s="292">
        <v>1</v>
      </c>
      <c r="AQ550" s="50">
        <v>0</v>
      </c>
      <c r="AR550" s="50">
        <v>1</v>
      </c>
      <c r="AS550" s="50">
        <v>1</v>
      </c>
      <c r="AU550" s="226">
        <v>0</v>
      </c>
      <c r="AV550" s="17">
        <f t="shared" si="96"/>
        <v>1</v>
      </c>
      <c r="AW550" s="50" t="str">
        <f>"{s_taskKillNpc, {"&amp;L550&amp;","&amp;N550&amp;","&amp;S550&amp;","&amp;U550&amp;"}}"</f>
        <v>{s_taskKillNpc, {60165,60165,10037,30}}</v>
      </c>
    </row>
    <row r="551" spans="1:49" s="50" customFormat="1" ht="96" x14ac:dyDescent="0.15">
      <c r="A551" s="200">
        <v>4451</v>
      </c>
      <c r="B551" s="50">
        <v>1452</v>
      </c>
      <c r="C551" s="50" t="s">
        <v>2004</v>
      </c>
      <c r="D551" s="50">
        <v>1</v>
      </c>
      <c r="E551" s="50">
        <v>0</v>
      </c>
      <c r="F551" s="50">
        <v>4</v>
      </c>
      <c r="G551" s="120">
        <v>200</v>
      </c>
      <c r="H551" s="50">
        <v>200</v>
      </c>
      <c r="I551" s="17">
        <v>0</v>
      </c>
      <c r="J551" s="201">
        <v>4445</v>
      </c>
      <c r="K551" s="50">
        <v>0</v>
      </c>
      <c r="L551" s="50">
        <v>60165</v>
      </c>
      <c r="M551" s="50" t="s">
        <v>209</v>
      </c>
      <c r="N551" s="50">
        <v>60165</v>
      </c>
      <c r="O551" s="50" t="s">
        <v>209</v>
      </c>
      <c r="Q551" s="121"/>
      <c r="R551" s="121"/>
      <c r="S551" s="121">
        <v>10148</v>
      </c>
      <c r="T551" s="121"/>
      <c r="U551" s="50">
        <v>1</v>
      </c>
      <c r="V551" s="50">
        <v>0</v>
      </c>
      <c r="W551" s="344">
        <v>20</v>
      </c>
      <c r="Z551" s="123">
        <v>30000</v>
      </c>
      <c r="AB551" s="124"/>
      <c r="AC551" s="124"/>
      <c r="AD551" s="122" t="s">
        <v>4003</v>
      </c>
      <c r="AF551" s="126" t="s">
        <v>903</v>
      </c>
      <c r="AG551" s="126" t="s">
        <v>904</v>
      </c>
      <c r="AH551" s="126" t="s">
        <v>905</v>
      </c>
      <c r="AI551" s="126" t="s">
        <v>906</v>
      </c>
      <c r="AJ551" s="126"/>
      <c r="AL551" s="120">
        <v>0</v>
      </c>
      <c r="AM551" s="127" t="s">
        <v>3088</v>
      </c>
      <c r="AN551" s="127" t="s">
        <v>5642</v>
      </c>
      <c r="AP551" s="50">
        <v>1</v>
      </c>
      <c r="AQ551" s="50">
        <v>0</v>
      </c>
      <c r="AR551" s="50">
        <v>1</v>
      </c>
      <c r="AS551" s="50">
        <v>1</v>
      </c>
      <c r="AU551" s="226">
        <v>0</v>
      </c>
      <c r="AV551" s="17">
        <f t="shared" si="96"/>
        <v>1</v>
      </c>
      <c r="AW551" s="50" t="str">
        <f>"{s_taskKillNpc, {"&amp;L551&amp;","&amp;N551&amp;","&amp;S551&amp;","&amp;U551&amp;"}}"</f>
        <v>{s_taskKillNpc, {60165,60165,10148,1}}</v>
      </c>
    </row>
    <row r="552" spans="1:49" s="50" customFormat="1" ht="108.75" thickBot="1" x14ac:dyDescent="0.2">
      <c r="A552" s="9">
        <v>4461</v>
      </c>
      <c r="B552" s="50">
        <v>1461</v>
      </c>
      <c r="C552" s="50" t="s">
        <v>2005</v>
      </c>
      <c r="D552" s="50">
        <v>1</v>
      </c>
      <c r="E552" s="50">
        <v>0</v>
      </c>
      <c r="F552" s="50">
        <v>4</v>
      </c>
      <c r="G552" s="120">
        <v>200</v>
      </c>
      <c r="H552" s="50">
        <v>200</v>
      </c>
      <c r="I552" s="17">
        <v>0</v>
      </c>
      <c r="J552" s="201">
        <v>4451</v>
      </c>
      <c r="K552" s="50">
        <v>0</v>
      </c>
      <c r="L552" s="50">
        <v>60165</v>
      </c>
      <c r="M552" s="50" t="s">
        <v>209</v>
      </c>
      <c r="N552" s="50">
        <v>60000</v>
      </c>
      <c r="O552" s="50" t="s">
        <v>192</v>
      </c>
      <c r="Q552" s="121"/>
      <c r="R552" s="121"/>
      <c r="S552" s="121"/>
      <c r="T552" s="121"/>
      <c r="U552" s="50">
        <v>1</v>
      </c>
      <c r="V552" s="50">
        <v>1</v>
      </c>
      <c r="W552" s="344">
        <v>20</v>
      </c>
      <c r="Z552" s="123">
        <v>25000</v>
      </c>
      <c r="AA552" s="50">
        <v>20</v>
      </c>
      <c r="AB552" s="124"/>
      <c r="AC552" s="124"/>
      <c r="AF552" s="126" t="s">
        <v>4540</v>
      </c>
      <c r="AG552" s="126" t="s">
        <v>4541</v>
      </c>
      <c r="AH552" s="126" t="s">
        <v>4276</v>
      </c>
      <c r="AI552" s="126"/>
      <c r="AJ552" s="126"/>
      <c r="AL552" s="120">
        <v>0</v>
      </c>
      <c r="AM552" s="127" t="s">
        <v>3089</v>
      </c>
      <c r="AN552" s="127" t="s">
        <v>5643</v>
      </c>
      <c r="AP552" s="50">
        <v>1</v>
      </c>
      <c r="AQ552" s="50">
        <v>0</v>
      </c>
      <c r="AR552" s="50">
        <v>1</v>
      </c>
      <c r="AS552" s="50">
        <v>1</v>
      </c>
      <c r="AU552" s="226">
        <v>0</v>
      </c>
      <c r="AV552" s="17">
        <f t="shared" si="96"/>
        <v>1</v>
      </c>
      <c r="AW552" s="50" t="str">
        <f>"{s_taskTalk,{"&amp;L552&amp;","&amp;N552&amp;"}}"</f>
        <v>{s_taskTalk,{60165,60000}}</v>
      </c>
    </row>
    <row r="553" spans="1:49" s="358" customFormat="1" ht="120.75" thickBot="1" x14ac:dyDescent="0.2">
      <c r="A553" s="167">
        <v>1471</v>
      </c>
      <c r="C553" s="358" t="s">
        <v>2006</v>
      </c>
      <c r="D553" s="358">
        <v>1</v>
      </c>
      <c r="E553" s="358">
        <v>0</v>
      </c>
      <c r="F553" s="358">
        <v>3</v>
      </c>
      <c r="G553" s="120">
        <v>200</v>
      </c>
      <c r="H553" s="358">
        <v>200</v>
      </c>
      <c r="I553" s="17">
        <v>0</v>
      </c>
      <c r="J553" s="359">
        <v>4461</v>
      </c>
      <c r="K553" s="358">
        <v>0</v>
      </c>
      <c r="L553" s="358">
        <v>60000</v>
      </c>
      <c r="M553" s="358" t="s">
        <v>192</v>
      </c>
      <c r="N553" s="358">
        <v>60072</v>
      </c>
      <c r="O553" s="358" t="s">
        <v>1136</v>
      </c>
      <c r="Q553" s="360"/>
      <c r="R553" s="360"/>
      <c r="S553" s="360"/>
      <c r="T553" s="360"/>
      <c r="U553" s="358">
        <v>1</v>
      </c>
      <c r="V553" s="358">
        <v>1</v>
      </c>
      <c r="W553" s="344">
        <v>20</v>
      </c>
      <c r="Z553" s="361">
        <v>20000</v>
      </c>
      <c r="AB553" s="362"/>
      <c r="AC553" s="362"/>
      <c r="AD553" s="122" t="s">
        <v>7204</v>
      </c>
      <c r="AF553" s="363" t="s">
        <v>4542</v>
      </c>
      <c r="AG553" s="363" t="s">
        <v>4277</v>
      </c>
      <c r="AH553" s="363" t="s">
        <v>4278</v>
      </c>
      <c r="AI553" s="363"/>
      <c r="AJ553" s="363"/>
      <c r="AL553" s="359">
        <v>0</v>
      </c>
      <c r="AM553" s="358" t="s">
        <v>3090</v>
      </c>
      <c r="AN553" s="358" t="s">
        <v>3091</v>
      </c>
      <c r="AP553" s="358">
        <v>1</v>
      </c>
      <c r="AQ553" s="358">
        <v>0</v>
      </c>
      <c r="AR553" s="50">
        <v>1</v>
      </c>
      <c r="AS553" s="50">
        <v>1</v>
      </c>
      <c r="AU553" s="226">
        <v>0</v>
      </c>
      <c r="AV553" s="17">
        <f t="shared" si="96"/>
        <v>1</v>
      </c>
      <c r="AW553" s="50" t="str">
        <f>"{s_taskTalk,{"&amp;L553&amp;","&amp;N553&amp;"}}"</f>
        <v>{s_taskTalk,{60000,60072}}</v>
      </c>
    </row>
    <row r="554" spans="1:49" s="50" customFormat="1" ht="84" x14ac:dyDescent="0.15">
      <c r="A554" s="9">
        <v>1472</v>
      </c>
      <c r="C554" s="50" t="s">
        <v>2007</v>
      </c>
      <c r="D554" s="50">
        <v>1</v>
      </c>
      <c r="E554" s="50">
        <v>0</v>
      </c>
      <c r="F554" s="50">
        <v>3</v>
      </c>
      <c r="G554" s="120">
        <v>200</v>
      </c>
      <c r="H554" s="50">
        <v>200</v>
      </c>
      <c r="I554" s="17">
        <v>0</v>
      </c>
      <c r="J554" s="120">
        <v>1471</v>
      </c>
      <c r="K554" s="50">
        <v>0</v>
      </c>
      <c r="L554" s="50">
        <v>60072</v>
      </c>
      <c r="M554" s="50" t="s">
        <v>210</v>
      </c>
      <c r="N554" s="50">
        <v>60073</v>
      </c>
      <c r="O554" s="50" t="s">
        <v>211</v>
      </c>
      <c r="Q554" s="121"/>
      <c r="R554" s="121"/>
      <c r="S554" s="121"/>
      <c r="T554" s="121"/>
      <c r="U554" s="50">
        <v>1</v>
      </c>
      <c r="V554" s="50">
        <v>1</v>
      </c>
      <c r="W554" s="344">
        <v>20</v>
      </c>
      <c r="Z554" s="123">
        <v>20000</v>
      </c>
      <c r="AB554" s="125"/>
      <c r="AC554" s="124"/>
      <c r="AF554" s="126" t="s">
        <v>907</v>
      </c>
      <c r="AG554" s="126" t="s">
        <v>908</v>
      </c>
      <c r="AH554" s="126" t="s">
        <v>648</v>
      </c>
      <c r="AI554" s="126"/>
      <c r="AJ554" s="126"/>
      <c r="AL554" s="120">
        <v>0</v>
      </c>
      <c r="AM554" s="127" t="s">
        <v>6119</v>
      </c>
      <c r="AN554" s="127" t="s">
        <v>3092</v>
      </c>
      <c r="AP554" s="50">
        <v>1</v>
      </c>
      <c r="AQ554" s="50">
        <v>0</v>
      </c>
      <c r="AR554" s="50">
        <v>1</v>
      </c>
      <c r="AS554" s="50">
        <v>1</v>
      </c>
      <c r="AU554" s="226">
        <v>0</v>
      </c>
      <c r="AV554" s="17">
        <f t="shared" si="96"/>
        <v>1</v>
      </c>
      <c r="AW554" s="50" t="str">
        <f>"{s_taskTalk,{"&amp;L554&amp;","&amp;N554&amp;"}}"</f>
        <v>{s_taskTalk,{60072,60073}}</v>
      </c>
    </row>
    <row r="555" spans="1:49" s="50" customFormat="1" ht="120" x14ac:dyDescent="0.15">
      <c r="A555" s="9">
        <v>1481</v>
      </c>
      <c r="C555" s="50" t="s">
        <v>2008</v>
      </c>
      <c r="D555" s="50">
        <v>1</v>
      </c>
      <c r="E555" s="50">
        <v>0</v>
      </c>
      <c r="F555" s="50">
        <v>3</v>
      </c>
      <c r="G555" s="120">
        <v>200</v>
      </c>
      <c r="H555" s="50">
        <v>200</v>
      </c>
      <c r="I555" s="17">
        <v>0</v>
      </c>
      <c r="J555" s="120">
        <v>1472</v>
      </c>
      <c r="K555" s="50">
        <v>0</v>
      </c>
      <c r="L555" s="50">
        <v>60073</v>
      </c>
      <c r="M555" s="50" t="s">
        <v>211</v>
      </c>
      <c r="N555" s="50">
        <v>60073</v>
      </c>
      <c r="O555" s="50" t="s">
        <v>211</v>
      </c>
      <c r="Q555" s="121"/>
      <c r="R555" s="121"/>
      <c r="S555" s="121">
        <v>10057</v>
      </c>
      <c r="T555" s="121"/>
      <c r="U555" s="50">
        <v>35</v>
      </c>
      <c r="V555" s="50">
        <v>0</v>
      </c>
      <c r="W555" s="344">
        <v>20</v>
      </c>
      <c r="Z555" s="123">
        <v>23000</v>
      </c>
      <c r="AB555" s="124"/>
      <c r="AC555" s="124"/>
      <c r="AD555" s="122" t="s">
        <v>3983</v>
      </c>
      <c r="AF555" s="126" t="s">
        <v>4280</v>
      </c>
      <c r="AG555" s="126" t="s">
        <v>4281</v>
      </c>
      <c r="AH555" s="126" t="s">
        <v>909</v>
      </c>
      <c r="AI555" s="126" t="s">
        <v>910</v>
      </c>
      <c r="AJ555" s="126"/>
      <c r="AL555" s="120">
        <v>0</v>
      </c>
      <c r="AM555" s="127" t="s">
        <v>3093</v>
      </c>
      <c r="AN555" s="127" t="s">
        <v>5644</v>
      </c>
      <c r="AP555" s="50">
        <v>1</v>
      </c>
      <c r="AQ555" s="50">
        <v>0</v>
      </c>
      <c r="AR555" s="50">
        <v>1</v>
      </c>
      <c r="AS555" s="50">
        <v>1</v>
      </c>
      <c r="AU555" s="226">
        <v>0</v>
      </c>
      <c r="AV555" s="17">
        <f t="shared" si="96"/>
        <v>1</v>
      </c>
      <c r="AW555" s="50" t="str">
        <f>"{s_taskKillNpc, {"&amp;L555&amp;","&amp;N555&amp;","&amp;S555&amp;","&amp;U555&amp;"}}"</f>
        <v>{s_taskKillNpc, {60073,60073,10057,35}}</v>
      </c>
    </row>
    <row r="556" spans="1:49" s="50" customFormat="1" ht="72" x14ac:dyDescent="0.15">
      <c r="A556" s="9">
        <v>1485</v>
      </c>
      <c r="C556" s="50" t="s">
        <v>2009</v>
      </c>
      <c r="D556" s="50">
        <v>1</v>
      </c>
      <c r="E556" s="50">
        <v>0</v>
      </c>
      <c r="F556" s="50">
        <v>3</v>
      </c>
      <c r="G556" s="120">
        <v>200</v>
      </c>
      <c r="H556" s="50">
        <v>200</v>
      </c>
      <c r="I556" s="17">
        <v>0</v>
      </c>
      <c r="J556" s="120">
        <v>1481</v>
      </c>
      <c r="K556" s="50">
        <v>0</v>
      </c>
      <c r="L556" s="50">
        <v>60073</v>
      </c>
      <c r="M556" s="50" t="s">
        <v>211</v>
      </c>
      <c r="N556" s="50">
        <v>60073</v>
      </c>
      <c r="O556" s="50" t="s">
        <v>211</v>
      </c>
      <c r="Q556" s="121"/>
      <c r="R556" s="121"/>
      <c r="S556" s="121">
        <v>10137</v>
      </c>
      <c r="T556" s="121"/>
      <c r="U556" s="50">
        <v>1</v>
      </c>
      <c r="V556" s="50">
        <v>0</v>
      </c>
      <c r="W556" s="344">
        <v>20</v>
      </c>
      <c r="Z556" s="123">
        <v>41000</v>
      </c>
      <c r="AB556" s="124"/>
      <c r="AC556" s="124"/>
      <c r="AD556" s="122" t="s">
        <v>2982</v>
      </c>
      <c r="AF556" s="126" t="s">
        <v>1746</v>
      </c>
      <c r="AG556" s="126" t="s">
        <v>911</v>
      </c>
      <c r="AH556" s="126" t="s">
        <v>912</v>
      </c>
      <c r="AI556" s="126" t="s">
        <v>913</v>
      </c>
      <c r="AJ556" s="126"/>
      <c r="AL556" s="120">
        <v>0</v>
      </c>
      <c r="AM556" s="127" t="s">
        <v>3094</v>
      </c>
      <c r="AN556" s="127" t="s">
        <v>5645</v>
      </c>
      <c r="AP556" s="50">
        <v>1</v>
      </c>
      <c r="AQ556" s="50">
        <v>0</v>
      </c>
      <c r="AR556" s="50">
        <v>1</v>
      </c>
      <c r="AS556" s="50">
        <v>1</v>
      </c>
      <c r="AU556" s="226">
        <v>0</v>
      </c>
      <c r="AV556" s="17">
        <f t="shared" si="96"/>
        <v>1</v>
      </c>
      <c r="AW556" s="50" t="str">
        <f>"{s_taskKillNpc, {"&amp;L556&amp;","&amp;N556&amp;","&amp;S556&amp;","&amp;U556&amp;"}}"</f>
        <v>{s_taskKillNpc, {60073,60073,10137,1}}</v>
      </c>
    </row>
    <row r="557" spans="1:49" s="50" customFormat="1" ht="108" x14ac:dyDescent="0.15">
      <c r="A557" s="9">
        <v>1482</v>
      </c>
      <c r="C557" s="50" t="s">
        <v>2010</v>
      </c>
      <c r="D557" s="50">
        <v>1</v>
      </c>
      <c r="E557" s="50">
        <v>0</v>
      </c>
      <c r="F557" s="50">
        <v>3</v>
      </c>
      <c r="G557" s="120">
        <v>200</v>
      </c>
      <c r="H557" s="50">
        <v>200</v>
      </c>
      <c r="I557" s="17">
        <v>0</v>
      </c>
      <c r="J557" s="120">
        <v>1485</v>
      </c>
      <c r="K557" s="50">
        <v>0</v>
      </c>
      <c r="L557" s="50">
        <v>60073</v>
      </c>
      <c r="M557" s="50" t="s">
        <v>211</v>
      </c>
      <c r="N557" s="50">
        <v>60074</v>
      </c>
      <c r="O557" s="50" t="s">
        <v>212</v>
      </c>
      <c r="Q557" s="121"/>
      <c r="R557" s="121"/>
      <c r="S557" s="121"/>
      <c r="T557" s="121"/>
      <c r="U557" s="50">
        <v>1</v>
      </c>
      <c r="V557" s="50">
        <v>1</v>
      </c>
      <c r="W557" s="344">
        <v>20</v>
      </c>
      <c r="Z557" s="123">
        <v>25000</v>
      </c>
      <c r="AB557" s="124"/>
      <c r="AC557" s="124"/>
      <c r="AF557" s="126" t="s">
        <v>914</v>
      </c>
      <c r="AG557" s="126" t="s">
        <v>915</v>
      </c>
      <c r="AH557" s="126" t="s">
        <v>916</v>
      </c>
      <c r="AI557" s="126"/>
      <c r="AJ557" s="126"/>
      <c r="AL557" s="120">
        <v>0</v>
      </c>
      <c r="AM557" s="127" t="s">
        <v>3095</v>
      </c>
      <c r="AN557" s="127" t="s">
        <v>5646</v>
      </c>
      <c r="AP557" s="50">
        <v>1</v>
      </c>
      <c r="AQ557" s="50">
        <v>0</v>
      </c>
      <c r="AR557" s="50">
        <v>1</v>
      </c>
      <c r="AS557" s="50">
        <v>1</v>
      </c>
      <c r="AU557" s="226">
        <v>0</v>
      </c>
      <c r="AV557" s="17">
        <f t="shared" si="96"/>
        <v>1</v>
      </c>
      <c r="AW557" s="50" t="str">
        <f>"{s_taskTalk,{"&amp;L557&amp;","&amp;N557&amp;"}}"</f>
        <v>{s_taskTalk,{60073,60074}}</v>
      </c>
    </row>
    <row r="558" spans="1:49" s="50" customFormat="1" ht="120" x14ac:dyDescent="0.15">
      <c r="A558" s="9">
        <v>1483</v>
      </c>
      <c r="C558" s="50" t="s">
        <v>2011</v>
      </c>
      <c r="D558" s="50">
        <v>1</v>
      </c>
      <c r="E558" s="50">
        <v>0</v>
      </c>
      <c r="F558" s="50">
        <v>3</v>
      </c>
      <c r="G558" s="120">
        <v>200</v>
      </c>
      <c r="H558" s="50">
        <v>200</v>
      </c>
      <c r="I558" s="17">
        <v>0</v>
      </c>
      <c r="J558" s="120">
        <v>1482</v>
      </c>
      <c r="K558" s="50">
        <v>0</v>
      </c>
      <c r="L558" s="50">
        <v>60074</v>
      </c>
      <c r="M558" s="50" t="s">
        <v>212</v>
      </c>
      <c r="N558" s="50">
        <v>60073</v>
      </c>
      <c r="O558" s="50" t="s">
        <v>211</v>
      </c>
      <c r="Q558" s="121">
        <v>60083</v>
      </c>
      <c r="R558" s="121"/>
      <c r="S558" s="121"/>
      <c r="T558" s="121"/>
      <c r="U558" s="50">
        <v>3</v>
      </c>
      <c r="V558" s="50">
        <v>0</v>
      </c>
      <c r="W558" s="344">
        <v>20</v>
      </c>
      <c r="Z558" s="123">
        <v>30000</v>
      </c>
      <c r="AB558" s="124"/>
      <c r="AC558" s="124">
        <v>300</v>
      </c>
      <c r="AF558" s="126" t="s">
        <v>3931</v>
      </c>
      <c r="AG558" s="126" t="s">
        <v>917</v>
      </c>
      <c r="AH558" s="126" t="s">
        <v>918</v>
      </c>
      <c r="AI558" s="126" t="s">
        <v>919</v>
      </c>
      <c r="AJ558" s="126"/>
      <c r="AL558" s="120">
        <v>0</v>
      </c>
      <c r="AM558" s="127" t="s">
        <v>6136</v>
      </c>
      <c r="AN558" s="127" t="s">
        <v>5647</v>
      </c>
      <c r="AO558" s="50" t="s">
        <v>3932</v>
      </c>
      <c r="AP558" s="50">
        <v>1</v>
      </c>
      <c r="AQ558" s="50">
        <v>0</v>
      </c>
      <c r="AR558" s="50">
        <v>1</v>
      </c>
      <c r="AS558" s="50">
        <v>1</v>
      </c>
      <c r="AU558" s="226">
        <v>0</v>
      </c>
      <c r="AV558" s="17">
        <f t="shared" si="96"/>
        <v>1</v>
      </c>
      <c r="AW558" s="50" t="str">
        <f>"{s_taskTalk,{"&amp;L558&amp;","&amp;N558&amp;"}}"</f>
        <v>{s_taskTalk,{60074,60073}}</v>
      </c>
    </row>
    <row r="559" spans="1:49" s="50" customFormat="1" ht="132" x14ac:dyDescent="0.15">
      <c r="A559" s="9">
        <v>1484</v>
      </c>
      <c r="C559" s="50" t="s">
        <v>2012</v>
      </c>
      <c r="D559" s="50">
        <v>1</v>
      </c>
      <c r="E559" s="50">
        <v>0</v>
      </c>
      <c r="F559" s="50">
        <v>3</v>
      </c>
      <c r="G559" s="120">
        <v>200</v>
      </c>
      <c r="H559" s="50">
        <v>200</v>
      </c>
      <c r="I559" s="17">
        <v>0</v>
      </c>
      <c r="J559" s="120">
        <v>1483</v>
      </c>
      <c r="K559" s="50">
        <v>0</v>
      </c>
      <c r="L559" s="50">
        <v>60073</v>
      </c>
      <c r="M559" s="50" t="s">
        <v>211</v>
      </c>
      <c r="N559" s="50">
        <v>60148</v>
      </c>
      <c r="O559" s="50" t="s">
        <v>213</v>
      </c>
      <c r="Q559" s="121"/>
      <c r="R559" s="121"/>
      <c r="S559" s="121"/>
      <c r="T559" s="121"/>
      <c r="U559" s="50">
        <v>1</v>
      </c>
      <c r="V559" s="50">
        <v>1</v>
      </c>
      <c r="W559" s="344">
        <v>20</v>
      </c>
      <c r="Z559" s="123">
        <v>25000</v>
      </c>
      <c r="AB559" s="124"/>
      <c r="AC559" s="124"/>
      <c r="AF559" s="126" t="s">
        <v>920</v>
      </c>
      <c r="AG559" s="126" t="s">
        <v>921</v>
      </c>
      <c r="AH559" s="126" t="s">
        <v>922</v>
      </c>
      <c r="AI559" s="126"/>
      <c r="AJ559" s="126"/>
      <c r="AL559" s="120">
        <v>0</v>
      </c>
      <c r="AM559" s="127" t="s">
        <v>3096</v>
      </c>
      <c r="AN559" s="127" t="s">
        <v>5648</v>
      </c>
      <c r="AP559" s="50">
        <v>1</v>
      </c>
      <c r="AQ559" s="50">
        <v>0</v>
      </c>
      <c r="AR559" s="50">
        <v>1</v>
      </c>
      <c r="AS559" s="50">
        <v>1</v>
      </c>
      <c r="AU559" s="226">
        <v>0</v>
      </c>
      <c r="AV559" s="17">
        <f t="shared" si="96"/>
        <v>1</v>
      </c>
      <c r="AW559" s="50" t="str">
        <f>"{s_taskTalk,{"&amp;L559&amp;","&amp;N559&amp;"}}"</f>
        <v>{s_taskTalk,{60073,60148}}</v>
      </c>
    </row>
    <row r="560" spans="1:49" s="50" customFormat="1" ht="108" x14ac:dyDescent="0.15">
      <c r="A560" s="9">
        <v>1491</v>
      </c>
      <c r="C560" s="50" t="s">
        <v>4011</v>
      </c>
      <c r="D560" s="50">
        <v>1</v>
      </c>
      <c r="E560" s="50">
        <v>0</v>
      </c>
      <c r="F560" s="50">
        <v>3</v>
      </c>
      <c r="G560" s="120">
        <v>200</v>
      </c>
      <c r="H560" s="50">
        <v>200</v>
      </c>
      <c r="I560" s="17">
        <v>0</v>
      </c>
      <c r="J560" s="120">
        <v>1484</v>
      </c>
      <c r="K560" s="50">
        <v>0</v>
      </c>
      <c r="L560" s="50">
        <v>60148</v>
      </c>
      <c r="M560" s="50" t="s">
        <v>213</v>
      </c>
      <c r="N560" s="50">
        <v>60148</v>
      </c>
      <c r="O560" s="50" t="s">
        <v>213</v>
      </c>
      <c r="Q560" s="121"/>
      <c r="R560" s="121"/>
      <c r="S560" s="121">
        <v>10058</v>
      </c>
      <c r="T560" s="121"/>
      <c r="U560" s="50">
        <v>35</v>
      </c>
      <c r="V560" s="50">
        <v>0</v>
      </c>
      <c r="W560" s="344">
        <v>20</v>
      </c>
      <c r="Z560" s="123">
        <v>25000</v>
      </c>
      <c r="AB560" s="124"/>
      <c r="AC560" s="124"/>
      <c r="AF560" s="126" t="s">
        <v>923</v>
      </c>
      <c r="AG560" s="126" t="s">
        <v>924</v>
      </c>
      <c r="AH560" s="126" t="s">
        <v>4018</v>
      </c>
      <c r="AI560" s="126" t="s">
        <v>925</v>
      </c>
      <c r="AJ560" s="126"/>
      <c r="AL560" s="120">
        <v>0</v>
      </c>
      <c r="AM560" s="127" t="s">
        <v>3097</v>
      </c>
      <c r="AN560" s="127" t="s">
        <v>5649</v>
      </c>
      <c r="AP560" s="50">
        <v>1</v>
      </c>
      <c r="AQ560" s="50">
        <v>0</v>
      </c>
      <c r="AR560" s="50">
        <v>1</v>
      </c>
      <c r="AS560" s="50">
        <v>1</v>
      </c>
      <c r="AU560" s="226">
        <v>0</v>
      </c>
      <c r="AV560" s="17">
        <f t="shared" si="96"/>
        <v>1</v>
      </c>
      <c r="AW560" s="50" t="str">
        <f>"{s_taskKillNpc, {"&amp;L560&amp;","&amp;N560&amp;","&amp;S560&amp;","&amp;U560&amp;"}}"</f>
        <v>{s_taskKillNpc, {60148,60148,10058,35}}</v>
      </c>
    </row>
    <row r="561" spans="1:49" s="50" customFormat="1" ht="84" x14ac:dyDescent="0.15">
      <c r="A561" s="9">
        <v>1492</v>
      </c>
      <c r="C561" s="50" t="s">
        <v>2013</v>
      </c>
      <c r="D561" s="50">
        <v>1</v>
      </c>
      <c r="E561" s="50">
        <v>0</v>
      </c>
      <c r="F561" s="50">
        <v>3</v>
      </c>
      <c r="G561" s="120">
        <v>200</v>
      </c>
      <c r="H561" s="50">
        <v>200</v>
      </c>
      <c r="I561" s="17">
        <v>0</v>
      </c>
      <c r="J561" s="120">
        <v>1491</v>
      </c>
      <c r="K561" s="50">
        <v>0</v>
      </c>
      <c r="L561" s="50">
        <v>60148</v>
      </c>
      <c r="M561" s="50" t="s">
        <v>213</v>
      </c>
      <c r="N561" s="50">
        <v>60148</v>
      </c>
      <c r="O561" s="50" t="s">
        <v>213</v>
      </c>
      <c r="Q561" s="121"/>
      <c r="R561" s="121"/>
      <c r="S561" s="121"/>
      <c r="T561" s="121"/>
      <c r="U561" s="50">
        <v>1</v>
      </c>
      <c r="V561" s="50">
        <v>0</v>
      </c>
      <c r="W561" s="344">
        <v>20</v>
      </c>
      <c r="Z561" s="123">
        <v>19000</v>
      </c>
      <c r="AB561" s="124"/>
      <c r="AC561" s="124"/>
      <c r="AF561" s="126" t="s">
        <v>926</v>
      </c>
      <c r="AG561" s="126" t="s">
        <v>521</v>
      </c>
      <c r="AH561" s="126" t="s">
        <v>927</v>
      </c>
      <c r="AI561" s="126" t="s">
        <v>896</v>
      </c>
      <c r="AJ561" s="126"/>
      <c r="AL561" s="120">
        <v>0</v>
      </c>
      <c r="AM561" s="127" t="s">
        <v>3098</v>
      </c>
      <c r="AN561" s="127" t="s">
        <v>5650</v>
      </c>
      <c r="AP561" s="50">
        <v>1</v>
      </c>
      <c r="AQ561" s="50">
        <v>0</v>
      </c>
      <c r="AR561" s="50">
        <v>1</v>
      </c>
      <c r="AS561" s="50">
        <v>0</v>
      </c>
      <c r="AU561" s="226">
        <v>0</v>
      </c>
      <c r="AV561" s="17">
        <f t="shared" si="96"/>
        <v>1</v>
      </c>
      <c r="AW561" s="50" t="str">
        <f>"{s_taskTalk,{"&amp;L561&amp;","&amp;N561&amp;"}}"</f>
        <v>{s_taskTalk,{60148,60148}}</v>
      </c>
    </row>
    <row r="562" spans="1:49" s="50" customFormat="1" ht="96" x14ac:dyDescent="0.15">
      <c r="A562" s="9">
        <v>1499</v>
      </c>
      <c r="C562" s="50" t="s">
        <v>2014</v>
      </c>
      <c r="D562" s="50">
        <v>1</v>
      </c>
      <c r="E562" s="50">
        <v>0</v>
      </c>
      <c r="F562" s="50">
        <v>3</v>
      </c>
      <c r="G562" s="120">
        <v>200</v>
      </c>
      <c r="H562" s="50">
        <v>200</v>
      </c>
      <c r="I562" s="17">
        <v>0</v>
      </c>
      <c r="J562" s="120">
        <v>1492</v>
      </c>
      <c r="K562" s="50">
        <v>0</v>
      </c>
      <c r="L562" s="50">
        <v>60148</v>
      </c>
      <c r="M562" s="50" t="s">
        <v>213</v>
      </c>
      <c r="N562" s="50">
        <v>60075</v>
      </c>
      <c r="O562" s="50" t="s">
        <v>649</v>
      </c>
      <c r="Q562" s="121"/>
      <c r="R562" s="121"/>
      <c r="S562" s="121"/>
      <c r="T562" s="121"/>
      <c r="U562" s="50">
        <v>1</v>
      </c>
      <c r="V562" s="50">
        <v>1</v>
      </c>
      <c r="W562" s="344">
        <v>20</v>
      </c>
      <c r="Z562" s="123">
        <v>16000</v>
      </c>
      <c r="AB562" s="124"/>
      <c r="AC562" s="124"/>
      <c r="AF562" s="126" t="s">
        <v>928</v>
      </c>
      <c r="AG562" s="126" t="s">
        <v>929</v>
      </c>
      <c r="AH562" s="126" t="s">
        <v>930</v>
      </c>
      <c r="AI562" s="126"/>
      <c r="AJ562" s="126"/>
      <c r="AL562" s="120">
        <v>0</v>
      </c>
      <c r="AM562" s="127" t="s">
        <v>3099</v>
      </c>
      <c r="AN562" s="127" t="s">
        <v>5651</v>
      </c>
      <c r="AP562" s="50">
        <v>1</v>
      </c>
      <c r="AQ562" s="50">
        <v>0</v>
      </c>
      <c r="AR562" s="50">
        <v>1</v>
      </c>
      <c r="AS562" s="50">
        <v>1</v>
      </c>
      <c r="AU562" s="226">
        <v>0</v>
      </c>
      <c r="AV562" s="17">
        <f t="shared" si="96"/>
        <v>1</v>
      </c>
      <c r="AW562" s="50" t="str">
        <f>"{s_taskTalk,{"&amp;L562&amp;","&amp;N562&amp;"}}"</f>
        <v>{s_taskTalk,{60148,60075}}</v>
      </c>
    </row>
    <row r="563" spans="1:49" s="50" customFormat="1" ht="132" x14ac:dyDescent="0.15">
      <c r="A563" s="9">
        <v>1501</v>
      </c>
      <c r="C563" s="50" t="s">
        <v>2015</v>
      </c>
      <c r="D563" s="50">
        <v>1</v>
      </c>
      <c r="E563" s="50">
        <v>0</v>
      </c>
      <c r="F563" s="50">
        <v>3</v>
      </c>
      <c r="G563" s="120">
        <v>200</v>
      </c>
      <c r="H563" s="50">
        <v>200</v>
      </c>
      <c r="I563" s="17">
        <v>0</v>
      </c>
      <c r="J563" s="120">
        <v>1499</v>
      </c>
      <c r="K563" s="50">
        <v>0</v>
      </c>
      <c r="L563" s="50">
        <v>60075</v>
      </c>
      <c r="M563" s="50" t="s">
        <v>649</v>
      </c>
      <c r="N563" s="50">
        <v>60075</v>
      </c>
      <c r="O563" s="50" t="s">
        <v>649</v>
      </c>
      <c r="Q563" s="121"/>
      <c r="R563" s="121"/>
      <c r="S563" s="121"/>
      <c r="T563" s="121"/>
      <c r="U563" s="50">
        <v>25</v>
      </c>
      <c r="V563" s="50">
        <v>0</v>
      </c>
      <c r="W563" s="344">
        <v>20</v>
      </c>
      <c r="Z563" s="123">
        <v>27000</v>
      </c>
      <c r="AB563" s="124"/>
      <c r="AC563" s="124"/>
      <c r="AD563" s="122" t="s">
        <v>7205</v>
      </c>
      <c r="AF563" s="126" t="s">
        <v>931</v>
      </c>
      <c r="AG563" s="126" t="s">
        <v>932</v>
      </c>
      <c r="AH563" s="126" t="s">
        <v>933</v>
      </c>
      <c r="AI563" s="126" t="s">
        <v>934</v>
      </c>
      <c r="AJ563" s="126"/>
      <c r="AL563" s="120">
        <v>0</v>
      </c>
      <c r="AM563" s="127" t="s">
        <v>3100</v>
      </c>
      <c r="AN563" s="127" t="s">
        <v>5652</v>
      </c>
      <c r="AO563" s="50" t="s">
        <v>360</v>
      </c>
      <c r="AP563" s="50">
        <v>1</v>
      </c>
      <c r="AQ563" s="50">
        <v>0</v>
      </c>
      <c r="AR563" s="50">
        <v>1</v>
      </c>
      <c r="AS563" s="50">
        <v>1</v>
      </c>
      <c r="AU563" s="226">
        <v>0</v>
      </c>
      <c r="AV563" s="17">
        <f t="shared" si="96"/>
        <v>1</v>
      </c>
      <c r="AW563" s="50" t="str">
        <f>"{s_taskTalk,{"&amp;L563&amp;","&amp;N563&amp;"}}"</f>
        <v>{s_taskTalk,{60075,60075}}</v>
      </c>
    </row>
    <row r="564" spans="1:49" s="50" customFormat="1" ht="96" x14ac:dyDescent="0.15">
      <c r="A564" s="9">
        <v>1502</v>
      </c>
      <c r="C564" s="50" t="s">
        <v>2016</v>
      </c>
      <c r="D564" s="50">
        <v>1</v>
      </c>
      <c r="E564" s="50">
        <v>0</v>
      </c>
      <c r="F564" s="50">
        <v>3</v>
      </c>
      <c r="G564" s="120">
        <v>200</v>
      </c>
      <c r="H564" s="50">
        <v>200</v>
      </c>
      <c r="I564" s="17">
        <v>0</v>
      </c>
      <c r="J564" s="120">
        <v>1501</v>
      </c>
      <c r="K564" s="50">
        <v>0</v>
      </c>
      <c r="L564" s="50">
        <v>60075</v>
      </c>
      <c r="M564" s="50" t="s">
        <v>649</v>
      </c>
      <c r="N564" s="50">
        <v>60149</v>
      </c>
      <c r="O564" s="50" t="s">
        <v>214</v>
      </c>
      <c r="Q564" s="121"/>
      <c r="R564" s="121"/>
      <c r="S564" s="121"/>
      <c r="T564" s="121"/>
      <c r="U564" s="50">
        <v>1</v>
      </c>
      <c r="V564" s="50">
        <v>1</v>
      </c>
      <c r="W564" s="344">
        <v>20</v>
      </c>
      <c r="Z564" s="123">
        <v>36000</v>
      </c>
      <c r="AB564" s="124"/>
      <c r="AC564" s="124"/>
      <c r="AF564" s="126" t="s">
        <v>935</v>
      </c>
      <c r="AG564" s="126" t="s">
        <v>4038</v>
      </c>
      <c r="AH564" s="126" t="s">
        <v>936</v>
      </c>
      <c r="AI564" s="126"/>
      <c r="AJ564" s="126"/>
      <c r="AL564" s="120">
        <v>0</v>
      </c>
      <c r="AM564" s="127" t="s">
        <v>3101</v>
      </c>
      <c r="AN564" s="127" t="s">
        <v>5653</v>
      </c>
      <c r="AP564" s="50">
        <v>1</v>
      </c>
      <c r="AQ564" s="50">
        <v>0</v>
      </c>
      <c r="AR564" s="50">
        <v>1</v>
      </c>
      <c r="AS564" s="50">
        <v>1</v>
      </c>
      <c r="AU564" s="226">
        <v>0</v>
      </c>
      <c r="AV564" s="17">
        <f t="shared" si="96"/>
        <v>1</v>
      </c>
      <c r="AW564" s="50" t="str">
        <f>"{s_taskTalk,{"&amp;L564&amp;","&amp;N564&amp;"}}"</f>
        <v>{s_taskTalk,{60075,60149}}</v>
      </c>
    </row>
    <row r="565" spans="1:49" s="50" customFormat="1" ht="96.75" thickBot="1" x14ac:dyDescent="0.2">
      <c r="A565" s="9">
        <v>1503</v>
      </c>
      <c r="C565" s="50" t="s">
        <v>2017</v>
      </c>
      <c r="D565" s="50">
        <v>1</v>
      </c>
      <c r="E565" s="50">
        <v>0</v>
      </c>
      <c r="F565" s="50">
        <v>3</v>
      </c>
      <c r="G565" s="120">
        <v>200</v>
      </c>
      <c r="H565" s="50">
        <v>200</v>
      </c>
      <c r="I565" s="17">
        <v>0</v>
      </c>
      <c r="J565" s="120">
        <v>1502</v>
      </c>
      <c r="K565" s="50">
        <v>0</v>
      </c>
      <c r="L565" s="50">
        <v>60149</v>
      </c>
      <c r="M565" s="50" t="s">
        <v>214</v>
      </c>
      <c r="N565" s="50">
        <v>60149</v>
      </c>
      <c r="O565" s="50" t="s">
        <v>214</v>
      </c>
      <c r="Q565" s="121"/>
      <c r="R565" s="121"/>
      <c r="S565" s="121">
        <v>10149</v>
      </c>
      <c r="T565" s="121"/>
      <c r="U565" s="50">
        <v>1</v>
      </c>
      <c r="V565" s="50">
        <v>0</v>
      </c>
      <c r="W565" s="344">
        <v>20</v>
      </c>
      <c r="Z565" s="123">
        <v>25000</v>
      </c>
      <c r="AB565" s="124"/>
      <c r="AC565" s="124"/>
      <c r="AD565" s="50" t="s">
        <v>2983</v>
      </c>
      <c r="AF565" s="126" t="s">
        <v>2985</v>
      </c>
      <c r="AG565" s="126" t="s">
        <v>522</v>
      </c>
      <c r="AH565" s="126" t="s">
        <v>650</v>
      </c>
      <c r="AI565" s="126" t="s">
        <v>938</v>
      </c>
      <c r="AJ565" s="126"/>
      <c r="AL565" s="120">
        <v>0</v>
      </c>
      <c r="AM565" s="127" t="s">
        <v>3102</v>
      </c>
      <c r="AN565" s="127" t="s">
        <v>5654</v>
      </c>
      <c r="AP565" s="50">
        <v>1</v>
      </c>
      <c r="AQ565" s="50">
        <v>0</v>
      </c>
      <c r="AR565" s="50">
        <v>1</v>
      </c>
      <c r="AS565" s="50">
        <v>1</v>
      </c>
      <c r="AU565" s="226">
        <v>0</v>
      </c>
      <c r="AV565" s="17">
        <f t="shared" si="96"/>
        <v>1</v>
      </c>
      <c r="AW565" s="50" t="str">
        <f>"{s_taskKillNpc, {"&amp;L565&amp;","&amp;N565&amp;","&amp;S565&amp;","&amp;U565&amp;"}}"</f>
        <v>{s_taskKillNpc, {60149,60149,10149,1}}</v>
      </c>
    </row>
    <row r="566" spans="1:49" s="358" customFormat="1" ht="72.75" thickBot="1" x14ac:dyDescent="0.2">
      <c r="A566" s="167">
        <v>1504</v>
      </c>
      <c r="C566" s="358" t="s">
        <v>2018</v>
      </c>
      <c r="D566" s="358">
        <v>1</v>
      </c>
      <c r="E566" s="358">
        <v>0</v>
      </c>
      <c r="F566" s="358">
        <v>3</v>
      </c>
      <c r="G566" s="120">
        <v>200</v>
      </c>
      <c r="H566" s="358">
        <v>200</v>
      </c>
      <c r="I566" s="17">
        <v>0</v>
      </c>
      <c r="J566" s="359">
        <v>1503</v>
      </c>
      <c r="K566" s="358">
        <v>0</v>
      </c>
      <c r="L566" s="358">
        <v>60149</v>
      </c>
      <c r="M566" s="358" t="s">
        <v>214</v>
      </c>
      <c r="N566" s="358">
        <v>60149</v>
      </c>
      <c r="O566" s="358" t="s">
        <v>214</v>
      </c>
      <c r="Q566" s="360"/>
      <c r="R566" s="360"/>
      <c r="S566" s="360"/>
      <c r="T566" s="360"/>
      <c r="U566" s="358">
        <v>1</v>
      </c>
      <c r="V566" s="358">
        <v>0</v>
      </c>
      <c r="W566" s="344">
        <v>20</v>
      </c>
      <c r="Z566" s="361">
        <v>20000</v>
      </c>
      <c r="AB566" s="362"/>
      <c r="AC566" s="362"/>
      <c r="AD566" s="175" t="s">
        <v>1424</v>
      </c>
      <c r="AF566" s="364" t="s">
        <v>4037</v>
      </c>
      <c r="AG566" s="364" t="s">
        <v>651</v>
      </c>
      <c r="AH566" s="364" t="s">
        <v>865</v>
      </c>
      <c r="AI566" s="364" t="s">
        <v>939</v>
      </c>
      <c r="AJ566" s="364"/>
      <c r="AL566" s="359">
        <v>0</v>
      </c>
      <c r="AM566" s="358" t="s">
        <v>3103</v>
      </c>
      <c r="AN566" s="358" t="s">
        <v>5655</v>
      </c>
      <c r="AP566" s="358">
        <v>1</v>
      </c>
      <c r="AQ566" s="358">
        <v>0</v>
      </c>
      <c r="AR566" s="50">
        <v>1</v>
      </c>
      <c r="AS566" s="50">
        <v>0</v>
      </c>
      <c r="AU566" s="226">
        <v>0</v>
      </c>
      <c r="AV566" s="17">
        <f t="shared" si="96"/>
        <v>1</v>
      </c>
      <c r="AW566" s="50" t="str">
        <f>"{s_taskTalk,{"&amp;L566&amp;","&amp;N566&amp;"}}"</f>
        <v>{s_taskTalk,{60149,60149}}</v>
      </c>
    </row>
    <row r="567" spans="1:49" s="50" customFormat="1" ht="108.75" thickBot="1" x14ac:dyDescent="0.2">
      <c r="A567" s="9">
        <v>1511</v>
      </c>
      <c r="C567" s="50" t="s">
        <v>2019</v>
      </c>
      <c r="D567" s="50">
        <v>1</v>
      </c>
      <c r="E567" s="50">
        <v>0</v>
      </c>
      <c r="F567" s="50">
        <v>3</v>
      </c>
      <c r="G567" s="120">
        <v>200</v>
      </c>
      <c r="H567" s="50">
        <v>200</v>
      </c>
      <c r="I567" s="17">
        <v>0</v>
      </c>
      <c r="J567" s="120">
        <v>1504</v>
      </c>
      <c r="K567" s="50">
        <v>0</v>
      </c>
      <c r="L567" s="50">
        <v>60149</v>
      </c>
      <c r="M567" s="50" t="s">
        <v>214</v>
      </c>
      <c r="N567" s="50">
        <v>60149</v>
      </c>
      <c r="O567" s="50" t="s">
        <v>214</v>
      </c>
      <c r="Q567" s="121"/>
      <c r="R567" s="121"/>
      <c r="S567" s="121"/>
      <c r="T567" s="121"/>
      <c r="U567" s="50">
        <v>25</v>
      </c>
      <c r="V567" s="50">
        <v>0</v>
      </c>
      <c r="W567" s="344">
        <v>20</v>
      </c>
      <c r="Z567" s="123">
        <v>49000</v>
      </c>
      <c r="AB567" s="124"/>
      <c r="AC567" s="124"/>
      <c r="AD567" s="175" t="s">
        <v>3956</v>
      </c>
      <c r="AF567" s="126" t="s">
        <v>4148</v>
      </c>
      <c r="AG567" s="126" t="s">
        <v>4149</v>
      </c>
      <c r="AH567" s="126" t="s">
        <v>940</v>
      </c>
      <c r="AI567" s="126" t="s">
        <v>66</v>
      </c>
      <c r="AJ567" s="126"/>
      <c r="AL567" s="120">
        <v>0</v>
      </c>
      <c r="AM567" s="127" t="s">
        <v>3104</v>
      </c>
      <c r="AN567" s="127" t="s">
        <v>5656</v>
      </c>
      <c r="AO567" s="50" t="s">
        <v>361</v>
      </c>
      <c r="AP567" s="50">
        <v>1</v>
      </c>
      <c r="AQ567" s="50">
        <v>0</v>
      </c>
      <c r="AR567" s="50">
        <v>1</v>
      </c>
      <c r="AS567" s="50">
        <v>1</v>
      </c>
      <c r="AU567" s="226">
        <v>0</v>
      </c>
      <c r="AV567" s="17">
        <f t="shared" si="96"/>
        <v>1</v>
      </c>
      <c r="AW567" s="50" t="str">
        <f>"{s_taskTalk,{"&amp;L567&amp;","&amp;N567&amp;"}}"</f>
        <v>{s_taskTalk,{60149,60149}}</v>
      </c>
    </row>
    <row r="568" spans="1:49" s="50" customFormat="1" ht="96.75" thickBot="1" x14ac:dyDescent="0.2">
      <c r="A568" s="9">
        <v>1512</v>
      </c>
      <c r="C568" s="50" t="s">
        <v>2020</v>
      </c>
      <c r="D568" s="50">
        <v>1</v>
      </c>
      <c r="E568" s="50">
        <v>0</v>
      </c>
      <c r="F568" s="50">
        <v>3</v>
      </c>
      <c r="G568" s="120">
        <v>200</v>
      </c>
      <c r="H568" s="50">
        <v>200</v>
      </c>
      <c r="I568" s="17">
        <v>0</v>
      </c>
      <c r="J568" s="120">
        <v>1511</v>
      </c>
      <c r="K568" s="50">
        <v>0</v>
      </c>
      <c r="L568" s="50">
        <v>60149</v>
      </c>
      <c r="M568" s="50" t="s">
        <v>214</v>
      </c>
      <c r="N568" s="50">
        <v>60148</v>
      </c>
      <c r="O568" s="50" t="s">
        <v>213</v>
      </c>
      <c r="Q568" s="121"/>
      <c r="R568" s="121"/>
      <c r="S568" s="121"/>
      <c r="T568" s="121"/>
      <c r="U568" s="50">
        <v>1</v>
      </c>
      <c r="V568" s="50">
        <v>1</v>
      </c>
      <c r="W568" s="344">
        <v>20</v>
      </c>
      <c r="Z568" s="123">
        <v>26300</v>
      </c>
      <c r="AB568" s="124"/>
      <c r="AC568" s="124"/>
      <c r="AF568" s="126" t="s">
        <v>4282</v>
      </c>
      <c r="AG568" s="126" t="s">
        <v>4283</v>
      </c>
      <c r="AH568" s="126" t="s">
        <v>941</v>
      </c>
      <c r="AI568" s="126"/>
      <c r="AJ568" s="126"/>
      <c r="AL568" s="120">
        <v>0</v>
      </c>
      <c r="AM568" s="127" t="s">
        <v>3105</v>
      </c>
      <c r="AN568" s="127" t="s">
        <v>5657</v>
      </c>
      <c r="AP568" s="50">
        <v>1</v>
      </c>
      <c r="AQ568" s="50">
        <v>0</v>
      </c>
      <c r="AR568" s="50">
        <v>1</v>
      </c>
      <c r="AS568" s="50">
        <v>1</v>
      </c>
      <c r="AU568" s="226">
        <v>0</v>
      </c>
      <c r="AV568" s="17">
        <f t="shared" si="96"/>
        <v>1</v>
      </c>
      <c r="AW568" s="50" t="str">
        <f>"{s_taskTalk,{"&amp;L568&amp;","&amp;N568&amp;"}}"</f>
        <v>{s_taskTalk,{60149,60148}}</v>
      </c>
    </row>
    <row r="569" spans="1:49" s="50" customFormat="1" ht="84.75" thickBot="1" x14ac:dyDescent="0.2">
      <c r="A569" s="9">
        <v>1513</v>
      </c>
      <c r="C569" s="50" t="s">
        <v>2021</v>
      </c>
      <c r="D569" s="50">
        <v>1</v>
      </c>
      <c r="E569" s="50">
        <v>0</v>
      </c>
      <c r="F569" s="50">
        <v>3</v>
      </c>
      <c r="G569" s="120">
        <v>200</v>
      </c>
      <c r="H569" s="50">
        <v>200</v>
      </c>
      <c r="I569" s="17">
        <v>0</v>
      </c>
      <c r="J569" s="120">
        <v>1512</v>
      </c>
      <c r="K569" s="50">
        <v>0</v>
      </c>
      <c r="L569" s="50">
        <v>60148</v>
      </c>
      <c r="M569" s="50" t="s">
        <v>213</v>
      </c>
      <c r="N569" s="50">
        <v>60148</v>
      </c>
      <c r="O569" s="50" t="s">
        <v>213</v>
      </c>
      <c r="Q569" s="121"/>
      <c r="R569" s="121"/>
      <c r="S569" s="121">
        <v>10150</v>
      </c>
      <c r="T569" s="121"/>
      <c r="U569" s="50">
        <v>1</v>
      </c>
      <c r="V569" s="50">
        <v>0</v>
      </c>
      <c r="W569" s="344">
        <v>20</v>
      </c>
      <c r="Z569" s="123">
        <v>36000</v>
      </c>
      <c r="AB569" s="124"/>
      <c r="AC569" s="124"/>
      <c r="AD569" s="175" t="s">
        <v>1377</v>
      </c>
      <c r="AF569" s="126" t="s">
        <v>942</v>
      </c>
      <c r="AG569" s="126" t="s">
        <v>943</v>
      </c>
      <c r="AH569" s="126" t="s">
        <v>944</v>
      </c>
      <c r="AI569" s="126" t="s">
        <v>945</v>
      </c>
      <c r="AJ569" s="126"/>
      <c r="AL569" s="120">
        <v>0</v>
      </c>
      <c r="AM569" s="127" t="s">
        <v>6154</v>
      </c>
      <c r="AN569" s="127" t="s">
        <v>5658</v>
      </c>
      <c r="AP569" s="50">
        <v>1</v>
      </c>
      <c r="AQ569" s="50">
        <v>0</v>
      </c>
      <c r="AR569" s="50">
        <v>1</v>
      </c>
      <c r="AS569" s="50">
        <v>1</v>
      </c>
      <c r="AU569" s="226">
        <v>0</v>
      </c>
      <c r="AV569" s="17">
        <f t="shared" ref="AV569:AV632" si="97">IF(D569 = 1,1,0)</f>
        <v>1</v>
      </c>
      <c r="AW569" s="50" t="str">
        <f>"{s_taskKillNpc, {"&amp;L569&amp;","&amp;N569&amp;","&amp;S569&amp;","&amp;U569&amp;"}}"</f>
        <v>{s_taskKillNpc, {60148,60148,10150,1}}</v>
      </c>
    </row>
    <row r="570" spans="1:49" s="50" customFormat="1" ht="84" x14ac:dyDescent="0.15">
      <c r="A570" s="9">
        <v>1514</v>
      </c>
      <c r="C570" s="50" t="s">
        <v>2022</v>
      </c>
      <c r="D570" s="50">
        <v>1</v>
      </c>
      <c r="E570" s="50">
        <v>0</v>
      </c>
      <c r="F570" s="50">
        <v>3</v>
      </c>
      <c r="G570" s="120">
        <v>200</v>
      </c>
      <c r="H570" s="50">
        <v>200</v>
      </c>
      <c r="I570" s="17">
        <v>0</v>
      </c>
      <c r="J570" s="120">
        <v>1513</v>
      </c>
      <c r="K570" s="50">
        <v>0</v>
      </c>
      <c r="L570" s="50">
        <v>60148</v>
      </c>
      <c r="M570" s="50" t="s">
        <v>213</v>
      </c>
      <c r="N570" s="50">
        <v>60148</v>
      </c>
      <c r="O570" s="50" t="s">
        <v>213</v>
      </c>
      <c r="Q570" s="121">
        <v>60186</v>
      </c>
      <c r="R570" s="121"/>
      <c r="S570" s="121"/>
      <c r="T570" s="121"/>
      <c r="U570" s="50">
        <v>3</v>
      </c>
      <c r="V570" s="50">
        <v>0</v>
      </c>
      <c r="W570" s="344">
        <v>20</v>
      </c>
      <c r="Z570" s="123">
        <v>31000</v>
      </c>
      <c r="AB570" s="124"/>
      <c r="AC570" s="124"/>
      <c r="AF570" s="126" t="s">
        <v>4036</v>
      </c>
      <c r="AG570" s="126" t="s">
        <v>3933</v>
      </c>
      <c r="AH570" s="126" t="s">
        <v>946</v>
      </c>
      <c r="AI570" s="126" t="s">
        <v>947</v>
      </c>
      <c r="AJ570" s="126"/>
      <c r="AL570" s="120">
        <v>0</v>
      </c>
      <c r="AM570" s="127" t="s">
        <v>3207</v>
      </c>
      <c r="AN570" s="127" t="s">
        <v>5659</v>
      </c>
      <c r="AO570" s="50" t="s">
        <v>3934</v>
      </c>
      <c r="AP570" s="50">
        <v>1</v>
      </c>
      <c r="AQ570" s="50">
        <v>0</v>
      </c>
      <c r="AR570" s="50">
        <v>1</v>
      </c>
      <c r="AS570" s="50">
        <v>1</v>
      </c>
      <c r="AU570" s="226">
        <v>0</v>
      </c>
      <c r="AV570" s="17">
        <f t="shared" si="97"/>
        <v>1</v>
      </c>
      <c r="AW570" s="50" t="str">
        <f>"{s_taskTalk,{"&amp;L570&amp;","&amp;N570&amp;"}}"</f>
        <v>{s_taskTalk,{60148,60148}}</v>
      </c>
    </row>
    <row r="571" spans="1:49" s="50" customFormat="1" ht="84" x14ac:dyDescent="0.15">
      <c r="A571" s="9">
        <v>1515</v>
      </c>
      <c r="C571" s="50" t="s">
        <v>2023</v>
      </c>
      <c r="D571" s="50">
        <v>1</v>
      </c>
      <c r="E571" s="50">
        <v>0</v>
      </c>
      <c r="F571" s="50">
        <v>3</v>
      </c>
      <c r="G571" s="120">
        <v>200</v>
      </c>
      <c r="H571" s="50">
        <v>200</v>
      </c>
      <c r="I571" s="17">
        <v>0</v>
      </c>
      <c r="J571" s="120">
        <v>1514</v>
      </c>
      <c r="K571" s="50">
        <v>0</v>
      </c>
      <c r="L571" s="50">
        <v>60148</v>
      </c>
      <c r="M571" s="50" t="s">
        <v>213</v>
      </c>
      <c r="N571" s="50">
        <v>60150</v>
      </c>
      <c r="O571" s="50" t="s">
        <v>215</v>
      </c>
      <c r="Q571" s="121"/>
      <c r="R571" s="121"/>
      <c r="S571" s="121"/>
      <c r="T571" s="121"/>
      <c r="U571" s="50">
        <v>1</v>
      </c>
      <c r="V571" s="50">
        <v>1</v>
      </c>
      <c r="W571" s="344">
        <v>20</v>
      </c>
      <c r="Z571" s="123">
        <v>26300</v>
      </c>
      <c r="AB571" s="124"/>
      <c r="AC571" s="124"/>
      <c r="AF571" s="126" t="s">
        <v>948</v>
      </c>
      <c r="AG571" s="126" t="s">
        <v>949</v>
      </c>
      <c r="AH571" s="126" t="s">
        <v>652</v>
      </c>
      <c r="AI571" s="126"/>
      <c r="AJ571" s="126"/>
      <c r="AL571" s="120">
        <v>0</v>
      </c>
      <c r="AM571" s="127" t="s">
        <v>3106</v>
      </c>
      <c r="AN571" s="127" t="s">
        <v>5660</v>
      </c>
      <c r="AP571" s="50">
        <v>1</v>
      </c>
      <c r="AQ571" s="50">
        <v>0</v>
      </c>
      <c r="AR571" s="50">
        <v>1</v>
      </c>
      <c r="AS571" s="50">
        <v>1</v>
      </c>
      <c r="AU571" s="226">
        <v>0</v>
      </c>
      <c r="AV571" s="17">
        <f t="shared" si="97"/>
        <v>1</v>
      </c>
      <c r="AW571" s="50" t="str">
        <f>"{s_taskTalk,{"&amp;L571&amp;","&amp;N571&amp;"}}"</f>
        <v>{s_taskTalk,{60148,60150}}</v>
      </c>
    </row>
    <row r="572" spans="1:49" s="50" customFormat="1" ht="108" x14ac:dyDescent="0.15">
      <c r="A572" s="9">
        <v>1521</v>
      </c>
      <c r="C572" s="50" t="s">
        <v>2024</v>
      </c>
      <c r="D572" s="50">
        <v>1</v>
      </c>
      <c r="E572" s="50">
        <v>0</v>
      </c>
      <c r="F572" s="50">
        <v>3</v>
      </c>
      <c r="G572" s="120">
        <v>200</v>
      </c>
      <c r="H572" s="50">
        <v>200</v>
      </c>
      <c r="I572" s="17">
        <v>0</v>
      </c>
      <c r="J572" s="120">
        <v>1515</v>
      </c>
      <c r="K572" s="50">
        <v>0</v>
      </c>
      <c r="L572" s="50">
        <v>60150</v>
      </c>
      <c r="M572" s="50" t="s">
        <v>215</v>
      </c>
      <c r="N572" s="50">
        <v>60150</v>
      </c>
      <c r="O572" s="50" t="s">
        <v>215</v>
      </c>
      <c r="Q572" s="121"/>
      <c r="R572" s="121"/>
      <c r="S572" s="121"/>
      <c r="T572" s="121"/>
      <c r="U572" s="50">
        <v>25</v>
      </c>
      <c r="V572" s="50">
        <v>0</v>
      </c>
      <c r="W572" s="344">
        <v>20</v>
      </c>
      <c r="Z572" s="123">
        <v>40000</v>
      </c>
      <c r="AB572" s="124"/>
      <c r="AC572" s="124"/>
      <c r="AF572" s="126" t="s">
        <v>4284</v>
      </c>
      <c r="AG572" s="126" t="s">
        <v>3958</v>
      </c>
      <c r="AH572" s="126" t="s">
        <v>950</v>
      </c>
      <c r="AI572" s="126" t="s">
        <v>951</v>
      </c>
      <c r="AJ572" s="126"/>
      <c r="AL572" s="120">
        <v>0</v>
      </c>
      <c r="AM572" s="127" t="s">
        <v>3107</v>
      </c>
      <c r="AN572" s="127" t="s">
        <v>5661</v>
      </c>
      <c r="AO572" s="50" t="s">
        <v>4</v>
      </c>
      <c r="AP572" s="50">
        <v>1</v>
      </c>
      <c r="AQ572" s="50">
        <v>0</v>
      </c>
      <c r="AR572" s="50">
        <v>1</v>
      </c>
      <c r="AS572" s="50">
        <v>1</v>
      </c>
      <c r="AU572" s="226">
        <v>0</v>
      </c>
      <c r="AV572" s="17">
        <f t="shared" si="97"/>
        <v>1</v>
      </c>
      <c r="AW572" s="50" t="str">
        <f>"{s_taskTalk,{"&amp;L572&amp;","&amp;N572&amp;"}}"</f>
        <v>{s_taskTalk,{60150,60150}}</v>
      </c>
    </row>
    <row r="573" spans="1:49" s="50" customFormat="1" ht="72" x14ac:dyDescent="0.15">
      <c r="A573" s="9">
        <v>1522</v>
      </c>
      <c r="C573" s="50" t="s">
        <v>2025</v>
      </c>
      <c r="D573" s="50">
        <v>1</v>
      </c>
      <c r="E573" s="50">
        <v>0</v>
      </c>
      <c r="F573" s="50">
        <v>3</v>
      </c>
      <c r="G573" s="120">
        <v>200</v>
      </c>
      <c r="H573" s="50">
        <v>200</v>
      </c>
      <c r="I573" s="17">
        <v>0</v>
      </c>
      <c r="J573" s="120">
        <v>1521</v>
      </c>
      <c r="K573" s="50">
        <v>0</v>
      </c>
      <c r="L573" s="50">
        <v>60150</v>
      </c>
      <c r="M573" s="50" t="s">
        <v>215</v>
      </c>
      <c r="N573" s="50">
        <v>60151</v>
      </c>
      <c r="O573" s="50" t="s">
        <v>216</v>
      </c>
      <c r="Q573" s="121"/>
      <c r="R573" s="121"/>
      <c r="S573" s="121"/>
      <c r="T573" s="121"/>
      <c r="U573" s="50">
        <v>1</v>
      </c>
      <c r="V573" s="50">
        <v>1</v>
      </c>
      <c r="W573" s="344">
        <v>20</v>
      </c>
      <c r="Z573" s="123">
        <v>36500</v>
      </c>
      <c r="AB573" s="124"/>
      <c r="AC573" s="124"/>
      <c r="AF573" s="126" t="s">
        <v>4057</v>
      </c>
      <c r="AG573" s="126" t="s">
        <v>4056</v>
      </c>
      <c r="AH573" s="126" t="s">
        <v>270</v>
      </c>
      <c r="AI573" s="126"/>
      <c r="AJ573" s="126"/>
      <c r="AL573" s="120">
        <v>0</v>
      </c>
      <c r="AM573" s="127" t="s">
        <v>3108</v>
      </c>
      <c r="AN573" s="127" t="s">
        <v>5662</v>
      </c>
      <c r="AP573" s="50">
        <v>1</v>
      </c>
      <c r="AQ573" s="50">
        <v>0</v>
      </c>
      <c r="AR573" s="50">
        <v>1</v>
      </c>
      <c r="AS573" s="50">
        <v>1</v>
      </c>
      <c r="AU573" s="226">
        <v>0</v>
      </c>
      <c r="AV573" s="17">
        <f t="shared" si="97"/>
        <v>1</v>
      </c>
      <c r="AW573" s="50" t="str">
        <f>"{s_taskTalk,{"&amp;L573&amp;","&amp;N573&amp;"}}"</f>
        <v>{s_taskTalk,{60150,60151}}</v>
      </c>
    </row>
    <row r="574" spans="1:49" s="50" customFormat="1" ht="96" x14ac:dyDescent="0.15">
      <c r="A574" s="9">
        <v>1523</v>
      </c>
      <c r="C574" s="50" t="s">
        <v>2026</v>
      </c>
      <c r="D574" s="50">
        <v>1</v>
      </c>
      <c r="E574" s="50">
        <v>0</v>
      </c>
      <c r="F574" s="50">
        <v>3</v>
      </c>
      <c r="G574" s="120">
        <v>200</v>
      </c>
      <c r="H574" s="50">
        <v>200</v>
      </c>
      <c r="I574" s="17">
        <v>0</v>
      </c>
      <c r="J574" s="120">
        <v>1522</v>
      </c>
      <c r="K574" s="50">
        <v>0</v>
      </c>
      <c r="L574" s="50">
        <v>60151</v>
      </c>
      <c r="M574" s="50" t="s">
        <v>216</v>
      </c>
      <c r="N574" s="50">
        <v>60151</v>
      </c>
      <c r="O574" s="50" t="s">
        <v>216</v>
      </c>
      <c r="Q574" s="121"/>
      <c r="R574" s="121"/>
      <c r="S574" s="121">
        <v>10151</v>
      </c>
      <c r="T574" s="121"/>
      <c r="U574" s="50">
        <v>1</v>
      </c>
      <c r="V574" s="50">
        <v>0</v>
      </c>
      <c r="W574" s="344">
        <v>20</v>
      </c>
      <c r="Z574" s="123">
        <v>38000</v>
      </c>
      <c r="AB574" s="124"/>
      <c r="AC574" s="124"/>
      <c r="AD574" s="122" t="s">
        <v>3974</v>
      </c>
      <c r="AF574" s="126" t="s">
        <v>952</v>
      </c>
      <c r="AG574" s="126" t="s">
        <v>953</v>
      </c>
      <c r="AH574" s="126" t="s">
        <v>954</v>
      </c>
      <c r="AI574" s="126" t="s">
        <v>955</v>
      </c>
      <c r="AJ574" s="126"/>
      <c r="AL574" s="120">
        <v>0</v>
      </c>
      <c r="AM574" s="127" t="s">
        <v>6155</v>
      </c>
      <c r="AN574" s="127" t="s">
        <v>5663</v>
      </c>
      <c r="AP574" s="50">
        <v>1</v>
      </c>
      <c r="AQ574" s="50">
        <v>0</v>
      </c>
      <c r="AR574" s="50">
        <v>1</v>
      </c>
      <c r="AS574" s="50">
        <v>1</v>
      </c>
      <c r="AU574" s="226">
        <v>0</v>
      </c>
      <c r="AV574" s="17">
        <f t="shared" si="97"/>
        <v>1</v>
      </c>
      <c r="AW574" s="50" t="str">
        <f>"{s_taskKillNpc, {"&amp;L574&amp;","&amp;N574&amp;","&amp;S574&amp;","&amp;U574&amp;"}}"</f>
        <v>{s_taskKillNpc, {60151,60151,10151,1}}</v>
      </c>
    </row>
    <row r="575" spans="1:49" s="50" customFormat="1" ht="96" x14ac:dyDescent="0.15">
      <c r="A575" s="9">
        <v>1531</v>
      </c>
      <c r="C575" s="50" t="s">
        <v>2027</v>
      </c>
      <c r="D575" s="50">
        <v>1</v>
      </c>
      <c r="E575" s="50">
        <v>0</v>
      </c>
      <c r="F575" s="50">
        <v>3</v>
      </c>
      <c r="G575" s="120">
        <v>200</v>
      </c>
      <c r="H575" s="50">
        <v>200</v>
      </c>
      <c r="I575" s="17">
        <v>0</v>
      </c>
      <c r="J575" s="120">
        <v>1523</v>
      </c>
      <c r="K575" s="50">
        <v>0</v>
      </c>
      <c r="L575" s="50">
        <v>60151</v>
      </c>
      <c r="M575" s="50" t="s">
        <v>216</v>
      </c>
      <c r="N575" s="50">
        <v>60000</v>
      </c>
      <c r="O575" s="50" t="s">
        <v>192</v>
      </c>
      <c r="Q575" s="121"/>
      <c r="R575" s="121"/>
      <c r="S575" s="121"/>
      <c r="T575" s="121"/>
      <c r="U575" s="50">
        <v>1</v>
      </c>
      <c r="V575" s="50">
        <v>1</v>
      </c>
      <c r="W575" s="344">
        <v>20</v>
      </c>
      <c r="Z575" s="123">
        <v>36500</v>
      </c>
      <c r="AB575" s="124"/>
      <c r="AC575" s="124"/>
      <c r="AF575" s="126" t="s">
        <v>4543</v>
      </c>
      <c r="AG575" s="126" t="s">
        <v>4544</v>
      </c>
      <c r="AH575" s="126" t="s">
        <v>956</v>
      </c>
      <c r="AI575" s="126"/>
      <c r="AJ575" s="126"/>
      <c r="AL575" s="120">
        <v>0</v>
      </c>
      <c r="AM575" s="127" t="s">
        <v>3109</v>
      </c>
      <c r="AN575" s="127" t="s">
        <v>5664</v>
      </c>
      <c r="AP575" s="50">
        <v>1</v>
      </c>
      <c r="AQ575" s="50">
        <v>0</v>
      </c>
      <c r="AR575" s="50">
        <v>1</v>
      </c>
      <c r="AS575" s="50">
        <v>1</v>
      </c>
      <c r="AU575" s="226">
        <v>0</v>
      </c>
      <c r="AV575" s="17">
        <f t="shared" si="97"/>
        <v>1</v>
      </c>
      <c r="AW575" s="50" t="str">
        <f t="shared" ref="AW575:AW581" si="98">"{s_taskTalk,{"&amp;L575&amp;","&amp;N575&amp;"}}"</f>
        <v>{s_taskTalk,{60151,60000}}</v>
      </c>
    </row>
    <row r="576" spans="1:49" s="50" customFormat="1" ht="84" x14ac:dyDescent="0.15">
      <c r="A576" s="9">
        <v>1541</v>
      </c>
      <c r="C576" s="50" t="s">
        <v>2028</v>
      </c>
      <c r="D576" s="50">
        <v>1</v>
      </c>
      <c r="E576" s="50">
        <v>0</v>
      </c>
      <c r="F576" s="50">
        <v>3</v>
      </c>
      <c r="G576" s="120">
        <v>200</v>
      </c>
      <c r="H576" s="50">
        <v>200</v>
      </c>
      <c r="I576" s="17">
        <v>0</v>
      </c>
      <c r="J576" s="120">
        <v>1531</v>
      </c>
      <c r="K576" s="50">
        <v>0</v>
      </c>
      <c r="L576" s="50">
        <v>60000</v>
      </c>
      <c r="M576" s="50" t="s">
        <v>192</v>
      </c>
      <c r="N576" s="50">
        <v>60064</v>
      </c>
      <c r="O576" s="50" t="s">
        <v>1276</v>
      </c>
      <c r="Q576" s="121"/>
      <c r="R576" s="121"/>
      <c r="S576" s="121"/>
      <c r="T576" s="121"/>
      <c r="U576" s="50">
        <v>1</v>
      </c>
      <c r="V576" s="50">
        <v>1</v>
      </c>
      <c r="W576" s="344">
        <v>20</v>
      </c>
      <c r="Z576" s="123">
        <v>17000</v>
      </c>
      <c r="AB576" s="124"/>
      <c r="AC576" s="124"/>
      <c r="AF576" s="126" t="s">
        <v>957</v>
      </c>
      <c r="AG576" s="126" t="s">
        <v>958</v>
      </c>
      <c r="AH576" s="126" t="s">
        <v>959</v>
      </c>
      <c r="AI576" s="126"/>
      <c r="AJ576" s="126"/>
      <c r="AL576" s="120">
        <v>0</v>
      </c>
      <c r="AM576" s="127" t="s">
        <v>3110</v>
      </c>
      <c r="AN576" s="127" t="s">
        <v>5665</v>
      </c>
      <c r="AP576" s="50">
        <v>1</v>
      </c>
      <c r="AQ576" s="50">
        <v>0</v>
      </c>
      <c r="AR576" s="50">
        <v>1</v>
      </c>
      <c r="AS576" s="50">
        <v>1</v>
      </c>
      <c r="AU576" s="226">
        <v>0</v>
      </c>
      <c r="AV576" s="17">
        <f t="shared" si="97"/>
        <v>1</v>
      </c>
      <c r="AW576" s="50" t="str">
        <f t="shared" si="98"/>
        <v>{s_taskTalk,{60000,60064}}</v>
      </c>
    </row>
    <row r="577" spans="1:49" s="50" customFormat="1" ht="84" x14ac:dyDescent="0.15">
      <c r="A577" s="9">
        <v>1542</v>
      </c>
      <c r="C577" s="50" t="s">
        <v>2029</v>
      </c>
      <c r="D577" s="50">
        <v>1</v>
      </c>
      <c r="E577" s="50">
        <v>0</v>
      </c>
      <c r="F577" s="50">
        <v>3</v>
      </c>
      <c r="G577" s="120">
        <v>200</v>
      </c>
      <c r="H577" s="50">
        <v>200</v>
      </c>
      <c r="I577" s="17">
        <v>0</v>
      </c>
      <c r="J577" s="120">
        <v>1541</v>
      </c>
      <c r="K577" s="50">
        <v>0</v>
      </c>
      <c r="L577" s="50">
        <v>60064</v>
      </c>
      <c r="M577" s="50" t="s">
        <v>1276</v>
      </c>
      <c r="N577" s="50">
        <v>60064</v>
      </c>
      <c r="O577" s="50" t="s">
        <v>1276</v>
      </c>
      <c r="Q577" s="121"/>
      <c r="R577" s="121"/>
      <c r="S577" s="121"/>
      <c r="T577" s="121"/>
      <c r="U577" s="50">
        <v>1</v>
      </c>
      <c r="V577" s="50">
        <v>0</v>
      </c>
      <c r="W577" s="344">
        <v>20</v>
      </c>
      <c r="Z577" s="123">
        <v>13000</v>
      </c>
      <c r="AB577" s="124"/>
      <c r="AC577" s="124"/>
      <c r="AF577" s="126" t="s">
        <v>523</v>
      </c>
      <c r="AG577" s="126" t="s">
        <v>524</v>
      </c>
      <c r="AH577" s="126" t="s">
        <v>865</v>
      </c>
      <c r="AI577" s="126"/>
      <c r="AJ577" s="126"/>
      <c r="AL577" s="120">
        <v>0</v>
      </c>
      <c r="AM577" s="127" t="s">
        <v>3111</v>
      </c>
      <c r="AN577" s="127" t="s">
        <v>5666</v>
      </c>
      <c r="AP577" s="50">
        <v>1</v>
      </c>
      <c r="AQ577" s="50">
        <v>0</v>
      </c>
      <c r="AR577" s="50">
        <v>1</v>
      </c>
      <c r="AS577" s="50">
        <v>0</v>
      </c>
      <c r="AU577" s="226">
        <v>0</v>
      </c>
      <c r="AV577" s="17">
        <f t="shared" si="97"/>
        <v>1</v>
      </c>
      <c r="AW577" s="50" t="str">
        <f t="shared" si="98"/>
        <v>{s_taskTalk,{60064,60064}}</v>
      </c>
    </row>
    <row r="578" spans="1:49" s="50" customFormat="1" ht="84" x14ac:dyDescent="0.15">
      <c r="A578" s="9">
        <v>1552</v>
      </c>
      <c r="C578" s="50" t="s">
        <v>2030</v>
      </c>
      <c r="D578" s="50">
        <v>1</v>
      </c>
      <c r="E578" s="50">
        <v>0</v>
      </c>
      <c r="F578" s="50">
        <v>3</v>
      </c>
      <c r="G578" s="120">
        <v>200</v>
      </c>
      <c r="H578" s="50">
        <v>200</v>
      </c>
      <c r="I578" s="17">
        <v>0</v>
      </c>
      <c r="J578" s="120">
        <v>1542</v>
      </c>
      <c r="K578" s="50">
        <v>0</v>
      </c>
      <c r="L578" s="50">
        <v>60064</v>
      </c>
      <c r="M578" s="50" t="s">
        <v>1276</v>
      </c>
      <c r="N578" s="50">
        <v>60000</v>
      </c>
      <c r="O578" s="50" t="s">
        <v>192</v>
      </c>
      <c r="Q578" s="121"/>
      <c r="R578" s="121"/>
      <c r="S578" s="121"/>
      <c r="T578" s="121"/>
      <c r="U578" s="50">
        <v>1</v>
      </c>
      <c r="V578" s="50">
        <v>1</v>
      </c>
      <c r="W578" s="344">
        <v>20</v>
      </c>
      <c r="Z578" s="123">
        <v>27000</v>
      </c>
      <c r="AB578" s="124"/>
      <c r="AC578" s="124"/>
      <c r="AF578" s="126" t="s">
        <v>4545</v>
      </c>
      <c r="AG578" s="126" t="s">
        <v>4546</v>
      </c>
      <c r="AH578" s="126" t="s">
        <v>4285</v>
      </c>
      <c r="AI578" s="126"/>
      <c r="AJ578" s="126"/>
      <c r="AL578" s="120">
        <v>0</v>
      </c>
      <c r="AM578" s="127" t="s">
        <v>3112</v>
      </c>
      <c r="AN578" s="127" t="s">
        <v>5667</v>
      </c>
      <c r="AP578" s="50">
        <v>1</v>
      </c>
      <c r="AQ578" s="50">
        <v>0</v>
      </c>
      <c r="AR578" s="50">
        <v>1</v>
      </c>
      <c r="AS578" s="50">
        <v>1</v>
      </c>
      <c r="AU578" s="226">
        <v>0</v>
      </c>
      <c r="AV578" s="17">
        <f t="shared" si="97"/>
        <v>1</v>
      </c>
      <c r="AW578" s="50" t="str">
        <f t="shared" si="98"/>
        <v>{s_taskTalk,{60064,60000}}</v>
      </c>
    </row>
    <row r="579" spans="1:49" s="50" customFormat="1" ht="72" x14ac:dyDescent="0.15">
      <c r="A579" s="9">
        <v>1553</v>
      </c>
      <c r="C579" s="50" t="s">
        <v>2031</v>
      </c>
      <c r="D579" s="50">
        <v>1</v>
      </c>
      <c r="E579" s="50">
        <v>0</v>
      </c>
      <c r="F579" s="50">
        <v>3</v>
      </c>
      <c r="G579" s="120">
        <v>200</v>
      </c>
      <c r="H579" s="50">
        <v>200</v>
      </c>
      <c r="I579" s="17">
        <v>0</v>
      </c>
      <c r="J579" s="120">
        <v>1552</v>
      </c>
      <c r="K579" s="50">
        <v>0</v>
      </c>
      <c r="L579" s="50">
        <v>60000</v>
      </c>
      <c r="M579" s="50" t="s">
        <v>192</v>
      </c>
      <c r="N579" s="50">
        <v>60154</v>
      </c>
      <c r="O579" s="50" t="s">
        <v>217</v>
      </c>
      <c r="Q579" s="121"/>
      <c r="R579" s="121"/>
      <c r="S579" s="121"/>
      <c r="T579" s="121"/>
      <c r="U579" s="50">
        <v>1</v>
      </c>
      <c r="V579" s="50">
        <v>1</v>
      </c>
      <c r="W579" s="344">
        <v>20</v>
      </c>
      <c r="Z579" s="123">
        <v>27000</v>
      </c>
      <c r="AB579" s="124"/>
      <c r="AC579" s="124"/>
      <c r="AF579" s="126" t="s">
        <v>960</v>
      </c>
      <c r="AG579" s="126" t="s">
        <v>961</v>
      </c>
      <c r="AH579" s="126" t="s">
        <v>271</v>
      </c>
      <c r="AI579" s="126"/>
      <c r="AJ579" s="126"/>
      <c r="AL579" s="120">
        <v>0</v>
      </c>
      <c r="AM579" s="127" t="s">
        <v>3113</v>
      </c>
      <c r="AN579" s="127" t="s">
        <v>5668</v>
      </c>
      <c r="AP579" s="50">
        <v>1</v>
      </c>
      <c r="AQ579" s="50">
        <v>0</v>
      </c>
      <c r="AR579" s="50">
        <v>1</v>
      </c>
      <c r="AS579" s="50">
        <v>1</v>
      </c>
      <c r="AU579" s="226">
        <v>0</v>
      </c>
      <c r="AV579" s="17">
        <f t="shared" si="97"/>
        <v>1</v>
      </c>
      <c r="AW579" s="50" t="str">
        <f t="shared" si="98"/>
        <v>{s_taskTalk,{60000,60154}}</v>
      </c>
    </row>
    <row r="580" spans="1:49" s="50" customFormat="1" ht="96" x14ac:dyDescent="0.15">
      <c r="A580" s="9">
        <v>1561</v>
      </c>
      <c r="C580" s="50" t="s">
        <v>4012</v>
      </c>
      <c r="D580" s="50">
        <v>1</v>
      </c>
      <c r="E580" s="50">
        <v>0</v>
      </c>
      <c r="F580" s="50">
        <v>3</v>
      </c>
      <c r="G580" s="120">
        <v>200</v>
      </c>
      <c r="H580" s="50">
        <v>200</v>
      </c>
      <c r="I580" s="17">
        <v>0</v>
      </c>
      <c r="J580" s="120">
        <v>1553</v>
      </c>
      <c r="K580" s="50">
        <v>0</v>
      </c>
      <c r="L580" s="50">
        <v>60154</v>
      </c>
      <c r="M580" s="50" t="s">
        <v>217</v>
      </c>
      <c r="N580" s="50">
        <v>60154</v>
      </c>
      <c r="O580" s="50" t="s">
        <v>217</v>
      </c>
      <c r="Q580" s="121"/>
      <c r="R580" s="121"/>
      <c r="S580" s="121"/>
      <c r="T580" s="121"/>
      <c r="U580" s="50">
        <v>25</v>
      </c>
      <c r="V580" s="50">
        <v>0</v>
      </c>
      <c r="W580" s="344">
        <v>20</v>
      </c>
      <c r="Z580" s="123">
        <v>32000</v>
      </c>
      <c r="AB580" s="124"/>
      <c r="AC580" s="124"/>
      <c r="AF580" s="126" t="s">
        <v>962</v>
      </c>
      <c r="AG580" s="126" t="s">
        <v>4019</v>
      </c>
      <c r="AH580" s="126" t="s">
        <v>3311</v>
      </c>
      <c r="AI580" s="126" t="s">
        <v>963</v>
      </c>
      <c r="AJ580" s="126"/>
      <c r="AL580" s="120">
        <v>0</v>
      </c>
      <c r="AM580" s="127" t="s">
        <v>3114</v>
      </c>
      <c r="AN580" s="127" t="s">
        <v>5669</v>
      </c>
      <c r="AO580" s="50" t="s">
        <v>362</v>
      </c>
      <c r="AP580" s="50">
        <v>1</v>
      </c>
      <c r="AQ580" s="50">
        <v>0</v>
      </c>
      <c r="AR580" s="50">
        <v>1</v>
      </c>
      <c r="AS580" s="50">
        <v>0</v>
      </c>
      <c r="AU580" s="226">
        <v>0</v>
      </c>
      <c r="AV580" s="17">
        <f t="shared" si="97"/>
        <v>1</v>
      </c>
      <c r="AW580" s="50" t="str">
        <f t="shared" si="98"/>
        <v>{s_taskTalk,{60154,60154}}</v>
      </c>
    </row>
    <row r="581" spans="1:49" s="50" customFormat="1" ht="72" x14ac:dyDescent="0.15">
      <c r="A581" s="9">
        <v>1562</v>
      </c>
      <c r="C581" s="50" t="s">
        <v>2032</v>
      </c>
      <c r="D581" s="50">
        <v>1</v>
      </c>
      <c r="E581" s="50">
        <v>0</v>
      </c>
      <c r="F581" s="50">
        <v>3</v>
      </c>
      <c r="G581" s="120">
        <v>200</v>
      </c>
      <c r="H581" s="50">
        <v>200</v>
      </c>
      <c r="I581" s="17">
        <v>0</v>
      </c>
      <c r="J581" s="120">
        <v>1561</v>
      </c>
      <c r="K581" s="50">
        <v>0</v>
      </c>
      <c r="L581" s="50">
        <v>60154</v>
      </c>
      <c r="M581" s="50" t="s">
        <v>217</v>
      </c>
      <c r="N581" s="50">
        <v>60150</v>
      </c>
      <c r="O581" s="50" t="s">
        <v>215</v>
      </c>
      <c r="Q581" s="121"/>
      <c r="R581" s="121"/>
      <c r="S581" s="121"/>
      <c r="T581" s="121"/>
      <c r="U581" s="50">
        <v>1</v>
      </c>
      <c r="V581" s="50">
        <v>1</v>
      </c>
      <c r="W581" s="344">
        <v>20</v>
      </c>
      <c r="Z581" s="123">
        <v>27000</v>
      </c>
      <c r="AB581" s="124"/>
      <c r="AC581" s="124"/>
      <c r="AF581" s="126" t="s">
        <v>4547</v>
      </c>
      <c r="AG581" s="126" t="s">
        <v>4548</v>
      </c>
      <c r="AH581" s="126" t="s">
        <v>964</v>
      </c>
      <c r="AI581" s="126"/>
      <c r="AJ581" s="126"/>
      <c r="AL581" s="120">
        <v>0</v>
      </c>
      <c r="AM581" s="127" t="s">
        <v>6120</v>
      </c>
      <c r="AN581" s="127" t="s">
        <v>5670</v>
      </c>
      <c r="AP581" s="50">
        <v>1</v>
      </c>
      <c r="AQ581" s="50">
        <v>0</v>
      </c>
      <c r="AR581" s="50">
        <v>1</v>
      </c>
      <c r="AS581" s="50">
        <v>1</v>
      </c>
      <c r="AU581" s="226">
        <v>0</v>
      </c>
      <c r="AV581" s="17">
        <f t="shared" si="97"/>
        <v>1</v>
      </c>
      <c r="AW581" s="50" t="str">
        <f t="shared" si="98"/>
        <v>{s_taskTalk,{60154,60150}}</v>
      </c>
    </row>
    <row r="582" spans="1:49" s="50" customFormat="1" ht="84" x14ac:dyDescent="0.15">
      <c r="A582" s="9">
        <v>1563</v>
      </c>
      <c r="C582" s="50" t="s">
        <v>2033</v>
      </c>
      <c r="D582" s="50">
        <v>1</v>
      </c>
      <c r="E582" s="50">
        <v>0</v>
      </c>
      <c r="F582" s="50">
        <v>3</v>
      </c>
      <c r="G582" s="120">
        <v>200</v>
      </c>
      <c r="H582" s="50">
        <v>200</v>
      </c>
      <c r="I582" s="17">
        <v>0</v>
      </c>
      <c r="J582" s="120">
        <v>1562</v>
      </c>
      <c r="K582" s="50">
        <v>0</v>
      </c>
      <c r="L582" s="50">
        <v>60150</v>
      </c>
      <c r="M582" s="50" t="s">
        <v>215</v>
      </c>
      <c r="N582" s="50">
        <v>60150</v>
      </c>
      <c r="O582" s="50" t="s">
        <v>215</v>
      </c>
      <c r="Q582" s="121"/>
      <c r="R582" s="121"/>
      <c r="S582" s="121">
        <v>10152</v>
      </c>
      <c r="T582" s="121"/>
      <c r="U582" s="50">
        <v>1</v>
      </c>
      <c r="V582" s="50">
        <v>0</v>
      </c>
      <c r="W582" s="344">
        <v>20</v>
      </c>
      <c r="Z582" s="123">
        <v>30000</v>
      </c>
      <c r="AB582" s="124"/>
      <c r="AC582" s="124"/>
      <c r="AD582" s="122" t="s">
        <v>3972</v>
      </c>
      <c r="AF582" s="126" t="s">
        <v>1663</v>
      </c>
      <c r="AG582" s="126" t="s">
        <v>965</v>
      </c>
      <c r="AH582" s="126" t="s">
        <v>272</v>
      </c>
      <c r="AI582" s="126" t="s">
        <v>966</v>
      </c>
      <c r="AJ582" s="126"/>
      <c r="AL582" s="120">
        <v>0</v>
      </c>
      <c r="AM582" s="127" t="s">
        <v>6156</v>
      </c>
      <c r="AN582" s="127" t="s">
        <v>5671</v>
      </c>
      <c r="AP582" s="50">
        <v>1</v>
      </c>
      <c r="AQ582" s="50">
        <v>0</v>
      </c>
      <c r="AR582" s="50">
        <v>1</v>
      </c>
      <c r="AS582" s="50">
        <v>1</v>
      </c>
      <c r="AU582" s="226">
        <v>0</v>
      </c>
      <c r="AV582" s="17">
        <f t="shared" si="97"/>
        <v>1</v>
      </c>
      <c r="AW582" s="50" t="str">
        <f>"{s_taskKillNpc, {"&amp;L582&amp;","&amp;N582&amp;","&amp;S582&amp;","&amp;U582&amp;"}}"</f>
        <v>{s_taskKillNpc, {60150,60150,10152,1}}</v>
      </c>
    </row>
    <row r="583" spans="1:49" s="50" customFormat="1" ht="84.75" thickBot="1" x14ac:dyDescent="0.2">
      <c r="A583" s="9">
        <v>1493</v>
      </c>
      <c r="C583" s="50" t="s">
        <v>2034</v>
      </c>
      <c r="D583" s="50">
        <v>1</v>
      </c>
      <c r="E583" s="50">
        <v>0</v>
      </c>
      <c r="F583" s="50">
        <v>3</v>
      </c>
      <c r="G583" s="120">
        <v>200</v>
      </c>
      <c r="H583" s="50">
        <v>200</v>
      </c>
      <c r="I583" s="17">
        <v>0</v>
      </c>
      <c r="J583" s="120">
        <v>1563</v>
      </c>
      <c r="K583" s="50">
        <v>0</v>
      </c>
      <c r="L583" s="50">
        <v>60150</v>
      </c>
      <c r="M583" s="50" t="s">
        <v>215</v>
      </c>
      <c r="N583" s="50">
        <v>60000</v>
      </c>
      <c r="O583" s="50" t="s">
        <v>192</v>
      </c>
      <c r="Q583" s="121"/>
      <c r="R583" s="121"/>
      <c r="S583" s="121"/>
      <c r="T583" s="121"/>
      <c r="U583" s="50">
        <v>1</v>
      </c>
      <c r="V583" s="50">
        <v>1</v>
      </c>
      <c r="W583" s="344">
        <v>20</v>
      </c>
      <c r="Z583" s="123">
        <v>27000</v>
      </c>
      <c r="AA583" s="50">
        <v>20</v>
      </c>
      <c r="AB583" s="125"/>
      <c r="AC583" s="124"/>
      <c r="AF583" s="126" t="s">
        <v>4549</v>
      </c>
      <c r="AG583" s="126" t="s">
        <v>4550</v>
      </c>
      <c r="AH583" s="126" t="s">
        <v>4286</v>
      </c>
      <c r="AI583" s="126"/>
      <c r="AJ583" s="126"/>
      <c r="AL583" s="120">
        <v>0</v>
      </c>
      <c r="AM583" s="127" t="s">
        <v>6121</v>
      </c>
      <c r="AN583" s="127" t="s">
        <v>5672</v>
      </c>
      <c r="AP583" s="50">
        <v>1</v>
      </c>
      <c r="AQ583" s="50">
        <v>0</v>
      </c>
      <c r="AR583" s="50">
        <v>1</v>
      </c>
      <c r="AS583" s="50">
        <v>1</v>
      </c>
      <c r="AU583" s="226">
        <v>0</v>
      </c>
      <c r="AV583" s="17">
        <f t="shared" si="97"/>
        <v>1</v>
      </c>
      <c r="AW583" s="50" t="str">
        <f>"{s_taskTalk,{"&amp;L583&amp;","&amp;N583&amp;"}}"</f>
        <v>{s_taskTalk,{60150,60000}}</v>
      </c>
    </row>
    <row r="584" spans="1:49" s="366" customFormat="1" ht="108.75" thickBot="1" x14ac:dyDescent="0.2">
      <c r="A584" s="365">
        <v>1495</v>
      </c>
      <c r="C584" s="366" t="s">
        <v>4503</v>
      </c>
      <c r="D584" s="366">
        <v>1</v>
      </c>
      <c r="E584" s="366">
        <v>0</v>
      </c>
      <c r="F584" s="366">
        <v>3</v>
      </c>
      <c r="G584" s="120">
        <v>200</v>
      </c>
      <c r="H584" s="366">
        <v>200</v>
      </c>
      <c r="I584" s="17">
        <v>0</v>
      </c>
      <c r="J584" s="367">
        <v>0</v>
      </c>
      <c r="K584" s="366">
        <v>0</v>
      </c>
      <c r="L584" s="366">
        <v>60000</v>
      </c>
      <c r="M584" s="366" t="s">
        <v>192</v>
      </c>
      <c r="N584" s="366">
        <v>60000</v>
      </c>
      <c r="O584" s="366" t="s">
        <v>192</v>
      </c>
      <c r="Q584" s="368"/>
      <c r="R584" s="368"/>
      <c r="S584" s="368"/>
      <c r="T584" s="368"/>
      <c r="U584" s="366">
        <v>1</v>
      </c>
      <c r="V584" s="366">
        <v>0</v>
      </c>
      <c r="W584" s="103">
        <v>25</v>
      </c>
      <c r="Z584" s="369">
        <v>15000</v>
      </c>
      <c r="AB584" s="370"/>
      <c r="AC584" s="370"/>
      <c r="AD584" s="371"/>
      <c r="AF584" s="372" t="s">
        <v>4664</v>
      </c>
      <c r="AG584" s="372" t="s">
        <v>4665</v>
      </c>
      <c r="AH584" s="372" t="s">
        <v>4504</v>
      </c>
      <c r="AI584" s="372" t="s">
        <v>4360</v>
      </c>
      <c r="AJ584" s="372"/>
      <c r="AL584" s="367">
        <v>0</v>
      </c>
      <c r="AM584" s="366" t="s">
        <v>3115</v>
      </c>
      <c r="AN584" s="366" t="s">
        <v>5673</v>
      </c>
      <c r="AP584" s="366">
        <v>1</v>
      </c>
      <c r="AQ584" s="366">
        <v>0</v>
      </c>
      <c r="AR584" s="101">
        <v>1</v>
      </c>
      <c r="AS584" s="101">
        <v>1</v>
      </c>
      <c r="AU584" s="101">
        <v>0</v>
      </c>
      <c r="AV584" s="17">
        <f t="shared" si="97"/>
        <v>1</v>
      </c>
      <c r="AW584" s="101" t="str">
        <f>"{s_taskTalk,{"&amp;L584&amp;","&amp;N584&amp;"}}"</f>
        <v>{s_taskTalk,{60000,60000}}</v>
      </c>
    </row>
    <row r="585" spans="1:49" s="50" customFormat="1" ht="96" x14ac:dyDescent="0.15">
      <c r="A585" s="9">
        <v>1565</v>
      </c>
      <c r="C585" s="50" t="s">
        <v>2035</v>
      </c>
      <c r="D585" s="50">
        <v>1</v>
      </c>
      <c r="E585" s="50">
        <v>0</v>
      </c>
      <c r="F585" s="50">
        <v>3</v>
      </c>
      <c r="G585" s="120">
        <v>200</v>
      </c>
      <c r="H585" s="50">
        <v>200</v>
      </c>
      <c r="I585" s="17">
        <v>0</v>
      </c>
      <c r="J585" s="120">
        <v>1495</v>
      </c>
      <c r="K585" s="50">
        <v>0</v>
      </c>
      <c r="L585" s="50">
        <v>60000</v>
      </c>
      <c r="M585" s="50" t="s">
        <v>192</v>
      </c>
      <c r="N585" s="50">
        <v>60151</v>
      </c>
      <c r="O585" s="50" t="s">
        <v>216</v>
      </c>
      <c r="Q585" s="121"/>
      <c r="R585" s="121"/>
      <c r="S585" s="121"/>
      <c r="T585" s="121"/>
      <c r="U585" s="50">
        <v>1</v>
      </c>
      <c r="V585" s="50">
        <v>1</v>
      </c>
      <c r="W585" s="122">
        <v>25</v>
      </c>
      <c r="Z585" s="123">
        <v>47000</v>
      </c>
      <c r="AB585" s="124"/>
      <c r="AC585" s="124"/>
      <c r="AF585" s="126" t="s">
        <v>967</v>
      </c>
      <c r="AG585" s="126" t="s">
        <v>968</v>
      </c>
      <c r="AH585" s="126" t="s">
        <v>273</v>
      </c>
      <c r="AI585" s="126"/>
      <c r="AJ585" s="126"/>
      <c r="AL585" s="120"/>
      <c r="AM585" s="127" t="s">
        <v>3116</v>
      </c>
      <c r="AN585" s="127" t="s">
        <v>5674</v>
      </c>
      <c r="AP585" s="50">
        <v>1</v>
      </c>
      <c r="AQ585" s="50">
        <v>0</v>
      </c>
      <c r="AR585" s="50">
        <v>1</v>
      </c>
      <c r="AS585" s="50">
        <v>1</v>
      </c>
      <c r="AU585" s="226">
        <v>0</v>
      </c>
      <c r="AV585" s="17">
        <f t="shared" si="97"/>
        <v>1</v>
      </c>
      <c r="AW585" s="50" t="str">
        <f>"{s_taskTalk,{"&amp;L585&amp;","&amp;N585&amp;"}}"</f>
        <v>{s_taskTalk,{60000,60151}}</v>
      </c>
    </row>
    <row r="586" spans="1:49" s="50" customFormat="1" ht="96" x14ac:dyDescent="0.15">
      <c r="A586" s="9">
        <v>1571</v>
      </c>
      <c r="C586" s="50" t="s">
        <v>2036</v>
      </c>
      <c r="D586" s="50">
        <v>1</v>
      </c>
      <c r="E586" s="50">
        <v>0</v>
      </c>
      <c r="F586" s="50">
        <v>3</v>
      </c>
      <c r="G586" s="120">
        <v>200</v>
      </c>
      <c r="H586" s="50">
        <v>200</v>
      </c>
      <c r="I586" s="17">
        <v>0</v>
      </c>
      <c r="J586" s="120">
        <v>1565</v>
      </c>
      <c r="K586" s="50">
        <v>0</v>
      </c>
      <c r="L586" s="50">
        <v>60151</v>
      </c>
      <c r="M586" s="50" t="s">
        <v>216</v>
      </c>
      <c r="N586" s="50">
        <v>60150</v>
      </c>
      <c r="O586" s="50" t="s">
        <v>215</v>
      </c>
      <c r="Q586" s="121"/>
      <c r="R586" s="121"/>
      <c r="S586" s="121"/>
      <c r="T586" s="121"/>
      <c r="U586" s="50">
        <v>28</v>
      </c>
      <c r="V586" s="50">
        <v>0</v>
      </c>
      <c r="W586" s="122">
        <v>25</v>
      </c>
      <c r="Z586" s="123">
        <v>45000</v>
      </c>
      <c r="AB586" s="124"/>
      <c r="AC586" s="124">
        <v>500</v>
      </c>
      <c r="AF586" s="126" t="s">
        <v>969</v>
      </c>
      <c r="AG586" s="126" t="s">
        <v>970</v>
      </c>
      <c r="AH586" s="126" t="s">
        <v>971</v>
      </c>
      <c r="AI586" s="126" t="s">
        <v>972</v>
      </c>
      <c r="AJ586" s="126"/>
      <c r="AL586" s="120">
        <v>0</v>
      </c>
      <c r="AM586" s="127" t="s">
        <v>6157</v>
      </c>
      <c r="AN586" s="127" t="s">
        <v>5675</v>
      </c>
      <c r="AO586" s="50" t="s">
        <v>363</v>
      </c>
      <c r="AP586" s="50">
        <v>1</v>
      </c>
      <c r="AQ586" s="50">
        <v>0</v>
      </c>
      <c r="AR586" s="50">
        <v>1</v>
      </c>
      <c r="AS586" s="50">
        <v>1</v>
      </c>
      <c r="AU586" s="226">
        <v>0</v>
      </c>
      <c r="AV586" s="17">
        <f t="shared" si="97"/>
        <v>1</v>
      </c>
      <c r="AW586" s="50" t="str">
        <f>"{s_taskTalk,{"&amp;L586&amp;","&amp;N586&amp;"}}"</f>
        <v>{s_taskTalk,{60151,60150}}</v>
      </c>
    </row>
    <row r="587" spans="1:49" s="50" customFormat="1" ht="96" x14ac:dyDescent="0.15">
      <c r="A587" s="9">
        <v>1572</v>
      </c>
      <c r="C587" s="50" t="s">
        <v>2037</v>
      </c>
      <c r="D587" s="50">
        <v>1</v>
      </c>
      <c r="E587" s="50">
        <v>0</v>
      </c>
      <c r="F587" s="50">
        <v>3</v>
      </c>
      <c r="G587" s="120">
        <v>200</v>
      </c>
      <c r="H587" s="50">
        <v>200</v>
      </c>
      <c r="I587" s="17">
        <v>0</v>
      </c>
      <c r="J587" s="120">
        <v>1571</v>
      </c>
      <c r="K587" s="50">
        <v>0</v>
      </c>
      <c r="L587" s="50">
        <v>60150</v>
      </c>
      <c r="M587" s="50" t="s">
        <v>215</v>
      </c>
      <c r="N587" s="50">
        <v>60150</v>
      </c>
      <c r="O587" s="50" t="s">
        <v>215</v>
      </c>
      <c r="Q587" s="121"/>
      <c r="R587" s="121"/>
      <c r="S587" s="121">
        <v>10153</v>
      </c>
      <c r="T587" s="121"/>
      <c r="U587" s="50">
        <v>1</v>
      </c>
      <c r="V587" s="50">
        <v>0</v>
      </c>
      <c r="W587" s="122">
        <v>25</v>
      </c>
      <c r="Z587" s="123">
        <v>43000</v>
      </c>
      <c r="AB587" s="124"/>
      <c r="AC587" s="124"/>
      <c r="AD587" s="122" t="s">
        <v>7206</v>
      </c>
      <c r="AF587" s="126" t="s">
        <v>973</v>
      </c>
      <c r="AG587" s="126" t="s">
        <v>67</v>
      </c>
      <c r="AH587" s="126" t="s">
        <v>3308</v>
      </c>
      <c r="AI587" s="126" t="s">
        <v>974</v>
      </c>
      <c r="AJ587" s="126"/>
      <c r="AL587" s="120">
        <v>0</v>
      </c>
      <c r="AM587" s="127" t="s">
        <v>3117</v>
      </c>
      <c r="AN587" s="127" t="s">
        <v>5676</v>
      </c>
      <c r="AP587" s="50">
        <v>1</v>
      </c>
      <c r="AQ587" s="50">
        <v>0</v>
      </c>
      <c r="AR587" s="50">
        <v>1</v>
      </c>
      <c r="AS587" s="50">
        <v>1</v>
      </c>
      <c r="AU587" s="226">
        <v>0</v>
      </c>
      <c r="AV587" s="17">
        <f t="shared" si="97"/>
        <v>1</v>
      </c>
      <c r="AW587" s="50" t="str">
        <f>"{s_taskKillNpc, {"&amp;L587&amp;","&amp;N587&amp;","&amp;S587&amp;","&amp;U587&amp;"}}"</f>
        <v>{s_taskKillNpc, {60150,60150,10153,1}}</v>
      </c>
    </row>
    <row r="588" spans="1:49" s="50" customFormat="1" ht="96" x14ac:dyDescent="0.15">
      <c r="A588" s="9">
        <v>1573</v>
      </c>
      <c r="C588" s="50" t="s">
        <v>2038</v>
      </c>
      <c r="D588" s="50">
        <v>1</v>
      </c>
      <c r="E588" s="50">
        <v>0</v>
      </c>
      <c r="F588" s="50">
        <v>3</v>
      </c>
      <c r="G588" s="120">
        <v>200</v>
      </c>
      <c r="H588" s="50">
        <v>200</v>
      </c>
      <c r="I588" s="17">
        <v>0</v>
      </c>
      <c r="J588" s="120">
        <v>1572</v>
      </c>
      <c r="K588" s="50">
        <v>0</v>
      </c>
      <c r="L588" s="50">
        <v>60150</v>
      </c>
      <c r="M588" s="50" t="s">
        <v>215</v>
      </c>
      <c r="N588" s="50">
        <v>60152</v>
      </c>
      <c r="O588" s="50" t="s">
        <v>218</v>
      </c>
      <c r="Q588" s="121"/>
      <c r="R588" s="121"/>
      <c r="S588" s="121"/>
      <c r="T588" s="121"/>
      <c r="U588" s="50">
        <v>1</v>
      </c>
      <c r="V588" s="50">
        <v>1</v>
      </c>
      <c r="W588" s="122">
        <v>25</v>
      </c>
      <c r="Z588" s="123">
        <v>47000</v>
      </c>
      <c r="AB588" s="124"/>
      <c r="AC588" s="124"/>
      <c r="AD588" s="50" t="s">
        <v>2981</v>
      </c>
      <c r="AF588" s="126" t="s">
        <v>4287</v>
      </c>
      <c r="AG588" s="126" t="s">
        <v>4288</v>
      </c>
      <c r="AH588" s="126" t="s">
        <v>653</v>
      </c>
      <c r="AI588" s="126"/>
      <c r="AJ588" s="126"/>
      <c r="AL588" s="120">
        <v>0</v>
      </c>
      <c r="AM588" s="127" t="s">
        <v>3118</v>
      </c>
      <c r="AN588" s="127" t="s">
        <v>5677</v>
      </c>
      <c r="AP588" s="50">
        <v>1</v>
      </c>
      <c r="AQ588" s="50">
        <v>0</v>
      </c>
      <c r="AR588" s="50">
        <v>1</v>
      </c>
      <c r="AS588" s="50">
        <v>1</v>
      </c>
      <c r="AU588" s="226">
        <v>0</v>
      </c>
      <c r="AV588" s="17">
        <f t="shared" si="97"/>
        <v>1</v>
      </c>
      <c r="AW588" s="50" t="str">
        <f>"{s_taskTalk,{"&amp;L588&amp;","&amp;N588&amp;"}}"</f>
        <v>{s_taskTalk,{60150,60152}}</v>
      </c>
    </row>
    <row r="589" spans="1:49" s="50" customFormat="1" ht="132" x14ac:dyDescent="0.15">
      <c r="A589" s="9">
        <v>1581</v>
      </c>
      <c r="C589" s="50" t="s">
        <v>2039</v>
      </c>
      <c r="D589" s="50">
        <v>1</v>
      </c>
      <c r="E589" s="50">
        <v>0</v>
      </c>
      <c r="F589" s="50">
        <v>3</v>
      </c>
      <c r="G589" s="120">
        <v>200</v>
      </c>
      <c r="H589" s="50">
        <v>200</v>
      </c>
      <c r="I589" s="17">
        <v>0</v>
      </c>
      <c r="J589" s="120">
        <v>1573</v>
      </c>
      <c r="K589" s="50">
        <v>0</v>
      </c>
      <c r="L589" s="50">
        <v>60152</v>
      </c>
      <c r="M589" s="50" t="s">
        <v>218</v>
      </c>
      <c r="N589" s="50">
        <v>60152</v>
      </c>
      <c r="O589" s="50" t="s">
        <v>218</v>
      </c>
      <c r="Q589" s="121"/>
      <c r="R589" s="121"/>
      <c r="S589" s="121"/>
      <c r="T589" s="121"/>
      <c r="U589" s="50">
        <v>28</v>
      </c>
      <c r="V589" s="50">
        <v>0</v>
      </c>
      <c r="W589" s="122">
        <v>25</v>
      </c>
      <c r="Z589" s="123">
        <v>39000</v>
      </c>
      <c r="AB589" s="124"/>
      <c r="AC589" s="124"/>
      <c r="AD589" s="122" t="s">
        <v>4005</v>
      </c>
      <c r="AF589" s="126" t="s">
        <v>975</v>
      </c>
      <c r="AG589" s="126" t="s">
        <v>976</v>
      </c>
      <c r="AH589" s="126" t="s">
        <v>977</v>
      </c>
      <c r="AI589" s="126" t="s">
        <v>978</v>
      </c>
      <c r="AJ589" s="126"/>
      <c r="AL589" s="120">
        <v>0</v>
      </c>
      <c r="AM589" s="127" t="s">
        <v>3119</v>
      </c>
      <c r="AN589" s="127" t="s">
        <v>5678</v>
      </c>
      <c r="AO589" s="50" t="s">
        <v>364</v>
      </c>
      <c r="AP589" s="50">
        <v>1</v>
      </c>
      <c r="AQ589" s="50">
        <v>0</v>
      </c>
      <c r="AR589" s="50">
        <v>1</v>
      </c>
      <c r="AS589" s="50">
        <v>1</v>
      </c>
      <c r="AU589" s="226">
        <v>0</v>
      </c>
      <c r="AV589" s="17">
        <f t="shared" si="97"/>
        <v>1</v>
      </c>
      <c r="AW589" s="50" t="str">
        <f>"{s_taskTalk,{"&amp;L589&amp;","&amp;N589&amp;"}}"</f>
        <v>{s_taskTalk,{60152,60152}}</v>
      </c>
    </row>
    <row r="590" spans="1:49" s="50" customFormat="1" ht="72" x14ac:dyDescent="0.15">
      <c r="A590" s="9">
        <v>1582</v>
      </c>
      <c r="C590" s="50" t="s">
        <v>2040</v>
      </c>
      <c r="D590" s="50">
        <v>1</v>
      </c>
      <c r="E590" s="50">
        <v>0</v>
      </c>
      <c r="F590" s="50">
        <v>3</v>
      </c>
      <c r="G590" s="120">
        <v>200</v>
      </c>
      <c r="H590" s="50">
        <v>200</v>
      </c>
      <c r="I590" s="17">
        <v>0</v>
      </c>
      <c r="J590" s="120">
        <v>1581</v>
      </c>
      <c r="K590" s="50">
        <v>0</v>
      </c>
      <c r="L590" s="50">
        <v>60152</v>
      </c>
      <c r="M590" s="50" t="s">
        <v>218</v>
      </c>
      <c r="N590" s="50">
        <v>60153</v>
      </c>
      <c r="O590" s="50" t="s">
        <v>219</v>
      </c>
      <c r="Q590" s="121"/>
      <c r="R590" s="121"/>
      <c r="S590" s="121"/>
      <c r="T590" s="121"/>
      <c r="U590" s="50">
        <v>1</v>
      </c>
      <c r="V590" s="50">
        <v>1</v>
      </c>
      <c r="W590" s="122">
        <v>25</v>
      </c>
      <c r="Z590" s="123">
        <v>47500</v>
      </c>
      <c r="AB590" s="124"/>
      <c r="AC590" s="124"/>
      <c r="AD590" s="122"/>
      <c r="AF590" s="126" t="s">
        <v>979</v>
      </c>
      <c r="AG590" s="126" t="s">
        <v>980</v>
      </c>
      <c r="AH590" s="126" t="s">
        <v>981</v>
      </c>
      <c r="AI590" s="126"/>
      <c r="AJ590" s="126"/>
      <c r="AL590" s="120">
        <v>0</v>
      </c>
      <c r="AM590" s="127" t="s">
        <v>3120</v>
      </c>
      <c r="AN590" s="127" t="s">
        <v>5679</v>
      </c>
      <c r="AP590" s="50">
        <v>1</v>
      </c>
      <c r="AQ590" s="50">
        <v>0</v>
      </c>
      <c r="AR590" s="50">
        <v>1</v>
      </c>
      <c r="AS590" s="50">
        <v>1</v>
      </c>
      <c r="AU590" s="226">
        <v>0</v>
      </c>
      <c r="AV590" s="17">
        <f t="shared" si="97"/>
        <v>1</v>
      </c>
      <c r="AW590" s="50" t="str">
        <f>"{s_taskTalk,{"&amp;L590&amp;","&amp;N590&amp;"}}"</f>
        <v>{s_taskTalk,{60152,60153}}</v>
      </c>
    </row>
    <row r="591" spans="1:49" s="50" customFormat="1" ht="96" x14ac:dyDescent="0.15">
      <c r="A591" s="9">
        <v>1583</v>
      </c>
      <c r="C591" s="50" t="s">
        <v>2041</v>
      </c>
      <c r="D591" s="50">
        <v>1</v>
      </c>
      <c r="E591" s="50">
        <v>0</v>
      </c>
      <c r="F591" s="50">
        <v>3</v>
      </c>
      <c r="G591" s="120">
        <v>200</v>
      </c>
      <c r="H591" s="50">
        <v>200</v>
      </c>
      <c r="I591" s="17">
        <v>0</v>
      </c>
      <c r="J591" s="120">
        <v>1582</v>
      </c>
      <c r="K591" s="50">
        <v>0</v>
      </c>
      <c r="L591" s="50">
        <v>60153</v>
      </c>
      <c r="M591" s="50" t="s">
        <v>219</v>
      </c>
      <c r="N591" s="50">
        <v>60153</v>
      </c>
      <c r="O591" s="50" t="s">
        <v>219</v>
      </c>
      <c r="Q591" s="121"/>
      <c r="R591" s="121"/>
      <c r="S591" s="121">
        <v>10138</v>
      </c>
      <c r="T591" s="121"/>
      <c r="U591" s="50">
        <v>1</v>
      </c>
      <c r="V591" s="50">
        <v>0</v>
      </c>
      <c r="W591" s="122">
        <v>25</v>
      </c>
      <c r="Z591" s="123">
        <v>37000</v>
      </c>
      <c r="AB591" s="124"/>
      <c r="AC591" s="124"/>
      <c r="AF591" s="126" t="s">
        <v>982</v>
      </c>
      <c r="AG591" s="126" t="s">
        <v>983</v>
      </c>
      <c r="AH591" s="126" t="s">
        <v>984</v>
      </c>
      <c r="AI591" s="126" t="s">
        <v>985</v>
      </c>
      <c r="AJ591" s="126"/>
      <c r="AL591" s="120">
        <v>0</v>
      </c>
      <c r="AM591" s="127" t="s">
        <v>6158</v>
      </c>
      <c r="AN591" s="127" t="s">
        <v>5680</v>
      </c>
      <c r="AP591" s="50">
        <v>1</v>
      </c>
      <c r="AQ591" s="50">
        <v>0</v>
      </c>
      <c r="AR591" s="50">
        <v>1</v>
      </c>
      <c r="AS591" s="50">
        <v>1</v>
      </c>
      <c r="AU591" s="226">
        <v>0</v>
      </c>
      <c r="AV591" s="17">
        <f t="shared" si="97"/>
        <v>1</v>
      </c>
      <c r="AW591" s="50" t="str">
        <f>"{s_taskKillNpc, {"&amp;L591&amp;","&amp;N591&amp;","&amp;S591&amp;","&amp;U591&amp;"}}"</f>
        <v>{s_taskKillNpc, {60153,60153,10138,1}}</v>
      </c>
    </row>
    <row r="592" spans="1:49" s="205" customFormat="1" ht="96.75" thickBot="1" x14ac:dyDescent="0.2">
      <c r="A592" s="9">
        <v>1584</v>
      </c>
      <c r="C592" s="205" t="s">
        <v>2042</v>
      </c>
      <c r="D592" s="205">
        <v>1</v>
      </c>
      <c r="E592" s="205">
        <v>0</v>
      </c>
      <c r="F592" s="205">
        <v>3</v>
      </c>
      <c r="G592" s="120">
        <v>200</v>
      </c>
      <c r="H592" s="205">
        <v>200</v>
      </c>
      <c r="I592" s="17">
        <v>0</v>
      </c>
      <c r="J592" s="136">
        <v>1583</v>
      </c>
      <c r="K592" s="205">
        <v>0</v>
      </c>
      <c r="L592" s="205">
        <v>60153</v>
      </c>
      <c r="M592" s="205" t="s">
        <v>219</v>
      </c>
      <c r="N592" s="205">
        <v>60152</v>
      </c>
      <c r="O592" s="205" t="s">
        <v>218</v>
      </c>
      <c r="Q592" s="121">
        <v>60145</v>
      </c>
      <c r="R592" s="121"/>
      <c r="S592" s="121"/>
      <c r="T592" s="121"/>
      <c r="U592" s="205">
        <v>3</v>
      </c>
      <c r="V592" s="205">
        <v>0</v>
      </c>
      <c r="W592" s="122">
        <v>25</v>
      </c>
      <c r="Z592" s="206">
        <v>40000</v>
      </c>
      <c r="AB592" s="207"/>
      <c r="AC592" s="207"/>
      <c r="AF592" s="126" t="s">
        <v>3935</v>
      </c>
      <c r="AG592" s="126" t="s">
        <v>986</v>
      </c>
      <c r="AH592" s="126" t="s">
        <v>274</v>
      </c>
      <c r="AI592" s="126" t="s">
        <v>987</v>
      </c>
      <c r="AJ592" s="126"/>
      <c r="AL592" s="136">
        <v>0</v>
      </c>
      <c r="AM592" s="204" t="s">
        <v>3121</v>
      </c>
      <c r="AN592" s="204" t="s">
        <v>5681</v>
      </c>
      <c r="AO592" s="205" t="s">
        <v>4867</v>
      </c>
      <c r="AP592" s="205">
        <v>1</v>
      </c>
      <c r="AQ592" s="205">
        <v>0</v>
      </c>
      <c r="AR592" s="50">
        <v>1</v>
      </c>
      <c r="AS592" s="50">
        <v>1</v>
      </c>
      <c r="AU592" s="226">
        <v>0</v>
      </c>
      <c r="AV592" s="17">
        <f t="shared" si="97"/>
        <v>1</v>
      </c>
      <c r="AW592" s="50" t="str">
        <f>"{s_taskTalk,{"&amp;L592&amp;","&amp;N592&amp;"}}"</f>
        <v>{s_taskTalk,{60153,60152}}</v>
      </c>
    </row>
    <row r="593" spans="1:49" s="242" customFormat="1" ht="72" x14ac:dyDescent="0.15">
      <c r="A593" s="354">
        <v>1585</v>
      </c>
      <c r="C593" s="242" t="s">
        <v>3389</v>
      </c>
      <c r="D593" s="242">
        <v>1</v>
      </c>
      <c r="E593" s="242">
        <v>0</v>
      </c>
      <c r="F593" s="242">
        <v>3</v>
      </c>
      <c r="G593" s="120">
        <v>200</v>
      </c>
      <c r="H593" s="242">
        <v>200</v>
      </c>
      <c r="I593" s="17">
        <v>0</v>
      </c>
      <c r="J593" s="249">
        <v>1584</v>
      </c>
      <c r="K593" s="242">
        <v>0</v>
      </c>
      <c r="L593" s="242">
        <v>60152</v>
      </c>
      <c r="M593" s="242" t="s">
        <v>218</v>
      </c>
      <c r="N593" s="242">
        <v>113</v>
      </c>
      <c r="O593" s="242" t="s">
        <v>199</v>
      </c>
      <c r="Q593" s="244"/>
      <c r="R593" s="244"/>
      <c r="S593" s="244"/>
      <c r="T593" s="244"/>
      <c r="U593" s="242">
        <v>1</v>
      </c>
      <c r="V593" s="242">
        <v>1</v>
      </c>
      <c r="W593" s="122">
        <v>25</v>
      </c>
      <c r="Z593" s="245">
        <v>31000</v>
      </c>
      <c r="AB593" s="246"/>
      <c r="AC593" s="246"/>
      <c r="AD593" s="373" t="s">
        <v>4001</v>
      </c>
      <c r="AF593" s="248" t="s">
        <v>4289</v>
      </c>
      <c r="AG593" s="248" t="s">
        <v>4290</v>
      </c>
      <c r="AH593" s="248" t="s">
        <v>988</v>
      </c>
      <c r="AI593" s="248"/>
      <c r="AJ593" s="248"/>
      <c r="AL593" s="249">
        <v>0</v>
      </c>
      <c r="AM593" s="242" t="s">
        <v>3122</v>
      </c>
      <c r="AN593" s="242" t="s">
        <v>5682</v>
      </c>
      <c r="AP593" s="242">
        <v>1</v>
      </c>
      <c r="AQ593" s="242">
        <v>0</v>
      </c>
      <c r="AR593" s="50">
        <v>1</v>
      </c>
      <c r="AS593" s="50">
        <v>1</v>
      </c>
      <c r="AU593" s="226">
        <v>0</v>
      </c>
      <c r="AV593" s="17">
        <f t="shared" si="97"/>
        <v>1</v>
      </c>
      <c r="AW593" s="50" t="str">
        <f>"{s_taskTalk,{"&amp;L593&amp;","&amp;N593&amp;"}}"</f>
        <v>{s_taskTalk,{60152,113}}</v>
      </c>
    </row>
    <row r="594" spans="1:49" s="325" customFormat="1" ht="168.75" thickBot="1" x14ac:dyDescent="0.2">
      <c r="A594" s="324">
        <v>1586</v>
      </c>
      <c r="C594" s="325" t="s">
        <v>2043</v>
      </c>
      <c r="D594" s="325">
        <v>1</v>
      </c>
      <c r="E594" s="325">
        <v>0</v>
      </c>
      <c r="F594" s="325">
        <v>3</v>
      </c>
      <c r="G594" s="120">
        <v>200</v>
      </c>
      <c r="H594" s="325">
        <v>200</v>
      </c>
      <c r="I594" s="17">
        <v>0</v>
      </c>
      <c r="J594" s="331">
        <v>1585</v>
      </c>
      <c r="K594" s="325">
        <v>0</v>
      </c>
      <c r="L594" s="325">
        <v>113</v>
      </c>
      <c r="M594" s="325" t="s">
        <v>199</v>
      </c>
      <c r="N594" s="325">
        <v>60152</v>
      </c>
      <c r="O594" s="325" t="s">
        <v>218</v>
      </c>
      <c r="Q594" s="327"/>
      <c r="R594" s="327"/>
      <c r="S594" s="327"/>
      <c r="T594" s="327"/>
      <c r="U594" s="325">
        <v>1</v>
      </c>
      <c r="V594" s="325">
        <v>0</v>
      </c>
      <c r="W594" s="122">
        <v>25</v>
      </c>
      <c r="Z594" s="328">
        <v>31000</v>
      </c>
      <c r="AB594" s="329"/>
      <c r="AC594" s="329"/>
      <c r="AF594" s="330" t="s">
        <v>4291</v>
      </c>
      <c r="AG594" s="330" t="s">
        <v>989</v>
      </c>
      <c r="AH594" s="330" t="s">
        <v>990</v>
      </c>
      <c r="AI594" s="330" t="s">
        <v>991</v>
      </c>
      <c r="AJ594" s="330"/>
      <c r="AL594" s="331">
        <v>0</v>
      </c>
      <c r="AM594" s="325" t="s">
        <v>4015</v>
      </c>
      <c r="AN594" s="325" t="s">
        <v>5683</v>
      </c>
      <c r="AP594" s="325">
        <v>1</v>
      </c>
      <c r="AQ594" s="325">
        <v>0</v>
      </c>
      <c r="AR594" s="50">
        <v>1</v>
      </c>
      <c r="AS594" s="50">
        <v>1</v>
      </c>
      <c r="AU594" s="226">
        <v>0</v>
      </c>
      <c r="AV594" s="17">
        <f t="shared" si="97"/>
        <v>1</v>
      </c>
      <c r="AW594" s="50" t="str">
        <f>"{s_taskTalk,{"&amp;L594&amp;","&amp;N594&amp;"}}"</f>
        <v>{s_taskTalk,{113,60152}}</v>
      </c>
    </row>
    <row r="595" spans="1:49" s="374" customFormat="1" ht="84" x14ac:dyDescent="0.15">
      <c r="A595" s="100">
        <v>1591</v>
      </c>
      <c r="C595" s="374" t="s">
        <v>2044</v>
      </c>
      <c r="D595" s="374">
        <v>1</v>
      </c>
      <c r="E595" s="374">
        <v>0</v>
      </c>
      <c r="F595" s="374">
        <v>3</v>
      </c>
      <c r="G595" s="120">
        <v>200</v>
      </c>
      <c r="H595" s="374">
        <v>200</v>
      </c>
      <c r="I595" s="17">
        <v>0</v>
      </c>
      <c r="J595" s="375">
        <v>1586</v>
      </c>
      <c r="K595" s="374">
        <v>0</v>
      </c>
      <c r="L595" s="374">
        <v>60152</v>
      </c>
      <c r="M595" s="374" t="s">
        <v>218</v>
      </c>
      <c r="N595" s="374">
        <v>60152</v>
      </c>
      <c r="O595" s="374" t="s">
        <v>218</v>
      </c>
      <c r="Q595" s="102"/>
      <c r="R595" s="102"/>
      <c r="S595" s="102">
        <v>10065</v>
      </c>
      <c r="T595" s="102"/>
      <c r="U595" s="374">
        <v>40</v>
      </c>
      <c r="V595" s="374">
        <v>0</v>
      </c>
      <c r="W595" s="103">
        <v>25</v>
      </c>
      <c r="Z595" s="376">
        <v>52000</v>
      </c>
      <c r="AB595" s="377"/>
      <c r="AC595" s="377"/>
      <c r="AF595" s="378" t="s">
        <v>4292</v>
      </c>
      <c r="AG595" s="378" t="s">
        <v>4293</v>
      </c>
      <c r="AH595" s="378" t="s">
        <v>984</v>
      </c>
      <c r="AI595" s="378"/>
      <c r="AJ595" s="378"/>
      <c r="AL595" s="375">
        <v>0</v>
      </c>
      <c r="AM595" s="379" t="s">
        <v>6159</v>
      </c>
      <c r="AN595" s="379" t="s">
        <v>5684</v>
      </c>
      <c r="AP595" s="374">
        <v>1</v>
      </c>
      <c r="AQ595" s="374">
        <v>0</v>
      </c>
      <c r="AR595" s="50">
        <v>1</v>
      </c>
      <c r="AS595" s="50">
        <v>1</v>
      </c>
      <c r="AU595" s="226">
        <v>0</v>
      </c>
      <c r="AV595" s="17">
        <f t="shared" si="97"/>
        <v>1</v>
      </c>
      <c r="AW595" s="101" t="str">
        <f>"{s_taskKillNpc, {"&amp;L595&amp;","&amp;N595&amp;","&amp;S595&amp;","&amp;U595&amp;"}}"</f>
        <v>{s_taskKillNpc, {60152,60152,10065,40}}</v>
      </c>
    </row>
    <row r="596" spans="1:49" s="374" customFormat="1" ht="84" x14ac:dyDescent="0.15">
      <c r="A596" s="100">
        <v>1589</v>
      </c>
      <c r="C596" s="374" t="s">
        <v>2044</v>
      </c>
      <c r="D596" s="374">
        <v>1</v>
      </c>
      <c r="E596" s="374">
        <v>0</v>
      </c>
      <c r="F596" s="374">
        <v>3</v>
      </c>
      <c r="G596" s="120">
        <v>200</v>
      </c>
      <c r="H596" s="374">
        <v>200</v>
      </c>
      <c r="I596" s="17">
        <v>0</v>
      </c>
      <c r="J596" s="375">
        <v>0</v>
      </c>
      <c r="K596" s="374">
        <v>0</v>
      </c>
      <c r="L596" s="374">
        <v>60152</v>
      </c>
      <c r="M596" s="374" t="s">
        <v>218</v>
      </c>
      <c r="N596" s="374">
        <v>60152</v>
      </c>
      <c r="O596" s="374" t="s">
        <v>218</v>
      </c>
      <c r="Q596" s="102"/>
      <c r="R596" s="102"/>
      <c r="S596" s="102">
        <v>10065</v>
      </c>
      <c r="T596" s="102"/>
      <c r="U596" s="374">
        <v>40</v>
      </c>
      <c r="V596" s="374">
        <v>0</v>
      </c>
      <c r="W596" s="103">
        <v>25</v>
      </c>
      <c r="Z596" s="376">
        <v>52000</v>
      </c>
      <c r="AB596" s="377"/>
      <c r="AC596" s="377"/>
      <c r="AD596" s="103" t="s">
        <v>7207</v>
      </c>
      <c r="AF596" s="378" t="s">
        <v>4292</v>
      </c>
      <c r="AG596" s="378" t="s">
        <v>4293</v>
      </c>
      <c r="AH596" s="378" t="s">
        <v>984</v>
      </c>
      <c r="AI596" s="378"/>
      <c r="AJ596" s="378"/>
      <c r="AL596" s="375">
        <v>0</v>
      </c>
      <c r="AM596" s="379" t="s">
        <v>6159</v>
      </c>
      <c r="AN596" s="379" t="s">
        <v>5684</v>
      </c>
      <c r="AP596" s="374">
        <v>0</v>
      </c>
      <c r="AQ596" s="374">
        <v>0</v>
      </c>
      <c r="AR596" s="50">
        <v>1</v>
      </c>
      <c r="AS596" s="50">
        <v>1</v>
      </c>
      <c r="AU596" s="226">
        <v>0</v>
      </c>
      <c r="AV596" s="17">
        <f t="shared" si="97"/>
        <v>1</v>
      </c>
      <c r="AW596" s="101" t="str">
        <f>"{s_taskKillNpc, {"&amp;L596&amp;","&amp;N596&amp;","&amp;S596&amp;","&amp;U596&amp;"}}"</f>
        <v>{s_taskKillNpc, {60152,60152,10065,40}}</v>
      </c>
    </row>
    <row r="597" spans="1:49" s="374" customFormat="1" ht="84" x14ac:dyDescent="0.15">
      <c r="A597" s="100">
        <v>1590</v>
      </c>
      <c r="C597" s="374" t="s">
        <v>2044</v>
      </c>
      <c r="D597" s="374">
        <v>1</v>
      </c>
      <c r="E597" s="374">
        <v>0</v>
      </c>
      <c r="F597" s="374">
        <v>3</v>
      </c>
      <c r="G597" s="120">
        <v>200</v>
      </c>
      <c r="H597" s="374">
        <v>200</v>
      </c>
      <c r="I597" s="17">
        <v>0</v>
      </c>
      <c r="J597" s="375">
        <v>0</v>
      </c>
      <c r="K597" s="374">
        <v>0</v>
      </c>
      <c r="L597" s="374">
        <v>60152</v>
      </c>
      <c r="M597" s="374" t="s">
        <v>218</v>
      </c>
      <c r="N597" s="374">
        <v>60152</v>
      </c>
      <c r="O597" s="374" t="s">
        <v>218</v>
      </c>
      <c r="Q597" s="102"/>
      <c r="R597" s="102"/>
      <c r="S597" s="102">
        <v>10065</v>
      </c>
      <c r="T597" s="102"/>
      <c r="U597" s="374">
        <v>40</v>
      </c>
      <c r="V597" s="374">
        <v>0</v>
      </c>
      <c r="W597" s="103">
        <v>25</v>
      </c>
      <c r="Z597" s="376">
        <v>52000</v>
      </c>
      <c r="AB597" s="377"/>
      <c r="AC597" s="377"/>
      <c r="AD597" s="103" t="s">
        <v>7208</v>
      </c>
      <c r="AF597" s="378" t="s">
        <v>4292</v>
      </c>
      <c r="AG597" s="378" t="s">
        <v>4293</v>
      </c>
      <c r="AH597" s="378" t="s">
        <v>984</v>
      </c>
      <c r="AI597" s="378"/>
      <c r="AJ597" s="378"/>
      <c r="AL597" s="375">
        <v>0</v>
      </c>
      <c r="AM597" s="379" t="s">
        <v>6159</v>
      </c>
      <c r="AN597" s="379" t="s">
        <v>5684</v>
      </c>
      <c r="AP597" s="374">
        <v>0</v>
      </c>
      <c r="AQ597" s="374">
        <v>0</v>
      </c>
      <c r="AR597" s="50">
        <v>1</v>
      </c>
      <c r="AS597" s="50">
        <v>1</v>
      </c>
      <c r="AU597" s="226">
        <v>0</v>
      </c>
      <c r="AV597" s="17">
        <f t="shared" si="97"/>
        <v>1</v>
      </c>
      <c r="AW597" s="101" t="str">
        <f>"{s_taskKillNpc, {"&amp;L597&amp;","&amp;N597&amp;","&amp;S597&amp;","&amp;U597&amp;"}}"</f>
        <v>{s_taskKillNpc, {60152,60152,10065,40}}</v>
      </c>
    </row>
    <row r="598" spans="1:49" s="50" customFormat="1" ht="84" x14ac:dyDescent="0.15">
      <c r="A598" s="9">
        <v>1592</v>
      </c>
      <c r="C598" s="50" t="s">
        <v>2045</v>
      </c>
      <c r="D598" s="50">
        <v>1</v>
      </c>
      <c r="E598" s="50">
        <v>0</v>
      </c>
      <c r="F598" s="50">
        <v>3</v>
      </c>
      <c r="G598" s="120">
        <v>200</v>
      </c>
      <c r="H598" s="50">
        <v>200</v>
      </c>
      <c r="I598" s="17">
        <v>0</v>
      </c>
      <c r="J598" s="120">
        <v>1591</v>
      </c>
      <c r="K598" s="50">
        <v>0</v>
      </c>
      <c r="L598" s="50">
        <v>60152</v>
      </c>
      <c r="M598" s="50" t="s">
        <v>218</v>
      </c>
      <c r="N598" s="50">
        <v>60153</v>
      </c>
      <c r="O598" s="50" t="s">
        <v>219</v>
      </c>
      <c r="Q598" s="121"/>
      <c r="R598" s="121"/>
      <c r="S598" s="121"/>
      <c r="T598" s="121"/>
      <c r="U598" s="50">
        <v>1</v>
      </c>
      <c r="V598" s="50">
        <v>1</v>
      </c>
      <c r="W598" s="122">
        <v>25</v>
      </c>
      <c r="Z598" s="123">
        <v>58000</v>
      </c>
      <c r="AB598" s="124"/>
      <c r="AC598" s="124"/>
      <c r="AF598" s="126" t="s">
        <v>4294</v>
      </c>
      <c r="AG598" s="126" t="s">
        <v>4295</v>
      </c>
      <c r="AH598" s="126" t="s">
        <v>992</v>
      </c>
      <c r="AI598" s="126"/>
      <c r="AJ598" s="126"/>
      <c r="AL598" s="120">
        <v>0</v>
      </c>
      <c r="AM598" s="127" t="s">
        <v>3123</v>
      </c>
      <c r="AN598" s="127" t="s">
        <v>5685</v>
      </c>
      <c r="AP598" s="50">
        <v>1</v>
      </c>
      <c r="AQ598" s="50">
        <v>0</v>
      </c>
      <c r="AR598" s="50">
        <v>1</v>
      </c>
      <c r="AS598" s="50">
        <v>1</v>
      </c>
      <c r="AU598" s="226">
        <v>0</v>
      </c>
      <c r="AV598" s="17">
        <f t="shared" si="97"/>
        <v>1</v>
      </c>
      <c r="AW598" s="50" t="str">
        <f>"{s_taskTalk,{"&amp;L598&amp;","&amp;N598&amp;"}}"</f>
        <v>{s_taskTalk,{60152,60153}}</v>
      </c>
    </row>
    <row r="599" spans="1:49" s="50" customFormat="1" ht="84" x14ac:dyDescent="0.15">
      <c r="A599" s="9">
        <v>1593</v>
      </c>
      <c r="C599" s="50" t="s">
        <v>2046</v>
      </c>
      <c r="D599" s="50">
        <v>1</v>
      </c>
      <c r="E599" s="50">
        <v>0</v>
      </c>
      <c r="F599" s="50">
        <v>3</v>
      </c>
      <c r="G599" s="120">
        <v>200</v>
      </c>
      <c r="H599" s="50">
        <v>200</v>
      </c>
      <c r="I599" s="17">
        <v>0</v>
      </c>
      <c r="J599" s="120">
        <v>1592</v>
      </c>
      <c r="K599" s="50">
        <v>0</v>
      </c>
      <c r="L599" s="50">
        <v>60153</v>
      </c>
      <c r="M599" s="50" t="s">
        <v>219</v>
      </c>
      <c r="N599" s="50">
        <v>60153</v>
      </c>
      <c r="O599" s="50" t="s">
        <v>219</v>
      </c>
      <c r="Q599" s="121"/>
      <c r="R599" s="121"/>
      <c r="S599" s="121">
        <v>10154</v>
      </c>
      <c r="T599" s="121"/>
      <c r="U599" s="50">
        <v>1</v>
      </c>
      <c r="V599" s="50">
        <v>0</v>
      </c>
      <c r="W599" s="122">
        <v>25</v>
      </c>
      <c r="Z599" s="123">
        <v>60000</v>
      </c>
      <c r="AB599" s="124"/>
      <c r="AC599" s="124"/>
      <c r="AD599" s="122" t="s">
        <v>3914</v>
      </c>
      <c r="AF599" s="126" t="s">
        <v>4296</v>
      </c>
      <c r="AG599" s="126" t="s">
        <v>4297</v>
      </c>
      <c r="AH599" s="126" t="s">
        <v>993</v>
      </c>
      <c r="AI599" s="126" t="s">
        <v>994</v>
      </c>
      <c r="AJ599" s="126"/>
      <c r="AL599" s="120">
        <v>0</v>
      </c>
      <c r="AM599" s="127" t="s">
        <v>6160</v>
      </c>
      <c r="AN599" s="127" t="s">
        <v>5686</v>
      </c>
      <c r="AP599" s="50">
        <v>1</v>
      </c>
      <c r="AQ599" s="50">
        <v>0</v>
      </c>
      <c r="AR599" s="50">
        <v>1</v>
      </c>
      <c r="AS599" s="50">
        <v>1</v>
      </c>
      <c r="AU599" s="226">
        <v>0</v>
      </c>
      <c r="AV599" s="17">
        <f t="shared" si="97"/>
        <v>1</v>
      </c>
      <c r="AW599" s="50" t="str">
        <f>"{s_taskKillNpc, {"&amp;L599&amp;","&amp;N599&amp;","&amp;S599&amp;","&amp;U599&amp;"}}"</f>
        <v>{s_taskKillNpc, {60153,60153,10154,1}}</v>
      </c>
    </row>
    <row r="600" spans="1:49" s="50" customFormat="1" ht="72" x14ac:dyDescent="0.15">
      <c r="A600" s="9">
        <v>1594</v>
      </c>
      <c r="C600" s="50" t="s">
        <v>2047</v>
      </c>
      <c r="D600" s="50">
        <v>1</v>
      </c>
      <c r="E600" s="50">
        <v>0</v>
      </c>
      <c r="F600" s="50">
        <v>3</v>
      </c>
      <c r="G600" s="120">
        <v>200</v>
      </c>
      <c r="H600" s="50">
        <v>200</v>
      </c>
      <c r="I600" s="17">
        <v>0</v>
      </c>
      <c r="J600" s="120">
        <v>1593</v>
      </c>
      <c r="K600" s="50">
        <v>0</v>
      </c>
      <c r="L600" s="50">
        <v>60153</v>
      </c>
      <c r="M600" s="50" t="s">
        <v>219</v>
      </c>
      <c r="N600" s="50">
        <v>60152</v>
      </c>
      <c r="O600" s="50" t="s">
        <v>218</v>
      </c>
      <c r="Q600" s="121"/>
      <c r="R600" s="121"/>
      <c r="S600" s="121"/>
      <c r="T600" s="121"/>
      <c r="U600" s="50">
        <v>1</v>
      </c>
      <c r="V600" s="50">
        <v>1</v>
      </c>
      <c r="W600" s="122">
        <v>25</v>
      </c>
      <c r="Z600" s="123">
        <v>48000</v>
      </c>
      <c r="AB600" s="124"/>
      <c r="AC600" s="124"/>
      <c r="AF600" s="126" t="s">
        <v>995</v>
      </c>
      <c r="AG600" s="126" t="s">
        <v>996</v>
      </c>
      <c r="AH600" s="126" t="s">
        <v>275</v>
      </c>
      <c r="AI600" s="126"/>
      <c r="AJ600" s="126"/>
      <c r="AL600" s="120">
        <v>0</v>
      </c>
      <c r="AM600" s="127" t="s">
        <v>6122</v>
      </c>
      <c r="AN600" s="127" t="s">
        <v>5687</v>
      </c>
      <c r="AP600" s="50">
        <v>1</v>
      </c>
      <c r="AQ600" s="50">
        <v>0</v>
      </c>
      <c r="AR600" s="50">
        <v>1</v>
      </c>
      <c r="AS600" s="50">
        <v>1</v>
      </c>
      <c r="AU600" s="226">
        <v>0</v>
      </c>
      <c r="AV600" s="17">
        <f t="shared" si="97"/>
        <v>1</v>
      </c>
      <c r="AW600" s="50" t="str">
        <f t="shared" ref="AW600:AW608" si="99">"{s_taskTalk,{"&amp;L600&amp;","&amp;N600&amp;"}}"</f>
        <v>{s_taskTalk,{60153,60152}}</v>
      </c>
    </row>
    <row r="601" spans="1:49" s="50" customFormat="1" ht="72" x14ac:dyDescent="0.15">
      <c r="A601" s="9">
        <v>1601</v>
      </c>
      <c r="C601" s="50" t="s">
        <v>2048</v>
      </c>
      <c r="D601" s="50">
        <v>1</v>
      </c>
      <c r="E601" s="50">
        <v>0</v>
      </c>
      <c r="F601" s="50">
        <v>3</v>
      </c>
      <c r="G601" s="120">
        <v>200</v>
      </c>
      <c r="H601" s="50">
        <v>200</v>
      </c>
      <c r="I601" s="17">
        <v>0</v>
      </c>
      <c r="J601" s="120">
        <v>1594</v>
      </c>
      <c r="K601" s="50">
        <v>0</v>
      </c>
      <c r="L601" s="50">
        <v>60152</v>
      </c>
      <c r="M601" s="50" t="s">
        <v>218</v>
      </c>
      <c r="N601" s="50">
        <v>60000</v>
      </c>
      <c r="O601" s="50" t="s">
        <v>192</v>
      </c>
      <c r="Q601" s="121"/>
      <c r="R601" s="121"/>
      <c r="S601" s="121"/>
      <c r="T601" s="121"/>
      <c r="U601" s="50">
        <v>1</v>
      </c>
      <c r="V601" s="50">
        <v>1</v>
      </c>
      <c r="W601" s="122">
        <v>25</v>
      </c>
      <c r="Z601" s="123">
        <v>28200</v>
      </c>
      <c r="AB601" s="124"/>
      <c r="AC601" s="124"/>
      <c r="AD601" s="122" t="s">
        <v>7209</v>
      </c>
      <c r="AF601" s="126" t="s">
        <v>4551</v>
      </c>
      <c r="AG601" s="126" t="s">
        <v>4552</v>
      </c>
      <c r="AH601" s="126" t="s">
        <v>4298</v>
      </c>
      <c r="AI601" s="126"/>
      <c r="AJ601" s="126"/>
      <c r="AL601" s="120">
        <v>0</v>
      </c>
      <c r="AM601" s="127" t="s">
        <v>3124</v>
      </c>
      <c r="AN601" s="127" t="s">
        <v>5688</v>
      </c>
      <c r="AP601" s="50">
        <v>1</v>
      </c>
      <c r="AQ601" s="50">
        <v>0</v>
      </c>
      <c r="AR601" s="50">
        <v>1</v>
      </c>
      <c r="AS601" s="50">
        <v>1</v>
      </c>
      <c r="AU601" s="226">
        <v>0</v>
      </c>
      <c r="AV601" s="17">
        <f t="shared" si="97"/>
        <v>1</v>
      </c>
      <c r="AW601" s="50" t="str">
        <f t="shared" si="99"/>
        <v>{s_taskTalk,{60152,60000}}</v>
      </c>
    </row>
    <row r="602" spans="1:49" s="50" customFormat="1" ht="132" x14ac:dyDescent="0.15">
      <c r="A602" s="9">
        <v>1611</v>
      </c>
      <c r="C602" s="50" t="s">
        <v>2049</v>
      </c>
      <c r="D602" s="50">
        <v>1</v>
      </c>
      <c r="E602" s="50">
        <v>0</v>
      </c>
      <c r="F602" s="50">
        <v>3</v>
      </c>
      <c r="G602" s="120">
        <v>200</v>
      </c>
      <c r="H602" s="50">
        <v>200</v>
      </c>
      <c r="I602" s="17">
        <v>0</v>
      </c>
      <c r="J602" s="120">
        <v>1601</v>
      </c>
      <c r="K602" s="50">
        <v>0</v>
      </c>
      <c r="L602" s="50">
        <v>60000</v>
      </c>
      <c r="M602" s="50" t="s">
        <v>192</v>
      </c>
      <c r="N602" s="50">
        <v>60093</v>
      </c>
      <c r="O602" s="50" t="s">
        <v>220</v>
      </c>
      <c r="Q602" s="121"/>
      <c r="R602" s="121"/>
      <c r="S602" s="121"/>
      <c r="T602" s="121"/>
      <c r="U602" s="50">
        <v>1</v>
      </c>
      <c r="V602" s="50">
        <v>1</v>
      </c>
      <c r="W602" s="122">
        <v>25</v>
      </c>
      <c r="Z602" s="123">
        <v>28200</v>
      </c>
      <c r="AB602" s="124"/>
      <c r="AC602" s="124"/>
      <c r="AF602" s="126" t="s">
        <v>4347</v>
      </c>
      <c r="AG602" s="126" t="s">
        <v>997</v>
      </c>
      <c r="AH602" s="126" t="s">
        <v>4348</v>
      </c>
      <c r="AI602" s="126"/>
      <c r="AJ602" s="126"/>
      <c r="AL602" s="120">
        <v>0</v>
      </c>
      <c r="AM602" s="127" t="s">
        <v>3125</v>
      </c>
      <c r="AN602" s="127" t="s">
        <v>5689</v>
      </c>
      <c r="AP602" s="50">
        <v>1</v>
      </c>
      <c r="AQ602" s="50">
        <v>0</v>
      </c>
      <c r="AR602" s="50">
        <v>1</v>
      </c>
      <c r="AS602" s="50">
        <v>1</v>
      </c>
      <c r="AU602" s="226">
        <v>0</v>
      </c>
      <c r="AV602" s="17">
        <f t="shared" si="97"/>
        <v>1</v>
      </c>
      <c r="AW602" s="50" t="str">
        <f t="shared" si="99"/>
        <v>{s_taskTalk,{60000,60093}}</v>
      </c>
    </row>
    <row r="603" spans="1:49" s="127" customFormat="1" ht="96" x14ac:dyDescent="0.15">
      <c r="A603" s="255">
        <v>1622</v>
      </c>
      <c r="C603" s="127" t="s">
        <v>2050</v>
      </c>
      <c r="D603" s="127">
        <v>1</v>
      </c>
      <c r="E603" s="127">
        <v>0</v>
      </c>
      <c r="F603" s="127">
        <v>6</v>
      </c>
      <c r="G603" s="120">
        <v>200</v>
      </c>
      <c r="H603" s="127">
        <v>200</v>
      </c>
      <c r="I603" s="17">
        <v>0</v>
      </c>
      <c r="J603" s="239">
        <v>1611</v>
      </c>
      <c r="K603" s="127">
        <v>0</v>
      </c>
      <c r="L603" s="127">
        <v>60093</v>
      </c>
      <c r="M603" s="127" t="s">
        <v>220</v>
      </c>
      <c r="N603" s="127">
        <v>60093</v>
      </c>
      <c r="O603" s="127" t="s">
        <v>220</v>
      </c>
      <c r="Q603" s="128"/>
      <c r="R603" s="128"/>
      <c r="S603" s="128"/>
      <c r="T603" s="128"/>
      <c r="U603" s="127">
        <v>1</v>
      </c>
      <c r="V603" s="127">
        <v>0</v>
      </c>
      <c r="W603" s="122">
        <v>25</v>
      </c>
      <c r="Z603" s="123">
        <v>36500</v>
      </c>
      <c r="AB603" s="124"/>
      <c r="AC603" s="124"/>
      <c r="AF603" s="62" t="s">
        <v>525</v>
      </c>
      <c r="AG603" s="62" t="s">
        <v>526</v>
      </c>
      <c r="AH603" s="62" t="s">
        <v>287</v>
      </c>
      <c r="AI603" s="62" t="s">
        <v>998</v>
      </c>
      <c r="AJ603" s="62"/>
      <c r="AL603" s="239">
        <v>0</v>
      </c>
      <c r="AM603" s="127" t="s">
        <v>3126</v>
      </c>
      <c r="AN603" s="127" t="s">
        <v>5690</v>
      </c>
      <c r="AP603" s="127">
        <v>1</v>
      </c>
      <c r="AQ603" s="127">
        <v>0</v>
      </c>
      <c r="AR603" s="50">
        <v>1</v>
      </c>
      <c r="AS603" s="50">
        <v>0</v>
      </c>
      <c r="AU603" s="226">
        <v>0</v>
      </c>
      <c r="AV603" s="17">
        <f t="shared" si="97"/>
        <v>1</v>
      </c>
      <c r="AW603" s="50" t="str">
        <f t="shared" si="99"/>
        <v>{s_taskTalk,{60093,60093}}</v>
      </c>
    </row>
    <row r="604" spans="1:49" s="50" customFormat="1" ht="84" x14ac:dyDescent="0.15">
      <c r="A604" s="9">
        <v>1623</v>
      </c>
      <c r="C604" s="50" t="s">
        <v>2051</v>
      </c>
      <c r="D604" s="50">
        <v>1</v>
      </c>
      <c r="E604" s="50">
        <v>0</v>
      </c>
      <c r="F604" s="50">
        <v>6</v>
      </c>
      <c r="G604" s="120">
        <v>200</v>
      </c>
      <c r="H604" s="50">
        <v>200</v>
      </c>
      <c r="I604" s="17">
        <v>0</v>
      </c>
      <c r="J604" s="120">
        <v>1622</v>
      </c>
      <c r="K604" s="50">
        <v>0</v>
      </c>
      <c r="L604" s="50">
        <v>60093</v>
      </c>
      <c r="M604" s="50" t="s">
        <v>220</v>
      </c>
      <c r="N604" s="50">
        <v>60000</v>
      </c>
      <c r="O604" s="50" t="s">
        <v>192</v>
      </c>
      <c r="Q604" s="121"/>
      <c r="R604" s="121"/>
      <c r="S604" s="121"/>
      <c r="T604" s="121"/>
      <c r="U604" s="50">
        <v>1</v>
      </c>
      <c r="V604" s="50">
        <v>1</v>
      </c>
      <c r="W604" s="122">
        <v>25</v>
      </c>
      <c r="Z604" s="123">
        <v>32000</v>
      </c>
      <c r="AB604" s="124"/>
      <c r="AC604" s="124"/>
      <c r="AF604" s="126" t="s">
        <v>4299</v>
      </c>
      <c r="AG604" s="126" t="s">
        <v>4553</v>
      </c>
      <c r="AH604" s="126" t="s">
        <v>3730</v>
      </c>
      <c r="AI604" s="126"/>
      <c r="AJ604" s="126"/>
      <c r="AL604" s="120">
        <v>0</v>
      </c>
      <c r="AM604" s="127" t="s">
        <v>3731</v>
      </c>
      <c r="AN604" s="127" t="s">
        <v>5691</v>
      </c>
      <c r="AP604" s="50">
        <v>1</v>
      </c>
      <c r="AQ604" s="50">
        <v>0</v>
      </c>
      <c r="AR604" s="50">
        <v>1</v>
      </c>
      <c r="AS604" s="50">
        <v>1</v>
      </c>
      <c r="AU604" s="226">
        <v>0</v>
      </c>
      <c r="AV604" s="17">
        <f t="shared" si="97"/>
        <v>1</v>
      </c>
      <c r="AW604" s="50" t="str">
        <f t="shared" si="99"/>
        <v>{s_taskTalk,{60093,60000}}</v>
      </c>
    </row>
    <row r="605" spans="1:49" s="87" customFormat="1" ht="168" x14ac:dyDescent="0.15">
      <c r="A605" s="111">
        <v>1624</v>
      </c>
      <c r="C605" s="87" t="s">
        <v>3728</v>
      </c>
      <c r="D605" s="87">
        <v>1</v>
      </c>
      <c r="E605" s="87">
        <v>0</v>
      </c>
      <c r="F605" s="87">
        <v>118</v>
      </c>
      <c r="G605" s="120">
        <v>200</v>
      </c>
      <c r="H605" s="87">
        <v>200</v>
      </c>
      <c r="I605" s="17">
        <v>0</v>
      </c>
      <c r="J605" s="112">
        <v>0</v>
      </c>
      <c r="K605" s="87">
        <v>0</v>
      </c>
      <c r="L605" s="87">
        <v>160</v>
      </c>
      <c r="M605" s="87" t="s">
        <v>221</v>
      </c>
      <c r="N605" s="87">
        <v>164</v>
      </c>
      <c r="O605" s="87" t="s">
        <v>1383</v>
      </c>
      <c r="Q605" s="113"/>
      <c r="R605" s="113"/>
      <c r="S605" s="113"/>
      <c r="T605" s="113"/>
      <c r="U605" s="87">
        <v>1</v>
      </c>
      <c r="V605" s="87">
        <v>1</v>
      </c>
      <c r="W605" s="114">
        <v>25</v>
      </c>
      <c r="Z605" s="380">
        <v>8200</v>
      </c>
      <c r="AB605" s="115"/>
      <c r="AC605" s="115"/>
      <c r="AF605" s="117" t="s">
        <v>4449</v>
      </c>
      <c r="AG605" s="117" t="s">
        <v>1384</v>
      </c>
      <c r="AH605" s="117" t="s">
        <v>999</v>
      </c>
      <c r="AI605" s="117" t="s">
        <v>4450</v>
      </c>
      <c r="AJ605" s="117"/>
      <c r="AL605" s="112">
        <v>0</v>
      </c>
      <c r="AM605" s="381" t="s">
        <v>3725</v>
      </c>
      <c r="AN605" s="381" t="s">
        <v>3725</v>
      </c>
      <c r="AP605" s="87">
        <v>1</v>
      </c>
      <c r="AQ605" s="87">
        <v>0</v>
      </c>
      <c r="AR605" s="87">
        <v>1</v>
      </c>
      <c r="AS605" s="87">
        <v>1</v>
      </c>
      <c r="AU605" s="87">
        <v>0</v>
      </c>
      <c r="AV605" s="17">
        <f t="shared" si="97"/>
        <v>1</v>
      </c>
      <c r="AW605" s="87" t="str">
        <f t="shared" si="99"/>
        <v>{s_taskTalk,{160,164}}</v>
      </c>
    </row>
    <row r="606" spans="1:49" s="87" customFormat="1" ht="72" x14ac:dyDescent="0.15">
      <c r="A606" s="111">
        <v>1625</v>
      </c>
      <c r="C606" s="87" t="s">
        <v>3729</v>
      </c>
      <c r="D606" s="87">
        <v>1</v>
      </c>
      <c r="E606" s="87">
        <v>0</v>
      </c>
      <c r="F606" s="87">
        <v>118</v>
      </c>
      <c r="G606" s="120">
        <v>200</v>
      </c>
      <c r="H606" s="87">
        <v>200</v>
      </c>
      <c r="I606" s="17">
        <v>0</v>
      </c>
      <c r="J606" s="112">
        <v>1624</v>
      </c>
      <c r="K606" s="87">
        <v>0</v>
      </c>
      <c r="L606" s="87">
        <v>164</v>
      </c>
      <c r="M606" s="87" t="s">
        <v>1383</v>
      </c>
      <c r="N606" s="87">
        <v>60000</v>
      </c>
      <c r="O606" s="87" t="s">
        <v>5163</v>
      </c>
      <c r="Q606" s="113"/>
      <c r="R606" s="113"/>
      <c r="S606" s="113"/>
      <c r="T606" s="113"/>
      <c r="U606" s="87">
        <v>1</v>
      </c>
      <c r="V606" s="87">
        <v>1</v>
      </c>
      <c r="W606" s="114">
        <v>25</v>
      </c>
      <c r="Z606" s="380">
        <v>8200</v>
      </c>
      <c r="AB606" s="115"/>
      <c r="AC606" s="115"/>
      <c r="AF606" s="117" t="s">
        <v>3732</v>
      </c>
      <c r="AG606" s="117" t="s">
        <v>4554</v>
      </c>
      <c r="AH606" s="117" t="s">
        <v>1385</v>
      </c>
      <c r="AI606" s="117"/>
      <c r="AJ606" s="117"/>
      <c r="AL606" s="112">
        <v>0</v>
      </c>
      <c r="AM606" s="381" t="s">
        <v>3127</v>
      </c>
      <c r="AN606" s="381" t="s">
        <v>5692</v>
      </c>
      <c r="AP606" s="87">
        <v>1</v>
      </c>
      <c r="AQ606" s="87">
        <v>0</v>
      </c>
      <c r="AR606" s="87">
        <v>1</v>
      </c>
      <c r="AS606" s="87">
        <v>1</v>
      </c>
      <c r="AU606" s="87">
        <v>0</v>
      </c>
      <c r="AV606" s="17">
        <f t="shared" si="97"/>
        <v>1</v>
      </c>
      <c r="AW606" s="87" t="str">
        <f t="shared" si="99"/>
        <v>{s_taskTalk,{164,60000}}</v>
      </c>
    </row>
    <row r="607" spans="1:49" s="50" customFormat="1" ht="120.75" thickBot="1" x14ac:dyDescent="0.2">
      <c r="A607" s="9">
        <v>1621</v>
      </c>
      <c r="C607" s="50" t="s">
        <v>2052</v>
      </c>
      <c r="D607" s="50">
        <v>1</v>
      </c>
      <c r="E607" s="50">
        <v>0</v>
      </c>
      <c r="F607" s="50">
        <v>3</v>
      </c>
      <c r="G607" s="120">
        <v>200</v>
      </c>
      <c r="H607" s="50">
        <v>200</v>
      </c>
      <c r="I607" s="17">
        <v>0</v>
      </c>
      <c r="J607" s="120">
        <v>1623</v>
      </c>
      <c r="K607" s="50">
        <v>0</v>
      </c>
      <c r="L607" s="50">
        <v>60000</v>
      </c>
      <c r="M607" s="50" t="s">
        <v>192</v>
      </c>
      <c r="N607" s="50">
        <v>60099</v>
      </c>
      <c r="O607" s="50" t="s">
        <v>673</v>
      </c>
      <c r="Q607" s="121"/>
      <c r="R607" s="121"/>
      <c r="S607" s="121"/>
      <c r="T607" s="121"/>
      <c r="U607" s="50">
        <v>1</v>
      </c>
      <c r="V607" s="50">
        <v>1</v>
      </c>
      <c r="W607" s="122">
        <v>25</v>
      </c>
      <c r="Z607" s="123">
        <v>8500</v>
      </c>
      <c r="AB607" s="124"/>
      <c r="AC607" s="124"/>
      <c r="AF607" s="126" t="s">
        <v>1000</v>
      </c>
      <c r="AG607" s="126" t="s">
        <v>674</v>
      </c>
      <c r="AH607" s="126" t="s">
        <v>1001</v>
      </c>
      <c r="AI607" s="126"/>
      <c r="AJ607" s="126"/>
      <c r="AL607" s="120">
        <v>0</v>
      </c>
      <c r="AM607" s="127" t="s">
        <v>3128</v>
      </c>
      <c r="AN607" s="127" t="s">
        <v>5693</v>
      </c>
      <c r="AP607" s="50">
        <v>1</v>
      </c>
      <c r="AQ607" s="50">
        <v>0</v>
      </c>
      <c r="AR607" s="50">
        <v>1</v>
      </c>
      <c r="AS607" s="50">
        <v>1</v>
      </c>
      <c r="AU607" s="226">
        <v>0</v>
      </c>
      <c r="AV607" s="17">
        <f t="shared" si="97"/>
        <v>1</v>
      </c>
      <c r="AW607" s="50" t="str">
        <f t="shared" si="99"/>
        <v>{s_taskTalk,{60000,60099}}</v>
      </c>
    </row>
    <row r="608" spans="1:49" s="358" customFormat="1" ht="108.75" thickBot="1" x14ac:dyDescent="0.2">
      <c r="A608" s="167">
        <v>1630</v>
      </c>
      <c r="C608" s="358" t="s">
        <v>2053</v>
      </c>
      <c r="D608" s="358">
        <v>1</v>
      </c>
      <c r="E608" s="358">
        <v>0</v>
      </c>
      <c r="F608" s="358">
        <v>6</v>
      </c>
      <c r="G608" s="120">
        <v>200</v>
      </c>
      <c r="H608" s="358">
        <v>200</v>
      </c>
      <c r="I608" s="17">
        <v>0</v>
      </c>
      <c r="J608" s="359">
        <v>0</v>
      </c>
      <c r="K608" s="358">
        <v>0</v>
      </c>
      <c r="L608" s="358">
        <v>60099</v>
      </c>
      <c r="M608" s="358" t="s">
        <v>673</v>
      </c>
      <c r="N608" s="358">
        <v>60155</v>
      </c>
      <c r="O608" s="358" t="s">
        <v>222</v>
      </c>
      <c r="Q608" s="360"/>
      <c r="R608" s="360"/>
      <c r="S608" s="360"/>
      <c r="T608" s="360"/>
      <c r="U608" s="358">
        <v>1</v>
      </c>
      <c r="V608" s="358">
        <v>1</v>
      </c>
      <c r="W608" s="122">
        <v>25</v>
      </c>
      <c r="Z608" s="361">
        <v>8500</v>
      </c>
      <c r="AB608" s="362"/>
      <c r="AC608" s="362"/>
      <c r="AF608" s="363" t="s">
        <v>1002</v>
      </c>
      <c r="AG608" s="363" t="s">
        <v>1003</v>
      </c>
      <c r="AH608" s="363" t="s">
        <v>666</v>
      </c>
      <c r="AI608" s="363"/>
      <c r="AJ608" s="363"/>
      <c r="AL608" s="359">
        <v>0</v>
      </c>
      <c r="AM608" s="358" t="s">
        <v>3129</v>
      </c>
      <c r="AN608" s="358" t="s">
        <v>5694</v>
      </c>
      <c r="AP608" s="358">
        <v>1</v>
      </c>
      <c r="AQ608" s="358">
        <v>0</v>
      </c>
      <c r="AR608" s="50">
        <v>1</v>
      </c>
      <c r="AS608" s="50">
        <v>1</v>
      </c>
      <c r="AU608" s="226">
        <v>0</v>
      </c>
      <c r="AV608" s="17">
        <f t="shared" si="97"/>
        <v>1</v>
      </c>
      <c r="AW608" s="50" t="str">
        <f t="shared" si="99"/>
        <v>{s_taskTalk,{60099,60155}}</v>
      </c>
    </row>
    <row r="609" spans="1:49" s="50" customFormat="1" ht="108" x14ac:dyDescent="0.15">
      <c r="A609" s="9">
        <v>1631</v>
      </c>
      <c r="C609" s="50" t="s">
        <v>2054</v>
      </c>
      <c r="D609" s="50">
        <v>1</v>
      </c>
      <c r="E609" s="50">
        <v>0</v>
      </c>
      <c r="F609" s="50">
        <v>6</v>
      </c>
      <c r="G609" s="120">
        <v>200</v>
      </c>
      <c r="H609" s="50">
        <v>200</v>
      </c>
      <c r="I609" s="17">
        <v>0</v>
      </c>
      <c r="J609" s="120">
        <v>1630</v>
      </c>
      <c r="K609" s="50">
        <v>0</v>
      </c>
      <c r="L609" s="50">
        <v>60155</v>
      </c>
      <c r="M609" s="50" t="s">
        <v>222</v>
      </c>
      <c r="N609" s="50">
        <v>60155</v>
      </c>
      <c r="O609" s="50" t="s">
        <v>222</v>
      </c>
      <c r="Q609" s="121"/>
      <c r="R609" s="121"/>
      <c r="S609" s="121">
        <v>10077</v>
      </c>
      <c r="T609" s="121"/>
      <c r="U609" s="50">
        <v>40</v>
      </c>
      <c r="V609" s="50">
        <v>0</v>
      </c>
      <c r="W609" s="122">
        <v>25</v>
      </c>
      <c r="Z609" s="123">
        <v>50000</v>
      </c>
      <c r="AB609" s="124"/>
      <c r="AC609" s="124">
        <v>500</v>
      </c>
      <c r="AD609" s="50" t="s">
        <v>2984</v>
      </c>
      <c r="AF609" s="126" t="s">
        <v>1004</v>
      </c>
      <c r="AG609" s="126" t="s">
        <v>1005</v>
      </c>
      <c r="AH609" s="126" t="s">
        <v>1006</v>
      </c>
      <c r="AI609" s="126" t="s">
        <v>667</v>
      </c>
      <c r="AJ609" s="126"/>
      <c r="AL609" s="120">
        <v>0</v>
      </c>
      <c r="AM609" s="127" t="s">
        <v>3130</v>
      </c>
      <c r="AN609" s="127" t="s">
        <v>5695</v>
      </c>
      <c r="AP609" s="50">
        <v>1</v>
      </c>
      <c r="AQ609" s="50">
        <v>0</v>
      </c>
      <c r="AR609" s="50">
        <v>1</v>
      </c>
      <c r="AS609" s="50">
        <v>1</v>
      </c>
      <c r="AU609" s="226">
        <v>0</v>
      </c>
      <c r="AV609" s="17">
        <f t="shared" si="97"/>
        <v>1</v>
      </c>
      <c r="AW609" s="50" t="str">
        <f>"{s_taskKillNpc, {"&amp;L609&amp;","&amp;N609&amp;","&amp;S609&amp;","&amp;U609&amp;"}}"</f>
        <v>{s_taskKillNpc, {60155,60155,10077,40}}</v>
      </c>
    </row>
    <row r="610" spans="1:49" s="50" customFormat="1" ht="96" x14ac:dyDescent="0.15">
      <c r="A610" s="9">
        <v>1632</v>
      </c>
      <c r="C610" s="50" t="s">
        <v>4666</v>
      </c>
      <c r="D610" s="50">
        <v>1</v>
      </c>
      <c r="E610" s="50">
        <v>0</v>
      </c>
      <c r="F610" s="50">
        <v>6</v>
      </c>
      <c r="G610" s="120">
        <v>200</v>
      </c>
      <c r="H610" s="50">
        <v>200</v>
      </c>
      <c r="I610" s="17">
        <v>0</v>
      </c>
      <c r="J610" s="120">
        <v>1631</v>
      </c>
      <c r="K610" s="50">
        <v>0</v>
      </c>
      <c r="L610" s="50">
        <v>60155</v>
      </c>
      <c r="M610" s="50" t="s">
        <v>222</v>
      </c>
      <c r="N610" s="50">
        <v>60155</v>
      </c>
      <c r="O610" s="50" t="s">
        <v>222</v>
      </c>
      <c r="Q610" s="121"/>
      <c r="R610" s="121"/>
      <c r="S610" s="121">
        <v>10155</v>
      </c>
      <c r="T610" s="121"/>
      <c r="U610" s="50">
        <v>1</v>
      </c>
      <c r="V610" s="50">
        <v>0</v>
      </c>
      <c r="W610" s="122">
        <v>25</v>
      </c>
      <c r="Z610" s="123">
        <v>48000</v>
      </c>
      <c r="AB610" s="124"/>
      <c r="AC610" s="124"/>
      <c r="AD610" s="122" t="s">
        <v>1378</v>
      </c>
      <c r="AF610" s="126" t="s">
        <v>4667</v>
      </c>
      <c r="AG610" s="126" t="s">
        <v>4668</v>
      </c>
      <c r="AH610" s="126" t="s">
        <v>1007</v>
      </c>
      <c r="AI610" s="126" t="s">
        <v>4669</v>
      </c>
      <c r="AJ610" s="126"/>
      <c r="AL610" s="120">
        <v>0</v>
      </c>
      <c r="AM610" s="127" t="s">
        <v>3131</v>
      </c>
      <c r="AN610" s="127" t="s">
        <v>5696</v>
      </c>
      <c r="AP610" s="50">
        <v>1</v>
      </c>
      <c r="AQ610" s="50">
        <v>0</v>
      </c>
      <c r="AR610" s="50">
        <v>1</v>
      </c>
      <c r="AS610" s="50">
        <v>1</v>
      </c>
      <c r="AU610" s="226">
        <v>0</v>
      </c>
      <c r="AV610" s="17">
        <f t="shared" si="97"/>
        <v>1</v>
      </c>
      <c r="AW610" s="50" t="str">
        <f>"{s_taskKillNpc, {"&amp;L610&amp;","&amp;N610&amp;","&amp;S610&amp;","&amp;U610&amp;"}}"</f>
        <v>{s_taskKillNpc, {60155,60155,10155,1}}</v>
      </c>
    </row>
    <row r="611" spans="1:49" s="50" customFormat="1" ht="72" x14ac:dyDescent="0.15">
      <c r="A611" s="9">
        <v>1633</v>
      </c>
      <c r="C611" s="50" t="s">
        <v>2055</v>
      </c>
      <c r="D611" s="50">
        <v>1</v>
      </c>
      <c r="E611" s="50">
        <v>0</v>
      </c>
      <c r="F611" s="50">
        <v>6</v>
      </c>
      <c r="G611" s="120">
        <v>200</v>
      </c>
      <c r="H611" s="50">
        <v>200</v>
      </c>
      <c r="I611" s="17">
        <v>0</v>
      </c>
      <c r="J611" s="120">
        <v>1632</v>
      </c>
      <c r="K611" s="50">
        <v>0</v>
      </c>
      <c r="L611" s="50">
        <v>60155</v>
      </c>
      <c r="M611" s="50" t="s">
        <v>222</v>
      </c>
      <c r="N611" s="50">
        <v>60156</v>
      </c>
      <c r="O611" s="50" t="s">
        <v>223</v>
      </c>
      <c r="Q611" s="121"/>
      <c r="R611" s="121"/>
      <c r="S611" s="121"/>
      <c r="T611" s="121"/>
      <c r="U611" s="50">
        <v>1</v>
      </c>
      <c r="V611" s="50">
        <v>1</v>
      </c>
      <c r="W611" s="122">
        <v>25</v>
      </c>
      <c r="Z611" s="123">
        <v>8500</v>
      </c>
      <c r="AB611" s="124"/>
      <c r="AC611" s="124"/>
      <c r="AF611" s="126" t="s">
        <v>1749</v>
      </c>
      <c r="AG611" s="126" t="s">
        <v>1008</v>
      </c>
      <c r="AH611" s="126" t="s">
        <v>1009</v>
      </c>
      <c r="AI611" s="126"/>
      <c r="AJ611" s="126"/>
      <c r="AL611" s="120">
        <v>0</v>
      </c>
      <c r="AM611" s="127" t="s">
        <v>3132</v>
      </c>
      <c r="AN611" s="127" t="s">
        <v>5697</v>
      </c>
      <c r="AP611" s="50">
        <v>1</v>
      </c>
      <c r="AQ611" s="50">
        <v>0</v>
      </c>
      <c r="AR611" s="50">
        <v>1</v>
      </c>
      <c r="AS611" s="50">
        <v>1</v>
      </c>
      <c r="AU611" s="226">
        <v>0</v>
      </c>
      <c r="AV611" s="17">
        <f t="shared" si="97"/>
        <v>1</v>
      </c>
      <c r="AW611" s="50" t="str">
        <f>"{s_taskTalk,{"&amp;L611&amp;","&amp;N611&amp;"}}"</f>
        <v>{s_taskTalk,{60155,60156}}</v>
      </c>
    </row>
    <row r="612" spans="1:49" s="50" customFormat="1" ht="96" x14ac:dyDescent="0.15">
      <c r="A612" s="9">
        <v>1641</v>
      </c>
      <c r="C612" s="50" t="s">
        <v>2056</v>
      </c>
      <c r="D612" s="50">
        <v>1</v>
      </c>
      <c r="E612" s="50">
        <v>0</v>
      </c>
      <c r="F612" s="50">
        <v>6</v>
      </c>
      <c r="G612" s="120">
        <v>200</v>
      </c>
      <c r="H612" s="50">
        <v>200</v>
      </c>
      <c r="I612" s="17">
        <v>0</v>
      </c>
      <c r="J612" s="120">
        <v>1633</v>
      </c>
      <c r="K612" s="50">
        <v>0</v>
      </c>
      <c r="L612" s="50">
        <v>60156</v>
      </c>
      <c r="M612" s="50" t="s">
        <v>223</v>
      </c>
      <c r="N612" s="50">
        <v>60159</v>
      </c>
      <c r="O612" s="50" t="s">
        <v>365</v>
      </c>
      <c r="Q612" s="121"/>
      <c r="R612" s="121"/>
      <c r="S612" s="121"/>
      <c r="T612" s="121"/>
      <c r="U612" s="50">
        <v>1</v>
      </c>
      <c r="V612" s="50">
        <v>1</v>
      </c>
      <c r="W612" s="122">
        <v>25</v>
      </c>
      <c r="Z612" s="123">
        <v>8500</v>
      </c>
      <c r="AB612" s="124"/>
      <c r="AC612" s="124"/>
      <c r="AF612" s="126" t="s">
        <v>1010</v>
      </c>
      <c r="AG612" s="126" t="s">
        <v>1011</v>
      </c>
      <c r="AH612" s="126" t="s">
        <v>1012</v>
      </c>
      <c r="AI612" s="126"/>
      <c r="AJ612" s="126"/>
      <c r="AL612" s="120">
        <v>0</v>
      </c>
      <c r="AM612" s="127" t="s">
        <v>3133</v>
      </c>
      <c r="AN612" s="127" t="s">
        <v>5698</v>
      </c>
      <c r="AP612" s="50">
        <v>1</v>
      </c>
      <c r="AQ612" s="50">
        <v>0</v>
      </c>
      <c r="AR612" s="50">
        <v>1</v>
      </c>
      <c r="AS612" s="50">
        <v>1</v>
      </c>
      <c r="AU612" s="226">
        <v>0</v>
      </c>
      <c r="AV612" s="17">
        <f t="shared" si="97"/>
        <v>1</v>
      </c>
      <c r="AW612" s="50" t="str">
        <f>"{s_taskTalk,{"&amp;L612&amp;","&amp;N612&amp;"}}"</f>
        <v>{s_taskTalk,{60156,60159}}</v>
      </c>
    </row>
    <row r="613" spans="1:49" s="50" customFormat="1" ht="108" x14ac:dyDescent="0.15">
      <c r="A613" s="9">
        <v>1651</v>
      </c>
      <c r="C613" s="50" t="s">
        <v>4013</v>
      </c>
      <c r="D613" s="50">
        <v>1</v>
      </c>
      <c r="E613" s="50">
        <v>0</v>
      </c>
      <c r="F613" s="50">
        <v>6</v>
      </c>
      <c r="G613" s="120">
        <v>200</v>
      </c>
      <c r="H613" s="50">
        <v>200</v>
      </c>
      <c r="I613" s="17">
        <v>0</v>
      </c>
      <c r="J613" s="120">
        <v>1641</v>
      </c>
      <c r="K613" s="50">
        <v>0</v>
      </c>
      <c r="L613" s="50">
        <v>60159</v>
      </c>
      <c r="M613" s="50" t="s">
        <v>224</v>
      </c>
      <c r="N613" s="50">
        <v>60159</v>
      </c>
      <c r="O613" s="50" t="s">
        <v>224</v>
      </c>
      <c r="Q613" s="121"/>
      <c r="R613" s="121"/>
      <c r="S613" s="121">
        <v>10078</v>
      </c>
      <c r="T613" s="121"/>
      <c r="U613" s="50">
        <v>45</v>
      </c>
      <c r="V613" s="50">
        <v>0</v>
      </c>
      <c r="W613" s="122">
        <v>25</v>
      </c>
      <c r="Z613" s="123">
        <v>52000</v>
      </c>
      <c r="AB613" s="124"/>
      <c r="AC613" s="124"/>
      <c r="AF613" s="126" t="s">
        <v>4349</v>
      </c>
      <c r="AG613" s="126" t="s">
        <v>4020</v>
      </c>
      <c r="AH613" s="126" t="s">
        <v>1013</v>
      </c>
      <c r="AI613" s="126" t="s">
        <v>1014</v>
      </c>
      <c r="AJ613" s="126"/>
      <c r="AL613" s="120">
        <v>0</v>
      </c>
      <c r="AM613" s="127" t="s">
        <v>3134</v>
      </c>
      <c r="AN613" s="127" t="s">
        <v>5699</v>
      </c>
      <c r="AP613" s="50">
        <v>1</v>
      </c>
      <c r="AQ613" s="50">
        <v>0</v>
      </c>
      <c r="AR613" s="50">
        <v>1</v>
      </c>
      <c r="AS613" s="50">
        <v>1</v>
      </c>
      <c r="AU613" s="226">
        <v>0</v>
      </c>
      <c r="AV613" s="17">
        <f t="shared" si="97"/>
        <v>1</v>
      </c>
      <c r="AW613" s="50" t="str">
        <f>"{s_taskKillNpc, {"&amp;L613&amp;","&amp;N613&amp;","&amp;S613&amp;","&amp;U613&amp;"}}"</f>
        <v>{s_taskKillNpc, {60159,60159,10078,45}}</v>
      </c>
    </row>
    <row r="614" spans="1:49" s="50" customFormat="1" ht="96.75" thickBot="1" x14ac:dyDescent="0.2">
      <c r="A614" s="9">
        <v>1652</v>
      </c>
      <c r="C614" s="50" t="s">
        <v>2057</v>
      </c>
      <c r="D614" s="50">
        <v>1</v>
      </c>
      <c r="E614" s="50">
        <v>0</v>
      </c>
      <c r="F614" s="50">
        <v>6</v>
      </c>
      <c r="G614" s="120">
        <v>200</v>
      </c>
      <c r="H614" s="50">
        <v>200</v>
      </c>
      <c r="I614" s="17">
        <v>0</v>
      </c>
      <c r="J614" s="120">
        <v>1651</v>
      </c>
      <c r="K614" s="50">
        <v>0</v>
      </c>
      <c r="L614" s="50">
        <v>60159</v>
      </c>
      <c r="M614" s="50" t="s">
        <v>224</v>
      </c>
      <c r="N614" s="50">
        <v>60159</v>
      </c>
      <c r="O614" s="50" t="s">
        <v>224</v>
      </c>
      <c r="Q614" s="121"/>
      <c r="R614" s="121"/>
      <c r="S614" s="121">
        <v>10156</v>
      </c>
      <c r="T614" s="121"/>
      <c r="U614" s="50">
        <v>1</v>
      </c>
      <c r="V614" s="50">
        <v>0</v>
      </c>
      <c r="W614" s="122">
        <v>25</v>
      </c>
      <c r="Z614" s="123">
        <v>50000</v>
      </c>
      <c r="AA614" s="50">
        <v>30</v>
      </c>
      <c r="AB614" s="124"/>
      <c r="AC614" s="124"/>
      <c r="AF614" s="126" t="s">
        <v>1748</v>
      </c>
      <c r="AG614" s="126" t="s">
        <v>1015</v>
      </c>
      <c r="AH614" s="126" t="s">
        <v>1016</v>
      </c>
      <c r="AI614" s="126" t="s">
        <v>1017</v>
      </c>
      <c r="AJ614" s="126"/>
      <c r="AL614" s="120">
        <v>0</v>
      </c>
      <c r="AM614" s="127" t="s">
        <v>3135</v>
      </c>
      <c r="AN614" s="127" t="s">
        <v>5700</v>
      </c>
      <c r="AP614" s="50">
        <v>1</v>
      </c>
      <c r="AQ614" s="50">
        <v>0</v>
      </c>
      <c r="AR614" s="50">
        <v>1</v>
      </c>
      <c r="AS614" s="50">
        <v>1</v>
      </c>
      <c r="AU614" s="226">
        <v>0</v>
      </c>
      <c r="AV614" s="17">
        <f t="shared" si="97"/>
        <v>1</v>
      </c>
      <c r="AW614" s="50" t="str">
        <f>"{s_taskKillNpc, {"&amp;L614&amp;","&amp;N614&amp;","&amp;S614&amp;","&amp;U614&amp;"}}"</f>
        <v>{s_taskKillNpc, {60159,60159,10156,1}}</v>
      </c>
    </row>
    <row r="615" spans="1:49" s="242" customFormat="1" ht="72" x14ac:dyDescent="0.15">
      <c r="A615" s="354">
        <v>1653</v>
      </c>
      <c r="C615" s="242" t="s">
        <v>2058</v>
      </c>
      <c r="D615" s="242">
        <v>1</v>
      </c>
      <c r="E615" s="242">
        <v>0</v>
      </c>
      <c r="F615" s="242">
        <v>6</v>
      </c>
      <c r="G615" s="120">
        <v>200</v>
      </c>
      <c r="H615" s="242">
        <v>200</v>
      </c>
      <c r="I615" s="17">
        <v>0</v>
      </c>
      <c r="J615" s="249">
        <v>1652</v>
      </c>
      <c r="K615" s="242">
        <v>0</v>
      </c>
      <c r="L615" s="242">
        <v>60159</v>
      </c>
      <c r="M615" s="242" t="s">
        <v>224</v>
      </c>
      <c r="N615" s="242">
        <v>113</v>
      </c>
      <c r="O615" s="242" t="s">
        <v>199</v>
      </c>
      <c r="Q615" s="244"/>
      <c r="R615" s="244"/>
      <c r="S615" s="244"/>
      <c r="T615" s="244"/>
      <c r="U615" s="242">
        <v>1</v>
      </c>
      <c r="V615" s="242">
        <v>1</v>
      </c>
      <c r="W615" s="122">
        <v>25</v>
      </c>
      <c r="Z615" s="245">
        <v>9000</v>
      </c>
      <c r="AB615" s="246"/>
      <c r="AC615" s="246"/>
      <c r="AD615" s="242" t="s">
        <v>4021</v>
      </c>
      <c r="AF615" s="248" t="s">
        <v>4300</v>
      </c>
      <c r="AG615" s="248" t="s">
        <v>4301</v>
      </c>
      <c r="AH615" s="248" t="s">
        <v>288</v>
      </c>
      <c r="AI615" s="248"/>
      <c r="AJ615" s="248"/>
      <c r="AL615" s="249">
        <v>0</v>
      </c>
      <c r="AM615" s="242" t="s">
        <v>3136</v>
      </c>
      <c r="AN615" s="242" t="s">
        <v>5701</v>
      </c>
      <c r="AP615" s="242">
        <v>1</v>
      </c>
      <c r="AQ615" s="242">
        <v>0</v>
      </c>
      <c r="AR615" s="50">
        <v>1</v>
      </c>
      <c r="AS615" s="50">
        <v>1</v>
      </c>
      <c r="AU615" s="226">
        <v>0</v>
      </c>
      <c r="AV615" s="17">
        <f t="shared" si="97"/>
        <v>1</v>
      </c>
      <c r="AW615" s="50" t="str">
        <f>"{s_taskTalk,{"&amp;L615&amp;","&amp;N615&amp;"}}"</f>
        <v>{s_taskTalk,{60159,113}}</v>
      </c>
    </row>
    <row r="616" spans="1:49" s="334" customFormat="1" ht="84.75" thickBot="1" x14ac:dyDescent="0.2">
      <c r="A616" s="333">
        <v>1654</v>
      </c>
      <c r="C616" s="334" t="s">
        <v>2059</v>
      </c>
      <c r="D616" s="334">
        <v>1</v>
      </c>
      <c r="E616" s="334">
        <v>0</v>
      </c>
      <c r="F616" s="334">
        <v>6</v>
      </c>
      <c r="G616" s="120">
        <v>200</v>
      </c>
      <c r="H616" s="334">
        <v>200</v>
      </c>
      <c r="I616" s="17">
        <v>0</v>
      </c>
      <c r="J616" s="340">
        <v>1653</v>
      </c>
      <c r="K616" s="334">
        <v>0</v>
      </c>
      <c r="L616" s="334">
        <v>113</v>
      </c>
      <c r="M616" s="334" t="s">
        <v>199</v>
      </c>
      <c r="N616" s="334">
        <v>60159</v>
      </c>
      <c r="O616" s="334" t="s">
        <v>224</v>
      </c>
      <c r="Q616" s="336"/>
      <c r="R616" s="336"/>
      <c r="S616" s="336"/>
      <c r="T616" s="336"/>
      <c r="U616" s="334">
        <v>1</v>
      </c>
      <c r="V616" s="334">
        <v>0</v>
      </c>
      <c r="W616" s="141">
        <v>25</v>
      </c>
      <c r="Z616" s="337">
        <v>18000</v>
      </c>
      <c r="AB616" s="338"/>
      <c r="AC616" s="338"/>
      <c r="AF616" s="339" t="s">
        <v>3536</v>
      </c>
      <c r="AG616" s="339" t="s">
        <v>527</v>
      </c>
      <c r="AH616" s="339" t="s">
        <v>528</v>
      </c>
      <c r="AI616" s="339"/>
      <c r="AJ616" s="339"/>
      <c r="AL616" s="340">
        <v>0</v>
      </c>
      <c r="AM616" s="334" t="s">
        <v>3538</v>
      </c>
      <c r="AN616" s="334" t="s">
        <v>5702</v>
      </c>
      <c r="AP616" s="334">
        <v>1</v>
      </c>
      <c r="AQ616" s="334">
        <v>0</v>
      </c>
      <c r="AR616" s="50">
        <v>1</v>
      </c>
      <c r="AS616" s="50">
        <v>1</v>
      </c>
      <c r="AU616" s="226">
        <v>0</v>
      </c>
      <c r="AV616" s="17">
        <f t="shared" si="97"/>
        <v>1</v>
      </c>
      <c r="AW616" s="73" t="str">
        <f>"{s_taskTalk,{"&amp;L616&amp;","&amp;N616&amp;"}}"</f>
        <v>{s_taskTalk,{113,60159}}</v>
      </c>
    </row>
    <row r="617" spans="1:49" s="50" customFormat="1" ht="84" x14ac:dyDescent="0.15">
      <c r="A617" s="9">
        <v>1655</v>
      </c>
      <c r="C617" s="50" t="s">
        <v>2060</v>
      </c>
      <c r="D617" s="50">
        <v>1</v>
      </c>
      <c r="E617" s="50">
        <v>0</v>
      </c>
      <c r="F617" s="50">
        <v>6</v>
      </c>
      <c r="G617" s="120">
        <v>200</v>
      </c>
      <c r="H617" s="50">
        <v>200</v>
      </c>
      <c r="I617" s="17">
        <v>0</v>
      </c>
      <c r="J617" s="120">
        <v>1652</v>
      </c>
      <c r="K617" s="50">
        <v>0</v>
      </c>
      <c r="L617" s="50">
        <v>60159</v>
      </c>
      <c r="M617" s="50" t="s">
        <v>224</v>
      </c>
      <c r="N617" s="50">
        <v>60156</v>
      </c>
      <c r="O617" s="50" t="s">
        <v>223</v>
      </c>
      <c r="Q617" s="121"/>
      <c r="R617" s="121"/>
      <c r="S617" s="121"/>
      <c r="T617" s="121"/>
      <c r="U617" s="50">
        <v>1</v>
      </c>
      <c r="V617" s="50">
        <v>1</v>
      </c>
      <c r="W617" s="122">
        <v>25</v>
      </c>
      <c r="Z617" s="123">
        <v>9000</v>
      </c>
      <c r="AB617" s="124"/>
      <c r="AC617" s="124"/>
      <c r="AF617" s="126" t="s">
        <v>1750</v>
      </c>
      <c r="AG617" s="126" t="s">
        <v>1751</v>
      </c>
      <c r="AH617" s="126" t="s">
        <v>1018</v>
      </c>
      <c r="AI617" s="126"/>
      <c r="AJ617" s="126"/>
      <c r="AL617" s="120">
        <v>0</v>
      </c>
      <c r="AM617" s="127" t="s">
        <v>6123</v>
      </c>
      <c r="AN617" s="127" t="s">
        <v>5703</v>
      </c>
      <c r="AP617" s="50">
        <v>1</v>
      </c>
      <c r="AQ617" s="50">
        <v>0</v>
      </c>
      <c r="AR617" s="50">
        <v>1</v>
      </c>
      <c r="AS617" s="50">
        <v>1</v>
      </c>
      <c r="AU617" s="226">
        <v>0</v>
      </c>
      <c r="AV617" s="17">
        <f t="shared" si="97"/>
        <v>1</v>
      </c>
      <c r="AW617" s="50" t="str">
        <f>"{s_taskTalk,{"&amp;L617&amp;","&amp;N617&amp;"}}"</f>
        <v>{s_taskTalk,{60159,60156}}</v>
      </c>
    </row>
    <row r="618" spans="1:49" s="50" customFormat="1" ht="96" x14ac:dyDescent="0.15">
      <c r="A618" s="9">
        <v>1661</v>
      </c>
      <c r="C618" s="50" t="s">
        <v>2061</v>
      </c>
      <c r="D618" s="50">
        <v>1</v>
      </c>
      <c r="E618" s="50">
        <v>0</v>
      </c>
      <c r="F618" s="50">
        <v>6</v>
      </c>
      <c r="G618" s="120">
        <v>200</v>
      </c>
      <c r="H618" s="50">
        <v>200</v>
      </c>
      <c r="I618" s="17">
        <v>0</v>
      </c>
      <c r="J618" s="120">
        <v>1655</v>
      </c>
      <c r="K618" s="50">
        <v>0</v>
      </c>
      <c r="L618" s="50">
        <v>60156</v>
      </c>
      <c r="M618" s="50" t="s">
        <v>223</v>
      </c>
      <c r="N618" s="50">
        <v>60155</v>
      </c>
      <c r="O618" s="50" t="s">
        <v>222</v>
      </c>
      <c r="Q618" s="121"/>
      <c r="R618" s="121"/>
      <c r="S618" s="121"/>
      <c r="T618" s="121"/>
      <c r="U618" s="50">
        <v>1</v>
      </c>
      <c r="V618" s="50">
        <v>1</v>
      </c>
      <c r="W618" s="122">
        <v>25</v>
      </c>
      <c r="Z618" s="123">
        <v>10000</v>
      </c>
      <c r="AB618" s="124"/>
      <c r="AC618" s="124"/>
      <c r="AF618" s="126" t="s">
        <v>1019</v>
      </c>
      <c r="AG618" s="126" t="s">
        <v>1020</v>
      </c>
      <c r="AH618" s="126" t="s">
        <v>276</v>
      </c>
      <c r="AI618" s="126"/>
      <c r="AJ618" s="126"/>
      <c r="AL618" s="120">
        <v>0</v>
      </c>
      <c r="AM618" s="127" t="s">
        <v>3137</v>
      </c>
      <c r="AN618" s="127" t="s">
        <v>5704</v>
      </c>
      <c r="AP618" s="50">
        <v>1</v>
      </c>
      <c r="AQ618" s="50">
        <v>0</v>
      </c>
      <c r="AR618" s="50">
        <v>1</v>
      </c>
      <c r="AS618" s="50">
        <v>1</v>
      </c>
      <c r="AU618" s="226">
        <v>0</v>
      </c>
      <c r="AV618" s="17">
        <f t="shared" si="97"/>
        <v>1</v>
      </c>
      <c r="AW618" s="50" t="str">
        <f>"{s_taskTalk,{"&amp;L618&amp;","&amp;N618&amp;"}}"</f>
        <v>{s_taskTalk,{60156,60155}}</v>
      </c>
    </row>
    <row r="619" spans="1:49" s="50" customFormat="1" ht="96" x14ac:dyDescent="0.15">
      <c r="A619" s="9">
        <v>1671</v>
      </c>
      <c r="C619" s="50" t="s">
        <v>2062</v>
      </c>
      <c r="D619" s="50">
        <v>1</v>
      </c>
      <c r="E619" s="50">
        <v>0</v>
      </c>
      <c r="F619" s="50">
        <v>6</v>
      </c>
      <c r="G619" s="120">
        <v>200</v>
      </c>
      <c r="H619" s="50">
        <v>200</v>
      </c>
      <c r="I619" s="17">
        <v>0</v>
      </c>
      <c r="J619" s="120">
        <v>1661</v>
      </c>
      <c r="K619" s="50">
        <v>0</v>
      </c>
      <c r="L619" s="50">
        <v>60155</v>
      </c>
      <c r="M619" s="50" t="s">
        <v>222</v>
      </c>
      <c r="N619" s="50">
        <v>60159</v>
      </c>
      <c r="O619" s="50" t="s">
        <v>224</v>
      </c>
      <c r="Q619" s="121"/>
      <c r="R619" s="121"/>
      <c r="S619" s="121"/>
      <c r="T619" s="121"/>
      <c r="U619" s="50">
        <v>1</v>
      </c>
      <c r="V619" s="50">
        <v>1</v>
      </c>
      <c r="W619" s="122">
        <v>25</v>
      </c>
      <c r="Z619" s="123">
        <v>10000</v>
      </c>
      <c r="AB619" s="124"/>
      <c r="AC619" s="124"/>
      <c r="AF619" s="126" t="s">
        <v>1021</v>
      </c>
      <c r="AG619" s="126" t="s">
        <v>1022</v>
      </c>
      <c r="AH619" s="126" t="s">
        <v>1023</v>
      </c>
      <c r="AI619" s="126"/>
      <c r="AJ619" s="126"/>
      <c r="AL619" s="120">
        <v>0</v>
      </c>
      <c r="AM619" s="127" t="s">
        <v>3138</v>
      </c>
      <c r="AN619" s="127" t="s">
        <v>5705</v>
      </c>
      <c r="AP619" s="50">
        <v>1</v>
      </c>
      <c r="AQ619" s="50">
        <v>0</v>
      </c>
      <c r="AR619" s="50">
        <v>1</v>
      </c>
      <c r="AS619" s="50">
        <v>1</v>
      </c>
      <c r="AU619" s="226">
        <v>0</v>
      </c>
      <c r="AV619" s="17">
        <f t="shared" si="97"/>
        <v>1</v>
      </c>
      <c r="AW619" s="50" t="str">
        <f>"{s_taskTalk,{"&amp;L619&amp;","&amp;N619&amp;"}}"</f>
        <v>{s_taskTalk,{60155,60159}}</v>
      </c>
    </row>
    <row r="620" spans="1:49" s="50" customFormat="1" ht="84" x14ac:dyDescent="0.15">
      <c r="A620" s="9">
        <v>1681</v>
      </c>
      <c r="C620" s="50" t="s">
        <v>2063</v>
      </c>
      <c r="D620" s="50">
        <v>1</v>
      </c>
      <c r="E620" s="50">
        <v>0</v>
      </c>
      <c r="F620" s="50">
        <v>6</v>
      </c>
      <c r="G620" s="120">
        <v>200</v>
      </c>
      <c r="H620" s="50">
        <v>200</v>
      </c>
      <c r="I620" s="17">
        <v>0</v>
      </c>
      <c r="J620" s="120">
        <v>1671</v>
      </c>
      <c r="K620" s="50">
        <v>0</v>
      </c>
      <c r="L620" s="50">
        <v>60159</v>
      </c>
      <c r="M620" s="50" t="s">
        <v>224</v>
      </c>
      <c r="N620" s="50">
        <v>60159</v>
      </c>
      <c r="O620" s="50" t="s">
        <v>224</v>
      </c>
      <c r="Q620" s="121"/>
      <c r="R620" s="121"/>
      <c r="S620" s="121">
        <v>10079</v>
      </c>
      <c r="T620" s="121"/>
      <c r="U620" s="50">
        <v>45</v>
      </c>
      <c r="V620" s="50">
        <v>0</v>
      </c>
      <c r="W620" s="122">
        <v>25</v>
      </c>
      <c r="Z620" s="123">
        <v>55000</v>
      </c>
      <c r="AB620" s="124"/>
      <c r="AC620" s="124"/>
      <c r="AD620" s="122" t="s">
        <v>3956</v>
      </c>
      <c r="AF620" s="126" t="s">
        <v>1024</v>
      </c>
      <c r="AG620" s="126" t="s">
        <v>1025</v>
      </c>
      <c r="AH620" s="126" t="s">
        <v>1026</v>
      </c>
      <c r="AI620" s="126" t="s">
        <v>1027</v>
      </c>
      <c r="AJ620" s="126"/>
      <c r="AL620" s="120">
        <v>0</v>
      </c>
      <c r="AM620" s="127" t="s">
        <v>3139</v>
      </c>
      <c r="AN620" s="127" t="s">
        <v>5706</v>
      </c>
      <c r="AP620" s="50">
        <v>1</v>
      </c>
      <c r="AQ620" s="50">
        <v>0</v>
      </c>
      <c r="AR620" s="50">
        <v>1</v>
      </c>
      <c r="AS620" s="50">
        <v>1</v>
      </c>
      <c r="AU620" s="226">
        <v>0</v>
      </c>
      <c r="AV620" s="17">
        <f t="shared" si="97"/>
        <v>1</v>
      </c>
      <c r="AW620" s="50" t="str">
        <f>"{s_taskKillNpc, {"&amp;L620&amp;","&amp;N620&amp;","&amp;S620&amp;","&amp;U620&amp;"}}"</f>
        <v>{s_taskKillNpc, {60159,60159,10079,45}}</v>
      </c>
    </row>
    <row r="621" spans="1:49" s="50" customFormat="1" ht="84" x14ac:dyDescent="0.15">
      <c r="A621" s="9">
        <v>1682</v>
      </c>
      <c r="C621" s="50" t="s">
        <v>2064</v>
      </c>
      <c r="D621" s="50">
        <v>1</v>
      </c>
      <c r="E621" s="50">
        <v>0</v>
      </c>
      <c r="F621" s="50">
        <v>6</v>
      </c>
      <c r="G621" s="120">
        <v>200</v>
      </c>
      <c r="H621" s="50">
        <v>200</v>
      </c>
      <c r="I621" s="17">
        <v>0</v>
      </c>
      <c r="J621" s="120">
        <v>1681</v>
      </c>
      <c r="K621" s="50">
        <v>0</v>
      </c>
      <c r="L621" s="50">
        <v>60159</v>
      </c>
      <c r="M621" s="50" t="s">
        <v>224</v>
      </c>
      <c r="N621" s="50">
        <v>60159</v>
      </c>
      <c r="O621" s="50" t="s">
        <v>224</v>
      </c>
      <c r="Q621" s="121"/>
      <c r="R621" s="121"/>
      <c r="S621" s="121">
        <v>10157</v>
      </c>
      <c r="T621" s="121"/>
      <c r="U621" s="50">
        <v>1</v>
      </c>
      <c r="V621" s="50">
        <v>0</v>
      </c>
      <c r="W621" s="122">
        <v>25</v>
      </c>
      <c r="Z621" s="123">
        <v>53000</v>
      </c>
      <c r="AB621" s="124"/>
      <c r="AC621" s="124"/>
      <c r="AD621" s="122" t="s">
        <v>7210</v>
      </c>
      <c r="AF621" s="126" t="s">
        <v>1028</v>
      </c>
      <c r="AG621" s="126" t="s">
        <v>1029</v>
      </c>
      <c r="AH621" s="126" t="s">
        <v>529</v>
      </c>
      <c r="AI621" s="126" t="s">
        <v>1030</v>
      </c>
      <c r="AJ621" s="126"/>
      <c r="AL621" s="120">
        <v>0</v>
      </c>
      <c r="AM621" s="127" t="s">
        <v>3140</v>
      </c>
      <c r="AN621" s="127" t="s">
        <v>5707</v>
      </c>
      <c r="AP621" s="50">
        <v>1</v>
      </c>
      <c r="AQ621" s="50">
        <v>0</v>
      </c>
      <c r="AR621" s="50">
        <v>1</v>
      </c>
      <c r="AS621" s="50">
        <v>1</v>
      </c>
      <c r="AU621" s="226">
        <v>0</v>
      </c>
      <c r="AV621" s="17">
        <f t="shared" si="97"/>
        <v>1</v>
      </c>
      <c r="AW621" s="50" t="str">
        <f>"{s_taskKillNpc, {"&amp;L621&amp;","&amp;N621&amp;","&amp;S621&amp;","&amp;U621&amp;"}}"</f>
        <v>{s_taskKillNpc, {60159,60159,10157,1}}</v>
      </c>
    </row>
    <row r="622" spans="1:49" s="50" customFormat="1" ht="72" x14ac:dyDescent="0.15">
      <c r="A622" s="9">
        <v>1683</v>
      </c>
      <c r="C622" s="50" t="s">
        <v>2065</v>
      </c>
      <c r="D622" s="50">
        <v>1</v>
      </c>
      <c r="E622" s="50">
        <v>0</v>
      </c>
      <c r="F622" s="50">
        <v>6</v>
      </c>
      <c r="G622" s="120">
        <v>200</v>
      </c>
      <c r="H622" s="50">
        <v>200</v>
      </c>
      <c r="I622" s="17">
        <v>0</v>
      </c>
      <c r="J622" s="120">
        <v>1682</v>
      </c>
      <c r="K622" s="50">
        <v>0</v>
      </c>
      <c r="L622" s="50">
        <v>60159</v>
      </c>
      <c r="M622" s="50" t="s">
        <v>224</v>
      </c>
      <c r="N622" s="50">
        <v>60093</v>
      </c>
      <c r="O622" s="50" t="s">
        <v>220</v>
      </c>
      <c r="Q622" s="121"/>
      <c r="R622" s="121"/>
      <c r="S622" s="121"/>
      <c r="T622" s="121"/>
      <c r="U622" s="50">
        <v>1</v>
      </c>
      <c r="V622" s="50">
        <v>1</v>
      </c>
      <c r="W622" s="122">
        <v>25</v>
      </c>
      <c r="Z622" s="123">
        <v>10000</v>
      </c>
      <c r="AB622" s="124"/>
      <c r="AC622" s="124"/>
      <c r="AF622" s="126" t="s">
        <v>25</v>
      </c>
      <c r="AG622" s="126" t="s">
        <v>1031</v>
      </c>
      <c r="AH622" s="126" t="s">
        <v>277</v>
      </c>
      <c r="AI622" s="126"/>
      <c r="AJ622" s="126"/>
      <c r="AL622" s="120">
        <v>0</v>
      </c>
      <c r="AM622" s="127" t="s">
        <v>3141</v>
      </c>
      <c r="AN622" s="127" t="s">
        <v>5708</v>
      </c>
      <c r="AP622" s="50">
        <v>1</v>
      </c>
      <c r="AQ622" s="50">
        <v>0</v>
      </c>
      <c r="AR622" s="50">
        <v>1</v>
      </c>
      <c r="AS622" s="50">
        <v>1</v>
      </c>
      <c r="AU622" s="226">
        <v>0</v>
      </c>
      <c r="AV622" s="17">
        <f t="shared" si="97"/>
        <v>1</v>
      </c>
      <c r="AW622" s="50" t="str">
        <f>"{s_taskTalk,{"&amp;L622&amp;","&amp;N622&amp;"}}"</f>
        <v>{s_taskTalk,{60159,60093}}</v>
      </c>
    </row>
    <row r="623" spans="1:49" s="73" customFormat="1" ht="144" x14ac:dyDescent="0.15">
      <c r="A623" s="72">
        <v>1711</v>
      </c>
      <c r="C623" s="73" t="s">
        <v>2066</v>
      </c>
      <c r="D623" s="73">
        <v>1</v>
      </c>
      <c r="E623" s="73">
        <v>0</v>
      </c>
      <c r="F623" s="73">
        <v>6</v>
      </c>
      <c r="G623" s="120">
        <v>200</v>
      </c>
      <c r="H623" s="73">
        <v>200</v>
      </c>
      <c r="I623" s="17">
        <v>0</v>
      </c>
      <c r="J623" s="80">
        <v>1683</v>
      </c>
      <c r="K623" s="73">
        <v>0</v>
      </c>
      <c r="L623" s="73">
        <v>60093</v>
      </c>
      <c r="M623" s="73" t="s">
        <v>220</v>
      </c>
      <c r="N623" s="73">
        <v>60093</v>
      </c>
      <c r="O623" s="73" t="s">
        <v>220</v>
      </c>
      <c r="Q623" s="140"/>
      <c r="R623" s="140"/>
      <c r="S623" s="140"/>
      <c r="T623" s="140"/>
      <c r="U623" s="73">
        <v>2</v>
      </c>
      <c r="V623" s="73">
        <v>0</v>
      </c>
      <c r="W623" s="141">
        <v>25</v>
      </c>
      <c r="Z623" s="142">
        <v>11000</v>
      </c>
      <c r="AB623" s="143"/>
      <c r="AC623" s="143"/>
      <c r="AF623" s="145" t="s">
        <v>4302</v>
      </c>
      <c r="AG623" s="145" t="s">
        <v>675</v>
      </c>
      <c r="AH623" s="145" t="s">
        <v>4303</v>
      </c>
      <c r="AI623" s="145" t="s">
        <v>4304</v>
      </c>
      <c r="AJ623" s="145"/>
      <c r="AL623" s="80">
        <v>0</v>
      </c>
      <c r="AM623" s="147" t="s">
        <v>3537</v>
      </c>
      <c r="AN623" s="147" t="s">
        <v>5709</v>
      </c>
      <c r="AP623" s="73">
        <v>1</v>
      </c>
      <c r="AQ623" s="73">
        <v>0</v>
      </c>
      <c r="AR623" s="50">
        <v>1</v>
      </c>
      <c r="AS623" s="50">
        <v>1</v>
      </c>
      <c r="AU623" s="226">
        <v>0</v>
      </c>
      <c r="AV623" s="17">
        <f t="shared" si="97"/>
        <v>1</v>
      </c>
      <c r="AW623" s="73" t="str">
        <f>"{s_taskTalk,{"&amp;L623&amp;","&amp;N623&amp;"}}"</f>
        <v>{s_taskTalk,{60093,60093}}</v>
      </c>
    </row>
    <row r="624" spans="1:49" s="50" customFormat="1" ht="84" x14ac:dyDescent="0.15">
      <c r="A624" s="9">
        <v>1721</v>
      </c>
      <c r="C624" s="50" t="s">
        <v>2067</v>
      </c>
      <c r="D624" s="50">
        <v>1</v>
      </c>
      <c r="E624" s="50">
        <v>0</v>
      </c>
      <c r="F624" s="50">
        <v>6</v>
      </c>
      <c r="G624" s="120">
        <v>200</v>
      </c>
      <c r="H624" s="50">
        <v>200</v>
      </c>
      <c r="I624" s="17">
        <v>0</v>
      </c>
      <c r="J624" s="120">
        <v>1711</v>
      </c>
      <c r="K624" s="50">
        <v>0</v>
      </c>
      <c r="L624" s="50">
        <v>60093</v>
      </c>
      <c r="M624" s="50" t="s">
        <v>220</v>
      </c>
      <c r="N624" s="50">
        <v>60098</v>
      </c>
      <c r="O624" s="50" t="s">
        <v>225</v>
      </c>
      <c r="Q624" s="121"/>
      <c r="R624" s="121"/>
      <c r="S624" s="121"/>
      <c r="T624" s="121"/>
      <c r="U624" s="50">
        <v>1</v>
      </c>
      <c r="V624" s="50">
        <v>1</v>
      </c>
      <c r="W624" s="122">
        <v>25</v>
      </c>
      <c r="Z624" s="123">
        <v>11000</v>
      </c>
      <c r="AB624" s="124"/>
      <c r="AC624" s="124"/>
      <c r="AF624" s="126" t="s">
        <v>1032</v>
      </c>
      <c r="AG624" s="126" t="s">
        <v>1033</v>
      </c>
      <c r="AH624" s="126" t="s">
        <v>1034</v>
      </c>
      <c r="AI624" s="126"/>
      <c r="AJ624" s="126"/>
      <c r="AL624" s="120">
        <v>0</v>
      </c>
      <c r="AM624" s="127" t="s">
        <v>3142</v>
      </c>
      <c r="AN624" s="127" t="s">
        <v>5710</v>
      </c>
      <c r="AP624" s="50">
        <v>1</v>
      </c>
      <c r="AQ624" s="50">
        <v>0</v>
      </c>
      <c r="AR624" s="50">
        <v>1</v>
      </c>
      <c r="AS624" s="50">
        <v>1</v>
      </c>
      <c r="AU624" s="226">
        <v>0</v>
      </c>
      <c r="AV624" s="17">
        <f t="shared" si="97"/>
        <v>1</v>
      </c>
      <c r="AW624" s="50" t="str">
        <f>"{s_taskTalk,{"&amp;L624&amp;","&amp;N624&amp;"}}"</f>
        <v>{s_taskTalk,{60093,60098}}</v>
      </c>
    </row>
    <row r="625" spans="1:49" s="191" customFormat="1" ht="84" x14ac:dyDescent="0.15">
      <c r="A625" s="190">
        <v>1731</v>
      </c>
      <c r="C625" s="191" t="s">
        <v>2068</v>
      </c>
      <c r="D625" s="191">
        <v>1</v>
      </c>
      <c r="E625" s="191">
        <v>0</v>
      </c>
      <c r="F625" s="191">
        <v>6</v>
      </c>
      <c r="G625" s="120">
        <v>200</v>
      </c>
      <c r="H625" s="191">
        <v>200</v>
      </c>
      <c r="I625" s="17">
        <v>0</v>
      </c>
      <c r="J625" s="192">
        <v>1721</v>
      </c>
      <c r="K625" s="191">
        <v>0</v>
      </c>
      <c r="L625" s="191">
        <v>60098</v>
      </c>
      <c r="M625" s="191" t="s">
        <v>225</v>
      </c>
      <c r="N625" s="191">
        <v>60098</v>
      </c>
      <c r="O625" s="191" t="s">
        <v>225</v>
      </c>
      <c r="Q625" s="193"/>
      <c r="R625" s="193"/>
      <c r="S625" s="193">
        <v>10080</v>
      </c>
      <c r="T625" s="193"/>
      <c r="U625" s="191">
        <v>45</v>
      </c>
      <c r="V625" s="191">
        <v>0</v>
      </c>
      <c r="W625" s="148">
        <v>25</v>
      </c>
      <c r="Z625" s="194">
        <v>55000</v>
      </c>
      <c r="AB625" s="195"/>
      <c r="AC625" s="195"/>
      <c r="AF625" s="197" t="s">
        <v>1035</v>
      </c>
      <c r="AG625" s="197" t="s">
        <v>1036</v>
      </c>
      <c r="AH625" s="197" t="s">
        <v>4350</v>
      </c>
      <c r="AI625" s="197" t="s">
        <v>1037</v>
      </c>
      <c r="AJ625" s="197"/>
      <c r="AL625" s="192">
        <v>0</v>
      </c>
      <c r="AM625" s="198" t="s">
        <v>3143</v>
      </c>
      <c r="AN625" s="198" t="s">
        <v>5711</v>
      </c>
      <c r="AP625" s="191">
        <v>1</v>
      </c>
      <c r="AQ625" s="191">
        <v>0</v>
      </c>
      <c r="AR625" s="50">
        <v>1</v>
      </c>
      <c r="AS625" s="50">
        <v>1</v>
      </c>
      <c r="AU625" s="226">
        <v>0</v>
      </c>
      <c r="AV625" s="17">
        <f t="shared" si="97"/>
        <v>1</v>
      </c>
      <c r="AW625" s="191" t="str">
        <f>"{s_taskKillNpc, {"&amp;L625&amp;","&amp;N625&amp;","&amp;S625&amp;","&amp;U625&amp;"}}"</f>
        <v>{s_taskKillNpc, {60098,60098,10080,45}}</v>
      </c>
    </row>
    <row r="626" spans="1:49" s="191" customFormat="1" ht="84" x14ac:dyDescent="0.15">
      <c r="A626" s="190">
        <v>1729</v>
      </c>
      <c r="C626" s="191" t="s">
        <v>2068</v>
      </c>
      <c r="D626" s="191">
        <v>1</v>
      </c>
      <c r="E626" s="191">
        <v>0</v>
      </c>
      <c r="F626" s="191">
        <v>6</v>
      </c>
      <c r="G626" s="120">
        <v>200</v>
      </c>
      <c r="H626" s="191">
        <v>200</v>
      </c>
      <c r="I626" s="17">
        <v>0</v>
      </c>
      <c r="J626" s="192">
        <v>0</v>
      </c>
      <c r="K626" s="191">
        <v>0</v>
      </c>
      <c r="L626" s="191">
        <v>60098</v>
      </c>
      <c r="M626" s="191" t="s">
        <v>225</v>
      </c>
      <c r="N626" s="191">
        <v>60098</v>
      </c>
      <c r="O626" s="191" t="s">
        <v>225</v>
      </c>
      <c r="Q626" s="193"/>
      <c r="R626" s="193"/>
      <c r="S626" s="193">
        <v>10080</v>
      </c>
      <c r="T626" s="193"/>
      <c r="U626" s="191">
        <v>45</v>
      </c>
      <c r="V626" s="191">
        <v>0</v>
      </c>
      <c r="W626" s="148">
        <v>25</v>
      </c>
      <c r="Z626" s="194">
        <v>55000</v>
      </c>
      <c r="AB626" s="195"/>
      <c r="AC626" s="195"/>
      <c r="AD626" s="148" t="s">
        <v>7211</v>
      </c>
      <c r="AF626" s="197" t="s">
        <v>1035</v>
      </c>
      <c r="AG626" s="197" t="s">
        <v>1036</v>
      </c>
      <c r="AH626" s="197" t="s">
        <v>4350</v>
      </c>
      <c r="AI626" s="197" t="s">
        <v>1037</v>
      </c>
      <c r="AJ626" s="197"/>
      <c r="AL626" s="192">
        <v>0</v>
      </c>
      <c r="AM626" s="198" t="s">
        <v>3143</v>
      </c>
      <c r="AN626" s="198" t="s">
        <v>5711</v>
      </c>
      <c r="AP626" s="191">
        <v>0</v>
      </c>
      <c r="AQ626" s="191">
        <v>0</v>
      </c>
      <c r="AR626" s="50">
        <v>1</v>
      </c>
      <c r="AS626" s="50">
        <v>1</v>
      </c>
      <c r="AU626" s="226">
        <v>0</v>
      </c>
      <c r="AV626" s="17">
        <f t="shared" si="97"/>
        <v>1</v>
      </c>
      <c r="AW626" s="191" t="str">
        <f>"{s_taskKillNpc, {"&amp;L626&amp;","&amp;N626&amp;","&amp;S626&amp;","&amp;U626&amp;"}}"</f>
        <v>{s_taskKillNpc, {60098,60098,10080,45}}</v>
      </c>
    </row>
    <row r="627" spans="1:49" s="191" customFormat="1" ht="84" x14ac:dyDescent="0.15">
      <c r="A627" s="190">
        <v>1730</v>
      </c>
      <c r="C627" s="191" t="s">
        <v>2068</v>
      </c>
      <c r="D627" s="191">
        <v>1</v>
      </c>
      <c r="E627" s="191">
        <v>0</v>
      </c>
      <c r="F627" s="191">
        <v>6</v>
      </c>
      <c r="G627" s="120">
        <v>200</v>
      </c>
      <c r="H627" s="191">
        <v>200</v>
      </c>
      <c r="I627" s="17">
        <v>0</v>
      </c>
      <c r="J627" s="192">
        <v>0</v>
      </c>
      <c r="K627" s="191">
        <v>0</v>
      </c>
      <c r="L627" s="191">
        <v>60098</v>
      </c>
      <c r="M627" s="191" t="s">
        <v>225</v>
      </c>
      <c r="N627" s="191">
        <v>60098</v>
      </c>
      <c r="O627" s="191" t="s">
        <v>225</v>
      </c>
      <c r="Q627" s="193"/>
      <c r="R627" s="193"/>
      <c r="S627" s="193">
        <v>10080</v>
      </c>
      <c r="T627" s="193"/>
      <c r="U627" s="191">
        <v>45</v>
      </c>
      <c r="V627" s="191">
        <v>0</v>
      </c>
      <c r="W627" s="148">
        <v>25</v>
      </c>
      <c r="Z627" s="194">
        <v>55000</v>
      </c>
      <c r="AB627" s="195"/>
      <c r="AC627" s="195"/>
      <c r="AD627" s="148" t="s">
        <v>7212</v>
      </c>
      <c r="AF627" s="197" t="s">
        <v>1035</v>
      </c>
      <c r="AG627" s="197" t="s">
        <v>1036</v>
      </c>
      <c r="AH627" s="197" t="s">
        <v>4350</v>
      </c>
      <c r="AI627" s="197" t="s">
        <v>1037</v>
      </c>
      <c r="AJ627" s="197"/>
      <c r="AL627" s="192">
        <v>0</v>
      </c>
      <c r="AM627" s="198" t="s">
        <v>3143</v>
      </c>
      <c r="AN627" s="198" t="s">
        <v>5711</v>
      </c>
      <c r="AP627" s="191">
        <v>0</v>
      </c>
      <c r="AQ627" s="191">
        <v>0</v>
      </c>
      <c r="AR627" s="50">
        <v>1</v>
      </c>
      <c r="AS627" s="50">
        <v>1</v>
      </c>
      <c r="AU627" s="226">
        <v>0</v>
      </c>
      <c r="AV627" s="17">
        <f t="shared" si="97"/>
        <v>1</v>
      </c>
      <c r="AW627" s="191" t="str">
        <f>"{s_taskKillNpc, {"&amp;L627&amp;","&amp;N627&amp;","&amp;S627&amp;","&amp;U627&amp;"}}"</f>
        <v>{s_taskKillNpc, {60098,60098,10080,45}}</v>
      </c>
    </row>
    <row r="628" spans="1:49" s="50" customFormat="1" ht="84" x14ac:dyDescent="0.15">
      <c r="A628" s="9">
        <v>1732</v>
      </c>
      <c r="C628" s="50" t="s">
        <v>2069</v>
      </c>
      <c r="D628" s="50">
        <v>1</v>
      </c>
      <c r="E628" s="50">
        <v>0</v>
      </c>
      <c r="F628" s="50">
        <v>6</v>
      </c>
      <c r="G628" s="120">
        <v>200</v>
      </c>
      <c r="H628" s="50">
        <v>200</v>
      </c>
      <c r="I628" s="17">
        <v>0</v>
      </c>
      <c r="J628" s="120">
        <v>1731</v>
      </c>
      <c r="K628" s="50">
        <v>0</v>
      </c>
      <c r="L628" s="50">
        <v>60098</v>
      </c>
      <c r="M628" s="50" t="s">
        <v>225</v>
      </c>
      <c r="N628" s="50">
        <v>60098</v>
      </c>
      <c r="O628" s="50" t="s">
        <v>225</v>
      </c>
      <c r="Q628" s="121"/>
      <c r="R628" s="121"/>
      <c r="S628" s="121">
        <v>10158</v>
      </c>
      <c r="T628" s="121"/>
      <c r="U628" s="50">
        <v>1</v>
      </c>
      <c r="V628" s="50">
        <v>0</v>
      </c>
      <c r="W628" s="122">
        <v>25</v>
      </c>
      <c r="Z628" s="123">
        <v>53000</v>
      </c>
      <c r="AB628" s="124"/>
      <c r="AC628" s="124"/>
      <c r="AD628" s="122" t="s">
        <v>1380</v>
      </c>
      <c r="AF628" s="126" t="s">
        <v>1038</v>
      </c>
      <c r="AG628" s="126" t="s">
        <v>1039</v>
      </c>
      <c r="AH628" s="126" t="s">
        <v>1040</v>
      </c>
      <c r="AI628" s="126" t="s">
        <v>1041</v>
      </c>
      <c r="AJ628" s="126"/>
      <c r="AL628" s="120">
        <v>0</v>
      </c>
      <c r="AM628" s="127" t="s">
        <v>3144</v>
      </c>
      <c r="AN628" s="127" t="s">
        <v>5712</v>
      </c>
      <c r="AP628" s="50">
        <v>1</v>
      </c>
      <c r="AQ628" s="50">
        <v>0</v>
      </c>
      <c r="AR628" s="50">
        <v>1</v>
      </c>
      <c r="AS628" s="50">
        <v>1</v>
      </c>
      <c r="AU628" s="226">
        <v>0</v>
      </c>
      <c r="AV628" s="17">
        <f t="shared" si="97"/>
        <v>1</v>
      </c>
      <c r="AW628" s="50" t="str">
        <f>"{s_taskKillNpc, {"&amp;L628&amp;","&amp;N628&amp;","&amp;S628&amp;","&amp;U628&amp;"}}"</f>
        <v>{s_taskKillNpc, {60098,60098,10158,1}}</v>
      </c>
    </row>
    <row r="629" spans="1:49" s="50" customFormat="1" ht="72" x14ac:dyDescent="0.15">
      <c r="A629" s="9">
        <v>1741</v>
      </c>
      <c r="C629" s="50" t="s">
        <v>2070</v>
      </c>
      <c r="D629" s="50">
        <v>1</v>
      </c>
      <c r="E629" s="50">
        <v>0</v>
      </c>
      <c r="F629" s="50">
        <v>6</v>
      </c>
      <c r="G629" s="120">
        <v>200</v>
      </c>
      <c r="H629" s="50">
        <v>200</v>
      </c>
      <c r="I629" s="17">
        <v>0</v>
      </c>
      <c r="J629" s="120">
        <v>1732</v>
      </c>
      <c r="K629" s="50">
        <v>0</v>
      </c>
      <c r="L629" s="50">
        <v>60098</v>
      </c>
      <c r="M629" s="50" t="s">
        <v>225</v>
      </c>
      <c r="N629" s="50">
        <v>60099</v>
      </c>
      <c r="O629" s="50" t="s">
        <v>673</v>
      </c>
      <c r="Q629" s="121"/>
      <c r="R629" s="121"/>
      <c r="S629" s="121"/>
      <c r="T629" s="121"/>
      <c r="U629" s="50">
        <v>1</v>
      </c>
      <c r="V629" s="50">
        <v>1</v>
      </c>
      <c r="W629" s="122">
        <v>25</v>
      </c>
      <c r="Z629" s="123">
        <v>11000</v>
      </c>
      <c r="AB629" s="124"/>
      <c r="AC629" s="124"/>
      <c r="AF629" s="126" t="s">
        <v>1042</v>
      </c>
      <c r="AG629" s="126" t="s">
        <v>1043</v>
      </c>
      <c r="AH629" s="126" t="s">
        <v>1044</v>
      </c>
      <c r="AI629" s="126"/>
      <c r="AJ629" s="126"/>
      <c r="AL629" s="120">
        <v>0</v>
      </c>
      <c r="AM629" s="127" t="s">
        <v>3145</v>
      </c>
      <c r="AN629" s="127" t="s">
        <v>5713</v>
      </c>
      <c r="AP629" s="50">
        <v>1</v>
      </c>
      <c r="AQ629" s="50">
        <v>0</v>
      </c>
      <c r="AR629" s="50">
        <v>1</v>
      </c>
      <c r="AS629" s="50">
        <v>1</v>
      </c>
      <c r="AU629" s="226">
        <v>0</v>
      </c>
      <c r="AV629" s="17">
        <f t="shared" si="97"/>
        <v>1</v>
      </c>
      <c r="AW629" s="50" t="str">
        <f>"{s_taskTalk,{"&amp;L629&amp;","&amp;N629&amp;"}}"</f>
        <v>{s_taskTalk,{60098,60099}}</v>
      </c>
    </row>
    <row r="630" spans="1:49" s="50" customFormat="1" ht="84" x14ac:dyDescent="0.15">
      <c r="A630" s="9">
        <v>1745</v>
      </c>
      <c r="C630" s="50" t="s">
        <v>2071</v>
      </c>
      <c r="D630" s="50">
        <v>1</v>
      </c>
      <c r="E630" s="50">
        <v>0</v>
      </c>
      <c r="F630" s="50">
        <v>6</v>
      </c>
      <c r="G630" s="120">
        <v>200</v>
      </c>
      <c r="H630" s="50">
        <v>200</v>
      </c>
      <c r="I630" s="17">
        <v>0</v>
      </c>
      <c r="J630" s="120">
        <v>1741</v>
      </c>
      <c r="K630" s="50">
        <v>0</v>
      </c>
      <c r="L630" s="50">
        <v>60099</v>
      </c>
      <c r="M630" s="50" t="s">
        <v>673</v>
      </c>
      <c r="N630" s="50">
        <v>60099</v>
      </c>
      <c r="O630" s="50" t="s">
        <v>673</v>
      </c>
      <c r="Q630" s="121"/>
      <c r="R630" s="121"/>
      <c r="S630" s="121">
        <v>10081</v>
      </c>
      <c r="T630" s="121"/>
      <c r="U630" s="50">
        <v>45</v>
      </c>
      <c r="V630" s="50">
        <v>0</v>
      </c>
      <c r="W630" s="122">
        <v>25</v>
      </c>
      <c r="Z630" s="123">
        <v>57000</v>
      </c>
      <c r="AB630" s="124"/>
      <c r="AC630" s="124"/>
      <c r="AF630" s="126" t="s">
        <v>1045</v>
      </c>
      <c r="AG630" s="126" t="s">
        <v>1046</v>
      </c>
      <c r="AH630" s="126" t="s">
        <v>1047</v>
      </c>
      <c r="AI630" s="126" t="s">
        <v>1048</v>
      </c>
      <c r="AJ630" s="126"/>
      <c r="AL630" s="120">
        <v>0</v>
      </c>
      <c r="AM630" s="127" t="s">
        <v>3146</v>
      </c>
      <c r="AN630" s="127" t="s">
        <v>5714</v>
      </c>
      <c r="AP630" s="50">
        <v>1</v>
      </c>
      <c r="AQ630" s="50">
        <v>0</v>
      </c>
      <c r="AR630" s="50">
        <v>1</v>
      </c>
      <c r="AS630" s="50">
        <v>1</v>
      </c>
      <c r="AU630" s="226">
        <v>0</v>
      </c>
      <c r="AV630" s="17">
        <f t="shared" si="97"/>
        <v>1</v>
      </c>
      <c r="AW630" s="50" t="str">
        <f>"{s_taskKillNpc, {"&amp;L630&amp;","&amp;N630&amp;","&amp;S630&amp;","&amp;U630&amp;"}}"</f>
        <v>{s_taskKillNpc, {60099,60099,10081,45}}</v>
      </c>
    </row>
    <row r="631" spans="1:49" s="50" customFormat="1" ht="84" x14ac:dyDescent="0.15">
      <c r="A631" s="9">
        <v>1746</v>
      </c>
      <c r="C631" s="50" t="s">
        <v>2072</v>
      </c>
      <c r="D631" s="50">
        <v>1</v>
      </c>
      <c r="E631" s="50">
        <v>0</v>
      </c>
      <c r="F631" s="50">
        <v>6</v>
      </c>
      <c r="G631" s="120">
        <v>200</v>
      </c>
      <c r="H631" s="50">
        <v>200</v>
      </c>
      <c r="I631" s="17">
        <v>0</v>
      </c>
      <c r="J631" s="120">
        <v>1745</v>
      </c>
      <c r="K631" s="50">
        <v>0</v>
      </c>
      <c r="L631" s="50">
        <v>60099</v>
      </c>
      <c r="M631" s="50" t="s">
        <v>673</v>
      </c>
      <c r="N631" s="50">
        <v>60099</v>
      </c>
      <c r="O631" s="50" t="s">
        <v>673</v>
      </c>
      <c r="Q631" s="121"/>
      <c r="R631" s="121"/>
      <c r="S631" s="121">
        <v>10159</v>
      </c>
      <c r="T631" s="121"/>
      <c r="U631" s="50">
        <v>1</v>
      </c>
      <c r="V631" s="50">
        <v>0</v>
      </c>
      <c r="W631" s="122">
        <v>25</v>
      </c>
      <c r="Z631" s="123">
        <v>55000</v>
      </c>
      <c r="AB631" s="124"/>
      <c r="AC631" s="124">
        <v>500</v>
      </c>
      <c r="AF631" s="126" t="s">
        <v>1049</v>
      </c>
      <c r="AG631" s="126" t="s">
        <v>1050</v>
      </c>
      <c r="AH631" s="126" t="s">
        <v>1051</v>
      </c>
      <c r="AI631" s="126" t="s">
        <v>1052</v>
      </c>
      <c r="AJ631" s="126"/>
      <c r="AL631" s="120">
        <v>0</v>
      </c>
      <c r="AM631" s="127" t="s">
        <v>3147</v>
      </c>
      <c r="AN631" s="127" t="s">
        <v>5715</v>
      </c>
      <c r="AP631" s="50">
        <v>1</v>
      </c>
      <c r="AQ631" s="50">
        <v>0</v>
      </c>
      <c r="AR631" s="50">
        <v>1</v>
      </c>
      <c r="AS631" s="50">
        <v>1</v>
      </c>
      <c r="AU631" s="226">
        <v>0</v>
      </c>
      <c r="AV631" s="17">
        <f t="shared" si="97"/>
        <v>1</v>
      </c>
      <c r="AW631" s="50" t="str">
        <f>"{s_taskKillNpc, {"&amp;L631&amp;","&amp;N631&amp;","&amp;S631&amp;","&amp;U631&amp;"}}"</f>
        <v>{s_taskKillNpc, {60099,60099,10159,1}}</v>
      </c>
    </row>
    <row r="632" spans="1:49" s="50" customFormat="1" ht="84" x14ac:dyDescent="0.15">
      <c r="A632" s="9">
        <v>1747</v>
      </c>
      <c r="C632" s="50" t="s">
        <v>2073</v>
      </c>
      <c r="D632" s="50">
        <v>1</v>
      </c>
      <c r="E632" s="50">
        <v>0</v>
      </c>
      <c r="F632" s="50">
        <v>6</v>
      </c>
      <c r="G632" s="120">
        <v>200</v>
      </c>
      <c r="H632" s="50">
        <v>200</v>
      </c>
      <c r="I632" s="17">
        <v>0</v>
      </c>
      <c r="J632" s="120">
        <v>1746</v>
      </c>
      <c r="K632" s="50">
        <v>0</v>
      </c>
      <c r="L632" s="50">
        <v>60099</v>
      </c>
      <c r="M632" s="50" t="s">
        <v>673</v>
      </c>
      <c r="N632" s="50">
        <v>60099</v>
      </c>
      <c r="O632" s="50" t="s">
        <v>673</v>
      </c>
      <c r="Q632" s="121"/>
      <c r="R632" s="121"/>
      <c r="S632" s="121">
        <v>10088</v>
      </c>
      <c r="T632" s="121"/>
      <c r="U632" s="50">
        <v>45</v>
      </c>
      <c r="V632" s="50">
        <v>0</v>
      </c>
      <c r="W632" s="122">
        <v>25</v>
      </c>
      <c r="Z632" s="123">
        <v>59000</v>
      </c>
      <c r="AB632" s="124"/>
      <c r="AC632" s="124"/>
      <c r="AD632" s="122" t="s">
        <v>2499</v>
      </c>
      <c r="AF632" s="126" t="s">
        <v>1053</v>
      </c>
      <c r="AG632" s="126" t="s">
        <v>1054</v>
      </c>
      <c r="AH632" s="126" t="s">
        <v>1055</v>
      </c>
      <c r="AI632" s="126" t="s">
        <v>289</v>
      </c>
      <c r="AJ632" s="126"/>
      <c r="AL632" s="120">
        <v>0</v>
      </c>
      <c r="AM632" s="127" t="s">
        <v>3148</v>
      </c>
      <c r="AN632" s="127" t="s">
        <v>5716</v>
      </c>
      <c r="AP632" s="50">
        <v>1</v>
      </c>
      <c r="AQ632" s="50">
        <v>0</v>
      </c>
      <c r="AR632" s="50">
        <v>1</v>
      </c>
      <c r="AS632" s="50">
        <v>1</v>
      </c>
      <c r="AU632" s="226">
        <v>0</v>
      </c>
      <c r="AV632" s="17">
        <f t="shared" si="97"/>
        <v>1</v>
      </c>
      <c r="AW632" s="50" t="str">
        <f>"{s_taskKillNpc, {"&amp;L632&amp;","&amp;N632&amp;","&amp;S632&amp;","&amp;U632&amp;"}}"</f>
        <v>{s_taskKillNpc, {60099,60099,10088,45}}</v>
      </c>
    </row>
    <row r="633" spans="1:49" s="50" customFormat="1" ht="84" x14ac:dyDescent="0.15">
      <c r="A633" s="9">
        <v>1748</v>
      </c>
      <c r="C633" s="50" t="s">
        <v>2074</v>
      </c>
      <c r="D633" s="50">
        <v>1</v>
      </c>
      <c r="E633" s="50">
        <v>0</v>
      </c>
      <c r="F633" s="50">
        <v>6</v>
      </c>
      <c r="G633" s="120">
        <v>200</v>
      </c>
      <c r="H633" s="50">
        <v>200</v>
      </c>
      <c r="I633" s="17">
        <v>0</v>
      </c>
      <c r="J633" s="120">
        <v>1747</v>
      </c>
      <c r="K633" s="50">
        <v>0</v>
      </c>
      <c r="L633" s="50">
        <v>60099</v>
      </c>
      <c r="M633" s="50" t="s">
        <v>673</v>
      </c>
      <c r="N633" s="50">
        <v>60099</v>
      </c>
      <c r="O633" s="50" t="s">
        <v>673</v>
      </c>
      <c r="Q633" s="121"/>
      <c r="R633" s="121"/>
      <c r="S633" s="121">
        <v>10160</v>
      </c>
      <c r="T633" s="121"/>
      <c r="U633" s="50">
        <v>1</v>
      </c>
      <c r="V633" s="50">
        <v>0</v>
      </c>
      <c r="W633" s="122">
        <v>25</v>
      </c>
      <c r="Z633" s="123">
        <v>57000</v>
      </c>
      <c r="AB633" s="124"/>
      <c r="AC633" s="124"/>
      <c r="AD633" s="122" t="s">
        <v>3956</v>
      </c>
      <c r="AF633" s="126" t="s">
        <v>1056</v>
      </c>
      <c r="AG633" s="126" t="s">
        <v>1057</v>
      </c>
      <c r="AH633" s="126" t="s">
        <v>1058</v>
      </c>
      <c r="AI633" s="126" t="s">
        <v>278</v>
      </c>
      <c r="AJ633" s="126"/>
      <c r="AL633" s="120">
        <v>0</v>
      </c>
      <c r="AM633" s="127" t="s">
        <v>3149</v>
      </c>
      <c r="AN633" s="127" t="s">
        <v>5717</v>
      </c>
      <c r="AP633" s="50">
        <v>1</v>
      </c>
      <c r="AQ633" s="50">
        <v>0</v>
      </c>
      <c r="AR633" s="50">
        <v>1</v>
      </c>
      <c r="AS633" s="50">
        <v>1</v>
      </c>
      <c r="AU633" s="226">
        <v>0</v>
      </c>
      <c r="AV633" s="17">
        <f t="shared" ref="AV633:AV696" si="100">IF(D633 = 1,1,0)</f>
        <v>1</v>
      </c>
      <c r="AW633" s="50" t="str">
        <f>"{s_taskKillNpc, {"&amp;L633&amp;","&amp;N633&amp;","&amp;S633&amp;","&amp;U633&amp;"}}"</f>
        <v>{s_taskKillNpc, {60099,60099,10160,1}}</v>
      </c>
    </row>
    <row r="634" spans="1:49" s="50" customFormat="1" ht="108" x14ac:dyDescent="0.15">
      <c r="A634" s="9">
        <v>1749</v>
      </c>
      <c r="C634" s="50" t="s">
        <v>2075</v>
      </c>
      <c r="D634" s="50">
        <v>1</v>
      </c>
      <c r="E634" s="50">
        <v>0</v>
      </c>
      <c r="F634" s="50">
        <v>6</v>
      </c>
      <c r="G634" s="120">
        <v>200</v>
      </c>
      <c r="H634" s="50">
        <v>200</v>
      </c>
      <c r="I634" s="17">
        <v>0</v>
      </c>
      <c r="J634" s="120">
        <v>1748</v>
      </c>
      <c r="K634" s="50">
        <v>0</v>
      </c>
      <c r="L634" s="50">
        <v>60099</v>
      </c>
      <c r="M634" s="50" t="s">
        <v>673</v>
      </c>
      <c r="N634" s="50">
        <v>60157</v>
      </c>
      <c r="O634" s="50" t="s">
        <v>226</v>
      </c>
      <c r="Q634" s="121"/>
      <c r="R634" s="121"/>
      <c r="S634" s="121"/>
      <c r="T634" s="121"/>
      <c r="U634" s="50">
        <v>1</v>
      </c>
      <c r="V634" s="50">
        <v>1</v>
      </c>
      <c r="W634" s="122">
        <v>25</v>
      </c>
      <c r="Z634" s="123">
        <v>13000</v>
      </c>
      <c r="AB634" s="124"/>
      <c r="AC634" s="124"/>
      <c r="AF634" s="126" t="s">
        <v>1059</v>
      </c>
      <c r="AG634" s="126" t="s">
        <v>1060</v>
      </c>
      <c r="AH634" s="126" t="s">
        <v>4351</v>
      </c>
      <c r="AI634" s="126"/>
      <c r="AJ634" s="126"/>
      <c r="AL634" s="120">
        <v>0</v>
      </c>
      <c r="AM634" s="127" t="s">
        <v>3150</v>
      </c>
      <c r="AN634" s="127" t="s">
        <v>5718</v>
      </c>
      <c r="AP634" s="50">
        <v>1</v>
      </c>
      <c r="AQ634" s="50">
        <v>0</v>
      </c>
      <c r="AR634" s="50">
        <v>1</v>
      </c>
      <c r="AS634" s="50">
        <v>1</v>
      </c>
      <c r="AU634" s="226">
        <v>0</v>
      </c>
      <c r="AV634" s="17">
        <f t="shared" si="100"/>
        <v>1</v>
      </c>
      <c r="AW634" s="50" t="str">
        <f>"{s_taskTalk,{"&amp;L634&amp;","&amp;N634&amp;"}}"</f>
        <v>{s_taskTalk,{60099,60157}}</v>
      </c>
    </row>
    <row r="635" spans="1:49" s="101" customFormat="1" ht="96" x14ac:dyDescent="0.15">
      <c r="A635" s="100">
        <v>1750</v>
      </c>
      <c r="C635" s="101" t="s">
        <v>2076</v>
      </c>
      <c r="D635" s="101">
        <v>1</v>
      </c>
      <c r="E635" s="101">
        <v>0</v>
      </c>
      <c r="F635" s="101">
        <v>6</v>
      </c>
      <c r="G635" s="120">
        <v>200</v>
      </c>
      <c r="H635" s="101">
        <v>200</v>
      </c>
      <c r="I635" s="17">
        <v>0</v>
      </c>
      <c r="J635" s="108">
        <v>1749</v>
      </c>
      <c r="K635" s="101">
        <v>0</v>
      </c>
      <c r="L635" s="101">
        <v>60157</v>
      </c>
      <c r="M635" s="101" t="s">
        <v>226</v>
      </c>
      <c r="N635" s="101">
        <v>60158</v>
      </c>
      <c r="O635" s="101" t="s">
        <v>227</v>
      </c>
      <c r="Q635" s="102"/>
      <c r="R635" s="102"/>
      <c r="S635" s="102"/>
      <c r="T635" s="102"/>
      <c r="U635" s="101">
        <v>1</v>
      </c>
      <c r="V635" s="101">
        <v>1</v>
      </c>
      <c r="W635" s="103">
        <v>37</v>
      </c>
      <c r="Z635" s="104">
        <v>14000</v>
      </c>
      <c r="AB635" s="105"/>
      <c r="AC635" s="105"/>
      <c r="AD635" s="101" t="s">
        <v>4009</v>
      </c>
      <c r="AF635" s="107" t="s">
        <v>1061</v>
      </c>
      <c r="AG635" s="107" t="s">
        <v>1752</v>
      </c>
      <c r="AH635" s="107" t="s">
        <v>68</v>
      </c>
      <c r="AI635" s="107"/>
      <c r="AJ635" s="107"/>
      <c r="AL635" s="108">
        <v>0</v>
      </c>
      <c r="AM635" s="82" t="s">
        <v>3151</v>
      </c>
      <c r="AN635" s="82" t="s">
        <v>5719</v>
      </c>
      <c r="AP635" s="101">
        <v>1</v>
      </c>
      <c r="AQ635" s="101">
        <v>0</v>
      </c>
      <c r="AR635" s="101">
        <v>1</v>
      </c>
      <c r="AS635" s="101">
        <v>1</v>
      </c>
      <c r="AU635" s="101">
        <v>0</v>
      </c>
      <c r="AV635" s="17">
        <f t="shared" si="100"/>
        <v>1</v>
      </c>
      <c r="AW635" s="101" t="str">
        <f>"{s_taskTalk,{"&amp;L635&amp;","&amp;N635&amp;"}}"</f>
        <v>{s_taskTalk,{60157,60158}}</v>
      </c>
    </row>
    <row r="636" spans="1:49" s="50" customFormat="1" ht="84" x14ac:dyDescent="0.15">
      <c r="A636" s="9">
        <v>1751</v>
      </c>
      <c r="C636" s="50" t="s">
        <v>2077</v>
      </c>
      <c r="D636" s="50">
        <v>1</v>
      </c>
      <c r="E636" s="50">
        <v>0</v>
      </c>
      <c r="F636" s="50">
        <v>6</v>
      </c>
      <c r="G636" s="120">
        <v>200</v>
      </c>
      <c r="H636" s="50">
        <v>200</v>
      </c>
      <c r="I636" s="17">
        <v>0</v>
      </c>
      <c r="J636" s="120">
        <v>1750</v>
      </c>
      <c r="K636" s="50">
        <v>0</v>
      </c>
      <c r="L636" s="50">
        <v>60158</v>
      </c>
      <c r="M636" s="50" t="s">
        <v>227</v>
      </c>
      <c r="N636" s="50">
        <v>60158</v>
      </c>
      <c r="O636" s="50" t="s">
        <v>227</v>
      </c>
      <c r="Q636" s="121"/>
      <c r="R636" s="121"/>
      <c r="S636" s="121">
        <v>10126</v>
      </c>
      <c r="T636" s="121"/>
      <c r="U636" s="50">
        <v>30</v>
      </c>
      <c r="V636" s="50">
        <v>0</v>
      </c>
      <c r="W636" s="122">
        <v>37</v>
      </c>
      <c r="Z636" s="123">
        <v>60000</v>
      </c>
      <c r="AB636" s="124"/>
      <c r="AC636" s="124"/>
      <c r="AD636" s="122"/>
      <c r="AF636" s="126" t="s">
        <v>1062</v>
      </c>
      <c r="AG636" s="126" t="s">
        <v>1063</v>
      </c>
      <c r="AH636" s="126" t="s">
        <v>1064</v>
      </c>
      <c r="AI636" s="126" t="s">
        <v>1065</v>
      </c>
      <c r="AJ636" s="126"/>
      <c r="AL636" s="120">
        <v>0</v>
      </c>
      <c r="AM636" s="127" t="s">
        <v>3152</v>
      </c>
      <c r="AN636" s="127" t="s">
        <v>5720</v>
      </c>
      <c r="AP636" s="50">
        <v>1</v>
      </c>
      <c r="AQ636" s="50">
        <v>0</v>
      </c>
      <c r="AR636" s="50">
        <v>1</v>
      </c>
      <c r="AS636" s="50">
        <v>1</v>
      </c>
      <c r="AU636" s="226">
        <v>0</v>
      </c>
      <c r="AV636" s="17">
        <f t="shared" si="100"/>
        <v>1</v>
      </c>
      <c r="AW636" s="50" t="str">
        <f>"{s_taskKillNpc, {"&amp;L636&amp;","&amp;N636&amp;","&amp;S636&amp;","&amp;U636&amp;"}}"</f>
        <v>{s_taskKillNpc, {60158,60158,10126,30}}</v>
      </c>
    </row>
    <row r="637" spans="1:49" s="50" customFormat="1" ht="84" x14ac:dyDescent="0.15">
      <c r="A637" s="9">
        <v>1752</v>
      </c>
      <c r="C637" s="50" t="s">
        <v>2078</v>
      </c>
      <c r="D637" s="50">
        <v>1</v>
      </c>
      <c r="E637" s="50">
        <v>0</v>
      </c>
      <c r="F637" s="50">
        <v>6</v>
      </c>
      <c r="G637" s="120">
        <v>200</v>
      </c>
      <c r="H637" s="50">
        <v>200</v>
      </c>
      <c r="I637" s="17">
        <v>0</v>
      </c>
      <c r="J637" s="120">
        <v>1751</v>
      </c>
      <c r="K637" s="50">
        <v>0</v>
      </c>
      <c r="L637" s="50">
        <v>60158</v>
      </c>
      <c r="M637" s="50" t="s">
        <v>227</v>
      </c>
      <c r="N637" s="50">
        <v>60158</v>
      </c>
      <c r="O637" s="50" t="s">
        <v>227</v>
      </c>
      <c r="Q637" s="121"/>
      <c r="R637" s="121"/>
      <c r="S637" s="121">
        <v>10161</v>
      </c>
      <c r="T637" s="121"/>
      <c r="U637" s="50">
        <v>1</v>
      </c>
      <c r="V637" s="50">
        <v>0</v>
      </c>
      <c r="W637" s="122">
        <v>37</v>
      </c>
      <c r="Z637" s="123">
        <v>58000</v>
      </c>
      <c r="AA637" s="50">
        <v>30</v>
      </c>
      <c r="AB637" s="124"/>
      <c r="AC637" s="124"/>
      <c r="AF637" s="50" t="s">
        <v>26</v>
      </c>
      <c r="AG637" s="50" t="s">
        <v>366</v>
      </c>
      <c r="AH637" s="50" t="s">
        <v>367</v>
      </c>
      <c r="AI637" s="50" t="s">
        <v>368</v>
      </c>
      <c r="AL637" s="120">
        <v>0</v>
      </c>
      <c r="AM637" s="127" t="s">
        <v>3153</v>
      </c>
      <c r="AN637" s="127" t="s">
        <v>5721</v>
      </c>
      <c r="AP637" s="50">
        <v>1</v>
      </c>
      <c r="AQ637" s="50">
        <v>0</v>
      </c>
      <c r="AR637" s="50">
        <v>1</v>
      </c>
      <c r="AS637" s="50">
        <v>1</v>
      </c>
      <c r="AU637" s="226">
        <v>0</v>
      </c>
      <c r="AV637" s="17">
        <f t="shared" si="100"/>
        <v>1</v>
      </c>
      <c r="AW637" s="50" t="str">
        <f>"{s_taskKillNpc, {"&amp;L637&amp;","&amp;N637&amp;","&amp;S637&amp;","&amp;U637&amp;"}}"</f>
        <v>{s_taskKillNpc, {60158,60158,10161,1}}</v>
      </c>
    </row>
    <row r="638" spans="1:49" s="50" customFormat="1" ht="84" x14ac:dyDescent="0.15">
      <c r="A638" s="9">
        <v>1758</v>
      </c>
      <c r="C638" s="50" t="s">
        <v>2079</v>
      </c>
      <c r="D638" s="50">
        <v>1</v>
      </c>
      <c r="E638" s="50">
        <v>0</v>
      </c>
      <c r="F638" s="50">
        <v>6</v>
      </c>
      <c r="G638" s="120">
        <v>200</v>
      </c>
      <c r="H638" s="50">
        <v>200</v>
      </c>
      <c r="I638" s="17">
        <v>0</v>
      </c>
      <c r="J638" s="120">
        <v>1752</v>
      </c>
      <c r="K638" s="50">
        <v>0</v>
      </c>
      <c r="L638" s="50">
        <v>60158</v>
      </c>
      <c r="M638" s="50" t="s">
        <v>227</v>
      </c>
      <c r="N638" s="50">
        <v>60098</v>
      </c>
      <c r="O638" s="50" t="s">
        <v>1288</v>
      </c>
      <c r="Q638" s="121"/>
      <c r="R638" s="121"/>
      <c r="S638" s="121"/>
      <c r="T638" s="121"/>
      <c r="U638" s="50">
        <v>1</v>
      </c>
      <c r="V638" s="50">
        <v>1</v>
      </c>
      <c r="W638" s="122">
        <v>37</v>
      </c>
      <c r="Z638" s="123">
        <v>14000</v>
      </c>
      <c r="AB638" s="124"/>
      <c r="AC638" s="124"/>
      <c r="AF638" s="50" t="s">
        <v>1289</v>
      </c>
      <c r="AG638" s="50" t="s">
        <v>1290</v>
      </c>
      <c r="AH638" s="50" t="s">
        <v>1291</v>
      </c>
      <c r="AI638" s="50" t="s">
        <v>1292</v>
      </c>
      <c r="AL638" s="120">
        <v>0</v>
      </c>
      <c r="AM638" s="127" t="s">
        <v>3154</v>
      </c>
      <c r="AN638" s="127" t="s">
        <v>5722</v>
      </c>
      <c r="AP638" s="50">
        <v>1</v>
      </c>
      <c r="AQ638" s="50">
        <v>0</v>
      </c>
      <c r="AR638" s="50">
        <v>1</v>
      </c>
      <c r="AS638" s="50">
        <v>1</v>
      </c>
      <c r="AU638" s="226">
        <v>0</v>
      </c>
      <c r="AV638" s="17">
        <f t="shared" si="100"/>
        <v>1</v>
      </c>
      <c r="AW638" s="50" t="str">
        <f>"{s_taskTalk,{"&amp;L638&amp;","&amp;N638&amp;"}}"</f>
        <v>{s_taskTalk,{60158,60098}}</v>
      </c>
    </row>
    <row r="639" spans="1:49" s="50" customFormat="1" ht="96.75" thickBot="1" x14ac:dyDescent="0.2">
      <c r="A639" s="9">
        <v>1759</v>
      </c>
      <c r="C639" s="50" t="s">
        <v>2080</v>
      </c>
      <c r="D639" s="50">
        <v>1</v>
      </c>
      <c r="E639" s="50">
        <v>0</v>
      </c>
      <c r="F639" s="50">
        <v>6</v>
      </c>
      <c r="G639" s="120">
        <v>200</v>
      </c>
      <c r="H639" s="50">
        <v>200</v>
      </c>
      <c r="I639" s="17">
        <v>0</v>
      </c>
      <c r="J639" s="120">
        <v>1758</v>
      </c>
      <c r="K639" s="50">
        <v>0</v>
      </c>
      <c r="L639" s="50">
        <v>60098</v>
      </c>
      <c r="M639" s="50" t="s">
        <v>1288</v>
      </c>
      <c r="N639" s="50">
        <v>60158</v>
      </c>
      <c r="O639" s="50" t="s">
        <v>5164</v>
      </c>
      <c r="Q639" s="121"/>
      <c r="R639" s="121"/>
      <c r="S639" s="121"/>
      <c r="T639" s="121"/>
      <c r="U639" s="50">
        <v>1</v>
      </c>
      <c r="V639" s="50">
        <v>1</v>
      </c>
      <c r="W639" s="122">
        <v>38</v>
      </c>
      <c r="Z639" s="123">
        <v>30000</v>
      </c>
      <c r="AB639" s="124"/>
      <c r="AC639" s="124"/>
      <c r="AF639" s="50" t="s">
        <v>1294</v>
      </c>
      <c r="AG639" s="50" t="s">
        <v>1295</v>
      </c>
      <c r="AH639" s="50" t="s">
        <v>1293</v>
      </c>
      <c r="AI639" s="50" t="s">
        <v>1296</v>
      </c>
      <c r="AL639" s="120">
        <v>0</v>
      </c>
      <c r="AM639" s="127" t="s">
        <v>3155</v>
      </c>
      <c r="AN639" s="127" t="s">
        <v>5723</v>
      </c>
      <c r="AP639" s="50">
        <v>1</v>
      </c>
      <c r="AQ639" s="50">
        <v>0</v>
      </c>
      <c r="AR639" s="50">
        <v>1</v>
      </c>
      <c r="AS639" s="50">
        <v>1</v>
      </c>
      <c r="AU639" s="226">
        <v>0</v>
      </c>
      <c r="AV639" s="17">
        <f t="shared" si="100"/>
        <v>1</v>
      </c>
      <c r="AW639" s="50" t="str">
        <f>"{s_taskTalk,{"&amp;L639&amp;","&amp;N639&amp;"}}"</f>
        <v>{s_taskTalk,{60098,60158}}</v>
      </c>
    </row>
    <row r="640" spans="1:49" s="50" customFormat="1" ht="96.75" thickBot="1" x14ac:dyDescent="0.2">
      <c r="A640" s="9">
        <v>1753</v>
      </c>
      <c r="C640" s="50" t="s">
        <v>2081</v>
      </c>
      <c r="D640" s="50">
        <v>1</v>
      </c>
      <c r="E640" s="50">
        <v>0</v>
      </c>
      <c r="F640" s="50">
        <v>6</v>
      </c>
      <c r="G640" s="120">
        <v>200</v>
      </c>
      <c r="H640" s="50">
        <v>200</v>
      </c>
      <c r="I640" s="17">
        <v>0</v>
      </c>
      <c r="J640" s="120">
        <v>1759</v>
      </c>
      <c r="K640" s="50">
        <v>0</v>
      </c>
      <c r="L640" s="50">
        <v>60158</v>
      </c>
      <c r="M640" s="50" t="s">
        <v>227</v>
      </c>
      <c r="N640" s="50">
        <v>60158</v>
      </c>
      <c r="O640" s="50" t="s">
        <v>227</v>
      </c>
      <c r="Q640" s="121"/>
      <c r="R640" s="121"/>
      <c r="S640" s="121">
        <v>10127</v>
      </c>
      <c r="T640" s="121"/>
      <c r="U640" s="50">
        <v>50</v>
      </c>
      <c r="V640" s="50">
        <v>0</v>
      </c>
      <c r="W640" s="122">
        <v>38</v>
      </c>
      <c r="Z640" s="123">
        <v>58000</v>
      </c>
      <c r="AB640" s="124"/>
      <c r="AC640" s="124"/>
      <c r="AD640" s="175"/>
      <c r="AF640" s="50" t="s">
        <v>1287</v>
      </c>
      <c r="AG640" s="50" t="s">
        <v>4670</v>
      </c>
      <c r="AH640" s="50" t="s">
        <v>369</v>
      </c>
      <c r="AI640" s="50" t="s">
        <v>370</v>
      </c>
      <c r="AL640" s="120">
        <v>0</v>
      </c>
      <c r="AM640" s="127" t="s">
        <v>3156</v>
      </c>
      <c r="AN640" s="127" t="s">
        <v>5724</v>
      </c>
      <c r="AP640" s="50">
        <v>1</v>
      </c>
      <c r="AQ640" s="50">
        <v>0</v>
      </c>
      <c r="AR640" s="50">
        <v>1</v>
      </c>
      <c r="AS640" s="50">
        <v>1</v>
      </c>
      <c r="AU640" s="226">
        <v>0</v>
      </c>
      <c r="AV640" s="17">
        <f t="shared" si="100"/>
        <v>1</v>
      </c>
      <c r="AW640" s="50" t="str">
        <f>"{s_taskKillNpc, {"&amp;L640&amp;","&amp;N640&amp;","&amp;S640&amp;","&amp;U640&amp;"}}"</f>
        <v>{s_taskKillNpc, {60158,60158,10127,50}}</v>
      </c>
    </row>
    <row r="641" spans="1:49" s="50" customFormat="1" ht="84" x14ac:dyDescent="0.15">
      <c r="A641" s="9">
        <v>1754</v>
      </c>
      <c r="C641" s="50" t="s">
        <v>2082</v>
      </c>
      <c r="D641" s="50">
        <v>1</v>
      </c>
      <c r="E641" s="50">
        <v>0</v>
      </c>
      <c r="F641" s="50">
        <v>6</v>
      </c>
      <c r="G641" s="120">
        <v>200</v>
      </c>
      <c r="H641" s="50">
        <v>200</v>
      </c>
      <c r="I641" s="17">
        <v>0</v>
      </c>
      <c r="J641" s="120">
        <v>1753</v>
      </c>
      <c r="K641" s="50">
        <v>0</v>
      </c>
      <c r="L641" s="50">
        <v>60158</v>
      </c>
      <c r="M641" s="50" t="s">
        <v>227</v>
      </c>
      <c r="N641" s="50">
        <v>60158</v>
      </c>
      <c r="O641" s="50" t="s">
        <v>227</v>
      </c>
      <c r="Q641" s="121"/>
      <c r="R641" s="121"/>
      <c r="S641" s="121">
        <v>10162</v>
      </c>
      <c r="T641" s="121"/>
      <c r="U641" s="50">
        <v>1</v>
      </c>
      <c r="V641" s="50">
        <v>0</v>
      </c>
      <c r="W641" s="122">
        <v>38</v>
      </c>
      <c r="Z641" s="123">
        <v>56000</v>
      </c>
      <c r="AB641" s="124"/>
      <c r="AC641" s="124"/>
      <c r="AD641" s="122" t="s">
        <v>1379</v>
      </c>
      <c r="AF641" s="50" t="s">
        <v>27</v>
      </c>
      <c r="AG641" s="50" t="s">
        <v>371</v>
      </c>
      <c r="AH641" s="50" t="s">
        <v>372</v>
      </c>
      <c r="AI641" s="50" t="s">
        <v>69</v>
      </c>
      <c r="AL641" s="120">
        <v>0</v>
      </c>
      <c r="AM641" s="127" t="s">
        <v>3157</v>
      </c>
      <c r="AN641" s="127" t="s">
        <v>5725</v>
      </c>
      <c r="AP641" s="50">
        <v>1</v>
      </c>
      <c r="AQ641" s="50">
        <v>0</v>
      </c>
      <c r="AR641" s="50">
        <v>1</v>
      </c>
      <c r="AS641" s="50">
        <v>1</v>
      </c>
      <c r="AU641" s="226">
        <v>0</v>
      </c>
      <c r="AV641" s="17">
        <f t="shared" si="100"/>
        <v>1</v>
      </c>
      <c r="AW641" s="50" t="str">
        <f>"{s_taskKillNpc, {"&amp;L641&amp;","&amp;N641&amp;","&amp;S641&amp;","&amp;U641&amp;"}}"</f>
        <v>{s_taskKillNpc, {60158,60158,10162,1}}</v>
      </c>
    </row>
    <row r="642" spans="1:49" s="50" customFormat="1" ht="84" x14ac:dyDescent="0.15">
      <c r="A642" s="9">
        <v>1755</v>
      </c>
      <c r="C642" s="50" t="s">
        <v>2083</v>
      </c>
      <c r="D642" s="50">
        <v>1</v>
      </c>
      <c r="E642" s="50">
        <v>0</v>
      </c>
      <c r="F642" s="50">
        <v>6</v>
      </c>
      <c r="G642" s="120">
        <v>200</v>
      </c>
      <c r="H642" s="50">
        <v>200</v>
      </c>
      <c r="I642" s="17">
        <v>0</v>
      </c>
      <c r="J642" s="120">
        <v>1754</v>
      </c>
      <c r="K642" s="50">
        <v>0</v>
      </c>
      <c r="L642" s="50">
        <v>60158</v>
      </c>
      <c r="M642" s="50" t="s">
        <v>227</v>
      </c>
      <c r="N642" s="50">
        <v>60158</v>
      </c>
      <c r="O642" s="50" t="s">
        <v>227</v>
      </c>
      <c r="Q642" s="121"/>
      <c r="R642" s="121"/>
      <c r="S642" s="121"/>
      <c r="T642" s="121"/>
      <c r="U642" s="50">
        <v>1</v>
      </c>
      <c r="V642" s="50">
        <v>0</v>
      </c>
      <c r="W642" s="122">
        <v>38</v>
      </c>
      <c r="Z642" s="123">
        <v>18000</v>
      </c>
      <c r="AB642" s="124"/>
      <c r="AC642" s="124"/>
      <c r="AF642" s="50" t="s">
        <v>530</v>
      </c>
      <c r="AG642" s="50" t="s">
        <v>531</v>
      </c>
      <c r="AH642" s="50" t="s">
        <v>287</v>
      </c>
      <c r="AI642" s="50" t="s">
        <v>532</v>
      </c>
      <c r="AL642" s="120">
        <v>0</v>
      </c>
      <c r="AM642" s="127" t="s">
        <v>3158</v>
      </c>
      <c r="AN642" s="127" t="s">
        <v>5726</v>
      </c>
      <c r="AP642" s="50">
        <v>1</v>
      </c>
      <c r="AQ642" s="50">
        <v>0</v>
      </c>
      <c r="AR642" s="50">
        <v>1</v>
      </c>
      <c r="AS642" s="50">
        <v>0</v>
      </c>
      <c r="AU642" s="226">
        <v>0</v>
      </c>
      <c r="AV642" s="17">
        <f t="shared" si="100"/>
        <v>1</v>
      </c>
      <c r="AW642" s="50" t="str">
        <f>"{s_taskTalk,{"&amp;L642&amp;","&amp;N642&amp;"}}"</f>
        <v>{s_taskTalk,{60158,60158}}</v>
      </c>
    </row>
    <row r="643" spans="1:49" s="50" customFormat="1" ht="84" x14ac:dyDescent="0.15">
      <c r="A643" s="9">
        <v>1756</v>
      </c>
      <c r="C643" s="50" t="s">
        <v>2084</v>
      </c>
      <c r="D643" s="50">
        <v>1</v>
      </c>
      <c r="E643" s="50">
        <v>0</v>
      </c>
      <c r="F643" s="50">
        <v>6</v>
      </c>
      <c r="G643" s="120">
        <v>200</v>
      </c>
      <c r="H643" s="50">
        <v>200</v>
      </c>
      <c r="I643" s="17">
        <v>0</v>
      </c>
      <c r="J643" s="120">
        <v>1755</v>
      </c>
      <c r="K643" s="50">
        <v>0</v>
      </c>
      <c r="L643" s="50">
        <v>60158</v>
      </c>
      <c r="M643" s="50" t="s">
        <v>227</v>
      </c>
      <c r="N643" s="50">
        <v>60157</v>
      </c>
      <c r="O643" s="50" t="s">
        <v>226</v>
      </c>
      <c r="Q643" s="121"/>
      <c r="R643" s="121"/>
      <c r="S643" s="121"/>
      <c r="T643" s="121"/>
      <c r="U643" s="50">
        <v>1</v>
      </c>
      <c r="V643" s="50">
        <v>1</v>
      </c>
      <c r="W643" s="122">
        <v>38</v>
      </c>
      <c r="Z643" s="123">
        <v>16000</v>
      </c>
      <c r="AB643" s="124"/>
      <c r="AC643" s="124"/>
      <c r="AF643" s="50" t="s">
        <v>533</v>
      </c>
      <c r="AG643" s="50" t="s">
        <v>534</v>
      </c>
      <c r="AH643" s="50" t="s">
        <v>373</v>
      </c>
      <c r="AL643" s="120">
        <v>0</v>
      </c>
      <c r="AM643" s="127" t="s">
        <v>3159</v>
      </c>
      <c r="AN643" s="127" t="s">
        <v>5727</v>
      </c>
      <c r="AP643" s="50">
        <v>1</v>
      </c>
      <c r="AQ643" s="50">
        <v>0</v>
      </c>
      <c r="AR643" s="50">
        <v>1</v>
      </c>
      <c r="AS643" s="50">
        <v>1</v>
      </c>
      <c r="AU643" s="226">
        <v>0</v>
      </c>
      <c r="AV643" s="17">
        <f t="shared" si="100"/>
        <v>1</v>
      </c>
      <c r="AW643" s="50" t="str">
        <f>"{s_taskTalk,{"&amp;L643&amp;","&amp;N643&amp;"}}"</f>
        <v>{s_taskTalk,{60158,60157}}</v>
      </c>
    </row>
    <row r="644" spans="1:49" s="50" customFormat="1" ht="84" x14ac:dyDescent="0.15">
      <c r="A644" s="9">
        <v>1757</v>
      </c>
      <c r="C644" s="50" t="s">
        <v>2085</v>
      </c>
      <c r="D644" s="50">
        <v>1</v>
      </c>
      <c r="E644" s="50">
        <v>0</v>
      </c>
      <c r="F644" s="50">
        <v>6</v>
      </c>
      <c r="G644" s="120">
        <v>200</v>
      </c>
      <c r="H644" s="50">
        <v>200</v>
      </c>
      <c r="I644" s="17">
        <v>0</v>
      </c>
      <c r="J644" s="120">
        <v>1756</v>
      </c>
      <c r="K644" s="50">
        <v>0</v>
      </c>
      <c r="L644" s="50">
        <v>60157</v>
      </c>
      <c r="M644" s="50" t="s">
        <v>226</v>
      </c>
      <c r="N644" s="50">
        <v>60157</v>
      </c>
      <c r="O644" s="50" t="s">
        <v>226</v>
      </c>
      <c r="Q644" s="121"/>
      <c r="R644" s="121"/>
      <c r="S644" s="121">
        <v>10128</v>
      </c>
      <c r="T644" s="121"/>
      <c r="U644" s="50">
        <v>50</v>
      </c>
      <c r="V644" s="50">
        <v>0</v>
      </c>
      <c r="W644" s="122">
        <v>40</v>
      </c>
      <c r="Z644" s="123">
        <v>60000</v>
      </c>
      <c r="AB644" s="124"/>
      <c r="AC644" s="124">
        <v>500</v>
      </c>
      <c r="AF644" s="50" t="s">
        <v>374</v>
      </c>
      <c r="AG644" s="50" t="s">
        <v>535</v>
      </c>
      <c r="AH644" s="50" t="s">
        <v>375</v>
      </c>
      <c r="AI644" s="50" t="s">
        <v>376</v>
      </c>
      <c r="AL644" s="120">
        <v>0</v>
      </c>
      <c r="AM644" s="127" t="s">
        <v>3160</v>
      </c>
      <c r="AN644" s="127" t="s">
        <v>5728</v>
      </c>
      <c r="AP644" s="50">
        <v>1</v>
      </c>
      <c r="AQ644" s="50">
        <v>0</v>
      </c>
      <c r="AR644" s="50">
        <v>1</v>
      </c>
      <c r="AS644" s="50">
        <v>1</v>
      </c>
      <c r="AU644" s="226">
        <v>0</v>
      </c>
      <c r="AV644" s="17">
        <f t="shared" si="100"/>
        <v>1</v>
      </c>
      <c r="AW644" s="50" t="str">
        <f>"{s_taskKillNpc, {"&amp;L644&amp;","&amp;N644&amp;","&amp;S644&amp;","&amp;U644&amp;"}}"</f>
        <v>{s_taskKillNpc, {60157,60157,10128,50}}</v>
      </c>
    </row>
    <row r="645" spans="1:49" s="50" customFormat="1" ht="108.75" thickBot="1" x14ac:dyDescent="0.2">
      <c r="A645" s="9">
        <v>1762</v>
      </c>
      <c r="C645" s="50" t="s">
        <v>2086</v>
      </c>
      <c r="D645" s="50">
        <v>1</v>
      </c>
      <c r="E645" s="50">
        <v>0</v>
      </c>
      <c r="F645" s="50">
        <v>6</v>
      </c>
      <c r="G645" s="120">
        <v>200</v>
      </c>
      <c r="H645" s="50">
        <v>200</v>
      </c>
      <c r="I645" s="17">
        <v>0</v>
      </c>
      <c r="J645" s="120">
        <v>1757</v>
      </c>
      <c r="K645" s="50">
        <v>0</v>
      </c>
      <c r="L645" s="50">
        <v>60157</v>
      </c>
      <c r="M645" s="50" t="s">
        <v>226</v>
      </c>
      <c r="N645" s="50">
        <v>60000</v>
      </c>
      <c r="O645" s="50" t="s">
        <v>192</v>
      </c>
      <c r="Q645" s="121"/>
      <c r="R645" s="121"/>
      <c r="S645" s="121"/>
      <c r="T645" s="121"/>
      <c r="U645" s="50">
        <v>1</v>
      </c>
      <c r="V645" s="50">
        <v>1</v>
      </c>
      <c r="W645" s="122">
        <v>40</v>
      </c>
      <c r="Z645" s="123">
        <v>16000</v>
      </c>
      <c r="AB645" s="124"/>
      <c r="AC645" s="124"/>
      <c r="AF645" s="50" t="s">
        <v>4671</v>
      </c>
      <c r="AG645" s="50" t="s">
        <v>4672</v>
      </c>
      <c r="AH645" s="50" t="s">
        <v>377</v>
      </c>
      <c r="AL645" s="120">
        <v>0</v>
      </c>
      <c r="AM645" s="127" t="s">
        <v>3161</v>
      </c>
      <c r="AN645" s="127" t="s">
        <v>5729</v>
      </c>
      <c r="AP645" s="50">
        <v>1</v>
      </c>
      <c r="AQ645" s="50">
        <v>0</v>
      </c>
      <c r="AR645" s="50">
        <v>1</v>
      </c>
      <c r="AS645" s="50">
        <v>1</v>
      </c>
      <c r="AU645" s="226">
        <v>0</v>
      </c>
      <c r="AV645" s="17">
        <f t="shared" si="100"/>
        <v>1</v>
      </c>
      <c r="AW645" s="50" t="str">
        <f t="shared" ref="AW645:AW651" si="101">"{s_taskTalk,{"&amp;L645&amp;","&amp;N645&amp;"}}"</f>
        <v>{s_taskTalk,{60157,60000}}</v>
      </c>
    </row>
    <row r="646" spans="1:49" s="242" customFormat="1" ht="144.75" thickBot="1" x14ac:dyDescent="0.2">
      <c r="A646" s="354">
        <v>1763</v>
      </c>
      <c r="C646" s="242" t="s">
        <v>2087</v>
      </c>
      <c r="D646" s="242">
        <v>1</v>
      </c>
      <c r="E646" s="242">
        <v>0</v>
      </c>
      <c r="F646" s="242">
        <v>3</v>
      </c>
      <c r="G646" s="120">
        <v>200</v>
      </c>
      <c r="H646" s="242">
        <v>200</v>
      </c>
      <c r="I646" s="17">
        <v>0</v>
      </c>
      <c r="J646" s="249">
        <v>1762</v>
      </c>
      <c r="K646" s="242">
        <v>0</v>
      </c>
      <c r="L646" s="242">
        <v>60000</v>
      </c>
      <c r="M646" s="242" t="s">
        <v>192</v>
      </c>
      <c r="N646" s="242">
        <v>113</v>
      </c>
      <c r="O646" s="242" t="s">
        <v>199</v>
      </c>
      <c r="Q646" s="244"/>
      <c r="R646" s="244"/>
      <c r="S646" s="244"/>
      <c r="T646" s="244"/>
      <c r="U646" s="242">
        <v>1</v>
      </c>
      <c r="V646" s="242">
        <v>1</v>
      </c>
      <c r="W646" s="122">
        <v>40</v>
      </c>
      <c r="Z646" s="245">
        <v>16000</v>
      </c>
      <c r="AB646" s="246"/>
      <c r="AC646" s="246"/>
      <c r="AD646" s="373" t="s">
        <v>3163</v>
      </c>
      <c r="AF646" s="242" t="s">
        <v>4305</v>
      </c>
      <c r="AG646" s="242" t="s">
        <v>378</v>
      </c>
      <c r="AH646" s="242" t="s">
        <v>379</v>
      </c>
      <c r="AL646" s="249">
        <v>0</v>
      </c>
      <c r="AM646" s="242" t="s">
        <v>3162</v>
      </c>
      <c r="AN646" s="242" t="s">
        <v>5730</v>
      </c>
      <c r="AP646" s="242">
        <v>1</v>
      </c>
      <c r="AQ646" s="242">
        <v>0</v>
      </c>
      <c r="AR646" s="50">
        <v>1</v>
      </c>
      <c r="AS646" s="50">
        <v>0</v>
      </c>
      <c r="AU646" s="226">
        <v>0</v>
      </c>
      <c r="AV646" s="17">
        <f t="shared" si="100"/>
        <v>1</v>
      </c>
      <c r="AW646" s="50" t="str">
        <f t="shared" si="101"/>
        <v>{s_taskTalk,{60000,113}}</v>
      </c>
    </row>
    <row r="647" spans="1:49" s="147" customFormat="1" ht="144" x14ac:dyDescent="0.15">
      <c r="A647" s="322">
        <v>1764</v>
      </c>
      <c r="C647" s="147" t="s">
        <v>2088</v>
      </c>
      <c r="D647" s="147">
        <v>1</v>
      </c>
      <c r="E647" s="147">
        <v>0</v>
      </c>
      <c r="F647" s="147">
        <v>3</v>
      </c>
      <c r="G647" s="120">
        <v>200</v>
      </c>
      <c r="H647" s="147">
        <v>200</v>
      </c>
      <c r="I647" s="17">
        <v>0</v>
      </c>
      <c r="J647" s="183">
        <v>1763</v>
      </c>
      <c r="K647" s="147">
        <v>0</v>
      </c>
      <c r="L647" s="147">
        <v>113</v>
      </c>
      <c r="M647" s="147" t="s">
        <v>199</v>
      </c>
      <c r="N647" s="147">
        <v>113</v>
      </c>
      <c r="O647" s="147" t="s">
        <v>199</v>
      </c>
      <c r="Q647" s="140"/>
      <c r="R647" s="140"/>
      <c r="S647" s="140"/>
      <c r="T647" s="140"/>
      <c r="U647" s="147">
        <v>1</v>
      </c>
      <c r="V647" s="147">
        <v>0</v>
      </c>
      <c r="W647" s="141">
        <v>40</v>
      </c>
      <c r="Z647" s="142">
        <v>25000</v>
      </c>
      <c r="AA647" s="147">
        <v>25</v>
      </c>
      <c r="AB647" s="143"/>
      <c r="AC647" s="143"/>
      <c r="AD647" s="373" t="s">
        <v>3322</v>
      </c>
      <c r="AF647" s="147" t="s">
        <v>4306</v>
      </c>
      <c r="AG647" s="147" t="s">
        <v>536</v>
      </c>
      <c r="AH647" s="147" t="s">
        <v>3164</v>
      </c>
      <c r="AI647" s="147" t="s">
        <v>4307</v>
      </c>
      <c r="AL647" s="183">
        <v>0</v>
      </c>
      <c r="AM647" s="147" t="s">
        <v>4017</v>
      </c>
      <c r="AN647" s="147" t="s">
        <v>5731</v>
      </c>
      <c r="AP647" s="147">
        <v>1</v>
      </c>
      <c r="AQ647" s="147">
        <v>0</v>
      </c>
      <c r="AR647" s="50">
        <v>1</v>
      </c>
      <c r="AS647" s="50">
        <v>0</v>
      </c>
      <c r="AU647" s="226">
        <v>0</v>
      </c>
      <c r="AV647" s="17">
        <f t="shared" si="100"/>
        <v>1</v>
      </c>
      <c r="AW647" s="73" t="str">
        <f t="shared" si="101"/>
        <v>{s_taskTalk,{113,113}}</v>
      </c>
    </row>
    <row r="648" spans="1:49" s="334" customFormat="1" ht="180.75" thickBot="1" x14ac:dyDescent="0.2">
      <c r="A648" s="333">
        <v>1765</v>
      </c>
      <c r="C648" s="334" t="s">
        <v>2089</v>
      </c>
      <c r="D648" s="334">
        <v>1</v>
      </c>
      <c r="E648" s="334">
        <v>0</v>
      </c>
      <c r="F648" s="334">
        <v>3</v>
      </c>
      <c r="G648" s="120">
        <v>200</v>
      </c>
      <c r="H648" s="334">
        <v>200</v>
      </c>
      <c r="I648" s="17">
        <v>0</v>
      </c>
      <c r="J648" s="340">
        <v>1764</v>
      </c>
      <c r="K648" s="334">
        <v>0</v>
      </c>
      <c r="L648" s="334">
        <v>113</v>
      </c>
      <c r="M648" s="334" t="s">
        <v>199</v>
      </c>
      <c r="N648" s="334">
        <v>113</v>
      </c>
      <c r="O648" s="334" t="s">
        <v>199</v>
      </c>
      <c r="Q648" s="336"/>
      <c r="R648" s="336"/>
      <c r="S648" s="336"/>
      <c r="T648" s="336"/>
      <c r="U648" s="334">
        <v>1</v>
      </c>
      <c r="V648" s="334">
        <v>0</v>
      </c>
      <c r="W648" s="141">
        <v>40</v>
      </c>
      <c r="Z648" s="337">
        <v>25000</v>
      </c>
      <c r="AA648" s="334">
        <v>25</v>
      </c>
      <c r="AB648" s="338"/>
      <c r="AC648" s="338"/>
      <c r="AF648" s="334" t="s">
        <v>4308</v>
      </c>
      <c r="AG648" s="334" t="s">
        <v>380</v>
      </c>
      <c r="AH648" s="334" t="s">
        <v>645</v>
      </c>
      <c r="AI648" s="147" t="s">
        <v>4309</v>
      </c>
      <c r="AL648" s="340">
        <v>0</v>
      </c>
      <c r="AM648" s="334" t="s">
        <v>4016</v>
      </c>
      <c r="AN648" s="334" t="s">
        <v>5732</v>
      </c>
      <c r="AP648" s="334">
        <v>1</v>
      </c>
      <c r="AQ648" s="334">
        <v>0</v>
      </c>
      <c r="AR648" s="50">
        <v>1</v>
      </c>
      <c r="AS648" s="50">
        <v>0</v>
      </c>
      <c r="AU648" s="226">
        <v>0</v>
      </c>
      <c r="AV648" s="17">
        <f t="shared" si="100"/>
        <v>1</v>
      </c>
      <c r="AW648" s="73" t="str">
        <f t="shared" si="101"/>
        <v>{s_taskTalk,{113,113}}</v>
      </c>
    </row>
    <row r="649" spans="1:49" s="147" customFormat="1" ht="96" x14ac:dyDescent="0.15">
      <c r="A649" s="182">
        <v>1766</v>
      </c>
      <c r="C649" s="147" t="s">
        <v>4023</v>
      </c>
      <c r="D649" s="147">
        <v>1</v>
      </c>
      <c r="E649" s="147">
        <v>0</v>
      </c>
      <c r="F649" s="147">
        <v>3</v>
      </c>
      <c r="G649" s="120">
        <v>200</v>
      </c>
      <c r="H649" s="147">
        <v>200</v>
      </c>
      <c r="I649" s="17">
        <v>0</v>
      </c>
      <c r="J649" s="183">
        <v>1765</v>
      </c>
      <c r="K649" s="147">
        <v>0</v>
      </c>
      <c r="L649" s="147">
        <v>113</v>
      </c>
      <c r="M649" s="147" t="s">
        <v>199</v>
      </c>
      <c r="N649" s="147">
        <v>113</v>
      </c>
      <c r="O649" s="147" t="s">
        <v>199</v>
      </c>
      <c r="Q649" s="140"/>
      <c r="R649" s="140"/>
      <c r="S649" s="140"/>
      <c r="T649" s="140"/>
      <c r="U649" s="147">
        <v>1</v>
      </c>
      <c r="V649" s="147">
        <v>1</v>
      </c>
      <c r="W649" s="141">
        <v>40</v>
      </c>
      <c r="Z649" s="142">
        <v>25000</v>
      </c>
      <c r="AB649" s="143"/>
      <c r="AC649" s="143"/>
      <c r="AF649" s="147" t="s">
        <v>4310</v>
      </c>
      <c r="AG649" s="147" t="s">
        <v>4024</v>
      </c>
      <c r="AH649" s="147" t="s">
        <v>645</v>
      </c>
      <c r="AI649" s="147" t="s">
        <v>4311</v>
      </c>
      <c r="AL649" s="183"/>
      <c r="AM649" s="147" t="s">
        <v>4032</v>
      </c>
      <c r="AN649" s="147" t="s">
        <v>5733</v>
      </c>
      <c r="AP649" s="147">
        <v>1</v>
      </c>
      <c r="AQ649" s="147">
        <v>0</v>
      </c>
      <c r="AR649" s="50">
        <v>1</v>
      </c>
      <c r="AS649" s="50">
        <v>0</v>
      </c>
      <c r="AU649" s="226">
        <v>0</v>
      </c>
      <c r="AV649" s="17">
        <f t="shared" si="100"/>
        <v>1</v>
      </c>
      <c r="AW649" s="73" t="s">
        <v>4025</v>
      </c>
    </row>
    <row r="650" spans="1:49" s="50" customFormat="1" ht="132.75" thickBot="1" x14ac:dyDescent="0.2">
      <c r="A650" s="9">
        <v>1771</v>
      </c>
      <c r="C650" s="50" t="s">
        <v>2090</v>
      </c>
      <c r="D650" s="50">
        <v>1</v>
      </c>
      <c r="E650" s="50">
        <v>0</v>
      </c>
      <c r="F650" s="50">
        <v>3</v>
      </c>
      <c r="G650" s="120">
        <v>200</v>
      </c>
      <c r="H650" s="50">
        <v>200</v>
      </c>
      <c r="I650" s="17">
        <v>0</v>
      </c>
      <c r="J650" s="120">
        <v>0</v>
      </c>
      <c r="K650" s="50">
        <v>0</v>
      </c>
      <c r="L650" s="50">
        <v>60000</v>
      </c>
      <c r="M650" s="50" t="s">
        <v>192</v>
      </c>
      <c r="N650" s="50">
        <v>60087</v>
      </c>
      <c r="O650" s="50" t="s">
        <v>228</v>
      </c>
      <c r="Q650" s="121"/>
      <c r="R650" s="121"/>
      <c r="S650" s="121"/>
      <c r="T650" s="121"/>
      <c r="U650" s="50">
        <v>1</v>
      </c>
      <c r="V650" s="50">
        <v>1</v>
      </c>
      <c r="W650" s="122">
        <v>42</v>
      </c>
      <c r="Z650" s="123">
        <v>16000</v>
      </c>
      <c r="AB650" s="124"/>
      <c r="AC650" s="124"/>
      <c r="AF650" s="50" t="s">
        <v>4361</v>
      </c>
      <c r="AG650" s="50" t="s">
        <v>4312</v>
      </c>
      <c r="AH650" s="50" t="s">
        <v>381</v>
      </c>
      <c r="AL650" s="120">
        <v>0</v>
      </c>
      <c r="AM650" s="127" t="s">
        <v>4362</v>
      </c>
      <c r="AN650" s="127" t="s">
        <v>5734</v>
      </c>
      <c r="AP650" s="50">
        <v>1</v>
      </c>
      <c r="AQ650" s="50">
        <v>0</v>
      </c>
      <c r="AR650" s="50">
        <v>1</v>
      </c>
      <c r="AS650" s="50">
        <v>1</v>
      </c>
      <c r="AU650" s="226">
        <v>0</v>
      </c>
      <c r="AV650" s="17">
        <f t="shared" si="100"/>
        <v>1</v>
      </c>
      <c r="AW650" s="50" t="str">
        <f t="shared" si="101"/>
        <v>{s_taskTalk,{60000,60087}}</v>
      </c>
    </row>
    <row r="651" spans="1:49" s="50" customFormat="1" ht="96.75" thickBot="1" x14ac:dyDescent="0.2">
      <c r="A651" s="9">
        <v>1781</v>
      </c>
      <c r="C651" s="50" t="s">
        <v>2091</v>
      </c>
      <c r="D651" s="50">
        <v>1</v>
      </c>
      <c r="E651" s="50">
        <v>0</v>
      </c>
      <c r="F651" s="50">
        <v>7</v>
      </c>
      <c r="G651" s="120">
        <v>200</v>
      </c>
      <c r="H651" s="50">
        <v>200</v>
      </c>
      <c r="I651" s="17">
        <v>0</v>
      </c>
      <c r="J651" s="120">
        <v>1771</v>
      </c>
      <c r="K651" s="50">
        <v>0</v>
      </c>
      <c r="L651" s="50">
        <v>60087</v>
      </c>
      <c r="M651" s="50" t="s">
        <v>228</v>
      </c>
      <c r="N651" s="50">
        <v>60088</v>
      </c>
      <c r="O651" s="50" t="s">
        <v>229</v>
      </c>
      <c r="Q651" s="121"/>
      <c r="R651" s="121"/>
      <c r="S651" s="121"/>
      <c r="T651" s="121"/>
      <c r="U651" s="50">
        <v>1</v>
      </c>
      <c r="V651" s="50">
        <v>1</v>
      </c>
      <c r="W651" s="122">
        <v>42</v>
      </c>
      <c r="Z651" s="123">
        <v>16000</v>
      </c>
      <c r="AB651" s="124"/>
      <c r="AC651" s="124"/>
      <c r="AD651" s="175"/>
      <c r="AF651" s="50" t="s">
        <v>537</v>
      </c>
      <c r="AG651" s="50" t="s">
        <v>655</v>
      </c>
      <c r="AH651" s="50" t="s">
        <v>382</v>
      </c>
      <c r="AL651" s="120">
        <v>0</v>
      </c>
      <c r="AM651" s="127" t="s">
        <v>1297</v>
      </c>
      <c r="AN651" s="127" t="s">
        <v>5735</v>
      </c>
      <c r="AP651" s="50">
        <v>1</v>
      </c>
      <c r="AQ651" s="50">
        <v>0</v>
      </c>
      <c r="AR651" s="50">
        <v>0</v>
      </c>
      <c r="AS651" s="50">
        <v>0</v>
      </c>
      <c r="AU651" s="226">
        <v>0</v>
      </c>
      <c r="AV651" s="17">
        <f t="shared" si="100"/>
        <v>1</v>
      </c>
      <c r="AW651" s="50" t="str">
        <f t="shared" si="101"/>
        <v>{s_taskTalk,{60087,60088}}</v>
      </c>
    </row>
    <row r="652" spans="1:49" s="358" customFormat="1" ht="108.75" thickBot="1" x14ac:dyDescent="0.2">
      <c r="A652" s="167">
        <v>1791</v>
      </c>
      <c r="C652" s="358" t="s">
        <v>2092</v>
      </c>
      <c r="D652" s="358">
        <v>1</v>
      </c>
      <c r="E652" s="358">
        <v>0</v>
      </c>
      <c r="F652" s="358">
        <v>7</v>
      </c>
      <c r="G652" s="120">
        <v>200</v>
      </c>
      <c r="H652" s="358">
        <v>200</v>
      </c>
      <c r="I652" s="17">
        <v>0</v>
      </c>
      <c r="J652" s="359">
        <v>1781</v>
      </c>
      <c r="K652" s="358">
        <v>0</v>
      </c>
      <c r="L652" s="358">
        <v>60088</v>
      </c>
      <c r="M652" s="358" t="s">
        <v>229</v>
      </c>
      <c r="N652" s="358">
        <v>60088</v>
      </c>
      <c r="O652" s="358" t="s">
        <v>229</v>
      </c>
      <c r="Q652" s="360"/>
      <c r="R652" s="360"/>
      <c r="S652" s="360">
        <v>10089</v>
      </c>
      <c r="T652" s="360"/>
      <c r="U652" s="358">
        <v>50</v>
      </c>
      <c r="V652" s="358">
        <v>0</v>
      </c>
      <c r="W652" s="122">
        <v>42</v>
      </c>
      <c r="Z652" s="361">
        <v>60000</v>
      </c>
      <c r="AB652" s="362"/>
      <c r="AC652" s="362"/>
      <c r="AD652" s="122" t="s">
        <v>3956</v>
      </c>
      <c r="AF652" s="358" t="s">
        <v>28</v>
      </c>
      <c r="AG652" s="358" t="s">
        <v>383</v>
      </c>
      <c r="AH652" s="358" t="s">
        <v>384</v>
      </c>
      <c r="AI652" s="358" t="s">
        <v>385</v>
      </c>
      <c r="AL652" s="359">
        <v>0</v>
      </c>
      <c r="AM652" s="358" t="s">
        <v>590</v>
      </c>
      <c r="AN652" s="358" t="s">
        <v>5736</v>
      </c>
      <c r="AP652" s="358">
        <v>1</v>
      </c>
      <c r="AQ652" s="358">
        <v>0</v>
      </c>
      <c r="AR652" s="50">
        <v>0</v>
      </c>
      <c r="AS652" s="50">
        <v>0</v>
      </c>
      <c r="AU652" s="226">
        <v>0</v>
      </c>
      <c r="AV652" s="17">
        <f t="shared" si="100"/>
        <v>1</v>
      </c>
      <c r="AW652" s="50" t="str">
        <f>"{s_taskKillNpc, {"&amp;L652&amp;","&amp;N652&amp;","&amp;S652&amp;","&amp;U652&amp;"}}"</f>
        <v>{s_taskKillNpc, {60088,60088,10089,50}}</v>
      </c>
    </row>
    <row r="653" spans="1:49" s="50" customFormat="1" ht="108" x14ac:dyDescent="0.15">
      <c r="A653" s="9">
        <v>1801</v>
      </c>
      <c r="C653" s="50" t="s">
        <v>2093</v>
      </c>
      <c r="D653" s="50">
        <v>1</v>
      </c>
      <c r="E653" s="50">
        <v>0</v>
      </c>
      <c r="F653" s="50">
        <v>7</v>
      </c>
      <c r="G653" s="120">
        <v>200</v>
      </c>
      <c r="H653" s="50">
        <v>200</v>
      </c>
      <c r="I653" s="17">
        <v>0</v>
      </c>
      <c r="J653" s="120">
        <v>1791</v>
      </c>
      <c r="K653" s="50">
        <v>0</v>
      </c>
      <c r="L653" s="50">
        <v>60088</v>
      </c>
      <c r="M653" s="50" t="s">
        <v>229</v>
      </c>
      <c r="N653" s="50">
        <v>60088</v>
      </c>
      <c r="O653" s="50" t="s">
        <v>229</v>
      </c>
      <c r="Q653" s="121"/>
      <c r="R653" s="121"/>
      <c r="S653" s="121">
        <v>10090</v>
      </c>
      <c r="T653" s="121"/>
      <c r="U653" s="50">
        <v>35</v>
      </c>
      <c r="V653" s="50">
        <v>0</v>
      </c>
      <c r="W653" s="122">
        <v>44</v>
      </c>
      <c r="Z653" s="123">
        <v>60000</v>
      </c>
      <c r="AA653" s="50">
        <v>30</v>
      </c>
      <c r="AB653" s="124"/>
      <c r="AC653" s="124"/>
      <c r="AF653" s="50" t="s">
        <v>386</v>
      </c>
      <c r="AG653" s="50" t="s">
        <v>538</v>
      </c>
      <c r="AH653" s="50" t="s">
        <v>387</v>
      </c>
      <c r="AI653" s="50" t="s">
        <v>388</v>
      </c>
      <c r="AL653" s="120">
        <v>0</v>
      </c>
      <c r="AM653" s="127" t="s">
        <v>591</v>
      </c>
      <c r="AN653" s="127" t="s">
        <v>5737</v>
      </c>
      <c r="AO653" s="50" t="s">
        <v>389</v>
      </c>
      <c r="AP653" s="50">
        <v>1</v>
      </c>
      <c r="AQ653" s="50">
        <v>0</v>
      </c>
      <c r="AR653" s="50">
        <v>0</v>
      </c>
      <c r="AS653" s="50">
        <v>0</v>
      </c>
      <c r="AU653" s="226">
        <v>0</v>
      </c>
      <c r="AV653" s="17">
        <f t="shared" si="100"/>
        <v>1</v>
      </c>
      <c r="AW653" s="50" t="str">
        <f>"{s_taskKillNpc, {"&amp;L653&amp;","&amp;N653&amp;","&amp;S653&amp;","&amp;U653&amp;"}}"</f>
        <v>{s_taskKillNpc, {60088,60088,10090,35}}</v>
      </c>
    </row>
    <row r="654" spans="1:49" s="50" customFormat="1" ht="120" x14ac:dyDescent="0.15">
      <c r="A654" s="9">
        <v>1811</v>
      </c>
      <c r="C654" s="50" t="s">
        <v>2094</v>
      </c>
      <c r="D654" s="50">
        <v>1</v>
      </c>
      <c r="E654" s="50">
        <v>0</v>
      </c>
      <c r="F654" s="50">
        <v>7</v>
      </c>
      <c r="G654" s="120">
        <v>200</v>
      </c>
      <c r="H654" s="50">
        <v>200</v>
      </c>
      <c r="I654" s="17">
        <v>0</v>
      </c>
      <c r="J654" s="120">
        <v>1801</v>
      </c>
      <c r="K654" s="50">
        <v>0</v>
      </c>
      <c r="L654" s="50">
        <v>60088</v>
      </c>
      <c r="M654" s="50" t="s">
        <v>229</v>
      </c>
      <c r="N654" s="50">
        <v>60089</v>
      </c>
      <c r="O654" s="50" t="s">
        <v>230</v>
      </c>
      <c r="Q654" s="121"/>
      <c r="R654" s="121"/>
      <c r="S654" s="121"/>
      <c r="T654" s="121"/>
      <c r="U654" s="50">
        <v>1</v>
      </c>
      <c r="V654" s="50">
        <v>1</v>
      </c>
      <c r="W654" s="122">
        <v>44</v>
      </c>
      <c r="Z654" s="123">
        <v>16000</v>
      </c>
      <c r="AB654" s="124"/>
      <c r="AC654" s="124"/>
      <c r="AF654" s="50" t="s">
        <v>668</v>
      </c>
      <c r="AG654" s="50" t="s">
        <v>669</v>
      </c>
      <c r="AH654" s="50" t="s">
        <v>390</v>
      </c>
      <c r="AL654" s="120">
        <v>0</v>
      </c>
      <c r="AM654" s="127" t="s">
        <v>1298</v>
      </c>
      <c r="AN654" s="127" t="s">
        <v>5738</v>
      </c>
      <c r="AP654" s="50">
        <v>1</v>
      </c>
      <c r="AQ654" s="50">
        <v>0</v>
      </c>
      <c r="AR654" s="50">
        <v>0</v>
      </c>
      <c r="AS654" s="50">
        <v>0</v>
      </c>
      <c r="AU654" s="226">
        <v>0</v>
      </c>
      <c r="AV654" s="17">
        <f t="shared" si="100"/>
        <v>1</v>
      </c>
      <c r="AW654" s="50" t="str">
        <f>"{s_taskTalk,{"&amp;L654&amp;","&amp;N654&amp;"}}"</f>
        <v>{s_taskTalk,{60088,60089}}</v>
      </c>
    </row>
    <row r="655" spans="1:49" s="50" customFormat="1" ht="120" x14ac:dyDescent="0.15">
      <c r="A655" s="9">
        <v>1821</v>
      </c>
      <c r="C655" s="50" t="s">
        <v>2095</v>
      </c>
      <c r="D655" s="50">
        <v>1</v>
      </c>
      <c r="E655" s="50">
        <v>0</v>
      </c>
      <c r="F655" s="50">
        <v>7</v>
      </c>
      <c r="G655" s="120">
        <v>200</v>
      </c>
      <c r="H655" s="50">
        <v>200</v>
      </c>
      <c r="I655" s="17">
        <v>0</v>
      </c>
      <c r="J655" s="120">
        <v>1811</v>
      </c>
      <c r="K655" s="50">
        <v>0</v>
      </c>
      <c r="L655" s="50">
        <v>60089</v>
      </c>
      <c r="M655" s="50" t="s">
        <v>230</v>
      </c>
      <c r="N655" s="50">
        <v>60085</v>
      </c>
      <c r="O655" s="50" t="s">
        <v>231</v>
      </c>
      <c r="Q655" s="121"/>
      <c r="R655" s="121"/>
      <c r="S655" s="121"/>
      <c r="T655" s="121"/>
      <c r="U655" s="50">
        <v>1</v>
      </c>
      <c r="V655" s="50">
        <v>1</v>
      </c>
      <c r="W655" s="122">
        <v>44</v>
      </c>
      <c r="Z655" s="123">
        <v>16000</v>
      </c>
      <c r="AB655" s="124"/>
      <c r="AC655" s="124"/>
      <c r="AF655" s="50" t="s">
        <v>670</v>
      </c>
      <c r="AG655" s="50" t="s">
        <v>671</v>
      </c>
      <c r="AH655" s="50" t="s">
        <v>391</v>
      </c>
      <c r="AL655" s="120">
        <v>0</v>
      </c>
      <c r="AM655" s="127" t="s">
        <v>1299</v>
      </c>
      <c r="AN655" s="127" t="s">
        <v>5739</v>
      </c>
      <c r="AP655" s="50">
        <v>1</v>
      </c>
      <c r="AQ655" s="50">
        <v>0</v>
      </c>
      <c r="AR655" s="50">
        <v>0</v>
      </c>
      <c r="AS655" s="50">
        <v>0</v>
      </c>
      <c r="AU655" s="226">
        <v>0</v>
      </c>
      <c r="AV655" s="17">
        <f t="shared" si="100"/>
        <v>1</v>
      </c>
      <c r="AW655" s="50" t="str">
        <f>"{s_taskTalk,{"&amp;L655&amp;","&amp;N655&amp;"}}"</f>
        <v>{s_taskTalk,{60089,60085}}</v>
      </c>
    </row>
    <row r="656" spans="1:49" s="50" customFormat="1" ht="72" x14ac:dyDescent="0.15">
      <c r="A656" s="9">
        <v>1831</v>
      </c>
      <c r="C656" s="50" t="s">
        <v>2096</v>
      </c>
      <c r="D656" s="50">
        <v>1</v>
      </c>
      <c r="E656" s="50">
        <v>0</v>
      </c>
      <c r="F656" s="50">
        <v>7</v>
      </c>
      <c r="G656" s="120">
        <v>200</v>
      </c>
      <c r="H656" s="50">
        <v>200</v>
      </c>
      <c r="I656" s="17">
        <v>0</v>
      </c>
      <c r="J656" s="120">
        <v>1821</v>
      </c>
      <c r="K656" s="50">
        <v>0</v>
      </c>
      <c r="L656" s="50">
        <v>60085</v>
      </c>
      <c r="M656" s="50" t="s">
        <v>231</v>
      </c>
      <c r="N656" s="50">
        <v>60088</v>
      </c>
      <c r="O656" s="50" t="s">
        <v>229</v>
      </c>
      <c r="Q656" s="121"/>
      <c r="R656" s="121"/>
      <c r="S656" s="121"/>
      <c r="T656" s="121"/>
      <c r="U656" s="50">
        <v>1</v>
      </c>
      <c r="V656" s="50">
        <v>1</v>
      </c>
      <c r="W656" s="122">
        <v>44</v>
      </c>
      <c r="Z656" s="123">
        <v>16000</v>
      </c>
      <c r="AB656" s="124"/>
      <c r="AC656" s="124"/>
      <c r="AF656" s="50" t="s">
        <v>29</v>
      </c>
      <c r="AG656" s="50" t="s">
        <v>4313</v>
      </c>
      <c r="AH656" s="50" t="s">
        <v>6861</v>
      </c>
      <c r="AL656" s="120">
        <v>0</v>
      </c>
      <c r="AM656" s="127" t="s">
        <v>1300</v>
      </c>
      <c r="AN656" s="127" t="s">
        <v>5740</v>
      </c>
      <c r="AP656" s="50">
        <v>1</v>
      </c>
      <c r="AQ656" s="50">
        <v>0</v>
      </c>
      <c r="AR656" s="50">
        <v>0</v>
      </c>
      <c r="AS656" s="50">
        <v>0</v>
      </c>
      <c r="AU656" s="226">
        <v>0</v>
      </c>
      <c r="AV656" s="17">
        <f t="shared" si="100"/>
        <v>1</v>
      </c>
      <c r="AW656" s="50" t="str">
        <f>"{s_taskTalk,{"&amp;L656&amp;","&amp;N656&amp;"}}"</f>
        <v>{s_taskTalk,{60085,60088}}</v>
      </c>
    </row>
    <row r="657" spans="1:49" s="78" customFormat="1" ht="120" x14ac:dyDescent="0.15">
      <c r="A657" s="88">
        <v>1841</v>
      </c>
      <c r="C657" s="78" t="s">
        <v>2097</v>
      </c>
      <c r="D657" s="78">
        <v>1</v>
      </c>
      <c r="E657" s="78">
        <v>0</v>
      </c>
      <c r="F657" s="78">
        <v>7</v>
      </c>
      <c r="G657" s="120">
        <v>200</v>
      </c>
      <c r="H657" s="78">
        <v>200</v>
      </c>
      <c r="I657" s="17">
        <v>0</v>
      </c>
      <c r="J657" s="94">
        <v>1831</v>
      </c>
      <c r="K657" s="78">
        <v>0</v>
      </c>
      <c r="L657" s="78">
        <v>60088</v>
      </c>
      <c r="M657" s="78" t="s">
        <v>229</v>
      </c>
      <c r="N657" s="78">
        <v>60088</v>
      </c>
      <c r="O657" s="78" t="s">
        <v>229</v>
      </c>
      <c r="Q657" s="91"/>
      <c r="R657" s="91"/>
      <c r="S657" s="91">
        <v>10091</v>
      </c>
      <c r="T657" s="91"/>
      <c r="U657" s="78">
        <v>55</v>
      </c>
      <c r="V657" s="78">
        <v>0</v>
      </c>
      <c r="W657" s="79">
        <v>46</v>
      </c>
      <c r="Z657" s="352">
        <v>65000</v>
      </c>
      <c r="AB657" s="92"/>
      <c r="AC657" s="92"/>
      <c r="AF657" s="78" t="s">
        <v>392</v>
      </c>
      <c r="AG657" s="78" t="s">
        <v>393</v>
      </c>
      <c r="AH657" s="78" t="s">
        <v>394</v>
      </c>
      <c r="AI657" s="78" t="s">
        <v>395</v>
      </c>
      <c r="AL657" s="94">
        <v>0</v>
      </c>
      <c r="AM657" s="353" t="s">
        <v>592</v>
      </c>
      <c r="AN657" s="353" t="s">
        <v>5741</v>
      </c>
      <c r="AP657" s="78">
        <v>1</v>
      </c>
      <c r="AQ657" s="78">
        <v>0</v>
      </c>
      <c r="AR657" s="50">
        <v>0</v>
      </c>
      <c r="AS657" s="50">
        <v>0</v>
      </c>
      <c r="AU657" s="226">
        <v>0</v>
      </c>
      <c r="AV657" s="17">
        <f t="shared" si="100"/>
        <v>1</v>
      </c>
      <c r="AW657" s="78" t="str">
        <f>"{s_taskKillNpc, {"&amp;L657&amp;","&amp;N657&amp;","&amp;S657&amp;","&amp;U657&amp;"}}"</f>
        <v>{s_taskKillNpc, {60088,60088,10091,55}}</v>
      </c>
    </row>
    <row r="658" spans="1:49" s="78" customFormat="1" ht="120" x14ac:dyDescent="0.15">
      <c r="A658" s="88">
        <v>1839</v>
      </c>
      <c r="C658" s="78" t="s">
        <v>2097</v>
      </c>
      <c r="D658" s="78">
        <v>1</v>
      </c>
      <c r="E658" s="78">
        <v>0</v>
      </c>
      <c r="F658" s="78">
        <v>7</v>
      </c>
      <c r="G658" s="120">
        <v>200</v>
      </c>
      <c r="H658" s="78">
        <v>200</v>
      </c>
      <c r="I658" s="17">
        <v>0</v>
      </c>
      <c r="J658" s="94">
        <v>0</v>
      </c>
      <c r="K658" s="78">
        <v>0</v>
      </c>
      <c r="L658" s="78">
        <v>60088</v>
      </c>
      <c r="M658" s="78" t="s">
        <v>229</v>
      </c>
      <c r="N658" s="78">
        <v>60088</v>
      </c>
      <c r="O658" s="78" t="s">
        <v>229</v>
      </c>
      <c r="Q658" s="91"/>
      <c r="R658" s="91"/>
      <c r="S658" s="91">
        <v>10091</v>
      </c>
      <c r="T658" s="91"/>
      <c r="U658" s="78">
        <v>55</v>
      </c>
      <c r="V658" s="78">
        <v>0</v>
      </c>
      <c r="W658" s="79">
        <v>46</v>
      </c>
      <c r="Z658" s="352">
        <v>65000</v>
      </c>
      <c r="AB658" s="92"/>
      <c r="AC658" s="92"/>
      <c r="AD658" s="103" t="s">
        <v>7213</v>
      </c>
      <c r="AF658" s="78" t="s">
        <v>392</v>
      </c>
      <c r="AG658" s="78" t="s">
        <v>393</v>
      </c>
      <c r="AH658" s="78" t="s">
        <v>394</v>
      </c>
      <c r="AI658" s="78" t="s">
        <v>395</v>
      </c>
      <c r="AL658" s="94">
        <v>0</v>
      </c>
      <c r="AM658" s="353" t="s">
        <v>592</v>
      </c>
      <c r="AN658" s="353" t="s">
        <v>5741</v>
      </c>
      <c r="AP658" s="78">
        <v>0</v>
      </c>
      <c r="AQ658" s="78">
        <v>0</v>
      </c>
      <c r="AR658" s="50">
        <v>0</v>
      </c>
      <c r="AS658" s="50">
        <v>0</v>
      </c>
      <c r="AU658" s="226">
        <v>0</v>
      </c>
      <c r="AV658" s="17">
        <f t="shared" si="100"/>
        <v>1</v>
      </c>
      <c r="AW658" s="78" t="str">
        <f>"{s_taskKillNpc, {"&amp;L658&amp;","&amp;N658&amp;","&amp;S658&amp;","&amp;U658&amp;"}}"</f>
        <v>{s_taskKillNpc, {60088,60088,10091,55}}</v>
      </c>
    </row>
    <row r="659" spans="1:49" s="78" customFormat="1" ht="120" x14ac:dyDescent="0.15">
      <c r="A659" s="88">
        <v>1840</v>
      </c>
      <c r="C659" s="78" t="s">
        <v>2097</v>
      </c>
      <c r="D659" s="78">
        <v>1</v>
      </c>
      <c r="E659" s="78">
        <v>0</v>
      </c>
      <c r="F659" s="78">
        <v>7</v>
      </c>
      <c r="G659" s="120">
        <v>200</v>
      </c>
      <c r="H659" s="78">
        <v>200</v>
      </c>
      <c r="I659" s="17">
        <v>0</v>
      </c>
      <c r="J659" s="94">
        <v>0</v>
      </c>
      <c r="K659" s="78">
        <v>0</v>
      </c>
      <c r="L659" s="78">
        <v>60088</v>
      </c>
      <c r="M659" s="78" t="s">
        <v>229</v>
      </c>
      <c r="N659" s="78">
        <v>60088</v>
      </c>
      <c r="O659" s="78" t="s">
        <v>229</v>
      </c>
      <c r="Q659" s="91"/>
      <c r="R659" s="91"/>
      <c r="S659" s="91">
        <v>10091</v>
      </c>
      <c r="T659" s="91"/>
      <c r="U659" s="78">
        <v>55</v>
      </c>
      <c r="V659" s="78">
        <v>0</v>
      </c>
      <c r="W659" s="79">
        <v>46</v>
      </c>
      <c r="Z659" s="352">
        <v>65000</v>
      </c>
      <c r="AB659" s="92"/>
      <c r="AC659" s="92"/>
      <c r="AD659" s="103" t="s">
        <v>7214</v>
      </c>
      <c r="AF659" s="78" t="s">
        <v>392</v>
      </c>
      <c r="AG659" s="78" t="s">
        <v>393</v>
      </c>
      <c r="AH659" s="78" t="s">
        <v>394</v>
      </c>
      <c r="AI659" s="78" t="s">
        <v>395</v>
      </c>
      <c r="AL659" s="94">
        <v>0</v>
      </c>
      <c r="AM659" s="353" t="s">
        <v>592</v>
      </c>
      <c r="AN659" s="353" t="s">
        <v>5741</v>
      </c>
      <c r="AP659" s="78">
        <v>0</v>
      </c>
      <c r="AQ659" s="78">
        <v>0</v>
      </c>
      <c r="AR659" s="50">
        <v>0</v>
      </c>
      <c r="AS659" s="50">
        <v>0</v>
      </c>
      <c r="AU659" s="226">
        <v>0</v>
      </c>
      <c r="AV659" s="17">
        <f t="shared" si="100"/>
        <v>1</v>
      </c>
      <c r="AW659" s="78" t="str">
        <f>"{s_taskKillNpc, {"&amp;L659&amp;","&amp;N659&amp;","&amp;S659&amp;","&amp;U659&amp;"}}"</f>
        <v>{s_taskKillNpc, {60088,60088,10091,55}}</v>
      </c>
    </row>
    <row r="660" spans="1:49" s="50" customFormat="1" ht="96" x14ac:dyDescent="0.15">
      <c r="A660" s="9">
        <v>1842</v>
      </c>
      <c r="C660" s="50" t="s">
        <v>2098</v>
      </c>
      <c r="D660" s="50">
        <v>1</v>
      </c>
      <c r="E660" s="50">
        <v>0</v>
      </c>
      <c r="F660" s="50">
        <v>7</v>
      </c>
      <c r="G660" s="120">
        <v>200</v>
      </c>
      <c r="H660" s="50">
        <v>200</v>
      </c>
      <c r="I660" s="17">
        <v>0</v>
      </c>
      <c r="J660" s="120">
        <v>1841</v>
      </c>
      <c r="K660" s="50">
        <v>0</v>
      </c>
      <c r="L660" s="50">
        <v>60088</v>
      </c>
      <c r="M660" s="50" t="s">
        <v>229</v>
      </c>
      <c r="N660" s="50">
        <v>60000</v>
      </c>
      <c r="O660" s="50" t="s">
        <v>1258</v>
      </c>
      <c r="Q660" s="121"/>
      <c r="R660" s="121"/>
      <c r="S660" s="121"/>
      <c r="T660" s="121"/>
      <c r="U660" s="50">
        <v>1</v>
      </c>
      <c r="V660" s="50">
        <v>1</v>
      </c>
      <c r="W660" s="122">
        <v>46</v>
      </c>
      <c r="Z660" s="123">
        <v>16000</v>
      </c>
      <c r="AB660" s="124"/>
      <c r="AC660" s="124"/>
      <c r="AF660" s="50" t="s">
        <v>4555</v>
      </c>
      <c r="AG660" s="50" t="s">
        <v>1268</v>
      </c>
      <c r="AH660" s="50" t="s">
        <v>3970</v>
      </c>
      <c r="AI660" s="50" t="s">
        <v>1269</v>
      </c>
      <c r="AL660" s="120">
        <v>0</v>
      </c>
      <c r="AM660" s="127" t="s">
        <v>1301</v>
      </c>
      <c r="AN660" s="127" t="s">
        <v>5742</v>
      </c>
      <c r="AP660" s="50">
        <v>1</v>
      </c>
      <c r="AQ660" s="50">
        <v>0</v>
      </c>
      <c r="AR660" s="50">
        <v>0</v>
      </c>
      <c r="AS660" s="50">
        <v>0</v>
      </c>
      <c r="AU660" s="226">
        <v>0</v>
      </c>
      <c r="AV660" s="17">
        <f t="shared" si="100"/>
        <v>1</v>
      </c>
      <c r="AW660" s="50" t="str">
        <f>"{s_taskTalk,{"&amp;L660&amp;","&amp;N660&amp;"}}"</f>
        <v>{s_taskTalk,{60088,60000}}</v>
      </c>
    </row>
    <row r="661" spans="1:49" s="50" customFormat="1" ht="108" x14ac:dyDescent="0.15">
      <c r="A661" s="9">
        <v>1843</v>
      </c>
      <c r="C661" s="50" t="s">
        <v>2099</v>
      </c>
      <c r="D661" s="50">
        <v>1</v>
      </c>
      <c r="E661" s="50">
        <v>0</v>
      </c>
      <c r="F661" s="50">
        <v>7</v>
      </c>
      <c r="G661" s="120">
        <v>200</v>
      </c>
      <c r="H661" s="50">
        <v>200</v>
      </c>
      <c r="I661" s="17">
        <v>0</v>
      </c>
      <c r="J661" s="120">
        <v>1842</v>
      </c>
      <c r="K661" s="50">
        <v>0</v>
      </c>
      <c r="L661" s="50">
        <v>60000</v>
      </c>
      <c r="M661" s="50" t="s">
        <v>260</v>
      </c>
      <c r="N661" s="50">
        <v>167</v>
      </c>
      <c r="O661" s="50" t="s">
        <v>5165</v>
      </c>
      <c r="Q661" s="121"/>
      <c r="R661" s="121">
        <v>60174</v>
      </c>
      <c r="S661" s="121"/>
      <c r="T661" s="121"/>
      <c r="U661" s="50">
        <v>1</v>
      </c>
      <c r="V661" s="50">
        <v>1</v>
      </c>
      <c r="W661" s="122">
        <v>46</v>
      </c>
      <c r="Z661" s="123">
        <v>40000</v>
      </c>
      <c r="AB661" s="124"/>
      <c r="AC661" s="124"/>
      <c r="AF661" s="50" t="s">
        <v>4363</v>
      </c>
      <c r="AG661" s="50" t="s">
        <v>4352</v>
      </c>
      <c r="AH661" s="50" t="s">
        <v>1278</v>
      </c>
      <c r="AI661" s="50" t="s">
        <v>4364</v>
      </c>
      <c r="AL661" s="120">
        <v>0</v>
      </c>
      <c r="AM661" s="127" t="s">
        <v>1302</v>
      </c>
      <c r="AN661" s="127" t="s">
        <v>5743</v>
      </c>
      <c r="AP661" s="50">
        <v>1</v>
      </c>
      <c r="AQ661" s="50">
        <v>0</v>
      </c>
      <c r="AR661" s="50">
        <v>0</v>
      </c>
      <c r="AS661" s="50">
        <v>0</v>
      </c>
      <c r="AU661" s="226">
        <v>0</v>
      </c>
      <c r="AV661" s="17">
        <f t="shared" si="100"/>
        <v>1</v>
      </c>
      <c r="AW661" s="50" t="str">
        <f>"{s_taskGuard,{"&amp;L661&amp;","&amp;N661&amp;","&amp;R661&amp;"}}"</f>
        <v>{s_taskGuard,{60000,167,60174}}</v>
      </c>
    </row>
    <row r="662" spans="1:49" s="50" customFormat="1" ht="72" x14ac:dyDescent="0.15">
      <c r="A662" s="9">
        <v>1844</v>
      </c>
      <c r="C662" s="50" t="s">
        <v>2100</v>
      </c>
      <c r="D662" s="50">
        <v>1</v>
      </c>
      <c r="E662" s="50">
        <v>0</v>
      </c>
      <c r="F662" s="50">
        <v>7</v>
      </c>
      <c r="G662" s="120">
        <v>200</v>
      </c>
      <c r="H662" s="50">
        <v>200</v>
      </c>
      <c r="I662" s="17">
        <v>0</v>
      </c>
      <c r="J662" s="120">
        <v>1843</v>
      </c>
      <c r="K662" s="50">
        <v>0</v>
      </c>
      <c r="L662" s="50">
        <v>167</v>
      </c>
      <c r="M662" s="50" t="s">
        <v>1277</v>
      </c>
      <c r="N662" s="50">
        <v>60088</v>
      </c>
      <c r="O662" s="50" t="s">
        <v>5166</v>
      </c>
      <c r="Q662" s="121"/>
      <c r="R662" s="121">
        <v>60174</v>
      </c>
      <c r="S662" s="121"/>
      <c r="T662" s="121"/>
      <c r="U662" s="50">
        <v>1</v>
      </c>
      <c r="V662" s="50">
        <v>1</v>
      </c>
      <c r="W662" s="122">
        <v>46</v>
      </c>
      <c r="Z662" s="123">
        <v>40000</v>
      </c>
      <c r="AB662" s="124"/>
      <c r="AC662" s="124"/>
      <c r="AD662" s="50" t="s">
        <v>3975</v>
      </c>
      <c r="AE662" s="122"/>
      <c r="AF662" s="50" t="s">
        <v>1279</v>
      </c>
      <c r="AG662" s="50" t="s">
        <v>1280</v>
      </c>
      <c r="AH662" s="50" t="s">
        <v>1270</v>
      </c>
      <c r="AI662" s="50" t="s">
        <v>4365</v>
      </c>
      <c r="AL662" s="120">
        <v>0</v>
      </c>
      <c r="AM662" s="127" t="s">
        <v>1303</v>
      </c>
      <c r="AN662" s="127" t="s">
        <v>5744</v>
      </c>
      <c r="AP662" s="50">
        <v>1</v>
      </c>
      <c r="AQ662" s="50">
        <v>0</v>
      </c>
      <c r="AR662" s="50">
        <v>0</v>
      </c>
      <c r="AS662" s="50">
        <v>0</v>
      </c>
      <c r="AU662" s="226">
        <v>0</v>
      </c>
      <c r="AV662" s="17">
        <f t="shared" si="100"/>
        <v>1</v>
      </c>
      <c r="AW662" s="50" t="str">
        <f>"{s_taskGuard,{"&amp;L662&amp;","&amp;N662&amp;","&amp;R662&amp;"}}"</f>
        <v>{s_taskGuard,{167,60088,60174}}</v>
      </c>
    </row>
    <row r="663" spans="1:49" s="50" customFormat="1" ht="84" x14ac:dyDescent="0.15">
      <c r="A663" s="9">
        <v>1851</v>
      </c>
      <c r="C663" s="50" t="s">
        <v>2101</v>
      </c>
      <c r="D663" s="50">
        <v>1</v>
      </c>
      <c r="E663" s="50">
        <v>0</v>
      </c>
      <c r="F663" s="50">
        <v>7</v>
      </c>
      <c r="G663" s="120">
        <v>200</v>
      </c>
      <c r="H663" s="50">
        <v>200</v>
      </c>
      <c r="I663" s="17">
        <v>0</v>
      </c>
      <c r="J663" s="120">
        <v>1844</v>
      </c>
      <c r="K663" s="50">
        <v>0</v>
      </c>
      <c r="L663" s="50">
        <v>60088</v>
      </c>
      <c r="M663" s="50" t="s">
        <v>229</v>
      </c>
      <c r="N663" s="50">
        <v>60086</v>
      </c>
      <c r="O663" s="50" t="s">
        <v>232</v>
      </c>
      <c r="Q663" s="121"/>
      <c r="R663" s="121"/>
      <c r="S663" s="121"/>
      <c r="T663" s="121"/>
      <c r="U663" s="50">
        <v>1</v>
      </c>
      <c r="V663" s="50">
        <v>1</v>
      </c>
      <c r="W663" s="122">
        <v>46</v>
      </c>
      <c r="Z663" s="123">
        <v>16000</v>
      </c>
      <c r="AB663" s="124"/>
      <c r="AC663" s="124"/>
      <c r="AF663" s="50" t="s">
        <v>4556</v>
      </c>
      <c r="AG663" s="50" t="s">
        <v>4557</v>
      </c>
      <c r="AH663" s="50" t="s">
        <v>396</v>
      </c>
      <c r="AL663" s="120">
        <v>0</v>
      </c>
      <c r="AM663" s="127" t="s">
        <v>1304</v>
      </c>
      <c r="AN663" s="127" t="s">
        <v>5745</v>
      </c>
      <c r="AP663" s="50">
        <v>1</v>
      </c>
      <c r="AQ663" s="50">
        <v>0</v>
      </c>
      <c r="AR663" s="50">
        <v>0</v>
      </c>
      <c r="AS663" s="50">
        <v>0</v>
      </c>
      <c r="AU663" s="226">
        <v>0</v>
      </c>
      <c r="AV663" s="17">
        <f t="shared" si="100"/>
        <v>1</v>
      </c>
      <c r="AW663" s="50" t="str">
        <f>"{s_taskTalk,{"&amp;L663&amp;","&amp;N663&amp;"}}"</f>
        <v>{s_taskTalk,{60088,60086}}</v>
      </c>
    </row>
    <row r="664" spans="1:49" s="50" customFormat="1" ht="96" x14ac:dyDescent="0.15">
      <c r="A664" s="9">
        <v>1861</v>
      </c>
      <c r="C664" s="50" t="s">
        <v>2102</v>
      </c>
      <c r="D664" s="50">
        <v>1</v>
      </c>
      <c r="E664" s="50">
        <v>0</v>
      </c>
      <c r="F664" s="50">
        <v>7</v>
      </c>
      <c r="G664" s="120">
        <v>200</v>
      </c>
      <c r="H664" s="50">
        <v>200</v>
      </c>
      <c r="I664" s="17">
        <v>0</v>
      </c>
      <c r="J664" s="120">
        <v>1851</v>
      </c>
      <c r="K664" s="50">
        <v>0</v>
      </c>
      <c r="L664" s="50">
        <v>60086</v>
      </c>
      <c r="M664" s="50" t="s">
        <v>232</v>
      </c>
      <c r="N664" s="50">
        <v>60086</v>
      </c>
      <c r="O664" s="50" t="s">
        <v>232</v>
      </c>
      <c r="Q664" s="121"/>
      <c r="R664" s="121"/>
      <c r="S664" s="121">
        <v>10092</v>
      </c>
      <c r="T664" s="121"/>
      <c r="U664" s="50">
        <v>55</v>
      </c>
      <c r="V664" s="50">
        <v>0</v>
      </c>
      <c r="W664" s="122">
        <v>49</v>
      </c>
      <c r="Z664" s="123">
        <v>65000</v>
      </c>
      <c r="AB664" s="124"/>
      <c r="AC664" s="124">
        <v>500</v>
      </c>
      <c r="AF664" s="50" t="s">
        <v>1753</v>
      </c>
      <c r="AG664" s="50" t="s">
        <v>1754</v>
      </c>
      <c r="AH664" s="50" t="s">
        <v>1755</v>
      </c>
      <c r="AI664" s="50" t="s">
        <v>397</v>
      </c>
      <c r="AL664" s="120">
        <v>0</v>
      </c>
      <c r="AM664" s="127" t="s">
        <v>1411</v>
      </c>
      <c r="AN664" s="127" t="s">
        <v>5746</v>
      </c>
      <c r="AO664" s="50" t="s">
        <v>1410</v>
      </c>
      <c r="AP664" s="50">
        <v>1</v>
      </c>
      <c r="AQ664" s="50">
        <v>0</v>
      </c>
      <c r="AR664" s="50">
        <v>0</v>
      </c>
      <c r="AS664" s="50">
        <v>0</v>
      </c>
      <c r="AU664" s="226">
        <v>0</v>
      </c>
      <c r="AV664" s="17">
        <f t="shared" si="100"/>
        <v>1</v>
      </c>
      <c r="AW664" s="50" t="str">
        <f>"{s_taskKillNpc, {"&amp;L664&amp;","&amp;N664&amp;","&amp;S664&amp;","&amp;U664&amp;"}}"</f>
        <v>{s_taskKillNpc, {60086,60086,10092,55}}</v>
      </c>
    </row>
    <row r="665" spans="1:49" s="50" customFormat="1" ht="72" x14ac:dyDescent="0.15">
      <c r="A665" s="9">
        <v>1871</v>
      </c>
      <c r="C665" s="50" t="s">
        <v>2103</v>
      </c>
      <c r="D665" s="50">
        <v>1</v>
      </c>
      <c r="E665" s="50">
        <v>0</v>
      </c>
      <c r="F665" s="50">
        <v>7</v>
      </c>
      <c r="G665" s="120">
        <v>200</v>
      </c>
      <c r="H665" s="50">
        <v>200</v>
      </c>
      <c r="I665" s="17">
        <v>0</v>
      </c>
      <c r="J665" s="120">
        <v>1861</v>
      </c>
      <c r="K665" s="50">
        <v>0</v>
      </c>
      <c r="L665" s="50">
        <v>60086</v>
      </c>
      <c r="M665" s="50" t="s">
        <v>232</v>
      </c>
      <c r="N665" s="50">
        <v>60089</v>
      </c>
      <c r="O665" s="50" t="s">
        <v>230</v>
      </c>
      <c r="Q665" s="121"/>
      <c r="R665" s="121"/>
      <c r="S665" s="121"/>
      <c r="T665" s="121"/>
      <c r="U665" s="50">
        <v>1</v>
      </c>
      <c r="V665" s="50">
        <v>1</v>
      </c>
      <c r="W665" s="122">
        <v>49</v>
      </c>
      <c r="Z665" s="123">
        <v>16000</v>
      </c>
      <c r="AB665" s="124"/>
      <c r="AC665" s="124"/>
      <c r="AE665" s="50" t="s">
        <v>2828</v>
      </c>
      <c r="AF665" s="50" t="s">
        <v>30</v>
      </c>
      <c r="AG665" s="50" t="s">
        <v>398</v>
      </c>
      <c r="AH665" s="50" t="s">
        <v>399</v>
      </c>
      <c r="AL665" s="120">
        <v>0</v>
      </c>
      <c r="AM665" s="127" t="s">
        <v>1305</v>
      </c>
      <c r="AN665" s="127" t="s">
        <v>5747</v>
      </c>
      <c r="AP665" s="50">
        <v>1</v>
      </c>
      <c r="AQ665" s="50">
        <v>0</v>
      </c>
      <c r="AR665" s="50">
        <v>0</v>
      </c>
      <c r="AS665" s="50">
        <v>0</v>
      </c>
      <c r="AU665" s="226">
        <v>0</v>
      </c>
      <c r="AV665" s="17">
        <f t="shared" si="100"/>
        <v>1</v>
      </c>
      <c r="AW665" s="50" t="str">
        <f>"{s_taskTalk,{"&amp;L665&amp;","&amp;N665&amp;"}}"</f>
        <v>{s_taskTalk,{60086,60089}}</v>
      </c>
    </row>
    <row r="666" spans="1:49" s="50" customFormat="1" ht="84" x14ac:dyDescent="0.15">
      <c r="A666" s="9">
        <v>1881</v>
      </c>
      <c r="C666" s="50" t="s">
        <v>6862</v>
      </c>
      <c r="D666" s="50">
        <v>1</v>
      </c>
      <c r="E666" s="50">
        <v>0</v>
      </c>
      <c r="F666" s="50">
        <v>7</v>
      </c>
      <c r="G666" s="120">
        <v>200</v>
      </c>
      <c r="H666" s="50">
        <v>200</v>
      </c>
      <c r="I666" s="17">
        <v>0</v>
      </c>
      <c r="J666" s="120">
        <v>1871</v>
      </c>
      <c r="K666" s="50">
        <v>0</v>
      </c>
      <c r="L666" s="50">
        <v>60089</v>
      </c>
      <c r="M666" s="50" t="s">
        <v>230</v>
      </c>
      <c r="N666" s="50">
        <v>60086</v>
      </c>
      <c r="O666" s="50" t="s">
        <v>232</v>
      </c>
      <c r="Q666" s="121"/>
      <c r="R666" s="121"/>
      <c r="S666" s="121"/>
      <c r="T666" s="121"/>
      <c r="U666" s="50">
        <v>1</v>
      </c>
      <c r="V666" s="50">
        <v>1</v>
      </c>
      <c r="W666" s="122">
        <v>51</v>
      </c>
      <c r="Z666" s="123">
        <v>16000</v>
      </c>
      <c r="AB666" s="124"/>
      <c r="AC666" s="124"/>
      <c r="AF666" s="50" t="s">
        <v>6863</v>
      </c>
      <c r="AG666" s="50" t="s">
        <v>6864</v>
      </c>
      <c r="AH666" s="50" t="s">
        <v>539</v>
      </c>
      <c r="AL666" s="120">
        <v>0</v>
      </c>
      <c r="AM666" s="127" t="s">
        <v>1306</v>
      </c>
      <c r="AN666" s="127" t="s">
        <v>5748</v>
      </c>
      <c r="AP666" s="50">
        <v>1</v>
      </c>
      <c r="AQ666" s="50">
        <v>0</v>
      </c>
      <c r="AR666" s="50">
        <v>0</v>
      </c>
      <c r="AS666" s="50">
        <v>0</v>
      </c>
      <c r="AU666" s="226">
        <v>0</v>
      </c>
      <c r="AV666" s="17">
        <f t="shared" si="100"/>
        <v>1</v>
      </c>
      <c r="AW666" s="50" t="str">
        <f>"{s_taskTalk,{"&amp;L666&amp;","&amp;N666&amp;"}}"</f>
        <v>{s_taskTalk,{60089,60086}}</v>
      </c>
    </row>
    <row r="667" spans="1:49" s="50" customFormat="1" ht="96" x14ac:dyDescent="0.15">
      <c r="A667" s="9">
        <v>1891</v>
      </c>
      <c r="C667" s="50" t="s">
        <v>2104</v>
      </c>
      <c r="D667" s="50">
        <v>1</v>
      </c>
      <c r="E667" s="50">
        <v>0</v>
      </c>
      <c r="F667" s="50">
        <v>7</v>
      </c>
      <c r="G667" s="120">
        <v>200</v>
      </c>
      <c r="H667" s="50">
        <v>200</v>
      </c>
      <c r="I667" s="17">
        <v>0</v>
      </c>
      <c r="J667" s="120">
        <v>1881</v>
      </c>
      <c r="K667" s="50">
        <v>0</v>
      </c>
      <c r="L667" s="50">
        <v>60086</v>
      </c>
      <c r="M667" s="50" t="s">
        <v>232</v>
      </c>
      <c r="N667" s="50">
        <v>60086</v>
      </c>
      <c r="O667" s="50" t="s">
        <v>232</v>
      </c>
      <c r="Q667" s="121"/>
      <c r="R667" s="121"/>
      <c r="S667" s="121">
        <v>10093</v>
      </c>
      <c r="T667" s="121"/>
      <c r="U667" s="50">
        <v>55</v>
      </c>
      <c r="V667" s="50">
        <v>0</v>
      </c>
      <c r="W667" s="122">
        <v>51</v>
      </c>
      <c r="Z667" s="123">
        <v>65000</v>
      </c>
      <c r="AB667" s="124"/>
      <c r="AC667" s="124"/>
      <c r="AD667" s="122" t="s">
        <v>3973</v>
      </c>
      <c r="AF667" s="50" t="s">
        <v>1437</v>
      </c>
      <c r="AG667" s="50" t="s">
        <v>400</v>
      </c>
      <c r="AH667" s="50" t="s">
        <v>401</v>
      </c>
      <c r="AI667" s="50" t="s">
        <v>402</v>
      </c>
      <c r="AL667" s="120">
        <v>0</v>
      </c>
      <c r="AM667" s="127" t="s">
        <v>6161</v>
      </c>
      <c r="AN667" s="127" t="s">
        <v>5749</v>
      </c>
      <c r="AP667" s="50">
        <v>1</v>
      </c>
      <c r="AQ667" s="50">
        <v>0</v>
      </c>
      <c r="AR667" s="50">
        <v>0</v>
      </c>
      <c r="AS667" s="50">
        <v>0</v>
      </c>
      <c r="AU667" s="226">
        <v>0</v>
      </c>
      <c r="AV667" s="17">
        <f t="shared" si="100"/>
        <v>1</v>
      </c>
      <c r="AW667" s="50" t="str">
        <f>"{s_taskKillNpc, {"&amp;L667&amp;","&amp;N667&amp;","&amp;S667&amp;","&amp;U667&amp;"}}"</f>
        <v>{s_taskKillNpc, {60086,60086,10093,55}}</v>
      </c>
    </row>
    <row r="668" spans="1:49" s="50" customFormat="1" ht="108" x14ac:dyDescent="0.15">
      <c r="A668" s="9">
        <v>1901</v>
      </c>
      <c r="C668" s="50" t="s">
        <v>2105</v>
      </c>
      <c r="D668" s="50">
        <v>1</v>
      </c>
      <c r="E668" s="50">
        <v>0</v>
      </c>
      <c r="F668" s="50">
        <v>7</v>
      </c>
      <c r="G668" s="120">
        <v>200</v>
      </c>
      <c r="H668" s="50">
        <v>200</v>
      </c>
      <c r="I668" s="17">
        <v>0</v>
      </c>
      <c r="J668" s="120">
        <v>1891</v>
      </c>
      <c r="K668" s="50">
        <v>0</v>
      </c>
      <c r="L668" s="50">
        <v>60086</v>
      </c>
      <c r="M668" s="50" t="s">
        <v>232</v>
      </c>
      <c r="N668" s="50">
        <v>60088</v>
      </c>
      <c r="O668" s="50" t="s">
        <v>229</v>
      </c>
      <c r="Q668" s="121"/>
      <c r="R668" s="121"/>
      <c r="S668" s="121"/>
      <c r="T668" s="121"/>
      <c r="U668" s="50">
        <v>1</v>
      </c>
      <c r="V668" s="50">
        <v>1</v>
      </c>
      <c r="W668" s="122">
        <v>53</v>
      </c>
      <c r="Z668" s="123">
        <v>16000</v>
      </c>
      <c r="AB668" s="124"/>
      <c r="AC668" s="124"/>
      <c r="AF668" s="50" t="s">
        <v>1436</v>
      </c>
      <c r="AG668" s="50" t="s">
        <v>403</v>
      </c>
      <c r="AH668" s="50" t="s">
        <v>4673</v>
      </c>
      <c r="AL668" s="120">
        <v>0</v>
      </c>
      <c r="AM668" s="127" t="s">
        <v>1307</v>
      </c>
      <c r="AN668" s="127" t="s">
        <v>5750</v>
      </c>
      <c r="AP668" s="50">
        <v>1</v>
      </c>
      <c r="AQ668" s="50">
        <v>0</v>
      </c>
      <c r="AR668" s="50">
        <v>0</v>
      </c>
      <c r="AS668" s="50">
        <v>0</v>
      </c>
      <c r="AU668" s="226">
        <v>0</v>
      </c>
      <c r="AV668" s="17">
        <f t="shared" si="100"/>
        <v>1</v>
      </c>
      <c r="AW668" s="50" t="str">
        <f>"{s_taskTalk,{"&amp;L668&amp;","&amp;N668&amp;"}}"</f>
        <v>{s_taskTalk,{60086,60088}}</v>
      </c>
    </row>
    <row r="669" spans="1:49" s="50" customFormat="1" ht="84" x14ac:dyDescent="0.15">
      <c r="A669" s="9">
        <v>1911</v>
      </c>
      <c r="C669" s="50" t="s">
        <v>2106</v>
      </c>
      <c r="D669" s="50">
        <v>1</v>
      </c>
      <c r="E669" s="50">
        <v>0</v>
      </c>
      <c r="F669" s="50">
        <v>7</v>
      </c>
      <c r="G669" s="120">
        <v>200</v>
      </c>
      <c r="H669" s="50">
        <v>200</v>
      </c>
      <c r="I669" s="17">
        <v>0</v>
      </c>
      <c r="J669" s="120">
        <v>1901</v>
      </c>
      <c r="K669" s="50">
        <v>0</v>
      </c>
      <c r="L669" s="50">
        <v>60088</v>
      </c>
      <c r="M669" s="50" t="s">
        <v>229</v>
      </c>
      <c r="N669" s="50">
        <v>60088</v>
      </c>
      <c r="O669" s="50" t="s">
        <v>229</v>
      </c>
      <c r="Q669" s="121"/>
      <c r="R669" s="121"/>
      <c r="S669" s="121">
        <v>10094</v>
      </c>
      <c r="T669" s="121"/>
      <c r="U669" s="50">
        <v>55</v>
      </c>
      <c r="V669" s="50">
        <v>0</v>
      </c>
      <c r="W669" s="122">
        <v>53</v>
      </c>
      <c r="Z669" s="123">
        <v>65000</v>
      </c>
      <c r="AA669" s="50">
        <v>30</v>
      </c>
      <c r="AB669" s="124"/>
      <c r="AC669" s="124"/>
      <c r="AF669" s="50" t="s">
        <v>1438</v>
      </c>
      <c r="AG669" s="50" t="s">
        <v>4674</v>
      </c>
      <c r="AH669" s="50" t="s">
        <v>7223</v>
      </c>
      <c r="AI669" s="50" t="s">
        <v>70</v>
      </c>
      <c r="AL669" s="120">
        <v>0</v>
      </c>
      <c r="AM669" s="127" t="s">
        <v>6162</v>
      </c>
      <c r="AN669" s="127" t="s">
        <v>5751</v>
      </c>
      <c r="AP669" s="50">
        <v>1</v>
      </c>
      <c r="AQ669" s="50">
        <v>0</v>
      </c>
      <c r="AR669" s="50">
        <v>0</v>
      </c>
      <c r="AS669" s="50">
        <v>0</v>
      </c>
      <c r="AU669" s="226">
        <v>0</v>
      </c>
      <c r="AV669" s="17">
        <f t="shared" si="100"/>
        <v>1</v>
      </c>
      <c r="AW669" s="50" t="str">
        <f>"{s_taskKillNpc, {"&amp;L669&amp;","&amp;N669&amp;","&amp;S669&amp;","&amp;U669&amp;"}}"</f>
        <v>{s_taskKillNpc, {60088,60088,10094,55}}</v>
      </c>
    </row>
    <row r="670" spans="1:49" s="50" customFormat="1" ht="72" x14ac:dyDescent="0.15">
      <c r="A670" s="9">
        <v>1921</v>
      </c>
      <c r="C670" s="50" t="s">
        <v>2107</v>
      </c>
      <c r="D670" s="50">
        <v>1</v>
      </c>
      <c r="E670" s="50">
        <v>0</v>
      </c>
      <c r="F670" s="50">
        <v>7</v>
      </c>
      <c r="G670" s="120">
        <v>200</v>
      </c>
      <c r="H670" s="50">
        <v>200</v>
      </c>
      <c r="I670" s="17">
        <v>0</v>
      </c>
      <c r="J670" s="120">
        <v>1911</v>
      </c>
      <c r="K670" s="50">
        <v>0</v>
      </c>
      <c r="L670" s="50">
        <v>60088</v>
      </c>
      <c r="M670" s="50" t="s">
        <v>229</v>
      </c>
      <c r="N670" s="50">
        <v>60087</v>
      </c>
      <c r="O670" s="50" t="s">
        <v>228</v>
      </c>
      <c r="Q670" s="121"/>
      <c r="R670" s="121"/>
      <c r="S670" s="121"/>
      <c r="T670" s="121"/>
      <c r="U670" s="50">
        <v>1</v>
      </c>
      <c r="V670" s="50">
        <v>1</v>
      </c>
      <c r="W670" s="122">
        <v>53</v>
      </c>
      <c r="Z670" s="123">
        <v>16000</v>
      </c>
      <c r="AB670" s="124"/>
      <c r="AC670" s="124"/>
      <c r="AF670" s="50" t="s">
        <v>31</v>
      </c>
      <c r="AG670" s="50" t="s">
        <v>540</v>
      </c>
      <c r="AH670" s="50" t="s">
        <v>71</v>
      </c>
      <c r="AL670" s="120">
        <v>0</v>
      </c>
      <c r="AM670" s="127" t="s">
        <v>1308</v>
      </c>
      <c r="AN670" s="127" t="s">
        <v>5752</v>
      </c>
      <c r="AP670" s="50">
        <v>1</v>
      </c>
      <c r="AQ670" s="50">
        <v>0</v>
      </c>
      <c r="AR670" s="50">
        <v>0</v>
      </c>
      <c r="AS670" s="50">
        <v>0</v>
      </c>
      <c r="AU670" s="226">
        <v>0</v>
      </c>
      <c r="AV670" s="17">
        <f t="shared" si="100"/>
        <v>1</v>
      </c>
      <c r="AW670" s="50" t="str">
        <f>"{s_taskTalk,{"&amp;L670&amp;","&amp;N670&amp;"}}"</f>
        <v>{s_taskTalk,{60088,60087}}</v>
      </c>
    </row>
    <row r="671" spans="1:49" s="50" customFormat="1" ht="84.75" thickBot="1" x14ac:dyDescent="0.2">
      <c r="A671" s="9">
        <v>1931</v>
      </c>
      <c r="C671" s="50" t="s">
        <v>2108</v>
      </c>
      <c r="D671" s="50">
        <v>1</v>
      </c>
      <c r="E671" s="50">
        <v>0</v>
      </c>
      <c r="F671" s="50">
        <v>7</v>
      </c>
      <c r="G671" s="120">
        <v>200</v>
      </c>
      <c r="H671" s="50">
        <v>200</v>
      </c>
      <c r="I671" s="17">
        <v>0</v>
      </c>
      <c r="J671" s="120">
        <v>1921</v>
      </c>
      <c r="K671" s="50">
        <v>0</v>
      </c>
      <c r="L671" s="50">
        <v>60087</v>
      </c>
      <c r="M671" s="50" t="s">
        <v>228</v>
      </c>
      <c r="N671" s="50">
        <v>60087</v>
      </c>
      <c r="O671" s="50" t="s">
        <v>228</v>
      </c>
      <c r="Q671" s="121"/>
      <c r="R671" s="121"/>
      <c r="S671" s="121">
        <v>10095</v>
      </c>
      <c r="T671" s="121"/>
      <c r="U671" s="50">
        <v>55</v>
      </c>
      <c r="V671" s="50">
        <v>0</v>
      </c>
      <c r="W671" s="122">
        <v>55</v>
      </c>
      <c r="Z671" s="123">
        <v>70000</v>
      </c>
      <c r="AB671" s="124"/>
      <c r="AC671" s="124">
        <v>500</v>
      </c>
      <c r="AF671" s="50" t="s">
        <v>5</v>
      </c>
      <c r="AG671" s="50" t="s">
        <v>72</v>
      </c>
      <c r="AH671" s="50" t="s">
        <v>73</v>
      </c>
      <c r="AI671" s="50" t="s">
        <v>74</v>
      </c>
      <c r="AL671" s="120">
        <v>0</v>
      </c>
      <c r="AM671" s="127" t="s">
        <v>6163</v>
      </c>
      <c r="AN671" s="127" t="s">
        <v>5753</v>
      </c>
      <c r="AP671" s="50">
        <v>1</v>
      </c>
      <c r="AQ671" s="50">
        <v>0</v>
      </c>
      <c r="AR671" s="50">
        <v>0</v>
      </c>
      <c r="AS671" s="50">
        <v>0</v>
      </c>
      <c r="AU671" s="226">
        <v>0</v>
      </c>
      <c r="AV671" s="17">
        <f t="shared" si="100"/>
        <v>1</v>
      </c>
      <c r="AW671" s="50" t="str">
        <f>"{s_taskKillNpc, {"&amp;L671&amp;","&amp;N671&amp;","&amp;S671&amp;","&amp;U671&amp;"}}"</f>
        <v>{s_taskKillNpc, {60087,60087,10095,55}}</v>
      </c>
    </row>
    <row r="672" spans="1:49" s="50" customFormat="1" ht="84.75" thickBot="1" x14ac:dyDescent="0.2">
      <c r="A672" s="9">
        <v>1941</v>
      </c>
      <c r="C672" s="50" t="s">
        <v>2109</v>
      </c>
      <c r="D672" s="50">
        <v>1</v>
      </c>
      <c r="E672" s="50">
        <v>0</v>
      </c>
      <c r="F672" s="50">
        <v>7</v>
      </c>
      <c r="G672" s="120">
        <v>200</v>
      </c>
      <c r="H672" s="50">
        <v>200</v>
      </c>
      <c r="I672" s="17">
        <v>0</v>
      </c>
      <c r="J672" s="120">
        <v>1931</v>
      </c>
      <c r="K672" s="50">
        <v>0</v>
      </c>
      <c r="L672" s="50">
        <v>60087</v>
      </c>
      <c r="M672" s="50" t="s">
        <v>228</v>
      </c>
      <c r="N672" s="50">
        <v>60086</v>
      </c>
      <c r="O672" s="50" t="s">
        <v>232</v>
      </c>
      <c r="Q672" s="121"/>
      <c r="R672" s="121"/>
      <c r="S672" s="121"/>
      <c r="T672" s="121"/>
      <c r="U672" s="50">
        <v>1</v>
      </c>
      <c r="V672" s="50">
        <v>1</v>
      </c>
      <c r="W672" s="122">
        <v>55</v>
      </c>
      <c r="Z672" s="123">
        <v>16000</v>
      </c>
      <c r="AB672" s="124"/>
      <c r="AC672" s="124"/>
      <c r="AD672" s="175"/>
      <c r="AF672" s="50" t="s">
        <v>6865</v>
      </c>
      <c r="AG672" s="50" t="s">
        <v>6866</v>
      </c>
      <c r="AH672" s="50" t="s">
        <v>656</v>
      </c>
      <c r="AL672" s="120">
        <v>0</v>
      </c>
      <c r="AM672" s="127" t="s">
        <v>1309</v>
      </c>
      <c r="AN672" s="127" t="s">
        <v>5754</v>
      </c>
      <c r="AP672" s="50">
        <v>1</v>
      </c>
      <c r="AQ672" s="50">
        <v>0</v>
      </c>
      <c r="AR672" s="50">
        <v>0</v>
      </c>
      <c r="AS672" s="50">
        <v>0</v>
      </c>
      <c r="AU672" s="226">
        <v>0</v>
      </c>
      <c r="AV672" s="17">
        <f t="shared" si="100"/>
        <v>1</v>
      </c>
      <c r="AW672" s="50" t="str">
        <f>"{s_taskTalk,{"&amp;L672&amp;","&amp;N672&amp;"}}"</f>
        <v>{s_taskTalk,{60087,60086}}</v>
      </c>
    </row>
    <row r="673" spans="1:49" s="175" customFormat="1" ht="96.75" thickBot="1" x14ac:dyDescent="0.2">
      <c r="A673" s="382">
        <v>1951</v>
      </c>
      <c r="C673" s="175" t="s">
        <v>2110</v>
      </c>
      <c r="D673" s="175">
        <v>2</v>
      </c>
      <c r="E673" s="175">
        <v>0</v>
      </c>
      <c r="F673" s="175">
        <v>7</v>
      </c>
      <c r="G673" s="120">
        <v>200</v>
      </c>
      <c r="H673" s="175">
        <v>200</v>
      </c>
      <c r="I673" s="17">
        <v>0</v>
      </c>
      <c r="J673" s="383">
        <v>1961</v>
      </c>
      <c r="K673" s="175">
        <v>0</v>
      </c>
      <c r="L673" s="175">
        <v>60086</v>
      </c>
      <c r="M673" s="175" t="s">
        <v>232</v>
      </c>
      <c r="N673" s="175">
        <v>60086</v>
      </c>
      <c r="O673" s="175" t="s">
        <v>232</v>
      </c>
      <c r="Q673" s="360"/>
      <c r="R673" s="360"/>
      <c r="S673" s="360"/>
      <c r="T673" s="360"/>
      <c r="U673" s="175">
        <v>60</v>
      </c>
      <c r="V673" s="175">
        <v>0</v>
      </c>
      <c r="W673" s="122">
        <v>58</v>
      </c>
      <c r="Z673" s="384">
        <v>20000</v>
      </c>
      <c r="AB673" s="385"/>
      <c r="AC673" s="385"/>
      <c r="AF673" s="175" t="s">
        <v>657</v>
      </c>
      <c r="AG673" s="175" t="s">
        <v>658</v>
      </c>
      <c r="AH673" s="175" t="s">
        <v>75</v>
      </c>
      <c r="AI673" s="175" t="s">
        <v>7</v>
      </c>
      <c r="AL673" s="383">
        <v>0</v>
      </c>
      <c r="AM673" s="175" t="s">
        <v>593</v>
      </c>
      <c r="AN673" s="175" t="s">
        <v>5755</v>
      </c>
      <c r="AO673" s="175" t="s">
        <v>6</v>
      </c>
      <c r="AP673" s="175">
        <v>1</v>
      </c>
      <c r="AQ673" s="175">
        <v>0</v>
      </c>
      <c r="AR673" s="50">
        <v>0</v>
      </c>
      <c r="AS673" s="50">
        <v>0</v>
      </c>
      <c r="AU673" s="226">
        <v>0</v>
      </c>
      <c r="AV673" s="17">
        <f t="shared" si="100"/>
        <v>0</v>
      </c>
      <c r="AW673" s="50" t="str">
        <f>"{s_taskTalk,{"&amp;L673&amp;","&amp;N673&amp;"}}"</f>
        <v>{s_taskTalk,{60086,60086}}</v>
      </c>
    </row>
    <row r="674" spans="1:49" s="50" customFormat="1" ht="84" x14ac:dyDescent="0.15">
      <c r="A674" s="9">
        <v>1961</v>
      </c>
      <c r="C674" s="50" t="s">
        <v>2111</v>
      </c>
      <c r="D674" s="50">
        <v>2</v>
      </c>
      <c r="E674" s="50">
        <v>0</v>
      </c>
      <c r="F674" s="50">
        <v>7</v>
      </c>
      <c r="G674" s="120">
        <v>200</v>
      </c>
      <c r="H674" s="50">
        <v>200</v>
      </c>
      <c r="I674" s="17">
        <v>0</v>
      </c>
      <c r="J674" s="120">
        <v>1951</v>
      </c>
      <c r="K674" s="50">
        <v>0</v>
      </c>
      <c r="L674" s="50">
        <v>60086</v>
      </c>
      <c r="M674" s="50" t="s">
        <v>232</v>
      </c>
      <c r="N674" s="50">
        <v>60085</v>
      </c>
      <c r="O674" s="50" t="s">
        <v>231</v>
      </c>
      <c r="Q674" s="121"/>
      <c r="R674" s="121"/>
      <c r="S674" s="121"/>
      <c r="T674" s="121"/>
      <c r="U674" s="50">
        <v>1</v>
      </c>
      <c r="V674" s="50">
        <v>1</v>
      </c>
      <c r="W674" s="122">
        <v>58</v>
      </c>
      <c r="Z674" s="123">
        <v>20000</v>
      </c>
      <c r="AB674" s="124"/>
      <c r="AC674" s="124"/>
      <c r="AF674" s="50" t="s">
        <v>6867</v>
      </c>
      <c r="AG674" s="50" t="s">
        <v>404</v>
      </c>
      <c r="AH674" s="50" t="s">
        <v>405</v>
      </c>
      <c r="AL674" s="120">
        <v>0</v>
      </c>
      <c r="AM674" s="127" t="s">
        <v>1310</v>
      </c>
      <c r="AN674" s="127" t="s">
        <v>5756</v>
      </c>
      <c r="AP674" s="50">
        <v>1</v>
      </c>
      <c r="AQ674" s="50">
        <v>0</v>
      </c>
      <c r="AR674" s="50">
        <v>0</v>
      </c>
      <c r="AS674" s="50">
        <v>0</v>
      </c>
      <c r="AU674" s="226">
        <v>0</v>
      </c>
      <c r="AV674" s="17">
        <f t="shared" si="100"/>
        <v>0</v>
      </c>
      <c r="AW674" s="50" t="str">
        <f>"{s_taskTalk,{"&amp;L674&amp;","&amp;N674&amp;"}}"</f>
        <v>{s_taskTalk,{60086,60085}}</v>
      </c>
    </row>
    <row r="675" spans="1:49" s="50" customFormat="1" ht="96" x14ac:dyDescent="0.15">
      <c r="A675" s="9">
        <v>1971</v>
      </c>
      <c r="C675" s="50" t="s">
        <v>2112</v>
      </c>
      <c r="D675" s="50">
        <v>2</v>
      </c>
      <c r="E675" s="50">
        <v>0</v>
      </c>
      <c r="F675" s="50">
        <v>7</v>
      </c>
      <c r="G675" s="120">
        <v>200</v>
      </c>
      <c r="H675" s="50">
        <v>200</v>
      </c>
      <c r="I675" s="17">
        <v>0</v>
      </c>
      <c r="J675" s="120">
        <v>1961</v>
      </c>
      <c r="K675" s="50">
        <v>0</v>
      </c>
      <c r="L675" s="50">
        <v>60085</v>
      </c>
      <c r="M675" s="50" t="s">
        <v>231</v>
      </c>
      <c r="N675" s="50">
        <v>60086</v>
      </c>
      <c r="O675" s="50" t="s">
        <v>232</v>
      </c>
      <c r="Q675" s="121"/>
      <c r="R675" s="121"/>
      <c r="S675" s="121"/>
      <c r="T675" s="121"/>
      <c r="U675" s="50">
        <v>1</v>
      </c>
      <c r="V675" s="50">
        <v>1</v>
      </c>
      <c r="W675" s="122">
        <v>58</v>
      </c>
      <c r="Z675" s="123">
        <v>20000</v>
      </c>
      <c r="AB675" s="124"/>
      <c r="AC675" s="124"/>
      <c r="AF675" s="50" t="s">
        <v>4314</v>
      </c>
      <c r="AG675" s="50" t="s">
        <v>406</v>
      </c>
      <c r="AH675" s="50" t="s">
        <v>43</v>
      </c>
      <c r="AL675" s="120">
        <v>0</v>
      </c>
      <c r="AM675" s="127" t="s">
        <v>1311</v>
      </c>
      <c r="AN675" s="127" t="s">
        <v>5757</v>
      </c>
      <c r="AP675" s="50">
        <v>1</v>
      </c>
      <c r="AQ675" s="50">
        <v>0</v>
      </c>
      <c r="AR675" s="50">
        <v>0</v>
      </c>
      <c r="AS675" s="50">
        <v>0</v>
      </c>
      <c r="AU675" s="226">
        <v>0</v>
      </c>
      <c r="AV675" s="17">
        <f t="shared" si="100"/>
        <v>0</v>
      </c>
      <c r="AW675" s="50" t="str">
        <f>"{s_taskTalk,{"&amp;L675&amp;","&amp;N675&amp;"}}"</f>
        <v>{s_taskTalk,{60085,60086}}</v>
      </c>
    </row>
    <row r="676" spans="1:49" s="50" customFormat="1" ht="84" x14ac:dyDescent="0.15">
      <c r="A676" s="9">
        <v>1981</v>
      </c>
      <c r="C676" s="50" t="s">
        <v>2113</v>
      </c>
      <c r="D676" s="50">
        <v>2</v>
      </c>
      <c r="E676" s="50">
        <v>0</v>
      </c>
      <c r="F676" s="50">
        <v>7</v>
      </c>
      <c r="G676" s="120">
        <v>200</v>
      </c>
      <c r="H676" s="50">
        <v>200</v>
      </c>
      <c r="I676" s="17">
        <v>0</v>
      </c>
      <c r="J676" s="120">
        <v>1971</v>
      </c>
      <c r="K676" s="50">
        <v>0</v>
      </c>
      <c r="L676" s="50">
        <v>60086</v>
      </c>
      <c r="M676" s="50" t="s">
        <v>232</v>
      </c>
      <c r="N676" s="50">
        <v>60086</v>
      </c>
      <c r="O676" s="50" t="s">
        <v>232</v>
      </c>
      <c r="Q676" s="121"/>
      <c r="R676" s="121"/>
      <c r="S676" s="121">
        <v>10097</v>
      </c>
      <c r="T676" s="121"/>
      <c r="U676" s="50">
        <v>60</v>
      </c>
      <c r="V676" s="50">
        <v>0</v>
      </c>
      <c r="W676" s="122">
        <v>60</v>
      </c>
      <c r="Z676" s="123">
        <v>20000</v>
      </c>
      <c r="AB676" s="124"/>
      <c r="AC676" s="124"/>
      <c r="AF676" s="50" t="s">
        <v>4675</v>
      </c>
      <c r="AG676" s="50" t="s">
        <v>659</v>
      </c>
      <c r="AH676" s="50" t="s">
        <v>646</v>
      </c>
      <c r="AI676" s="50" t="s">
        <v>407</v>
      </c>
      <c r="AL676" s="120">
        <v>0</v>
      </c>
      <c r="AM676" s="127" t="s">
        <v>594</v>
      </c>
      <c r="AN676" s="127" t="s">
        <v>5758</v>
      </c>
      <c r="AP676" s="50">
        <v>1</v>
      </c>
      <c r="AQ676" s="50">
        <v>0</v>
      </c>
      <c r="AR676" s="50">
        <v>0</v>
      </c>
      <c r="AS676" s="50">
        <v>0</v>
      </c>
      <c r="AU676" s="226">
        <v>0</v>
      </c>
      <c r="AV676" s="17">
        <f t="shared" si="100"/>
        <v>0</v>
      </c>
      <c r="AW676" s="50" t="str">
        <f>"{s_taskKillNpc, {"&amp;L676&amp;","&amp;N676&amp;","&amp;S676&amp;","&amp;U676&amp;"}}"</f>
        <v>{s_taskKillNpc, {60086,60086,10097,60}}</v>
      </c>
    </row>
    <row r="677" spans="1:49" s="50" customFormat="1" ht="84" x14ac:dyDescent="0.15">
      <c r="A677" s="9">
        <v>1991</v>
      </c>
      <c r="C677" s="50" t="s">
        <v>2114</v>
      </c>
      <c r="D677" s="50">
        <v>2</v>
      </c>
      <c r="E677" s="50">
        <v>0</v>
      </c>
      <c r="F677" s="50">
        <v>7</v>
      </c>
      <c r="G677" s="120">
        <v>200</v>
      </c>
      <c r="H677" s="50">
        <v>200</v>
      </c>
      <c r="I677" s="17">
        <v>0</v>
      </c>
      <c r="J677" s="120">
        <v>1981</v>
      </c>
      <c r="K677" s="50">
        <v>0</v>
      </c>
      <c r="L677" s="50">
        <v>60086</v>
      </c>
      <c r="M677" s="50" t="s">
        <v>232</v>
      </c>
      <c r="N677" s="50">
        <v>60087</v>
      </c>
      <c r="O677" s="50" t="s">
        <v>228</v>
      </c>
      <c r="Q677" s="121"/>
      <c r="R677" s="121"/>
      <c r="S677" s="121"/>
      <c r="T677" s="121"/>
      <c r="U677" s="50">
        <v>1</v>
      </c>
      <c r="V677" s="50">
        <v>1</v>
      </c>
      <c r="W677" s="122">
        <v>60</v>
      </c>
      <c r="Z677" s="123">
        <v>20000</v>
      </c>
      <c r="AA677" s="50">
        <v>60</v>
      </c>
      <c r="AB677" s="124"/>
      <c r="AC677" s="124"/>
      <c r="AF677" s="50" t="s">
        <v>660</v>
      </c>
      <c r="AG677" s="50" t="s">
        <v>4676</v>
      </c>
      <c r="AH677" s="50" t="s">
        <v>408</v>
      </c>
      <c r="AL677" s="120">
        <v>0</v>
      </c>
      <c r="AM677" s="127" t="s">
        <v>1312</v>
      </c>
      <c r="AN677" s="127" t="s">
        <v>5759</v>
      </c>
      <c r="AP677" s="50">
        <v>1</v>
      </c>
      <c r="AQ677" s="50">
        <v>0</v>
      </c>
      <c r="AR677" s="50">
        <v>0</v>
      </c>
      <c r="AS677" s="50">
        <v>0</v>
      </c>
      <c r="AU677" s="226">
        <v>0</v>
      </c>
      <c r="AV677" s="17">
        <f t="shared" si="100"/>
        <v>0</v>
      </c>
      <c r="AW677" s="50" t="str">
        <f>"{s_taskTalk,{"&amp;L677&amp;","&amp;N677&amp;"}}"</f>
        <v>{s_taskTalk,{60086,60087}}</v>
      </c>
    </row>
    <row r="678" spans="1:49" s="50" customFormat="1" ht="72" x14ac:dyDescent="0.15">
      <c r="A678" s="9">
        <v>1992</v>
      </c>
      <c r="B678" s="127"/>
      <c r="C678" s="127" t="s">
        <v>2115</v>
      </c>
      <c r="D678" s="127">
        <v>1</v>
      </c>
      <c r="E678" s="127">
        <v>0</v>
      </c>
      <c r="F678" s="127">
        <v>7</v>
      </c>
      <c r="G678" s="120">
        <v>200</v>
      </c>
      <c r="H678" s="127">
        <v>200</v>
      </c>
      <c r="I678" s="17">
        <v>0</v>
      </c>
      <c r="J678" s="120">
        <v>1991</v>
      </c>
      <c r="K678" s="50">
        <v>0</v>
      </c>
      <c r="L678" s="127">
        <v>60087</v>
      </c>
      <c r="M678" s="127" t="s">
        <v>228</v>
      </c>
      <c r="N678" s="127">
        <v>60087</v>
      </c>
      <c r="O678" s="127" t="s">
        <v>1074</v>
      </c>
      <c r="P678" s="127"/>
      <c r="Q678" s="121">
        <v>70004</v>
      </c>
      <c r="R678" s="121"/>
      <c r="S678" s="121">
        <v>70004</v>
      </c>
      <c r="T678" s="121"/>
      <c r="U678" s="127">
        <v>1</v>
      </c>
      <c r="V678" s="127">
        <v>0</v>
      </c>
      <c r="W678" s="122">
        <v>60</v>
      </c>
      <c r="X678" s="127"/>
      <c r="Y678" s="127"/>
      <c r="Z678" s="123">
        <v>20000</v>
      </c>
      <c r="AA678" s="127"/>
      <c r="AB678" s="124"/>
      <c r="AC678" s="125"/>
      <c r="AD678" s="127"/>
      <c r="AE678" s="127"/>
      <c r="AF678" s="62" t="s">
        <v>4315</v>
      </c>
      <c r="AG678" s="62" t="s">
        <v>4366</v>
      </c>
      <c r="AH678" s="62" t="s">
        <v>4367</v>
      </c>
      <c r="AI678" s="62"/>
      <c r="AJ678" s="62"/>
      <c r="AK678" s="127"/>
      <c r="AL678" s="120">
        <v>0</v>
      </c>
      <c r="AM678" s="127" t="s">
        <v>1075</v>
      </c>
      <c r="AN678" s="127" t="s">
        <v>5760</v>
      </c>
      <c r="AO678" s="127"/>
      <c r="AP678" s="50">
        <v>1</v>
      </c>
      <c r="AQ678" s="50">
        <v>0</v>
      </c>
      <c r="AR678" s="50">
        <v>0</v>
      </c>
      <c r="AS678" s="50">
        <v>0</v>
      </c>
      <c r="AT678" s="127"/>
      <c r="AU678" s="226">
        <v>0</v>
      </c>
      <c r="AV678" s="17">
        <f t="shared" si="100"/>
        <v>1</v>
      </c>
      <c r="AW678" s="50" t="str">
        <f>"{s_taskTalk,{"&amp;L678&amp;","&amp;N678&amp;"}}"</f>
        <v>{s_taskTalk,{60087,60087}}</v>
      </c>
    </row>
    <row r="679" spans="1:49" s="50" customFormat="1" ht="108" x14ac:dyDescent="0.15">
      <c r="A679" s="9">
        <v>2001</v>
      </c>
      <c r="C679" s="50" t="s">
        <v>2116</v>
      </c>
      <c r="D679" s="50">
        <v>1</v>
      </c>
      <c r="E679" s="50">
        <v>0</v>
      </c>
      <c r="F679" s="50">
        <v>7</v>
      </c>
      <c r="G679" s="120">
        <v>200</v>
      </c>
      <c r="H679" s="50">
        <v>200</v>
      </c>
      <c r="I679" s="17">
        <v>0</v>
      </c>
      <c r="J679" s="120">
        <v>1991</v>
      </c>
      <c r="K679" s="50">
        <v>0</v>
      </c>
      <c r="L679" s="50">
        <v>60087</v>
      </c>
      <c r="M679" s="50" t="s">
        <v>228</v>
      </c>
      <c r="N679" s="50">
        <v>60086</v>
      </c>
      <c r="O679" s="50" t="s">
        <v>232</v>
      </c>
      <c r="Q679" s="121"/>
      <c r="R679" s="121"/>
      <c r="S679" s="121"/>
      <c r="T679" s="121"/>
      <c r="U679" s="50">
        <v>1</v>
      </c>
      <c r="V679" s="50">
        <v>1</v>
      </c>
      <c r="W679" s="122">
        <v>63</v>
      </c>
      <c r="Z679" s="123">
        <v>20000</v>
      </c>
      <c r="AB679" s="124"/>
      <c r="AC679" s="124"/>
      <c r="AF679" s="50" t="s">
        <v>4105</v>
      </c>
      <c r="AG679" s="50" t="s">
        <v>44</v>
      </c>
      <c r="AH679" s="50" t="s">
        <v>279</v>
      </c>
      <c r="AL679" s="120">
        <v>0</v>
      </c>
      <c r="AM679" s="127" t="s">
        <v>1313</v>
      </c>
      <c r="AN679" s="127" t="s">
        <v>5761</v>
      </c>
      <c r="AP679" s="50">
        <v>1</v>
      </c>
      <c r="AQ679" s="50">
        <v>0</v>
      </c>
      <c r="AR679" s="50">
        <v>0</v>
      </c>
      <c r="AS679" s="50">
        <v>0</v>
      </c>
      <c r="AU679" s="226">
        <v>0</v>
      </c>
      <c r="AV679" s="17">
        <f t="shared" si="100"/>
        <v>1</v>
      </c>
      <c r="AW679" s="50" t="str">
        <f>"{s_taskTalk,{"&amp;L679&amp;","&amp;N679&amp;"}}"</f>
        <v>{s_taskTalk,{60087,60086}}</v>
      </c>
    </row>
    <row r="680" spans="1:49" s="50" customFormat="1" ht="96" x14ac:dyDescent="0.15">
      <c r="A680" s="9">
        <v>2011</v>
      </c>
      <c r="C680" s="50" t="s">
        <v>2117</v>
      </c>
      <c r="D680" s="50">
        <v>1</v>
      </c>
      <c r="E680" s="50">
        <v>0</v>
      </c>
      <c r="F680" s="50">
        <v>7</v>
      </c>
      <c r="G680" s="120">
        <v>200</v>
      </c>
      <c r="H680" s="50">
        <v>200</v>
      </c>
      <c r="I680" s="17">
        <v>0</v>
      </c>
      <c r="J680" s="120">
        <v>2001</v>
      </c>
      <c r="K680" s="50">
        <v>0</v>
      </c>
      <c r="L680" s="50">
        <v>60086</v>
      </c>
      <c r="M680" s="50" t="s">
        <v>232</v>
      </c>
      <c r="N680" s="50">
        <v>60086</v>
      </c>
      <c r="O680" s="50" t="s">
        <v>232</v>
      </c>
      <c r="Q680" s="121"/>
      <c r="R680" s="121"/>
      <c r="S680" s="121">
        <v>10099</v>
      </c>
      <c r="T680" s="121"/>
      <c r="U680" s="50">
        <v>60</v>
      </c>
      <c r="V680" s="50">
        <v>0</v>
      </c>
      <c r="W680" s="122">
        <v>63</v>
      </c>
      <c r="Z680" s="123">
        <v>20000</v>
      </c>
      <c r="AA680" s="50">
        <v>150</v>
      </c>
      <c r="AB680" s="124"/>
      <c r="AC680" s="124"/>
      <c r="AF680" s="50" t="s">
        <v>409</v>
      </c>
      <c r="AG680" s="50" t="s">
        <v>661</v>
      </c>
      <c r="AH680" s="50" t="s">
        <v>662</v>
      </c>
      <c r="AI680" s="50" t="s">
        <v>410</v>
      </c>
      <c r="AL680" s="120">
        <v>0</v>
      </c>
      <c r="AM680" s="127" t="s">
        <v>6164</v>
      </c>
      <c r="AN680" s="127" t="s">
        <v>5762</v>
      </c>
      <c r="AP680" s="50">
        <v>1</v>
      </c>
      <c r="AQ680" s="50">
        <v>0</v>
      </c>
      <c r="AR680" s="50">
        <v>0</v>
      </c>
      <c r="AS680" s="50">
        <v>0</v>
      </c>
      <c r="AU680" s="226">
        <v>0</v>
      </c>
      <c r="AV680" s="17">
        <f t="shared" si="100"/>
        <v>1</v>
      </c>
      <c r="AW680" s="50" t="str">
        <f>"{s_taskKillNpc, {"&amp;L680&amp;","&amp;N680&amp;","&amp;S680&amp;","&amp;U680&amp;"}}"</f>
        <v>{s_taskKillNpc, {60086,60086,10099,60}}</v>
      </c>
    </row>
    <row r="681" spans="1:49" s="50" customFormat="1" ht="72" x14ac:dyDescent="0.15">
      <c r="A681" s="9">
        <v>2021</v>
      </c>
      <c r="C681" s="50" t="s">
        <v>2118</v>
      </c>
      <c r="D681" s="50">
        <v>1</v>
      </c>
      <c r="E681" s="50">
        <v>0</v>
      </c>
      <c r="F681" s="50">
        <v>7</v>
      </c>
      <c r="G681" s="120">
        <v>200</v>
      </c>
      <c r="H681" s="50">
        <v>200</v>
      </c>
      <c r="I681" s="17">
        <v>0</v>
      </c>
      <c r="J681" s="120">
        <v>2011</v>
      </c>
      <c r="K681" s="50">
        <v>0</v>
      </c>
      <c r="L681" s="50">
        <v>60086</v>
      </c>
      <c r="M681" s="50" t="s">
        <v>232</v>
      </c>
      <c r="N681" s="50">
        <v>60087</v>
      </c>
      <c r="O681" s="50" t="s">
        <v>228</v>
      </c>
      <c r="Q681" s="121"/>
      <c r="R681" s="121"/>
      <c r="S681" s="121"/>
      <c r="T681" s="121"/>
      <c r="U681" s="50">
        <v>1</v>
      </c>
      <c r="V681" s="50">
        <v>1</v>
      </c>
      <c r="W681" s="122">
        <v>63</v>
      </c>
      <c r="Z681" s="123">
        <v>20000</v>
      </c>
      <c r="AB681" s="124"/>
      <c r="AC681" s="124"/>
      <c r="AF681" s="50" t="s">
        <v>541</v>
      </c>
      <c r="AG681" s="50" t="s">
        <v>542</v>
      </c>
      <c r="AH681" s="50" t="s">
        <v>411</v>
      </c>
      <c r="AL681" s="120">
        <v>0</v>
      </c>
      <c r="AM681" s="127" t="s">
        <v>1314</v>
      </c>
      <c r="AN681" s="127" t="s">
        <v>5763</v>
      </c>
      <c r="AP681" s="50">
        <v>1</v>
      </c>
      <c r="AQ681" s="50">
        <v>0</v>
      </c>
      <c r="AR681" s="50">
        <v>0</v>
      </c>
      <c r="AS681" s="50">
        <v>0</v>
      </c>
      <c r="AU681" s="226">
        <v>0</v>
      </c>
      <c r="AV681" s="17">
        <f t="shared" si="100"/>
        <v>1</v>
      </c>
      <c r="AW681" s="50" t="str">
        <f>"{s_taskTalk,{"&amp;L681&amp;","&amp;N681&amp;"}}"</f>
        <v>{s_taskTalk,{60086,60087}}</v>
      </c>
    </row>
    <row r="682" spans="1:49" s="50" customFormat="1" ht="108" x14ac:dyDescent="0.15">
      <c r="A682" s="9">
        <v>2031</v>
      </c>
      <c r="C682" s="50" t="s">
        <v>2119</v>
      </c>
      <c r="D682" s="50">
        <v>1</v>
      </c>
      <c r="E682" s="50">
        <v>0</v>
      </c>
      <c r="F682" s="50">
        <v>7</v>
      </c>
      <c r="G682" s="120">
        <v>200</v>
      </c>
      <c r="H682" s="50">
        <v>200</v>
      </c>
      <c r="I682" s="17">
        <v>0</v>
      </c>
      <c r="J682" s="120">
        <v>2021</v>
      </c>
      <c r="K682" s="50">
        <v>0</v>
      </c>
      <c r="L682" s="50">
        <v>60087</v>
      </c>
      <c r="M682" s="50" t="s">
        <v>228</v>
      </c>
      <c r="N682" s="50">
        <v>60088</v>
      </c>
      <c r="O682" s="50" t="s">
        <v>229</v>
      </c>
      <c r="Q682" s="121"/>
      <c r="R682" s="121"/>
      <c r="S682" s="121"/>
      <c r="T682" s="121"/>
      <c r="U682" s="50">
        <v>1</v>
      </c>
      <c r="V682" s="50">
        <v>1</v>
      </c>
      <c r="W682" s="122">
        <v>65</v>
      </c>
      <c r="Z682" s="123">
        <v>20000</v>
      </c>
      <c r="AB682" s="124"/>
      <c r="AC682" s="124"/>
      <c r="AF682" s="50" t="s">
        <v>672</v>
      </c>
      <c r="AG682" s="50" t="s">
        <v>663</v>
      </c>
      <c r="AH682" s="50" t="s">
        <v>543</v>
      </c>
      <c r="AL682" s="120">
        <v>0</v>
      </c>
      <c r="AM682" s="127" t="s">
        <v>1315</v>
      </c>
      <c r="AN682" s="127" t="s">
        <v>5764</v>
      </c>
      <c r="AP682" s="50">
        <v>1</v>
      </c>
      <c r="AQ682" s="50">
        <v>0</v>
      </c>
      <c r="AR682" s="50">
        <v>0</v>
      </c>
      <c r="AS682" s="50">
        <v>0</v>
      </c>
      <c r="AU682" s="226">
        <v>0</v>
      </c>
      <c r="AV682" s="17">
        <f t="shared" si="100"/>
        <v>1</v>
      </c>
      <c r="AW682" s="50" t="str">
        <f>"{s_taskTalk,{"&amp;L682&amp;","&amp;N682&amp;"}}"</f>
        <v>{s_taskTalk,{60087,60088}}</v>
      </c>
    </row>
    <row r="683" spans="1:49" s="50" customFormat="1" ht="84" x14ac:dyDescent="0.15">
      <c r="A683" s="9">
        <v>2041</v>
      </c>
      <c r="C683" s="50" t="s">
        <v>2120</v>
      </c>
      <c r="D683" s="50">
        <v>1</v>
      </c>
      <c r="E683" s="50">
        <v>0</v>
      </c>
      <c r="F683" s="50">
        <v>7</v>
      </c>
      <c r="G683" s="120">
        <v>200</v>
      </c>
      <c r="H683" s="50">
        <v>200</v>
      </c>
      <c r="I683" s="17">
        <v>0</v>
      </c>
      <c r="J683" s="120">
        <v>2031</v>
      </c>
      <c r="K683" s="50">
        <v>0</v>
      </c>
      <c r="L683" s="50">
        <v>60088</v>
      </c>
      <c r="M683" s="50" t="s">
        <v>229</v>
      </c>
      <c r="N683" s="50">
        <v>60088</v>
      </c>
      <c r="O683" s="50" t="s">
        <v>229</v>
      </c>
      <c r="Q683" s="121"/>
      <c r="R683" s="121"/>
      <c r="S683" s="121">
        <v>10098</v>
      </c>
      <c r="T683" s="121"/>
      <c r="U683" s="50">
        <v>60</v>
      </c>
      <c r="V683" s="50">
        <v>0</v>
      </c>
      <c r="W683" s="122">
        <v>65</v>
      </c>
      <c r="Z683" s="123">
        <v>20000</v>
      </c>
      <c r="AB683" s="124"/>
      <c r="AC683" s="124"/>
      <c r="AF683" s="50" t="s">
        <v>412</v>
      </c>
      <c r="AG683" s="50" t="s">
        <v>413</v>
      </c>
      <c r="AH683" s="50" t="s">
        <v>414</v>
      </c>
      <c r="AI683" s="50" t="s">
        <v>45</v>
      </c>
      <c r="AL683" s="120">
        <v>0</v>
      </c>
      <c r="AM683" s="127" t="s">
        <v>6165</v>
      </c>
      <c r="AN683" s="127" t="s">
        <v>5765</v>
      </c>
      <c r="AP683" s="50">
        <v>1</v>
      </c>
      <c r="AQ683" s="50">
        <v>0</v>
      </c>
      <c r="AR683" s="50">
        <v>0</v>
      </c>
      <c r="AS683" s="50">
        <v>0</v>
      </c>
      <c r="AU683" s="226">
        <v>0</v>
      </c>
      <c r="AV683" s="17">
        <f t="shared" si="100"/>
        <v>1</v>
      </c>
      <c r="AW683" s="50" t="str">
        <f>"{s_taskKillNpc, {"&amp;L683&amp;","&amp;N683&amp;","&amp;S683&amp;","&amp;U683&amp;"}}"</f>
        <v>{s_taskKillNpc, {60088,60088,10098,60}}</v>
      </c>
    </row>
    <row r="684" spans="1:49" s="50" customFormat="1" ht="72" x14ac:dyDescent="0.15">
      <c r="A684" s="9">
        <v>2051</v>
      </c>
      <c r="C684" s="50" t="s">
        <v>2121</v>
      </c>
      <c r="D684" s="50">
        <v>1</v>
      </c>
      <c r="E684" s="50">
        <v>0</v>
      </c>
      <c r="F684" s="50">
        <v>7</v>
      </c>
      <c r="G684" s="120">
        <v>200</v>
      </c>
      <c r="H684" s="50">
        <v>200</v>
      </c>
      <c r="I684" s="17">
        <v>0</v>
      </c>
      <c r="J684" s="120">
        <v>2041</v>
      </c>
      <c r="K684" s="50">
        <v>0</v>
      </c>
      <c r="L684" s="50">
        <v>60088</v>
      </c>
      <c r="M684" s="50" t="s">
        <v>229</v>
      </c>
      <c r="N684" s="50">
        <v>60087</v>
      </c>
      <c r="O684" s="50" t="s">
        <v>228</v>
      </c>
      <c r="Q684" s="121"/>
      <c r="R684" s="121"/>
      <c r="S684" s="121"/>
      <c r="T684" s="121"/>
      <c r="U684" s="50">
        <v>1</v>
      </c>
      <c r="V684" s="50">
        <v>1</v>
      </c>
      <c r="W684" s="122">
        <v>65</v>
      </c>
      <c r="Z684" s="123">
        <v>20000</v>
      </c>
      <c r="AB684" s="124"/>
      <c r="AC684" s="124"/>
      <c r="AF684" s="50" t="s">
        <v>32</v>
      </c>
      <c r="AG684" s="50" t="s">
        <v>544</v>
      </c>
      <c r="AH684" s="50" t="s">
        <v>415</v>
      </c>
      <c r="AL684" s="120">
        <v>0</v>
      </c>
      <c r="AM684" s="127" t="s">
        <v>1316</v>
      </c>
      <c r="AN684" s="127" t="s">
        <v>5766</v>
      </c>
      <c r="AP684" s="50">
        <v>1</v>
      </c>
      <c r="AQ684" s="50">
        <v>0</v>
      </c>
      <c r="AR684" s="50">
        <v>0</v>
      </c>
      <c r="AS684" s="50">
        <v>0</v>
      </c>
      <c r="AU684" s="226">
        <v>0</v>
      </c>
      <c r="AV684" s="17">
        <f t="shared" si="100"/>
        <v>1</v>
      </c>
      <c r="AW684" s="50" t="str">
        <f t="shared" ref="AW684:AW708" si="102">"{s_taskTalk,{"&amp;L684&amp;","&amp;N684&amp;"}}"</f>
        <v>{s_taskTalk,{60088,60087}}</v>
      </c>
    </row>
    <row r="685" spans="1:49" s="50" customFormat="1" ht="84" x14ac:dyDescent="0.15">
      <c r="A685" s="9">
        <v>2061</v>
      </c>
      <c r="C685" s="50" t="s">
        <v>2122</v>
      </c>
      <c r="D685" s="50">
        <v>1</v>
      </c>
      <c r="E685" s="50">
        <v>0</v>
      </c>
      <c r="F685" s="50">
        <v>7</v>
      </c>
      <c r="G685" s="120">
        <v>200</v>
      </c>
      <c r="H685" s="50">
        <v>200</v>
      </c>
      <c r="I685" s="17">
        <v>0</v>
      </c>
      <c r="J685" s="120">
        <v>2051</v>
      </c>
      <c r="K685" s="50">
        <v>0</v>
      </c>
      <c r="L685" s="50">
        <v>60087</v>
      </c>
      <c r="M685" s="50" t="s">
        <v>228</v>
      </c>
      <c r="N685" s="50">
        <v>60086</v>
      </c>
      <c r="O685" s="50" t="s">
        <v>232</v>
      </c>
      <c r="Q685" s="121"/>
      <c r="R685" s="121"/>
      <c r="S685" s="121"/>
      <c r="T685" s="121"/>
      <c r="U685" s="50">
        <v>1</v>
      </c>
      <c r="V685" s="50">
        <v>1</v>
      </c>
      <c r="W685" s="122">
        <v>68</v>
      </c>
      <c r="Z685" s="123">
        <v>20000</v>
      </c>
      <c r="AB685" s="124"/>
      <c r="AC685" s="124"/>
      <c r="AF685" s="50" t="s">
        <v>33</v>
      </c>
      <c r="AG685" s="50" t="s">
        <v>416</v>
      </c>
      <c r="AH685" s="50" t="s">
        <v>417</v>
      </c>
      <c r="AL685" s="120">
        <v>0</v>
      </c>
      <c r="AM685" s="127" t="s">
        <v>1317</v>
      </c>
      <c r="AN685" s="127" t="s">
        <v>5767</v>
      </c>
      <c r="AP685" s="50">
        <v>1</v>
      </c>
      <c r="AQ685" s="50">
        <v>0</v>
      </c>
      <c r="AR685" s="50">
        <v>0</v>
      </c>
      <c r="AS685" s="50">
        <v>0</v>
      </c>
      <c r="AU685" s="226">
        <v>0</v>
      </c>
      <c r="AV685" s="17">
        <f t="shared" si="100"/>
        <v>1</v>
      </c>
      <c r="AW685" s="50" t="str">
        <f t="shared" si="102"/>
        <v>{s_taskTalk,{60087,60086}}</v>
      </c>
    </row>
    <row r="686" spans="1:49" s="387" customFormat="1" ht="96" x14ac:dyDescent="0.15">
      <c r="A686" s="386">
        <v>2071</v>
      </c>
      <c r="C686" s="387" t="s">
        <v>2123</v>
      </c>
      <c r="D686" s="387">
        <v>1</v>
      </c>
      <c r="E686" s="387">
        <v>0</v>
      </c>
      <c r="F686" s="387">
        <v>7</v>
      </c>
      <c r="G686" s="120">
        <v>200</v>
      </c>
      <c r="H686" s="387">
        <v>200</v>
      </c>
      <c r="I686" s="17">
        <v>0</v>
      </c>
      <c r="J686" s="388">
        <v>2061</v>
      </c>
      <c r="K686" s="387">
        <v>0</v>
      </c>
      <c r="L686" s="387">
        <v>60086</v>
      </c>
      <c r="M686" s="387" t="s">
        <v>232</v>
      </c>
      <c r="N686" s="387">
        <v>60086</v>
      </c>
      <c r="O686" s="387" t="s">
        <v>232</v>
      </c>
      <c r="Q686" s="389"/>
      <c r="R686" s="389"/>
      <c r="S686" s="389"/>
      <c r="T686" s="389"/>
      <c r="U686" s="387">
        <v>42</v>
      </c>
      <c r="V686" s="387">
        <v>0</v>
      </c>
      <c r="W686" s="390">
        <v>68</v>
      </c>
      <c r="Z686" s="391">
        <v>20000</v>
      </c>
      <c r="AB686" s="392"/>
      <c r="AC686" s="392"/>
      <c r="AF686" s="387" t="s">
        <v>418</v>
      </c>
      <c r="AG686" s="387" t="s">
        <v>419</v>
      </c>
      <c r="AH686" s="387" t="s">
        <v>420</v>
      </c>
      <c r="AI686" s="387" t="s">
        <v>421</v>
      </c>
      <c r="AL686" s="388">
        <v>0</v>
      </c>
      <c r="AM686" s="393" t="s">
        <v>595</v>
      </c>
      <c r="AN686" s="393" t="s">
        <v>5768</v>
      </c>
      <c r="AO686" s="387" t="s">
        <v>422</v>
      </c>
      <c r="AP686" s="387">
        <v>1</v>
      </c>
      <c r="AQ686" s="387">
        <v>0</v>
      </c>
      <c r="AR686" s="50">
        <v>0</v>
      </c>
      <c r="AS686" s="50">
        <v>0</v>
      </c>
      <c r="AU686" s="226">
        <v>0</v>
      </c>
      <c r="AV686" s="17">
        <f t="shared" si="100"/>
        <v>1</v>
      </c>
      <c r="AW686" s="387" t="str">
        <f t="shared" si="102"/>
        <v>{s_taskTalk,{60086,60086}}</v>
      </c>
    </row>
    <row r="687" spans="1:49" s="387" customFormat="1" ht="108" x14ac:dyDescent="0.15">
      <c r="A687" s="386">
        <v>2081</v>
      </c>
      <c r="C687" s="387" t="s">
        <v>2124</v>
      </c>
      <c r="D687" s="387">
        <v>1</v>
      </c>
      <c r="E687" s="387">
        <v>0</v>
      </c>
      <c r="F687" s="387">
        <v>7</v>
      </c>
      <c r="G687" s="120">
        <v>200</v>
      </c>
      <c r="H687" s="387">
        <v>200</v>
      </c>
      <c r="I687" s="17">
        <v>0</v>
      </c>
      <c r="J687" s="388">
        <v>2071</v>
      </c>
      <c r="K687" s="387">
        <v>0</v>
      </c>
      <c r="L687" s="387">
        <v>60086</v>
      </c>
      <c r="M687" s="387" t="s">
        <v>232</v>
      </c>
      <c r="N687" s="387">
        <v>60086</v>
      </c>
      <c r="O687" s="387" t="s">
        <v>232</v>
      </c>
      <c r="Q687" s="389"/>
      <c r="R687" s="389"/>
      <c r="S687" s="389"/>
      <c r="T687" s="389"/>
      <c r="U687" s="387">
        <v>42</v>
      </c>
      <c r="V687" s="387">
        <v>0</v>
      </c>
      <c r="W687" s="390">
        <v>70</v>
      </c>
      <c r="Z687" s="391">
        <v>20000</v>
      </c>
      <c r="AA687" s="387">
        <v>150</v>
      </c>
      <c r="AB687" s="392"/>
      <c r="AC687" s="392"/>
      <c r="AF687" s="387" t="s">
        <v>423</v>
      </c>
      <c r="AG687" s="387" t="s">
        <v>46</v>
      </c>
      <c r="AH687" s="387" t="s">
        <v>424</v>
      </c>
      <c r="AI687" s="387" t="s">
        <v>47</v>
      </c>
      <c r="AL687" s="388">
        <v>0</v>
      </c>
      <c r="AM687" s="393" t="s">
        <v>596</v>
      </c>
      <c r="AN687" s="393" t="s">
        <v>5769</v>
      </c>
      <c r="AO687" s="387" t="s">
        <v>425</v>
      </c>
      <c r="AP687" s="387">
        <v>1</v>
      </c>
      <c r="AQ687" s="387">
        <v>0</v>
      </c>
      <c r="AR687" s="50">
        <v>0</v>
      </c>
      <c r="AS687" s="50">
        <v>0</v>
      </c>
      <c r="AU687" s="226">
        <v>0</v>
      </c>
      <c r="AV687" s="17">
        <f t="shared" si="100"/>
        <v>1</v>
      </c>
      <c r="AW687" s="387" t="str">
        <f t="shared" si="102"/>
        <v>{s_taskTalk,{60086,60086}}</v>
      </c>
    </row>
    <row r="688" spans="1:49" s="387" customFormat="1" ht="120" x14ac:dyDescent="0.15">
      <c r="A688" s="386">
        <v>2091</v>
      </c>
      <c r="C688" s="387" t="s">
        <v>2125</v>
      </c>
      <c r="D688" s="387">
        <v>1</v>
      </c>
      <c r="E688" s="387">
        <v>0</v>
      </c>
      <c r="F688" s="387">
        <v>7</v>
      </c>
      <c r="G688" s="120">
        <v>200</v>
      </c>
      <c r="H688" s="387">
        <v>200</v>
      </c>
      <c r="I688" s="17">
        <v>0</v>
      </c>
      <c r="J688" s="388">
        <v>2081</v>
      </c>
      <c r="K688" s="387">
        <v>0</v>
      </c>
      <c r="L688" s="387">
        <v>60086</v>
      </c>
      <c r="M688" s="387" t="s">
        <v>232</v>
      </c>
      <c r="N688" s="387">
        <v>60087</v>
      </c>
      <c r="O688" s="387" t="s">
        <v>228</v>
      </c>
      <c r="Q688" s="389"/>
      <c r="R688" s="389"/>
      <c r="S688" s="389"/>
      <c r="T688" s="389"/>
      <c r="U688" s="387">
        <v>1</v>
      </c>
      <c r="V688" s="387">
        <v>1</v>
      </c>
      <c r="W688" s="390">
        <v>70</v>
      </c>
      <c r="Z688" s="391">
        <v>20000</v>
      </c>
      <c r="AB688" s="392"/>
      <c r="AC688" s="392"/>
      <c r="AF688" s="387" t="s">
        <v>664</v>
      </c>
      <c r="AG688" s="387" t="s">
        <v>4150</v>
      </c>
      <c r="AH688" s="387" t="s">
        <v>545</v>
      </c>
      <c r="AL688" s="388">
        <v>0</v>
      </c>
      <c r="AM688" s="393" t="s">
        <v>1318</v>
      </c>
      <c r="AN688" s="393" t="s">
        <v>5770</v>
      </c>
      <c r="AP688" s="387">
        <v>1</v>
      </c>
      <c r="AQ688" s="387">
        <v>0</v>
      </c>
      <c r="AR688" s="50">
        <v>0</v>
      </c>
      <c r="AS688" s="50">
        <v>0</v>
      </c>
      <c r="AU688" s="226">
        <v>0</v>
      </c>
      <c r="AV688" s="17">
        <f t="shared" si="100"/>
        <v>1</v>
      </c>
      <c r="AW688" s="387" t="str">
        <f t="shared" si="102"/>
        <v>{s_taskTalk,{60086,60087}}</v>
      </c>
    </row>
    <row r="689" spans="1:49" s="387" customFormat="1" ht="72" x14ac:dyDescent="0.15">
      <c r="A689" s="386">
        <v>2101</v>
      </c>
      <c r="C689" s="387" t="s">
        <v>2126</v>
      </c>
      <c r="D689" s="387">
        <v>1</v>
      </c>
      <c r="E689" s="387">
        <v>0</v>
      </c>
      <c r="F689" s="387">
        <v>7</v>
      </c>
      <c r="G689" s="120">
        <v>200</v>
      </c>
      <c r="H689" s="387">
        <v>200</v>
      </c>
      <c r="I689" s="17">
        <v>0</v>
      </c>
      <c r="J689" s="388">
        <v>2091</v>
      </c>
      <c r="K689" s="387">
        <v>0</v>
      </c>
      <c r="L689" s="387">
        <v>60087</v>
      </c>
      <c r="M689" s="387" t="s">
        <v>228</v>
      </c>
      <c r="N689" s="387">
        <v>60086</v>
      </c>
      <c r="O689" s="387" t="s">
        <v>232</v>
      </c>
      <c r="Q689" s="389"/>
      <c r="R689" s="389"/>
      <c r="S689" s="389"/>
      <c r="T689" s="389"/>
      <c r="U689" s="387">
        <v>1</v>
      </c>
      <c r="V689" s="387">
        <v>1</v>
      </c>
      <c r="W689" s="390">
        <v>70</v>
      </c>
      <c r="Z689" s="391">
        <v>20000</v>
      </c>
      <c r="AB689" s="392"/>
      <c r="AC689" s="392"/>
      <c r="AF689" s="387" t="s">
        <v>34</v>
      </c>
      <c r="AG689" s="387" t="s">
        <v>4677</v>
      </c>
      <c r="AH689" s="387" t="s">
        <v>665</v>
      </c>
      <c r="AL689" s="388">
        <v>0</v>
      </c>
      <c r="AM689" s="393" t="s">
        <v>1319</v>
      </c>
      <c r="AN689" s="393" t="s">
        <v>5771</v>
      </c>
      <c r="AP689" s="387">
        <v>1</v>
      </c>
      <c r="AQ689" s="387">
        <v>0</v>
      </c>
      <c r="AR689" s="50">
        <v>0</v>
      </c>
      <c r="AS689" s="50">
        <v>0</v>
      </c>
      <c r="AU689" s="226">
        <v>0</v>
      </c>
      <c r="AV689" s="17">
        <f t="shared" si="100"/>
        <v>1</v>
      </c>
      <c r="AW689" s="387" t="str">
        <f t="shared" si="102"/>
        <v>{s_taskTalk,{60087,60086}}</v>
      </c>
    </row>
    <row r="690" spans="1:49" s="387" customFormat="1" ht="84" x14ac:dyDescent="0.15">
      <c r="A690" s="386">
        <v>2111</v>
      </c>
      <c r="C690" s="387" t="s">
        <v>2127</v>
      </c>
      <c r="D690" s="387">
        <v>1</v>
      </c>
      <c r="E690" s="387">
        <v>0</v>
      </c>
      <c r="F690" s="387">
        <v>7</v>
      </c>
      <c r="G690" s="120">
        <v>200</v>
      </c>
      <c r="H690" s="387">
        <v>200</v>
      </c>
      <c r="I690" s="17">
        <v>0</v>
      </c>
      <c r="J690" s="388">
        <v>2101</v>
      </c>
      <c r="K690" s="387">
        <v>0</v>
      </c>
      <c r="L690" s="387">
        <v>60086</v>
      </c>
      <c r="M690" s="387" t="s">
        <v>232</v>
      </c>
      <c r="N690" s="387">
        <v>60086</v>
      </c>
      <c r="O690" s="387" t="s">
        <v>232</v>
      </c>
      <c r="Q690" s="389"/>
      <c r="R690" s="389"/>
      <c r="S690" s="389"/>
      <c r="T690" s="389"/>
      <c r="U690" s="387">
        <v>60</v>
      </c>
      <c r="V690" s="387">
        <v>0</v>
      </c>
      <c r="W690" s="390">
        <v>73</v>
      </c>
      <c r="Z690" s="391">
        <v>20000</v>
      </c>
      <c r="AB690" s="392"/>
      <c r="AC690" s="392"/>
      <c r="AF690" s="387" t="s">
        <v>426</v>
      </c>
      <c r="AG690" s="387" t="s">
        <v>427</v>
      </c>
      <c r="AH690" s="387" t="s">
        <v>428</v>
      </c>
      <c r="AI690" s="387" t="s">
        <v>429</v>
      </c>
      <c r="AL690" s="388">
        <v>0</v>
      </c>
      <c r="AM690" s="393" t="s">
        <v>6166</v>
      </c>
      <c r="AN690" s="393" t="s">
        <v>5772</v>
      </c>
      <c r="AP690" s="387">
        <v>1</v>
      </c>
      <c r="AQ690" s="387">
        <v>0</v>
      </c>
      <c r="AR690" s="50">
        <v>0</v>
      </c>
      <c r="AS690" s="50">
        <v>0</v>
      </c>
      <c r="AU690" s="226">
        <v>0</v>
      </c>
      <c r="AV690" s="17">
        <f t="shared" si="100"/>
        <v>1</v>
      </c>
      <c r="AW690" s="387" t="str">
        <f t="shared" si="102"/>
        <v>{s_taskTalk,{60086,60086}}</v>
      </c>
    </row>
    <row r="691" spans="1:49" s="387" customFormat="1" ht="96" x14ac:dyDescent="0.15">
      <c r="A691" s="386">
        <v>2121</v>
      </c>
      <c r="C691" s="387" t="s">
        <v>4678</v>
      </c>
      <c r="D691" s="387">
        <v>1</v>
      </c>
      <c r="E691" s="387">
        <v>0</v>
      </c>
      <c r="F691" s="387">
        <v>7</v>
      </c>
      <c r="G691" s="120">
        <v>200</v>
      </c>
      <c r="H691" s="387">
        <v>200</v>
      </c>
      <c r="I691" s="17">
        <v>0</v>
      </c>
      <c r="J691" s="388">
        <v>2111</v>
      </c>
      <c r="K691" s="387">
        <v>0</v>
      </c>
      <c r="L691" s="387">
        <v>60086</v>
      </c>
      <c r="M691" s="387" t="s">
        <v>232</v>
      </c>
      <c r="N691" s="387">
        <v>60087</v>
      </c>
      <c r="O691" s="387" t="s">
        <v>228</v>
      </c>
      <c r="Q691" s="389"/>
      <c r="R691" s="389"/>
      <c r="S691" s="389"/>
      <c r="T691" s="389"/>
      <c r="U691" s="387">
        <v>1</v>
      </c>
      <c r="V691" s="387">
        <v>1</v>
      </c>
      <c r="W691" s="390">
        <v>73</v>
      </c>
      <c r="Z691" s="391">
        <v>20000</v>
      </c>
      <c r="AB691" s="392"/>
      <c r="AC691" s="392"/>
      <c r="AF691" s="387" t="s">
        <v>4679</v>
      </c>
      <c r="AG691" s="387" t="s">
        <v>4680</v>
      </c>
      <c r="AH691" s="387" t="s">
        <v>4681</v>
      </c>
      <c r="AL691" s="388">
        <v>0</v>
      </c>
      <c r="AM691" s="393" t="s">
        <v>1320</v>
      </c>
      <c r="AN691" s="393" t="s">
        <v>5773</v>
      </c>
      <c r="AP691" s="387">
        <v>1</v>
      </c>
      <c r="AQ691" s="387">
        <v>0</v>
      </c>
      <c r="AR691" s="50">
        <v>0</v>
      </c>
      <c r="AS691" s="50">
        <v>0</v>
      </c>
      <c r="AU691" s="226">
        <v>0</v>
      </c>
      <c r="AV691" s="17">
        <f t="shared" si="100"/>
        <v>1</v>
      </c>
      <c r="AW691" s="387" t="str">
        <f t="shared" si="102"/>
        <v>{s_taskTalk,{60086,60087}}</v>
      </c>
    </row>
    <row r="692" spans="1:49" s="387" customFormat="1" ht="72" x14ac:dyDescent="0.15">
      <c r="A692" s="386">
        <v>2131</v>
      </c>
      <c r="C692" s="387" t="s">
        <v>2128</v>
      </c>
      <c r="D692" s="387">
        <v>1</v>
      </c>
      <c r="E692" s="387">
        <v>0</v>
      </c>
      <c r="F692" s="387">
        <v>7</v>
      </c>
      <c r="G692" s="120">
        <v>200</v>
      </c>
      <c r="H692" s="387">
        <v>200</v>
      </c>
      <c r="I692" s="17">
        <v>0</v>
      </c>
      <c r="J692" s="388">
        <v>2121</v>
      </c>
      <c r="K692" s="387">
        <v>0</v>
      </c>
      <c r="L692" s="387">
        <v>60087</v>
      </c>
      <c r="M692" s="387" t="s">
        <v>228</v>
      </c>
      <c r="N692" s="387">
        <v>60086</v>
      </c>
      <c r="O692" s="387" t="s">
        <v>232</v>
      </c>
      <c r="Q692" s="389"/>
      <c r="R692" s="389"/>
      <c r="S692" s="389"/>
      <c r="T692" s="389"/>
      <c r="U692" s="387">
        <v>1</v>
      </c>
      <c r="V692" s="387">
        <v>1</v>
      </c>
      <c r="W692" s="390">
        <v>73</v>
      </c>
      <c r="Z692" s="391">
        <v>20000</v>
      </c>
      <c r="AB692" s="392"/>
      <c r="AC692" s="392"/>
      <c r="AF692" s="387" t="s">
        <v>35</v>
      </c>
      <c r="AG692" s="387" t="s">
        <v>4682</v>
      </c>
      <c r="AH692" s="387" t="s">
        <v>430</v>
      </c>
      <c r="AL692" s="388">
        <v>0</v>
      </c>
      <c r="AM692" s="393" t="s">
        <v>1321</v>
      </c>
      <c r="AN692" s="393" t="s">
        <v>5774</v>
      </c>
      <c r="AP692" s="387">
        <v>1</v>
      </c>
      <c r="AQ692" s="387">
        <v>0</v>
      </c>
      <c r="AR692" s="50">
        <v>0</v>
      </c>
      <c r="AS692" s="50">
        <v>0</v>
      </c>
      <c r="AU692" s="226">
        <v>0</v>
      </c>
      <c r="AV692" s="17">
        <f t="shared" si="100"/>
        <v>1</v>
      </c>
      <c r="AW692" s="387" t="str">
        <f t="shared" si="102"/>
        <v>{s_taskTalk,{60087,60086}}</v>
      </c>
    </row>
    <row r="693" spans="1:49" s="387" customFormat="1" ht="96" x14ac:dyDescent="0.15">
      <c r="A693" s="386">
        <v>2141</v>
      </c>
      <c r="C693" s="387" t="s">
        <v>2129</v>
      </c>
      <c r="D693" s="387">
        <v>1</v>
      </c>
      <c r="E693" s="387">
        <v>0</v>
      </c>
      <c r="F693" s="387">
        <v>7</v>
      </c>
      <c r="G693" s="120">
        <v>200</v>
      </c>
      <c r="H693" s="387">
        <v>200</v>
      </c>
      <c r="I693" s="17">
        <v>0</v>
      </c>
      <c r="J693" s="388">
        <v>2131</v>
      </c>
      <c r="K693" s="387">
        <v>0</v>
      </c>
      <c r="L693" s="387">
        <v>60086</v>
      </c>
      <c r="M693" s="387" t="s">
        <v>232</v>
      </c>
      <c r="N693" s="387">
        <v>60086</v>
      </c>
      <c r="O693" s="387" t="s">
        <v>232</v>
      </c>
      <c r="Q693" s="389"/>
      <c r="R693" s="389"/>
      <c r="S693" s="389"/>
      <c r="T693" s="389"/>
      <c r="U693" s="387">
        <v>42</v>
      </c>
      <c r="V693" s="387">
        <v>0</v>
      </c>
      <c r="W693" s="390">
        <v>76</v>
      </c>
      <c r="Z693" s="391">
        <v>20000</v>
      </c>
      <c r="AA693" s="387">
        <v>100</v>
      </c>
      <c r="AB693" s="392"/>
      <c r="AC693" s="392"/>
      <c r="AF693" s="387" t="s">
        <v>4683</v>
      </c>
      <c r="AG693" s="387" t="s">
        <v>4684</v>
      </c>
      <c r="AH693" s="387" t="s">
        <v>431</v>
      </c>
      <c r="AI693" s="387" t="s">
        <v>4685</v>
      </c>
      <c r="AL693" s="388">
        <v>0</v>
      </c>
      <c r="AM693" s="393" t="s">
        <v>597</v>
      </c>
      <c r="AN693" s="393" t="s">
        <v>5775</v>
      </c>
      <c r="AO693" s="387" t="s">
        <v>432</v>
      </c>
      <c r="AP693" s="387">
        <v>1</v>
      </c>
      <c r="AQ693" s="387">
        <v>0</v>
      </c>
      <c r="AR693" s="50">
        <v>0</v>
      </c>
      <c r="AS693" s="50">
        <v>0</v>
      </c>
      <c r="AU693" s="226">
        <v>0</v>
      </c>
      <c r="AV693" s="17">
        <f t="shared" si="100"/>
        <v>1</v>
      </c>
      <c r="AW693" s="387" t="str">
        <f t="shared" si="102"/>
        <v>{s_taskTalk,{60086,60086}}</v>
      </c>
    </row>
    <row r="694" spans="1:49" s="387" customFormat="1" ht="72" x14ac:dyDescent="0.15">
      <c r="A694" s="386">
        <v>2142</v>
      </c>
      <c r="B694" s="393"/>
      <c r="C694" s="393" t="s">
        <v>2130</v>
      </c>
      <c r="D694" s="393">
        <v>1</v>
      </c>
      <c r="E694" s="393">
        <v>0</v>
      </c>
      <c r="F694" s="393">
        <v>7</v>
      </c>
      <c r="G694" s="120">
        <v>200</v>
      </c>
      <c r="H694" s="393">
        <v>200</v>
      </c>
      <c r="I694" s="17">
        <v>0</v>
      </c>
      <c r="J694" s="388">
        <v>2141</v>
      </c>
      <c r="K694" s="387">
        <v>0</v>
      </c>
      <c r="L694" s="387">
        <v>60086</v>
      </c>
      <c r="M694" s="387" t="s">
        <v>232</v>
      </c>
      <c r="N694" s="387">
        <v>60086</v>
      </c>
      <c r="O694" s="387" t="s">
        <v>232</v>
      </c>
      <c r="Q694" s="389">
        <v>70004</v>
      </c>
      <c r="R694" s="389"/>
      <c r="S694" s="389">
        <v>70004</v>
      </c>
      <c r="T694" s="389"/>
      <c r="U694" s="393">
        <v>10</v>
      </c>
      <c r="V694" s="393">
        <v>0</v>
      </c>
      <c r="W694" s="390">
        <v>76</v>
      </c>
      <c r="X694" s="393"/>
      <c r="Y694" s="393"/>
      <c r="Z694" s="391">
        <v>20000</v>
      </c>
      <c r="AA694" s="393"/>
      <c r="AB694" s="392"/>
      <c r="AC694" s="394"/>
      <c r="AD694" s="393"/>
      <c r="AE694" s="393"/>
      <c r="AF694" s="395" t="s">
        <v>3960</v>
      </c>
      <c r="AG694" s="395" t="s">
        <v>1076</v>
      </c>
      <c r="AH694" s="395" t="s">
        <v>1077</v>
      </c>
      <c r="AI694" s="395"/>
      <c r="AJ694" s="395"/>
      <c r="AK694" s="393"/>
      <c r="AL694" s="388">
        <v>0</v>
      </c>
      <c r="AM694" s="393" t="s">
        <v>1078</v>
      </c>
      <c r="AN694" s="393" t="s">
        <v>5776</v>
      </c>
      <c r="AO694" s="393"/>
      <c r="AP694" s="387">
        <v>1</v>
      </c>
      <c r="AQ694" s="387">
        <v>0</v>
      </c>
      <c r="AR694" s="50">
        <v>0</v>
      </c>
      <c r="AS694" s="50">
        <v>0</v>
      </c>
      <c r="AT694" s="393"/>
      <c r="AU694" s="226">
        <v>0</v>
      </c>
      <c r="AV694" s="17">
        <f t="shared" si="100"/>
        <v>1</v>
      </c>
      <c r="AW694" s="387" t="str">
        <f t="shared" si="102"/>
        <v>{s_taskTalk,{60086,60086}}</v>
      </c>
    </row>
    <row r="695" spans="1:49" s="387" customFormat="1" ht="156" x14ac:dyDescent="0.15">
      <c r="A695" s="386">
        <v>2151</v>
      </c>
      <c r="C695" s="387" t="s">
        <v>2131</v>
      </c>
      <c r="D695" s="387">
        <v>1</v>
      </c>
      <c r="E695" s="387">
        <v>0</v>
      </c>
      <c r="F695" s="387">
        <v>7</v>
      </c>
      <c r="G695" s="120">
        <v>200</v>
      </c>
      <c r="H695" s="387">
        <v>200</v>
      </c>
      <c r="I695" s="17">
        <v>0</v>
      </c>
      <c r="J695" s="388">
        <v>2141</v>
      </c>
      <c r="K695" s="387">
        <v>0</v>
      </c>
      <c r="L695" s="387">
        <v>60086</v>
      </c>
      <c r="M695" s="387" t="s">
        <v>232</v>
      </c>
      <c r="N695" s="387">
        <v>60087</v>
      </c>
      <c r="O695" s="387" t="s">
        <v>228</v>
      </c>
      <c r="Q695" s="389"/>
      <c r="R695" s="389"/>
      <c r="S695" s="389"/>
      <c r="T695" s="389"/>
      <c r="U695" s="387">
        <v>1</v>
      </c>
      <c r="V695" s="387">
        <v>1</v>
      </c>
      <c r="W695" s="390">
        <v>76</v>
      </c>
      <c r="Z695" s="391">
        <v>20000</v>
      </c>
      <c r="AB695" s="392"/>
      <c r="AC695" s="392"/>
      <c r="AF695" s="387" t="s">
        <v>36</v>
      </c>
      <c r="AG695" s="387" t="s">
        <v>1644</v>
      </c>
      <c r="AH695" s="387" t="s">
        <v>4686</v>
      </c>
      <c r="AL695" s="388">
        <v>0</v>
      </c>
      <c r="AM695" s="393" t="s">
        <v>1322</v>
      </c>
      <c r="AN695" s="393" t="s">
        <v>5777</v>
      </c>
      <c r="AP695" s="387">
        <v>1</v>
      </c>
      <c r="AQ695" s="387">
        <v>0</v>
      </c>
      <c r="AR695" s="50">
        <v>0</v>
      </c>
      <c r="AS695" s="50">
        <v>0</v>
      </c>
      <c r="AU695" s="226">
        <v>0</v>
      </c>
      <c r="AV695" s="17">
        <f t="shared" si="100"/>
        <v>1</v>
      </c>
      <c r="AW695" s="387" t="str">
        <f t="shared" si="102"/>
        <v>{s_taskTalk,{60086,60087}}</v>
      </c>
    </row>
    <row r="696" spans="1:49" s="387" customFormat="1" ht="84" x14ac:dyDescent="0.15">
      <c r="A696" s="386">
        <v>2161</v>
      </c>
      <c r="C696" s="387" t="s">
        <v>2132</v>
      </c>
      <c r="D696" s="387">
        <v>1</v>
      </c>
      <c r="E696" s="387">
        <v>0</v>
      </c>
      <c r="F696" s="387">
        <v>7</v>
      </c>
      <c r="G696" s="120">
        <v>200</v>
      </c>
      <c r="H696" s="387">
        <v>200</v>
      </c>
      <c r="I696" s="17">
        <v>0</v>
      </c>
      <c r="J696" s="388">
        <v>2151</v>
      </c>
      <c r="K696" s="387">
        <v>0</v>
      </c>
      <c r="L696" s="387">
        <v>60087</v>
      </c>
      <c r="M696" s="387" t="s">
        <v>228</v>
      </c>
      <c r="N696" s="387">
        <v>60087</v>
      </c>
      <c r="O696" s="387" t="s">
        <v>228</v>
      </c>
      <c r="Q696" s="389"/>
      <c r="R696" s="389"/>
      <c r="S696" s="389"/>
      <c r="T696" s="389"/>
      <c r="U696" s="387">
        <v>60</v>
      </c>
      <c r="V696" s="387">
        <v>0</v>
      </c>
      <c r="W696" s="390">
        <v>79</v>
      </c>
      <c r="Z696" s="391">
        <v>20000</v>
      </c>
      <c r="AA696" s="387">
        <v>100</v>
      </c>
      <c r="AB696" s="392"/>
      <c r="AC696" s="392"/>
      <c r="AF696" s="387" t="s">
        <v>4687</v>
      </c>
      <c r="AG696" s="387" t="s">
        <v>4688</v>
      </c>
      <c r="AH696" s="387" t="s">
        <v>48</v>
      </c>
      <c r="AI696" s="387" t="s">
        <v>49</v>
      </c>
      <c r="AL696" s="388">
        <v>0</v>
      </c>
      <c r="AM696" s="393" t="s">
        <v>598</v>
      </c>
      <c r="AN696" s="393" t="s">
        <v>5778</v>
      </c>
      <c r="AP696" s="387">
        <v>1</v>
      </c>
      <c r="AQ696" s="387">
        <v>0</v>
      </c>
      <c r="AR696" s="50">
        <v>0</v>
      </c>
      <c r="AS696" s="50">
        <v>0</v>
      </c>
      <c r="AU696" s="226">
        <v>0</v>
      </c>
      <c r="AV696" s="17">
        <f t="shared" si="100"/>
        <v>1</v>
      </c>
      <c r="AW696" s="387" t="str">
        <f t="shared" si="102"/>
        <v>{s_taskTalk,{60087,60087}}</v>
      </c>
    </row>
    <row r="697" spans="1:49" s="387" customFormat="1" ht="96" x14ac:dyDescent="0.15">
      <c r="A697" s="386">
        <v>2171</v>
      </c>
      <c r="C697" s="387" t="s">
        <v>2133</v>
      </c>
      <c r="D697" s="387">
        <v>1</v>
      </c>
      <c r="E697" s="387">
        <v>0</v>
      </c>
      <c r="F697" s="387">
        <v>7</v>
      </c>
      <c r="G697" s="120">
        <v>200</v>
      </c>
      <c r="H697" s="387">
        <v>200</v>
      </c>
      <c r="I697" s="17">
        <v>0</v>
      </c>
      <c r="J697" s="388">
        <v>2161</v>
      </c>
      <c r="K697" s="387">
        <v>0</v>
      </c>
      <c r="L697" s="387">
        <v>60087</v>
      </c>
      <c r="M697" s="387" t="s">
        <v>228</v>
      </c>
      <c r="N697" s="387">
        <v>60088</v>
      </c>
      <c r="O697" s="387" t="s">
        <v>229</v>
      </c>
      <c r="Q697" s="389"/>
      <c r="R697" s="389"/>
      <c r="S697" s="389"/>
      <c r="T697" s="389"/>
      <c r="U697" s="387">
        <v>1</v>
      </c>
      <c r="V697" s="387">
        <v>1</v>
      </c>
      <c r="W697" s="390">
        <v>79</v>
      </c>
      <c r="Z697" s="391">
        <v>20000</v>
      </c>
      <c r="AB697" s="392"/>
      <c r="AC697" s="392"/>
      <c r="AF697" s="387" t="s">
        <v>546</v>
      </c>
      <c r="AG697" s="387" t="s">
        <v>50</v>
      </c>
      <c r="AH697" s="387" t="s">
        <v>51</v>
      </c>
      <c r="AL697" s="388">
        <v>0</v>
      </c>
      <c r="AM697" s="393" t="s">
        <v>1323</v>
      </c>
      <c r="AN697" s="393" t="s">
        <v>5779</v>
      </c>
      <c r="AP697" s="387">
        <v>1</v>
      </c>
      <c r="AQ697" s="387">
        <v>0</v>
      </c>
      <c r="AR697" s="50">
        <v>0</v>
      </c>
      <c r="AS697" s="50">
        <v>0</v>
      </c>
      <c r="AU697" s="226">
        <v>0</v>
      </c>
      <c r="AV697" s="17">
        <f t="shared" ref="AV697:AV760" si="103">IF(D697 = 1,1,0)</f>
        <v>1</v>
      </c>
      <c r="AW697" s="387" t="str">
        <f t="shared" si="102"/>
        <v>{s_taskTalk,{60087,60088}}</v>
      </c>
    </row>
    <row r="698" spans="1:49" s="387" customFormat="1" ht="84" x14ac:dyDescent="0.15">
      <c r="A698" s="386">
        <v>2181</v>
      </c>
      <c r="C698" s="387" t="s">
        <v>2134</v>
      </c>
      <c r="D698" s="387">
        <v>1</v>
      </c>
      <c r="E698" s="387">
        <v>0</v>
      </c>
      <c r="F698" s="387">
        <v>7</v>
      </c>
      <c r="G698" s="120">
        <v>200</v>
      </c>
      <c r="H698" s="387">
        <v>200</v>
      </c>
      <c r="I698" s="17">
        <v>0</v>
      </c>
      <c r="J698" s="388">
        <v>2171</v>
      </c>
      <c r="K698" s="387">
        <v>0</v>
      </c>
      <c r="L698" s="387">
        <v>60088</v>
      </c>
      <c r="M698" s="387" t="s">
        <v>229</v>
      </c>
      <c r="N698" s="387">
        <v>60088</v>
      </c>
      <c r="O698" s="387" t="s">
        <v>229</v>
      </c>
      <c r="Q698" s="389"/>
      <c r="R698" s="389"/>
      <c r="S698" s="389"/>
      <c r="T698" s="389"/>
      <c r="U698" s="387">
        <v>60</v>
      </c>
      <c r="V698" s="387">
        <v>0</v>
      </c>
      <c r="W698" s="390">
        <v>81</v>
      </c>
      <c r="Z698" s="391">
        <v>20000</v>
      </c>
      <c r="AB698" s="392"/>
      <c r="AC698" s="392"/>
      <c r="AF698" s="387" t="s">
        <v>8</v>
      </c>
      <c r="AG698" s="387" t="s">
        <v>9</v>
      </c>
      <c r="AH698" s="387" t="s">
        <v>52</v>
      </c>
      <c r="AI698" s="387" t="s">
        <v>53</v>
      </c>
      <c r="AL698" s="388">
        <v>0</v>
      </c>
      <c r="AM698" s="393" t="s">
        <v>599</v>
      </c>
      <c r="AN698" s="393" t="s">
        <v>5780</v>
      </c>
      <c r="AP698" s="387">
        <v>1</v>
      </c>
      <c r="AQ698" s="387">
        <v>0</v>
      </c>
      <c r="AR698" s="50">
        <v>0</v>
      </c>
      <c r="AS698" s="50">
        <v>0</v>
      </c>
      <c r="AU698" s="226">
        <v>0</v>
      </c>
      <c r="AV698" s="17">
        <f t="shared" si="103"/>
        <v>1</v>
      </c>
      <c r="AW698" s="387" t="str">
        <f t="shared" si="102"/>
        <v>{s_taskTalk,{60088,60088}}</v>
      </c>
    </row>
    <row r="699" spans="1:49" s="387" customFormat="1" ht="96" x14ac:dyDescent="0.15">
      <c r="A699" s="386">
        <v>2191</v>
      </c>
      <c r="C699" s="387" t="s">
        <v>2135</v>
      </c>
      <c r="D699" s="387">
        <v>1</v>
      </c>
      <c r="E699" s="387">
        <v>0</v>
      </c>
      <c r="F699" s="387">
        <v>7</v>
      </c>
      <c r="G699" s="120">
        <v>200</v>
      </c>
      <c r="H699" s="387">
        <v>200</v>
      </c>
      <c r="I699" s="17">
        <v>0</v>
      </c>
      <c r="J699" s="388">
        <v>2181</v>
      </c>
      <c r="K699" s="387">
        <v>0</v>
      </c>
      <c r="L699" s="387">
        <v>60088</v>
      </c>
      <c r="M699" s="387" t="s">
        <v>229</v>
      </c>
      <c r="N699" s="387">
        <v>60087</v>
      </c>
      <c r="O699" s="387" t="s">
        <v>228</v>
      </c>
      <c r="Q699" s="389"/>
      <c r="R699" s="389"/>
      <c r="S699" s="389"/>
      <c r="T699" s="389"/>
      <c r="U699" s="387">
        <v>1</v>
      </c>
      <c r="V699" s="387">
        <v>1</v>
      </c>
      <c r="W699" s="390">
        <v>81</v>
      </c>
      <c r="Z699" s="391">
        <v>20000</v>
      </c>
      <c r="AB699" s="392"/>
      <c r="AC699" s="392"/>
      <c r="AF699" s="387" t="s">
        <v>37</v>
      </c>
      <c r="AG699" s="387" t="s">
        <v>54</v>
      </c>
      <c r="AH699" s="387" t="s">
        <v>290</v>
      </c>
      <c r="AL699" s="388">
        <v>0</v>
      </c>
      <c r="AM699" s="393" t="s">
        <v>1324</v>
      </c>
      <c r="AN699" s="393" t="s">
        <v>5781</v>
      </c>
      <c r="AP699" s="387">
        <v>1</v>
      </c>
      <c r="AQ699" s="387">
        <v>0</v>
      </c>
      <c r="AR699" s="50">
        <v>0</v>
      </c>
      <c r="AS699" s="50">
        <v>0</v>
      </c>
      <c r="AU699" s="226">
        <v>0</v>
      </c>
      <c r="AV699" s="17">
        <f t="shared" si="103"/>
        <v>1</v>
      </c>
      <c r="AW699" s="387" t="str">
        <f t="shared" si="102"/>
        <v>{s_taskTalk,{60088,60087}}</v>
      </c>
    </row>
    <row r="700" spans="1:49" s="387" customFormat="1" ht="96" x14ac:dyDescent="0.15">
      <c r="A700" s="386">
        <v>2201</v>
      </c>
      <c r="C700" s="387" t="s">
        <v>2136</v>
      </c>
      <c r="D700" s="387">
        <v>1</v>
      </c>
      <c r="E700" s="387">
        <v>0</v>
      </c>
      <c r="F700" s="387">
        <v>7</v>
      </c>
      <c r="G700" s="120">
        <v>200</v>
      </c>
      <c r="H700" s="387">
        <v>200</v>
      </c>
      <c r="I700" s="17">
        <v>0</v>
      </c>
      <c r="J700" s="388">
        <v>2191</v>
      </c>
      <c r="K700" s="387">
        <v>0</v>
      </c>
      <c r="L700" s="387">
        <v>60087</v>
      </c>
      <c r="M700" s="387" t="s">
        <v>228</v>
      </c>
      <c r="N700" s="387">
        <v>60088</v>
      </c>
      <c r="O700" s="387" t="s">
        <v>229</v>
      </c>
      <c r="Q700" s="389"/>
      <c r="R700" s="389"/>
      <c r="S700" s="389"/>
      <c r="T700" s="389"/>
      <c r="U700" s="387">
        <v>1</v>
      </c>
      <c r="V700" s="387">
        <v>1</v>
      </c>
      <c r="W700" s="390">
        <v>84</v>
      </c>
      <c r="Z700" s="391">
        <v>20000</v>
      </c>
      <c r="AB700" s="392"/>
      <c r="AC700" s="392"/>
      <c r="AF700" s="387" t="s">
        <v>38</v>
      </c>
      <c r="AG700" s="387" t="s">
        <v>55</v>
      </c>
      <c r="AH700" s="387" t="s">
        <v>56</v>
      </c>
      <c r="AL700" s="388">
        <v>0</v>
      </c>
      <c r="AM700" s="393" t="s">
        <v>1325</v>
      </c>
      <c r="AN700" s="393" t="s">
        <v>5782</v>
      </c>
      <c r="AP700" s="387">
        <v>1</v>
      </c>
      <c r="AQ700" s="387">
        <v>0</v>
      </c>
      <c r="AR700" s="50">
        <v>0</v>
      </c>
      <c r="AS700" s="50">
        <v>0</v>
      </c>
      <c r="AU700" s="226">
        <v>0</v>
      </c>
      <c r="AV700" s="17">
        <f t="shared" si="103"/>
        <v>1</v>
      </c>
      <c r="AW700" s="387" t="str">
        <f t="shared" si="102"/>
        <v>{s_taskTalk,{60087,60088}}</v>
      </c>
    </row>
    <row r="701" spans="1:49" s="387" customFormat="1" ht="84" x14ac:dyDescent="0.15">
      <c r="A701" s="386">
        <v>2211</v>
      </c>
      <c r="C701" s="387" t="s">
        <v>2137</v>
      </c>
      <c r="D701" s="387">
        <v>1</v>
      </c>
      <c r="E701" s="387">
        <v>0</v>
      </c>
      <c r="F701" s="387">
        <v>7</v>
      </c>
      <c r="G701" s="120">
        <v>200</v>
      </c>
      <c r="H701" s="387">
        <v>200</v>
      </c>
      <c r="I701" s="17">
        <v>0</v>
      </c>
      <c r="J701" s="388">
        <v>2201</v>
      </c>
      <c r="K701" s="387">
        <v>0</v>
      </c>
      <c r="L701" s="387">
        <v>60088</v>
      </c>
      <c r="M701" s="387" t="s">
        <v>229</v>
      </c>
      <c r="N701" s="387">
        <v>60088</v>
      </c>
      <c r="O701" s="387" t="s">
        <v>229</v>
      </c>
      <c r="Q701" s="389">
        <f>L701</f>
        <v>60088</v>
      </c>
      <c r="R701" s="389"/>
      <c r="S701" s="389" t="str">
        <f>M701</f>
        <v>托奇</v>
      </c>
      <c r="T701" s="389"/>
      <c r="U701" s="387">
        <v>60</v>
      </c>
      <c r="V701" s="387">
        <v>0</v>
      </c>
      <c r="W701" s="390">
        <v>84</v>
      </c>
      <c r="Z701" s="391">
        <v>20000</v>
      </c>
      <c r="AA701" s="387">
        <v>200</v>
      </c>
      <c r="AB701" s="392"/>
      <c r="AC701" s="392"/>
      <c r="AF701" s="387" t="s">
        <v>547</v>
      </c>
      <c r="AG701" s="387" t="s">
        <v>548</v>
      </c>
      <c r="AH701" s="387" t="s">
        <v>280</v>
      </c>
      <c r="AI701" s="387" t="s">
        <v>57</v>
      </c>
      <c r="AL701" s="388">
        <v>0</v>
      </c>
      <c r="AM701" s="393" t="s">
        <v>600</v>
      </c>
      <c r="AN701" s="393" t="s">
        <v>5783</v>
      </c>
      <c r="AP701" s="387">
        <v>1</v>
      </c>
      <c r="AQ701" s="387">
        <v>0</v>
      </c>
      <c r="AR701" s="50">
        <v>0</v>
      </c>
      <c r="AS701" s="50">
        <v>0</v>
      </c>
      <c r="AU701" s="226">
        <v>0</v>
      </c>
      <c r="AV701" s="17">
        <f t="shared" si="103"/>
        <v>1</v>
      </c>
      <c r="AW701" s="387" t="str">
        <f t="shared" si="102"/>
        <v>{s_taskTalk,{60088,60088}}</v>
      </c>
    </row>
    <row r="702" spans="1:49" s="25" customFormat="1" ht="72" x14ac:dyDescent="0.15">
      <c r="A702" s="9">
        <v>4471</v>
      </c>
      <c r="C702" s="25" t="s">
        <v>4382</v>
      </c>
      <c r="D702" s="25">
        <v>1</v>
      </c>
      <c r="E702" s="25">
        <v>0</v>
      </c>
      <c r="F702" s="25">
        <v>7</v>
      </c>
      <c r="G702" s="120">
        <v>200</v>
      </c>
      <c r="H702" s="25">
        <v>200</v>
      </c>
      <c r="I702" s="17">
        <v>0</v>
      </c>
      <c r="J702" s="396">
        <v>0</v>
      </c>
      <c r="K702" s="25">
        <v>0</v>
      </c>
      <c r="L702" s="25">
        <v>60086</v>
      </c>
      <c r="M702" s="25" t="s">
        <v>232</v>
      </c>
      <c r="N702" s="25">
        <v>60559</v>
      </c>
      <c r="O702" s="25" t="s">
        <v>1467</v>
      </c>
      <c r="U702" s="25">
        <v>1</v>
      </c>
      <c r="V702" s="25">
        <v>1</v>
      </c>
      <c r="W702" s="25">
        <v>58</v>
      </c>
      <c r="Z702" s="25">
        <v>24000</v>
      </c>
      <c r="AF702" s="25" t="s">
        <v>4383</v>
      </c>
      <c r="AG702" s="25" t="s">
        <v>4384</v>
      </c>
      <c r="AH702" s="25" t="s">
        <v>4385</v>
      </c>
      <c r="AL702" s="396">
        <v>0</v>
      </c>
      <c r="AM702" s="25" t="s">
        <v>7224</v>
      </c>
      <c r="AN702" s="25" t="s">
        <v>5784</v>
      </c>
      <c r="AP702" s="25">
        <v>1</v>
      </c>
      <c r="AQ702" s="25">
        <v>0</v>
      </c>
      <c r="AR702" s="50">
        <v>0</v>
      </c>
      <c r="AS702" s="50">
        <v>0</v>
      </c>
      <c r="AU702" s="226">
        <v>0</v>
      </c>
      <c r="AV702" s="17">
        <f t="shared" si="103"/>
        <v>1</v>
      </c>
      <c r="AW702" s="50" t="str">
        <f t="shared" si="102"/>
        <v>{s_taskTalk,{60086,60559}}</v>
      </c>
    </row>
    <row r="703" spans="1:49" s="25" customFormat="1" ht="72" x14ac:dyDescent="0.15">
      <c r="A703" s="9">
        <v>4481</v>
      </c>
      <c r="C703" s="25" t="s">
        <v>4386</v>
      </c>
      <c r="D703" s="25">
        <v>1</v>
      </c>
      <c r="E703" s="25">
        <v>0</v>
      </c>
      <c r="F703" s="25">
        <v>5</v>
      </c>
      <c r="G703" s="120">
        <v>200</v>
      </c>
      <c r="H703" s="25">
        <v>200</v>
      </c>
      <c r="I703" s="17">
        <v>0</v>
      </c>
      <c r="J703" s="396">
        <v>4471</v>
      </c>
      <c r="K703" s="25">
        <v>0</v>
      </c>
      <c r="L703" s="25">
        <v>60559</v>
      </c>
      <c r="M703" s="25" t="s">
        <v>1467</v>
      </c>
      <c r="N703" s="25">
        <v>60559</v>
      </c>
      <c r="O703" s="25" t="s">
        <v>5167</v>
      </c>
      <c r="U703" s="25">
        <v>4</v>
      </c>
      <c r="V703" s="25">
        <v>0</v>
      </c>
      <c r="W703" s="25">
        <v>58</v>
      </c>
      <c r="Z703" s="25">
        <v>24000</v>
      </c>
      <c r="AF703" s="25" t="s">
        <v>4387</v>
      </c>
      <c r="AG703" s="25" t="s">
        <v>4689</v>
      </c>
      <c r="AH703" s="25" t="s">
        <v>1468</v>
      </c>
      <c r="AI703" s="25" t="s">
        <v>1667</v>
      </c>
      <c r="AL703" s="396">
        <v>0</v>
      </c>
      <c r="AM703" s="25" t="s">
        <v>7225</v>
      </c>
      <c r="AN703" s="25" t="s">
        <v>5785</v>
      </c>
      <c r="AP703" s="25">
        <v>1</v>
      </c>
      <c r="AQ703" s="25">
        <v>0</v>
      </c>
      <c r="AR703" s="50">
        <v>0</v>
      </c>
      <c r="AS703" s="50">
        <v>0</v>
      </c>
      <c r="AU703" s="226">
        <v>0</v>
      </c>
      <c r="AV703" s="17">
        <f t="shared" si="103"/>
        <v>1</v>
      </c>
      <c r="AW703" s="50" t="str">
        <f t="shared" si="102"/>
        <v>{s_taskTalk,{60559,60559}}</v>
      </c>
    </row>
    <row r="704" spans="1:49" s="25" customFormat="1" ht="72" x14ac:dyDescent="0.15">
      <c r="A704" s="9">
        <v>4484</v>
      </c>
      <c r="C704" s="25" t="s">
        <v>4205</v>
      </c>
      <c r="D704" s="25">
        <v>1</v>
      </c>
      <c r="E704" s="25">
        <v>0</v>
      </c>
      <c r="F704" s="25">
        <v>5</v>
      </c>
      <c r="G704" s="120">
        <v>200</v>
      </c>
      <c r="H704" s="25">
        <v>200</v>
      </c>
      <c r="I704" s="17">
        <v>0</v>
      </c>
      <c r="J704" s="396">
        <v>4481</v>
      </c>
      <c r="K704" s="25">
        <v>0</v>
      </c>
      <c r="L704" s="25">
        <v>60559</v>
      </c>
      <c r="M704" s="25" t="s">
        <v>1467</v>
      </c>
      <c r="N704" s="25">
        <v>60568</v>
      </c>
      <c r="O704" s="25" t="s">
        <v>5168</v>
      </c>
      <c r="U704" s="25">
        <v>1</v>
      </c>
      <c r="V704" s="25">
        <v>1</v>
      </c>
      <c r="W704" s="25">
        <v>58</v>
      </c>
      <c r="Z704" s="25">
        <v>24000</v>
      </c>
      <c r="AF704" s="25" t="s">
        <v>4207</v>
      </c>
      <c r="AG704" s="25" t="s">
        <v>4208</v>
      </c>
      <c r="AH704" s="25" t="s">
        <v>4388</v>
      </c>
      <c r="AI704" s="25" t="s">
        <v>4389</v>
      </c>
      <c r="AL704" s="396">
        <v>0</v>
      </c>
      <c r="AM704" s="25" t="s">
        <v>7226</v>
      </c>
      <c r="AN704" s="25" t="s">
        <v>5786</v>
      </c>
      <c r="AP704" s="25">
        <v>1</v>
      </c>
      <c r="AQ704" s="25">
        <v>0</v>
      </c>
      <c r="AR704" s="50">
        <v>0</v>
      </c>
      <c r="AS704" s="50">
        <v>0</v>
      </c>
      <c r="AU704" s="226">
        <v>0</v>
      </c>
      <c r="AV704" s="17">
        <f t="shared" si="103"/>
        <v>1</v>
      </c>
      <c r="AW704" s="50" t="str">
        <f t="shared" si="102"/>
        <v>{s_taskTalk,{60559,60568}}</v>
      </c>
    </row>
    <row r="705" spans="1:49" s="25" customFormat="1" ht="72" x14ac:dyDescent="0.15">
      <c r="A705" s="9">
        <v>4482</v>
      </c>
      <c r="C705" s="25" t="s">
        <v>2138</v>
      </c>
      <c r="D705" s="25">
        <v>1</v>
      </c>
      <c r="E705" s="25">
        <v>0</v>
      </c>
      <c r="F705" s="25">
        <v>5</v>
      </c>
      <c r="G705" s="120">
        <v>200</v>
      </c>
      <c r="H705" s="25">
        <v>200</v>
      </c>
      <c r="I705" s="17">
        <v>0</v>
      </c>
      <c r="J705" s="396">
        <v>4484</v>
      </c>
      <c r="K705" s="25">
        <v>0</v>
      </c>
      <c r="L705" s="25">
        <v>60568</v>
      </c>
      <c r="M705" s="25" t="s">
        <v>4206</v>
      </c>
      <c r="N705" s="25">
        <v>60568</v>
      </c>
      <c r="O705" s="25" t="s">
        <v>4206</v>
      </c>
      <c r="U705" s="25">
        <v>4</v>
      </c>
      <c r="V705" s="25">
        <v>0</v>
      </c>
      <c r="W705" s="25">
        <v>58</v>
      </c>
      <c r="Z705" s="25">
        <v>24000</v>
      </c>
      <c r="AF705" s="25" t="s">
        <v>4209</v>
      </c>
      <c r="AG705" s="25" t="s">
        <v>4210</v>
      </c>
      <c r="AH705" s="25" t="s">
        <v>1771</v>
      </c>
      <c r="AI705" s="25" t="s">
        <v>1667</v>
      </c>
      <c r="AL705" s="396">
        <v>0</v>
      </c>
      <c r="AM705" s="25" t="s">
        <v>7227</v>
      </c>
      <c r="AN705" s="25" t="s">
        <v>5787</v>
      </c>
      <c r="AP705" s="25">
        <v>1</v>
      </c>
      <c r="AQ705" s="25">
        <v>0</v>
      </c>
      <c r="AR705" s="50">
        <v>0</v>
      </c>
      <c r="AS705" s="50">
        <v>0</v>
      </c>
      <c r="AU705" s="226">
        <v>0</v>
      </c>
      <c r="AV705" s="17">
        <f t="shared" si="103"/>
        <v>1</v>
      </c>
      <c r="AW705" s="50" t="str">
        <f t="shared" si="102"/>
        <v>{s_taskTalk,{60568,60568}}</v>
      </c>
    </row>
    <row r="706" spans="1:49" s="25" customFormat="1" ht="72" x14ac:dyDescent="0.15">
      <c r="A706" s="9">
        <v>4485</v>
      </c>
      <c r="C706" s="25" t="s">
        <v>2139</v>
      </c>
      <c r="D706" s="25">
        <v>1</v>
      </c>
      <c r="E706" s="25">
        <v>0</v>
      </c>
      <c r="F706" s="25">
        <v>5</v>
      </c>
      <c r="G706" s="120">
        <v>200</v>
      </c>
      <c r="H706" s="25">
        <v>200</v>
      </c>
      <c r="I706" s="17">
        <v>0</v>
      </c>
      <c r="J706" s="396">
        <v>4482</v>
      </c>
      <c r="K706" s="25">
        <v>0</v>
      </c>
      <c r="L706" s="25">
        <v>60568</v>
      </c>
      <c r="M706" s="25" t="s">
        <v>4206</v>
      </c>
      <c r="N706" s="25">
        <v>60559</v>
      </c>
      <c r="O706" s="25" t="s">
        <v>1467</v>
      </c>
      <c r="U706" s="25">
        <v>1</v>
      </c>
      <c r="V706" s="25">
        <v>1</v>
      </c>
      <c r="W706" s="25">
        <v>58</v>
      </c>
      <c r="Z706" s="25">
        <v>24000</v>
      </c>
      <c r="AF706" s="25" t="s">
        <v>4211</v>
      </c>
      <c r="AG706" s="25" t="s">
        <v>1774</v>
      </c>
      <c r="AH706" s="25" t="s">
        <v>1775</v>
      </c>
      <c r="AI706" s="25" t="s">
        <v>1776</v>
      </c>
      <c r="AL706" s="396">
        <v>0</v>
      </c>
      <c r="AM706" s="25" t="s">
        <v>7228</v>
      </c>
      <c r="AN706" s="25" t="s">
        <v>5788</v>
      </c>
      <c r="AP706" s="25">
        <v>1</v>
      </c>
      <c r="AQ706" s="25">
        <v>0</v>
      </c>
      <c r="AR706" s="50">
        <v>0</v>
      </c>
      <c r="AS706" s="50">
        <v>0</v>
      </c>
      <c r="AU706" s="226">
        <v>0</v>
      </c>
      <c r="AV706" s="17">
        <f t="shared" si="103"/>
        <v>1</v>
      </c>
      <c r="AW706" s="50" t="str">
        <f t="shared" si="102"/>
        <v>{s_taskTalk,{60568,60559}}</v>
      </c>
    </row>
    <row r="707" spans="1:49" s="25" customFormat="1" ht="72" x14ac:dyDescent="0.15">
      <c r="A707" s="9">
        <v>4483</v>
      </c>
      <c r="C707" s="25" t="s">
        <v>2140</v>
      </c>
      <c r="D707" s="25">
        <v>1</v>
      </c>
      <c r="E707" s="25">
        <v>0</v>
      </c>
      <c r="F707" s="25">
        <v>5</v>
      </c>
      <c r="G707" s="120">
        <v>200</v>
      </c>
      <c r="H707" s="25">
        <v>200</v>
      </c>
      <c r="I707" s="17">
        <v>0</v>
      </c>
      <c r="J707" s="396">
        <v>4485</v>
      </c>
      <c r="K707" s="25">
        <v>0</v>
      </c>
      <c r="L707" s="25">
        <v>60559</v>
      </c>
      <c r="M707" s="25" t="s">
        <v>1467</v>
      </c>
      <c r="N707" s="25">
        <v>60559</v>
      </c>
      <c r="O707" s="25" t="s">
        <v>5167</v>
      </c>
      <c r="U707" s="25">
        <v>1</v>
      </c>
      <c r="V707" s="25">
        <v>1</v>
      </c>
      <c r="W707" s="25">
        <v>58</v>
      </c>
      <c r="Z707" s="25">
        <v>24000</v>
      </c>
      <c r="AF707" s="25" t="s">
        <v>7229</v>
      </c>
      <c r="AG707" s="25" t="s">
        <v>4212</v>
      </c>
      <c r="AH707" s="25" t="s">
        <v>1772</v>
      </c>
      <c r="AI707" s="25" t="s">
        <v>1773</v>
      </c>
      <c r="AL707" s="396">
        <v>0</v>
      </c>
      <c r="AM707" s="25" t="s">
        <v>7230</v>
      </c>
      <c r="AN707" s="25" t="s">
        <v>5789</v>
      </c>
      <c r="AP707" s="25">
        <v>1</v>
      </c>
      <c r="AQ707" s="25">
        <v>0</v>
      </c>
      <c r="AR707" s="50">
        <v>0</v>
      </c>
      <c r="AS707" s="50">
        <v>0</v>
      </c>
      <c r="AU707" s="226">
        <v>0</v>
      </c>
      <c r="AV707" s="17">
        <f t="shared" si="103"/>
        <v>1</v>
      </c>
      <c r="AW707" s="50" t="str">
        <f t="shared" si="102"/>
        <v>{s_taskTalk,{60559,60559}}</v>
      </c>
    </row>
    <row r="708" spans="1:49" s="25" customFormat="1" ht="84" x14ac:dyDescent="0.15">
      <c r="A708" s="9">
        <v>4491</v>
      </c>
      <c r="C708" s="25" t="s">
        <v>4690</v>
      </c>
      <c r="D708" s="25">
        <v>1</v>
      </c>
      <c r="E708" s="25">
        <v>0</v>
      </c>
      <c r="F708" s="25">
        <v>5</v>
      </c>
      <c r="G708" s="120">
        <v>200</v>
      </c>
      <c r="H708" s="25">
        <v>200</v>
      </c>
      <c r="I708" s="17">
        <v>0</v>
      </c>
      <c r="J708" s="396">
        <v>4483</v>
      </c>
      <c r="K708" s="25">
        <v>0</v>
      </c>
      <c r="L708" s="25">
        <v>60559</v>
      </c>
      <c r="M708" s="25" t="s">
        <v>1467</v>
      </c>
      <c r="N708" s="25">
        <v>60553</v>
      </c>
      <c r="O708" s="25" t="s">
        <v>5169</v>
      </c>
      <c r="U708" s="25">
        <v>1</v>
      </c>
      <c r="V708" s="25">
        <v>1</v>
      </c>
      <c r="W708" s="25">
        <v>58</v>
      </c>
      <c r="Z708" s="25">
        <v>24000</v>
      </c>
      <c r="AF708" s="25" t="s">
        <v>4691</v>
      </c>
      <c r="AG708" s="25" t="s">
        <v>4692</v>
      </c>
      <c r="AH708" s="25" t="s">
        <v>1470</v>
      </c>
      <c r="AL708" s="396">
        <v>0</v>
      </c>
      <c r="AM708" s="25" t="s">
        <v>7231</v>
      </c>
      <c r="AN708" s="25" t="s">
        <v>5790</v>
      </c>
      <c r="AP708" s="25">
        <v>1</v>
      </c>
      <c r="AQ708" s="25">
        <v>0</v>
      </c>
      <c r="AR708" s="50">
        <v>0</v>
      </c>
      <c r="AS708" s="50">
        <v>0</v>
      </c>
      <c r="AU708" s="226">
        <v>0</v>
      </c>
      <c r="AV708" s="17">
        <f t="shared" si="103"/>
        <v>1</v>
      </c>
      <c r="AW708" s="50" t="str">
        <f t="shared" si="102"/>
        <v>{s_taskTalk,{60559,60553}}</v>
      </c>
    </row>
    <row r="709" spans="1:49" s="25" customFormat="1" ht="84" x14ac:dyDescent="0.15">
      <c r="A709" s="9">
        <v>4501</v>
      </c>
      <c r="C709" s="25" t="s">
        <v>4693</v>
      </c>
      <c r="D709" s="25">
        <v>1</v>
      </c>
      <c r="E709" s="25">
        <v>0</v>
      </c>
      <c r="F709" s="25">
        <v>5</v>
      </c>
      <c r="G709" s="120">
        <v>200</v>
      </c>
      <c r="H709" s="25">
        <v>200</v>
      </c>
      <c r="I709" s="17">
        <v>0</v>
      </c>
      <c r="J709" s="396">
        <v>4491</v>
      </c>
      <c r="K709" s="25">
        <v>0</v>
      </c>
      <c r="L709" s="25">
        <v>60553</v>
      </c>
      <c r="M709" s="25" t="s">
        <v>1469</v>
      </c>
      <c r="N709" s="25">
        <v>60553</v>
      </c>
      <c r="O709" s="25" t="s">
        <v>5169</v>
      </c>
      <c r="Q709" s="397"/>
      <c r="R709" s="397"/>
      <c r="S709" s="397">
        <v>10201</v>
      </c>
      <c r="T709" s="397"/>
      <c r="U709" s="25">
        <v>65</v>
      </c>
      <c r="V709" s="25">
        <v>0</v>
      </c>
      <c r="W709" s="25">
        <v>58</v>
      </c>
      <c r="Z709" s="398">
        <v>120000</v>
      </c>
      <c r="AB709" s="399"/>
      <c r="AC709" s="399"/>
      <c r="AF709" s="25" t="s">
        <v>4694</v>
      </c>
      <c r="AG709" s="25" t="s">
        <v>4695</v>
      </c>
      <c r="AH709" s="25" t="s">
        <v>1471</v>
      </c>
      <c r="AI709" s="25" t="s">
        <v>1668</v>
      </c>
      <c r="AL709" s="396">
        <v>0</v>
      </c>
      <c r="AM709" s="400" t="s">
        <v>1472</v>
      </c>
      <c r="AN709" s="400" t="s">
        <v>5791</v>
      </c>
      <c r="AP709" s="25">
        <v>1</v>
      </c>
      <c r="AQ709" s="25">
        <v>0</v>
      </c>
      <c r="AR709" s="50">
        <v>0</v>
      </c>
      <c r="AS709" s="50">
        <v>0</v>
      </c>
      <c r="AU709" s="226">
        <v>0</v>
      </c>
      <c r="AV709" s="17">
        <f t="shared" si="103"/>
        <v>1</v>
      </c>
      <c r="AW709" s="50" t="str">
        <f>"{s_taskKillNpc, {"&amp;L709&amp;","&amp;N709&amp;","&amp;S709&amp;","&amp;U709&amp;"}}"</f>
        <v>{s_taskKillNpc, {60553,60553,10201,65}}</v>
      </c>
    </row>
    <row r="710" spans="1:49" s="25" customFormat="1" ht="72" x14ac:dyDescent="0.15">
      <c r="A710" s="9">
        <v>4511</v>
      </c>
      <c r="C710" s="25" t="s">
        <v>2141</v>
      </c>
      <c r="D710" s="25">
        <v>1</v>
      </c>
      <c r="E710" s="25">
        <v>0</v>
      </c>
      <c r="F710" s="25">
        <v>5</v>
      </c>
      <c r="G710" s="120">
        <v>200</v>
      </c>
      <c r="H710" s="25">
        <v>200</v>
      </c>
      <c r="I710" s="17">
        <v>0</v>
      </c>
      <c r="J710" s="396">
        <v>4501</v>
      </c>
      <c r="K710" s="25">
        <v>0</v>
      </c>
      <c r="L710" s="25">
        <v>60553</v>
      </c>
      <c r="M710" s="25" t="s">
        <v>1619</v>
      </c>
      <c r="N710" s="25">
        <v>60553</v>
      </c>
      <c r="O710" s="25" t="s">
        <v>5169</v>
      </c>
      <c r="Q710" s="397"/>
      <c r="R710" s="397"/>
      <c r="S710" s="397"/>
      <c r="T710" s="397"/>
      <c r="U710" s="25">
        <v>3</v>
      </c>
      <c r="V710" s="25">
        <v>0</v>
      </c>
      <c r="W710" s="25">
        <v>60</v>
      </c>
      <c r="Z710" s="398">
        <v>24000</v>
      </c>
      <c r="AB710" s="399"/>
      <c r="AC710" s="399"/>
      <c r="AF710" s="25" t="s">
        <v>4696</v>
      </c>
      <c r="AG710" s="25" t="s">
        <v>1645</v>
      </c>
      <c r="AH710" s="25" t="s">
        <v>1646</v>
      </c>
      <c r="AI710" s="25" t="s">
        <v>1669</v>
      </c>
      <c r="AL710" s="396">
        <v>0</v>
      </c>
      <c r="AM710" s="400" t="s">
        <v>7232</v>
      </c>
      <c r="AN710" s="400" t="s">
        <v>5792</v>
      </c>
      <c r="AP710" s="25">
        <v>1</v>
      </c>
      <c r="AQ710" s="25">
        <v>0</v>
      </c>
      <c r="AR710" s="50">
        <v>0</v>
      </c>
      <c r="AS710" s="50">
        <v>0</v>
      </c>
      <c r="AU710" s="226">
        <v>0</v>
      </c>
      <c r="AV710" s="17">
        <f t="shared" si="103"/>
        <v>1</v>
      </c>
      <c r="AW710" s="50" t="str">
        <f t="shared" ref="AW710:AW716" si="104">"{s_taskTalk,{"&amp;L710&amp;","&amp;N710&amp;"}}"</f>
        <v>{s_taskTalk,{60553,60553}}</v>
      </c>
    </row>
    <row r="711" spans="1:49" s="25" customFormat="1" ht="108" x14ac:dyDescent="0.15">
      <c r="A711" s="9">
        <v>4521</v>
      </c>
      <c r="C711" s="25" t="s">
        <v>2142</v>
      </c>
      <c r="D711" s="25">
        <v>1</v>
      </c>
      <c r="E711" s="25">
        <v>0</v>
      </c>
      <c r="F711" s="25">
        <v>5</v>
      </c>
      <c r="G711" s="120">
        <v>200</v>
      </c>
      <c r="H711" s="25">
        <v>200</v>
      </c>
      <c r="I711" s="17">
        <v>0</v>
      </c>
      <c r="J711" s="396">
        <v>4511</v>
      </c>
      <c r="K711" s="25">
        <v>0</v>
      </c>
      <c r="L711" s="25">
        <v>60553</v>
      </c>
      <c r="M711" s="25" t="s">
        <v>1619</v>
      </c>
      <c r="N711" s="25">
        <v>60559</v>
      </c>
      <c r="O711" s="25" t="s">
        <v>5167</v>
      </c>
      <c r="Q711" s="397"/>
      <c r="R711" s="397"/>
      <c r="S711" s="397"/>
      <c r="T711" s="397"/>
      <c r="U711" s="25">
        <v>1</v>
      </c>
      <c r="V711" s="25">
        <v>1</v>
      </c>
      <c r="W711" s="25">
        <v>60</v>
      </c>
      <c r="Z711" s="398">
        <v>24000</v>
      </c>
      <c r="AB711" s="399"/>
      <c r="AC711" s="399"/>
      <c r="AF711" s="25" t="s">
        <v>7233</v>
      </c>
      <c r="AG711" s="25" t="s">
        <v>4110</v>
      </c>
      <c r="AH711" s="25" t="s">
        <v>1648</v>
      </c>
      <c r="AL711" s="396">
        <v>0</v>
      </c>
      <c r="AM711" s="400" t="s">
        <v>7234</v>
      </c>
      <c r="AN711" s="400" t="s">
        <v>5793</v>
      </c>
      <c r="AP711" s="25">
        <v>1</v>
      </c>
      <c r="AQ711" s="25">
        <v>0</v>
      </c>
      <c r="AR711" s="50">
        <v>0</v>
      </c>
      <c r="AS711" s="50">
        <v>0</v>
      </c>
      <c r="AU711" s="226">
        <v>0</v>
      </c>
      <c r="AV711" s="17">
        <f t="shared" si="103"/>
        <v>1</v>
      </c>
      <c r="AW711" s="50" t="str">
        <f t="shared" si="104"/>
        <v>{s_taskTalk,{60553,60559}}</v>
      </c>
    </row>
    <row r="712" spans="1:49" s="25" customFormat="1" ht="108" x14ac:dyDescent="0.15">
      <c r="A712" s="9">
        <v>4531</v>
      </c>
      <c r="C712" s="25" t="s">
        <v>2143</v>
      </c>
      <c r="D712" s="25">
        <v>1</v>
      </c>
      <c r="E712" s="25">
        <v>0</v>
      </c>
      <c r="F712" s="25">
        <v>5</v>
      </c>
      <c r="G712" s="120">
        <v>200</v>
      </c>
      <c r="H712" s="25">
        <v>200</v>
      </c>
      <c r="I712" s="17">
        <v>0</v>
      </c>
      <c r="J712" s="396">
        <v>4521</v>
      </c>
      <c r="K712" s="25">
        <v>0</v>
      </c>
      <c r="L712" s="25">
        <v>60559</v>
      </c>
      <c r="M712" s="25" t="s">
        <v>1647</v>
      </c>
      <c r="N712" s="25">
        <v>60000</v>
      </c>
      <c r="O712" s="25" t="s">
        <v>5163</v>
      </c>
      <c r="Q712" s="397"/>
      <c r="R712" s="397"/>
      <c r="S712" s="397"/>
      <c r="T712" s="397"/>
      <c r="U712" s="25">
        <v>1</v>
      </c>
      <c r="V712" s="25">
        <v>1</v>
      </c>
      <c r="W712" s="25">
        <v>60</v>
      </c>
      <c r="Z712" s="398">
        <v>24000</v>
      </c>
      <c r="AB712" s="399"/>
      <c r="AC712" s="399"/>
      <c r="AF712" s="25" t="s">
        <v>4558</v>
      </c>
      <c r="AG712" s="25" t="s">
        <v>4697</v>
      </c>
      <c r="AH712" s="25" t="s">
        <v>1649</v>
      </c>
      <c r="AL712" s="396">
        <v>0</v>
      </c>
      <c r="AM712" s="400" t="s">
        <v>7235</v>
      </c>
      <c r="AN712" s="400" t="s">
        <v>5794</v>
      </c>
      <c r="AP712" s="25">
        <v>1</v>
      </c>
      <c r="AQ712" s="25">
        <v>0</v>
      </c>
      <c r="AR712" s="50">
        <v>0</v>
      </c>
      <c r="AS712" s="50">
        <v>0</v>
      </c>
      <c r="AU712" s="226">
        <v>0</v>
      </c>
      <c r="AV712" s="17">
        <f t="shared" si="103"/>
        <v>1</v>
      </c>
      <c r="AW712" s="50" t="str">
        <f t="shared" si="104"/>
        <v>{s_taskTalk,{60559,60000}}</v>
      </c>
    </row>
    <row r="713" spans="1:49" s="25" customFormat="1" ht="84" x14ac:dyDescent="0.15">
      <c r="A713" s="9">
        <v>4541</v>
      </c>
      <c r="C713" s="25" t="s">
        <v>2144</v>
      </c>
      <c r="D713" s="25">
        <v>1</v>
      </c>
      <c r="E713" s="25">
        <v>0</v>
      </c>
      <c r="F713" s="25">
        <v>3</v>
      </c>
      <c r="G713" s="120">
        <v>200</v>
      </c>
      <c r="H713" s="25">
        <v>200</v>
      </c>
      <c r="I713" s="17">
        <v>0</v>
      </c>
      <c r="J713" s="396">
        <v>4531</v>
      </c>
      <c r="K713" s="25">
        <v>0</v>
      </c>
      <c r="L713" s="25">
        <v>60000</v>
      </c>
      <c r="M713" s="25" t="s">
        <v>260</v>
      </c>
      <c r="N713" s="25">
        <v>60559</v>
      </c>
      <c r="O713" s="25" t="s">
        <v>5167</v>
      </c>
      <c r="Q713" s="397"/>
      <c r="R713" s="397"/>
      <c r="S713" s="397"/>
      <c r="T713" s="397"/>
      <c r="U713" s="25">
        <v>1</v>
      </c>
      <c r="V713" s="25">
        <v>1</v>
      </c>
      <c r="W713" s="25">
        <v>60</v>
      </c>
      <c r="Z713" s="398">
        <v>24000</v>
      </c>
      <c r="AB713" s="399"/>
      <c r="AC713" s="399"/>
      <c r="AF713" s="25" t="s">
        <v>4559</v>
      </c>
      <c r="AG713" s="25" t="s">
        <v>1650</v>
      </c>
      <c r="AH713" s="25" t="s">
        <v>4698</v>
      </c>
      <c r="AL713" s="396">
        <v>0</v>
      </c>
      <c r="AM713" s="400" t="s">
        <v>7236</v>
      </c>
      <c r="AN713" s="400" t="s">
        <v>5795</v>
      </c>
      <c r="AP713" s="25">
        <v>1</v>
      </c>
      <c r="AQ713" s="25">
        <v>0</v>
      </c>
      <c r="AR713" s="50">
        <v>0</v>
      </c>
      <c r="AS713" s="50">
        <v>0</v>
      </c>
      <c r="AU713" s="226">
        <v>0</v>
      </c>
      <c r="AV713" s="17">
        <f t="shared" si="103"/>
        <v>1</v>
      </c>
      <c r="AW713" s="50" t="str">
        <f t="shared" si="104"/>
        <v>{s_taskTalk,{60000,60559}}</v>
      </c>
    </row>
    <row r="714" spans="1:49" s="25" customFormat="1" ht="72" x14ac:dyDescent="0.15">
      <c r="A714" s="9">
        <v>4551</v>
      </c>
      <c r="C714" s="25" t="s">
        <v>2145</v>
      </c>
      <c r="D714" s="25">
        <v>1</v>
      </c>
      <c r="E714" s="25">
        <v>0</v>
      </c>
      <c r="F714" s="25">
        <v>5</v>
      </c>
      <c r="G714" s="120">
        <v>200</v>
      </c>
      <c r="H714" s="25">
        <v>200</v>
      </c>
      <c r="I714" s="17">
        <v>0</v>
      </c>
      <c r="J714" s="396">
        <v>4541</v>
      </c>
      <c r="K714" s="25">
        <v>0</v>
      </c>
      <c r="L714" s="25">
        <v>60559</v>
      </c>
      <c r="M714" s="25" t="s">
        <v>1651</v>
      </c>
      <c r="N714" s="25">
        <v>60087</v>
      </c>
      <c r="O714" s="25" t="s">
        <v>5170</v>
      </c>
      <c r="Q714" s="397"/>
      <c r="R714" s="397"/>
      <c r="S714" s="397"/>
      <c r="T714" s="397"/>
      <c r="U714" s="25">
        <v>1</v>
      </c>
      <c r="V714" s="25">
        <v>1</v>
      </c>
      <c r="W714" s="25">
        <v>60</v>
      </c>
      <c r="Z714" s="398">
        <v>24000</v>
      </c>
      <c r="AB714" s="399"/>
      <c r="AC714" s="399"/>
      <c r="AF714" s="25" t="s">
        <v>4368</v>
      </c>
      <c r="AG714" s="25" t="s">
        <v>4390</v>
      </c>
      <c r="AH714" s="25" t="s">
        <v>1473</v>
      </c>
      <c r="AL714" s="396">
        <v>0</v>
      </c>
      <c r="AM714" s="400" t="s">
        <v>7237</v>
      </c>
      <c r="AN714" s="400" t="s">
        <v>5796</v>
      </c>
      <c r="AP714" s="25">
        <v>1</v>
      </c>
      <c r="AQ714" s="25">
        <v>0</v>
      </c>
      <c r="AR714" s="50">
        <v>0</v>
      </c>
      <c r="AS714" s="50">
        <v>0</v>
      </c>
      <c r="AU714" s="226">
        <v>0</v>
      </c>
      <c r="AV714" s="17">
        <f t="shared" si="103"/>
        <v>1</v>
      </c>
      <c r="AW714" s="50" t="str">
        <f t="shared" si="104"/>
        <v>{s_taskTalk,{60559,60087}}</v>
      </c>
    </row>
    <row r="715" spans="1:49" s="25" customFormat="1" ht="84" x14ac:dyDescent="0.15">
      <c r="A715" s="9">
        <v>4561</v>
      </c>
      <c r="C715" s="25" t="s">
        <v>2146</v>
      </c>
      <c r="D715" s="25">
        <v>1</v>
      </c>
      <c r="E715" s="25">
        <v>0</v>
      </c>
      <c r="F715" s="25">
        <v>5</v>
      </c>
      <c r="G715" s="120">
        <v>200</v>
      </c>
      <c r="H715" s="25">
        <v>200</v>
      </c>
      <c r="I715" s="17">
        <v>0</v>
      </c>
      <c r="J715" s="396">
        <v>4551</v>
      </c>
      <c r="K715" s="25">
        <v>0</v>
      </c>
      <c r="L715" s="25">
        <v>60087</v>
      </c>
      <c r="M715" s="25" t="s">
        <v>1652</v>
      </c>
      <c r="N715" s="25">
        <v>60559</v>
      </c>
      <c r="O715" s="25" t="s">
        <v>5167</v>
      </c>
      <c r="Q715" s="397"/>
      <c r="R715" s="397"/>
      <c r="S715" s="397"/>
      <c r="T715" s="397"/>
      <c r="U715" s="25">
        <v>1</v>
      </c>
      <c r="V715" s="25">
        <v>1</v>
      </c>
      <c r="W715" s="25">
        <v>60</v>
      </c>
      <c r="Z715" s="398">
        <v>24000</v>
      </c>
      <c r="AB715" s="399"/>
      <c r="AC715" s="399"/>
      <c r="AF715" s="25" t="s">
        <v>7238</v>
      </c>
      <c r="AG715" s="25" t="s">
        <v>1653</v>
      </c>
      <c r="AH715" s="25" t="s">
        <v>1654</v>
      </c>
      <c r="AL715" s="396">
        <v>0</v>
      </c>
      <c r="AM715" s="400" t="s">
        <v>7239</v>
      </c>
      <c r="AN715" s="400" t="s">
        <v>5797</v>
      </c>
      <c r="AP715" s="25">
        <v>1</v>
      </c>
      <c r="AQ715" s="25">
        <v>0</v>
      </c>
      <c r="AR715" s="50">
        <v>0</v>
      </c>
      <c r="AS715" s="50">
        <v>0</v>
      </c>
      <c r="AU715" s="226">
        <v>0</v>
      </c>
      <c r="AV715" s="17">
        <f t="shared" si="103"/>
        <v>1</v>
      </c>
      <c r="AW715" s="50" t="str">
        <f t="shared" si="104"/>
        <v>{s_taskTalk,{60087,60559}}</v>
      </c>
    </row>
    <row r="716" spans="1:49" s="25" customFormat="1" ht="84" x14ac:dyDescent="0.15">
      <c r="A716" s="9">
        <v>4571</v>
      </c>
      <c r="C716" s="25" t="s">
        <v>2147</v>
      </c>
      <c r="D716" s="25">
        <v>1</v>
      </c>
      <c r="E716" s="25">
        <v>0</v>
      </c>
      <c r="F716" s="25">
        <v>5</v>
      </c>
      <c r="G716" s="120">
        <v>200</v>
      </c>
      <c r="H716" s="25">
        <v>200</v>
      </c>
      <c r="I716" s="17">
        <v>0</v>
      </c>
      <c r="J716" s="396">
        <v>4561</v>
      </c>
      <c r="K716" s="25">
        <v>0</v>
      </c>
      <c r="L716" s="25">
        <v>60559</v>
      </c>
      <c r="M716" s="25" t="s">
        <v>1647</v>
      </c>
      <c r="N716" s="25">
        <v>60553</v>
      </c>
      <c r="O716" s="25" t="s">
        <v>5169</v>
      </c>
      <c r="Q716" s="397"/>
      <c r="R716" s="397"/>
      <c r="S716" s="397"/>
      <c r="T716" s="397"/>
      <c r="U716" s="25">
        <v>1</v>
      </c>
      <c r="V716" s="25">
        <v>1</v>
      </c>
      <c r="W716" s="25">
        <v>60</v>
      </c>
      <c r="Z716" s="398">
        <v>24000</v>
      </c>
      <c r="AB716" s="399"/>
      <c r="AC716" s="399"/>
      <c r="AF716" s="25" t="s">
        <v>4699</v>
      </c>
      <c r="AG716" s="25" t="s">
        <v>4700</v>
      </c>
      <c r="AH716" s="25" t="s">
        <v>1655</v>
      </c>
      <c r="AL716" s="396">
        <v>0</v>
      </c>
      <c r="AM716" s="400" t="s">
        <v>7240</v>
      </c>
      <c r="AN716" s="400" t="s">
        <v>5798</v>
      </c>
      <c r="AP716" s="25">
        <v>1</v>
      </c>
      <c r="AQ716" s="25">
        <v>0</v>
      </c>
      <c r="AR716" s="50">
        <v>0</v>
      </c>
      <c r="AS716" s="50">
        <v>0</v>
      </c>
      <c r="AU716" s="226">
        <v>0</v>
      </c>
      <c r="AV716" s="17">
        <f t="shared" si="103"/>
        <v>1</v>
      </c>
      <c r="AW716" s="50" t="str">
        <f t="shared" si="104"/>
        <v>{s_taskTalk,{60559,60553}}</v>
      </c>
    </row>
    <row r="717" spans="1:49" s="25" customFormat="1" ht="96" x14ac:dyDescent="0.15">
      <c r="A717" s="9">
        <v>4581</v>
      </c>
      <c r="C717" s="25" t="s">
        <v>2148</v>
      </c>
      <c r="D717" s="25">
        <v>1</v>
      </c>
      <c r="E717" s="25">
        <v>0</v>
      </c>
      <c r="F717" s="25">
        <v>5</v>
      </c>
      <c r="G717" s="120">
        <v>200</v>
      </c>
      <c r="H717" s="25">
        <v>200</v>
      </c>
      <c r="I717" s="17">
        <v>0</v>
      </c>
      <c r="J717" s="396">
        <v>4571</v>
      </c>
      <c r="K717" s="25">
        <v>0</v>
      </c>
      <c r="L717" s="25">
        <v>60553</v>
      </c>
      <c r="M717" s="25" t="s">
        <v>1469</v>
      </c>
      <c r="N717" s="25">
        <v>60553</v>
      </c>
      <c r="O717" s="25" t="s">
        <v>5169</v>
      </c>
      <c r="Q717" s="397"/>
      <c r="R717" s="397"/>
      <c r="S717" s="397">
        <v>10300</v>
      </c>
      <c r="T717" s="397"/>
      <c r="U717" s="25">
        <v>1</v>
      </c>
      <c r="V717" s="25">
        <v>0</v>
      </c>
      <c r="W717" s="25">
        <v>60</v>
      </c>
      <c r="Z717" s="398">
        <v>125000</v>
      </c>
      <c r="AB717" s="399"/>
      <c r="AC717" s="399"/>
      <c r="AF717" s="25" t="s">
        <v>4701</v>
      </c>
      <c r="AG717" s="25" t="s">
        <v>4702</v>
      </c>
      <c r="AH717" s="25" t="s">
        <v>1618</v>
      </c>
      <c r="AI717" s="25" t="s">
        <v>1670</v>
      </c>
      <c r="AL717" s="396">
        <v>0</v>
      </c>
      <c r="AM717" s="400" t="s">
        <v>7241</v>
      </c>
      <c r="AN717" s="400" t="s">
        <v>5799</v>
      </c>
      <c r="AP717" s="25">
        <v>1</v>
      </c>
      <c r="AQ717" s="25">
        <v>0</v>
      </c>
      <c r="AR717" s="50">
        <v>0</v>
      </c>
      <c r="AS717" s="50">
        <v>0</v>
      </c>
      <c r="AU717" s="226">
        <v>0</v>
      </c>
      <c r="AV717" s="17">
        <f t="shared" si="103"/>
        <v>1</v>
      </c>
      <c r="AW717" s="50" t="str">
        <f>"{s_taskKillNpc, {"&amp;L717&amp;","&amp;N717&amp;","&amp;S717&amp;","&amp;U717&amp;"}}"</f>
        <v>{s_taskKillNpc, {60553,60553,10300,1}}</v>
      </c>
    </row>
    <row r="718" spans="1:49" s="25" customFormat="1" ht="96" x14ac:dyDescent="0.15">
      <c r="A718" s="9">
        <v>4591</v>
      </c>
      <c r="C718" s="25" t="s">
        <v>2149</v>
      </c>
      <c r="D718" s="25">
        <v>1</v>
      </c>
      <c r="E718" s="25">
        <v>0</v>
      </c>
      <c r="F718" s="25">
        <v>5</v>
      </c>
      <c r="G718" s="120">
        <v>200</v>
      </c>
      <c r="H718" s="25">
        <v>200</v>
      </c>
      <c r="I718" s="17">
        <v>0</v>
      </c>
      <c r="J718" s="396">
        <v>4581</v>
      </c>
      <c r="K718" s="25">
        <v>0</v>
      </c>
      <c r="L718" s="25">
        <v>60553</v>
      </c>
      <c r="M718" s="25" t="s">
        <v>1469</v>
      </c>
      <c r="N718" s="25">
        <v>60553</v>
      </c>
      <c r="O718" s="25" t="s">
        <v>5169</v>
      </c>
      <c r="Q718" s="397"/>
      <c r="R718" s="397"/>
      <c r="S718" s="397"/>
      <c r="T718" s="397"/>
      <c r="U718" s="25">
        <v>1</v>
      </c>
      <c r="V718" s="25">
        <v>0</v>
      </c>
      <c r="W718" s="25">
        <v>63</v>
      </c>
      <c r="Z718" s="398">
        <v>24500</v>
      </c>
      <c r="AB718" s="399"/>
      <c r="AC718" s="399"/>
      <c r="AF718" s="25" t="s">
        <v>7242</v>
      </c>
      <c r="AG718" s="25" t="s">
        <v>1475</v>
      </c>
      <c r="AH718" s="25" t="s">
        <v>1476</v>
      </c>
      <c r="AL718" s="396">
        <v>0</v>
      </c>
      <c r="AM718" s="400" t="s">
        <v>7243</v>
      </c>
      <c r="AN718" s="400" t="s">
        <v>5800</v>
      </c>
      <c r="AP718" s="25">
        <v>1</v>
      </c>
      <c r="AQ718" s="25">
        <v>0</v>
      </c>
      <c r="AR718" s="50">
        <v>0</v>
      </c>
      <c r="AS718" s="50">
        <v>0</v>
      </c>
      <c r="AU718" s="226">
        <v>0</v>
      </c>
      <c r="AV718" s="17">
        <f t="shared" si="103"/>
        <v>1</v>
      </c>
      <c r="AW718" s="50" t="str">
        <f>"{s_taskTalk,{"&amp;L718&amp;","&amp;N718&amp;"}}"</f>
        <v>{s_taskTalk,{60553,60553}}</v>
      </c>
    </row>
    <row r="719" spans="1:49" s="25" customFormat="1" ht="84" x14ac:dyDescent="0.15">
      <c r="A719" s="9">
        <v>4601</v>
      </c>
      <c r="C719" s="25" t="s">
        <v>2150</v>
      </c>
      <c r="D719" s="25">
        <v>1</v>
      </c>
      <c r="E719" s="25">
        <v>0</v>
      </c>
      <c r="F719" s="25">
        <v>5</v>
      </c>
      <c r="G719" s="120">
        <v>200</v>
      </c>
      <c r="H719" s="25">
        <v>200</v>
      </c>
      <c r="I719" s="17">
        <v>0</v>
      </c>
      <c r="J719" s="396">
        <v>4591</v>
      </c>
      <c r="K719" s="25">
        <v>0</v>
      </c>
      <c r="L719" s="25">
        <v>60553</v>
      </c>
      <c r="M719" s="25" t="s">
        <v>1469</v>
      </c>
      <c r="N719" s="25">
        <v>60553</v>
      </c>
      <c r="O719" s="25" t="s">
        <v>5169</v>
      </c>
      <c r="Q719" s="397"/>
      <c r="R719" s="397"/>
      <c r="S719" s="397">
        <v>10202</v>
      </c>
      <c r="T719" s="397"/>
      <c r="U719" s="25">
        <v>70</v>
      </c>
      <c r="V719" s="25">
        <v>0</v>
      </c>
      <c r="W719" s="25">
        <v>63</v>
      </c>
      <c r="Z719" s="398">
        <v>130000</v>
      </c>
      <c r="AB719" s="399"/>
      <c r="AC719" s="399"/>
      <c r="AF719" s="25" t="s">
        <v>7244</v>
      </c>
      <c r="AG719" s="25" t="s">
        <v>1477</v>
      </c>
      <c r="AH719" s="25" t="s">
        <v>1478</v>
      </c>
      <c r="AI719" s="25" t="s">
        <v>1670</v>
      </c>
      <c r="AL719" s="396">
        <v>0</v>
      </c>
      <c r="AM719" s="400" t="s">
        <v>7245</v>
      </c>
      <c r="AN719" s="400" t="s">
        <v>5801</v>
      </c>
      <c r="AP719" s="25">
        <v>1</v>
      </c>
      <c r="AQ719" s="25">
        <v>0</v>
      </c>
      <c r="AR719" s="50">
        <v>0</v>
      </c>
      <c r="AS719" s="50">
        <v>0</v>
      </c>
      <c r="AU719" s="226">
        <v>0</v>
      </c>
      <c r="AV719" s="17">
        <f t="shared" si="103"/>
        <v>1</v>
      </c>
      <c r="AW719" s="50" t="str">
        <f>"{s_taskKillNpc, {"&amp;L719&amp;","&amp;N719&amp;","&amp;S719&amp;","&amp;U719&amp;"}}"</f>
        <v>{s_taskKillNpc, {60553,60553,10202,70}}</v>
      </c>
    </row>
    <row r="720" spans="1:49" s="25" customFormat="1" ht="84" x14ac:dyDescent="0.15">
      <c r="A720" s="9">
        <v>4611</v>
      </c>
      <c r="C720" s="25" t="s">
        <v>4703</v>
      </c>
      <c r="D720" s="25">
        <v>1</v>
      </c>
      <c r="E720" s="25">
        <v>0</v>
      </c>
      <c r="F720" s="25">
        <v>5</v>
      </c>
      <c r="G720" s="120">
        <v>200</v>
      </c>
      <c r="H720" s="25">
        <v>200</v>
      </c>
      <c r="I720" s="17">
        <v>0</v>
      </c>
      <c r="J720" s="396">
        <v>4601</v>
      </c>
      <c r="K720" s="25">
        <v>0</v>
      </c>
      <c r="L720" s="25">
        <v>60553</v>
      </c>
      <c r="M720" s="25" t="s">
        <v>1619</v>
      </c>
      <c r="N720" s="25">
        <v>60553</v>
      </c>
      <c r="O720" s="25" t="s">
        <v>5169</v>
      </c>
      <c r="Q720" s="397"/>
      <c r="R720" s="397"/>
      <c r="S720" s="397"/>
      <c r="T720" s="397"/>
      <c r="U720" s="25">
        <v>1</v>
      </c>
      <c r="V720" s="25">
        <v>1</v>
      </c>
      <c r="W720" s="25">
        <v>65</v>
      </c>
      <c r="Z720" s="398">
        <v>24500</v>
      </c>
      <c r="AB720" s="399"/>
      <c r="AC720" s="399"/>
      <c r="AF720" s="25" t="s">
        <v>4704</v>
      </c>
      <c r="AG720" s="25" t="s">
        <v>4705</v>
      </c>
      <c r="AH720" s="25" t="s">
        <v>1656</v>
      </c>
      <c r="AL720" s="396">
        <v>0</v>
      </c>
      <c r="AM720" s="400" t="s">
        <v>7246</v>
      </c>
      <c r="AN720" s="400" t="s">
        <v>5802</v>
      </c>
      <c r="AP720" s="25">
        <v>1</v>
      </c>
      <c r="AQ720" s="25">
        <v>0</v>
      </c>
      <c r="AR720" s="50">
        <v>0</v>
      </c>
      <c r="AS720" s="50">
        <v>0</v>
      </c>
      <c r="AU720" s="226">
        <v>0</v>
      </c>
      <c r="AV720" s="17">
        <f t="shared" si="103"/>
        <v>1</v>
      </c>
      <c r="AW720" s="50" t="str">
        <f>"{s_taskTalk,{"&amp;L720&amp;","&amp;N720&amp;"}}"</f>
        <v>{s_taskTalk,{60553,60553}}</v>
      </c>
    </row>
    <row r="721" spans="1:49" s="25" customFormat="1" ht="72" x14ac:dyDescent="0.15">
      <c r="A721" s="9">
        <v>4621</v>
      </c>
      <c r="C721" s="25" t="s">
        <v>2151</v>
      </c>
      <c r="D721" s="25">
        <v>1</v>
      </c>
      <c r="E721" s="25">
        <v>0</v>
      </c>
      <c r="F721" s="25">
        <v>5</v>
      </c>
      <c r="G721" s="120">
        <v>200</v>
      </c>
      <c r="H721" s="25">
        <v>200</v>
      </c>
      <c r="I721" s="17">
        <v>0</v>
      </c>
      <c r="J721" s="396">
        <v>4611</v>
      </c>
      <c r="K721" s="25">
        <v>0</v>
      </c>
      <c r="L721" s="25">
        <v>60553</v>
      </c>
      <c r="M721" s="25" t="s">
        <v>1469</v>
      </c>
      <c r="N721" s="25">
        <v>60553</v>
      </c>
      <c r="O721" s="25" t="s">
        <v>5169</v>
      </c>
      <c r="Q721" s="397"/>
      <c r="R721" s="397"/>
      <c r="S721" s="397">
        <v>10301</v>
      </c>
      <c r="T721" s="397"/>
      <c r="U721" s="25">
        <v>1</v>
      </c>
      <c r="V721" s="25">
        <v>0</v>
      </c>
      <c r="W721" s="25">
        <v>65</v>
      </c>
      <c r="Z721" s="398">
        <v>133000</v>
      </c>
      <c r="AB721" s="399"/>
      <c r="AC721" s="399"/>
      <c r="AF721" s="25" t="s">
        <v>7247</v>
      </c>
      <c r="AG721" s="25" t="s">
        <v>1657</v>
      </c>
      <c r="AH721" s="25" t="s">
        <v>1479</v>
      </c>
      <c r="AI721" s="25" t="s">
        <v>1670</v>
      </c>
      <c r="AL721" s="396">
        <v>0</v>
      </c>
      <c r="AM721" s="400" t="s">
        <v>7248</v>
      </c>
      <c r="AN721" s="400" t="s">
        <v>5803</v>
      </c>
      <c r="AP721" s="25">
        <v>1</v>
      </c>
      <c r="AQ721" s="25">
        <v>0</v>
      </c>
      <c r="AR721" s="50">
        <v>0</v>
      </c>
      <c r="AS721" s="50">
        <v>0</v>
      </c>
      <c r="AU721" s="226">
        <v>0</v>
      </c>
      <c r="AV721" s="17">
        <f t="shared" si="103"/>
        <v>1</v>
      </c>
      <c r="AW721" s="50" t="str">
        <f>"{s_taskKillNpc, {"&amp;L721&amp;","&amp;N721&amp;","&amp;S721&amp;","&amp;U721&amp;"}}"</f>
        <v>{s_taskKillNpc, {60553,60553,10301,1}}</v>
      </c>
    </row>
    <row r="722" spans="1:49" s="25" customFormat="1" ht="120" x14ac:dyDescent="0.15">
      <c r="A722" s="9">
        <v>4631</v>
      </c>
      <c r="C722" s="25" t="s">
        <v>4706</v>
      </c>
      <c r="D722" s="25">
        <v>1</v>
      </c>
      <c r="E722" s="25">
        <v>0</v>
      </c>
      <c r="F722" s="25">
        <v>5</v>
      </c>
      <c r="G722" s="120">
        <v>200</v>
      </c>
      <c r="H722" s="25">
        <v>200</v>
      </c>
      <c r="I722" s="17">
        <v>0</v>
      </c>
      <c r="J722" s="396">
        <v>4621</v>
      </c>
      <c r="K722" s="25">
        <v>0</v>
      </c>
      <c r="L722" s="25">
        <v>60553</v>
      </c>
      <c r="M722" s="25" t="s">
        <v>1619</v>
      </c>
      <c r="N722" s="25">
        <v>60553</v>
      </c>
      <c r="O722" s="25" t="s">
        <v>5169</v>
      </c>
      <c r="Q722" s="397"/>
      <c r="R722" s="397"/>
      <c r="S722" s="397"/>
      <c r="T722" s="397"/>
      <c r="U722" s="25">
        <v>1</v>
      </c>
      <c r="V722" s="25">
        <v>1</v>
      </c>
      <c r="W722" s="25">
        <v>68</v>
      </c>
      <c r="Z722" s="398">
        <v>24000</v>
      </c>
      <c r="AB722" s="399"/>
      <c r="AC722" s="399"/>
      <c r="AF722" s="25" t="s">
        <v>4707</v>
      </c>
      <c r="AG722" s="25" t="s">
        <v>4708</v>
      </c>
      <c r="AH722" s="25" t="s">
        <v>4709</v>
      </c>
      <c r="AL722" s="396">
        <v>0</v>
      </c>
      <c r="AM722" s="400" t="s">
        <v>7249</v>
      </c>
      <c r="AN722" s="400" t="s">
        <v>5804</v>
      </c>
      <c r="AP722" s="25">
        <v>1</v>
      </c>
      <c r="AQ722" s="25">
        <v>0</v>
      </c>
      <c r="AR722" s="50">
        <v>0</v>
      </c>
      <c r="AS722" s="50">
        <v>0</v>
      </c>
      <c r="AU722" s="226">
        <v>0</v>
      </c>
      <c r="AV722" s="17">
        <f t="shared" si="103"/>
        <v>1</v>
      </c>
      <c r="AW722" s="50" t="str">
        <f>"{s_taskTalk,{"&amp;L722&amp;","&amp;N722&amp;"}}"</f>
        <v>{s_taskTalk,{60553,60553}}</v>
      </c>
    </row>
    <row r="723" spans="1:49" s="25" customFormat="1" ht="84" x14ac:dyDescent="0.15">
      <c r="A723" s="9">
        <v>4641</v>
      </c>
      <c r="C723" s="25" t="s">
        <v>2152</v>
      </c>
      <c r="D723" s="25">
        <v>1</v>
      </c>
      <c r="E723" s="25">
        <v>0</v>
      </c>
      <c r="F723" s="25">
        <v>5</v>
      </c>
      <c r="G723" s="120">
        <v>200</v>
      </c>
      <c r="H723" s="25">
        <v>200</v>
      </c>
      <c r="I723" s="17">
        <v>0</v>
      </c>
      <c r="J723" s="396">
        <v>4631</v>
      </c>
      <c r="K723" s="25">
        <v>0</v>
      </c>
      <c r="L723" s="25">
        <v>60553</v>
      </c>
      <c r="M723" s="25" t="s">
        <v>1619</v>
      </c>
      <c r="N723" s="25">
        <v>60553</v>
      </c>
      <c r="O723" s="25" t="s">
        <v>5169</v>
      </c>
      <c r="Q723" s="397"/>
      <c r="R723" s="397"/>
      <c r="S723" s="397"/>
      <c r="T723" s="397"/>
      <c r="U723" s="25">
        <v>1</v>
      </c>
      <c r="V723" s="25">
        <v>1</v>
      </c>
      <c r="W723" s="25">
        <v>68</v>
      </c>
      <c r="Z723" s="398">
        <v>24000</v>
      </c>
      <c r="AB723" s="399"/>
      <c r="AC723" s="399"/>
      <c r="AF723" s="25" t="s">
        <v>7250</v>
      </c>
      <c r="AG723" s="25" t="s">
        <v>1658</v>
      </c>
      <c r="AH723" s="25" t="s">
        <v>1659</v>
      </c>
      <c r="AL723" s="396">
        <v>0</v>
      </c>
      <c r="AM723" s="400" t="s">
        <v>7251</v>
      </c>
      <c r="AN723" s="400" t="s">
        <v>5805</v>
      </c>
      <c r="AP723" s="25">
        <v>1</v>
      </c>
      <c r="AQ723" s="25">
        <v>0</v>
      </c>
      <c r="AR723" s="50">
        <v>0</v>
      </c>
      <c r="AS723" s="50">
        <v>0</v>
      </c>
      <c r="AU723" s="226">
        <v>0</v>
      </c>
      <c r="AV723" s="17">
        <f t="shared" si="103"/>
        <v>1</v>
      </c>
      <c r="AW723" s="50" t="str">
        <f>"{s_taskTalk,{"&amp;L723&amp;","&amp;N723&amp;"}}"</f>
        <v>{s_taskTalk,{60553,60553}}</v>
      </c>
    </row>
    <row r="724" spans="1:49" s="25" customFormat="1" ht="96" x14ac:dyDescent="0.15">
      <c r="A724" s="9">
        <v>4651</v>
      </c>
      <c r="C724" s="25" t="s">
        <v>2153</v>
      </c>
      <c r="D724" s="25">
        <v>1</v>
      </c>
      <c r="E724" s="25">
        <v>0</v>
      </c>
      <c r="F724" s="25">
        <v>5</v>
      </c>
      <c r="G724" s="120">
        <v>200</v>
      </c>
      <c r="H724" s="25">
        <v>200</v>
      </c>
      <c r="I724" s="17">
        <v>0</v>
      </c>
      <c r="J724" s="396">
        <v>4641</v>
      </c>
      <c r="K724" s="25">
        <v>0</v>
      </c>
      <c r="L724" s="25">
        <v>60553</v>
      </c>
      <c r="M724" s="25" t="s">
        <v>1619</v>
      </c>
      <c r="N724" s="25">
        <v>60553</v>
      </c>
      <c r="O724" s="25" t="s">
        <v>5169</v>
      </c>
      <c r="Q724" s="397"/>
      <c r="R724" s="397"/>
      <c r="S724" s="397"/>
      <c r="T724" s="397"/>
      <c r="U724" s="25">
        <v>40</v>
      </c>
      <c r="V724" s="25">
        <v>0</v>
      </c>
      <c r="W724" s="25">
        <v>68</v>
      </c>
      <c r="Z724" s="398">
        <v>138000</v>
      </c>
      <c r="AB724" s="399"/>
      <c r="AC724" s="399"/>
      <c r="AF724" s="25" t="s">
        <v>7252</v>
      </c>
      <c r="AG724" s="25" t="s">
        <v>4710</v>
      </c>
      <c r="AH724" s="25" t="s">
        <v>1660</v>
      </c>
      <c r="AI724" s="25" t="s">
        <v>1671</v>
      </c>
      <c r="AL724" s="396">
        <v>0</v>
      </c>
      <c r="AM724" s="400" t="s">
        <v>7253</v>
      </c>
      <c r="AN724" s="400" t="s">
        <v>5806</v>
      </c>
      <c r="AO724" s="25" t="s">
        <v>1664</v>
      </c>
      <c r="AP724" s="25">
        <v>1</v>
      </c>
      <c r="AQ724" s="25">
        <v>0</v>
      </c>
      <c r="AR724" s="50">
        <v>0</v>
      </c>
      <c r="AS724" s="50">
        <v>0</v>
      </c>
      <c r="AU724" s="226">
        <v>0</v>
      </c>
      <c r="AV724" s="17">
        <f t="shared" si="103"/>
        <v>1</v>
      </c>
      <c r="AW724" s="50" t="str">
        <f>"{s_taskTalk,{"&amp;L724&amp;","&amp;N724&amp;"}}"</f>
        <v>{s_taskTalk,{60553,60553}}</v>
      </c>
    </row>
    <row r="725" spans="1:49" s="99" customFormat="1" ht="72" x14ac:dyDescent="0.15">
      <c r="A725" s="9">
        <v>4661</v>
      </c>
      <c r="C725" s="99" t="s">
        <v>2154</v>
      </c>
      <c r="D725" s="99">
        <v>1</v>
      </c>
      <c r="E725" s="99">
        <v>0</v>
      </c>
      <c r="F725" s="99">
        <v>5</v>
      </c>
      <c r="G725" s="120">
        <v>200</v>
      </c>
      <c r="H725" s="99">
        <v>200</v>
      </c>
      <c r="I725" s="17">
        <v>0</v>
      </c>
      <c r="J725" s="150">
        <v>4651</v>
      </c>
      <c r="K725" s="99">
        <v>0</v>
      </c>
      <c r="L725" s="99">
        <v>60553</v>
      </c>
      <c r="M725" s="99" t="s">
        <v>1469</v>
      </c>
      <c r="N725" s="99">
        <v>60553</v>
      </c>
      <c r="O725" s="99" t="s">
        <v>5169</v>
      </c>
      <c r="Q725" s="151"/>
      <c r="R725" s="151"/>
      <c r="S725" s="151"/>
      <c r="T725" s="151"/>
      <c r="U725" s="99">
        <v>1</v>
      </c>
      <c r="V725" s="99">
        <v>0</v>
      </c>
      <c r="W725" s="152">
        <v>1131</v>
      </c>
      <c r="Z725" s="153">
        <v>24000</v>
      </c>
      <c r="AB725" s="154"/>
      <c r="AC725" s="154"/>
      <c r="AF725" s="99" t="s">
        <v>7254</v>
      </c>
      <c r="AG725" s="99" t="s">
        <v>1481</v>
      </c>
      <c r="AH725" s="99" t="s">
        <v>1480</v>
      </c>
      <c r="AI725" s="99" t="s">
        <v>1672</v>
      </c>
      <c r="AL725" s="150">
        <v>0</v>
      </c>
      <c r="AM725" s="157" t="s">
        <v>6137</v>
      </c>
      <c r="AN725" s="157" t="s">
        <v>5807</v>
      </c>
      <c r="AP725" s="99">
        <v>1</v>
      </c>
      <c r="AQ725" s="99">
        <v>0</v>
      </c>
      <c r="AR725" s="50">
        <v>0</v>
      </c>
      <c r="AS725" s="50">
        <v>0</v>
      </c>
      <c r="AU725" s="226">
        <v>0</v>
      </c>
      <c r="AV725" s="17">
        <f t="shared" si="103"/>
        <v>1</v>
      </c>
      <c r="AW725" s="50" t="str">
        <f>"{s_taskTalk,{"&amp;L725&amp;","&amp;N725&amp;"}}"</f>
        <v>{s_taskTalk,{60553,60553}}</v>
      </c>
    </row>
    <row r="726" spans="1:49" s="25" customFormat="1" ht="84" x14ac:dyDescent="0.15">
      <c r="A726" s="9">
        <v>4671</v>
      </c>
      <c r="C726" s="25" t="s">
        <v>2155</v>
      </c>
      <c r="D726" s="25">
        <v>1</v>
      </c>
      <c r="E726" s="25">
        <v>0</v>
      </c>
      <c r="F726" s="25">
        <v>5</v>
      </c>
      <c r="G726" s="120">
        <v>200</v>
      </c>
      <c r="H726" s="25">
        <v>200</v>
      </c>
      <c r="I726" s="17">
        <v>0</v>
      </c>
      <c r="J726" s="396">
        <v>4651</v>
      </c>
      <c r="K726" s="25">
        <v>0</v>
      </c>
      <c r="L726" s="25">
        <v>60553</v>
      </c>
      <c r="M726" s="25" t="s">
        <v>1619</v>
      </c>
      <c r="N726" s="25">
        <v>60553</v>
      </c>
      <c r="O726" s="25" t="s">
        <v>5169</v>
      </c>
      <c r="Q726" s="397"/>
      <c r="R726" s="397"/>
      <c r="S726" s="397">
        <v>10302</v>
      </c>
      <c r="T726" s="397"/>
      <c r="U726" s="25">
        <v>1</v>
      </c>
      <c r="V726" s="25">
        <v>0</v>
      </c>
      <c r="W726" s="51">
        <v>70</v>
      </c>
      <c r="Z726" s="398">
        <v>24000</v>
      </c>
      <c r="AB726" s="399"/>
      <c r="AC726" s="399"/>
      <c r="AF726" s="25" t="s">
        <v>7255</v>
      </c>
      <c r="AG726" s="25" t="s">
        <v>1661</v>
      </c>
      <c r="AH726" s="25" t="s">
        <v>1662</v>
      </c>
      <c r="AL726" s="396">
        <v>0</v>
      </c>
      <c r="AM726" s="400" t="s">
        <v>7256</v>
      </c>
      <c r="AN726" s="400" t="s">
        <v>5808</v>
      </c>
      <c r="AP726" s="25">
        <v>1</v>
      </c>
      <c r="AQ726" s="25">
        <v>0</v>
      </c>
      <c r="AR726" s="50">
        <v>0</v>
      </c>
      <c r="AS726" s="50">
        <v>0</v>
      </c>
      <c r="AU726" s="226">
        <v>0</v>
      </c>
      <c r="AV726" s="17">
        <f t="shared" si="103"/>
        <v>1</v>
      </c>
      <c r="AW726" s="50" t="str">
        <f>"{s_taskKillNpc, {"&amp;L726&amp;","&amp;N726&amp;","&amp;S726&amp;","&amp;U726&amp;"}}"</f>
        <v>{s_taskKillNpc, {60553,60553,10302,1}}</v>
      </c>
    </row>
    <row r="727" spans="1:49" s="25" customFormat="1" ht="180" x14ac:dyDescent="0.15">
      <c r="A727" s="9">
        <v>4681</v>
      </c>
      <c r="B727" s="99"/>
      <c r="C727" s="99" t="s">
        <v>2156</v>
      </c>
      <c r="D727" s="25">
        <v>1</v>
      </c>
      <c r="E727" s="25">
        <v>0</v>
      </c>
      <c r="F727" s="25">
        <v>5</v>
      </c>
      <c r="G727" s="120">
        <v>200</v>
      </c>
      <c r="H727" s="25">
        <v>200</v>
      </c>
      <c r="I727" s="17">
        <v>0</v>
      </c>
      <c r="J727" s="396">
        <v>4671</v>
      </c>
      <c r="K727" s="25">
        <v>0</v>
      </c>
      <c r="L727" s="25">
        <v>60553</v>
      </c>
      <c r="M727" s="25" t="s">
        <v>1469</v>
      </c>
      <c r="N727" s="25">
        <v>60553</v>
      </c>
      <c r="O727" s="25" t="s">
        <v>5169</v>
      </c>
      <c r="Q727" s="397"/>
      <c r="R727" s="397"/>
      <c r="S727" s="397"/>
      <c r="T727" s="397"/>
      <c r="U727" s="25">
        <v>2</v>
      </c>
      <c r="V727" s="25">
        <v>0</v>
      </c>
      <c r="W727" s="51">
        <v>73</v>
      </c>
      <c r="Z727" s="398">
        <v>142000</v>
      </c>
      <c r="AB727" s="399"/>
      <c r="AC727" s="399"/>
      <c r="AF727" s="25" t="s">
        <v>7257</v>
      </c>
      <c r="AG727" s="25" t="s">
        <v>1666</v>
      </c>
      <c r="AH727" s="25" t="s">
        <v>1482</v>
      </c>
      <c r="AI727" s="25" t="s">
        <v>1673</v>
      </c>
      <c r="AL727" s="396">
        <v>0</v>
      </c>
      <c r="AM727" s="400" t="s">
        <v>7258</v>
      </c>
      <c r="AN727" s="400" t="s">
        <v>5809</v>
      </c>
      <c r="AO727" s="25" t="s">
        <v>7259</v>
      </c>
      <c r="AP727" s="25">
        <v>1</v>
      </c>
      <c r="AQ727" s="25">
        <v>0</v>
      </c>
      <c r="AR727" s="50">
        <v>0</v>
      </c>
      <c r="AS727" s="50">
        <v>0</v>
      </c>
      <c r="AU727" s="226">
        <v>0</v>
      </c>
      <c r="AV727" s="17">
        <f t="shared" si="103"/>
        <v>1</v>
      </c>
      <c r="AW727" s="50" t="str">
        <f>"{s_taskTalk,{"&amp;L727&amp;","&amp;N727&amp;"}}"</f>
        <v>{s_taskTalk,{60553,60553}}</v>
      </c>
    </row>
    <row r="728" spans="1:49" s="25" customFormat="1" ht="84" x14ac:dyDescent="0.15">
      <c r="A728" s="9">
        <v>4691</v>
      </c>
      <c r="C728" s="25" t="s">
        <v>2157</v>
      </c>
      <c r="D728" s="25">
        <v>1</v>
      </c>
      <c r="E728" s="25">
        <v>0</v>
      </c>
      <c r="F728" s="25">
        <v>5</v>
      </c>
      <c r="G728" s="120">
        <v>200</v>
      </c>
      <c r="H728" s="25">
        <v>200</v>
      </c>
      <c r="I728" s="17">
        <v>0</v>
      </c>
      <c r="J728" s="396">
        <v>4681</v>
      </c>
      <c r="K728" s="25">
        <v>0</v>
      </c>
      <c r="L728" s="25">
        <v>60553</v>
      </c>
      <c r="M728" s="25" t="s">
        <v>1469</v>
      </c>
      <c r="N728" s="25">
        <v>60553</v>
      </c>
      <c r="O728" s="25" t="s">
        <v>5169</v>
      </c>
      <c r="Q728" s="397"/>
      <c r="R728" s="397"/>
      <c r="S728" s="397"/>
      <c r="T728" s="397"/>
      <c r="U728" s="25">
        <v>1</v>
      </c>
      <c r="V728" s="25">
        <v>1</v>
      </c>
      <c r="W728" s="51">
        <v>73</v>
      </c>
      <c r="Z728" s="398">
        <v>24000</v>
      </c>
      <c r="AB728" s="399"/>
      <c r="AC728" s="399"/>
      <c r="AF728" s="25" t="s">
        <v>4711</v>
      </c>
      <c r="AG728" s="25" t="s">
        <v>4712</v>
      </c>
      <c r="AH728" s="25" t="s">
        <v>4713</v>
      </c>
      <c r="AL728" s="396">
        <v>0</v>
      </c>
      <c r="AM728" s="400" t="s">
        <v>7260</v>
      </c>
      <c r="AN728" s="400" t="s">
        <v>5810</v>
      </c>
      <c r="AP728" s="25">
        <v>1</v>
      </c>
      <c r="AQ728" s="25">
        <v>0</v>
      </c>
      <c r="AR728" s="50">
        <v>0</v>
      </c>
      <c r="AS728" s="50">
        <v>0</v>
      </c>
      <c r="AU728" s="226">
        <v>0</v>
      </c>
      <c r="AV728" s="17">
        <f t="shared" si="103"/>
        <v>1</v>
      </c>
      <c r="AW728" s="50" t="str">
        <f>"{s_taskTalk,{"&amp;L728&amp;","&amp;N728&amp;"}}"</f>
        <v>{s_taskTalk,{60553,60553}}</v>
      </c>
    </row>
    <row r="729" spans="1:49" s="99" customFormat="1" ht="96" x14ac:dyDescent="0.15">
      <c r="A729" s="9">
        <v>4701</v>
      </c>
      <c r="C729" s="99" t="s">
        <v>2158</v>
      </c>
      <c r="D729" s="99">
        <v>1</v>
      </c>
      <c r="E729" s="99">
        <v>0</v>
      </c>
      <c r="F729" s="99">
        <v>5</v>
      </c>
      <c r="G729" s="120">
        <v>200</v>
      </c>
      <c r="H729" s="99">
        <v>200</v>
      </c>
      <c r="I729" s="17">
        <v>0</v>
      </c>
      <c r="J729" s="150">
        <v>4691</v>
      </c>
      <c r="K729" s="99">
        <v>0</v>
      </c>
      <c r="L729" s="99">
        <v>60553</v>
      </c>
      <c r="M729" s="99" t="s">
        <v>1619</v>
      </c>
      <c r="N729" s="99">
        <v>60558</v>
      </c>
      <c r="O729" s="99" t="s">
        <v>5171</v>
      </c>
      <c r="Q729" s="151"/>
      <c r="R729" s="151"/>
      <c r="S729" s="151"/>
      <c r="T729" s="151"/>
      <c r="U729" s="99">
        <v>1</v>
      </c>
      <c r="V729" s="99">
        <v>0</v>
      </c>
      <c r="W729" s="152">
        <v>73</v>
      </c>
      <c r="Z729" s="153">
        <v>24000</v>
      </c>
      <c r="AB729" s="154"/>
      <c r="AC729" s="154"/>
      <c r="AF729" s="99" t="s">
        <v>4714</v>
      </c>
      <c r="AG729" s="99" t="s">
        <v>4225</v>
      </c>
      <c r="AH729" s="99" t="s">
        <v>4715</v>
      </c>
      <c r="AI729" s="99" t="s">
        <v>1674</v>
      </c>
      <c r="AL729" s="150">
        <v>0</v>
      </c>
      <c r="AM729" s="157" t="s">
        <v>7261</v>
      </c>
      <c r="AN729" s="157" t="s">
        <v>5811</v>
      </c>
      <c r="AP729" s="99">
        <v>1</v>
      </c>
      <c r="AQ729" s="99">
        <v>0</v>
      </c>
      <c r="AR729" s="50">
        <v>0</v>
      </c>
      <c r="AS729" s="50">
        <v>0</v>
      </c>
      <c r="AU729" s="226">
        <v>0</v>
      </c>
      <c r="AV729" s="17">
        <f t="shared" si="103"/>
        <v>1</v>
      </c>
      <c r="AW729" s="50" t="str">
        <f>"{s_taskLevelUp,{"&amp;L729&amp;","&amp;N729&amp;","&amp;G729+1&amp;"}}"</f>
        <v>{s_taskLevelUp,{60553,60558,201}}</v>
      </c>
    </row>
    <row r="730" spans="1:49" s="25" customFormat="1" ht="120" x14ac:dyDescent="0.15">
      <c r="A730" s="9">
        <v>4711</v>
      </c>
      <c r="C730" s="25" t="s">
        <v>4226</v>
      </c>
      <c r="D730" s="25">
        <v>1</v>
      </c>
      <c r="E730" s="25">
        <v>0</v>
      </c>
      <c r="F730" s="25">
        <v>5</v>
      </c>
      <c r="G730" s="120">
        <v>200</v>
      </c>
      <c r="H730" s="25">
        <v>200</v>
      </c>
      <c r="I730" s="17">
        <v>0</v>
      </c>
      <c r="J730" s="396">
        <v>4701</v>
      </c>
      <c r="K730" s="25">
        <v>0</v>
      </c>
      <c r="L730" s="25">
        <v>60558</v>
      </c>
      <c r="M730" s="25" t="s">
        <v>1483</v>
      </c>
      <c r="N730" s="25">
        <v>60559</v>
      </c>
      <c r="O730" s="25" t="s">
        <v>5172</v>
      </c>
      <c r="Q730" s="397"/>
      <c r="R730" s="397"/>
      <c r="S730" s="397"/>
      <c r="T730" s="397"/>
      <c r="U730" s="25">
        <v>1</v>
      </c>
      <c r="V730" s="25">
        <v>1</v>
      </c>
      <c r="W730" s="51">
        <v>76</v>
      </c>
      <c r="Z730" s="398">
        <v>25000</v>
      </c>
      <c r="AB730" s="399"/>
      <c r="AC730" s="399"/>
      <c r="AF730" s="25" t="s">
        <v>4717</v>
      </c>
      <c r="AG730" s="25" t="s">
        <v>1485</v>
      </c>
      <c r="AH730" s="25" t="s">
        <v>1486</v>
      </c>
      <c r="AI730" s="25" t="s">
        <v>1474</v>
      </c>
      <c r="AL730" s="396">
        <v>0</v>
      </c>
      <c r="AM730" s="400" t="s">
        <v>7262</v>
      </c>
      <c r="AN730" s="400" t="s">
        <v>5812</v>
      </c>
      <c r="AP730" s="25">
        <v>1</v>
      </c>
      <c r="AQ730" s="25">
        <v>0</v>
      </c>
      <c r="AR730" s="50">
        <v>0</v>
      </c>
      <c r="AS730" s="50">
        <v>0</v>
      </c>
      <c r="AU730" s="226">
        <v>0</v>
      </c>
      <c r="AV730" s="17">
        <f t="shared" si="103"/>
        <v>1</v>
      </c>
      <c r="AW730" s="50" t="str">
        <f>"{s_taskTalk,{"&amp;L730&amp;","&amp;N730&amp;"}}"</f>
        <v>{s_taskTalk,{60558,60559}}</v>
      </c>
    </row>
    <row r="731" spans="1:49" s="25" customFormat="1" ht="84" x14ac:dyDescent="0.15">
      <c r="A731" s="9">
        <v>4721</v>
      </c>
      <c r="C731" s="25" t="s">
        <v>2159</v>
      </c>
      <c r="D731" s="25">
        <v>1</v>
      </c>
      <c r="E731" s="25">
        <v>0</v>
      </c>
      <c r="F731" s="25">
        <v>5</v>
      </c>
      <c r="G731" s="120">
        <v>200</v>
      </c>
      <c r="H731" s="25">
        <v>200</v>
      </c>
      <c r="I731" s="17">
        <v>0</v>
      </c>
      <c r="J731" s="396">
        <v>4711</v>
      </c>
      <c r="K731" s="25">
        <v>0</v>
      </c>
      <c r="L731" s="25">
        <v>60559</v>
      </c>
      <c r="M731" s="25" t="s">
        <v>1484</v>
      </c>
      <c r="N731" s="25">
        <v>60558</v>
      </c>
      <c r="O731" s="25" t="s">
        <v>5171</v>
      </c>
      <c r="Q731" s="397"/>
      <c r="R731" s="397"/>
      <c r="S731" s="397"/>
      <c r="T731" s="397"/>
      <c r="U731" s="25">
        <v>1</v>
      </c>
      <c r="V731" s="25">
        <v>1</v>
      </c>
      <c r="W731" s="51">
        <v>76</v>
      </c>
      <c r="Z731" s="398">
        <v>25000</v>
      </c>
      <c r="AB731" s="399"/>
      <c r="AC731" s="399"/>
      <c r="AF731" s="25" t="s">
        <v>7263</v>
      </c>
      <c r="AG731" s="25" t="s">
        <v>1487</v>
      </c>
      <c r="AH731" s="25" t="s">
        <v>4718</v>
      </c>
      <c r="AI731" s="25" t="s">
        <v>4716</v>
      </c>
      <c r="AL731" s="396">
        <v>0</v>
      </c>
      <c r="AM731" s="400" t="s">
        <v>7264</v>
      </c>
      <c r="AN731" s="400" t="s">
        <v>5813</v>
      </c>
      <c r="AP731" s="25">
        <v>1</v>
      </c>
      <c r="AQ731" s="25">
        <v>0</v>
      </c>
      <c r="AR731" s="50">
        <v>0</v>
      </c>
      <c r="AS731" s="50">
        <v>0</v>
      </c>
      <c r="AU731" s="226">
        <v>0</v>
      </c>
      <c r="AV731" s="17">
        <f t="shared" si="103"/>
        <v>1</v>
      </c>
      <c r="AW731" s="50" t="str">
        <f>"{s_taskTalk,{"&amp;L731&amp;","&amp;N731&amp;"}}"</f>
        <v>{s_taskTalk,{60559,60558}}</v>
      </c>
    </row>
    <row r="732" spans="1:49" s="25" customFormat="1" ht="84" x14ac:dyDescent="0.15">
      <c r="A732" s="9">
        <v>4731</v>
      </c>
      <c r="C732" s="25" t="s">
        <v>2160</v>
      </c>
      <c r="D732" s="25">
        <v>1</v>
      </c>
      <c r="E732" s="25">
        <v>0</v>
      </c>
      <c r="F732" s="25">
        <v>5</v>
      </c>
      <c r="G732" s="120">
        <v>200</v>
      </c>
      <c r="H732" s="25">
        <v>200</v>
      </c>
      <c r="I732" s="17">
        <v>0</v>
      </c>
      <c r="J732" s="396">
        <v>4721</v>
      </c>
      <c r="K732" s="25">
        <v>0</v>
      </c>
      <c r="L732" s="25">
        <v>60558</v>
      </c>
      <c r="M732" s="25" t="s">
        <v>1483</v>
      </c>
      <c r="N732" s="25">
        <v>60558</v>
      </c>
      <c r="O732" s="25" t="s">
        <v>5171</v>
      </c>
      <c r="Q732" s="397"/>
      <c r="R732" s="397"/>
      <c r="S732" s="397"/>
      <c r="T732" s="397"/>
      <c r="U732" s="25">
        <v>1</v>
      </c>
      <c r="V732" s="25">
        <v>1</v>
      </c>
      <c r="W732" s="51">
        <v>76</v>
      </c>
      <c r="Z732" s="398">
        <v>25000</v>
      </c>
      <c r="AB732" s="399"/>
      <c r="AC732" s="399"/>
      <c r="AF732" s="25" t="s">
        <v>4719</v>
      </c>
      <c r="AG732" s="25" t="s">
        <v>4720</v>
      </c>
      <c r="AH732" s="25" t="s">
        <v>1488</v>
      </c>
      <c r="AI732" s="25" t="s">
        <v>4716</v>
      </c>
      <c r="AL732" s="396">
        <v>0</v>
      </c>
      <c r="AM732" s="400" t="s">
        <v>7265</v>
      </c>
      <c r="AN732" s="400" t="s">
        <v>5814</v>
      </c>
      <c r="AP732" s="25">
        <v>1</v>
      </c>
      <c r="AQ732" s="25">
        <v>0</v>
      </c>
      <c r="AR732" s="50">
        <v>0</v>
      </c>
      <c r="AS732" s="50">
        <v>0</v>
      </c>
      <c r="AU732" s="226">
        <v>0</v>
      </c>
      <c r="AV732" s="17">
        <f t="shared" si="103"/>
        <v>1</v>
      </c>
      <c r="AW732" s="50" t="str">
        <f>"{s_taskTalk,{"&amp;L732&amp;","&amp;N732&amp;"}}"</f>
        <v>{s_taskTalk,{60558,60558}}</v>
      </c>
    </row>
    <row r="733" spans="1:49" s="25" customFormat="1" ht="96" x14ac:dyDescent="0.15">
      <c r="A733" s="9">
        <v>4741</v>
      </c>
      <c r="C733" s="25" t="s">
        <v>2161</v>
      </c>
      <c r="D733" s="25">
        <v>1</v>
      </c>
      <c r="E733" s="25">
        <v>0</v>
      </c>
      <c r="F733" s="25">
        <v>5</v>
      </c>
      <c r="G733" s="120">
        <v>200</v>
      </c>
      <c r="H733" s="25">
        <v>200</v>
      </c>
      <c r="I733" s="17">
        <v>0</v>
      </c>
      <c r="J733" s="396">
        <v>4731</v>
      </c>
      <c r="K733" s="25">
        <v>0</v>
      </c>
      <c r="L733" s="25">
        <v>60558</v>
      </c>
      <c r="M733" s="25" t="s">
        <v>1483</v>
      </c>
      <c r="N733" s="25">
        <v>60558</v>
      </c>
      <c r="O733" s="25" t="s">
        <v>5171</v>
      </c>
      <c r="Q733" s="397"/>
      <c r="R733" s="397"/>
      <c r="S733" s="397"/>
      <c r="T733" s="397"/>
      <c r="U733" s="25">
        <v>1</v>
      </c>
      <c r="V733" s="25">
        <v>0</v>
      </c>
      <c r="W733" s="51">
        <v>76</v>
      </c>
      <c r="Z733" s="398">
        <v>45000</v>
      </c>
      <c r="AB733" s="399"/>
      <c r="AC733" s="399"/>
      <c r="AF733" s="25" t="s">
        <v>7266</v>
      </c>
      <c r="AG733" s="25" t="s">
        <v>1489</v>
      </c>
      <c r="AH733" s="25" t="s">
        <v>1499</v>
      </c>
      <c r="AI733" s="25" t="s">
        <v>1490</v>
      </c>
      <c r="AL733" s="396">
        <v>0</v>
      </c>
      <c r="AM733" s="400" t="s">
        <v>7267</v>
      </c>
      <c r="AN733" s="400" t="s">
        <v>5815</v>
      </c>
      <c r="AP733" s="25">
        <v>1</v>
      </c>
      <c r="AQ733" s="25">
        <v>0</v>
      </c>
      <c r="AR733" s="50">
        <v>0</v>
      </c>
      <c r="AS733" s="50">
        <v>0</v>
      </c>
      <c r="AU733" s="226">
        <v>0</v>
      </c>
      <c r="AV733" s="17">
        <f t="shared" si="103"/>
        <v>1</v>
      </c>
      <c r="AW733" s="50" t="str">
        <f>"{s_taskLevelUp,{"&amp;L733&amp;","&amp;N733&amp;","&amp;G733+1&amp;"}}"</f>
        <v>{s_taskLevelUp,{60558,60558,201}}</v>
      </c>
    </row>
    <row r="734" spans="1:49" s="25" customFormat="1" ht="120" x14ac:dyDescent="0.15">
      <c r="A734" s="9">
        <v>4751</v>
      </c>
      <c r="C734" s="25" t="s">
        <v>4250</v>
      </c>
      <c r="D734" s="25">
        <v>1</v>
      </c>
      <c r="E734" s="25">
        <v>0</v>
      </c>
      <c r="F734" s="25">
        <v>5</v>
      </c>
      <c r="G734" s="120">
        <v>200</v>
      </c>
      <c r="H734" s="25">
        <v>200</v>
      </c>
      <c r="I734" s="17">
        <v>0</v>
      </c>
      <c r="J734" s="396">
        <v>4741</v>
      </c>
      <c r="K734" s="25">
        <v>0</v>
      </c>
      <c r="L734" s="25">
        <v>60558</v>
      </c>
      <c r="M734" s="25" t="s">
        <v>1483</v>
      </c>
      <c r="N734" s="25">
        <v>60045</v>
      </c>
      <c r="O734" s="25" t="s">
        <v>5173</v>
      </c>
      <c r="Q734" s="397"/>
      <c r="R734" s="397"/>
      <c r="S734" s="397"/>
      <c r="T734" s="397"/>
      <c r="U734" s="25">
        <v>1</v>
      </c>
      <c r="V734" s="25">
        <v>1</v>
      </c>
      <c r="W734" s="51">
        <v>79</v>
      </c>
      <c r="Z734" s="398">
        <v>25000</v>
      </c>
      <c r="AB734" s="399"/>
      <c r="AC734" s="399"/>
      <c r="AF734" s="25" t="s">
        <v>4721</v>
      </c>
      <c r="AG734" s="25" t="s">
        <v>4251</v>
      </c>
      <c r="AH734" s="25" t="s">
        <v>1492</v>
      </c>
      <c r="AI734" s="25" t="s">
        <v>4252</v>
      </c>
      <c r="AL734" s="396">
        <v>0</v>
      </c>
      <c r="AM734" s="400" t="s">
        <v>4253</v>
      </c>
      <c r="AN734" s="400" t="s">
        <v>5816</v>
      </c>
      <c r="AP734" s="25">
        <v>1</v>
      </c>
      <c r="AQ734" s="25">
        <v>0</v>
      </c>
      <c r="AR734" s="50">
        <v>0</v>
      </c>
      <c r="AS734" s="50">
        <v>0</v>
      </c>
      <c r="AU734" s="226">
        <v>0</v>
      </c>
      <c r="AV734" s="17">
        <f t="shared" si="103"/>
        <v>1</v>
      </c>
      <c r="AW734" s="50" t="str">
        <f>"{s_taskTalk,{"&amp;L734&amp;","&amp;N734&amp;"}}"</f>
        <v>{s_taskTalk,{60558,60045}}</v>
      </c>
    </row>
    <row r="735" spans="1:49" s="99" customFormat="1" ht="84" x14ac:dyDescent="0.15">
      <c r="A735" s="9">
        <v>4761</v>
      </c>
      <c r="C735" s="99" t="s">
        <v>2162</v>
      </c>
      <c r="D735" s="99">
        <v>1</v>
      </c>
      <c r="E735" s="99">
        <v>0</v>
      </c>
      <c r="F735" s="99">
        <v>1</v>
      </c>
      <c r="G735" s="120">
        <v>200</v>
      </c>
      <c r="H735" s="99">
        <v>200</v>
      </c>
      <c r="I735" s="17">
        <v>0</v>
      </c>
      <c r="J735" s="150">
        <v>4751</v>
      </c>
      <c r="K735" s="99">
        <v>0</v>
      </c>
      <c r="L735" s="99">
        <v>60045</v>
      </c>
      <c r="M735" s="99" t="s">
        <v>1491</v>
      </c>
      <c r="N735" s="99">
        <v>60045</v>
      </c>
      <c r="O735" s="99" t="s">
        <v>5173</v>
      </c>
      <c r="Q735" s="401">
        <v>60172</v>
      </c>
      <c r="R735" s="401"/>
      <c r="S735" s="401">
        <v>60172</v>
      </c>
      <c r="T735" s="401"/>
      <c r="U735" s="99">
        <v>1</v>
      </c>
      <c r="V735" s="99">
        <v>0</v>
      </c>
      <c r="W735" s="51">
        <v>79</v>
      </c>
      <c r="Z735" s="153">
        <v>45000</v>
      </c>
      <c r="AB735" s="154"/>
      <c r="AC735" s="154"/>
      <c r="AF735" s="99" t="s">
        <v>7268</v>
      </c>
      <c r="AG735" s="99" t="s">
        <v>4722</v>
      </c>
      <c r="AH735" s="99" t="s">
        <v>1493</v>
      </c>
      <c r="AI735" s="99" t="s">
        <v>4254</v>
      </c>
      <c r="AL735" s="150">
        <v>0</v>
      </c>
      <c r="AM735" s="157" t="s">
        <v>7269</v>
      </c>
      <c r="AN735" s="157" t="s">
        <v>5817</v>
      </c>
      <c r="AO735" s="99" t="s">
        <v>1785</v>
      </c>
      <c r="AP735" s="99">
        <v>1</v>
      </c>
      <c r="AQ735" s="99">
        <v>0</v>
      </c>
      <c r="AR735" s="50">
        <v>0</v>
      </c>
      <c r="AS735" s="50">
        <v>0</v>
      </c>
      <c r="AU735" s="226">
        <v>0</v>
      </c>
      <c r="AV735" s="17">
        <f t="shared" si="103"/>
        <v>1</v>
      </c>
      <c r="AW735" s="50" t="str">
        <f>"{s_taskTalk,{"&amp;L735&amp;","&amp;N735&amp;"}}"</f>
        <v>{s_taskTalk,{60045,60045}}</v>
      </c>
    </row>
    <row r="736" spans="1:49" s="25" customFormat="1" ht="72" x14ac:dyDescent="0.15">
      <c r="A736" s="9">
        <v>4771</v>
      </c>
      <c r="C736" s="25" t="s">
        <v>2163</v>
      </c>
      <c r="D736" s="25">
        <v>1</v>
      </c>
      <c r="E736" s="25">
        <v>0</v>
      </c>
      <c r="F736" s="25">
        <v>1</v>
      </c>
      <c r="G736" s="120">
        <v>200</v>
      </c>
      <c r="H736" s="25">
        <v>200</v>
      </c>
      <c r="I736" s="17">
        <v>0</v>
      </c>
      <c r="J736" s="396">
        <v>4761</v>
      </c>
      <c r="K736" s="25">
        <v>0</v>
      </c>
      <c r="L736" s="25">
        <v>60045</v>
      </c>
      <c r="M736" s="25" t="s">
        <v>1491</v>
      </c>
      <c r="N736" s="25">
        <v>60558</v>
      </c>
      <c r="O736" s="25" t="s">
        <v>5171</v>
      </c>
      <c r="Q736" s="397"/>
      <c r="R736" s="397"/>
      <c r="S736" s="397"/>
      <c r="T736" s="397"/>
      <c r="U736" s="25">
        <v>1</v>
      </c>
      <c r="V736" s="25">
        <v>1</v>
      </c>
      <c r="W736" s="51">
        <v>79</v>
      </c>
      <c r="Z736" s="398">
        <v>25000</v>
      </c>
      <c r="AB736" s="399"/>
      <c r="AC736" s="399"/>
      <c r="AF736" s="25" t="s">
        <v>4723</v>
      </c>
      <c r="AG736" s="25" t="s">
        <v>4724</v>
      </c>
      <c r="AH736" s="25" t="s">
        <v>1494</v>
      </c>
      <c r="AI736" s="25" t="s">
        <v>4716</v>
      </c>
      <c r="AL736" s="396">
        <v>0</v>
      </c>
      <c r="AM736" s="400" t="s">
        <v>7270</v>
      </c>
      <c r="AN736" s="400" t="s">
        <v>5818</v>
      </c>
      <c r="AP736" s="25">
        <v>1</v>
      </c>
      <c r="AQ736" s="25">
        <v>0</v>
      </c>
      <c r="AR736" s="50">
        <v>0</v>
      </c>
      <c r="AS736" s="50">
        <v>0</v>
      </c>
      <c r="AU736" s="226">
        <v>0</v>
      </c>
      <c r="AV736" s="17">
        <f t="shared" si="103"/>
        <v>1</v>
      </c>
      <c r="AW736" s="50" t="str">
        <f>"{s_taskTalk,{"&amp;L736&amp;","&amp;N736&amp;"}}"</f>
        <v>{s_taskTalk,{60045,60558}}</v>
      </c>
    </row>
    <row r="737" spans="1:49" s="99" customFormat="1" ht="96" x14ac:dyDescent="0.15">
      <c r="A737" s="9">
        <v>4781</v>
      </c>
      <c r="C737" s="99" t="s">
        <v>2164</v>
      </c>
      <c r="D737" s="99">
        <v>1</v>
      </c>
      <c r="E737" s="99">
        <v>0</v>
      </c>
      <c r="F737" s="99">
        <v>5</v>
      </c>
      <c r="G737" s="120">
        <v>200</v>
      </c>
      <c r="H737" s="99">
        <v>200</v>
      </c>
      <c r="I737" s="17">
        <v>0</v>
      </c>
      <c r="J737" s="150">
        <v>4771</v>
      </c>
      <c r="K737" s="99">
        <v>0</v>
      </c>
      <c r="L737" s="99">
        <v>60558</v>
      </c>
      <c r="M737" s="99" t="s">
        <v>1483</v>
      </c>
      <c r="N737" s="99">
        <v>60558</v>
      </c>
      <c r="O737" s="99" t="s">
        <v>5171</v>
      </c>
      <c r="Q737" s="401"/>
      <c r="R737" s="401"/>
      <c r="S737" s="401"/>
      <c r="T737" s="401"/>
      <c r="U737" s="99">
        <v>1</v>
      </c>
      <c r="V737" s="99">
        <v>0</v>
      </c>
      <c r="W737" s="51">
        <v>81</v>
      </c>
      <c r="Z737" s="153">
        <v>145000</v>
      </c>
      <c r="AB737" s="154"/>
      <c r="AC737" s="154"/>
      <c r="AF737" s="99" t="s">
        <v>7271</v>
      </c>
      <c r="AG737" s="99" t="s">
        <v>4391</v>
      </c>
      <c r="AH737" s="99" t="s">
        <v>1495</v>
      </c>
      <c r="AI737" s="99" t="s">
        <v>1496</v>
      </c>
      <c r="AL737" s="150">
        <v>0</v>
      </c>
      <c r="AM737" s="157" t="s">
        <v>6191</v>
      </c>
      <c r="AN737" s="157" t="s">
        <v>5819</v>
      </c>
      <c r="AO737" s="99" t="s">
        <v>1735</v>
      </c>
      <c r="AP737" s="99">
        <v>1</v>
      </c>
      <c r="AQ737" s="99">
        <v>0</v>
      </c>
      <c r="AR737" s="50">
        <v>0</v>
      </c>
      <c r="AS737" s="50">
        <v>0</v>
      </c>
      <c r="AU737" s="226">
        <v>0</v>
      </c>
      <c r="AV737" s="17">
        <f t="shared" si="103"/>
        <v>1</v>
      </c>
      <c r="AW737" s="50" t="str">
        <f>"{s_taskTalk,{"&amp;L737&amp;","&amp;N737&amp;"}}"</f>
        <v>{s_taskTalk,{60558,60558}}</v>
      </c>
    </row>
    <row r="738" spans="1:49" s="99" customFormat="1" ht="96" x14ac:dyDescent="0.15">
      <c r="A738" s="9">
        <v>4791</v>
      </c>
      <c r="C738" s="99" t="s">
        <v>2165</v>
      </c>
      <c r="D738" s="99">
        <v>1</v>
      </c>
      <c r="E738" s="99">
        <v>0</v>
      </c>
      <c r="F738" s="99">
        <v>5</v>
      </c>
      <c r="G738" s="120">
        <v>200</v>
      </c>
      <c r="H738" s="99">
        <v>200</v>
      </c>
      <c r="I738" s="17">
        <v>0</v>
      </c>
      <c r="J738" s="150">
        <v>4781</v>
      </c>
      <c r="K738" s="99">
        <v>0</v>
      </c>
      <c r="L738" s="99">
        <v>60558</v>
      </c>
      <c r="M738" s="99" t="s">
        <v>1483</v>
      </c>
      <c r="N738" s="99">
        <v>60558</v>
      </c>
      <c r="O738" s="99" t="s">
        <v>5171</v>
      </c>
      <c r="Q738" s="401"/>
      <c r="R738" s="401"/>
      <c r="S738" s="401"/>
      <c r="T738" s="401"/>
      <c r="U738" s="99">
        <v>1</v>
      </c>
      <c r="V738" s="99">
        <v>0</v>
      </c>
      <c r="W738" s="51">
        <v>81</v>
      </c>
      <c r="Z738" s="153">
        <v>145000</v>
      </c>
      <c r="AB738" s="154"/>
      <c r="AC738" s="154"/>
      <c r="AF738" s="99" t="s">
        <v>7272</v>
      </c>
      <c r="AG738" s="99" t="s">
        <v>1497</v>
      </c>
      <c r="AH738" s="99" t="s">
        <v>1498</v>
      </c>
      <c r="AI738" s="99" t="s">
        <v>1500</v>
      </c>
      <c r="AL738" s="150">
        <v>0</v>
      </c>
      <c r="AM738" s="157" t="s">
        <v>6192</v>
      </c>
      <c r="AN738" s="157" t="s">
        <v>5820</v>
      </c>
      <c r="AO738" s="99" t="s">
        <v>1736</v>
      </c>
      <c r="AP738" s="99">
        <v>1</v>
      </c>
      <c r="AQ738" s="99">
        <v>0</v>
      </c>
      <c r="AR738" s="50">
        <v>0</v>
      </c>
      <c r="AS738" s="50">
        <v>0</v>
      </c>
      <c r="AU738" s="226">
        <v>0</v>
      </c>
      <c r="AV738" s="17">
        <f t="shared" si="103"/>
        <v>1</v>
      </c>
      <c r="AW738" s="50" t="str">
        <f>"{s_taskTalk,{"&amp;L738&amp;","&amp;N738&amp;"}}"</f>
        <v>{s_taskTalk,{60558,60558}}</v>
      </c>
    </row>
    <row r="739" spans="1:49" s="25" customFormat="1" ht="72" x14ac:dyDescent="0.15">
      <c r="A739" s="9">
        <v>4801</v>
      </c>
      <c r="C739" s="25" t="s">
        <v>2166</v>
      </c>
      <c r="D739" s="25">
        <v>1</v>
      </c>
      <c r="E739" s="25">
        <v>0</v>
      </c>
      <c r="F739" s="25">
        <v>5</v>
      </c>
      <c r="G739" s="120">
        <v>200</v>
      </c>
      <c r="H739" s="25">
        <v>200</v>
      </c>
      <c r="I739" s="17">
        <v>0</v>
      </c>
      <c r="J739" s="396">
        <v>4791</v>
      </c>
      <c r="K739" s="25">
        <v>0</v>
      </c>
      <c r="L739" s="25">
        <v>60558</v>
      </c>
      <c r="M739" s="25" t="s">
        <v>1620</v>
      </c>
      <c r="N739" s="25">
        <v>60558</v>
      </c>
      <c r="O739" s="25" t="s">
        <v>5171</v>
      </c>
      <c r="Q739" s="397"/>
      <c r="R739" s="397"/>
      <c r="S739" s="397"/>
      <c r="T739" s="397"/>
      <c r="U739" s="25">
        <v>1</v>
      </c>
      <c r="V739" s="25">
        <v>0</v>
      </c>
      <c r="W739" s="51">
        <v>81</v>
      </c>
      <c r="Z739" s="398">
        <v>25000</v>
      </c>
      <c r="AB739" s="399"/>
      <c r="AC739" s="399"/>
      <c r="AF739" s="25" t="s">
        <v>4725</v>
      </c>
      <c r="AG739" s="25" t="s">
        <v>1621</v>
      </c>
      <c r="AH739" s="25" t="s">
        <v>4726</v>
      </c>
      <c r="AI739" s="25" t="s">
        <v>4727</v>
      </c>
      <c r="AL739" s="396">
        <v>0</v>
      </c>
      <c r="AM739" s="400" t="s">
        <v>7273</v>
      </c>
      <c r="AN739" s="400" t="s">
        <v>5821</v>
      </c>
      <c r="AP739" s="25">
        <v>1</v>
      </c>
      <c r="AQ739" s="25">
        <v>0</v>
      </c>
      <c r="AR739" s="50">
        <v>0</v>
      </c>
      <c r="AS739" s="50">
        <v>0</v>
      </c>
      <c r="AU739" s="226">
        <v>0</v>
      </c>
      <c r="AV739" s="17">
        <f t="shared" si="103"/>
        <v>1</v>
      </c>
      <c r="AW739" s="50" t="str">
        <f>"{s_taskLevelUp,{"&amp;L739&amp;","&amp;N739&amp;","&amp;G739+1&amp;"}}"</f>
        <v>{s_taskLevelUp,{60558,60558,201}}</v>
      </c>
    </row>
    <row r="740" spans="1:49" s="25" customFormat="1" ht="72" x14ac:dyDescent="0.15">
      <c r="A740" s="9">
        <v>4811</v>
      </c>
      <c r="C740" s="25" t="s">
        <v>2167</v>
      </c>
      <c r="D740" s="25">
        <v>1</v>
      </c>
      <c r="E740" s="25">
        <v>0</v>
      </c>
      <c r="F740" s="25">
        <v>5</v>
      </c>
      <c r="G740" s="120">
        <v>200</v>
      </c>
      <c r="H740" s="25">
        <v>200</v>
      </c>
      <c r="I740" s="17">
        <v>0</v>
      </c>
      <c r="J740" s="396">
        <v>4801</v>
      </c>
      <c r="K740" s="25">
        <v>0</v>
      </c>
      <c r="L740" s="25">
        <v>60558</v>
      </c>
      <c r="M740" s="25" t="s">
        <v>1483</v>
      </c>
      <c r="N740" s="25">
        <v>60554</v>
      </c>
      <c r="O740" s="25" t="s">
        <v>5174</v>
      </c>
      <c r="Q740" s="397"/>
      <c r="R740" s="397"/>
      <c r="S740" s="397"/>
      <c r="T740" s="397"/>
      <c r="U740" s="25">
        <v>1</v>
      </c>
      <c r="V740" s="25">
        <v>1</v>
      </c>
      <c r="W740" s="51">
        <v>84</v>
      </c>
      <c r="Z740" s="398">
        <v>25000</v>
      </c>
      <c r="AB740" s="399"/>
      <c r="AC740" s="399"/>
      <c r="AF740" s="25" t="s">
        <v>4728</v>
      </c>
      <c r="AG740" s="25" t="s">
        <v>1501</v>
      </c>
      <c r="AH740" s="25" t="s">
        <v>4228</v>
      </c>
      <c r="AI740" s="25" t="s">
        <v>4229</v>
      </c>
      <c r="AL740" s="396">
        <v>0</v>
      </c>
      <c r="AM740" s="400" t="s">
        <v>7274</v>
      </c>
      <c r="AN740" s="400" t="s">
        <v>5822</v>
      </c>
      <c r="AP740" s="25">
        <v>1</v>
      </c>
      <c r="AQ740" s="25">
        <v>0</v>
      </c>
      <c r="AR740" s="50">
        <v>0</v>
      </c>
      <c r="AS740" s="50">
        <v>0</v>
      </c>
      <c r="AU740" s="226">
        <v>0</v>
      </c>
      <c r="AV740" s="17">
        <f t="shared" si="103"/>
        <v>1</v>
      </c>
      <c r="AW740" s="50" t="str">
        <f>"{s_taskTalk,{"&amp;L740&amp;","&amp;N740&amp;"}}"</f>
        <v>{s_taskTalk,{60558,60554}}</v>
      </c>
    </row>
    <row r="741" spans="1:49" s="25" customFormat="1" ht="96" x14ac:dyDescent="0.15">
      <c r="A741" s="9">
        <v>4821</v>
      </c>
      <c r="C741" s="25" t="s">
        <v>2168</v>
      </c>
      <c r="D741" s="25">
        <v>1</v>
      </c>
      <c r="E741" s="25">
        <v>0</v>
      </c>
      <c r="F741" s="25">
        <v>5</v>
      </c>
      <c r="G741" s="120">
        <v>200</v>
      </c>
      <c r="H741" s="25">
        <v>200</v>
      </c>
      <c r="I741" s="17">
        <v>0</v>
      </c>
      <c r="J741" s="396">
        <v>4811</v>
      </c>
      <c r="K741" s="25">
        <v>0</v>
      </c>
      <c r="L741" s="25">
        <v>60554</v>
      </c>
      <c r="M741" s="25" t="s">
        <v>4227</v>
      </c>
      <c r="N741" s="25">
        <v>60553</v>
      </c>
      <c r="O741" s="25" t="s">
        <v>1469</v>
      </c>
      <c r="Q741" s="397"/>
      <c r="R741" s="397"/>
      <c r="S741" s="397"/>
      <c r="T741" s="397"/>
      <c r="U741" s="25">
        <v>1</v>
      </c>
      <c r="V741" s="25">
        <v>1</v>
      </c>
      <c r="W741" s="51">
        <v>84</v>
      </c>
      <c r="Z741" s="398">
        <v>25000</v>
      </c>
      <c r="AB741" s="399"/>
      <c r="AC741" s="399"/>
      <c r="AF741" s="25" t="s">
        <v>4230</v>
      </c>
      <c r="AG741" s="25" t="s">
        <v>1502</v>
      </c>
      <c r="AH741" s="25" t="s">
        <v>1503</v>
      </c>
      <c r="AI741" s="25" t="s">
        <v>4729</v>
      </c>
      <c r="AL741" s="396">
        <v>0</v>
      </c>
      <c r="AM741" s="400" t="s">
        <v>7275</v>
      </c>
      <c r="AN741" s="400" t="s">
        <v>5823</v>
      </c>
      <c r="AP741" s="25">
        <v>1</v>
      </c>
      <c r="AQ741" s="25">
        <v>0</v>
      </c>
      <c r="AR741" s="50">
        <v>0</v>
      </c>
      <c r="AS741" s="50">
        <v>0</v>
      </c>
      <c r="AU741" s="226">
        <v>0</v>
      </c>
      <c r="AV741" s="17">
        <f t="shared" si="103"/>
        <v>1</v>
      </c>
      <c r="AW741" s="50" t="str">
        <f>"{s_taskTalk,{"&amp;L741&amp;","&amp;N741&amp;"}}"</f>
        <v>{s_taskTalk,{60554,60553}}</v>
      </c>
    </row>
    <row r="742" spans="1:49" s="25" customFormat="1" ht="84" x14ac:dyDescent="0.15">
      <c r="A742" s="9">
        <v>4831</v>
      </c>
      <c r="C742" s="25" t="s">
        <v>2169</v>
      </c>
      <c r="D742" s="25">
        <v>1</v>
      </c>
      <c r="E742" s="25">
        <v>0</v>
      </c>
      <c r="F742" s="25">
        <v>5</v>
      </c>
      <c r="G742" s="120">
        <v>200</v>
      </c>
      <c r="H742" s="25">
        <v>200</v>
      </c>
      <c r="I742" s="17">
        <v>0</v>
      </c>
      <c r="J742" s="396">
        <v>4821</v>
      </c>
      <c r="K742" s="25">
        <v>0</v>
      </c>
      <c r="L742" s="25">
        <v>60553</v>
      </c>
      <c r="M742" s="25" t="s">
        <v>1469</v>
      </c>
      <c r="N742" s="25">
        <v>60559</v>
      </c>
      <c r="O742" s="25" t="s">
        <v>5172</v>
      </c>
      <c r="Q742" s="397"/>
      <c r="R742" s="397"/>
      <c r="S742" s="397"/>
      <c r="T742" s="397"/>
      <c r="U742" s="25">
        <v>1</v>
      </c>
      <c r="V742" s="25">
        <v>1</v>
      </c>
      <c r="W742" s="51">
        <v>84</v>
      </c>
      <c r="Z742" s="398">
        <v>25000</v>
      </c>
      <c r="AB742" s="399"/>
      <c r="AC742" s="399"/>
      <c r="AF742" s="25" t="s">
        <v>7276</v>
      </c>
      <c r="AG742" s="25" t="s">
        <v>1504</v>
      </c>
      <c r="AH742" s="25" t="s">
        <v>1505</v>
      </c>
      <c r="AI742" s="25" t="s">
        <v>1506</v>
      </c>
      <c r="AL742" s="396">
        <v>0</v>
      </c>
      <c r="AM742" s="400" t="s">
        <v>7277</v>
      </c>
      <c r="AN742" s="400" t="s">
        <v>5824</v>
      </c>
      <c r="AP742" s="25">
        <v>1</v>
      </c>
      <c r="AQ742" s="25">
        <v>0</v>
      </c>
      <c r="AR742" s="50">
        <v>0</v>
      </c>
      <c r="AS742" s="50">
        <v>0</v>
      </c>
      <c r="AU742" s="226">
        <v>0</v>
      </c>
      <c r="AV742" s="17">
        <f t="shared" si="103"/>
        <v>1</v>
      </c>
      <c r="AW742" s="50" t="str">
        <f>"{s_taskTalk,{"&amp;L742&amp;","&amp;N742&amp;"}}"</f>
        <v>{s_taskTalk,{60553,60559}}</v>
      </c>
    </row>
    <row r="743" spans="1:49" s="25" customFormat="1" ht="72" x14ac:dyDescent="0.15">
      <c r="A743" s="9">
        <v>4841</v>
      </c>
      <c r="C743" s="25" t="s">
        <v>2170</v>
      </c>
      <c r="D743" s="25">
        <v>1</v>
      </c>
      <c r="E743" s="25">
        <v>0</v>
      </c>
      <c r="F743" s="25">
        <v>5</v>
      </c>
      <c r="G743" s="120">
        <v>200</v>
      </c>
      <c r="H743" s="25">
        <v>200</v>
      </c>
      <c r="I743" s="17">
        <v>0</v>
      </c>
      <c r="J743" s="396">
        <v>4831</v>
      </c>
      <c r="K743" s="25">
        <v>0</v>
      </c>
      <c r="L743" s="25">
        <v>60559</v>
      </c>
      <c r="M743" s="25" t="s">
        <v>1484</v>
      </c>
      <c r="N743" s="25">
        <v>60554</v>
      </c>
      <c r="O743" s="25" t="s">
        <v>5174</v>
      </c>
      <c r="Q743" s="397"/>
      <c r="R743" s="397">
        <v>60044</v>
      </c>
      <c r="S743" s="397"/>
      <c r="T743" s="397"/>
      <c r="U743" s="25">
        <v>1</v>
      </c>
      <c r="V743" s="25">
        <v>1</v>
      </c>
      <c r="W743" s="51">
        <v>84</v>
      </c>
      <c r="Z743" s="398">
        <v>70000</v>
      </c>
      <c r="AB743" s="399"/>
      <c r="AC743" s="399"/>
      <c r="AF743" s="25" t="s">
        <v>4231</v>
      </c>
      <c r="AG743" s="25" t="s">
        <v>4392</v>
      </c>
      <c r="AH743" s="25" t="s">
        <v>4730</v>
      </c>
      <c r="AI743" s="25" t="s">
        <v>4232</v>
      </c>
      <c r="AL743" s="396">
        <v>0</v>
      </c>
      <c r="AM743" s="400" t="s">
        <v>7278</v>
      </c>
      <c r="AN743" s="400" t="s">
        <v>5825</v>
      </c>
      <c r="AP743" s="25">
        <v>1</v>
      </c>
      <c r="AQ743" s="25">
        <v>0</v>
      </c>
      <c r="AR743" s="50">
        <v>0</v>
      </c>
      <c r="AS743" s="50">
        <v>0</v>
      </c>
      <c r="AU743" s="226">
        <v>0</v>
      </c>
      <c r="AV743" s="17">
        <f t="shared" si="103"/>
        <v>1</v>
      </c>
      <c r="AW743" s="50" t="str">
        <f>"{s_taskGuard,{"&amp;L743&amp;","&amp;N743&amp;","&amp;R743&amp;"}}"</f>
        <v>{s_taskGuard,{60559,60554,60044}}</v>
      </c>
    </row>
    <row r="744" spans="1:49" s="25" customFormat="1" ht="96" x14ac:dyDescent="0.15">
      <c r="A744" s="9">
        <v>4851</v>
      </c>
      <c r="C744" s="25" t="s">
        <v>2171</v>
      </c>
      <c r="D744" s="25">
        <v>1</v>
      </c>
      <c r="E744" s="25">
        <v>0</v>
      </c>
      <c r="F744" s="25">
        <v>5</v>
      </c>
      <c r="G744" s="120">
        <v>200</v>
      </c>
      <c r="H744" s="25">
        <v>200</v>
      </c>
      <c r="I744" s="17">
        <v>0</v>
      </c>
      <c r="J744" s="396">
        <v>4841</v>
      </c>
      <c r="K744" s="25">
        <v>0</v>
      </c>
      <c r="L744" s="25">
        <v>60554</v>
      </c>
      <c r="M744" s="25" t="s">
        <v>4227</v>
      </c>
      <c r="N744" s="25">
        <v>60554</v>
      </c>
      <c r="O744" s="25" t="s">
        <v>4227</v>
      </c>
      <c r="Q744" s="397"/>
      <c r="R744" s="397"/>
      <c r="S744" s="397"/>
      <c r="T744" s="397"/>
      <c r="U744" s="25">
        <v>1</v>
      </c>
      <c r="V744" s="25">
        <v>0</v>
      </c>
      <c r="W744" s="51">
        <v>84</v>
      </c>
      <c r="Z744" s="398">
        <v>25000</v>
      </c>
      <c r="AB744" s="399"/>
      <c r="AC744" s="399"/>
      <c r="AF744" s="25" t="s">
        <v>4731</v>
      </c>
      <c r="AG744" s="25" t="s">
        <v>1507</v>
      </c>
      <c r="AH744" s="25" t="s">
        <v>1508</v>
      </c>
      <c r="AI744" s="25" t="s">
        <v>4732</v>
      </c>
      <c r="AL744" s="396">
        <v>0</v>
      </c>
      <c r="AM744" s="400" t="s">
        <v>7279</v>
      </c>
      <c r="AN744" s="400" t="s">
        <v>5826</v>
      </c>
      <c r="AP744" s="25">
        <v>1</v>
      </c>
      <c r="AQ744" s="25">
        <v>0</v>
      </c>
      <c r="AR744" s="50">
        <v>0</v>
      </c>
      <c r="AS744" s="50">
        <v>0</v>
      </c>
      <c r="AU744" s="226">
        <v>0</v>
      </c>
      <c r="AV744" s="17">
        <f t="shared" si="103"/>
        <v>1</v>
      </c>
      <c r="AW744" s="50" t="str">
        <f>"{s_taskLevelUp,{"&amp;L744&amp;","&amp;N744&amp;","&amp;G744+1&amp;"}}"</f>
        <v>{s_taskLevelUp,{60554,60554,201}}</v>
      </c>
    </row>
    <row r="745" spans="1:49" s="25" customFormat="1" ht="72" x14ac:dyDescent="0.15">
      <c r="A745" s="9">
        <v>4861</v>
      </c>
      <c r="C745" s="25" t="s">
        <v>2172</v>
      </c>
      <c r="D745" s="25">
        <v>1</v>
      </c>
      <c r="E745" s="25">
        <v>0</v>
      </c>
      <c r="F745" s="25">
        <v>5</v>
      </c>
      <c r="G745" s="120">
        <v>200</v>
      </c>
      <c r="H745" s="25">
        <v>200</v>
      </c>
      <c r="I745" s="17">
        <v>0</v>
      </c>
      <c r="J745" s="396">
        <v>4851</v>
      </c>
      <c r="K745" s="25">
        <v>0</v>
      </c>
      <c r="L745" s="25">
        <v>60554</v>
      </c>
      <c r="M745" s="25" t="s">
        <v>4227</v>
      </c>
      <c r="N745" s="25">
        <v>60554</v>
      </c>
      <c r="O745" s="25" t="s">
        <v>4227</v>
      </c>
      <c r="Q745" s="397"/>
      <c r="R745" s="397"/>
      <c r="S745" s="397">
        <v>10305</v>
      </c>
      <c r="T745" s="397"/>
      <c r="U745" s="25">
        <v>1</v>
      </c>
      <c r="V745" s="25">
        <v>0</v>
      </c>
      <c r="W745" s="51">
        <v>87</v>
      </c>
      <c r="Z745" s="398">
        <v>150000</v>
      </c>
      <c r="AB745" s="399"/>
      <c r="AC745" s="399"/>
      <c r="AF745" s="25" t="s">
        <v>4733</v>
      </c>
      <c r="AG745" s="25" t="s">
        <v>4233</v>
      </c>
      <c r="AH745" s="25" t="s">
        <v>4234</v>
      </c>
      <c r="AI745" s="25" t="s">
        <v>1515</v>
      </c>
      <c r="AL745" s="396">
        <v>0</v>
      </c>
      <c r="AM745" s="400" t="s">
        <v>7280</v>
      </c>
      <c r="AN745" s="400" t="s">
        <v>5827</v>
      </c>
      <c r="AP745" s="25">
        <v>1</v>
      </c>
      <c r="AQ745" s="25">
        <v>0</v>
      </c>
      <c r="AR745" s="50">
        <v>0</v>
      </c>
      <c r="AS745" s="50">
        <v>0</v>
      </c>
      <c r="AU745" s="226">
        <v>0</v>
      </c>
      <c r="AV745" s="17">
        <f t="shared" si="103"/>
        <v>1</v>
      </c>
      <c r="AW745" s="50" t="str">
        <f>"{s_taskKillNpc, {"&amp;L745&amp;","&amp;N745&amp;","&amp;S745&amp;","&amp;U745&amp;"}}"</f>
        <v>{s_taskKillNpc, {60554,60554,10305,1}}</v>
      </c>
    </row>
    <row r="746" spans="1:49" s="25" customFormat="1" ht="84" x14ac:dyDescent="0.15">
      <c r="A746" s="9">
        <v>4871</v>
      </c>
      <c r="C746" s="25" t="s">
        <v>2173</v>
      </c>
      <c r="D746" s="25">
        <v>1</v>
      </c>
      <c r="E746" s="25">
        <v>0</v>
      </c>
      <c r="F746" s="25">
        <v>5</v>
      </c>
      <c r="G746" s="120">
        <v>200</v>
      </c>
      <c r="H746" s="25">
        <v>200</v>
      </c>
      <c r="I746" s="17">
        <v>0</v>
      </c>
      <c r="J746" s="396">
        <v>4861</v>
      </c>
      <c r="K746" s="25">
        <v>0</v>
      </c>
      <c r="L746" s="25">
        <v>60554</v>
      </c>
      <c r="M746" s="25" t="s">
        <v>4227</v>
      </c>
      <c r="N746" s="25">
        <v>60554</v>
      </c>
      <c r="O746" s="25" t="s">
        <v>4227</v>
      </c>
      <c r="Q746" s="397"/>
      <c r="R746" s="397"/>
      <c r="S746" s="397">
        <v>10207</v>
      </c>
      <c r="T746" s="397"/>
      <c r="U746" s="25">
        <v>70</v>
      </c>
      <c r="V746" s="25">
        <v>0</v>
      </c>
      <c r="W746" s="51">
        <v>91</v>
      </c>
      <c r="Z746" s="398">
        <v>152000</v>
      </c>
      <c r="AB746" s="399"/>
      <c r="AC746" s="399"/>
      <c r="AF746" s="25" t="s">
        <v>7281</v>
      </c>
      <c r="AG746" s="25" t="s">
        <v>1622</v>
      </c>
      <c r="AH746" s="25" t="s">
        <v>1623</v>
      </c>
      <c r="AI746" s="25" t="s">
        <v>1509</v>
      </c>
      <c r="AL746" s="396">
        <v>0</v>
      </c>
      <c r="AM746" s="400" t="s">
        <v>7282</v>
      </c>
      <c r="AN746" s="400" t="s">
        <v>5828</v>
      </c>
      <c r="AP746" s="25">
        <v>1</v>
      </c>
      <c r="AQ746" s="25">
        <v>0</v>
      </c>
      <c r="AR746" s="50">
        <v>0</v>
      </c>
      <c r="AS746" s="50">
        <v>0</v>
      </c>
      <c r="AU746" s="226">
        <v>0</v>
      </c>
      <c r="AV746" s="17">
        <f t="shared" si="103"/>
        <v>1</v>
      </c>
      <c r="AW746" s="50" t="str">
        <f>"{s_taskKillNpc, {"&amp;L746&amp;","&amp;N746&amp;","&amp;S746&amp;","&amp;U746&amp;"}}"</f>
        <v>{s_taskKillNpc, {60554,60554,10207,70}}</v>
      </c>
    </row>
    <row r="747" spans="1:49" s="25" customFormat="1" ht="72" x14ac:dyDescent="0.15">
      <c r="A747" s="9">
        <v>4881</v>
      </c>
      <c r="C747" s="25" t="s">
        <v>2174</v>
      </c>
      <c r="D747" s="25">
        <v>1</v>
      </c>
      <c r="E747" s="25">
        <v>0</v>
      </c>
      <c r="F747" s="25">
        <v>5</v>
      </c>
      <c r="G747" s="120">
        <v>200</v>
      </c>
      <c r="H747" s="25">
        <v>200</v>
      </c>
      <c r="I747" s="17">
        <v>0</v>
      </c>
      <c r="J747" s="396">
        <v>4871</v>
      </c>
      <c r="K747" s="25">
        <v>0</v>
      </c>
      <c r="L747" s="25">
        <v>60554</v>
      </c>
      <c r="M747" s="25" t="s">
        <v>4227</v>
      </c>
      <c r="N747" s="25">
        <v>60554</v>
      </c>
      <c r="O747" s="25" t="s">
        <v>4227</v>
      </c>
      <c r="Q747" s="397"/>
      <c r="R747" s="397"/>
      <c r="S747" s="397">
        <v>10306</v>
      </c>
      <c r="T747" s="397"/>
      <c r="U747" s="25">
        <v>1</v>
      </c>
      <c r="V747" s="25">
        <v>0</v>
      </c>
      <c r="W747" s="51">
        <v>94</v>
      </c>
      <c r="Z747" s="398">
        <v>156000</v>
      </c>
      <c r="AB747" s="399"/>
      <c r="AC747" s="399"/>
      <c r="AF747" s="25" t="s">
        <v>7283</v>
      </c>
      <c r="AG747" s="25" t="s">
        <v>1624</v>
      </c>
      <c r="AH747" s="25" t="s">
        <v>1625</v>
      </c>
      <c r="AI747" s="25" t="s">
        <v>1510</v>
      </c>
      <c r="AL747" s="396">
        <v>0</v>
      </c>
      <c r="AM747" s="400" t="s">
        <v>7284</v>
      </c>
      <c r="AN747" s="400" t="s">
        <v>5829</v>
      </c>
      <c r="AP747" s="25">
        <v>1</v>
      </c>
      <c r="AQ747" s="25">
        <v>0</v>
      </c>
      <c r="AR747" s="50">
        <v>0</v>
      </c>
      <c r="AS747" s="50">
        <v>0</v>
      </c>
      <c r="AU747" s="226">
        <v>0</v>
      </c>
      <c r="AV747" s="17">
        <f t="shared" si="103"/>
        <v>1</v>
      </c>
      <c r="AW747" s="50" t="str">
        <f>"{s_taskKillNpc, {"&amp;L747&amp;","&amp;N747&amp;","&amp;S747&amp;","&amp;U747&amp;"}}"</f>
        <v>{s_taskKillNpc, {60554,60554,10306,1}}</v>
      </c>
    </row>
    <row r="748" spans="1:49" s="25" customFormat="1" ht="144" x14ac:dyDescent="0.15">
      <c r="A748" s="9">
        <v>4891</v>
      </c>
      <c r="C748" s="25" t="s">
        <v>2175</v>
      </c>
      <c r="D748" s="25">
        <v>1</v>
      </c>
      <c r="E748" s="25">
        <v>0</v>
      </c>
      <c r="F748" s="25">
        <v>5</v>
      </c>
      <c r="G748" s="120">
        <v>200</v>
      </c>
      <c r="H748" s="25">
        <v>200</v>
      </c>
      <c r="I748" s="17">
        <v>0</v>
      </c>
      <c r="J748" s="396">
        <v>4881</v>
      </c>
      <c r="K748" s="25">
        <v>0</v>
      </c>
      <c r="L748" s="25">
        <v>60554</v>
      </c>
      <c r="M748" s="25" t="s">
        <v>4227</v>
      </c>
      <c r="N748" s="25">
        <v>60558</v>
      </c>
      <c r="O748" s="25" t="s">
        <v>1483</v>
      </c>
      <c r="Q748" s="397"/>
      <c r="R748" s="397"/>
      <c r="S748" s="397"/>
      <c r="T748" s="397"/>
      <c r="U748" s="25">
        <v>1</v>
      </c>
      <c r="V748" s="25">
        <v>1</v>
      </c>
      <c r="W748" s="51">
        <v>94</v>
      </c>
      <c r="Z748" s="398">
        <v>26000</v>
      </c>
      <c r="AB748" s="399"/>
      <c r="AC748" s="399"/>
      <c r="AF748" s="25" t="s">
        <v>7285</v>
      </c>
      <c r="AG748" s="25" t="s">
        <v>1511</v>
      </c>
      <c r="AH748" s="25" t="s">
        <v>4235</v>
      </c>
      <c r="AI748" s="25" t="s">
        <v>1512</v>
      </c>
      <c r="AL748" s="396">
        <v>0</v>
      </c>
      <c r="AM748" s="400" t="s">
        <v>7286</v>
      </c>
      <c r="AN748" s="400" t="s">
        <v>5830</v>
      </c>
      <c r="AP748" s="25">
        <v>1</v>
      </c>
      <c r="AQ748" s="25">
        <v>0</v>
      </c>
      <c r="AR748" s="50">
        <v>0</v>
      </c>
      <c r="AS748" s="50">
        <v>0</v>
      </c>
      <c r="AU748" s="226">
        <v>0</v>
      </c>
      <c r="AV748" s="17">
        <f t="shared" si="103"/>
        <v>1</v>
      </c>
      <c r="AW748" s="50" t="str">
        <f>"{s_taskTalk,{"&amp;L748&amp;","&amp;N748&amp;"}}"</f>
        <v>{s_taskTalk,{60554,60558}}</v>
      </c>
    </row>
    <row r="749" spans="1:49" s="25" customFormat="1" ht="72" x14ac:dyDescent="0.15">
      <c r="A749" s="9">
        <v>4901</v>
      </c>
      <c r="C749" s="25" t="s">
        <v>2176</v>
      </c>
      <c r="D749" s="25">
        <v>1</v>
      </c>
      <c r="E749" s="25">
        <v>0</v>
      </c>
      <c r="F749" s="25">
        <v>5</v>
      </c>
      <c r="G749" s="120">
        <v>200</v>
      </c>
      <c r="H749" s="25">
        <v>200</v>
      </c>
      <c r="I749" s="17">
        <v>0</v>
      </c>
      <c r="J749" s="396">
        <v>4891</v>
      </c>
      <c r="K749" s="25">
        <v>0</v>
      </c>
      <c r="L749" s="25">
        <v>60558</v>
      </c>
      <c r="M749" s="25" t="s">
        <v>1483</v>
      </c>
      <c r="N749" s="25">
        <v>60559</v>
      </c>
      <c r="O749" s="25" t="s">
        <v>5172</v>
      </c>
      <c r="Q749" s="397"/>
      <c r="R749" s="397"/>
      <c r="S749" s="397"/>
      <c r="T749" s="397"/>
      <c r="U749" s="25">
        <v>1</v>
      </c>
      <c r="V749" s="25">
        <v>1</v>
      </c>
      <c r="W749" s="51">
        <v>97</v>
      </c>
      <c r="Z749" s="398">
        <v>26000</v>
      </c>
      <c r="AB749" s="399"/>
      <c r="AC749" s="399"/>
      <c r="AF749" s="25" t="s">
        <v>7287</v>
      </c>
      <c r="AG749" s="25" t="s">
        <v>4734</v>
      </c>
      <c r="AH749" s="25" t="s">
        <v>1513</v>
      </c>
      <c r="AI749" s="25" t="s">
        <v>1474</v>
      </c>
      <c r="AL749" s="396">
        <v>0</v>
      </c>
      <c r="AM749" s="400" t="s">
        <v>7288</v>
      </c>
      <c r="AN749" s="400" t="s">
        <v>5831</v>
      </c>
      <c r="AP749" s="25">
        <v>1</v>
      </c>
      <c r="AQ749" s="25">
        <v>0</v>
      </c>
      <c r="AR749" s="50">
        <v>0</v>
      </c>
      <c r="AS749" s="50">
        <v>0</v>
      </c>
      <c r="AU749" s="226">
        <v>0</v>
      </c>
      <c r="AV749" s="17">
        <f t="shared" si="103"/>
        <v>1</v>
      </c>
      <c r="AW749" s="50" t="str">
        <f>"{s_taskTalk,{"&amp;L749&amp;","&amp;N749&amp;"}}"</f>
        <v>{s_taskTalk,{60558,60559}}</v>
      </c>
    </row>
    <row r="750" spans="1:49" s="25" customFormat="1" ht="84" x14ac:dyDescent="0.15">
      <c r="A750" s="9">
        <v>4911</v>
      </c>
      <c r="C750" s="25" t="s">
        <v>2177</v>
      </c>
      <c r="D750" s="25">
        <v>1</v>
      </c>
      <c r="E750" s="25">
        <v>0</v>
      </c>
      <c r="F750" s="25">
        <v>5</v>
      </c>
      <c r="G750" s="120">
        <v>200</v>
      </c>
      <c r="H750" s="25">
        <v>200</v>
      </c>
      <c r="I750" s="17">
        <v>0</v>
      </c>
      <c r="J750" s="396">
        <v>4901</v>
      </c>
      <c r="K750" s="25">
        <v>0</v>
      </c>
      <c r="L750" s="25">
        <v>60559</v>
      </c>
      <c r="M750" s="25" t="s">
        <v>1484</v>
      </c>
      <c r="N750" s="25">
        <v>60555</v>
      </c>
      <c r="O750" s="25" t="s">
        <v>5175</v>
      </c>
      <c r="Q750" s="397"/>
      <c r="R750" s="397"/>
      <c r="S750" s="397"/>
      <c r="T750" s="397"/>
      <c r="U750" s="25">
        <v>1</v>
      </c>
      <c r="V750" s="25">
        <v>1</v>
      </c>
      <c r="W750" s="51">
        <v>97</v>
      </c>
      <c r="Z750" s="398">
        <v>26000</v>
      </c>
      <c r="AB750" s="399"/>
      <c r="AC750" s="399"/>
      <c r="AF750" s="25" t="s">
        <v>4393</v>
      </c>
      <c r="AG750" s="25" t="s">
        <v>4394</v>
      </c>
      <c r="AH750" s="25" t="s">
        <v>1514</v>
      </c>
      <c r="AI750" s="25" t="s">
        <v>1516</v>
      </c>
      <c r="AL750" s="396">
        <v>0</v>
      </c>
      <c r="AM750" s="400" t="s">
        <v>7289</v>
      </c>
      <c r="AN750" s="400" t="s">
        <v>5832</v>
      </c>
      <c r="AP750" s="25">
        <v>1</v>
      </c>
      <c r="AQ750" s="25">
        <v>0</v>
      </c>
      <c r="AR750" s="50">
        <v>0</v>
      </c>
      <c r="AS750" s="50">
        <v>0</v>
      </c>
      <c r="AU750" s="226">
        <v>0</v>
      </c>
      <c r="AV750" s="17">
        <f t="shared" si="103"/>
        <v>1</v>
      </c>
      <c r="AW750" s="50" t="str">
        <f>"{s_taskTalk,{"&amp;L750&amp;","&amp;N750&amp;"}}"</f>
        <v>{s_taskTalk,{60559,60555}}</v>
      </c>
    </row>
    <row r="751" spans="1:49" s="25" customFormat="1" ht="72" x14ac:dyDescent="0.15">
      <c r="A751" s="9">
        <v>4921</v>
      </c>
      <c r="C751" s="25" t="s">
        <v>2178</v>
      </c>
      <c r="D751" s="25">
        <v>1</v>
      </c>
      <c r="E751" s="25">
        <v>0</v>
      </c>
      <c r="F751" s="25">
        <v>5</v>
      </c>
      <c r="G751" s="120">
        <v>200</v>
      </c>
      <c r="H751" s="25">
        <v>200</v>
      </c>
      <c r="I751" s="17">
        <v>0</v>
      </c>
      <c r="J751" s="396">
        <v>4911</v>
      </c>
      <c r="K751" s="25">
        <v>0</v>
      </c>
      <c r="L751" s="25">
        <v>60555</v>
      </c>
      <c r="M751" s="25" t="s">
        <v>1626</v>
      </c>
      <c r="N751" s="25">
        <v>60555</v>
      </c>
      <c r="O751" s="25" t="s">
        <v>5175</v>
      </c>
      <c r="Q751" s="397"/>
      <c r="R751" s="397"/>
      <c r="S751" s="397">
        <v>10208</v>
      </c>
      <c r="T751" s="397"/>
      <c r="U751" s="25">
        <v>70</v>
      </c>
      <c r="V751" s="25">
        <v>0</v>
      </c>
      <c r="W751" s="51">
        <v>97</v>
      </c>
      <c r="Z751" s="398">
        <v>160000</v>
      </c>
      <c r="AB751" s="399"/>
      <c r="AC751" s="399"/>
      <c r="AF751" s="25" t="s">
        <v>4395</v>
      </c>
      <c r="AG751" s="25" t="s">
        <v>4396</v>
      </c>
      <c r="AH751" s="25" t="s">
        <v>1627</v>
      </c>
      <c r="AI751" s="25" t="s">
        <v>1518</v>
      </c>
      <c r="AL751" s="396">
        <v>0</v>
      </c>
      <c r="AM751" s="400" t="s">
        <v>7290</v>
      </c>
      <c r="AN751" s="400" t="s">
        <v>5833</v>
      </c>
      <c r="AP751" s="25">
        <v>1</v>
      </c>
      <c r="AQ751" s="25">
        <v>0</v>
      </c>
      <c r="AR751" s="50">
        <v>0</v>
      </c>
      <c r="AS751" s="50">
        <v>0</v>
      </c>
      <c r="AU751" s="226">
        <v>0</v>
      </c>
      <c r="AV751" s="17">
        <f t="shared" si="103"/>
        <v>1</v>
      </c>
      <c r="AW751" s="50" t="str">
        <f>"{s_taskKillNpc, {"&amp;L751&amp;","&amp;N751&amp;","&amp;S751&amp;","&amp;U751&amp;"}}"</f>
        <v>{s_taskKillNpc, {60555,60555,10208,70}}</v>
      </c>
    </row>
    <row r="752" spans="1:49" s="25" customFormat="1" ht="96" x14ac:dyDescent="0.15">
      <c r="A752" s="9">
        <v>4931</v>
      </c>
      <c r="C752" s="25" t="s">
        <v>2179</v>
      </c>
      <c r="D752" s="25">
        <v>1</v>
      </c>
      <c r="E752" s="25">
        <v>0</v>
      </c>
      <c r="F752" s="25">
        <v>5</v>
      </c>
      <c r="G752" s="120">
        <v>200</v>
      </c>
      <c r="H752" s="25">
        <v>200</v>
      </c>
      <c r="I752" s="17">
        <v>0</v>
      </c>
      <c r="J752" s="396">
        <v>4921</v>
      </c>
      <c r="K752" s="25">
        <v>0</v>
      </c>
      <c r="L752" s="25">
        <v>60555</v>
      </c>
      <c r="M752" s="25" t="s">
        <v>1517</v>
      </c>
      <c r="N752" s="25">
        <v>60555</v>
      </c>
      <c r="O752" s="25" t="s">
        <v>5175</v>
      </c>
      <c r="Q752" s="397"/>
      <c r="R752" s="397"/>
      <c r="S752" s="397"/>
      <c r="T752" s="397"/>
      <c r="U752" s="25">
        <v>1</v>
      </c>
      <c r="V752" s="25">
        <v>0</v>
      </c>
      <c r="W752" s="51">
        <v>97</v>
      </c>
      <c r="Z752" s="398">
        <v>52000</v>
      </c>
      <c r="AB752" s="399"/>
      <c r="AC752" s="399"/>
      <c r="AF752" s="25" t="s">
        <v>7291</v>
      </c>
      <c r="AG752" s="25" t="s">
        <v>1519</v>
      </c>
      <c r="AH752" s="25" t="s">
        <v>1520</v>
      </c>
      <c r="AI752" s="25" t="s">
        <v>1521</v>
      </c>
      <c r="AL752" s="396">
        <v>0</v>
      </c>
      <c r="AM752" s="400" t="s">
        <v>7292</v>
      </c>
      <c r="AN752" s="400" t="s">
        <v>5834</v>
      </c>
      <c r="AP752" s="25">
        <v>1</v>
      </c>
      <c r="AQ752" s="25">
        <v>0</v>
      </c>
      <c r="AR752" s="50">
        <v>0</v>
      </c>
      <c r="AS752" s="50">
        <v>0</v>
      </c>
      <c r="AU752" s="226">
        <v>0</v>
      </c>
      <c r="AV752" s="17">
        <f t="shared" si="103"/>
        <v>1</v>
      </c>
      <c r="AW752" s="50" t="str">
        <f>"{s_taskLevelUp,{"&amp;L752&amp;","&amp;N752&amp;","&amp;G752+1&amp;"}}"</f>
        <v>{s_taskLevelUp,{60555,60555,201}}</v>
      </c>
    </row>
    <row r="753" spans="1:49" s="25" customFormat="1" ht="72" x14ac:dyDescent="0.15">
      <c r="A753" s="9">
        <v>4941</v>
      </c>
      <c r="C753" s="25" t="s">
        <v>2180</v>
      </c>
      <c r="D753" s="25">
        <v>1</v>
      </c>
      <c r="E753" s="25">
        <v>0</v>
      </c>
      <c r="F753" s="25">
        <v>5</v>
      </c>
      <c r="G753" s="120">
        <v>200</v>
      </c>
      <c r="H753" s="25">
        <v>200</v>
      </c>
      <c r="I753" s="17">
        <v>0</v>
      </c>
      <c r="J753" s="396">
        <v>4931</v>
      </c>
      <c r="K753" s="25">
        <v>0</v>
      </c>
      <c r="L753" s="25">
        <v>60555</v>
      </c>
      <c r="M753" s="25" t="s">
        <v>1626</v>
      </c>
      <c r="N753" s="25">
        <v>60555</v>
      </c>
      <c r="O753" s="25" t="s">
        <v>5175</v>
      </c>
      <c r="Q753" s="397"/>
      <c r="R753" s="397"/>
      <c r="S753" s="397">
        <v>10208</v>
      </c>
      <c r="T753" s="397"/>
      <c r="U753" s="25">
        <v>70</v>
      </c>
      <c r="V753" s="25">
        <v>0</v>
      </c>
      <c r="W753" s="51">
        <v>100</v>
      </c>
      <c r="Z753" s="398">
        <v>170000</v>
      </c>
      <c r="AB753" s="399"/>
      <c r="AC753" s="399"/>
      <c r="AF753" s="25" t="s">
        <v>7293</v>
      </c>
      <c r="AG753" s="25" t="s">
        <v>1628</v>
      </c>
      <c r="AH753" s="25" t="s">
        <v>1629</v>
      </c>
      <c r="AI753" s="25" t="s">
        <v>1518</v>
      </c>
      <c r="AL753" s="396">
        <v>0</v>
      </c>
      <c r="AM753" s="400" t="s">
        <v>7294</v>
      </c>
      <c r="AN753" s="400" t="s">
        <v>5835</v>
      </c>
      <c r="AP753" s="25">
        <v>1</v>
      </c>
      <c r="AQ753" s="25">
        <v>0</v>
      </c>
      <c r="AR753" s="50">
        <v>0</v>
      </c>
      <c r="AS753" s="50">
        <v>0</v>
      </c>
      <c r="AU753" s="226">
        <v>0</v>
      </c>
      <c r="AV753" s="17">
        <f t="shared" si="103"/>
        <v>1</v>
      </c>
      <c r="AW753" s="50" t="str">
        <f>"{s_taskKillNpc, {"&amp;L753&amp;","&amp;N753&amp;","&amp;S753&amp;","&amp;U753&amp;"}}"</f>
        <v>{s_taskKillNpc, {60555,60555,10208,70}}</v>
      </c>
    </row>
    <row r="754" spans="1:49" s="25" customFormat="1" ht="84" x14ac:dyDescent="0.15">
      <c r="A754" s="9">
        <v>4951</v>
      </c>
      <c r="C754" s="25" t="s">
        <v>2181</v>
      </c>
      <c r="D754" s="25">
        <v>1</v>
      </c>
      <c r="E754" s="25">
        <v>0</v>
      </c>
      <c r="F754" s="25">
        <v>5</v>
      </c>
      <c r="G754" s="120">
        <v>200</v>
      </c>
      <c r="H754" s="25">
        <v>200</v>
      </c>
      <c r="I754" s="17">
        <v>0</v>
      </c>
      <c r="J754" s="396">
        <v>4941</v>
      </c>
      <c r="K754" s="25">
        <v>0</v>
      </c>
      <c r="L754" s="25">
        <v>60555</v>
      </c>
      <c r="M754" s="25" t="s">
        <v>1517</v>
      </c>
      <c r="N754" s="25">
        <v>60559</v>
      </c>
      <c r="O754" s="25" t="s">
        <v>5172</v>
      </c>
      <c r="Q754" s="397"/>
      <c r="R754" s="397">
        <v>60044</v>
      </c>
      <c r="S754" s="397"/>
      <c r="T754" s="397"/>
      <c r="U754" s="25">
        <v>1</v>
      </c>
      <c r="V754" s="25">
        <v>1</v>
      </c>
      <c r="W754" s="51">
        <v>100</v>
      </c>
      <c r="Z754" s="398">
        <v>25000</v>
      </c>
      <c r="AB754" s="399"/>
      <c r="AC754" s="399"/>
      <c r="AF754" s="25" t="s">
        <v>4397</v>
      </c>
      <c r="AG754" s="25" t="s">
        <v>1523</v>
      </c>
      <c r="AH754" s="25" t="s">
        <v>1522</v>
      </c>
      <c r="AI754" s="25" t="s">
        <v>1526</v>
      </c>
      <c r="AL754" s="396">
        <v>0</v>
      </c>
      <c r="AM754" s="400" t="s">
        <v>7295</v>
      </c>
      <c r="AN754" s="400" t="s">
        <v>5836</v>
      </c>
      <c r="AP754" s="25">
        <v>1</v>
      </c>
      <c r="AQ754" s="25">
        <v>0</v>
      </c>
      <c r="AR754" s="50">
        <v>0</v>
      </c>
      <c r="AS754" s="50">
        <v>0</v>
      </c>
      <c r="AU754" s="226">
        <v>0</v>
      </c>
      <c r="AV754" s="17">
        <f t="shared" si="103"/>
        <v>1</v>
      </c>
      <c r="AW754" s="50" t="str">
        <f>"{s_taskGuard,{"&amp;L754&amp;","&amp;N754&amp;","&amp;R754&amp;"}}"</f>
        <v>{s_taskGuard,{60555,60559,60044}}</v>
      </c>
    </row>
    <row r="755" spans="1:49" s="25" customFormat="1" ht="84" x14ac:dyDescent="0.15">
      <c r="A755" s="9">
        <v>4961</v>
      </c>
      <c r="C755" s="25" t="s">
        <v>2182</v>
      </c>
      <c r="D755" s="25">
        <v>1</v>
      </c>
      <c r="E755" s="25">
        <v>0</v>
      </c>
      <c r="F755" s="25">
        <v>5</v>
      </c>
      <c r="G755" s="120">
        <v>200</v>
      </c>
      <c r="H755" s="25">
        <v>200</v>
      </c>
      <c r="I755" s="17">
        <v>0</v>
      </c>
      <c r="J755" s="396">
        <v>4951</v>
      </c>
      <c r="K755" s="25">
        <v>0</v>
      </c>
      <c r="L755" s="25">
        <v>60559</v>
      </c>
      <c r="M755" s="25" t="s">
        <v>1484</v>
      </c>
      <c r="N755" s="25">
        <v>60555</v>
      </c>
      <c r="O755" s="25" t="s">
        <v>5175</v>
      </c>
      <c r="Q755" s="397"/>
      <c r="R755" s="397"/>
      <c r="S755" s="397"/>
      <c r="T755" s="397"/>
      <c r="U755" s="25">
        <v>1</v>
      </c>
      <c r="V755" s="25">
        <v>1</v>
      </c>
      <c r="W755" s="51">
        <v>100</v>
      </c>
      <c r="Z755" s="398">
        <v>25000</v>
      </c>
      <c r="AB755" s="399"/>
      <c r="AC755" s="399"/>
      <c r="AF755" s="25" t="s">
        <v>7296</v>
      </c>
      <c r="AG755" s="25" t="s">
        <v>1524</v>
      </c>
      <c r="AH755" s="25" t="s">
        <v>1525</v>
      </c>
      <c r="AI755" s="25" t="s">
        <v>1527</v>
      </c>
      <c r="AL755" s="396">
        <v>0</v>
      </c>
      <c r="AM755" s="400" t="s">
        <v>7297</v>
      </c>
      <c r="AN755" s="400" t="s">
        <v>5837</v>
      </c>
      <c r="AP755" s="25">
        <v>1</v>
      </c>
      <c r="AQ755" s="25">
        <v>0</v>
      </c>
      <c r="AR755" s="50">
        <v>0</v>
      </c>
      <c r="AS755" s="50">
        <v>0</v>
      </c>
      <c r="AU755" s="226">
        <v>0</v>
      </c>
      <c r="AV755" s="17">
        <f t="shared" si="103"/>
        <v>1</v>
      </c>
      <c r="AW755" s="50" t="str">
        <f t="shared" ref="AW755:AW761" si="105">"{s_taskTalk,{"&amp;L755&amp;","&amp;N755&amp;"}}"</f>
        <v>{s_taskTalk,{60559,60555}}</v>
      </c>
    </row>
    <row r="756" spans="1:49" s="25" customFormat="1" ht="72" x14ac:dyDescent="0.15">
      <c r="A756" s="9">
        <v>4971</v>
      </c>
      <c r="C756" s="25" t="s">
        <v>2183</v>
      </c>
      <c r="D756" s="25">
        <v>1</v>
      </c>
      <c r="E756" s="25">
        <v>0</v>
      </c>
      <c r="F756" s="25">
        <v>5</v>
      </c>
      <c r="G756" s="120">
        <v>200</v>
      </c>
      <c r="H756" s="25">
        <v>200</v>
      </c>
      <c r="I756" s="17">
        <v>0</v>
      </c>
      <c r="J756" s="396">
        <v>4961</v>
      </c>
      <c r="K756" s="25">
        <v>0</v>
      </c>
      <c r="L756" s="25">
        <v>60555</v>
      </c>
      <c r="M756" s="25" t="s">
        <v>1517</v>
      </c>
      <c r="N756" s="25">
        <v>60555</v>
      </c>
      <c r="O756" s="25" t="s">
        <v>5175</v>
      </c>
      <c r="Q756" s="397"/>
      <c r="R756" s="397"/>
      <c r="S756" s="397"/>
      <c r="T756" s="397"/>
      <c r="U756" s="25">
        <v>1</v>
      </c>
      <c r="V756" s="25">
        <v>0</v>
      </c>
      <c r="W756" s="51">
        <v>104</v>
      </c>
      <c r="Z756" s="398">
        <v>45000</v>
      </c>
      <c r="AB756" s="399"/>
      <c r="AC756" s="399"/>
      <c r="AF756" s="25" t="s">
        <v>7298</v>
      </c>
      <c r="AG756" s="25" t="s">
        <v>1528</v>
      </c>
      <c r="AH756" s="25" t="s">
        <v>1529</v>
      </c>
      <c r="AI756" s="25" t="s">
        <v>1530</v>
      </c>
      <c r="AL756" s="396">
        <v>0</v>
      </c>
      <c r="AM756" s="400" t="s">
        <v>7299</v>
      </c>
      <c r="AN756" s="400" t="s">
        <v>5838</v>
      </c>
      <c r="AP756" s="25">
        <v>1</v>
      </c>
      <c r="AQ756" s="25">
        <v>0</v>
      </c>
      <c r="AR756" s="50">
        <v>0</v>
      </c>
      <c r="AS756" s="50">
        <v>0</v>
      </c>
      <c r="AU756" s="226">
        <v>0</v>
      </c>
      <c r="AV756" s="17">
        <f t="shared" si="103"/>
        <v>1</v>
      </c>
      <c r="AW756" s="50" t="str">
        <f t="shared" si="105"/>
        <v>{s_taskTalk,{60555,60555}}</v>
      </c>
    </row>
    <row r="757" spans="1:49" s="25" customFormat="1" ht="96" x14ac:dyDescent="0.15">
      <c r="A757" s="9">
        <v>4981</v>
      </c>
      <c r="C757" s="25" t="s">
        <v>2184</v>
      </c>
      <c r="D757" s="25">
        <v>1</v>
      </c>
      <c r="E757" s="25">
        <v>0</v>
      </c>
      <c r="F757" s="25">
        <v>5</v>
      </c>
      <c r="G757" s="120">
        <v>200</v>
      </c>
      <c r="H757" s="25">
        <v>200</v>
      </c>
      <c r="I757" s="17">
        <v>0</v>
      </c>
      <c r="J757" s="396">
        <v>4971</v>
      </c>
      <c r="K757" s="25">
        <v>0</v>
      </c>
      <c r="L757" s="25">
        <v>60555</v>
      </c>
      <c r="M757" s="25" t="s">
        <v>1517</v>
      </c>
      <c r="N757" s="25">
        <v>60555</v>
      </c>
      <c r="O757" s="25" t="s">
        <v>5175</v>
      </c>
      <c r="Q757" s="397"/>
      <c r="R757" s="397"/>
      <c r="S757" s="397"/>
      <c r="T757" s="397"/>
      <c r="U757" s="25">
        <v>40</v>
      </c>
      <c r="V757" s="25">
        <v>0</v>
      </c>
      <c r="W757" s="51">
        <v>104</v>
      </c>
      <c r="Z757" s="398">
        <v>170000</v>
      </c>
      <c r="AB757" s="399"/>
      <c r="AC757" s="399"/>
      <c r="AF757" s="25" t="s">
        <v>4398</v>
      </c>
      <c r="AG757" s="25" t="s">
        <v>4399</v>
      </c>
      <c r="AH757" s="25" t="s">
        <v>4400</v>
      </c>
      <c r="AI757" s="25" t="s">
        <v>1531</v>
      </c>
      <c r="AL757" s="396">
        <v>0</v>
      </c>
      <c r="AM757" s="400" t="s">
        <v>1532</v>
      </c>
      <c r="AN757" s="400" t="s">
        <v>5839</v>
      </c>
      <c r="AO757" s="25" t="s">
        <v>1675</v>
      </c>
      <c r="AP757" s="25">
        <v>1</v>
      </c>
      <c r="AQ757" s="25">
        <v>0</v>
      </c>
      <c r="AR757" s="50">
        <v>0</v>
      </c>
      <c r="AS757" s="50">
        <v>0</v>
      </c>
      <c r="AU757" s="226">
        <v>0</v>
      </c>
      <c r="AV757" s="17">
        <f t="shared" si="103"/>
        <v>1</v>
      </c>
      <c r="AW757" s="50" t="str">
        <f t="shared" si="105"/>
        <v>{s_taskTalk,{60555,60555}}</v>
      </c>
    </row>
    <row r="758" spans="1:49" s="402" customFormat="1" ht="144" x14ac:dyDescent="0.15">
      <c r="A758" s="9">
        <v>4991</v>
      </c>
      <c r="C758" s="402" t="s">
        <v>2185</v>
      </c>
      <c r="D758" s="402">
        <v>1</v>
      </c>
      <c r="E758" s="402">
        <v>0</v>
      </c>
      <c r="F758" s="402">
        <v>5</v>
      </c>
      <c r="G758" s="120">
        <v>200</v>
      </c>
      <c r="H758" s="402">
        <v>200</v>
      </c>
      <c r="I758" s="17">
        <v>0</v>
      </c>
      <c r="J758" s="403">
        <v>4981</v>
      </c>
      <c r="K758" s="402">
        <v>0</v>
      </c>
      <c r="L758" s="402">
        <v>60555</v>
      </c>
      <c r="M758" s="402" t="s">
        <v>1517</v>
      </c>
      <c r="N758" s="402">
        <v>60555</v>
      </c>
      <c r="O758" s="402" t="s">
        <v>5175</v>
      </c>
      <c r="Q758" s="404"/>
      <c r="R758" s="404"/>
      <c r="S758" s="404"/>
      <c r="T758" s="404"/>
      <c r="U758" s="402">
        <v>2</v>
      </c>
      <c r="V758" s="402">
        <v>0</v>
      </c>
      <c r="W758" s="51">
        <v>104</v>
      </c>
      <c r="Z758" s="405">
        <v>26000</v>
      </c>
      <c r="AB758" s="406"/>
      <c r="AC758" s="406"/>
      <c r="AF758" s="402" t="s">
        <v>4401</v>
      </c>
      <c r="AG758" s="402" t="s">
        <v>4402</v>
      </c>
      <c r="AH758" s="402" t="s">
        <v>1533</v>
      </c>
      <c r="AL758" s="403">
        <v>0</v>
      </c>
      <c r="AM758" s="407" t="s">
        <v>7300</v>
      </c>
      <c r="AN758" s="407" t="s">
        <v>5840</v>
      </c>
      <c r="AO758" s="25" t="s">
        <v>1689</v>
      </c>
      <c r="AP758" s="402">
        <v>1</v>
      </c>
      <c r="AQ758" s="402">
        <v>0</v>
      </c>
      <c r="AR758" s="50">
        <v>0</v>
      </c>
      <c r="AS758" s="50">
        <v>0</v>
      </c>
      <c r="AU758" s="226">
        <v>0</v>
      </c>
      <c r="AV758" s="17">
        <f t="shared" si="103"/>
        <v>1</v>
      </c>
      <c r="AW758" s="50" t="str">
        <f t="shared" si="105"/>
        <v>{s_taskTalk,{60555,60555}}</v>
      </c>
    </row>
    <row r="759" spans="1:49" s="402" customFormat="1" ht="72" x14ac:dyDescent="0.15">
      <c r="A759" s="9">
        <v>5001</v>
      </c>
      <c r="C759" s="402" t="s">
        <v>2186</v>
      </c>
      <c r="D759" s="402">
        <v>1</v>
      </c>
      <c r="E759" s="402">
        <v>0</v>
      </c>
      <c r="F759" s="402">
        <v>5</v>
      </c>
      <c r="G759" s="120">
        <v>200</v>
      </c>
      <c r="H759" s="402">
        <v>200</v>
      </c>
      <c r="I759" s="17">
        <v>0</v>
      </c>
      <c r="J759" s="403">
        <v>4991</v>
      </c>
      <c r="K759" s="402">
        <v>0</v>
      </c>
      <c r="L759" s="402">
        <v>60555</v>
      </c>
      <c r="M759" s="402" t="s">
        <v>1517</v>
      </c>
      <c r="N759" s="402">
        <v>60555</v>
      </c>
      <c r="O759" s="402" t="s">
        <v>5175</v>
      </c>
      <c r="Q759" s="404"/>
      <c r="R759" s="404"/>
      <c r="S759" s="404"/>
      <c r="T759" s="404"/>
      <c r="U759" s="402">
        <v>1</v>
      </c>
      <c r="V759" s="402">
        <v>1</v>
      </c>
      <c r="W759" s="51">
        <v>104</v>
      </c>
      <c r="Z759" s="405">
        <v>26000</v>
      </c>
      <c r="AB759" s="406"/>
      <c r="AC759" s="406"/>
      <c r="AF759" s="402" t="s">
        <v>7301</v>
      </c>
      <c r="AG759" s="402" t="s">
        <v>1534</v>
      </c>
      <c r="AH759" s="402" t="s">
        <v>1535</v>
      </c>
      <c r="AL759" s="403">
        <v>0</v>
      </c>
      <c r="AM759" s="407" t="s">
        <v>7302</v>
      </c>
      <c r="AN759" s="407" t="s">
        <v>5841</v>
      </c>
      <c r="AP759" s="402">
        <v>1</v>
      </c>
      <c r="AQ759" s="402">
        <v>0</v>
      </c>
      <c r="AR759" s="50">
        <v>0</v>
      </c>
      <c r="AS759" s="50">
        <v>0</v>
      </c>
      <c r="AU759" s="226">
        <v>0</v>
      </c>
      <c r="AV759" s="17">
        <f t="shared" si="103"/>
        <v>1</v>
      </c>
      <c r="AW759" s="50" t="str">
        <f t="shared" si="105"/>
        <v>{s_taskTalk,{60555,60555}}</v>
      </c>
    </row>
    <row r="760" spans="1:49" s="25" customFormat="1" ht="72" x14ac:dyDescent="0.15">
      <c r="A760" s="9">
        <v>5011</v>
      </c>
      <c r="C760" s="25" t="s">
        <v>2187</v>
      </c>
      <c r="D760" s="25">
        <v>1</v>
      </c>
      <c r="E760" s="25">
        <v>0</v>
      </c>
      <c r="F760" s="25">
        <v>5</v>
      </c>
      <c r="G760" s="120">
        <v>200</v>
      </c>
      <c r="H760" s="25">
        <v>200</v>
      </c>
      <c r="I760" s="17">
        <v>0</v>
      </c>
      <c r="J760" s="396">
        <v>5001</v>
      </c>
      <c r="K760" s="25">
        <v>0</v>
      </c>
      <c r="L760" s="25">
        <v>60555</v>
      </c>
      <c r="M760" s="25" t="s">
        <v>1517</v>
      </c>
      <c r="N760" s="25">
        <v>60555</v>
      </c>
      <c r="O760" s="25" t="s">
        <v>5175</v>
      </c>
      <c r="Q760" s="397"/>
      <c r="R760" s="397"/>
      <c r="S760" s="397"/>
      <c r="T760" s="397"/>
      <c r="U760" s="25">
        <v>1</v>
      </c>
      <c r="V760" s="25">
        <v>0</v>
      </c>
      <c r="W760" s="51">
        <v>104</v>
      </c>
      <c r="Z760" s="398">
        <v>55000</v>
      </c>
      <c r="AB760" s="399"/>
      <c r="AC760" s="399"/>
      <c r="AF760" s="25" t="s">
        <v>7303</v>
      </c>
      <c r="AG760" s="25" t="s">
        <v>1536</v>
      </c>
      <c r="AH760" s="25" t="s">
        <v>1537</v>
      </c>
      <c r="AL760" s="396">
        <v>0</v>
      </c>
      <c r="AM760" s="400" t="s">
        <v>7304</v>
      </c>
      <c r="AN760" s="400" t="s">
        <v>5842</v>
      </c>
      <c r="AP760" s="25">
        <v>1</v>
      </c>
      <c r="AQ760" s="25">
        <v>0</v>
      </c>
      <c r="AR760" s="50">
        <v>0</v>
      </c>
      <c r="AS760" s="50">
        <v>0</v>
      </c>
      <c r="AU760" s="226">
        <v>0</v>
      </c>
      <c r="AV760" s="17">
        <f t="shared" si="103"/>
        <v>1</v>
      </c>
      <c r="AW760" s="50" t="str">
        <f t="shared" si="105"/>
        <v>{s_taskTalk,{60555,60555}}</v>
      </c>
    </row>
    <row r="761" spans="1:49" s="25" customFormat="1" ht="84" x14ac:dyDescent="0.15">
      <c r="A761" s="9">
        <v>5021</v>
      </c>
      <c r="C761" s="25" t="s">
        <v>2188</v>
      </c>
      <c r="D761" s="25">
        <v>1</v>
      </c>
      <c r="E761" s="25">
        <v>0</v>
      </c>
      <c r="F761" s="25">
        <v>5</v>
      </c>
      <c r="G761" s="120">
        <v>200</v>
      </c>
      <c r="H761" s="25">
        <v>200</v>
      </c>
      <c r="I761" s="17">
        <v>0</v>
      </c>
      <c r="J761" s="396">
        <v>5011</v>
      </c>
      <c r="K761" s="25">
        <v>0</v>
      </c>
      <c r="L761" s="25">
        <v>60555</v>
      </c>
      <c r="M761" s="25" t="s">
        <v>1517</v>
      </c>
      <c r="N761" s="25">
        <v>60555</v>
      </c>
      <c r="O761" s="25" t="s">
        <v>5175</v>
      </c>
      <c r="Q761" s="397"/>
      <c r="R761" s="397"/>
      <c r="S761" s="397"/>
      <c r="T761" s="397"/>
      <c r="U761" s="25">
        <v>1</v>
      </c>
      <c r="V761" s="25">
        <v>1</v>
      </c>
      <c r="W761" s="51">
        <v>107</v>
      </c>
      <c r="Z761" s="398">
        <v>26000</v>
      </c>
      <c r="AB761" s="399"/>
      <c r="AC761" s="399"/>
      <c r="AF761" s="25" t="s">
        <v>7305</v>
      </c>
      <c r="AG761" s="25" t="s">
        <v>1538</v>
      </c>
      <c r="AH761" s="25" t="s">
        <v>1539</v>
      </c>
      <c r="AL761" s="396">
        <v>0</v>
      </c>
      <c r="AM761" s="400" t="s">
        <v>7306</v>
      </c>
      <c r="AN761" s="400" t="s">
        <v>5843</v>
      </c>
      <c r="AP761" s="25">
        <v>1</v>
      </c>
      <c r="AQ761" s="25">
        <v>0</v>
      </c>
      <c r="AR761" s="50">
        <v>0</v>
      </c>
      <c r="AS761" s="50">
        <v>0</v>
      </c>
      <c r="AU761" s="226">
        <v>0</v>
      </c>
      <c r="AV761" s="17">
        <f t="shared" ref="AV761:AV824" si="106">IF(D761 = 1,1,0)</f>
        <v>1</v>
      </c>
      <c r="AW761" s="50" t="str">
        <f t="shared" si="105"/>
        <v>{s_taskTalk,{60555,60555}}</v>
      </c>
    </row>
    <row r="762" spans="1:49" s="25" customFormat="1" ht="72" x14ac:dyDescent="0.15">
      <c r="A762" s="9">
        <v>5031</v>
      </c>
      <c r="C762" s="25" t="s">
        <v>2189</v>
      </c>
      <c r="D762" s="25">
        <v>1</v>
      </c>
      <c r="E762" s="25">
        <v>0</v>
      </c>
      <c r="F762" s="25">
        <v>5</v>
      </c>
      <c r="G762" s="120">
        <v>200</v>
      </c>
      <c r="H762" s="25">
        <v>200</v>
      </c>
      <c r="I762" s="17">
        <v>0</v>
      </c>
      <c r="J762" s="396">
        <v>5021</v>
      </c>
      <c r="K762" s="25">
        <v>0</v>
      </c>
      <c r="L762" s="25">
        <v>60555</v>
      </c>
      <c r="M762" s="25" t="s">
        <v>1626</v>
      </c>
      <c r="N762" s="25">
        <v>60555</v>
      </c>
      <c r="O762" s="25" t="s">
        <v>5175</v>
      </c>
      <c r="Q762" s="397"/>
      <c r="R762" s="397"/>
      <c r="S762" s="397">
        <v>10308</v>
      </c>
      <c r="T762" s="397"/>
      <c r="U762" s="25">
        <v>1</v>
      </c>
      <c r="V762" s="25">
        <v>0</v>
      </c>
      <c r="W762" s="51">
        <v>107</v>
      </c>
      <c r="Z762" s="398">
        <v>173000</v>
      </c>
      <c r="AB762" s="399"/>
      <c r="AC762" s="399"/>
      <c r="AF762" s="25" t="s">
        <v>7307</v>
      </c>
      <c r="AG762" s="25" t="s">
        <v>1630</v>
      </c>
      <c r="AH762" s="25" t="s">
        <v>1631</v>
      </c>
      <c r="AL762" s="396">
        <v>0</v>
      </c>
      <c r="AM762" s="400" t="s">
        <v>1709</v>
      </c>
      <c r="AN762" s="400" t="s">
        <v>5844</v>
      </c>
      <c r="AP762" s="25">
        <v>1</v>
      </c>
      <c r="AQ762" s="25">
        <v>0</v>
      </c>
      <c r="AR762" s="50">
        <v>0</v>
      </c>
      <c r="AS762" s="50">
        <v>0</v>
      </c>
      <c r="AU762" s="226">
        <v>0</v>
      </c>
      <c r="AV762" s="17">
        <f t="shared" si="106"/>
        <v>1</v>
      </c>
      <c r="AW762" s="50" t="str">
        <f>"{s_taskKillNpc, {"&amp;L762&amp;","&amp;N762&amp;","&amp;S762&amp;","&amp;U762&amp;"}}"</f>
        <v>{s_taskKillNpc, {60555,60555,10308,1}}</v>
      </c>
    </row>
    <row r="763" spans="1:49" s="25" customFormat="1" ht="96" x14ac:dyDescent="0.15">
      <c r="A763" s="9">
        <v>5041</v>
      </c>
      <c r="C763" s="25" t="s">
        <v>2190</v>
      </c>
      <c r="D763" s="25">
        <v>1</v>
      </c>
      <c r="E763" s="25">
        <v>0</v>
      </c>
      <c r="F763" s="25">
        <v>5</v>
      </c>
      <c r="G763" s="120">
        <v>200</v>
      </c>
      <c r="H763" s="25">
        <v>200</v>
      </c>
      <c r="I763" s="17">
        <v>0</v>
      </c>
      <c r="J763" s="396">
        <v>5031</v>
      </c>
      <c r="K763" s="25">
        <v>0</v>
      </c>
      <c r="L763" s="25">
        <v>60555</v>
      </c>
      <c r="M763" s="25" t="s">
        <v>1517</v>
      </c>
      <c r="N763" s="25">
        <v>60555</v>
      </c>
      <c r="O763" s="25" t="s">
        <v>5175</v>
      </c>
      <c r="Q763" s="397"/>
      <c r="R763" s="397"/>
      <c r="S763" s="397"/>
      <c r="T763" s="397"/>
      <c r="U763" s="25">
        <v>1</v>
      </c>
      <c r="V763" s="25">
        <v>0</v>
      </c>
      <c r="W763" s="51">
        <v>107</v>
      </c>
      <c r="Z763" s="398">
        <v>65000</v>
      </c>
      <c r="AB763" s="399"/>
      <c r="AC763" s="399"/>
      <c r="AF763" s="25" t="s">
        <v>7308</v>
      </c>
      <c r="AG763" s="25" t="s">
        <v>1540</v>
      </c>
      <c r="AH763" s="25" t="s">
        <v>1541</v>
      </c>
      <c r="AL763" s="396">
        <v>0</v>
      </c>
      <c r="AM763" s="400" t="s">
        <v>7309</v>
      </c>
      <c r="AN763" s="400" t="s">
        <v>5845</v>
      </c>
      <c r="AP763" s="25">
        <v>1</v>
      </c>
      <c r="AQ763" s="25">
        <v>0</v>
      </c>
      <c r="AR763" s="50">
        <v>0</v>
      </c>
      <c r="AS763" s="50">
        <v>0</v>
      </c>
      <c r="AU763" s="226">
        <v>0</v>
      </c>
      <c r="AV763" s="17">
        <f t="shared" si="106"/>
        <v>1</v>
      </c>
      <c r="AW763" s="50" t="str">
        <f>"{s_taskLevelUp,{"&amp;L763&amp;","&amp;N763&amp;","&amp;G763+1&amp;"}}"</f>
        <v>{s_taskLevelUp,{60555,60555,201}}</v>
      </c>
    </row>
    <row r="764" spans="1:49" s="25" customFormat="1" ht="72" x14ac:dyDescent="0.15">
      <c r="A764" s="9">
        <v>5051</v>
      </c>
      <c r="C764" s="25" t="s">
        <v>2191</v>
      </c>
      <c r="D764" s="25">
        <v>1</v>
      </c>
      <c r="E764" s="25">
        <v>0</v>
      </c>
      <c r="F764" s="25">
        <v>5</v>
      </c>
      <c r="G764" s="120">
        <v>200</v>
      </c>
      <c r="H764" s="25">
        <v>200</v>
      </c>
      <c r="I764" s="17">
        <v>0</v>
      </c>
      <c r="J764" s="396">
        <v>5041</v>
      </c>
      <c r="K764" s="25">
        <v>0</v>
      </c>
      <c r="L764" s="25">
        <v>60555</v>
      </c>
      <c r="M764" s="25" t="s">
        <v>1626</v>
      </c>
      <c r="N764" s="25">
        <v>60555</v>
      </c>
      <c r="O764" s="25" t="s">
        <v>5175</v>
      </c>
      <c r="Q764" s="397"/>
      <c r="R764" s="397"/>
      <c r="S764" s="397">
        <v>10210</v>
      </c>
      <c r="T764" s="397"/>
      <c r="U764" s="25">
        <v>70</v>
      </c>
      <c r="V764" s="25">
        <v>0</v>
      </c>
      <c r="W764" s="51">
        <v>110</v>
      </c>
      <c r="Z764" s="398">
        <v>175000</v>
      </c>
      <c r="AB764" s="399"/>
      <c r="AC764" s="399"/>
      <c r="AF764" s="25" t="s">
        <v>7310</v>
      </c>
      <c r="AG764" s="25" t="s">
        <v>4403</v>
      </c>
      <c r="AH764" s="25" t="s">
        <v>1632</v>
      </c>
      <c r="AL764" s="396">
        <v>0</v>
      </c>
      <c r="AM764" s="400" t="s">
        <v>1542</v>
      </c>
      <c r="AN764" s="400" t="s">
        <v>5846</v>
      </c>
      <c r="AP764" s="25">
        <v>1</v>
      </c>
      <c r="AQ764" s="25">
        <v>0</v>
      </c>
      <c r="AR764" s="50">
        <v>0</v>
      </c>
      <c r="AS764" s="50">
        <v>0</v>
      </c>
      <c r="AU764" s="226">
        <v>0</v>
      </c>
      <c r="AV764" s="17">
        <f t="shared" si="106"/>
        <v>1</v>
      </c>
      <c r="AW764" s="50" t="str">
        <f>"{s_taskKillNpc, {"&amp;L764&amp;","&amp;N764&amp;","&amp;S764&amp;","&amp;U764&amp;"}}"</f>
        <v>{s_taskKillNpc, {60555,60555,10210,70}}</v>
      </c>
    </row>
    <row r="765" spans="1:49" s="25" customFormat="1" ht="72" x14ac:dyDescent="0.15">
      <c r="A765" s="9">
        <v>5061</v>
      </c>
      <c r="C765" s="25" t="s">
        <v>2192</v>
      </c>
      <c r="D765" s="25">
        <v>1</v>
      </c>
      <c r="E765" s="25">
        <v>0</v>
      </c>
      <c r="F765" s="25">
        <v>5</v>
      </c>
      <c r="G765" s="120">
        <v>200</v>
      </c>
      <c r="H765" s="25">
        <v>200</v>
      </c>
      <c r="I765" s="17">
        <v>0</v>
      </c>
      <c r="J765" s="396">
        <v>5051</v>
      </c>
      <c r="K765" s="25">
        <v>0</v>
      </c>
      <c r="L765" s="25">
        <v>60555</v>
      </c>
      <c r="M765" s="25" t="s">
        <v>1626</v>
      </c>
      <c r="N765" s="25">
        <v>60555</v>
      </c>
      <c r="O765" s="25" t="s">
        <v>5175</v>
      </c>
      <c r="Q765" s="397"/>
      <c r="R765" s="397"/>
      <c r="S765" s="397">
        <v>10210</v>
      </c>
      <c r="T765" s="397"/>
      <c r="U765" s="25">
        <v>70</v>
      </c>
      <c r="V765" s="25">
        <v>0</v>
      </c>
      <c r="W765" s="51">
        <v>110</v>
      </c>
      <c r="Z765" s="398">
        <v>177000</v>
      </c>
      <c r="AB765" s="399"/>
      <c r="AC765" s="399"/>
      <c r="AF765" s="25" t="s">
        <v>7311</v>
      </c>
      <c r="AG765" s="25" t="s">
        <v>1633</v>
      </c>
      <c r="AH765" s="25" t="s">
        <v>1634</v>
      </c>
      <c r="AL765" s="396">
        <v>0</v>
      </c>
      <c r="AM765" s="400" t="s">
        <v>1543</v>
      </c>
      <c r="AN765" s="400" t="s">
        <v>5847</v>
      </c>
      <c r="AP765" s="25">
        <v>1</v>
      </c>
      <c r="AQ765" s="25">
        <v>0</v>
      </c>
      <c r="AR765" s="50">
        <v>0</v>
      </c>
      <c r="AS765" s="50">
        <v>0</v>
      </c>
      <c r="AU765" s="226">
        <v>0</v>
      </c>
      <c r="AV765" s="17">
        <f t="shared" si="106"/>
        <v>1</v>
      </c>
      <c r="AW765" s="50" t="str">
        <f>"{s_taskKillNpc, {"&amp;L765&amp;","&amp;N765&amp;","&amp;S765&amp;","&amp;U765&amp;"}}"</f>
        <v>{s_taskKillNpc, {60555,60555,10210,70}}</v>
      </c>
    </row>
    <row r="766" spans="1:49" s="402" customFormat="1" ht="72" x14ac:dyDescent="0.15">
      <c r="A766" s="9">
        <v>5071</v>
      </c>
      <c r="C766" s="402" t="s">
        <v>2193</v>
      </c>
      <c r="D766" s="402">
        <v>1</v>
      </c>
      <c r="E766" s="402">
        <v>0</v>
      </c>
      <c r="F766" s="402">
        <v>5</v>
      </c>
      <c r="G766" s="120">
        <v>200</v>
      </c>
      <c r="H766" s="402">
        <v>200</v>
      </c>
      <c r="I766" s="17">
        <v>0</v>
      </c>
      <c r="J766" s="403">
        <v>5061</v>
      </c>
      <c r="K766" s="402">
        <v>0</v>
      </c>
      <c r="L766" s="402">
        <v>60555</v>
      </c>
      <c r="M766" s="402" t="s">
        <v>1517</v>
      </c>
      <c r="N766" s="402">
        <v>60555</v>
      </c>
      <c r="O766" s="402" t="s">
        <v>5175</v>
      </c>
      <c r="Q766" s="404"/>
      <c r="R766" s="404"/>
      <c r="S766" s="404">
        <v>10309</v>
      </c>
      <c r="T766" s="404"/>
      <c r="U766" s="402">
        <v>1</v>
      </c>
      <c r="V766" s="402">
        <v>0</v>
      </c>
      <c r="W766" s="51">
        <v>114</v>
      </c>
      <c r="Z766" s="405">
        <v>179000</v>
      </c>
      <c r="AB766" s="406"/>
      <c r="AC766" s="406"/>
      <c r="AF766" s="402" t="s">
        <v>7312</v>
      </c>
      <c r="AG766" s="402" t="s">
        <v>1544</v>
      </c>
      <c r="AH766" s="402" t="s">
        <v>1545</v>
      </c>
      <c r="AL766" s="403">
        <v>0</v>
      </c>
      <c r="AM766" s="407" t="s">
        <v>1546</v>
      </c>
      <c r="AN766" s="407" t="s">
        <v>5848</v>
      </c>
      <c r="AP766" s="402">
        <v>1</v>
      </c>
      <c r="AQ766" s="402">
        <v>0</v>
      </c>
      <c r="AR766" s="50">
        <v>0</v>
      </c>
      <c r="AS766" s="50">
        <v>0</v>
      </c>
      <c r="AU766" s="226">
        <v>0</v>
      </c>
      <c r="AV766" s="17">
        <f t="shared" si="106"/>
        <v>1</v>
      </c>
      <c r="AW766" s="50" t="str">
        <f>"{s_taskKillNpc, {"&amp;L766&amp;","&amp;N766&amp;","&amp;S766&amp;","&amp;U766&amp;"}}"</f>
        <v>{s_taskKillNpc, {60555,60555,10309,1}}</v>
      </c>
    </row>
    <row r="767" spans="1:49" s="402" customFormat="1" ht="84" x14ac:dyDescent="0.15">
      <c r="A767" s="9">
        <v>5081</v>
      </c>
      <c r="C767" s="402" t="s">
        <v>2194</v>
      </c>
      <c r="D767" s="402">
        <v>1</v>
      </c>
      <c r="E767" s="402">
        <v>0</v>
      </c>
      <c r="F767" s="402">
        <v>5</v>
      </c>
      <c r="G767" s="120">
        <v>200</v>
      </c>
      <c r="H767" s="402">
        <v>200</v>
      </c>
      <c r="I767" s="17">
        <v>0</v>
      </c>
      <c r="J767" s="403">
        <v>5071</v>
      </c>
      <c r="K767" s="402">
        <v>0</v>
      </c>
      <c r="L767" s="402">
        <v>60555</v>
      </c>
      <c r="M767" s="402" t="s">
        <v>1517</v>
      </c>
      <c r="N767" s="402">
        <v>60559</v>
      </c>
      <c r="O767" s="402" t="s">
        <v>5172</v>
      </c>
      <c r="Q767" s="404"/>
      <c r="R767" s="404"/>
      <c r="S767" s="404"/>
      <c r="T767" s="404"/>
      <c r="U767" s="402">
        <v>1</v>
      </c>
      <c r="V767" s="402">
        <v>1</v>
      </c>
      <c r="W767" s="51">
        <v>114</v>
      </c>
      <c r="Z767" s="405">
        <v>26000</v>
      </c>
      <c r="AB767" s="406"/>
      <c r="AC767" s="406"/>
      <c r="AF767" s="402" t="s">
        <v>4404</v>
      </c>
      <c r="AG767" s="402" t="s">
        <v>4405</v>
      </c>
      <c r="AH767" s="402" t="s">
        <v>1547</v>
      </c>
      <c r="AL767" s="403">
        <v>0</v>
      </c>
      <c r="AM767" s="407" t="s">
        <v>7313</v>
      </c>
      <c r="AN767" s="407" t="s">
        <v>5849</v>
      </c>
      <c r="AP767" s="402">
        <v>1</v>
      </c>
      <c r="AQ767" s="402">
        <v>0</v>
      </c>
      <c r="AR767" s="50">
        <v>0</v>
      </c>
      <c r="AS767" s="50">
        <v>0</v>
      </c>
      <c r="AU767" s="226">
        <v>0</v>
      </c>
      <c r="AV767" s="17">
        <f t="shared" si="106"/>
        <v>1</v>
      </c>
      <c r="AW767" s="50" t="str">
        <f>"{s_taskTalk,{"&amp;L767&amp;","&amp;N767&amp;"}}"</f>
        <v>{s_taskTalk,{60555,60559}}</v>
      </c>
    </row>
    <row r="768" spans="1:49" s="25" customFormat="1" ht="96" x14ac:dyDescent="0.15">
      <c r="A768" s="9">
        <v>5091</v>
      </c>
      <c r="C768" s="25" t="s">
        <v>2195</v>
      </c>
      <c r="D768" s="25">
        <v>1</v>
      </c>
      <c r="E768" s="25">
        <v>0</v>
      </c>
      <c r="F768" s="25">
        <v>5</v>
      </c>
      <c r="G768" s="120">
        <v>200</v>
      </c>
      <c r="H768" s="25">
        <v>200</v>
      </c>
      <c r="I768" s="17">
        <v>0</v>
      </c>
      <c r="J768" s="396">
        <v>5081</v>
      </c>
      <c r="K768" s="25">
        <v>0</v>
      </c>
      <c r="L768" s="25">
        <v>60556</v>
      </c>
      <c r="M768" s="25" t="s">
        <v>1635</v>
      </c>
      <c r="N768" s="25">
        <v>60556</v>
      </c>
      <c r="O768" s="25" t="s">
        <v>5176</v>
      </c>
      <c r="Q768" s="397"/>
      <c r="R768" s="408"/>
      <c r="S768" s="408">
        <v>10211</v>
      </c>
      <c r="T768" s="408"/>
      <c r="U768" s="25">
        <v>70</v>
      </c>
      <c r="V768" s="25">
        <v>0</v>
      </c>
      <c r="W768" s="51">
        <v>118</v>
      </c>
      <c r="Z768" s="51">
        <v>210000</v>
      </c>
      <c r="AB768" s="399"/>
      <c r="AC768" s="399"/>
      <c r="AF768" s="25" t="s">
        <v>1636</v>
      </c>
      <c r="AG768" s="25" t="s">
        <v>1637</v>
      </c>
      <c r="AH768" s="25" t="s">
        <v>1638</v>
      </c>
      <c r="AL768" s="396">
        <v>0</v>
      </c>
      <c r="AM768" s="400" t="s">
        <v>1639</v>
      </c>
      <c r="AN768" s="400" t="s">
        <v>5850</v>
      </c>
      <c r="AP768" s="25">
        <v>1</v>
      </c>
      <c r="AQ768" s="25">
        <v>0</v>
      </c>
      <c r="AR768" s="50">
        <v>0</v>
      </c>
      <c r="AS768" s="50">
        <v>0</v>
      </c>
      <c r="AU768" s="226">
        <v>0</v>
      </c>
      <c r="AV768" s="17">
        <f t="shared" si="106"/>
        <v>1</v>
      </c>
      <c r="AW768" s="50" t="str">
        <f t="shared" ref="AW768:AW787" si="107">"{s_taskKillNpc, {"&amp;L768&amp;","&amp;N768&amp;","&amp;S768&amp;","&amp;U768&amp;"}}"</f>
        <v>{s_taskKillNpc, {60556,60556,10211,70}}</v>
      </c>
    </row>
    <row r="769" spans="1:49" s="25" customFormat="1" ht="96" x14ac:dyDescent="0.15">
      <c r="A769" s="9">
        <v>5101</v>
      </c>
      <c r="C769" s="25" t="s">
        <v>2196</v>
      </c>
      <c r="D769" s="25">
        <v>1</v>
      </c>
      <c r="E769" s="25">
        <v>0</v>
      </c>
      <c r="F769" s="25">
        <v>5</v>
      </c>
      <c r="G769" s="120">
        <v>200</v>
      </c>
      <c r="H769" s="25">
        <v>200</v>
      </c>
      <c r="I769" s="17">
        <v>0</v>
      </c>
      <c r="J769" s="396">
        <v>5091</v>
      </c>
      <c r="K769" s="25">
        <v>0</v>
      </c>
      <c r="L769" s="25">
        <v>60556</v>
      </c>
      <c r="M769" s="25" t="s">
        <v>1635</v>
      </c>
      <c r="N769" s="25">
        <v>60556</v>
      </c>
      <c r="O769" s="25" t="s">
        <v>5176</v>
      </c>
      <c r="Q769" s="397"/>
      <c r="R769" s="408"/>
      <c r="S769" s="408">
        <v>10310</v>
      </c>
      <c r="T769" s="408"/>
      <c r="U769" s="25">
        <v>1</v>
      </c>
      <c r="V769" s="25">
        <v>0</v>
      </c>
      <c r="W769" s="51">
        <v>121</v>
      </c>
      <c r="Z769" s="51">
        <v>220000</v>
      </c>
      <c r="AB769" s="399"/>
      <c r="AC769" s="399"/>
      <c r="AF769" s="25" t="s">
        <v>1640</v>
      </c>
      <c r="AG769" s="25" t="s">
        <v>1641</v>
      </c>
      <c r="AH769" s="25" t="s">
        <v>1642</v>
      </c>
      <c r="AL769" s="396">
        <v>0</v>
      </c>
      <c r="AM769" s="400" t="s">
        <v>1643</v>
      </c>
      <c r="AN769" s="400" t="s">
        <v>5851</v>
      </c>
      <c r="AP769" s="25">
        <v>1</v>
      </c>
      <c r="AQ769" s="25">
        <v>0</v>
      </c>
      <c r="AR769" s="50">
        <v>0</v>
      </c>
      <c r="AS769" s="50">
        <v>0</v>
      </c>
      <c r="AU769" s="226">
        <v>0</v>
      </c>
      <c r="AV769" s="17">
        <f t="shared" si="106"/>
        <v>1</v>
      </c>
      <c r="AW769" s="50" t="str">
        <f t="shared" si="107"/>
        <v>{s_taskKillNpc, {60556,60556,10310,1}}</v>
      </c>
    </row>
    <row r="770" spans="1:49" s="419" customFormat="1" ht="132" x14ac:dyDescent="0.15">
      <c r="A770" s="9">
        <v>5111</v>
      </c>
      <c r="B770" s="409"/>
      <c r="C770" s="410" t="s">
        <v>2197</v>
      </c>
      <c r="D770" s="410">
        <v>1</v>
      </c>
      <c r="E770" s="410">
        <v>0</v>
      </c>
      <c r="F770" s="410">
        <v>5</v>
      </c>
      <c r="G770" s="120">
        <v>200</v>
      </c>
      <c r="H770" s="410">
        <v>200</v>
      </c>
      <c r="I770" s="17">
        <v>0</v>
      </c>
      <c r="J770" s="411">
        <v>5101</v>
      </c>
      <c r="K770" s="410">
        <v>0</v>
      </c>
      <c r="L770" s="410">
        <v>60556</v>
      </c>
      <c r="M770" s="410" t="s">
        <v>1548</v>
      </c>
      <c r="N770" s="410">
        <v>60556</v>
      </c>
      <c r="O770" s="410" t="s">
        <v>5177</v>
      </c>
      <c r="P770" s="409"/>
      <c r="Q770" s="412"/>
      <c r="R770" s="413"/>
      <c r="S770" s="413">
        <v>10212</v>
      </c>
      <c r="T770" s="413"/>
      <c r="U770" s="410">
        <v>70</v>
      </c>
      <c r="V770" s="410">
        <v>0</v>
      </c>
      <c r="W770" s="51">
        <v>125</v>
      </c>
      <c r="X770" s="410"/>
      <c r="Y770" s="410"/>
      <c r="Z770" s="414">
        <v>230000</v>
      </c>
      <c r="AA770" s="410"/>
      <c r="AB770" s="415"/>
      <c r="AC770" s="415"/>
      <c r="AD770" s="410"/>
      <c r="AE770" s="410"/>
      <c r="AF770" s="410" t="s">
        <v>4735</v>
      </c>
      <c r="AG770" s="416" t="s">
        <v>4736</v>
      </c>
      <c r="AH770" s="416" t="s">
        <v>1549</v>
      </c>
      <c r="AI770" s="409"/>
      <c r="AJ770" s="409"/>
      <c r="AK770" s="409"/>
      <c r="AL770" s="417"/>
      <c r="AM770" s="418" t="s">
        <v>1550</v>
      </c>
      <c r="AN770" s="418" t="s">
        <v>5852</v>
      </c>
      <c r="AP770" s="419">
        <v>1</v>
      </c>
      <c r="AQ770" s="419">
        <v>0</v>
      </c>
      <c r="AR770" s="50">
        <v>0</v>
      </c>
      <c r="AS770" s="50">
        <v>0</v>
      </c>
      <c r="AU770" s="226">
        <v>0</v>
      </c>
      <c r="AV770" s="17">
        <f t="shared" si="106"/>
        <v>1</v>
      </c>
      <c r="AW770" s="50" t="str">
        <f t="shared" si="107"/>
        <v>{s_taskKillNpc, {60556,60556,10212,70}}</v>
      </c>
    </row>
    <row r="771" spans="1:49" s="418" customFormat="1" ht="96" x14ac:dyDescent="0.15">
      <c r="A771" s="9">
        <v>5121</v>
      </c>
      <c r="B771" s="409"/>
      <c r="C771" s="410" t="s">
        <v>4737</v>
      </c>
      <c r="D771" s="410">
        <v>1</v>
      </c>
      <c r="E771" s="410">
        <v>0</v>
      </c>
      <c r="F771" s="410">
        <v>5</v>
      </c>
      <c r="G771" s="120">
        <v>200</v>
      </c>
      <c r="H771" s="410">
        <v>200</v>
      </c>
      <c r="I771" s="17">
        <v>0</v>
      </c>
      <c r="J771" s="411">
        <v>5111</v>
      </c>
      <c r="K771" s="410">
        <v>0</v>
      </c>
      <c r="L771" s="410">
        <v>60556</v>
      </c>
      <c r="M771" s="410" t="s">
        <v>1548</v>
      </c>
      <c r="N771" s="410">
        <v>60556</v>
      </c>
      <c r="O771" s="410" t="s">
        <v>5177</v>
      </c>
      <c r="P771" s="409"/>
      <c r="Q771" s="412"/>
      <c r="R771" s="413"/>
      <c r="S771" s="413">
        <v>10311</v>
      </c>
      <c r="T771" s="413"/>
      <c r="U771" s="410">
        <v>1</v>
      </c>
      <c r="V771" s="410">
        <v>0</v>
      </c>
      <c r="W771" s="51">
        <v>129</v>
      </c>
      <c r="X771" s="410"/>
      <c r="Y771" s="410"/>
      <c r="Z771" s="414">
        <v>236000</v>
      </c>
      <c r="AA771" s="410"/>
      <c r="AB771" s="415"/>
      <c r="AC771" s="415"/>
      <c r="AD771" s="410"/>
      <c r="AE771" s="410"/>
      <c r="AF771" s="410" t="s">
        <v>4738</v>
      </c>
      <c r="AG771" s="416" t="s">
        <v>4739</v>
      </c>
      <c r="AH771" s="416" t="s">
        <v>1551</v>
      </c>
      <c r="AI771" s="409"/>
      <c r="AJ771" s="409"/>
      <c r="AK771" s="409"/>
      <c r="AL771" s="417"/>
      <c r="AM771" s="418" t="s">
        <v>1552</v>
      </c>
      <c r="AN771" s="418" t="s">
        <v>5853</v>
      </c>
      <c r="AO771" s="410"/>
      <c r="AP771" s="410">
        <v>1</v>
      </c>
      <c r="AQ771" s="410">
        <v>0</v>
      </c>
      <c r="AR771" s="50">
        <v>0</v>
      </c>
      <c r="AS771" s="50">
        <v>0</v>
      </c>
      <c r="AT771" s="410"/>
      <c r="AU771" s="226">
        <v>0</v>
      </c>
      <c r="AV771" s="17">
        <f t="shared" si="106"/>
        <v>1</v>
      </c>
      <c r="AW771" s="50" t="str">
        <f t="shared" si="107"/>
        <v>{s_taskKillNpc, {60556,60556,10311,1}}</v>
      </c>
    </row>
    <row r="772" spans="1:49" s="410" customFormat="1" ht="72" x14ac:dyDescent="0.15">
      <c r="A772" s="9">
        <v>5131</v>
      </c>
      <c r="B772" s="409"/>
      <c r="C772" s="410" t="s">
        <v>2198</v>
      </c>
      <c r="D772" s="410">
        <v>1</v>
      </c>
      <c r="E772" s="410">
        <v>0</v>
      </c>
      <c r="F772" s="410">
        <v>5</v>
      </c>
      <c r="G772" s="120">
        <v>200</v>
      </c>
      <c r="H772" s="410">
        <v>200</v>
      </c>
      <c r="I772" s="17">
        <v>0</v>
      </c>
      <c r="J772" s="411">
        <v>5121</v>
      </c>
      <c r="K772" s="410">
        <v>0</v>
      </c>
      <c r="L772" s="410">
        <v>60556</v>
      </c>
      <c r="M772" s="410" t="s">
        <v>1548</v>
      </c>
      <c r="N772" s="410">
        <v>60556</v>
      </c>
      <c r="O772" s="410" t="s">
        <v>5177</v>
      </c>
      <c r="P772" s="409"/>
      <c r="Q772" s="412"/>
      <c r="R772" s="413"/>
      <c r="S772" s="413">
        <v>10213</v>
      </c>
      <c r="T772" s="413"/>
      <c r="U772" s="410">
        <v>70</v>
      </c>
      <c r="V772" s="410">
        <v>0</v>
      </c>
      <c r="W772" s="51">
        <v>133</v>
      </c>
      <c r="Z772" s="414">
        <v>242000</v>
      </c>
      <c r="AB772" s="415"/>
      <c r="AC772" s="415"/>
      <c r="AF772" s="410" t="s">
        <v>1553</v>
      </c>
      <c r="AG772" s="416" t="s">
        <v>1554</v>
      </c>
      <c r="AH772" s="416" t="s">
        <v>1555</v>
      </c>
      <c r="AI772" s="409"/>
      <c r="AJ772" s="409"/>
      <c r="AK772" s="409"/>
      <c r="AL772" s="417"/>
      <c r="AM772" s="418" t="s">
        <v>1556</v>
      </c>
      <c r="AN772" s="418" t="s">
        <v>5854</v>
      </c>
      <c r="AP772" s="410">
        <v>1</v>
      </c>
      <c r="AQ772" s="410">
        <v>0</v>
      </c>
      <c r="AR772" s="50">
        <v>0</v>
      </c>
      <c r="AS772" s="50">
        <v>0</v>
      </c>
      <c r="AU772" s="226">
        <v>0</v>
      </c>
      <c r="AV772" s="17">
        <f t="shared" si="106"/>
        <v>1</v>
      </c>
      <c r="AW772" s="50" t="str">
        <f t="shared" si="107"/>
        <v>{s_taskKillNpc, {60556,60556,10213,70}}</v>
      </c>
    </row>
    <row r="773" spans="1:49" s="410" customFormat="1" ht="84" x14ac:dyDescent="0.15">
      <c r="A773" s="9">
        <v>5141</v>
      </c>
      <c r="B773" s="409"/>
      <c r="C773" s="410" t="s">
        <v>2199</v>
      </c>
      <c r="D773" s="410">
        <v>1</v>
      </c>
      <c r="E773" s="410">
        <v>0</v>
      </c>
      <c r="F773" s="410">
        <v>5</v>
      </c>
      <c r="G773" s="120">
        <v>200</v>
      </c>
      <c r="H773" s="410">
        <v>200</v>
      </c>
      <c r="I773" s="17">
        <v>0</v>
      </c>
      <c r="J773" s="411">
        <v>5131</v>
      </c>
      <c r="K773" s="410">
        <v>0</v>
      </c>
      <c r="L773" s="410">
        <v>60556</v>
      </c>
      <c r="M773" s="410" t="s">
        <v>1557</v>
      </c>
      <c r="N773" s="410">
        <v>60556</v>
      </c>
      <c r="O773" s="410" t="s">
        <v>5177</v>
      </c>
      <c r="P773" s="409"/>
      <c r="Q773" s="412"/>
      <c r="R773" s="413"/>
      <c r="S773" s="413">
        <v>10312</v>
      </c>
      <c r="T773" s="413"/>
      <c r="U773" s="410">
        <v>1</v>
      </c>
      <c r="V773" s="410">
        <v>0</v>
      </c>
      <c r="W773" s="414">
        <v>137</v>
      </c>
      <c r="Z773" s="414">
        <v>248000</v>
      </c>
      <c r="AB773" s="415"/>
      <c r="AC773" s="415"/>
      <c r="AF773" s="410" t="s">
        <v>1558</v>
      </c>
      <c r="AG773" s="416" t="s">
        <v>1559</v>
      </c>
      <c r="AH773" s="416" t="s">
        <v>1560</v>
      </c>
      <c r="AI773" s="409"/>
      <c r="AJ773" s="409"/>
      <c r="AK773" s="409"/>
      <c r="AL773" s="417"/>
      <c r="AM773" s="418" t="s">
        <v>1561</v>
      </c>
      <c r="AN773" s="418" t="s">
        <v>5855</v>
      </c>
      <c r="AP773" s="410">
        <v>1</v>
      </c>
      <c r="AQ773" s="410">
        <v>0</v>
      </c>
      <c r="AR773" s="50">
        <v>0</v>
      </c>
      <c r="AS773" s="50">
        <v>0</v>
      </c>
      <c r="AU773" s="226">
        <v>0</v>
      </c>
      <c r="AV773" s="17">
        <f t="shared" si="106"/>
        <v>1</v>
      </c>
      <c r="AW773" s="50" t="str">
        <f t="shared" si="107"/>
        <v>{s_taskKillNpc, {60556,60556,10312,1}}</v>
      </c>
    </row>
    <row r="774" spans="1:49" s="410" customFormat="1" ht="96" x14ac:dyDescent="0.15">
      <c r="A774" s="9">
        <v>5151</v>
      </c>
      <c r="B774" s="409"/>
      <c r="C774" s="410" t="s">
        <v>2200</v>
      </c>
      <c r="D774" s="410">
        <v>1</v>
      </c>
      <c r="E774" s="410">
        <v>0</v>
      </c>
      <c r="F774" s="410">
        <v>5</v>
      </c>
      <c r="G774" s="120">
        <v>200</v>
      </c>
      <c r="H774" s="410">
        <v>200</v>
      </c>
      <c r="I774" s="17">
        <v>0</v>
      </c>
      <c r="J774" s="411">
        <v>5141</v>
      </c>
      <c r="K774" s="410">
        <v>0</v>
      </c>
      <c r="L774" s="410">
        <v>60556</v>
      </c>
      <c r="M774" s="410" t="s">
        <v>1557</v>
      </c>
      <c r="N774" s="410">
        <v>60556</v>
      </c>
      <c r="O774" s="410" t="s">
        <v>5177</v>
      </c>
      <c r="P774" s="409"/>
      <c r="Q774" s="412"/>
      <c r="R774" s="413"/>
      <c r="S774" s="413">
        <v>10214</v>
      </c>
      <c r="T774" s="413"/>
      <c r="U774" s="410">
        <v>70</v>
      </c>
      <c r="V774" s="410">
        <v>0</v>
      </c>
      <c r="W774" s="414">
        <v>141</v>
      </c>
      <c r="Z774" s="414">
        <v>252000</v>
      </c>
      <c r="AB774" s="415"/>
      <c r="AC774" s="415"/>
      <c r="AF774" s="410" t="s">
        <v>1562</v>
      </c>
      <c r="AG774" s="416" t="s">
        <v>1563</v>
      </c>
      <c r="AH774" s="416" t="s">
        <v>1564</v>
      </c>
      <c r="AI774" s="409"/>
      <c r="AJ774" s="409"/>
      <c r="AK774" s="409"/>
      <c r="AL774" s="417"/>
      <c r="AM774" s="418" t="s">
        <v>1565</v>
      </c>
      <c r="AN774" s="418" t="s">
        <v>5856</v>
      </c>
      <c r="AP774" s="410">
        <v>1</v>
      </c>
      <c r="AQ774" s="410">
        <v>0</v>
      </c>
      <c r="AR774" s="50">
        <v>0</v>
      </c>
      <c r="AS774" s="50">
        <v>0</v>
      </c>
      <c r="AU774" s="226">
        <v>0</v>
      </c>
      <c r="AV774" s="17">
        <f t="shared" si="106"/>
        <v>1</v>
      </c>
      <c r="AW774" s="50" t="str">
        <f t="shared" si="107"/>
        <v>{s_taskKillNpc, {60556,60556,10214,70}}</v>
      </c>
    </row>
    <row r="775" spans="1:49" s="410" customFormat="1" ht="84" x14ac:dyDescent="0.15">
      <c r="A775" s="9">
        <v>5161</v>
      </c>
      <c r="B775" s="409"/>
      <c r="C775" s="410" t="s">
        <v>2201</v>
      </c>
      <c r="D775" s="410">
        <v>1</v>
      </c>
      <c r="E775" s="410">
        <v>0</v>
      </c>
      <c r="F775" s="410">
        <v>5</v>
      </c>
      <c r="G775" s="120">
        <v>200</v>
      </c>
      <c r="H775" s="410">
        <v>200</v>
      </c>
      <c r="I775" s="17">
        <v>0</v>
      </c>
      <c r="J775" s="411">
        <v>5151</v>
      </c>
      <c r="K775" s="410">
        <v>0</v>
      </c>
      <c r="L775" s="410">
        <v>60556</v>
      </c>
      <c r="M775" s="410" t="s">
        <v>1557</v>
      </c>
      <c r="N775" s="410">
        <v>60556</v>
      </c>
      <c r="O775" s="410" t="s">
        <v>5177</v>
      </c>
      <c r="P775" s="409"/>
      <c r="Q775" s="412"/>
      <c r="R775" s="413"/>
      <c r="S775" s="413">
        <v>10313</v>
      </c>
      <c r="T775" s="413"/>
      <c r="U775" s="410">
        <v>1</v>
      </c>
      <c r="V775" s="410">
        <v>0</v>
      </c>
      <c r="W775" s="414">
        <v>145</v>
      </c>
      <c r="Z775" s="414">
        <v>260000</v>
      </c>
      <c r="AB775" s="415"/>
      <c r="AC775" s="415"/>
      <c r="AF775" s="410" t="s">
        <v>1566</v>
      </c>
      <c r="AG775" s="416" t="s">
        <v>1567</v>
      </c>
      <c r="AH775" s="416" t="s">
        <v>1568</v>
      </c>
      <c r="AI775" s="409"/>
      <c r="AJ775" s="409"/>
      <c r="AK775" s="409"/>
      <c r="AL775" s="417"/>
      <c r="AM775" s="418" t="s">
        <v>1569</v>
      </c>
      <c r="AN775" s="418" t="s">
        <v>5857</v>
      </c>
      <c r="AP775" s="410">
        <v>1</v>
      </c>
      <c r="AQ775" s="410">
        <v>0</v>
      </c>
      <c r="AR775" s="50">
        <v>0</v>
      </c>
      <c r="AS775" s="50">
        <v>0</v>
      </c>
      <c r="AU775" s="226">
        <v>0</v>
      </c>
      <c r="AV775" s="17">
        <f t="shared" si="106"/>
        <v>1</v>
      </c>
      <c r="AW775" s="50" t="str">
        <f t="shared" si="107"/>
        <v>{s_taskKillNpc, {60556,60556,10313,1}}</v>
      </c>
    </row>
    <row r="776" spans="1:49" s="410" customFormat="1" ht="132" x14ac:dyDescent="0.15">
      <c r="A776" s="9">
        <v>5171</v>
      </c>
      <c r="B776" s="409"/>
      <c r="C776" s="410" t="s">
        <v>2202</v>
      </c>
      <c r="D776" s="410">
        <v>1</v>
      </c>
      <c r="E776" s="410">
        <v>0</v>
      </c>
      <c r="F776" s="410">
        <v>5</v>
      </c>
      <c r="G776" s="120">
        <v>200</v>
      </c>
      <c r="H776" s="410">
        <v>200</v>
      </c>
      <c r="I776" s="17">
        <v>0</v>
      </c>
      <c r="J776" s="411">
        <v>5161</v>
      </c>
      <c r="K776" s="410">
        <v>0</v>
      </c>
      <c r="L776" s="410">
        <v>60556</v>
      </c>
      <c r="M776" s="410" t="s">
        <v>1557</v>
      </c>
      <c r="N776" s="410">
        <v>60556</v>
      </c>
      <c r="O776" s="410" t="s">
        <v>5177</v>
      </c>
      <c r="P776" s="409"/>
      <c r="Q776" s="412"/>
      <c r="R776" s="413"/>
      <c r="S776" s="413">
        <v>10215</v>
      </c>
      <c r="T776" s="413"/>
      <c r="U776" s="410">
        <v>70</v>
      </c>
      <c r="V776" s="410">
        <v>0</v>
      </c>
      <c r="W776" s="414">
        <v>149</v>
      </c>
      <c r="Z776" s="414">
        <v>267000</v>
      </c>
      <c r="AB776" s="415"/>
      <c r="AC776" s="415"/>
      <c r="AF776" s="410" t="s">
        <v>1570</v>
      </c>
      <c r="AG776" s="416" t="s">
        <v>1571</v>
      </c>
      <c r="AH776" s="416" t="s">
        <v>1572</v>
      </c>
      <c r="AI776" s="409"/>
      <c r="AJ776" s="409"/>
      <c r="AK776" s="409"/>
      <c r="AL776" s="417"/>
      <c r="AM776" s="418" t="s">
        <v>1573</v>
      </c>
      <c r="AN776" s="418" t="s">
        <v>5858</v>
      </c>
      <c r="AP776" s="410">
        <v>1</v>
      </c>
      <c r="AQ776" s="410">
        <v>0</v>
      </c>
      <c r="AR776" s="50">
        <v>0</v>
      </c>
      <c r="AS776" s="50">
        <v>0</v>
      </c>
      <c r="AU776" s="226">
        <v>0</v>
      </c>
      <c r="AV776" s="17">
        <f t="shared" si="106"/>
        <v>1</v>
      </c>
      <c r="AW776" s="50" t="str">
        <f t="shared" si="107"/>
        <v>{s_taskKillNpc, {60556,60556,10215,70}}</v>
      </c>
    </row>
    <row r="777" spans="1:49" s="410" customFormat="1" ht="84" x14ac:dyDescent="0.15">
      <c r="A777" s="9">
        <v>5181</v>
      </c>
      <c r="B777" s="409"/>
      <c r="C777" s="410" t="s">
        <v>2203</v>
      </c>
      <c r="D777" s="410">
        <v>1</v>
      </c>
      <c r="E777" s="410">
        <v>0</v>
      </c>
      <c r="F777" s="410">
        <v>5</v>
      </c>
      <c r="G777" s="120">
        <v>200</v>
      </c>
      <c r="H777" s="410">
        <v>200</v>
      </c>
      <c r="I777" s="17">
        <v>0</v>
      </c>
      <c r="J777" s="411">
        <v>5171</v>
      </c>
      <c r="K777" s="410">
        <v>0</v>
      </c>
      <c r="L777" s="410">
        <v>60556</v>
      </c>
      <c r="M777" s="410" t="s">
        <v>1557</v>
      </c>
      <c r="N777" s="410">
        <v>60556</v>
      </c>
      <c r="O777" s="410" t="s">
        <v>5177</v>
      </c>
      <c r="P777" s="409"/>
      <c r="Q777" s="412"/>
      <c r="R777" s="413"/>
      <c r="S777" s="413">
        <v>10314</v>
      </c>
      <c r="T777" s="413"/>
      <c r="U777" s="410">
        <v>1</v>
      </c>
      <c r="V777" s="410">
        <v>0</v>
      </c>
      <c r="W777" s="414">
        <v>153</v>
      </c>
      <c r="Z777" s="414">
        <v>273000</v>
      </c>
      <c r="AB777" s="415"/>
      <c r="AC777" s="415"/>
      <c r="AF777" s="410" t="s">
        <v>1574</v>
      </c>
      <c r="AG777" s="416" t="s">
        <v>1575</v>
      </c>
      <c r="AH777" s="416" t="s">
        <v>1576</v>
      </c>
      <c r="AI777" s="409"/>
      <c r="AJ777" s="409"/>
      <c r="AK777" s="409"/>
      <c r="AL777" s="417"/>
      <c r="AM777" s="418" t="s">
        <v>1577</v>
      </c>
      <c r="AN777" s="418" t="s">
        <v>5859</v>
      </c>
      <c r="AP777" s="410">
        <v>1</v>
      </c>
      <c r="AQ777" s="410">
        <v>0</v>
      </c>
      <c r="AR777" s="50">
        <v>0</v>
      </c>
      <c r="AS777" s="50">
        <v>0</v>
      </c>
      <c r="AU777" s="226">
        <v>0</v>
      </c>
      <c r="AV777" s="17">
        <f t="shared" si="106"/>
        <v>1</v>
      </c>
      <c r="AW777" s="50" t="str">
        <f t="shared" si="107"/>
        <v>{s_taskKillNpc, {60556,60556,10314,1}}</v>
      </c>
    </row>
    <row r="778" spans="1:49" s="410" customFormat="1" ht="96" x14ac:dyDescent="0.15">
      <c r="A778" s="9">
        <v>5191</v>
      </c>
      <c r="B778" s="409"/>
      <c r="C778" s="410" t="s">
        <v>2204</v>
      </c>
      <c r="D778" s="410">
        <v>1</v>
      </c>
      <c r="E778" s="410">
        <v>0</v>
      </c>
      <c r="F778" s="410">
        <v>5</v>
      </c>
      <c r="G778" s="120">
        <v>200</v>
      </c>
      <c r="H778" s="410">
        <v>200</v>
      </c>
      <c r="I778" s="17">
        <v>0</v>
      </c>
      <c r="J778" s="411">
        <v>5181</v>
      </c>
      <c r="K778" s="410">
        <v>0</v>
      </c>
      <c r="L778" s="410">
        <v>60556</v>
      </c>
      <c r="M778" s="410" t="s">
        <v>1557</v>
      </c>
      <c r="N778" s="410">
        <v>60556</v>
      </c>
      <c r="O778" s="410" t="s">
        <v>5177</v>
      </c>
      <c r="P778" s="409"/>
      <c r="Q778" s="412"/>
      <c r="R778" s="413"/>
      <c r="S778" s="413">
        <v>10216</v>
      </c>
      <c r="T778" s="413"/>
      <c r="U778" s="410">
        <v>70</v>
      </c>
      <c r="V778" s="410">
        <v>0</v>
      </c>
      <c r="W778" s="414">
        <v>157</v>
      </c>
      <c r="Z778" s="414">
        <v>280000</v>
      </c>
      <c r="AB778" s="415"/>
      <c r="AC778" s="415"/>
      <c r="AF778" s="410" t="s">
        <v>1578</v>
      </c>
      <c r="AG778" s="416" t="s">
        <v>1579</v>
      </c>
      <c r="AH778" s="416" t="s">
        <v>1580</v>
      </c>
      <c r="AI778" s="409"/>
      <c r="AJ778" s="409"/>
      <c r="AK778" s="409"/>
      <c r="AL778" s="417"/>
      <c r="AM778" s="418" t="s">
        <v>1581</v>
      </c>
      <c r="AN778" s="418" t="s">
        <v>5860</v>
      </c>
      <c r="AP778" s="410">
        <v>1</v>
      </c>
      <c r="AQ778" s="410">
        <v>0</v>
      </c>
      <c r="AR778" s="50">
        <v>0</v>
      </c>
      <c r="AS778" s="50">
        <v>0</v>
      </c>
      <c r="AU778" s="226">
        <v>0</v>
      </c>
      <c r="AV778" s="17">
        <f t="shared" si="106"/>
        <v>1</v>
      </c>
      <c r="AW778" s="50" t="str">
        <f t="shared" si="107"/>
        <v>{s_taskKillNpc, {60556,60556,10216,70}}</v>
      </c>
    </row>
    <row r="779" spans="1:49" s="410" customFormat="1" ht="84" x14ac:dyDescent="0.15">
      <c r="A779" s="9">
        <v>5201</v>
      </c>
      <c r="B779" s="409"/>
      <c r="C779" s="410" t="s">
        <v>2205</v>
      </c>
      <c r="D779" s="410">
        <v>1</v>
      </c>
      <c r="E779" s="410">
        <v>0</v>
      </c>
      <c r="F779" s="410">
        <v>5</v>
      </c>
      <c r="G779" s="120">
        <v>200</v>
      </c>
      <c r="H779" s="410">
        <v>200</v>
      </c>
      <c r="I779" s="17">
        <v>0</v>
      </c>
      <c r="J779" s="411">
        <v>5191</v>
      </c>
      <c r="K779" s="410">
        <v>0</v>
      </c>
      <c r="L779" s="410">
        <v>60556</v>
      </c>
      <c r="M779" s="410" t="s">
        <v>1557</v>
      </c>
      <c r="N779" s="410">
        <v>60556</v>
      </c>
      <c r="O779" s="410" t="s">
        <v>5177</v>
      </c>
      <c r="P779" s="409"/>
      <c r="Q779" s="412"/>
      <c r="R779" s="413"/>
      <c r="S779" s="413">
        <v>10315</v>
      </c>
      <c r="T779" s="413"/>
      <c r="U779" s="410">
        <v>1</v>
      </c>
      <c r="V779" s="410">
        <v>0</v>
      </c>
      <c r="W779" s="414">
        <v>162</v>
      </c>
      <c r="Z779" s="414">
        <v>286000</v>
      </c>
      <c r="AB779" s="415"/>
      <c r="AC779" s="415"/>
      <c r="AF779" s="410" t="s">
        <v>1582</v>
      </c>
      <c r="AG779" s="416" t="s">
        <v>1583</v>
      </c>
      <c r="AH779" s="416" t="s">
        <v>1584</v>
      </c>
      <c r="AI779" s="409"/>
      <c r="AJ779" s="409"/>
      <c r="AK779" s="409"/>
      <c r="AL779" s="417"/>
      <c r="AM779" s="418" t="s">
        <v>1585</v>
      </c>
      <c r="AN779" s="418" t="s">
        <v>5861</v>
      </c>
      <c r="AP779" s="410">
        <v>1</v>
      </c>
      <c r="AQ779" s="410">
        <v>0</v>
      </c>
      <c r="AR779" s="50">
        <v>0</v>
      </c>
      <c r="AS779" s="50">
        <v>0</v>
      </c>
      <c r="AU779" s="226">
        <v>0</v>
      </c>
      <c r="AV779" s="17">
        <f t="shared" si="106"/>
        <v>1</v>
      </c>
      <c r="AW779" s="50" t="str">
        <f t="shared" si="107"/>
        <v>{s_taskKillNpc, {60556,60556,10315,1}}</v>
      </c>
    </row>
    <row r="780" spans="1:49" s="410" customFormat="1" ht="72" x14ac:dyDescent="0.15">
      <c r="A780" s="9">
        <v>5211</v>
      </c>
      <c r="B780" s="409"/>
      <c r="C780" s="410" t="s">
        <v>2206</v>
      </c>
      <c r="D780" s="410">
        <v>1</v>
      </c>
      <c r="E780" s="410">
        <v>0</v>
      </c>
      <c r="F780" s="410">
        <v>5</v>
      </c>
      <c r="G780" s="120">
        <v>200</v>
      </c>
      <c r="H780" s="410">
        <v>200</v>
      </c>
      <c r="I780" s="17">
        <v>0</v>
      </c>
      <c r="J780" s="411">
        <v>5201</v>
      </c>
      <c r="K780" s="410">
        <v>0</v>
      </c>
      <c r="L780" s="410">
        <v>60556</v>
      </c>
      <c r="M780" s="410" t="s">
        <v>1586</v>
      </c>
      <c r="N780" s="410">
        <v>60556</v>
      </c>
      <c r="O780" s="410" t="s">
        <v>5177</v>
      </c>
      <c r="P780" s="409"/>
      <c r="Q780" s="412"/>
      <c r="R780" s="413"/>
      <c r="S780" s="413">
        <v>10217</v>
      </c>
      <c r="T780" s="413"/>
      <c r="U780" s="410">
        <v>70</v>
      </c>
      <c r="V780" s="410">
        <v>0</v>
      </c>
      <c r="W780" s="414">
        <v>166</v>
      </c>
      <c r="Z780" s="414">
        <v>293000</v>
      </c>
      <c r="AB780" s="415"/>
      <c r="AC780" s="415"/>
      <c r="AF780" s="410" t="s">
        <v>1587</v>
      </c>
      <c r="AG780" s="416" t="s">
        <v>1588</v>
      </c>
      <c r="AH780" s="416" t="s">
        <v>1589</v>
      </c>
      <c r="AI780" s="409"/>
      <c r="AJ780" s="409"/>
      <c r="AK780" s="409"/>
      <c r="AL780" s="417"/>
      <c r="AM780" s="418" t="s">
        <v>1590</v>
      </c>
      <c r="AN780" s="418" t="s">
        <v>5862</v>
      </c>
      <c r="AP780" s="410">
        <v>1</v>
      </c>
      <c r="AQ780" s="410">
        <v>0</v>
      </c>
      <c r="AR780" s="50">
        <v>0</v>
      </c>
      <c r="AS780" s="50">
        <v>0</v>
      </c>
      <c r="AU780" s="226">
        <v>0</v>
      </c>
      <c r="AV780" s="17">
        <f t="shared" si="106"/>
        <v>1</v>
      </c>
      <c r="AW780" s="50" t="str">
        <f t="shared" si="107"/>
        <v>{s_taskKillNpc, {60556,60556,10217,70}}</v>
      </c>
    </row>
    <row r="781" spans="1:49" s="410" customFormat="1" ht="72" x14ac:dyDescent="0.15">
      <c r="A781" s="9">
        <v>5221</v>
      </c>
      <c r="B781" s="409"/>
      <c r="C781" s="410" t="s">
        <v>2207</v>
      </c>
      <c r="D781" s="410">
        <v>1</v>
      </c>
      <c r="E781" s="410">
        <v>0</v>
      </c>
      <c r="F781" s="410">
        <v>5</v>
      </c>
      <c r="G781" s="120">
        <v>200</v>
      </c>
      <c r="H781" s="410">
        <v>200</v>
      </c>
      <c r="I781" s="17">
        <v>0</v>
      </c>
      <c r="J781" s="411">
        <v>5211</v>
      </c>
      <c r="K781" s="410">
        <v>0</v>
      </c>
      <c r="L781" s="410">
        <v>60556</v>
      </c>
      <c r="M781" s="410" t="s">
        <v>1586</v>
      </c>
      <c r="N781" s="410">
        <v>60556</v>
      </c>
      <c r="O781" s="410" t="s">
        <v>5177</v>
      </c>
      <c r="P781" s="409"/>
      <c r="Q781" s="412"/>
      <c r="R781" s="413"/>
      <c r="S781" s="413">
        <v>10316</v>
      </c>
      <c r="T781" s="413"/>
      <c r="U781" s="410">
        <v>1</v>
      </c>
      <c r="V781" s="410">
        <v>0</v>
      </c>
      <c r="W781" s="414">
        <v>171</v>
      </c>
      <c r="Z781" s="414">
        <v>300000</v>
      </c>
      <c r="AB781" s="415"/>
      <c r="AC781" s="415"/>
      <c r="AF781" s="410" t="s">
        <v>1591</v>
      </c>
      <c r="AG781" s="416" t="s">
        <v>1592</v>
      </c>
      <c r="AH781" s="416" t="s">
        <v>1593</v>
      </c>
      <c r="AI781" s="409"/>
      <c r="AJ781" s="409"/>
      <c r="AK781" s="409"/>
      <c r="AL781" s="417"/>
      <c r="AM781" s="418" t="s">
        <v>1594</v>
      </c>
      <c r="AN781" s="418" t="s">
        <v>5863</v>
      </c>
      <c r="AP781" s="410">
        <v>1</v>
      </c>
      <c r="AQ781" s="410">
        <v>0</v>
      </c>
      <c r="AR781" s="50">
        <v>0</v>
      </c>
      <c r="AS781" s="50">
        <v>0</v>
      </c>
      <c r="AU781" s="226">
        <v>0</v>
      </c>
      <c r="AV781" s="17">
        <f t="shared" si="106"/>
        <v>1</v>
      </c>
      <c r="AW781" s="50" t="str">
        <f t="shared" si="107"/>
        <v>{s_taskKillNpc, {60556,60556,10316,1}}</v>
      </c>
    </row>
    <row r="782" spans="1:49" s="410" customFormat="1" ht="120" x14ac:dyDescent="0.15">
      <c r="A782" s="9">
        <v>5231</v>
      </c>
      <c r="B782" s="409"/>
      <c r="C782" s="410" t="s">
        <v>2208</v>
      </c>
      <c r="D782" s="410">
        <v>1</v>
      </c>
      <c r="E782" s="410">
        <v>0</v>
      </c>
      <c r="F782" s="410">
        <v>5</v>
      </c>
      <c r="G782" s="120">
        <v>200</v>
      </c>
      <c r="H782" s="410">
        <v>200</v>
      </c>
      <c r="I782" s="17">
        <v>0</v>
      </c>
      <c r="J782" s="411">
        <v>5221</v>
      </c>
      <c r="K782" s="410">
        <v>0</v>
      </c>
      <c r="L782" s="410">
        <v>60556</v>
      </c>
      <c r="M782" s="410" t="s">
        <v>1586</v>
      </c>
      <c r="N782" s="410">
        <v>60556</v>
      </c>
      <c r="O782" s="410" t="s">
        <v>5177</v>
      </c>
      <c r="P782" s="409"/>
      <c r="Q782" s="412"/>
      <c r="R782" s="413"/>
      <c r="S782" s="413">
        <v>10218</v>
      </c>
      <c r="T782" s="413"/>
      <c r="U782" s="410">
        <v>70</v>
      </c>
      <c r="V782" s="410">
        <v>0</v>
      </c>
      <c r="W782" s="414">
        <v>175</v>
      </c>
      <c r="Z782" s="414">
        <v>307000</v>
      </c>
      <c r="AB782" s="415"/>
      <c r="AC782" s="415"/>
      <c r="AF782" s="410" t="s">
        <v>1595</v>
      </c>
      <c r="AG782" s="416" t="s">
        <v>1596</v>
      </c>
      <c r="AH782" s="416" t="s">
        <v>1597</v>
      </c>
      <c r="AI782" s="409"/>
      <c r="AJ782" s="409"/>
      <c r="AK782" s="409"/>
      <c r="AL782" s="417"/>
      <c r="AM782" s="418" t="s">
        <v>1598</v>
      </c>
      <c r="AN782" s="418" t="s">
        <v>5864</v>
      </c>
      <c r="AP782" s="410">
        <v>1</v>
      </c>
      <c r="AQ782" s="410">
        <v>0</v>
      </c>
      <c r="AR782" s="50">
        <v>0</v>
      </c>
      <c r="AS782" s="50">
        <v>0</v>
      </c>
      <c r="AU782" s="226">
        <v>0</v>
      </c>
      <c r="AV782" s="17">
        <f t="shared" si="106"/>
        <v>1</v>
      </c>
      <c r="AW782" s="50" t="str">
        <f t="shared" si="107"/>
        <v>{s_taskKillNpc, {60556,60556,10218,70}}</v>
      </c>
    </row>
    <row r="783" spans="1:49" s="410" customFormat="1" ht="84" x14ac:dyDescent="0.15">
      <c r="A783" s="9">
        <v>5241</v>
      </c>
      <c r="B783" s="409"/>
      <c r="C783" s="410" t="s">
        <v>2209</v>
      </c>
      <c r="D783" s="410">
        <v>1</v>
      </c>
      <c r="E783" s="410">
        <v>0</v>
      </c>
      <c r="F783" s="410">
        <v>5</v>
      </c>
      <c r="G783" s="120">
        <v>200</v>
      </c>
      <c r="H783" s="410">
        <v>200</v>
      </c>
      <c r="I783" s="17">
        <v>0</v>
      </c>
      <c r="J783" s="411">
        <v>5231</v>
      </c>
      <c r="K783" s="410">
        <v>0</v>
      </c>
      <c r="L783" s="410">
        <v>60556</v>
      </c>
      <c r="M783" s="410" t="s">
        <v>1599</v>
      </c>
      <c r="N783" s="410">
        <v>60556</v>
      </c>
      <c r="O783" s="410" t="s">
        <v>5177</v>
      </c>
      <c r="P783" s="409"/>
      <c r="Q783" s="412"/>
      <c r="R783" s="413"/>
      <c r="S783" s="413">
        <v>10317</v>
      </c>
      <c r="T783" s="413"/>
      <c r="U783" s="410">
        <v>1</v>
      </c>
      <c r="V783" s="410">
        <v>0</v>
      </c>
      <c r="W783" s="414">
        <v>180</v>
      </c>
      <c r="Z783" s="414">
        <v>314000</v>
      </c>
      <c r="AB783" s="415"/>
      <c r="AC783" s="415"/>
      <c r="AF783" s="410" t="s">
        <v>1600</v>
      </c>
      <c r="AG783" s="416" t="s">
        <v>1601</v>
      </c>
      <c r="AH783" s="416" t="s">
        <v>1602</v>
      </c>
      <c r="AI783" s="409"/>
      <c r="AJ783" s="409"/>
      <c r="AK783" s="409"/>
      <c r="AL783" s="417"/>
      <c r="AM783" s="418" t="s">
        <v>1603</v>
      </c>
      <c r="AN783" s="418" t="s">
        <v>5865</v>
      </c>
      <c r="AP783" s="410">
        <v>1</v>
      </c>
      <c r="AQ783" s="410">
        <v>0</v>
      </c>
      <c r="AR783" s="50">
        <v>0</v>
      </c>
      <c r="AS783" s="50">
        <v>0</v>
      </c>
      <c r="AU783" s="226">
        <v>0</v>
      </c>
      <c r="AV783" s="17">
        <f t="shared" si="106"/>
        <v>1</v>
      </c>
      <c r="AW783" s="50" t="str">
        <f t="shared" si="107"/>
        <v>{s_taskKillNpc, {60556,60556,10317,1}}</v>
      </c>
    </row>
    <row r="784" spans="1:49" s="410" customFormat="1" ht="108" x14ac:dyDescent="0.15">
      <c r="A784" s="9">
        <v>5251</v>
      </c>
      <c r="B784" s="409"/>
      <c r="C784" s="410" t="s">
        <v>2210</v>
      </c>
      <c r="D784" s="410">
        <v>1</v>
      </c>
      <c r="E784" s="410">
        <v>0</v>
      </c>
      <c r="F784" s="410">
        <v>5</v>
      </c>
      <c r="G784" s="120">
        <v>200</v>
      </c>
      <c r="H784" s="410">
        <v>200</v>
      </c>
      <c r="I784" s="17">
        <v>0</v>
      </c>
      <c r="J784" s="411">
        <v>5241</v>
      </c>
      <c r="K784" s="410">
        <v>0</v>
      </c>
      <c r="L784" s="410">
        <v>60556</v>
      </c>
      <c r="M784" s="410" t="s">
        <v>1599</v>
      </c>
      <c r="N784" s="410">
        <v>60556</v>
      </c>
      <c r="O784" s="410" t="s">
        <v>5177</v>
      </c>
      <c r="P784" s="409"/>
      <c r="Q784" s="412"/>
      <c r="R784" s="413"/>
      <c r="S784" s="413">
        <v>10219</v>
      </c>
      <c r="T784" s="413"/>
      <c r="U784" s="410">
        <v>70</v>
      </c>
      <c r="V784" s="410">
        <v>0</v>
      </c>
      <c r="W784" s="414">
        <v>185</v>
      </c>
      <c r="Z784" s="414">
        <v>321000</v>
      </c>
      <c r="AB784" s="415"/>
      <c r="AC784" s="415"/>
      <c r="AF784" s="410" t="s">
        <v>4406</v>
      </c>
      <c r="AG784" s="416" t="s">
        <v>4407</v>
      </c>
      <c r="AH784" s="416" t="s">
        <v>1604</v>
      </c>
      <c r="AI784" s="409"/>
      <c r="AJ784" s="409"/>
      <c r="AK784" s="409"/>
      <c r="AL784" s="417"/>
      <c r="AM784" s="418" t="s">
        <v>1605</v>
      </c>
      <c r="AN784" s="418" t="s">
        <v>5866</v>
      </c>
      <c r="AP784" s="410">
        <v>1</v>
      </c>
      <c r="AQ784" s="410">
        <v>0</v>
      </c>
      <c r="AR784" s="50">
        <v>0</v>
      </c>
      <c r="AS784" s="50">
        <v>0</v>
      </c>
      <c r="AU784" s="226">
        <v>0</v>
      </c>
      <c r="AV784" s="17">
        <f t="shared" si="106"/>
        <v>1</v>
      </c>
      <c r="AW784" s="50" t="str">
        <f t="shared" si="107"/>
        <v>{s_taskKillNpc, {60556,60556,10219,70}}</v>
      </c>
    </row>
    <row r="785" spans="1:51" s="410" customFormat="1" ht="96" x14ac:dyDescent="0.15">
      <c r="A785" s="9">
        <v>5261</v>
      </c>
      <c r="B785" s="409"/>
      <c r="C785" s="410" t="s">
        <v>2211</v>
      </c>
      <c r="D785" s="410">
        <v>1</v>
      </c>
      <c r="E785" s="410">
        <v>0</v>
      </c>
      <c r="F785" s="410">
        <v>5</v>
      </c>
      <c r="G785" s="120">
        <v>200</v>
      </c>
      <c r="H785" s="410">
        <v>200</v>
      </c>
      <c r="I785" s="17">
        <v>0</v>
      </c>
      <c r="J785" s="411">
        <v>5251</v>
      </c>
      <c r="K785" s="410">
        <v>0</v>
      </c>
      <c r="L785" s="410">
        <v>60556</v>
      </c>
      <c r="M785" s="410" t="s">
        <v>1599</v>
      </c>
      <c r="N785" s="410">
        <v>60556</v>
      </c>
      <c r="O785" s="410" t="s">
        <v>5177</v>
      </c>
      <c r="P785" s="409"/>
      <c r="Q785" s="412"/>
      <c r="R785" s="413"/>
      <c r="S785" s="413">
        <v>10318</v>
      </c>
      <c r="T785" s="413"/>
      <c r="U785" s="410">
        <v>1</v>
      </c>
      <c r="V785" s="410">
        <v>0</v>
      </c>
      <c r="W785" s="414">
        <v>190</v>
      </c>
      <c r="Z785" s="414">
        <v>328000</v>
      </c>
      <c r="AB785" s="415"/>
      <c r="AC785" s="415"/>
      <c r="AF785" s="410" t="s">
        <v>1606</v>
      </c>
      <c r="AG785" s="416" t="s">
        <v>1607</v>
      </c>
      <c r="AH785" s="416" t="s">
        <v>1604</v>
      </c>
      <c r="AI785" s="409"/>
      <c r="AJ785" s="409"/>
      <c r="AK785" s="409"/>
      <c r="AL785" s="417"/>
      <c r="AM785" s="418" t="s">
        <v>1608</v>
      </c>
      <c r="AN785" s="418" t="s">
        <v>5867</v>
      </c>
      <c r="AP785" s="410">
        <v>1</v>
      </c>
      <c r="AQ785" s="410">
        <v>0</v>
      </c>
      <c r="AR785" s="50">
        <v>0</v>
      </c>
      <c r="AS785" s="50">
        <v>0</v>
      </c>
      <c r="AU785" s="226">
        <v>0</v>
      </c>
      <c r="AV785" s="17">
        <f t="shared" si="106"/>
        <v>1</v>
      </c>
      <c r="AW785" s="50" t="str">
        <f t="shared" si="107"/>
        <v>{s_taskKillNpc, {60556,60556,10318,1}}</v>
      </c>
    </row>
    <row r="786" spans="1:51" s="410" customFormat="1" ht="96" x14ac:dyDescent="0.15">
      <c r="A786" s="9">
        <v>5271</v>
      </c>
      <c r="B786" s="409"/>
      <c r="C786" s="410" t="s">
        <v>2212</v>
      </c>
      <c r="D786" s="410">
        <v>1</v>
      </c>
      <c r="E786" s="410">
        <v>0</v>
      </c>
      <c r="F786" s="410">
        <v>5</v>
      </c>
      <c r="G786" s="120">
        <v>200</v>
      </c>
      <c r="H786" s="410">
        <v>200</v>
      </c>
      <c r="I786" s="17">
        <v>0</v>
      </c>
      <c r="J786" s="411">
        <v>5261</v>
      </c>
      <c r="K786" s="410">
        <v>0</v>
      </c>
      <c r="L786" s="410">
        <v>60556</v>
      </c>
      <c r="M786" s="410" t="s">
        <v>1599</v>
      </c>
      <c r="N786" s="410">
        <v>60556</v>
      </c>
      <c r="O786" s="410" t="s">
        <v>5177</v>
      </c>
      <c r="P786" s="409"/>
      <c r="Q786" s="412"/>
      <c r="R786" s="413"/>
      <c r="S786" s="413">
        <v>10220</v>
      </c>
      <c r="T786" s="413"/>
      <c r="U786" s="410">
        <v>70</v>
      </c>
      <c r="V786" s="410">
        <v>0</v>
      </c>
      <c r="W786" s="414">
        <v>195</v>
      </c>
      <c r="Z786" s="414">
        <v>335000</v>
      </c>
      <c r="AB786" s="415"/>
      <c r="AC786" s="415"/>
      <c r="AF786" s="410" t="s">
        <v>1609</v>
      </c>
      <c r="AG786" s="416" t="s">
        <v>1610</v>
      </c>
      <c r="AH786" s="416" t="s">
        <v>1611</v>
      </c>
      <c r="AI786" s="409"/>
      <c r="AJ786" s="409"/>
      <c r="AK786" s="409"/>
      <c r="AL786" s="417"/>
      <c r="AM786" s="418" t="s">
        <v>1612</v>
      </c>
      <c r="AN786" s="418" t="s">
        <v>5868</v>
      </c>
      <c r="AP786" s="410">
        <v>1</v>
      </c>
      <c r="AQ786" s="410">
        <v>0</v>
      </c>
      <c r="AR786" s="50">
        <v>0</v>
      </c>
      <c r="AS786" s="50">
        <v>0</v>
      </c>
      <c r="AU786" s="226">
        <v>0</v>
      </c>
      <c r="AV786" s="17">
        <f t="shared" si="106"/>
        <v>1</v>
      </c>
      <c r="AW786" s="50" t="str">
        <f t="shared" si="107"/>
        <v>{s_taskKillNpc, {60556,60556,10220,70}}</v>
      </c>
    </row>
    <row r="787" spans="1:51" s="410" customFormat="1" ht="108" x14ac:dyDescent="0.15">
      <c r="A787" s="9">
        <v>5281</v>
      </c>
      <c r="B787" s="409"/>
      <c r="C787" s="410" t="s">
        <v>2213</v>
      </c>
      <c r="D787" s="410">
        <v>1</v>
      </c>
      <c r="E787" s="410">
        <v>0</v>
      </c>
      <c r="F787" s="410">
        <v>5</v>
      </c>
      <c r="G787" s="120">
        <v>200</v>
      </c>
      <c r="H787" s="410">
        <v>200</v>
      </c>
      <c r="I787" s="17">
        <v>0</v>
      </c>
      <c r="J787" s="411">
        <v>5271</v>
      </c>
      <c r="K787" s="410">
        <v>0</v>
      </c>
      <c r="L787" s="410">
        <v>60556</v>
      </c>
      <c r="M787" s="410" t="s">
        <v>1613</v>
      </c>
      <c r="N787" s="410">
        <v>60556</v>
      </c>
      <c r="O787" s="410" t="s">
        <v>5177</v>
      </c>
      <c r="P787" s="409"/>
      <c r="Q787" s="412"/>
      <c r="R787" s="413"/>
      <c r="S787" s="413">
        <v>10319</v>
      </c>
      <c r="T787" s="413"/>
      <c r="U787" s="410">
        <v>1</v>
      </c>
      <c r="V787" s="410">
        <v>0</v>
      </c>
      <c r="W787" s="414">
        <v>200</v>
      </c>
      <c r="Z787" s="414">
        <v>343000</v>
      </c>
      <c r="AB787" s="415"/>
      <c r="AC787" s="415"/>
      <c r="AF787" s="410" t="s">
        <v>1614</v>
      </c>
      <c r="AG787" s="416" t="s">
        <v>1615</v>
      </c>
      <c r="AH787" s="416" t="s">
        <v>1616</v>
      </c>
      <c r="AI787" s="409"/>
      <c r="AJ787" s="409"/>
      <c r="AK787" s="409"/>
      <c r="AL787" s="417"/>
      <c r="AM787" s="418" t="s">
        <v>1617</v>
      </c>
      <c r="AN787" s="418" t="s">
        <v>5869</v>
      </c>
      <c r="AP787" s="410">
        <v>1</v>
      </c>
      <c r="AQ787" s="410">
        <v>0</v>
      </c>
      <c r="AR787" s="50">
        <v>0</v>
      </c>
      <c r="AS787" s="50">
        <v>0</v>
      </c>
      <c r="AU787" s="226">
        <v>0</v>
      </c>
      <c r="AV787" s="17">
        <f t="shared" si="106"/>
        <v>1</v>
      </c>
      <c r="AW787" s="50" t="str">
        <f t="shared" si="107"/>
        <v>{s_taskKillNpc, {60556,60556,10319,1}}</v>
      </c>
    </row>
    <row r="788" spans="1:51" s="29" customFormat="1" ht="132" x14ac:dyDescent="0.15">
      <c r="A788" s="28">
        <v>10000</v>
      </c>
      <c r="B788" s="420"/>
      <c r="C788" s="420" t="s">
        <v>2214</v>
      </c>
      <c r="D788" s="29">
        <v>2</v>
      </c>
      <c r="E788" s="29">
        <v>0</v>
      </c>
      <c r="F788" s="420">
        <v>3</v>
      </c>
      <c r="G788" s="120">
        <v>200</v>
      </c>
      <c r="H788" s="420">
        <v>200</v>
      </c>
      <c r="I788" s="17">
        <v>0</v>
      </c>
      <c r="J788" s="203">
        <v>0</v>
      </c>
      <c r="K788" s="420">
        <v>0</v>
      </c>
      <c r="L788" s="420">
        <v>60065</v>
      </c>
      <c r="M788" s="420" t="s">
        <v>193</v>
      </c>
      <c r="N788" s="420">
        <v>60065</v>
      </c>
      <c r="O788" s="420" t="s">
        <v>193</v>
      </c>
      <c r="P788" s="420"/>
      <c r="Q788" s="213"/>
      <c r="R788" s="213"/>
      <c r="S788" s="213"/>
      <c r="T788" s="213"/>
      <c r="U788" s="420">
        <v>1</v>
      </c>
      <c r="V788" s="420">
        <v>0</v>
      </c>
      <c r="W788" s="421">
        <v>10</v>
      </c>
      <c r="X788" s="420"/>
      <c r="Y788" s="420"/>
      <c r="Z788" s="132">
        <v>4200</v>
      </c>
      <c r="AA788" s="420"/>
      <c r="AB788" s="214"/>
      <c r="AC788" s="215"/>
      <c r="AD788" s="420"/>
      <c r="AE788" s="420"/>
      <c r="AF788" s="422" t="s">
        <v>1073</v>
      </c>
      <c r="AG788" s="422" t="s">
        <v>794</v>
      </c>
      <c r="AH788" s="423" t="s">
        <v>1391</v>
      </c>
      <c r="AI788" s="423" t="s">
        <v>1392</v>
      </c>
      <c r="AJ788" s="423" t="s">
        <v>795</v>
      </c>
      <c r="AK788" s="420"/>
      <c r="AL788" s="203">
        <v>0</v>
      </c>
      <c r="AM788" s="424" t="s">
        <v>7314</v>
      </c>
      <c r="AN788" s="424" t="s">
        <v>5870</v>
      </c>
      <c r="AP788" s="29">
        <v>1</v>
      </c>
      <c r="AQ788" s="29">
        <v>0</v>
      </c>
      <c r="AR788" s="29">
        <v>0</v>
      </c>
      <c r="AS788" s="29">
        <v>0</v>
      </c>
      <c r="AU788" s="29">
        <v>0</v>
      </c>
      <c r="AV788" s="17">
        <f t="shared" si="106"/>
        <v>0</v>
      </c>
      <c r="AW788" s="29" t="str">
        <f>"{s_taskCustom,{"&amp;L788&amp;","&amp;N788&amp;","&amp;U788&amp;","&amp;V788&amp;"}}"</f>
        <v>{s_taskCustom,{60065,60065,1,0}}</v>
      </c>
    </row>
    <row r="789" spans="1:51" s="435" customFormat="1" ht="108" x14ac:dyDescent="0.15">
      <c r="A789" s="9">
        <v>10001</v>
      </c>
      <c r="B789" s="425"/>
      <c r="C789" s="425" t="s">
        <v>3171</v>
      </c>
      <c r="D789" s="32">
        <v>2</v>
      </c>
      <c r="E789" s="32">
        <v>0</v>
      </c>
      <c r="F789" s="425">
        <v>3</v>
      </c>
      <c r="G789" s="120">
        <v>200</v>
      </c>
      <c r="H789" s="425">
        <v>200</v>
      </c>
      <c r="I789" s="17">
        <v>0</v>
      </c>
      <c r="J789" s="426">
        <v>4101</v>
      </c>
      <c r="K789" s="425">
        <v>0</v>
      </c>
      <c r="L789" s="425">
        <v>60049</v>
      </c>
      <c r="M789" s="425" t="s">
        <v>203</v>
      </c>
      <c r="N789" s="425">
        <v>60049</v>
      </c>
      <c r="O789" s="425" t="s">
        <v>203</v>
      </c>
      <c r="P789" s="425"/>
      <c r="Q789" s="427"/>
      <c r="R789" s="427"/>
      <c r="S789" s="427"/>
      <c r="T789" s="427"/>
      <c r="U789" s="425">
        <v>1</v>
      </c>
      <c r="V789" s="425">
        <v>0</v>
      </c>
      <c r="W789" s="428">
        <v>15</v>
      </c>
      <c r="X789" s="425"/>
      <c r="Y789" s="425"/>
      <c r="Z789" s="429">
        <v>6000</v>
      </c>
      <c r="AA789" s="425"/>
      <c r="AB789" s="430"/>
      <c r="AC789" s="431"/>
      <c r="AD789" s="425"/>
      <c r="AE789" s="425"/>
      <c r="AF789" s="432" t="s">
        <v>1397</v>
      </c>
      <c r="AG789" s="432" t="s">
        <v>871</v>
      </c>
      <c r="AH789" s="433" t="s">
        <v>1395</v>
      </c>
      <c r="AI789" s="433" t="s">
        <v>1396</v>
      </c>
      <c r="AJ789" s="433" t="s">
        <v>872</v>
      </c>
      <c r="AK789" s="425"/>
      <c r="AL789" s="426">
        <v>0</v>
      </c>
      <c r="AM789" s="434" t="s">
        <v>1393</v>
      </c>
      <c r="AN789" s="434" t="s">
        <v>5871</v>
      </c>
      <c r="AP789" s="435">
        <v>1</v>
      </c>
      <c r="AQ789" s="435">
        <v>0</v>
      </c>
      <c r="AR789" s="50">
        <v>0</v>
      </c>
      <c r="AS789" s="435">
        <v>0</v>
      </c>
      <c r="AU789" s="226">
        <v>0</v>
      </c>
      <c r="AV789" s="17">
        <f t="shared" si="106"/>
        <v>0</v>
      </c>
      <c r="AW789" s="356" t="str">
        <f>"{s_taskCustom,{"&amp;L789&amp;","&amp;N789&amp;","&amp;U789&amp;","&amp;V789&amp;"}}"</f>
        <v>{s_taskCustom,{60049,60049,1,0}}</v>
      </c>
    </row>
    <row r="790" spans="1:51" s="435" customFormat="1" ht="108.75" thickBot="1" x14ac:dyDescent="0.2">
      <c r="A790" s="9">
        <v>10002</v>
      </c>
      <c r="B790" s="425"/>
      <c r="C790" s="425" t="s">
        <v>3172</v>
      </c>
      <c r="D790" s="32">
        <v>2</v>
      </c>
      <c r="E790" s="32">
        <v>0</v>
      </c>
      <c r="F790" s="425">
        <v>3</v>
      </c>
      <c r="G790" s="120">
        <v>200</v>
      </c>
      <c r="H790" s="425">
        <v>200</v>
      </c>
      <c r="I790" s="17">
        <v>0</v>
      </c>
      <c r="J790" s="426">
        <v>0</v>
      </c>
      <c r="K790" s="425">
        <v>0</v>
      </c>
      <c r="L790" s="425">
        <v>60049</v>
      </c>
      <c r="M790" s="425" t="s">
        <v>203</v>
      </c>
      <c r="N790" s="425">
        <v>60049</v>
      </c>
      <c r="O790" s="425" t="s">
        <v>203</v>
      </c>
      <c r="P790" s="425"/>
      <c r="Q790" s="427"/>
      <c r="R790" s="427"/>
      <c r="S790" s="427"/>
      <c r="T790" s="427"/>
      <c r="U790" s="425">
        <v>1</v>
      </c>
      <c r="V790" s="425">
        <v>0</v>
      </c>
      <c r="W790" s="428">
        <v>0</v>
      </c>
      <c r="X790" s="425"/>
      <c r="Y790" s="425"/>
      <c r="Z790" s="429">
        <v>6000</v>
      </c>
      <c r="AA790" s="425"/>
      <c r="AB790" s="430"/>
      <c r="AC790" s="431"/>
      <c r="AD790" s="425"/>
      <c r="AE790" s="425"/>
      <c r="AF790" s="432" t="s">
        <v>1398</v>
      </c>
      <c r="AG790" s="432" t="s">
        <v>871</v>
      </c>
      <c r="AH790" s="433" t="s">
        <v>1395</v>
      </c>
      <c r="AI790" s="433" t="s">
        <v>1396</v>
      </c>
      <c r="AJ790" s="433" t="s">
        <v>872</v>
      </c>
      <c r="AK790" s="425"/>
      <c r="AL790" s="426">
        <v>0</v>
      </c>
      <c r="AM790" s="434" t="s">
        <v>1394</v>
      </c>
      <c r="AN790" s="434" t="s">
        <v>5872</v>
      </c>
      <c r="AP790" s="435">
        <v>1</v>
      </c>
      <c r="AQ790" s="435">
        <v>0</v>
      </c>
      <c r="AR790" s="50">
        <v>0</v>
      </c>
      <c r="AS790" s="435">
        <v>0</v>
      </c>
      <c r="AU790" s="226">
        <v>0</v>
      </c>
      <c r="AV790" s="17">
        <f t="shared" si="106"/>
        <v>0</v>
      </c>
      <c r="AW790" s="356" t="str">
        <f>"{s_taskCustom,{"&amp;L790&amp;","&amp;N790&amp;","&amp;U790&amp;","&amp;V790&amp;"}}"</f>
        <v>{s_taskCustom,{60049,60049,1,0}}</v>
      </c>
    </row>
    <row r="791" spans="1:51" s="437" customFormat="1" ht="84.75" thickBot="1" x14ac:dyDescent="0.2">
      <c r="A791" s="436">
        <v>12051</v>
      </c>
      <c r="C791" s="437" t="s">
        <v>2215</v>
      </c>
      <c r="D791" s="437">
        <v>2</v>
      </c>
      <c r="E791" s="437">
        <v>0</v>
      </c>
      <c r="F791" s="437">
        <v>4</v>
      </c>
      <c r="G791" s="438">
        <v>200</v>
      </c>
      <c r="H791" s="437">
        <v>200</v>
      </c>
      <c r="I791" s="17">
        <v>0</v>
      </c>
      <c r="J791" s="438">
        <v>0</v>
      </c>
      <c r="K791" s="437">
        <v>0</v>
      </c>
      <c r="L791" s="439">
        <v>60062</v>
      </c>
      <c r="M791" s="439" t="s">
        <v>233</v>
      </c>
      <c r="N791" s="439">
        <v>60062</v>
      </c>
      <c r="O791" s="439" t="s">
        <v>233</v>
      </c>
      <c r="Q791" s="440"/>
      <c r="R791" s="440"/>
      <c r="S791" s="440">
        <v>10027</v>
      </c>
      <c r="T791" s="440"/>
      <c r="U791" s="437">
        <v>10</v>
      </c>
      <c r="V791" s="437">
        <v>0</v>
      </c>
      <c r="W791" s="437">
        <v>0</v>
      </c>
      <c r="Z791" s="441">
        <v>0</v>
      </c>
      <c r="AB791" s="442"/>
      <c r="AC791" s="442"/>
      <c r="AF791" s="437" t="s">
        <v>3979</v>
      </c>
      <c r="AG791" s="437" t="s">
        <v>3989</v>
      </c>
      <c r="AH791" s="437" t="s">
        <v>291</v>
      </c>
      <c r="AI791" s="437" t="s">
        <v>292</v>
      </c>
      <c r="AJ791" s="437" t="s">
        <v>6379</v>
      </c>
      <c r="AL791" s="438">
        <v>0</v>
      </c>
      <c r="AM791" s="443" t="str">
        <f>"&lt;p&gt;
&lt;n&gt;  狩猎：&lt;/n&gt;
 &lt;n&gt; &lt;/n&gt;&lt;goto id="""&amp;S791&amp;""" mapid="""&amp;F791&amp;""" flagpoint=""1"" taskid="""&amp;A791&amp;""" quick=""1""/&gt;
&lt;/p&gt;"</f>
        <v>&lt;p&gt;
&lt;n&gt;  狩猎：&lt;/n&gt;
 &lt;n&gt; &lt;/n&gt;&lt;goto id="10027" mapid="4" flagpoint="1" taskid="12051" quick="1"/&gt;
&lt;/p&gt;</v>
      </c>
      <c r="AN791" s="443" t="str">
        <f t="shared" ref="AN791:AN822" si="108">"&lt;p&gt;
&lt;n&gt;  交：&lt;/n&gt;
 &lt;n&gt; &lt;/n&gt;&lt;goto id="""&amp;N791&amp;""" mapid="""&amp;F791&amp;""" flagpoint=""1"" taskid="""&amp;A791&amp;""" quick=""1""/&gt;&lt;/p&gt;"</f>
        <v>&lt;p&gt;
&lt;n&gt;  交：&lt;/n&gt;
 &lt;n&gt; &lt;/n&gt;&lt;goto id="60062" mapid="4" flagpoint="1" taskid="12051" quick="1"/&gt;&lt;/p&gt;</v>
      </c>
      <c r="AP791" s="437">
        <v>0</v>
      </c>
      <c r="AQ791" s="437">
        <v>0</v>
      </c>
      <c r="AR791" s="437">
        <v>0</v>
      </c>
      <c r="AS791" s="437">
        <v>0</v>
      </c>
      <c r="AT791" s="437">
        <v>1</v>
      </c>
      <c r="AU791" s="437">
        <v>0</v>
      </c>
      <c r="AV791" s="17">
        <f t="shared" si="106"/>
        <v>0</v>
      </c>
      <c r="AW791" s="437" t="str">
        <f t="shared" ref="AW791:AW822" si="109">"{s_taskKillNpc, {"&amp;L791&amp;","&amp;N791&amp;","&amp;S791&amp;","&amp;U791&amp;"}}"</f>
        <v>{s_taskKillNpc, {60062,60062,10027,10}}</v>
      </c>
    </row>
    <row r="792" spans="1:51" s="437" customFormat="1" ht="84.75" thickBot="1" x14ac:dyDescent="0.2">
      <c r="A792" s="436">
        <v>12061</v>
      </c>
      <c r="C792" s="437" t="s">
        <v>2216</v>
      </c>
      <c r="D792" s="437">
        <v>2</v>
      </c>
      <c r="E792" s="437">
        <v>0</v>
      </c>
      <c r="F792" s="437">
        <v>4</v>
      </c>
      <c r="G792" s="438">
        <v>200</v>
      </c>
      <c r="H792" s="437">
        <v>200</v>
      </c>
      <c r="I792" s="17">
        <v>0</v>
      </c>
      <c r="J792" s="438">
        <v>12051</v>
      </c>
      <c r="K792" s="437">
        <v>0</v>
      </c>
      <c r="L792" s="439">
        <v>60062</v>
      </c>
      <c r="M792" s="439" t="s">
        <v>233</v>
      </c>
      <c r="N792" s="439">
        <v>60062</v>
      </c>
      <c r="O792" s="439" t="s">
        <v>233</v>
      </c>
      <c r="Q792" s="440"/>
      <c r="R792" s="440"/>
      <c r="S792" s="440">
        <v>10028</v>
      </c>
      <c r="T792" s="440"/>
      <c r="U792" s="437">
        <v>10</v>
      </c>
      <c r="V792" s="437">
        <v>0</v>
      </c>
      <c r="W792" s="437">
        <v>0</v>
      </c>
      <c r="Z792" s="441">
        <v>0</v>
      </c>
      <c r="AB792" s="442"/>
      <c r="AC792" s="442"/>
      <c r="AF792" s="437" t="s">
        <v>3980</v>
      </c>
      <c r="AG792" s="437" t="s">
        <v>3989</v>
      </c>
      <c r="AH792" s="437" t="s">
        <v>291</v>
      </c>
      <c r="AI792" s="437" t="s">
        <v>292</v>
      </c>
      <c r="AJ792" s="437" t="s">
        <v>6380</v>
      </c>
      <c r="AL792" s="438">
        <v>0</v>
      </c>
      <c r="AM792" s="443" t="str">
        <f t="shared" ref="AM792:AM855" si="110">"&lt;p&gt;
&lt;n&gt;  狩猎：&lt;/n&gt;
 &lt;n&gt; &lt;/n&gt;&lt;goto id="""&amp;S792&amp;""" mapid="""&amp;F792&amp;""" flagpoint=""1"" taskid="""&amp;A792&amp;""" quick=""1""/&gt;
&lt;/p&gt;"</f>
        <v>&lt;p&gt;
&lt;n&gt;  狩猎：&lt;/n&gt;
 &lt;n&gt; &lt;/n&gt;&lt;goto id="10028" mapid="4" flagpoint="1" taskid="12061" quick="1"/&gt;
&lt;/p&gt;</v>
      </c>
      <c r="AN792" s="443" t="str">
        <f t="shared" si="108"/>
        <v>&lt;p&gt;
&lt;n&gt;  交：&lt;/n&gt;
 &lt;n&gt; &lt;/n&gt;&lt;goto id="60062" mapid="4" flagpoint="1" taskid="12061" quick="1"/&gt;&lt;/p&gt;</v>
      </c>
      <c r="AP792" s="437">
        <v>0</v>
      </c>
      <c r="AQ792" s="437">
        <v>0</v>
      </c>
      <c r="AR792" s="437">
        <v>0</v>
      </c>
      <c r="AS792" s="437">
        <v>0</v>
      </c>
      <c r="AT792" s="437">
        <v>1</v>
      </c>
      <c r="AU792" s="437">
        <v>0</v>
      </c>
      <c r="AV792" s="17">
        <f t="shared" si="106"/>
        <v>0</v>
      </c>
      <c r="AW792" s="437" t="str">
        <f t="shared" si="109"/>
        <v>{s_taskKillNpc, {60062,60062,10028,10}}</v>
      </c>
    </row>
    <row r="793" spans="1:51" s="437" customFormat="1" ht="84.75" thickBot="1" x14ac:dyDescent="0.2">
      <c r="A793" s="436">
        <v>12071</v>
      </c>
      <c r="C793" s="437" t="s">
        <v>2217</v>
      </c>
      <c r="D793" s="437">
        <v>2</v>
      </c>
      <c r="E793" s="437">
        <v>0</v>
      </c>
      <c r="F793" s="437">
        <v>4</v>
      </c>
      <c r="G793" s="438">
        <v>200</v>
      </c>
      <c r="H793" s="437">
        <v>200</v>
      </c>
      <c r="I793" s="17">
        <v>0</v>
      </c>
      <c r="J793" s="438">
        <v>0</v>
      </c>
      <c r="K793" s="437">
        <v>0</v>
      </c>
      <c r="L793" s="439">
        <v>60062</v>
      </c>
      <c r="M793" s="439" t="s">
        <v>233</v>
      </c>
      <c r="N793" s="439">
        <v>60062</v>
      </c>
      <c r="O793" s="439" t="s">
        <v>233</v>
      </c>
      <c r="Q793" s="440"/>
      <c r="R793" s="440"/>
      <c r="S793" s="440">
        <v>10029</v>
      </c>
      <c r="T793" s="440"/>
      <c r="U793" s="437">
        <v>10</v>
      </c>
      <c r="V793" s="437">
        <v>0</v>
      </c>
      <c r="W793" s="437">
        <v>0</v>
      </c>
      <c r="Z793" s="441">
        <v>0</v>
      </c>
      <c r="AB793" s="442"/>
      <c r="AC793" s="442"/>
      <c r="AF793" s="437" t="s">
        <v>3981</v>
      </c>
      <c r="AG793" s="437" t="s">
        <v>3989</v>
      </c>
      <c r="AH793" s="437" t="s">
        <v>291</v>
      </c>
      <c r="AI793" s="437" t="s">
        <v>292</v>
      </c>
      <c r="AJ793" s="437" t="s">
        <v>6381</v>
      </c>
      <c r="AL793" s="438">
        <v>0</v>
      </c>
      <c r="AM793" s="443" t="str">
        <f t="shared" si="110"/>
        <v>&lt;p&gt;
&lt;n&gt;  狩猎：&lt;/n&gt;
 &lt;n&gt; &lt;/n&gt;&lt;goto id="10029" mapid="4" flagpoint="1" taskid="12071" quick="1"/&gt;
&lt;/p&gt;</v>
      </c>
      <c r="AN793" s="443" t="str">
        <f t="shared" si="108"/>
        <v>&lt;p&gt;
&lt;n&gt;  交：&lt;/n&gt;
 &lt;n&gt; &lt;/n&gt;&lt;goto id="60062" mapid="4" flagpoint="1" taskid="12071" quick="1"/&gt;&lt;/p&gt;</v>
      </c>
      <c r="AP793" s="437">
        <v>0</v>
      </c>
      <c r="AQ793" s="437">
        <v>0</v>
      </c>
      <c r="AR793" s="437">
        <v>0</v>
      </c>
      <c r="AS793" s="437">
        <v>0</v>
      </c>
      <c r="AT793" s="437">
        <v>1</v>
      </c>
      <c r="AU793" s="437">
        <v>0</v>
      </c>
      <c r="AV793" s="17">
        <f t="shared" si="106"/>
        <v>0</v>
      </c>
      <c r="AW793" s="437" t="str">
        <f t="shared" si="109"/>
        <v>{s_taskKillNpc, {60062,60062,10029,10}}</v>
      </c>
    </row>
    <row r="794" spans="1:51" s="439" customFormat="1" ht="84.75" thickBot="1" x14ac:dyDescent="0.2">
      <c r="A794" s="444">
        <v>12081</v>
      </c>
      <c r="C794" s="439" t="s">
        <v>2504</v>
      </c>
      <c r="D794" s="439">
        <v>2</v>
      </c>
      <c r="E794" s="439">
        <v>0</v>
      </c>
      <c r="F794" s="439">
        <v>4</v>
      </c>
      <c r="G794" s="120">
        <v>200</v>
      </c>
      <c r="H794" s="439">
        <v>200</v>
      </c>
      <c r="I794" s="17">
        <v>0</v>
      </c>
      <c r="J794" s="445">
        <v>0</v>
      </c>
      <c r="K794" s="439">
        <v>0</v>
      </c>
      <c r="L794" s="439">
        <v>60062</v>
      </c>
      <c r="M794" s="439" t="s">
        <v>233</v>
      </c>
      <c r="N794" s="439">
        <v>60062</v>
      </c>
      <c r="O794" s="439" t="s">
        <v>233</v>
      </c>
      <c r="Q794" s="446"/>
      <c r="R794" s="446"/>
      <c r="S794" s="446">
        <v>10030</v>
      </c>
      <c r="T794" s="446"/>
      <c r="U794" s="439">
        <v>10</v>
      </c>
      <c r="V794" s="439">
        <v>0</v>
      </c>
      <c r="W794" s="439">
        <v>0</v>
      </c>
      <c r="Z794" s="447"/>
      <c r="AB794" s="448"/>
      <c r="AC794" s="448"/>
      <c r="AD794" s="439" t="s">
        <v>3996</v>
      </c>
      <c r="AF794" s="439" t="str">
        <f t="shared" ref="AF794:AF799" si="111">"title("&amp;C794&amp;")
body(hotyellow_3(任务进程:)newline()
   狩猎goto(10030,4)，去找goto(60062,4)。
blankline()hotyellow_3(任务描述:)newline() 
space()space()space()player()，我这里有一份有关消灭燃烧平原深渊毁灭者的委托单，如果你有兴趣的话，就由你来完成吧！)"</f>
        <v>title([25级]狩猎毁灭者)
body(hotyellow_3(任务进程:)newline()
   狩猎goto(10030,4)，去找goto(60062,4)。
blankline()hotyellow_3(任务描述:)newline() 
space()space()space()player()，我这里有一份有关消灭燃烧平原深渊毁灭者的委托单，如果你有兴趣的话，就由你来完成吧！)</v>
      </c>
      <c r="AG794" s="437" t="s">
        <v>3989</v>
      </c>
      <c r="AH794" s="439" t="s">
        <v>291</v>
      </c>
      <c r="AI794" s="439" t="s">
        <v>292</v>
      </c>
      <c r="AJ794" s="439" t="s">
        <v>6382</v>
      </c>
      <c r="AL794" s="445">
        <v>0</v>
      </c>
      <c r="AM794" s="443" t="str">
        <f t="shared" si="110"/>
        <v>&lt;p&gt;
&lt;n&gt;  狩猎：&lt;/n&gt;
 &lt;n&gt; &lt;/n&gt;&lt;goto id="10030" mapid="4" flagpoint="1" taskid="12081" quick="1"/&gt;
&lt;/p&gt;</v>
      </c>
      <c r="AN794" s="443" t="str">
        <f t="shared" si="108"/>
        <v>&lt;p&gt;
&lt;n&gt;  交：&lt;/n&gt;
 &lt;n&gt; &lt;/n&gt;&lt;goto id="60062" mapid="4" flagpoint="1" taskid="12081" quick="1"/&gt;&lt;/p&gt;</v>
      </c>
      <c r="AP794" s="439">
        <v>1</v>
      </c>
      <c r="AQ794" s="439">
        <v>0</v>
      </c>
      <c r="AR794" s="437">
        <v>0</v>
      </c>
      <c r="AS794" s="439">
        <v>0</v>
      </c>
      <c r="AT794" s="439">
        <v>1</v>
      </c>
      <c r="AU794" s="437">
        <v>0</v>
      </c>
      <c r="AV794" s="17">
        <f t="shared" si="106"/>
        <v>0</v>
      </c>
      <c r="AW794" s="439" t="str">
        <f t="shared" si="109"/>
        <v>{s_taskKillNpc, {60062,60062,10030,10}}</v>
      </c>
    </row>
    <row r="795" spans="1:51" s="443" customFormat="1" ht="84.75" thickBot="1" x14ac:dyDescent="0.2">
      <c r="A795" s="449">
        <v>12082</v>
      </c>
      <c r="C795" s="443" t="s">
        <v>2536</v>
      </c>
      <c r="D795" s="443">
        <v>2</v>
      </c>
      <c r="E795" s="443">
        <v>0</v>
      </c>
      <c r="F795" s="443">
        <v>4</v>
      </c>
      <c r="G795" s="120">
        <v>200</v>
      </c>
      <c r="H795" s="443">
        <v>200</v>
      </c>
      <c r="I795" s="17">
        <v>0</v>
      </c>
      <c r="J795" s="450">
        <v>0</v>
      </c>
      <c r="K795" s="443">
        <v>0</v>
      </c>
      <c r="L795" s="439">
        <v>60062</v>
      </c>
      <c r="M795" s="439" t="s">
        <v>233</v>
      </c>
      <c r="N795" s="439">
        <v>60062</v>
      </c>
      <c r="O795" s="439" t="s">
        <v>233</v>
      </c>
      <c r="Q795" s="440"/>
      <c r="R795" s="440"/>
      <c r="S795" s="440">
        <v>10030</v>
      </c>
      <c r="T795" s="440"/>
      <c r="U795" s="443">
        <v>10</v>
      </c>
      <c r="V795" s="443">
        <v>0</v>
      </c>
      <c r="W795" s="443">
        <v>0</v>
      </c>
      <c r="Z795" s="447">
        <f>ROUND(AY795*(30+G795^1.5)*AX795,0)</f>
        <v>57169</v>
      </c>
      <c r="AB795" s="442"/>
      <c r="AC795" s="442"/>
      <c r="AD795" s="443" t="s">
        <v>3996</v>
      </c>
      <c r="AF795" s="443" t="str">
        <f t="shared" si="111"/>
        <v>title([25级]狩猎毁灭者[白])
body(hotyellow_3(任务进程:)newline()
   狩猎goto(10030,4)，去找goto(60062,4)。
blankline()hotyellow_3(任务描述:)newline() 
space()space()space()player()，我这里有一份有关消灭燃烧平原深渊毁灭者的委托单，如果你有兴趣的话，就由你来完成吧！)</v>
      </c>
      <c r="AG795" s="443" t="s">
        <v>3990</v>
      </c>
      <c r="AH795" s="443" t="s">
        <v>291</v>
      </c>
      <c r="AI795" s="443" t="s">
        <v>292</v>
      </c>
      <c r="AJ795" s="443" t="s">
        <v>6382</v>
      </c>
      <c r="AL795" s="450">
        <v>0</v>
      </c>
      <c r="AM795" s="443" t="str">
        <f t="shared" si="110"/>
        <v>&lt;p&gt;
&lt;n&gt;  狩猎：&lt;/n&gt;
 &lt;n&gt; &lt;/n&gt;&lt;goto id="10030" mapid="4" flagpoint="1" taskid="12082" quick="1"/&gt;
&lt;/p&gt;</v>
      </c>
      <c r="AN795" s="443" t="str">
        <f t="shared" si="108"/>
        <v>&lt;p&gt;
&lt;n&gt;  交：&lt;/n&gt;
 &lt;n&gt; &lt;/n&gt;&lt;goto id="60062" mapid="4" flagpoint="1" taskid="12082" quick="1"/&gt;&lt;/p&gt;</v>
      </c>
      <c r="AP795" s="443">
        <v>0</v>
      </c>
      <c r="AQ795" s="443">
        <v>1</v>
      </c>
      <c r="AR795" s="437">
        <v>0</v>
      </c>
      <c r="AS795" s="443">
        <v>0</v>
      </c>
      <c r="AT795" s="443">
        <v>1</v>
      </c>
      <c r="AU795" s="437">
        <v>0</v>
      </c>
      <c r="AV795" s="17">
        <f t="shared" si="106"/>
        <v>0</v>
      </c>
      <c r="AW795" s="443" t="str">
        <f t="shared" si="109"/>
        <v>{s_taskKillNpc, {60062,60062,10030,10}}</v>
      </c>
      <c r="AX795" s="439">
        <v>1</v>
      </c>
      <c r="AY795" s="443">
        <v>20</v>
      </c>
    </row>
    <row r="796" spans="1:51" s="443" customFormat="1" ht="84.75" thickBot="1" x14ac:dyDescent="0.2">
      <c r="A796" s="449">
        <v>12083</v>
      </c>
      <c r="C796" s="443" t="s">
        <v>2561</v>
      </c>
      <c r="D796" s="443">
        <v>2</v>
      </c>
      <c r="E796" s="443">
        <v>0</v>
      </c>
      <c r="F796" s="443">
        <v>4</v>
      </c>
      <c r="G796" s="120">
        <v>200</v>
      </c>
      <c r="H796" s="443">
        <v>200</v>
      </c>
      <c r="I796" s="17">
        <v>0</v>
      </c>
      <c r="J796" s="450">
        <v>0</v>
      </c>
      <c r="K796" s="443">
        <v>0</v>
      </c>
      <c r="L796" s="439">
        <v>60062</v>
      </c>
      <c r="M796" s="439" t="s">
        <v>233</v>
      </c>
      <c r="N796" s="439">
        <v>60062</v>
      </c>
      <c r="O796" s="439" t="s">
        <v>233</v>
      </c>
      <c r="Q796" s="440"/>
      <c r="R796" s="440"/>
      <c r="S796" s="440">
        <v>10030</v>
      </c>
      <c r="T796" s="440"/>
      <c r="U796" s="443">
        <v>10</v>
      </c>
      <c r="V796" s="443">
        <v>0</v>
      </c>
      <c r="W796" s="443">
        <v>0</v>
      </c>
      <c r="Z796" s="447">
        <f>ROUND(AY796*(30+G796^1.5)*AX796,0)</f>
        <v>74319</v>
      </c>
      <c r="AB796" s="442"/>
      <c r="AC796" s="442"/>
      <c r="AD796" s="443" t="s">
        <v>3996</v>
      </c>
      <c r="AF796" s="443" t="str">
        <f t="shared" si="111"/>
        <v>title([25级]狩猎毁灭者[蓝])
body(hotyellow_3(任务进程:)newline()
   狩猎goto(10030,4)，去找goto(60062,4)。
blankline()hotyellow_3(任务描述:)newline() 
space()space()space()player()，我这里有一份有关消灭燃烧平原深渊毁灭者的委托单，如果你有兴趣的话，就由你来完成吧！)</v>
      </c>
      <c r="AG796" s="443" t="s">
        <v>3991</v>
      </c>
      <c r="AH796" s="443" t="s">
        <v>291</v>
      </c>
      <c r="AI796" s="443" t="s">
        <v>292</v>
      </c>
      <c r="AJ796" s="443" t="s">
        <v>6382</v>
      </c>
      <c r="AL796" s="450">
        <v>0</v>
      </c>
      <c r="AM796" s="443" t="str">
        <f t="shared" si="110"/>
        <v>&lt;p&gt;
&lt;n&gt;  狩猎：&lt;/n&gt;
 &lt;n&gt; &lt;/n&gt;&lt;goto id="10030" mapid="4" flagpoint="1" taskid="12083" quick="1"/&gt;
&lt;/p&gt;</v>
      </c>
      <c r="AN796" s="443" t="str">
        <f t="shared" si="108"/>
        <v>&lt;p&gt;
&lt;n&gt;  交：&lt;/n&gt;
 &lt;n&gt; &lt;/n&gt;&lt;goto id="60062" mapid="4" flagpoint="1" taskid="12083" quick="1"/&gt;&lt;/p&gt;</v>
      </c>
      <c r="AP796" s="443">
        <v>0</v>
      </c>
      <c r="AQ796" s="443">
        <v>1</v>
      </c>
      <c r="AR796" s="437">
        <v>0</v>
      </c>
      <c r="AS796" s="443">
        <v>0</v>
      </c>
      <c r="AT796" s="443">
        <v>1</v>
      </c>
      <c r="AU796" s="437">
        <v>0</v>
      </c>
      <c r="AV796" s="17">
        <f t="shared" si="106"/>
        <v>0</v>
      </c>
      <c r="AW796" s="443" t="str">
        <f t="shared" si="109"/>
        <v>{s_taskKillNpc, {60062,60062,10030,10}}</v>
      </c>
      <c r="AX796" s="439">
        <v>1.3</v>
      </c>
      <c r="AY796" s="443">
        <v>20</v>
      </c>
    </row>
    <row r="797" spans="1:51" s="443" customFormat="1" ht="84.75" thickBot="1" x14ac:dyDescent="0.2">
      <c r="A797" s="449">
        <v>12084</v>
      </c>
      <c r="C797" s="443" t="s">
        <v>2586</v>
      </c>
      <c r="D797" s="443">
        <v>2</v>
      </c>
      <c r="E797" s="443">
        <v>0</v>
      </c>
      <c r="F797" s="443">
        <v>4</v>
      </c>
      <c r="G797" s="120">
        <v>200</v>
      </c>
      <c r="H797" s="443">
        <v>200</v>
      </c>
      <c r="I797" s="17">
        <v>0</v>
      </c>
      <c r="J797" s="450">
        <v>0</v>
      </c>
      <c r="K797" s="443">
        <v>0</v>
      </c>
      <c r="L797" s="439">
        <v>60062</v>
      </c>
      <c r="M797" s="439" t="s">
        <v>233</v>
      </c>
      <c r="N797" s="439">
        <v>60062</v>
      </c>
      <c r="O797" s="439" t="s">
        <v>233</v>
      </c>
      <c r="Q797" s="440"/>
      <c r="R797" s="440"/>
      <c r="S797" s="440">
        <v>10030</v>
      </c>
      <c r="T797" s="440"/>
      <c r="U797" s="443">
        <v>10</v>
      </c>
      <c r="V797" s="443">
        <v>0</v>
      </c>
      <c r="W797" s="443">
        <v>0</v>
      </c>
      <c r="Z797" s="447">
        <f>ROUND(AY797*(30+G797^1.5)*AX797,0)</f>
        <v>91470</v>
      </c>
      <c r="AB797" s="442"/>
      <c r="AC797" s="442"/>
      <c r="AD797" s="443" t="s">
        <v>3996</v>
      </c>
      <c r="AF797" s="443" t="str">
        <f t="shared" si="111"/>
        <v>title([25级]狩猎毁灭者[黄])
body(hotyellow_3(任务进程:)newline()
   狩猎goto(10030,4)，去找goto(60062,4)。
blankline()hotyellow_3(任务描述:)newline() 
space()space()space()player()，我这里有一份有关消灭燃烧平原深渊毁灭者的委托单，如果你有兴趣的话，就由你来完成吧！)</v>
      </c>
      <c r="AG797" s="443" t="s">
        <v>3992</v>
      </c>
      <c r="AH797" s="443" t="s">
        <v>291</v>
      </c>
      <c r="AI797" s="443" t="s">
        <v>292</v>
      </c>
      <c r="AJ797" s="443" t="s">
        <v>6382</v>
      </c>
      <c r="AL797" s="450">
        <v>0</v>
      </c>
      <c r="AM797" s="443" t="str">
        <f t="shared" si="110"/>
        <v>&lt;p&gt;
&lt;n&gt;  狩猎：&lt;/n&gt;
 &lt;n&gt; &lt;/n&gt;&lt;goto id="10030" mapid="4" flagpoint="1" taskid="12084" quick="1"/&gt;
&lt;/p&gt;</v>
      </c>
      <c r="AN797" s="443" t="str">
        <f t="shared" si="108"/>
        <v>&lt;p&gt;
&lt;n&gt;  交：&lt;/n&gt;
 &lt;n&gt; &lt;/n&gt;&lt;goto id="60062" mapid="4" flagpoint="1" taskid="12084" quick="1"/&gt;&lt;/p&gt;</v>
      </c>
      <c r="AP797" s="443">
        <v>0</v>
      </c>
      <c r="AQ797" s="443">
        <v>1</v>
      </c>
      <c r="AR797" s="437">
        <v>0</v>
      </c>
      <c r="AS797" s="443">
        <v>0</v>
      </c>
      <c r="AT797" s="443">
        <v>1</v>
      </c>
      <c r="AU797" s="437">
        <v>0</v>
      </c>
      <c r="AV797" s="17">
        <f t="shared" si="106"/>
        <v>0</v>
      </c>
      <c r="AW797" s="443" t="str">
        <f t="shared" si="109"/>
        <v>{s_taskKillNpc, {60062,60062,10030,10}}</v>
      </c>
      <c r="AX797" s="439">
        <v>1.6</v>
      </c>
      <c r="AY797" s="443">
        <v>20</v>
      </c>
    </row>
    <row r="798" spans="1:51" s="443" customFormat="1" ht="84.75" thickBot="1" x14ac:dyDescent="0.2">
      <c r="A798" s="449">
        <v>12085</v>
      </c>
      <c r="C798" s="443" t="s">
        <v>2611</v>
      </c>
      <c r="D798" s="443">
        <v>2</v>
      </c>
      <c r="E798" s="443">
        <v>0</v>
      </c>
      <c r="F798" s="443">
        <v>4</v>
      </c>
      <c r="G798" s="120">
        <v>200</v>
      </c>
      <c r="H798" s="443">
        <v>200</v>
      </c>
      <c r="I798" s="17">
        <v>0</v>
      </c>
      <c r="J798" s="450">
        <v>0</v>
      </c>
      <c r="K798" s="443">
        <v>0</v>
      </c>
      <c r="L798" s="439">
        <v>60062</v>
      </c>
      <c r="M798" s="439" t="s">
        <v>233</v>
      </c>
      <c r="N798" s="439">
        <v>60062</v>
      </c>
      <c r="O798" s="439" t="s">
        <v>233</v>
      </c>
      <c r="Q798" s="440"/>
      <c r="R798" s="440"/>
      <c r="S798" s="440">
        <v>10030</v>
      </c>
      <c r="T798" s="440"/>
      <c r="U798" s="443">
        <v>10</v>
      </c>
      <c r="V798" s="443">
        <v>0</v>
      </c>
      <c r="W798" s="443">
        <v>0</v>
      </c>
      <c r="Z798" s="447">
        <f>ROUND(AY798*(30+G798^1.5)*AX798,0)</f>
        <v>125771</v>
      </c>
      <c r="AB798" s="442"/>
      <c r="AC798" s="442"/>
      <c r="AD798" s="443" t="s">
        <v>3996</v>
      </c>
      <c r="AF798" s="443" t="str">
        <f t="shared" si="111"/>
        <v>title([25级]狩猎毁灭者[绿])
body(hotyellow_3(任务进程:)newline()
   狩猎goto(10030,4)，去找goto(60062,4)。
blankline()hotyellow_3(任务描述:)newline() 
space()space()space()player()，我这里有一份有关消灭燃烧平原深渊毁灭者的委托单，如果你有兴趣的话，就由你来完成吧！)</v>
      </c>
      <c r="AG798" s="443" t="s">
        <v>3993</v>
      </c>
      <c r="AH798" s="443" t="s">
        <v>291</v>
      </c>
      <c r="AI798" s="443" t="s">
        <v>292</v>
      </c>
      <c r="AJ798" s="443" t="s">
        <v>6382</v>
      </c>
      <c r="AL798" s="450">
        <v>0</v>
      </c>
      <c r="AM798" s="443" t="str">
        <f t="shared" si="110"/>
        <v>&lt;p&gt;
&lt;n&gt;  狩猎：&lt;/n&gt;
 &lt;n&gt; &lt;/n&gt;&lt;goto id="10030" mapid="4" flagpoint="1" taskid="12085" quick="1"/&gt;
&lt;/p&gt;</v>
      </c>
      <c r="AN798" s="443" t="str">
        <f t="shared" si="108"/>
        <v>&lt;p&gt;
&lt;n&gt;  交：&lt;/n&gt;
 &lt;n&gt; &lt;/n&gt;&lt;goto id="60062" mapid="4" flagpoint="1" taskid="12085" quick="1"/&gt;&lt;/p&gt;</v>
      </c>
      <c r="AP798" s="443">
        <v>0</v>
      </c>
      <c r="AQ798" s="443">
        <v>1</v>
      </c>
      <c r="AR798" s="437">
        <v>0</v>
      </c>
      <c r="AS798" s="443">
        <v>0</v>
      </c>
      <c r="AT798" s="443">
        <v>1</v>
      </c>
      <c r="AU798" s="437">
        <v>0</v>
      </c>
      <c r="AV798" s="17">
        <f t="shared" si="106"/>
        <v>0</v>
      </c>
      <c r="AW798" s="443" t="str">
        <f t="shared" si="109"/>
        <v>{s_taskKillNpc, {60062,60062,10030,10}}</v>
      </c>
      <c r="AX798" s="439">
        <v>2.2000000000000002</v>
      </c>
      <c r="AY798" s="443">
        <v>20</v>
      </c>
    </row>
    <row r="799" spans="1:51" s="452" customFormat="1" ht="84.75" thickBot="1" x14ac:dyDescent="0.2">
      <c r="A799" s="451">
        <v>12086</v>
      </c>
      <c r="C799" s="452" t="s">
        <v>2636</v>
      </c>
      <c r="D799" s="452">
        <v>2</v>
      </c>
      <c r="E799" s="452">
        <v>0</v>
      </c>
      <c r="F799" s="452">
        <v>4</v>
      </c>
      <c r="G799" s="120">
        <v>200</v>
      </c>
      <c r="H799" s="452">
        <v>200</v>
      </c>
      <c r="I799" s="17">
        <v>0</v>
      </c>
      <c r="J799" s="453">
        <v>0</v>
      </c>
      <c r="K799" s="452">
        <v>0</v>
      </c>
      <c r="L799" s="439">
        <v>60062</v>
      </c>
      <c r="M799" s="439" t="s">
        <v>233</v>
      </c>
      <c r="N799" s="439">
        <v>60062</v>
      </c>
      <c r="O799" s="439" t="s">
        <v>233</v>
      </c>
      <c r="Q799" s="454"/>
      <c r="R799" s="454"/>
      <c r="S799" s="454">
        <v>10030</v>
      </c>
      <c r="T799" s="454"/>
      <c r="U799" s="452">
        <v>10</v>
      </c>
      <c r="V799" s="452">
        <v>0</v>
      </c>
      <c r="W799" s="452">
        <v>0</v>
      </c>
      <c r="Z799" s="447">
        <f>ROUND(AY799*(30+G799^1.5)*AX799,0)</f>
        <v>171506</v>
      </c>
      <c r="AB799" s="455"/>
      <c r="AC799" s="455"/>
      <c r="AD799" s="452" t="s">
        <v>3996</v>
      </c>
      <c r="AF799" s="452" t="str">
        <f t="shared" si="111"/>
        <v>title([25级]狩猎毁灭者[紫])
body(hotyellow_3(任务进程:)newline()
   狩猎goto(10030,4)，去找goto(60062,4)。
blankline()hotyellow_3(任务描述:)newline() 
space()space()space()player()，我这里有一份有关消灭燃烧平原深渊毁灭者的委托单，如果你有兴趣的话，就由你来完成吧！)</v>
      </c>
      <c r="AG799" s="452" t="s">
        <v>3994</v>
      </c>
      <c r="AH799" s="452" t="s">
        <v>291</v>
      </c>
      <c r="AI799" s="452" t="s">
        <v>292</v>
      </c>
      <c r="AJ799" s="452" t="s">
        <v>6382</v>
      </c>
      <c r="AL799" s="453">
        <v>0</v>
      </c>
      <c r="AM799" s="443" t="str">
        <f t="shared" si="110"/>
        <v>&lt;p&gt;
&lt;n&gt;  狩猎：&lt;/n&gt;
 &lt;n&gt; &lt;/n&gt;&lt;goto id="10030" mapid="4" flagpoint="1" taskid="12086" quick="1"/&gt;
&lt;/p&gt;</v>
      </c>
      <c r="AN799" s="443" t="str">
        <f t="shared" si="108"/>
        <v>&lt;p&gt;
&lt;n&gt;  交：&lt;/n&gt;
 &lt;n&gt; &lt;/n&gt;&lt;goto id="60062" mapid="4" flagpoint="1" taskid="12086" quick="1"/&gt;&lt;/p&gt;</v>
      </c>
      <c r="AP799" s="452">
        <v>0</v>
      </c>
      <c r="AQ799" s="443">
        <v>1</v>
      </c>
      <c r="AR799" s="437">
        <v>0</v>
      </c>
      <c r="AS799" s="443">
        <v>0</v>
      </c>
      <c r="AT799" s="452">
        <v>1</v>
      </c>
      <c r="AU799" s="437">
        <v>0</v>
      </c>
      <c r="AV799" s="17">
        <f t="shared" si="106"/>
        <v>0</v>
      </c>
      <c r="AW799" s="452" t="str">
        <f t="shared" si="109"/>
        <v>{s_taskKillNpc, {60062,60062,10030,10}}</v>
      </c>
      <c r="AX799" s="439">
        <v>3</v>
      </c>
      <c r="AY799" s="443">
        <v>20</v>
      </c>
    </row>
    <row r="800" spans="1:51" s="439" customFormat="1" ht="84.75" thickBot="1" x14ac:dyDescent="0.2">
      <c r="A800" s="444">
        <v>12091</v>
      </c>
      <c r="C800" s="439" t="s">
        <v>2218</v>
      </c>
      <c r="D800" s="439">
        <v>2</v>
      </c>
      <c r="E800" s="439">
        <v>0</v>
      </c>
      <c r="F800" s="439">
        <v>4</v>
      </c>
      <c r="G800" s="120">
        <v>200</v>
      </c>
      <c r="H800" s="439">
        <v>200</v>
      </c>
      <c r="I800" s="17">
        <v>0</v>
      </c>
      <c r="J800" s="453">
        <v>0</v>
      </c>
      <c r="K800" s="439">
        <v>0</v>
      </c>
      <c r="L800" s="439">
        <v>60062</v>
      </c>
      <c r="M800" s="439" t="s">
        <v>233</v>
      </c>
      <c r="N800" s="439">
        <v>60062</v>
      </c>
      <c r="O800" s="439" t="s">
        <v>233</v>
      </c>
      <c r="Q800" s="446"/>
      <c r="R800" s="446"/>
      <c r="S800" s="446">
        <v>10031</v>
      </c>
      <c r="T800" s="446"/>
      <c r="U800" s="439">
        <v>10</v>
      </c>
      <c r="V800" s="439">
        <v>0</v>
      </c>
      <c r="W800" s="439">
        <v>0</v>
      </c>
      <c r="Z800" s="447"/>
      <c r="AB800" s="448"/>
      <c r="AC800" s="448"/>
      <c r="AD800" s="439" t="s">
        <v>3996</v>
      </c>
      <c r="AF800" s="443" t="str">
        <f t="shared" ref="AF800:AF805" si="112">"title("&amp;C800&amp;")
body(hotyellow_3(任务进程:)newline()
   狩猎goto(10031,4)，去找goto(60062,4)。
blankline()hotyellow_3(任务描述:)newline() 
space()space()space()player()，我这里有一份有关消灭燃烧平原火焰蝴蝶的委托单，如果你有兴趣的话，就由你来完成吧！)"</f>
        <v>title([26级]狩猎火焰蝴蝶)
body(hotyellow_3(任务进程:)newline()
   狩猎goto(10031,4)，去找goto(60062,4)。
blankline()hotyellow_3(任务描述:)newline() 
space()space()space()player()，我这里有一份有关消灭燃烧平原火焰蝴蝶的委托单，如果你有兴趣的话，就由你来完成吧！)</v>
      </c>
      <c r="AG800" s="437" t="s">
        <v>3989</v>
      </c>
      <c r="AH800" s="439" t="s">
        <v>291</v>
      </c>
      <c r="AI800" s="439" t="s">
        <v>292</v>
      </c>
      <c r="AJ800" s="439" t="s">
        <v>6383</v>
      </c>
      <c r="AL800" s="445">
        <v>0</v>
      </c>
      <c r="AM800" s="443" t="str">
        <f t="shared" si="110"/>
        <v>&lt;p&gt;
&lt;n&gt;  狩猎：&lt;/n&gt;
 &lt;n&gt; &lt;/n&gt;&lt;goto id="10031" mapid="4" flagpoint="1" taskid="12091" quick="1"/&gt;
&lt;/p&gt;</v>
      </c>
      <c r="AN800" s="443" t="str">
        <f t="shared" si="108"/>
        <v>&lt;p&gt;
&lt;n&gt;  交：&lt;/n&gt;
 &lt;n&gt; &lt;/n&gt;&lt;goto id="60062" mapid="4" flagpoint="1" taskid="12091" quick="1"/&gt;&lt;/p&gt;</v>
      </c>
      <c r="AP800" s="439">
        <v>1</v>
      </c>
      <c r="AQ800" s="439">
        <v>0</v>
      </c>
      <c r="AR800" s="437">
        <v>0</v>
      </c>
      <c r="AS800" s="439">
        <v>0</v>
      </c>
      <c r="AT800" s="439">
        <v>1</v>
      </c>
      <c r="AU800" s="437">
        <v>0</v>
      </c>
      <c r="AV800" s="17">
        <f t="shared" si="106"/>
        <v>0</v>
      </c>
      <c r="AW800" s="439" t="str">
        <f t="shared" si="109"/>
        <v>{s_taskKillNpc, {60062,60062,10031,10}}</v>
      </c>
      <c r="AY800" s="443"/>
    </row>
    <row r="801" spans="1:51" s="443" customFormat="1" ht="84.75" thickBot="1" x14ac:dyDescent="0.2">
      <c r="A801" s="449">
        <v>12092</v>
      </c>
      <c r="C801" s="443" t="s">
        <v>2537</v>
      </c>
      <c r="D801" s="443">
        <v>2</v>
      </c>
      <c r="E801" s="443">
        <v>0</v>
      </c>
      <c r="F801" s="443">
        <v>4</v>
      </c>
      <c r="G801" s="120">
        <v>200</v>
      </c>
      <c r="H801" s="443">
        <v>200</v>
      </c>
      <c r="I801" s="17">
        <v>0</v>
      </c>
      <c r="J801" s="453">
        <v>0</v>
      </c>
      <c r="K801" s="443">
        <v>0</v>
      </c>
      <c r="L801" s="439">
        <v>60062</v>
      </c>
      <c r="M801" s="439" t="s">
        <v>233</v>
      </c>
      <c r="N801" s="439">
        <v>60062</v>
      </c>
      <c r="O801" s="439" t="s">
        <v>233</v>
      </c>
      <c r="Q801" s="440"/>
      <c r="R801" s="440"/>
      <c r="S801" s="440">
        <v>10031</v>
      </c>
      <c r="T801" s="440"/>
      <c r="U801" s="443">
        <v>10</v>
      </c>
      <c r="V801" s="443">
        <v>0</v>
      </c>
      <c r="W801" s="443">
        <v>0</v>
      </c>
      <c r="Z801" s="447">
        <f>ROUND(AY801*(30+G801^1.5)*AX801,0)</f>
        <v>68602</v>
      </c>
      <c r="AB801" s="442"/>
      <c r="AC801" s="442"/>
      <c r="AD801" s="443" t="s">
        <v>3996</v>
      </c>
      <c r="AF801" s="443" t="str">
        <f t="shared" si="112"/>
        <v>title([26级]狩猎火焰蝴蝶[白])
body(hotyellow_3(任务进程:)newline()
   狩猎goto(10031,4)，去找goto(60062,4)。
blankline()hotyellow_3(任务描述:)newline() 
space()space()space()player()，我这里有一份有关消灭燃烧平原火焰蝴蝶的委托单，如果你有兴趣的话，就由你来完成吧！)</v>
      </c>
      <c r="AG801" s="443" t="s">
        <v>3990</v>
      </c>
      <c r="AH801" s="443" t="s">
        <v>291</v>
      </c>
      <c r="AI801" s="443" t="s">
        <v>292</v>
      </c>
      <c r="AJ801" s="443" t="s">
        <v>6383</v>
      </c>
      <c r="AL801" s="450">
        <v>0</v>
      </c>
      <c r="AM801" s="443" t="str">
        <f t="shared" si="110"/>
        <v>&lt;p&gt;
&lt;n&gt;  狩猎：&lt;/n&gt;
 &lt;n&gt; &lt;/n&gt;&lt;goto id="10031" mapid="4" flagpoint="1" taskid="12092" quick="1"/&gt;
&lt;/p&gt;</v>
      </c>
      <c r="AN801" s="443" t="str">
        <f t="shared" si="108"/>
        <v>&lt;p&gt;
&lt;n&gt;  交：&lt;/n&gt;
 &lt;n&gt; &lt;/n&gt;&lt;goto id="60062" mapid="4" flagpoint="1" taskid="12092" quick="1"/&gt;&lt;/p&gt;</v>
      </c>
      <c r="AP801" s="443">
        <v>0</v>
      </c>
      <c r="AQ801" s="443">
        <v>1</v>
      </c>
      <c r="AR801" s="437">
        <v>0</v>
      </c>
      <c r="AS801" s="443">
        <v>0</v>
      </c>
      <c r="AT801" s="443">
        <v>1</v>
      </c>
      <c r="AU801" s="437">
        <v>0</v>
      </c>
      <c r="AV801" s="17">
        <f t="shared" si="106"/>
        <v>0</v>
      </c>
      <c r="AW801" s="443" t="str">
        <f t="shared" si="109"/>
        <v>{s_taskKillNpc, {60062,60062,10031,10}}</v>
      </c>
      <c r="AX801" s="439">
        <v>1</v>
      </c>
      <c r="AY801" s="443">
        <v>24</v>
      </c>
    </row>
    <row r="802" spans="1:51" s="443" customFormat="1" ht="84.75" thickBot="1" x14ac:dyDescent="0.2">
      <c r="A802" s="449">
        <v>12093</v>
      </c>
      <c r="C802" s="443" t="s">
        <v>2562</v>
      </c>
      <c r="D802" s="443">
        <v>2</v>
      </c>
      <c r="E802" s="443">
        <v>0</v>
      </c>
      <c r="F802" s="443">
        <v>4</v>
      </c>
      <c r="G802" s="120">
        <v>200</v>
      </c>
      <c r="H802" s="443">
        <v>200</v>
      </c>
      <c r="I802" s="17">
        <v>0</v>
      </c>
      <c r="J802" s="453">
        <v>0</v>
      </c>
      <c r="K802" s="443">
        <v>0</v>
      </c>
      <c r="L802" s="439">
        <v>60062</v>
      </c>
      <c r="M802" s="439" t="s">
        <v>233</v>
      </c>
      <c r="N802" s="439">
        <v>60062</v>
      </c>
      <c r="O802" s="439" t="s">
        <v>233</v>
      </c>
      <c r="Q802" s="440"/>
      <c r="R802" s="440"/>
      <c r="S802" s="440">
        <v>10031</v>
      </c>
      <c r="T802" s="440"/>
      <c r="U802" s="443">
        <v>10</v>
      </c>
      <c r="V802" s="443">
        <v>0</v>
      </c>
      <c r="W802" s="443">
        <v>0</v>
      </c>
      <c r="Z802" s="447">
        <f>ROUND(AY802*(30+G802^1.5)*AX802,0)</f>
        <v>89183</v>
      </c>
      <c r="AB802" s="442"/>
      <c r="AC802" s="442"/>
      <c r="AD802" s="443" t="s">
        <v>3996</v>
      </c>
      <c r="AF802" s="443" t="str">
        <f t="shared" si="112"/>
        <v>title([26级]狩猎火焰蝴蝶[蓝])
body(hotyellow_3(任务进程:)newline()
   狩猎goto(10031,4)，去找goto(60062,4)。
blankline()hotyellow_3(任务描述:)newline() 
space()space()space()player()，我这里有一份有关消灭燃烧平原火焰蝴蝶的委托单，如果你有兴趣的话，就由你来完成吧！)</v>
      </c>
      <c r="AG802" s="443" t="s">
        <v>3991</v>
      </c>
      <c r="AH802" s="443" t="s">
        <v>291</v>
      </c>
      <c r="AI802" s="443" t="s">
        <v>292</v>
      </c>
      <c r="AJ802" s="443" t="s">
        <v>6383</v>
      </c>
      <c r="AL802" s="450">
        <v>0</v>
      </c>
      <c r="AM802" s="443" t="str">
        <f t="shared" si="110"/>
        <v>&lt;p&gt;
&lt;n&gt;  狩猎：&lt;/n&gt;
 &lt;n&gt; &lt;/n&gt;&lt;goto id="10031" mapid="4" flagpoint="1" taskid="12093" quick="1"/&gt;
&lt;/p&gt;</v>
      </c>
      <c r="AN802" s="443" t="str">
        <f t="shared" si="108"/>
        <v>&lt;p&gt;
&lt;n&gt;  交：&lt;/n&gt;
 &lt;n&gt; &lt;/n&gt;&lt;goto id="60062" mapid="4" flagpoint="1" taskid="12093" quick="1"/&gt;&lt;/p&gt;</v>
      </c>
      <c r="AP802" s="443">
        <v>0</v>
      </c>
      <c r="AQ802" s="443">
        <v>1</v>
      </c>
      <c r="AR802" s="437">
        <v>0</v>
      </c>
      <c r="AS802" s="443">
        <v>0</v>
      </c>
      <c r="AT802" s="443">
        <v>1</v>
      </c>
      <c r="AU802" s="437">
        <v>0</v>
      </c>
      <c r="AV802" s="17">
        <f t="shared" si="106"/>
        <v>0</v>
      </c>
      <c r="AW802" s="443" t="str">
        <f t="shared" si="109"/>
        <v>{s_taskKillNpc, {60062,60062,10031,10}}</v>
      </c>
      <c r="AX802" s="439">
        <v>1.3</v>
      </c>
      <c r="AY802" s="443">
        <v>24</v>
      </c>
    </row>
    <row r="803" spans="1:51" s="443" customFormat="1" ht="84.75" thickBot="1" x14ac:dyDescent="0.2">
      <c r="A803" s="449">
        <v>12094</v>
      </c>
      <c r="C803" s="443" t="s">
        <v>2587</v>
      </c>
      <c r="D803" s="443">
        <v>2</v>
      </c>
      <c r="E803" s="443">
        <v>0</v>
      </c>
      <c r="F803" s="443">
        <v>4</v>
      </c>
      <c r="G803" s="120">
        <v>200</v>
      </c>
      <c r="H803" s="443">
        <v>200</v>
      </c>
      <c r="I803" s="17">
        <v>0</v>
      </c>
      <c r="J803" s="453">
        <v>0</v>
      </c>
      <c r="K803" s="443">
        <v>0</v>
      </c>
      <c r="L803" s="439">
        <v>60062</v>
      </c>
      <c r="M803" s="439" t="s">
        <v>233</v>
      </c>
      <c r="N803" s="439">
        <v>60062</v>
      </c>
      <c r="O803" s="439" t="s">
        <v>233</v>
      </c>
      <c r="Q803" s="440"/>
      <c r="R803" s="440"/>
      <c r="S803" s="440">
        <v>10031</v>
      </c>
      <c r="T803" s="440"/>
      <c r="U803" s="443">
        <v>10</v>
      </c>
      <c r="V803" s="443">
        <v>0</v>
      </c>
      <c r="W803" s="443">
        <v>0</v>
      </c>
      <c r="Z803" s="447">
        <f>ROUND(AY803*(30+G803^1.5)*AX803,0)</f>
        <v>109764</v>
      </c>
      <c r="AB803" s="442"/>
      <c r="AC803" s="442"/>
      <c r="AD803" s="443" t="s">
        <v>3996</v>
      </c>
      <c r="AF803" s="443" t="str">
        <f t="shared" si="112"/>
        <v>title([26级]狩猎火焰蝴蝶[黄])
body(hotyellow_3(任务进程:)newline()
   狩猎goto(10031,4)，去找goto(60062,4)。
blankline()hotyellow_3(任务描述:)newline() 
space()space()space()player()，我这里有一份有关消灭燃烧平原火焰蝴蝶的委托单，如果你有兴趣的话，就由你来完成吧！)</v>
      </c>
      <c r="AG803" s="443" t="s">
        <v>3992</v>
      </c>
      <c r="AH803" s="443" t="s">
        <v>291</v>
      </c>
      <c r="AI803" s="443" t="s">
        <v>292</v>
      </c>
      <c r="AJ803" s="443" t="s">
        <v>6383</v>
      </c>
      <c r="AL803" s="450">
        <v>0</v>
      </c>
      <c r="AM803" s="443" t="str">
        <f t="shared" si="110"/>
        <v>&lt;p&gt;
&lt;n&gt;  狩猎：&lt;/n&gt;
 &lt;n&gt; &lt;/n&gt;&lt;goto id="10031" mapid="4" flagpoint="1" taskid="12094" quick="1"/&gt;
&lt;/p&gt;</v>
      </c>
      <c r="AN803" s="443" t="str">
        <f t="shared" si="108"/>
        <v>&lt;p&gt;
&lt;n&gt;  交：&lt;/n&gt;
 &lt;n&gt; &lt;/n&gt;&lt;goto id="60062" mapid="4" flagpoint="1" taskid="12094" quick="1"/&gt;&lt;/p&gt;</v>
      </c>
      <c r="AP803" s="443">
        <v>0</v>
      </c>
      <c r="AQ803" s="443">
        <v>1</v>
      </c>
      <c r="AR803" s="437">
        <v>0</v>
      </c>
      <c r="AS803" s="443">
        <v>0</v>
      </c>
      <c r="AT803" s="443">
        <v>1</v>
      </c>
      <c r="AU803" s="437">
        <v>0</v>
      </c>
      <c r="AV803" s="17">
        <f t="shared" si="106"/>
        <v>0</v>
      </c>
      <c r="AW803" s="443" t="str">
        <f t="shared" si="109"/>
        <v>{s_taskKillNpc, {60062,60062,10031,10}}</v>
      </c>
      <c r="AX803" s="439">
        <v>1.6</v>
      </c>
      <c r="AY803" s="443">
        <v>24</v>
      </c>
    </row>
    <row r="804" spans="1:51" s="443" customFormat="1" ht="84.75" thickBot="1" x14ac:dyDescent="0.2">
      <c r="A804" s="449">
        <v>12095</v>
      </c>
      <c r="C804" s="443" t="s">
        <v>2612</v>
      </c>
      <c r="D804" s="443">
        <v>2</v>
      </c>
      <c r="E804" s="443">
        <v>0</v>
      </c>
      <c r="F804" s="443">
        <v>4</v>
      </c>
      <c r="G804" s="120">
        <v>200</v>
      </c>
      <c r="H804" s="443">
        <v>200</v>
      </c>
      <c r="I804" s="17">
        <v>0</v>
      </c>
      <c r="J804" s="453">
        <v>0</v>
      </c>
      <c r="K804" s="443">
        <v>0</v>
      </c>
      <c r="L804" s="439">
        <v>60062</v>
      </c>
      <c r="M804" s="439" t="s">
        <v>233</v>
      </c>
      <c r="N804" s="439">
        <v>60062</v>
      </c>
      <c r="O804" s="439" t="s">
        <v>233</v>
      </c>
      <c r="Q804" s="440"/>
      <c r="R804" s="440"/>
      <c r="S804" s="440">
        <v>10031</v>
      </c>
      <c r="T804" s="440"/>
      <c r="U804" s="443">
        <v>10</v>
      </c>
      <c r="V804" s="443">
        <v>0</v>
      </c>
      <c r="W804" s="443">
        <v>0</v>
      </c>
      <c r="Z804" s="447">
        <f>ROUND(AY804*(30+G804^1.5)*AX804,0)</f>
        <v>150925</v>
      </c>
      <c r="AB804" s="442"/>
      <c r="AC804" s="442"/>
      <c r="AD804" s="443" t="s">
        <v>3996</v>
      </c>
      <c r="AF804" s="443" t="str">
        <f t="shared" si="112"/>
        <v>title([26级]狩猎火焰蝴蝶[绿])
body(hotyellow_3(任务进程:)newline()
   狩猎goto(10031,4)，去找goto(60062,4)。
blankline()hotyellow_3(任务描述:)newline() 
space()space()space()player()，我这里有一份有关消灭燃烧平原火焰蝴蝶的委托单，如果你有兴趣的话，就由你来完成吧！)</v>
      </c>
      <c r="AG804" s="443" t="s">
        <v>3993</v>
      </c>
      <c r="AH804" s="443" t="s">
        <v>291</v>
      </c>
      <c r="AI804" s="443" t="s">
        <v>292</v>
      </c>
      <c r="AJ804" s="443" t="s">
        <v>6383</v>
      </c>
      <c r="AL804" s="450">
        <v>0</v>
      </c>
      <c r="AM804" s="443" t="str">
        <f t="shared" si="110"/>
        <v>&lt;p&gt;
&lt;n&gt;  狩猎：&lt;/n&gt;
 &lt;n&gt; &lt;/n&gt;&lt;goto id="10031" mapid="4" flagpoint="1" taskid="12095" quick="1"/&gt;
&lt;/p&gt;</v>
      </c>
      <c r="AN804" s="443" t="str">
        <f t="shared" si="108"/>
        <v>&lt;p&gt;
&lt;n&gt;  交：&lt;/n&gt;
 &lt;n&gt; &lt;/n&gt;&lt;goto id="60062" mapid="4" flagpoint="1" taskid="12095" quick="1"/&gt;&lt;/p&gt;</v>
      </c>
      <c r="AP804" s="443">
        <v>0</v>
      </c>
      <c r="AQ804" s="443">
        <v>1</v>
      </c>
      <c r="AR804" s="437">
        <v>0</v>
      </c>
      <c r="AS804" s="443">
        <v>0</v>
      </c>
      <c r="AT804" s="443">
        <v>1</v>
      </c>
      <c r="AU804" s="437">
        <v>0</v>
      </c>
      <c r="AV804" s="17">
        <f t="shared" si="106"/>
        <v>0</v>
      </c>
      <c r="AW804" s="443" t="str">
        <f t="shared" si="109"/>
        <v>{s_taskKillNpc, {60062,60062,10031,10}}</v>
      </c>
      <c r="AX804" s="439">
        <v>2.2000000000000002</v>
      </c>
      <c r="AY804" s="443">
        <v>24</v>
      </c>
    </row>
    <row r="805" spans="1:51" s="443" customFormat="1" ht="84.75" thickBot="1" x14ac:dyDescent="0.2">
      <c r="A805" s="449">
        <v>12096</v>
      </c>
      <c r="C805" s="443" t="s">
        <v>2637</v>
      </c>
      <c r="D805" s="443">
        <v>2</v>
      </c>
      <c r="E805" s="443">
        <v>0</v>
      </c>
      <c r="F805" s="443">
        <v>4</v>
      </c>
      <c r="G805" s="120">
        <v>200</v>
      </c>
      <c r="H805" s="443">
        <v>200</v>
      </c>
      <c r="I805" s="17">
        <v>0</v>
      </c>
      <c r="J805" s="453">
        <v>0</v>
      </c>
      <c r="K805" s="443">
        <v>0</v>
      </c>
      <c r="L805" s="439">
        <v>60062</v>
      </c>
      <c r="M805" s="439" t="s">
        <v>233</v>
      </c>
      <c r="N805" s="439">
        <v>60062</v>
      </c>
      <c r="O805" s="439" t="s">
        <v>233</v>
      </c>
      <c r="Q805" s="440"/>
      <c r="R805" s="440"/>
      <c r="S805" s="440">
        <v>10031</v>
      </c>
      <c r="T805" s="440"/>
      <c r="U805" s="443">
        <v>10</v>
      </c>
      <c r="V805" s="443">
        <v>0</v>
      </c>
      <c r="W805" s="443">
        <v>0</v>
      </c>
      <c r="Z805" s="447">
        <f>ROUND(AY805*(30+G805^1.5)*AX805,0)</f>
        <v>205807</v>
      </c>
      <c r="AB805" s="442"/>
      <c r="AC805" s="442"/>
      <c r="AD805" s="443" t="s">
        <v>3996</v>
      </c>
      <c r="AF805" s="443" t="str">
        <f t="shared" si="112"/>
        <v>title([26级]狩猎火焰蝴蝶[紫])
body(hotyellow_3(任务进程:)newline()
   狩猎goto(10031,4)，去找goto(60062,4)。
blankline()hotyellow_3(任务描述:)newline() 
space()space()space()player()，我这里有一份有关消灭燃烧平原火焰蝴蝶的委托单，如果你有兴趣的话，就由你来完成吧！)</v>
      </c>
      <c r="AG805" s="452" t="s">
        <v>3994</v>
      </c>
      <c r="AH805" s="443" t="s">
        <v>291</v>
      </c>
      <c r="AI805" s="443" t="s">
        <v>292</v>
      </c>
      <c r="AJ805" s="443" t="s">
        <v>6383</v>
      </c>
      <c r="AL805" s="450">
        <v>0</v>
      </c>
      <c r="AM805" s="443" t="str">
        <f t="shared" si="110"/>
        <v>&lt;p&gt;
&lt;n&gt;  狩猎：&lt;/n&gt;
 &lt;n&gt; &lt;/n&gt;&lt;goto id="10031" mapid="4" flagpoint="1" taskid="12096" quick="1"/&gt;
&lt;/p&gt;</v>
      </c>
      <c r="AN805" s="443" t="str">
        <f t="shared" si="108"/>
        <v>&lt;p&gt;
&lt;n&gt;  交：&lt;/n&gt;
 &lt;n&gt; &lt;/n&gt;&lt;goto id="60062" mapid="4" flagpoint="1" taskid="12096" quick="1"/&gt;&lt;/p&gt;</v>
      </c>
      <c r="AP805" s="452">
        <v>0</v>
      </c>
      <c r="AQ805" s="443">
        <v>1</v>
      </c>
      <c r="AR805" s="437">
        <v>0</v>
      </c>
      <c r="AS805" s="443">
        <v>0</v>
      </c>
      <c r="AT805" s="443">
        <v>1</v>
      </c>
      <c r="AU805" s="437">
        <v>0</v>
      </c>
      <c r="AV805" s="17">
        <f t="shared" si="106"/>
        <v>0</v>
      </c>
      <c r="AW805" s="443" t="str">
        <f t="shared" si="109"/>
        <v>{s_taskKillNpc, {60062,60062,10031,10}}</v>
      </c>
      <c r="AX805" s="439">
        <v>3</v>
      </c>
      <c r="AY805" s="443">
        <v>24</v>
      </c>
    </row>
    <row r="806" spans="1:51" s="439" customFormat="1" ht="84.75" thickBot="1" x14ac:dyDescent="0.2">
      <c r="A806" s="444">
        <v>12101</v>
      </c>
      <c r="C806" s="439" t="s">
        <v>2219</v>
      </c>
      <c r="D806" s="439">
        <v>2</v>
      </c>
      <c r="E806" s="439">
        <v>0</v>
      </c>
      <c r="F806" s="439">
        <v>4</v>
      </c>
      <c r="G806" s="120">
        <v>200</v>
      </c>
      <c r="H806" s="439">
        <v>200</v>
      </c>
      <c r="I806" s="17">
        <v>0</v>
      </c>
      <c r="J806" s="453">
        <v>0</v>
      </c>
      <c r="K806" s="439">
        <v>0</v>
      </c>
      <c r="L806" s="439">
        <v>60062</v>
      </c>
      <c r="M806" s="439" t="s">
        <v>233</v>
      </c>
      <c r="N806" s="439">
        <v>60062</v>
      </c>
      <c r="O806" s="439" t="s">
        <v>233</v>
      </c>
      <c r="Q806" s="446"/>
      <c r="R806" s="446"/>
      <c r="S806" s="446">
        <v>10032</v>
      </c>
      <c r="T806" s="446"/>
      <c r="U806" s="439">
        <v>10</v>
      </c>
      <c r="V806" s="439">
        <v>0</v>
      </c>
      <c r="W806" s="439">
        <v>0</v>
      </c>
      <c r="Z806" s="447"/>
      <c r="AB806" s="448"/>
      <c r="AC806" s="448"/>
      <c r="AD806" s="439" t="s">
        <v>3996</v>
      </c>
      <c r="AF806" s="443" t="str">
        <f t="shared" ref="AF806:AF811" si="113">"title("&amp;C806&amp;")
body(hotyellow_3(任务进程:)newline()
   狩猎goto(10032,4)，去找goto(60062,4)。
blankline()hotyellow_3(任务描述:)newline() 
space()space()space()player()，我这里有一份有关消灭燃烧平原坚毅火石怪的委托单，如果你有兴趣的话，就由你来完成吧！)"</f>
        <v>title([27级]狩猎火石怪)
body(hotyellow_3(任务进程:)newline()
   狩猎goto(10032,4)，去找goto(60062,4)。
blankline()hotyellow_3(任务描述:)newline() 
space()space()space()player()，我这里有一份有关消灭燃烧平原坚毅火石怪的委托单，如果你有兴趣的话，就由你来完成吧！)</v>
      </c>
      <c r="AG806" s="437" t="s">
        <v>3989</v>
      </c>
      <c r="AH806" s="439" t="s">
        <v>291</v>
      </c>
      <c r="AI806" s="439" t="s">
        <v>292</v>
      </c>
      <c r="AJ806" s="439" t="s">
        <v>6384</v>
      </c>
      <c r="AL806" s="445">
        <v>0</v>
      </c>
      <c r="AM806" s="443" t="str">
        <f t="shared" si="110"/>
        <v>&lt;p&gt;
&lt;n&gt;  狩猎：&lt;/n&gt;
 &lt;n&gt; &lt;/n&gt;&lt;goto id="10032" mapid="4" flagpoint="1" taskid="12101" quick="1"/&gt;
&lt;/p&gt;</v>
      </c>
      <c r="AN806" s="443" t="str">
        <f t="shared" si="108"/>
        <v>&lt;p&gt;
&lt;n&gt;  交：&lt;/n&gt;
 &lt;n&gt; &lt;/n&gt;&lt;goto id="60062" mapid="4" flagpoint="1" taskid="12101" quick="1"/&gt;&lt;/p&gt;</v>
      </c>
      <c r="AP806" s="439">
        <v>1</v>
      </c>
      <c r="AQ806" s="439">
        <v>0</v>
      </c>
      <c r="AR806" s="437">
        <v>0</v>
      </c>
      <c r="AS806" s="439">
        <v>0</v>
      </c>
      <c r="AT806" s="439">
        <v>1</v>
      </c>
      <c r="AU806" s="437">
        <v>0</v>
      </c>
      <c r="AV806" s="17">
        <f t="shared" si="106"/>
        <v>0</v>
      </c>
      <c r="AW806" s="439" t="str">
        <f t="shared" si="109"/>
        <v>{s_taskKillNpc, {60062,60062,10032,10}}</v>
      </c>
    </row>
    <row r="807" spans="1:51" s="443" customFormat="1" ht="84.75" thickBot="1" x14ac:dyDescent="0.2">
      <c r="A807" s="449">
        <v>12102</v>
      </c>
      <c r="C807" s="443" t="s">
        <v>2538</v>
      </c>
      <c r="D807" s="443">
        <v>2</v>
      </c>
      <c r="E807" s="443">
        <v>0</v>
      </c>
      <c r="F807" s="443">
        <v>4</v>
      </c>
      <c r="G807" s="120">
        <v>200</v>
      </c>
      <c r="H807" s="443">
        <v>200</v>
      </c>
      <c r="I807" s="17">
        <v>0</v>
      </c>
      <c r="J807" s="453">
        <v>0</v>
      </c>
      <c r="K807" s="443">
        <v>0</v>
      </c>
      <c r="L807" s="439">
        <v>60062</v>
      </c>
      <c r="M807" s="439" t="s">
        <v>233</v>
      </c>
      <c r="N807" s="439">
        <v>60062</v>
      </c>
      <c r="O807" s="439" t="s">
        <v>233</v>
      </c>
      <c r="Q807" s="440"/>
      <c r="R807" s="440"/>
      <c r="S807" s="440">
        <v>10032</v>
      </c>
      <c r="T807" s="440"/>
      <c r="U807" s="443">
        <v>10</v>
      </c>
      <c r="V807" s="443">
        <v>0</v>
      </c>
      <c r="W807" s="443">
        <v>0</v>
      </c>
      <c r="Z807" s="447">
        <f>ROUND(AY807*(30+G807^1.5)*AX807,0)</f>
        <v>68602</v>
      </c>
      <c r="AB807" s="442"/>
      <c r="AC807" s="442"/>
      <c r="AD807" s="443" t="s">
        <v>3996</v>
      </c>
      <c r="AF807" s="443" t="str">
        <f t="shared" si="113"/>
        <v>title([27级]狩猎火石怪[白])
body(hotyellow_3(任务进程:)newline()
   狩猎goto(10032,4)，去找goto(60062,4)。
blankline()hotyellow_3(任务描述:)newline() 
space()space()space()player()，我这里有一份有关消灭燃烧平原坚毅火石怪的委托单，如果你有兴趣的话，就由你来完成吧！)</v>
      </c>
      <c r="AG807" s="443" t="s">
        <v>3990</v>
      </c>
      <c r="AH807" s="443" t="s">
        <v>291</v>
      </c>
      <c r="AI807" s="443" t="s">
        <v>292</v>
      </c>
      <c r="AJ807" s="443" t="s">
        <v>6384</v>
      </c>
      <c r="AL807" s="450">
        <v>0</v>
      </c>
      <c r="AM807" s="443" t="str">
        <f t="shared" si="110"/>
        <v>&lt;p&gt;
&lt;n&gt;  狩猎：&lt;/n&gt;
 &lt;n&gt; &lt;/n&gt;&lt;goto id="10032" mapid="4" flagpoint="1" taskid="12102" quick="1"/&gt;
&lt;/p&gt;</v>
      </c>
      <c r="AN807" s="443" t="str">
        <f t="shared" si="108"/>
        <v>&lt;p&gt;
&lt;n&gt;  交：&lt;/n&gt;
 &lt;n&gt; &lt;/n&gt;&lt;goto id="60062" mapid="4" flagpoint="1" taskid="12102" quick="1"/&gt;&lt;/p&gt;</v>
      </c>
      <c r="AP807" s="443">
        <v>0</v>
      </c>
      <c r="AQ807" s="443">
        <v>1</v>
      </c>
      <c r="AR807" s="437">
        <v>0</v>
      </c>
      <c r="AS807" s="443">
        <v>0</v>
      </c>
      <c r="AT807" s="443">
        <v>1</v>
      </c>
      <c r="AU807" s="437">
        <v>0</v>
      </c>
      <c r="AV807" s="17">
        <f t="shared" si="106"/>
        <v>0</v>
      </c>
      <c r="AW807" s="443" t="str">
        <f t="shared" si="109"/>
        <v>{s_taskKillNpc, {60062,60062,10032,10}}</v>
      </c>
      <c r="AX807" s="439">
        <v>1</v>
      </c>
      <c r="AY807" s="443">
        <v>24</v>
      </c>
    </row>
    <row r="808" spans="1:51" s="443" customFormat="1" ht="84.75" thickBot="1" x14ac:dyDescent="0.2">
      <c r="A808" s="449">
        <v>12103</v>
      </c>
      <c r="C808" s="443" t="s">
        <v>2563</v>
      </c>
      <c r="D808" s="443">
        <v>2</v>
      </c>
      <c r="E808" s="443">
        <v>0</v>
      </c>
      <c r="F808" s="443">
        <v>4</v>
      </c>
      <c r="G808" s="120">
        <v>200</v>
      </c>
      <c r="H808" s="443">
        <v>200</v>
      </c>
      <c r="I808" s="17">
        <v>0</v>
      </c>
      <c r="J808" s="453">
        <v>0</v>
      </c>
      <c r="K808" s="443">
        <v>0</v>
      </c>
      <c r="L808" s="439">
        <v>60062</v>
      </c>
      <c r="M808" s="439" t="s">
        <v>233</v>
      </c>
      <c r="N808" s="439">
        <v>60062</v>
      </c>
      <c r="O808" s="439" t="s">
        <v>233</v>
      </c>
      <c r="Q808" s="440"/>
      <c r="R808" s="440"/>
      <c r="S808" s="440">
        <v>10032</v>
      </c>
      <c r="T808" s="440"/>
      <c r="U808" s="443">
        <v>10</v>
      </c>
      <c r="V808" s="443">
        <v>0</v>
      </c>
      <c r="W808" s="443">
        <v>0</v>
      </c>
      <c r="Z808" s="447">
        <f>ROUND(AY808*(30+G808^1.5)*AX808,0)</f>
        <v>89183</v>
      </c>
      <c r="AB808" s="442"/>
      <c r="AC808" s="442"/>
      <c r="AD808" s="443" t="s">
        <v>3996</v>
      </c>
      <c r="AF808" s="443" t="str">
        <f t="shared" si="113"/>
        <v>title([27级]狩猎火石怪[蓝])
body(hotyellow_3(任务进程:)newline()
   狩猎goto(10032,4)，去找goto(60062,4)。
blankline()hotyellow_3(任务描述:)newline() 
space()space()space()player()，我这里有一份有关消灭燃烧平原坚毅火石怪的委托单，如果你有兴趣的话，就由你来完成吧！)</v>
      </c>
      <c r="AG808" s="443" t="s">
        <v>3991</v>
      </c>
      <c r="AH808" s="443" t="s">
        <v>291</v>
      </c>
      <c r="AI808" s="443" t="s">
        <v>292</v>
      </c>
      <c r="AJ808" s="443" t="s">
        <v>6384</v>
      </c>
      <c r="AL808" s="450">
        <v>0</v>
      </c>
      <c r="AM808" s="443" t="str">
        <f t="shared" si="110"/>
        <v>&lt;p&gt;
&lt;n&gt;  狩猎：&lt;/n&gt;
 &lt;n&gt; &lt;/n&gt;&lt;goto id="10032" mapid="4" flagpoint="1" taskid="12103" quick="1"/&gt;
&lt;/p&gt;</v>
      </c>
      <c r="AN808" s="443" t="str">
        <f t="shared" si="108"/>
        <v>&lt;p&gt;
&lt;n&gt;  交：&lt;/n&gt;
 &lt;n&gt; &lt;/n&gt;&lt;goto id="60062" mapid="4" flagpoint="1" taskid="12103" quick="1"/&gt;&lt;/p&gt;</v>
      </c>
      <c r="AP808" s="443">
        <v>0</v>
      </c>
      <c r="AQ808" s="443">
        <v>1</v>
      </c>
      <c r="AR808" s="437">
        <v>0</v>
      </c>
      <c r="AS808" s="443">
        <v>0</v>
      </c>
      <c r="AT808" s="443">
        <v>1</v>
      </c>
      <c r="AU808" s="437">
        <v>0</v>
      </c>
      <c r="AV808" s="17">
        <f t="shared" si="106"/>
        <v>0</v>
      </c>
      <c r="AW808" s="443" t="str">
        <f t="shared" si="109"/>
        <v>{s_taskKillNpc, {60062,60062,10032,10}}</v>
      </c>
      <c r="AX808" s="439">
        <v>1.3</v>
      </c>
      <c r="AY808" s="443">
        <v>24</v>
      </c>
    </row>
    <row r="809" spans="1:51" s="443" customFormat="1" ht="84.75" thickBot="1" x14ac:dyDescent="0.2">
      <c r="A809" s="449">
        <v>12104</v>
      </c>
      <c r="C809" s="443" t="s">
        <v>2588</v>
      </c>
      <c r="D809" s="443">
        <v>2</v>
      </c>
      <c r="E809" s="443">
        <v>0</v>
      </c>
      <c r="F809" s="443">
        <v>4</v>
      </c>
      <c r="G809" s="120">
        <v>200</v>
      </c>
      <c r="H809" s="443">
        <v>200</v>
      </c>
      <c r="I809" s="17">
        <v>0</v>
      </c>
      <c r="J809" s="453">
        <v>0</v>
      </c>
      <c r="K809" s="443">
        <v>0</v>
      </c>
      <c r="L809" s="439">
        <v>60062</v>
      </c>
      <c r="M809" s="439" t="s">
        <v>233</v>
      </c>
      <c r="N809" s="439">
        <v>60062</v>
      </c>
      <c r="O809" s="439" t="s">
        <v>233</v>
      </c>
      <c r="Q809" s="440"/>
      <c r="R809" s="440"/>
      <c r="S809" s="440">
        <v>10032</v>
      </c>
      <c r="T809" s="440"/>
      <c r="U809" s="443">
        <v>10</v>
      </c>
      <c r="V809" s="443">
        <v>0</v>
      </c>
      <c r="W809" s="443">
        <v>0</v>
      </c>
      <c r="Z809" s="447">
        <f>ROUND(AY809*(30+G809^1.5)*AX809,0)</f>
        <v>109764</v>
      </c>
      <c r="AB809" s="442"/>
      <c r="AC809" s="442"/>
      <c r="AD809" s="443" t="s">
        <v>3996</v>
      </c>
      <c r="AF809" s="443" t="str">
        <f t="shared" si="113"/>
        <v>title([27级]狩猎火石怪[黄])
body(hotyellow_3(任务进程:)newline()
   狩猎goto(10032,4)，去找goto(60062,4)。
blankline()hotyellow_3(任务描述:)newline() 
space()space()space()player()，我这里有一份有关消灭燃烧平原坚毅火石怪的委托单，如果你有兴趣的话，就由你来完成吧！)</v>
      </c>
      <c r="AG809" s="443" t="s">
        <v>3992</v>
      </c>
      <c r="AH809" s="443" t="s">
        <v>291</v>
      </c>
      <c r="AI809" s="443" t="s">
        <v>292</v>
      </c>
      <c r="AJ809" s="443" t="s">
        <v>6384</v>
      </c>
      <c r="AL809" s="450">
        <v>0</v>
      </c>
      <c r="AM809" s="443" t="str">
        <f t="shared" si="110"/>
        <v>&lt;p&gt;
&lt;n&gt;  狩猎：&lt;/n&gt;
 &lt;n&gt; &lt;/n&gt;&lt;goto id="10032" mapid="4" flagpoint="1" taskid="12104" quick="1"/&gt;
&lt;/p&gt;</v>
      </c>
      <c r="AN809" s="443" t="str">
        <f t="shared" si="108"/>
        <v>&lt;p&gt;
&lt;n&gt;  交：&lt;/n&gt;
 &lt;n&gt; &lt;/n&gt;&lt;goto id="60062" mapid="4" flagpoint="1" taskid="12104" quick="1"/&gt;&lt;/p&gt;</v>
      </c>
      <c r="AP809" s="443">
        <v>0</v>
      </c>
      <c r="AQ809" s="443">
        <v>1</v>
      </c>
      <c r="AR809" s="437">
        <v>0</v>
      </c>
      <c r="AS809" s="443">
        <v>0</v>
      </c>
      <c r="AT809" s="443">
        <v>1</v>
      </c>
      <c r="AU809" s="437">
        <v>0</v>
      </c>
      <c r="AV809" s="17">
        <f t="shared" si="106"/>
        <v>0</v>
      </c>
      <c r="AW809" s="443" t="str">
        <f t="shared" si="109"/>
        <v>{s_taskKillNpc, {60062,60062,10032,10}}</v>
      </c>
      <c r="AX809" s="439">
        <v>1.6</v>
      </c>
      <c r="AY809" s="443">
        <v>24</v>
      </c>
    </row>
    <row r="810" spans="1:51" s="443" customFormat="1" ht="84.75" thickBot="1" x14ac:dyDescent="0.2">
      <c r="A810" s="449">
        <v>12105</v>
      </c>
      <c r="C810" s="443" t="s">
        <v>2613</v>
      </c>
      <c r="D810" s="443">
        <v>2</v>
      </c>
      <c r="E810" s="443">
        <v>0</v>
      </c>
      <c r="F810" s="443">
        <v>4</v>
      </c>
      <c r="G810" s="120">
        <v>200</v>
      </c>
      <c r="H810" s="443">
        <v>200</v>
      </c>
      <c r="I810" s="17">
        <v>0</v>
      </c>
      <c r="J810" s="453">
        <v>0</v>
      </c>
      <c r="K810" s="443">
        <v>0</v>
      </c>
      <c r="L810" s="439">
        <v>60062</v>
      </c>
      <c r="M810" s="439" t="s">
        <v>233</v>
      </c>
      <c r="N810" s="439">
        <v>60062</v>
      </c>
      <c r="O810" s="439" t="s">
        <v>233</v>
      </c>
      <c r="Q810" s="440"/>
      <c r="R810" s="440"/>
      <c r="S810" s="440">
        <v>10032</v>
      </c>
      <c r="T810" s="440"/>
      <c r="U810" s="443">
        <v>10</v>
      </c>
      <c r="V810" s="443">
        <v>0</v>
      </c>
      <c r="W810" s="443">
        <v>0</v>
      </c>
      <c r="Z810" s="447">
        <f>ROUND(AY810*(30+G810^1.5)*AX810,0)</f>
        <v>150925</v>
      </c>
      <c r="AB810" s="442"/>
      <c r="AC810" s="442"/>
      <c r="AD810" s="443" t="s">
        <v>3996</v>
      </c>
      <c r="AF810" s="443" t="str">
        <f t="shared" si="113"/>
        <v>title([27级]狩猎火石怪[绿])
body(hotyellow_3(任务进程:)newline()
   狩猎goto(10032,4)，去找goto(60062,4)。
blankline()hotyellow_3(任务描述:)newline() 
space()space()space()player()，我这里有一份有关消灭燃烧平原坚毅火石怪的委托单，如果你有兴趣的话，就由你来完成吧！)</v>
      </c>
      <c r="AG810" s="443" t="s">
        <v>3993</v>
      </c>
      <c r="AH810" s="443" t="s">
        <v>291</v>
      </c>
      <c r="AI810" s="443" t="s">
        <v>292</v>
      </c>
      <c r="AJ810" s="443" t="s">
        <v>6384</v>
      </c>
      <c r="AL810" s="450">
        <v>0</v>
      </c>
      <c r="AM810" s="443" t="str">
        <f t="shared" si="110"/>
        <v>&lt;p&gt;
&lt;n&gt;  狩猎：&lt;/n&gt;
 &lt;n&gt; &lt;/n&gt;&lt;goto id="10032" mapid="4" flagpoint="1" taskid="12105" quick="1"/&gt;
&lt;/p&gt;</v>
      </c>
      <c r="AN810" s="443" t="str">
        <f t="shared" si="108"/>
        <v>&lt;p&gt;
&lt;n&gt;  交：&lt;/n&gt;
 &lt;n&gt; &lt;/n&gt;&lt;goto id="60062" mapid="4" flagpoint="1" taskid="12105" quick="1"/&gt;&lt;/p&gt;</v>
      </c>
      <c r="AP810" s="443">
        <v>0</v>
      </c>
      <c r="AQ810" s="443">
        <v>1</v>
      </c>
      <c r="AR810" s="437">
        <v>0</v>
      </c>
      <c r="AS810" s="443">
        <v>0</v>
      </c>
      <c r="AT810" s="443">
        <v>1</v>
      </c>
      <c r="AU810" s="437">
        <v>0</v>
      </c>
      <c r="AV810" s="17">
        <f t="shared" si="106"/>
        <v>0</v>
      </c>
      <c r="AW810" s="443" t="str">
        <f t="shared" si="109"/>
        <v>{s_taskKillNpc, {60062,60062,10032,10}}</v>
      </c>
      <c r="AX810" s="439">
        <v>2.2000000000000002</v>
      </c>
      <c r="AY810" s="443">
        <v>24</v>
      </c>
    </row>
    <row r="811" spans="1:51" s="443" customFormat="1" ht="84.75" thickBot="1" x14ac:dyDescent="0.2">
      <c r="A811" s="449">
        <v>12106</v>
      </c>
      <c r="C811" s="443" t="s">
        <v>2638</v>
      </c>
      <c r="D811" s="443">
        <v>2</v>
      </c>
      <c r="E811" s="443">
        <v>0</v>
      </c>
      <c r="F811" s="443">
        <v>4</v>
      </c>
      <c r="G811" s="120">
        <v>200</v>
      </c>
      <c r="H811" s="443">
        <v>200</v>
      </c>
      <c r="I811" s="17">
        <v>0</v>
      </c>
      <c r="J811" s="453">
        <v>0</v>
      </c>
      <c r="K811" s="443">
        <v>0</v>
      </c>
      <c r="L811" s="439">
        <v>60062</v>
      </c>
      <c r="M811" s="439" t="s">
        <v>233</v>
      </c>
      <c r="N811" s="439">
        <v>60062</v>
      </c>
      <c r="O811" s="439" t="s">
        <v>233</v>
      </c>
      <c r="Q811" s="440"/>
      <c r="R811" s="440"/>
      <c r="S811" s="440">
        <v>10032</v>
      </c>
      <c r="T811" s="440"/>
      <c r="U811" s="443">
        <v>10</v>
      </c>
      <c r="V811" s="443">
        <v>0</v>
      </c>
      <c r="W811" s="443">
        <v>0</v>
      </c>
      <c r="Z811" s="447">
        <f>ROUND(AY811*(30+G811^1.5)*AX811,0)</f>
        <v>205807</v>
      </c>
      <c r="AB811" s="442"/>
      <c r="AC811" s="442"/>
      <c r="AD811" s="443" t="s">
        <v>3996</v>
      </c>
      <c r="AF811" s="443" t="str">
        <f t="shared" si="113"/>
        <v>title([27级]狩猎火石怪[紫])
body(hotyellow_3(任务进程:)newline()
   狩猎goto(10032,4)，去找goto(60062,4)。
blankline()hotyellow_3(任务描述:)newline() 
space()space()space()player()，我这里有一份有关消灭燃烧平原坚毅火石怪的委托单，如果你有兴趣的话，就由你来完成吧！)</v>
      </c>
      <c r="AG811" s="452" t="s">
        <v>3994</v>
      </c>
      <c r="AH811" s="443" t="s">
        <v>291</v>
      </c>
      <c r="AI811" s="443" t="s">
        <v>292</v>
      </c>
      <c r="AJ811" s="443" t="s">
        <v>6384</v>
      </c>
      <c r="AL811" s="450">
        <v>0</v>
      </c>
      <c r="AM811" s="443" t="str">
        <f t="shared" si="110"/>
        <v>&lt;p&gt;
&lt;n&gt;  狩猎：&lt;/n&gt;
 &lt;n&gt; &lt;/n&gt;&lt;goto id="10032" mapid="4" flagpoint="1" taskid="12106" quick="1"/&gt;
&lt;/p&gt;</v>
      </c>
      <c r="AN811" s="443" t="str">
        <f t="shared" si="108"/>
        <v>&lt;p&gt;
&lt;n&gt;  交：&lt;/n&gt;
 &lt;n&gt; &lt;/n&gt;&lt;goto id="60062" mapid="4" flagpoint="1" taskid="12106" quick="1"/&gt;&lt;/p&gt;</v>
      </c>
      <c r="AP811" s="452">
        <v>0</v>
      </c>
      <c r="AQ811" s="443">
        <v>1</v>
      </c>
      <c r="AR811" s="437">
        <v>0</v>
      </c>
      <c r="AS811" s="443">
        <v>0</v>
      </c>
      <c r="AT811" s="443">
        <v>1</v>
      </c>
      <c r="AU811" s="437">
        <v>0</v>
      </c>
      <c r="AV811" s="17">
        <f t="shared" si="106"/>
        <v>0</v>
      </c>
      <c r="AW811" s="443" t="str">
        <f t="shared" si="109"/>
        <v>{s_taskKillNpc, {60062,60062,10032,10}}</v>
      </c>
      <c r="AX811" s="439">
        <v>3</v>
      </c>
      <c r="AY811" s="443">
        <v>24</v>
      </c>
    </row>
    <row r="812" spans="1:51" s="439" customFormat="1" ht="84.75" thickBot="1" x14ac:dyDescent="0.2">
      <c r="A812" s="444">
        <v>12111</v>
      </c>
      <c r="C812" s="439" t="s">
        <v>2220</v>
      </c>
      <c r="D812" s="439">
        <v>2</v>
      </c>
      <c r="E812" s="439">
        <v>0</v>
      </c>
      <c r="F812" s="439">
        <v>4</v>
      </c>
      <c r="G812" s="120">
        <v>200</v>
      </c>
      <c r="H812" s="439">
        <v>200</v>
      </c>
      <c r="I812" s="17">
        <v>0</v>
      </c>
      <c r="J812" s="453">
        <v>0</v>
      </c>
      <c r="K812" s="439">
        <v>0</v>
      </c>
      <c r="L812" s="439">
        <v>60062</v>
      </c>
      <c r="M812" s="439" t="s">
        <v>233</v>
      </c>
      <c r="N812" s="439">
        <v>60062</v>
      </c>
      <c r="O812" s="439" t="s">
        <v>233</v>
      </c>
      <c r="Q812" s="446"/>
      <c r="R812" s="446"/>
      <c r="S812" s="446">
        <v>10033</v>
      </c>
      <c r="T812" s="446"/>
      <c r="U812" s="439">
        <v>10</v>
      </c>
      <c r="V812" s="439">
        <v>0</v>
      </c>
      <c r="W812" s="439">
        <v>0</v>
      </c>
      <c r="Z812" s="447"/>
      <c r="AB812" s="448"/>
      <c r="AC812" s="448"/>
      <c r="AD812" s="439" t="s">
        <v>3997</v>
      </c>
      <c r="AF812" s="443" t="str">
        <f t="shared" ref="AF812:AF817" si="114">"title("&amp;C812&amp;")
body(hotyellow_3(任务进程:)newline()
   狩猎goto(10033,4)，去找goto(60062,4)。
blankline()hotyellow_3(任务描述:)newline() 
space()space()space()player()，我这里有一份有关消灭燃烧平原邪恶火翼鸟的委托单，如果你有兴趣的话，就由你来完成吧！)"</f>
        <v>title([29级]狩猎火翼鸟)
body(hotyellow_3(任务进程:)newline()
   狩猎goto(10033,4)，去找goto(60062,4)。
blankline()hotyellow_3(任务描述:)newline() 
space()space()space()player()，我这里有一份有关消灭燃烧平原邪恶火翼鸟的委托单，如果你有兴趣的话，就由你来完成吧！)</v>
      </c>
      <c r="AG812" s="437" t="s">
        <v>3989</v>
      </c>
      <c r="AH812" s="439" t="s">
        <v>291</v>
      </c>
      <c r="AI812" s="439" t="s">
        <v>292</v>
      </c>
      <c r="AJ812" s="439" t="s">
        <v>6385</v>
      </c>
      <c r="AL812" s="445">
        <v>0</v>
      </c>
      <c r="AM812" s="443" t="str">
        <f t="shared" si="110"/>
        <v>&lt;p&gt;
&lt;n&gt;  狩猎：&lt;/n&gt;
 &lt;n&gt; &lt;/n&gt;&lt;goto id="10033" mapid="4" flagpoint="1" taskid="12111" quick="1"/&gt;
&lt;/p&gt;</v>
      </c>
      <c r="AN812" s="443" t="str">
        <f t="shared" si="108"/>
        <v>&lt;p&gt;
&lt;n&gt;  交：&lt;/n&gt;
 &lt;n&gt; &lt;/n&gt;&lt;goto id="60062" mapid="4" flagpoint="1" taskid="12111" quick="1"/&gt;&lt;/p&gt;</v>
      </c>
      <c r="AP812" s="439">
        <v>1</v>
      </c>
      <c r="AQ812" s="439">
        <v>0</v>
      </c>
      <c r="AR812" s="437">
        <v>0</v>
      </c>
      <c r="AS812" s="439">
        <v>0</v>
      </c>
      <c r="AT812" s="439">
        <v>1</v>
      </c>
      <c r="AU812" s="437">
        <v>0</v>
      </c>
      <c r="AV812" s="17">
        <f t="shared" si="106"/>
        <v>0</v>
      </c>
      <c r="AW812" s="439" t="str">
        <f t="shared" si="109"/>
        <v>{s_taskKillNpc, {60062,60062,10033,10}}</v>
      </c>
      <c r="AY812" s="443">
        <v>20</v>
      </c>
    </row>
    <row r="813" spans="1:51" s="443" customFormat="1" ht="84.75" thickBot="1" x14ac:dyDescent="0.2">
      <c r="A813" s="449">
        <v>12112</v>
      </c>
      <c r="C813" s="443" t="s">
        <v>2539</v>
      </c>
      <c r="D813" s="443">
        <v>2</v>
      </c>
      <c r="E813" s="443">
        <v>0</v>
      </c>
      <c r="F813" s="443">
        <v>4</v>
      </c>
      <c r="G813" s="120">
        <v>200</v>
      </c>
      <c r="H813" s="443">
        <v>200</v>
      </c>
      <c r="I813" s="17">
        <v>0</v>
      </c>
      <c r="J813" s="453">
        <v>0</v>
      </c>
      <c r="K813" s="443">
        <v>0</v>
      </c>
      <c r="L813" s="443">
        <v>60062</v>
      </c>
      <c r="M813" s="443" t="s">
        <v>233</v>
      </c>
      <c r="N813" s="443">
        <v>60062</v>
      </c>
      <c r="O813" s="443" t="s">
        <v>233</v>
      </c>
      <c r="Q813" s="440"/>
      <c r="R813" s="440"/>
      <c r="S813" s="440">
        <v>10033</v>
      </c>
      <c r="T813" s="440"/>
      <c r="U813" s="443">
        <v>10</v>
      </c>
      <c r="V813" s="443">
        <v>0</v>
      </c>
      <c r="W813" s="443">
        <v>0</v>
      </c>
      <c r="Z813" s="447">
        <f>ROUND(AY813*(30+G813^1.5)*AX813,0)</f>
        <v>68602</v>
      </c>
      <c r="AB813" s="442"/>
      <c r="AC813" s="442"/>
      <c r="AD813" s="443" t="s">
        <v>3997</v>
      </c>
      <c r="AF813" s="443" t="str">
        <f t="shared" si="114"/>
        <v>title([29级]狩猎火翼鸟[白])
body(hotyellow_3(任务进程:)newline()
   狩猎goto(10033,4)，去找goto(60062,4)。
blankline()hotyellow_3(任务描述:)newline() 
space()space()space()player()，我这里有一份有关消灭燃烧平原邪恶火翼鸟的委托单，如果你有兴趣的话，就由你来完成吧！)</v>
      </c>
      <c r="AG813" s="443" t="s">
        <v>3990</v>
      </c>
      <c r="AH813" s="443" t="s">
        <v>291</v>
      </c>
      <c r="AI813" s="443" t="s">
        <v>292</v>
      </c>
      <c r="AJ813" s="443" t="s">
        <v>6385</v>
      </c>
      <c r="AL813" s="450">
        <v>0</v>
      </c>
      <c r="AM813" s="443" t="str">
        <f t="shared" si="110"/>
        <v>&lt;p&gt;
&lt;n&gt;  狩猎：&lt;/n&gt;
 &lt;n&gt; &lt;/n&gt;&lt;goto id="10033" mapid="4" flagpoint="1" taskid="12112" quick="1"/&gt;
&lt;/p&gt;</v>
      </c>
      <c r="AN813" s="443" t="str">
        <f t="shared" si="108"/>
        <v>&lt;p&gt;
&lt;n&gt;  交：&lt;/n&gt;
 &lt;n&gt; &lt;/n&gt;&lt;goto id="60062" mapid="4" flagpoint="1" taskid="12112" quick="1"/&gt;&lt;/p&gt;</v>
      </c>
      <c r="AP813" s="443">
        <v>0</v>
      </c>
      <c r="AQ813" s="443">
        <v>1</v>
      </c>
      <c r="AR813" s="437">
        <v>0</v>
      </c>
      <c r="AS813" s="443">
        <v>0</v>
      </c>
      <c r="AT813" s="443">
        <v>1</v>
      </c>
      <c r="AU813" s="437">
        <v>0</v>
      </c>
      <c r="AV813" s="17">
        <f t="shared" si="106"/>
        <v>0</v>
      </c>
      <c r="AW813" s="443" t="str">
        <f t="shared" si="109"/>
        <v>{s_taskKillNpc, {60062,60062,10033,10}}</v>
      </c>
      <c r="AX813" s="439">
        <v>1</v>
      </c>
      <c r="AY813" s="443">
        <v>24</v>
      </c>
    </row>
    <row r="814" spans="1:51" s="443" customFormat="1" ht="84.75" thickBot="1" x14ac:dyDescent="0.2">
      <c r="A814" s="449">
        <v>12113</v>
      </c>
      <c r="C814" s="443" t="s">
        <v>2564</v>
      </c>
      <c r="D814" s="443">
        <v>2</v>
      </c>
      <c r="E814" s="443">
        <v>0</v>
      </c>
      <c r="F814" s="443">
        <v>4</v>
      </c>
      <c r="G814" s="120">
        <v>200</v>
      </c>
      <c r="H814" s="443">
        <v>200</v>
      </c>
      <c r="I814" s="17">
        <v>0</v>
      </c>
      <c r="J814" s="453">
        <v>0</v>
      </c>
      <c r="K814" s="443">
        <v>0</v>
      </c>
      <c r="L814" s="443">
        <v>60062</v>
      </c>
      <c r="M814" s="443" t="s">
        <v>233</v>
      </c>
      <c r="N814" s="443">
        <v>60062</v>
      </c>
      <c r="O814" s="443" t="s">
        <v>233</v>
      </c>
      <c r="Q814" s="440"/>
      <c r="R814" s="440"/>
      <c r="S814" s="440">
        <v>10033</v>
      </c>
      <c r="T814" s="440"/>
      <c r="U814" s="443">
        <v>10</v>
      </c>
      <c r="V814" s="443">
        <v>0</v>
      </c>
      <c r="W814" s="443">
        <v>0</v>
      </c>
      <c r="Z814" s="447">
        <f>ROUND(AY814*(30+G814^1.5)*AX814,0)</f>
        <v>89183</v>
      </c>
      <c r="AB814" s="442"/>
      <c r="AC814" s="442"/>
      <c r="AD814" s="443" t="s">
        <v>3997</v>
      </c>
      <c r="AF814" s="443" t="str">
        <f t="shared" si="114"/>
        <v>title([29级]狩猎火翼鸟[蓝])
body(hotyellow_3(任务进程:)newline()
   狩猎goto(10033,4)，去找goto(60062,4)。
blankline()hotyellow_3(任务描述:)newline() 
space()space()space()player()，我这里有一份有关消灭燃烧平原邪恶火翼鸟的委托单，如果你有兴趣的话，就由你来完成吧！)</v>
      </c>
      <c r="AG814" s="443" t="s">
        <v>3991</v>
      </c>
      <c r="AH814" s="443" t="s">
        <v>291</v>
      </c>
      <c r="AI814" s="443" t="s">
        <v>292</v>
      </c>
      <c r="AJ814" s="443" t="s">
        <v>6385</v>
      </c>
      <c r="AL814" s="450">
        <v>0</v>
      </c>
      <c r="AM814" s="443" t="str">
        <f t="shared" si="110"/>
        <v>&lt;p&gt;
&lt;n&gt;  狩猎：&lt;/n&gt;
 &lt;n&gt; &lt;/n&gt;&lt;goto id="10033" mapid="4" flagpoint="1" taskid="12113" quick="1"/&gt;
&lt;/p&gt;</v>
      </c>
      <c r="AN814" s="443" t="str">
        <f t="shared" si="108"/>
        <v>&lt;p&gt;
&lt;n&gt;  交：&lt;/n&gt;
 &lt;n&gt; &lt;/n&gt;&lt;goto id="60062" mapid="4" flagpoint="1" taskid="12113" quick="1"/&gt;&lt;/p&gt;</v>
      </c>
      <c r="AP814" s="443">
        <v>0</v>
      </c>
      <c r="AQ814" s="443">
        <v>1</v>
      </c>
      <c r="AR814" s="437">
        <v>0</v>
      </c>
      <c r="AS814" s="443">
        <v>0</v>
      </c>
      <c r="AT814" s="443">
        <v>1</v>
      </c>
      <c r="AU814" s="437">
        <v>0</v>
      </c>
      <c r="AV814" s="17">
        <f t="shared" si="106"/>
        <v>0</v>
      </c>
      <c r="AW814" s="443" t="str">
        <f t="shared" si="109"/>
        <v>{s_taskKillNpc, {60062,60062,10033,10}}</v>
      </c>
      <c r="AX814" s="439">
        <v>1.3</v>
      </c>
      <c r="AY814" s="443">
        <v>24</v>
      </c>
    </row>
    <row r="815" spans="1:51" s="443" customFormat="1" ht="84.75" thickBot="1" x14ac:dyDescent="0.2">
      <c r="A815" s="449">
        <v>12114</v>
      </c>
      <c r="C815" s="443" t="s">
        <v>2589</v>
      </c>
      <c r="D815" s="443">
        <v>2</v>
      </c>
      <c r="E815" s="443">
        <v>0</v>
      </c>
      <c r="F815" s="443">
        <v>4</v>
      </c>
      <c r="G815" s="120">
        <v>200</v>
      </c>
      <c r="H815" s="443">
        <v>200</v>
      </c>
      <c r="I815" s="17">
        <v>0</v>
      </c>
      <c r="J815" s="453">
        <v>0</v>
      </c>
      <c r="K815" s="443">
        <v>0</v>
      </c>
      <c r="L815" s="443">
        <v>60062</v>
      </c>
      <c r="M815" s="443" t="s">
        <v>233</v>
      </c>
      <c r="N815" s="443">
        <v>60062</v>
      </c>
      <c r="O815" s="443" t="s">
        <v>233</v>
      </c>
      <c r="Q815" s="440"/>
      <c r="R815" s="440"/>
      <c r="S815" s="440">
        <v>10033</v>
      </c>
      <c r="T815" s="440"/>
      <c r="U815" s="443">
        <v>10</v>
      </c>
      <c r="V815" s="443">
        <v>0</v>
      </c>
      <c r="W815" s="443">
        <v>0</v>
      </c>
      <c r="Z815" s="447">
        <f>ROUND(AY815*(30+G815^1.5)*AX815,0)</f>
        <v>109764</v>
      </c>
      <c r="AB815" s="442"/>
      <c r="AC815" s="442"/>
      <c r="AD815" s="443" t="s">
        <v>3997</v>
      </c>
      <c r="AF815" s="443" t="str">
        <f t="shared" si="114"/>
        <v>title([29级]狩猎火翼鸟[黄])
body(hotyellow_3(任务进程:)newline()
   狩猎goto(10033,4)，去找goto(60062,4)。
blankline()hotyellow_3(任务描述:)newline() 
space()space()space()player()，我这里有一份有关消灭燃烧平原邪恶火翼鸟的委托单，如果你有兴趣的话，就由你来完成吧！)</v>
      </c>
      <c r="AG815" s="443" t="s">
        <v>3992</v>
      </c>
      <c r="AH815" s="443" t="s">
        <v>291</v>
      </c>
      <c r="AI815" s="443" t="s">
        <v>292</v>
      </c>
      <c r="AJ815" s="443" t="s">
        <v>6385</v>
      </c>
      <c r="AL815" s="450">
        <v>0</v>
      </c>
      <c r="AM815" s="443" t="str">
        <f t="shared" si="110"/>
        <v>&lt;p&gt;
&lt;n&gt;  狩猎：&lt;/n&gt;
 &lt;n&gt; &lt;/n&gt;&lt;goto id="10033" mapid="4" flagpoint="1" taskid="12114" quick="1"/&gt;
&lt;/p&gt;</v>
      </c>
      <c r="AN815" s="443" t="str">
        <f t="shared" si="108"/>
        <v>&lt;p&gt;
&lt;n&gt;  交：&lt;/n&gt;
 &lt;n&gt; &lt;/n&gt;&lt;goto id="60062" mapid="4" flagpoint="1" taskid="12114" quick="1"/&gt;&lt;/p&gt;</v>
      </c>
      <c r="AP815" s="443">
        <v>0</v>
      </c>
      <c r="AQ815" s="443">
        <v>1</v>
      </c>
      <c r="AR815" s="437">
        <v>0</v>
      </c>
      <c r="AS815" s="443">
        <v>0</v>
      </c>
      <c r="AT815" s="443">
        <v>1</v>
      </c>
      <c r="AU815" s="437">
        <v>0</v>
      </c>
      <c r="AV815" s="17">
        <f t="shared" si="106"/>
        <v>0</v>
      </c>
      <c r="AW815" s="443" t="str">
        <f t="shared" si="109"/>
        <v>{s_taskKillNpc, {60062,60062,10033,10}}</v>
      </c>
      <c r="AX815" s="439">
        <v>1.6</v>
      </c>
      <c r="AY815" s="443">
        <v>24</v>
      </c>
    </row>
    <row r="816" spans="1:51" s="443" customFormat="1" ht="84.75" thickBot="1" x14ac:dyDescent="0.2">
      <c r="A816" s="449">
        <v>12115</v>
      </c>
      <c r="C816" s="443" t="s">
        <v>2614</v>
      </c>
      <c r="D816" s="443">
        <v>2</v>
      </c>
      <c r="E816" s="443">
        <v>0</v>
      </c>
      <c r="F816" s="443">
        <v>4</v>
      </c>
      <c r="G816" s="120">
        <v>200</v>
      </c>
      <c r="H816" s="443">
        <v>200</v>
      </c>
      <c r="I816" s="17">
        <v>0</v>
      </c>
      <c r="J816" s="453">
        <v>0</v>
      </c>
      <c r="K816" s="443">
        <v>0</v>
      </c>
      <c r="L816" s="443">
        <v>60062</v>
      </c>
      <c r="M816" s="443" t="s">
        <v>233</v>
      </c>
      <c r="N816" s="443">
        <v>60062</v>
      </c>
      <c r="O816" s="443" t="s">
        <v>233</v>
      </c>
      <c r="Q816" s="440"/>
      <c r="R816" s="440"/>
      <c r="S816" s="440">
        <v>10033</v>
      </c>
      <c r="T816" s="440"/>
      <c r="U816" s="443">
        <v>10</v>
      </c>
      <c r="V816" s="443">
        <v>0</v>
      </c>
      <c r="W816" s="443">
        <v>0</v>
      </c>
      <c r="Z816" s="447">
        <f>ROUND(AY816*(30+G816^1.5)*AX816,0)</f>
        <v>150925</v>
      </c>
      <c r="AB816" s="442"/>
      <c r="AC816" s="442"/>
      <c r="AD816" s="443" t="s">
        <v>3997</v>
      </c>
      <c r="AF816" s="443" t="str">
        <f t="shared" si="114"/>
        <v>title([29级]狩猎火翼鸟[绿])
body(hotyellow_3(任务进程:)newline()
   狩猎goto(10033,4)，去找goto(60062,4)。
blankline()hotyellow_3(任务描述:)newline() 
space()space()space()player()，我这里有一份有关消灭燃烧平原邪恶火翼鸟的委托单，如果你有兴趣的话，就由你来完成吧！)</v>
      </c>
      <c r="AG816" s="443" t="s">
        <v>3993</v>
      </c>
      <c r="AH816" s="443" t="s">
        <v>291</v>
      </c>
      <c r="AI816" s="443" t="s">
        <v>292</v>
      </c>
      <c r="AJ816" s="443" t="s">
        <v>6385</v>
      </c>
      <c r="AL816" s="450">
        <v>0</v>
      </c>
      <c r="AM816" s="443" t="str">
        <f t="shared" si="110"/>
        <v>&lt;p&gt;
&lt;n&gt;  狩猎：&lt;/n&gt;
 &lt;n&gt; &lt;/n&gt;&lt;goto id="10033" mapid="4" flagpoint="1" taskid="12115" quick="1"/&gt;
&lt;/p&gt;</v>
      </c>
      <c r="AN816" s="443" t="str">
        <f t="shared" si="108"/>
        <v>&lt;p&gt;
&lt;n&gt;  交：&lt;/n&gt;
 &lt;n&gt; &lt;/n&gt;&lt;goto id="60062" mapid="4" flagpoint="1" taskid="12115" quick="1"/&gt;&lt;/p&gt;</v>
      </c>
      <c r="AP816" s="443">
        <v>0</v>
      </c>
      <c r="AQ816" s="443">
        <v>1</v>
      </c>
      <c r="AR816" s="437">
        <v>0</v>
      </c>
      <c r="AS816" s="443">
        <v>0</v>
      </c>
      <c r="AT816" s="443">
        <v>1</v>
      </c>
      <c r="AU816" s="437">
        <v>0</v>
      </c>
      <c r="AV816" s="17">
        <f t="shared" si="106"/>
        <v>0</v>
      </c>
      <c r="AW816" s="443" t="str">
        <f t="shared" si="109"/>
        <v>{s_taskKillNpc, {60062,60062,10033,10}}</v>
      </c>
      <c r="AX816" s="439">
        <v>2.2000000000000002</v>
      </c>
      <c r="AY816" s="443">
        <v>24</v>
      </c>
    </row>
    <row r="817" spans="1:51" s="443" customFormat="1" ht="84.75" thickBot="1" x14ac:dyDescent="0.2">
      <c r="A817" s="449">
        <v>12116</v>
      </c>
      <c r="C817" s="443" t="s">
        <v>2639</v>
      </c>
      <c r="D817" s="443">
        <v>2</v>
      </c>
      <c r="E817" s="443">
        <v>0</v>
      </c>
      <c r="F817" s="443">
        <v>4</v>
      </c>
      <c r="G817" s="120">
        <v>200</v>
      </c>
      <c r="H817" s="443">
        <v>200</v>
      </c>
      <c r="I817" s="17">
        <v>0</v>
      </c>
      <c r="J817" s="453">
        <v>0</v>
      </c>
      <c r="K817" s="443">
        <v>0</v>
      </c>
      <c r="L817" s="443">
        <v>60062</v>
      </c>
      <c r="M817" s="443" t="s">
        <v>233</v>
      </c>
      <c r="N817" s="443">
        <v>60062</v>
      </c>
      <c r="O817" s="443" t="s">
        <v>233</v>
      </c>
      <c r="Q817" s="440"/>
      <c r="R817" s="440"/>
      <c r="S817" s="440">
        <v>10033</v>
      </c>
      <c r="T817" s="440"/>
      <c r="U817" s="443">
        <v>10</v>
      </c>
      <c r="V817" s="443">
        <v>0</v>
      </c>
      <c r="W817" s="443">
        <v>0</v>
      </c>
      <c r="Z817" s="447">
        <f>ROUND(AY817*(30+G817^1.5)*AX817,0)</f>
        <v>205807</v>
      </c>
      <c r="AB817" s="442"/>
      <c r="AC817" s="442"/>
      <c r="AD817" s="443" t="s">
        <v>3997</v>
      </c>
      <c r="AF817" s="443" t="str">
        <f t="shared" si="114"/>
        <v>title([29级]狩猎火翼鸟[紫])
body(hotyellow_3(任务进程:)newline()
   狩猎goto(10033,4)，去找goto(60062,4)。
blankline()hotyellow_3(任务描述:)newline() 
space()space()space()player()，我这里有一份有关消灭燃烧平原邪恶火翼鸟的委托单，如果你有兴趣的话，就由你来完成吧！)</v>
      </c>
      <c r="AG817" s="452" t="s">
        <v>3994</v>
      </c>
      <c r="AH817" s="443" t="s">
        <v>291</v>
      </c>
      <c r="AI817" s="443" t="s">
        <v>292</v>
      </c>
      <c r="AJ817" s="443" t="s">
        <v>6385</v>
      </c>
      <c r="AL817" s="450">
        <v>0</v>
      </c>
      <c r="AM817" s="443" t="str">
        <f t="shared" si="110"/>
        <v>&lt;p&gt;
&lt;n&gt;  狩猎：&lt;/n&gt;
 &lt;n&gt; &lt;/n&gt;&lt;goto id="10033" mapid="4" flagpoint="1" taskid="12116" quick="1"/&gt;
&lt;/p&gt;</v>
      </c>
      <c r="AN817" s="443" t="str">
        <f t="shared" si="108"/>
        <v>&lt;p&gt;
&lt;n&gt;  交：&lt;/n&gt;
 &lt;n&gt; &lt;/n&gt;&lt;goto id="60062" mapid="4" flagpoint="1" taskid="12116" quick="1"/&gt;&lt;/p&gt;</v>
      </c>
      <c r="AP817" s="452">
        <v>0</v>
      </c>
      <c r="AQ817" s="443">
        <v>1</v>
      </c>
      <c r="AR817" s="437">
        <v>0</v>
      </c>
      <c r="AS817" s="443">
        <v>0</v>
      </c>
      <c r="AT817" s="443">
        <v>1</v>
      </c>
      <c r="AU817" s="437">
        <v>0</v>
      </c>
      <c r="AV817" s="17">
        <f t="shared" si="106"/>
        <v>0</v>
      </c>
      <c r="AW817" s="443" t="str">
        <f t="shared" si="109"/>
        <v>{s_taskKillNpc, {60062,60062,10033,10}}</v>
      </c>
      <c r="AX817" s="439">
        <v>3</v>
      </c>
      <c r="AY817" s="443">
        <v>24</v>
      </c>
    </row>
    <row r="818" spans="1:51" s="439" customFormat="1" ht="84.75" thickBot="1" x14ac:dyDescent="0.2">
      <c r="A818" s="444">
        <v>12121</v>
      </c>
      <c r="C818" s="439" t="s">
        <v>2221</v>
      </c>
      <c r="D818" s="439">
        <v>2</v>
      </c>
      <c r="E818" s="439">
        <v>0</v>
      </c>
      <c r="F818" s="439">
        <v>4</v>
      </c>
      <c r="G818" s="120">
        <v>200</v>
      </c>
      <c r="H818" s="439">
        <v>200</v>
      </c>
      <c r="I818" s="17">
        <v>0</v>
      </c>
      <c r="J818" s="453">
        <v>0</v>
      </c>
      <c r="K818" s="439">
        <v>0</v>
      </c>
      <c r="L818" s="439">
        <v>60062</v>
      </c>
      <c r="M818" s="439" t="s">
        <v>233</v>
      </c>
      <c r="N818" s="439">
        <v>60062</v>
      </c>
      <c r="O818" s="439" t="s">
        <v>233</v>
      </c>
      <c r="Q818" s="446"/>
      <c r="R818" s="446"/>
      <c r="S818" s="446">
        <v>10034</v>
      </c>
      <c r="T818" s="446"/>
      <c r="U818" s="439">
        <v>35</v>
      </c>
      <c r="V818" s="439">
        <v>0</v>
      </c>
      <c r="W818" s="439">
        <v>0</v>
      </c>
      <c r="Z818" s="447"/>
      <c r="AB818" s="448"/>
      <c r="AC818" s="448"/>
      <c r="AD818" s="439" t="s">
        <v>3996</v>
      </c>
      <c r="AF818" s="443" t="str">
        <f t="shared" ref="AF818:AF823" si="115">"title("&amp;C818&amp;")
body(hotyellow_3(任务进程:)newline()
   狩猎goto(10034,4)，去找goto(60162,4)。
blankline()hotyellow_3(任务描述:)newline() 
space()space()space()player()，我这里有一份有关消灭燃烧平原火焰震荡者的委托单，如果你有兴趣的话，就由你来完成吧！)"</f>
        <v>title([30级]狩猎震荡者)
body(hotyellow_3(任务进程:)newline()
   狩猎goto(10034,4)，去找goto(60162,4)。
blankline()hotyellow_3(任务描述:)newline() 
space()space()space()player()，我这里有一份有关消灭燃烧平原火焰震荡者的委托单，如果你有兴趣的话，就由你来完成吧！)</v>
      </c>
      <c r="AG818" s="437" t="s">
        <v>3989</v>
      </c>
      <c r="AH818" s="439" t="s">
        <v>291</v>
      </c>
      <c r="AI818" s="439" t="s">
        <v>292</v>
      </c>
      <c r="AJ818" s="439" t="s">
        <v>6386</v>
      </c>
      <c r="AL818" s="445">
        <v>0</v>
      </c>
      <c r="AM818" s="443" t="str">
        <f t="shared" si="110"/>
        <v>&lt;p&gt;
&lt;n&gt;  狩猎：&lt;/n&gt;
 &lt;n&gt; &lt;/n&gt;&lt;goto id="10034" mapid="4" flagpoint="1" taskid="12121" quick="1"/&gt;
&lt;/p&gt;</v>
      </c>
      <c r="AN818" s="443" t="str">
        <f t="shared" si="108"/>
        <v>&lt;p&gt;
&lt;n&gt;  交：&lt;/n&gt;
 &lt;n&gt; &lt;/n&gt;&lt;goto id="60062" mapid="4" flagpoint="1" taskid="12121" quick="1"/&gt;&lt;/p&gt;</v>
      </c>
      <c r="AP818" s="439">
        <v>1</v>
      </c>
      <c r="AQ818" s="439">
        <v>0</v>
      </c>
      <c r="AR818" s="437">
        <v>0</v>
      </c>
      <c r="AS818" s="439">
        <v>0</v>
      </c>
      <c r="AT818" s="439">
        <v>1</v>
      </c>
      <c r="AU818" s="437">
        <v>0</v>
      </c>
      <c r="AV818" s="17">
        <f t="shared" si="106"/>
        <v>0</v>
      </c>
      <c r="AW818" s="439" t="str">
        <f t="shared" si="109"/>
        <v>{s_taskKillNpc, {60062,60062,10034,35}}</v>
      </c>
    </row>
    <row r="819" spans="1:51" s="443" customFormat="1" ht="84.75" thickBot="1" x14ac:dyDescent="0.2">
      <c r="A819" s="449">
        <v>12122</v>
      </c>
      <c r="C819" s="443" t="s">
        <v>2540</v>
      </c>
      <c r="D819" s="443">
        <v>2</v>
      </c>
      <c r="E819" s="443">
        <v>0</v>
      </c>
      <c r="F819" s="443">
        <v>4</v>
      </c>
      <c r="G819" s="120">
        <v>200</v>
      </c>
      <c r="H819" s="443">
        <v>200</v>
      </c>
      <c r="I819" s="17">
        <v>0</v>
      </c>
      <c r="J819" s="453">
        <v>0</v>
      </c>
      <c r="K819" s="443">
        <v>0</v>
      </c>
      <c r="L819" s="439">
        <v>60062</v>
      </c>
      <c r="M819" s="439" t="s">
        <v>233</v>
      </c>
      <c r="N819" s="439">
        <v>60062</v>
      </c>
      <c r="O819" s="439" t="s">
        <v>233</v>
      </c>
      <c r="Q819" s="440"/>
      <c r="R819" s="440"/>
      <c r="S819" s="440">
        <v>10034</v>
      </c>
      <c r="T819" s="440"/>
      <c r="U819" s="443">
        <v>35</v>
      </c>
      <c r="V819" s="443">
        <v>0</v>
      </c>
      <c r="W819" s="443">
        <v>0</v>
      </c>
      <c r="Z819" s="447">
        <f>ROUND(AY819*(30+G819^1.5)*AX819,0)</f>
        <v>68602</v>
      </c>
      <c r="AB819" s="442"/>
      <c r="AC819" s="442"/>
      <c r="AD819" s="443" t="s">
        <v>3996</v>
      </c>
      <c r="AF819" s="443" t="str">
        <f t="shared" si="115"/>
        <v>title([30级]狩猎震荡者[白])
body(hotyellow_3(任务进程:)newline()
   狩猎goto(10034,4)，去找goto(60162,4)。
blankline()hotyellow_3(任务描述:)newline() 
space()space()space()player()，我这里有一份有关消灭燃烧平原火焰震荡者的委托单，如果你有兴趣的话，就由你来完成吧！)</v>
      </c>
      <c r="AG819" s="443" t="s">
        <v>3990</v>
      </c>
      <c r="AH819" s="443" t="s">
        <v>291</v>
      </c>
      <c r="AI819" s="443" t="s">
        <v>292</v>
      </c>
      <c r="AJ819" s="443" t="s">
        <v>6386</v>
      </c>
      <c r="AL819" s="450">
        <v>0</v>
      </c>
      <c r="AM819" s="443" t="str">
        <f t="shared" si="110"/>
        <v>&lt;p&gt;
&lt;n&gt;  狩猎：&lt;/n&gt;
 &lt;n&gt; &lt;/n&gt;&lt;goto id="10034" mapid="4" flagpoint="1" taskid="12122" quick="1"/&gt;
&lt;/p&gt;</v>
      </c>
      <c r="AN819" s="443" t="str">
        <f t="shared" si="108"/>
        <v>&lt;p&gt;
&lt;n&gt;  交：&lt;/n&gt;
 &lt;n&gt; &lt;/n&gt;&lt;goto id="60062" mapid="4" flagpoint="1" taskid="12122" quick="1"/&gt;&lt;/p&gt;</v>
      </c>
      <c r="AP819" s="443">
        <v>0</v>
      </c>
      <c r="AQ819" s="443">
        <v>1</v>
      </c>
      <c r="AR819" s="437">
        <v>0</v>
      </c>
      <c r="AS819" s="443">
        <v>0</v>
      </c>
      <c r="AT819" s="443">
        <v>1</v>
      </c>
      <c r="AU819" s="437">
        <v>0</v>
      </c>
      <c r="AV819" s="17">
        <f t="shared" si="106"/>
        <v>0</v>
      </c>
      <c r="AW819" s="443" t="str">
        <f t="shared" si="109"/>
        <v>{s_taskKillNpc, {60062,60062,10034,35}}</v>
      </c>
      <c r="AX819" s="439">
        <v>1</v>
      </c>
      <c r="AY819" s="443">
        <v>24</v>
      </c>
    </row>
    <row r="820" spans="1:51" s="443" customFormat="1" ht="84.75" thickBot="1" x14ac:dyDescent="0.2">
      <c r="A820" s="449">
        <v>12123</v>
      </c>
      <c r="C820" s="443" t="s">
        <v>2565</v>
      </c>
      <c r="D820" s="443">
        <v>2</v>
      </c>
      <c r="E820" s="443">
        <v>0</v>
      </c>
      <c r="F820" s="443">
        <v>4</v>
      </c>
      <c r="G820" s="120">
        <v>200</v>
      </c>
      <c r="H820" s="443">
        <v>200</v>
      </c>
      <c r="I820" s="17">
        <v>0</v>
      </c>
      <c r="J820" s="453">
        <v>0</v>
      </c>
      <c r="K820" s="443">
        <v>0</v>
      </c>
      <c r="L820" s="439">
        <v>60062</v>
      </c>
      <c r="M820" s="439" t="s">
        <v>233</v>
      </c>
      <c r="N820" s="439">
        <v>60062</v>
      </c>
      <c r="O820" s="439" t="s">
        <v>233</v>
      </c>
      <c r="Q820" s="440"/>
      <c r="R820" s="440"/>
      <c r="S820" s="440">
        <v>10034</v>
      </c>
      <c r="T820" s="440"/>
      <c r="U820" s="443">
        <v>35</v>
      </c>
      <c r="V820" s="443">
        <v>0</v>
      </c>
      <c r="W820" s="443">
        <v>0</v>
      </c>
      <c r="Z820" s="447">
        <f>ROUND(AY820*(30+G820^1.5)*AX820,0)</f>
        <v>89183</v>
      </c>
      <c r="AB820" s="442"/>
      <c r="AC820" s="442"/>
      <c r="AD820" s="443" t="s">
        <v>3995</v>
      </c>
      <c r="AF820" s="443" t="str">
        <f t="shared" si="115"/>
        <v>title([30级]狩猎震荡者[蓝])
body(hotyellow_3(任务进程:)newline()
   狩猎goto(10034,4)，去找goto(60162,4)。
blankline()hotyellow_3(任务描述:)newline() 
space()space()space()player()，我这里有一份有关消灭燃烧平原火焰震荡者的委托单，如果你有兴趣的话，就由你来完成吧！)</v>
      </c>
      <c r="AG820" s="443" t="s">
        <v>3991</v>
      </c>
      <c r="AH820" s="443" t="s">
        <v>291</v>
      </c>
      <c r="AI820" s="443" t="s">
        <v>292</v>
      </c>
      <c r="AJ820" s="443" t="s">
        <v>6386</v>
      </c>
      <c r="AL820" s="450">
        <v>0</v>
      </c>
      <c r="AM820" s="443" t="str">
        <f t="shared" si="110"/>
        <v>&lt;p&gt;
&lt;n&gt;  狩猎：&lt;/n&gt;
 &lt;n&gt; &lt;/n&gt;&lt;goto id="10034" mapid="4" flagpoint="1" taskid="12123" quick="1"/&gt;
&lt;/p&gt;</v>
      </c>
      <c r="AN820" s="443" t="str">
        <f t="shared" si="108"/>
        <v>&lt;p&gt;
&lt;n&gt;  交：&lt;/n&gt;
 &lt;n&gt; &lt;/n&gt;&lt;goto id="60062" mapid="4" flagpoint="1" taskid="12123" quick="1"/&gt;&lt;/p&gt;</v>
      </c>
      <c r="AP820" s="443">
        <v>0</v>
      </c>
      <c r="AQ820" s="443">
        <v>1</v>
      </c>
      <c r="AR820" s="437">
        <v>0</v>
      </c>
      <c r="AS820" s="443">
        <v>0</v>
      </c>
      <c r="AT820" s="443">
        <v>1</v>
      </c>
      <c r="AU820" s="437">
        <v>0</v>
      </c>
      <c r="AV820" s="17">
        <f t="shared" si="106"/>
        <v>0</v>
      </c>
      <c r="AW820" s="443" t="str">
        <f t="shared" si="109"/>
        <v>{s_taskKillNpc, {60062,60062,10034,35}}</v>
      </c>
      <c r="AX820" s="439">
        <v>1.3</v>
      </c>
      <c r="AY820" s="443">
        <v>24</v>
      </c>
    </row>
    <row r="821" spans="1:51" s="443" customFormat="1" ht="84.75" thickBot="1" x14ac:dyDescent="0.2">
      <c r="A821" s="449">
        <v>12124</v>
      </c>
      <c r="C821" s="443" t="s">
        <v>2590</v>
      </c>
      <c r="D821" s="443">
        <v>2</v>
      </c>
      <c r="E821" s="443">
        <v>0</v>
      </c>
      <c r="F821" s="443">
        <v>4</v>
      </c>
      <c r="G821" s="120">
        <v>200</v>
      </c>
      <c r="H821" s="443">
        <v>200</v>
      </c>
      <c r="I821" s="17">
        <v>0</v>
      </c>
      <c r="J821" s="453">
        <v>0</v>
      </c>
      <c r="K821" s="443">
        <v>0</v>
      </c>
      <c r="L821" s="439">
        <v>60062</v>
      </c>
      <c r="M821" s="439" t="s">
        <v>233</v>
      </c>
      <c r="N821" s="439">
        <v>60062</v>
      </c>
      <c r="O821" s="439" t="s">
        <v>233</v>
      </c>
      <c r="Q821" s="440"/>
      <c r="R821" s="440"/>
      <c r="S821" s="440">
        <v>10034</v>
      </c>
      <c r="T821" s="440"/>
      <c r="U821" s="443">
        <v>35</v>
      </c>
      <c r="V821" s="443">
        <v>0</v>
      </c>
      <c r="W821" s="443">
        <v>0</v>
      </c>
      <c r="Z821" s="447">
        <f>ROUND(AY821*(30+G821^1.5)*AX821,0)</f>
        <v>109764</v>
      </c>
      <c r="AB821" s="442"/>
      <c r="AC821" s="442"/>
      <c r="AD821" s="443" t="s">
        <v>3995</v>
      </c>
      <c r="AF821" s="443" t="str">
        <f t="shared" si="115"/>
        <v>title([30级]狩猎震荡者[黄])
body(hotyellow_3(任务进程:)newline()
   狩猎goto(10034,4)，去找goto(60162,4)。
blankline()hotyellow_3(任务描述:)newline() 
space()space()space()player()，我这里有一份有关消灭燃烧平原火焰震荡者的委托单，如果你有兴趣的话，就由你来完成吧！)</v>
      </c>
      <c r="AG821" s="443" t="s">
        <v>3992</v>
      </c>
      <c r="AH821" s="443" t="s">
        <v>291</v>
      </c>
      <c r="AI821" s="443" t="s">
        <v>292</v>
      </c>
      <c r="AJ821" s="443" t="s">
        <v>6386</v>
      </c>
      <c r="AL821" s="450">
        <v>0</v>
      </c>
      <c r="AM821" s="443" t="str">
        <f t="shared" si="110"/>
        <v>&lt;p&gt;
&lt;n&gt;  狩猎：&lt;/n&gt;
 &lt;n&gt; &lt;/n&gt;&lt;goto id="10034" mapid="4" flagpoint="1" taskid="12124" quick="1"/&gt;
&lt;/p&gt;</v>
      </c>
      <c r="AN821" s="443" t="str">
        <f t="shared" si="108"/>
        <v>&lt;p&gt;
&lt;n&gt;  交：&lt;/n&gt;
 &lt;n&gt; &lt;/n&gt;&lt;goto id="60062" mapid="4" flagpoint="1" taskid="12124" quick="1"/&gt;&lt;/p&gt;</v>
      </c>
      <c r="AP821" s="443">
        <v>0</v>
      </c>
      <c r="AQ821" s="443">
        <v>1</v>
      </c>
      <c r="AR821" s="437">
        <v>0</v>
      </c>
      <c r="AS821" s="443">
        <v>0</v>
      </c>
      <c r="AT821" s="443">
        <v>1</v>
      </c>
      <c r="AU821" s="437">
        <v>0</v>
      </c>
      <c r="AV821" s="17">
        <f t="shared" si="106"/>
        <v>0</v>
      </c>
      <c r="AW821" s="443" t="str">
        <f t="shared" si="109"/>
        <v>{s_taskKillNpc, {60062,60062,10034,35}}</v>
      </c>
      <c r="AX821" s="439">
        <v>1.6</v>
      </c>
      <c r="AY821" s="443">
        <v>24</v>
      </c>
    </row>
    <row r="822" spans="1:51" s="443" customFormat="1" ht="84.75" thickBot="1" x14ac:dyDescent="0.2">
      <c r="A822" s="449">
        <v>12125</v>
      </c>
      <c r="C822" s="443" t="s">
        <v>2615</v>
      </c>
      <c r="D822" s="443">
        <v>2</v>
      </c>
      <c r="E822" s="443">
        <v>0</v>
      </c>
      <c r="F822" s="443">
        <v>4</v>
      </c>
      <c r="G822" s="120">
        <v>200</v>
      </c>
      <c r="H822" s="443">
        <v>200</v>
      </c>
      <c r="I822" s="17">
        <v>0</v>
      </c>
      <c r="J822" s="453">
        <v>0</v>
      </c>
      <c r="K822" s="443">
        <v>0</v>
      </c>
      <c r="L822" s="439">
        <v>60062</v>
      </c>
      <c r="M822" s="439" t="s">
        <v>233</v>
      </c>
      <c r="N822" s="439">
        <v>60062</v>
      </c>
      <c r="O822" s="439" t="s">
        <v>233</v>
      </c>
      <c r="Q822" s="440"/>
      <c r="R822" s="440"/>
      <c r="S822" s="440">
        <v>10034</v>
      </c>
      <c r="T822" s="440"/>
      <c r="U822" s="443">
        <v>35</v>
      </c>
      <c r="V822" s="443">
        <v>0</v>
      </c>
      <c r="W822" s="443">
        <v>0</v>
      </c>
      <c r="Z822" s="447">
        <f>ROUND(AY822*(30+G822^1.5)*AX822,0)</f>
        <v>150925</v>
      </c>
      <c r="AB822" s="442"/>
      <c r="AC822" s="442"/>
      <c r="AD822" s="443" t="s">
        <v>3995</v>
      </c>
      <c r="AF822" s="443" t="str">
        <f t="shared" si="115"/>
        <v>title([30级]狩猎震荡者[绿])
body(hotyellow_3(任务进程:)newline()
   狩猎goto(10034,4)，去找goto(60162,4)。
blankline()hotyellow_3(任务描述:)newline() 
space()space()space()player()，我这里有一份有关消灭燃烧平原火焰震荡者的委托单，如果你有兴趣的话，就由你来完成吧！)</v>
      </c>
      <c r="AG822" s="443" t="s">
        <v>3993</v>
      </c>
      <c r="AH822" s="443" t="s">
        <v>291</v>
      </c>
      <c r="AI822" s="443" t="s">
        <v>292</v>
      </c>
      <c r="AJ822" s="443" t="s">
        <v>6386</v>
      </c>
      <c r="AL822" s="450">
        <v>0</v>
      </c>
      <c r="AM822" s="443" t="str">
        <f t="shared" si="110"/>
        <v>&lt;p&gt;
&lt;n&gt;  狩猎：&lt;/n&gt;
 &lt;n&gt; &lt;/n&gt;&lt;goto id="10034" mapid="4" flagpoint="1" taskid="12125" quick="1"/&gt;
&lt;/p&gt;</v>
      </c>
      <c r="AN822" s="443" t="str">
        <f t="shared" si="108"/>
        <v>&lt;p&gt;
&lt;n&gt;  交：&lt;/n&gt;
 &lt;n&gt; &lt;/n&gt;&lt;goto id="60062" mapid="4" flagpoint="1" taskid="12125" quick="1"/&gt;&lt;/p&gt;</v>
      </c>
      <c r="AP822" s="443">
        <v>0</v>
      </c>
      <c r="AQ822" s="443">
        <v>1</v>
      </c>
      <c r="AR822" s="437">
        <v>0</v>
      </c>
      <c r="AS822" s="443">
        <v>0</v>
      </c>
      <c r="AT822" s="443">
        <v>1</v>
      </c>
      <c r="AU822" s="437">
        <v>0</v>
      </c>
      <c r="AV822" s="17">
        <f t="shared" si="106"/>
        <v>0</v>
      </c>
      <c r="AW822" s="443" t="str">
        <f t="shared" si="109"/>
        <v>{s_taskKillNpc, {60062,60062,10034,35}}</v>
      </c>
      <c r="AX822" s="439">
        <v>2.2000000000000002</v>
      </c>
      <c r="AY822" s="443">
        <v>24</v>
      </c>
    </row>
    <row r="823" spans="1:51" s="443" customFormat="1" ht="84.75" thickBot="1" x14ac:dyDescent="0.2">
      <c r="A823" s="449">
        <v>12126</v>
      </c>
      <c r="C823" s="443" t="s">
        <v>2640</v>
      </c>
      <c r="D823" s="443">
        <v>2</v>
      </c>
      <c r="E823" s="443">
        <v>0</v>
      </c>
      <c r="F823" s="443">
        <v>4</v>
      </c>
      <c r="G823" s="120">
        <v>200</v>
      </c>
      <c r="H823" s="443">
        <v>200</v>
      </c>
      <c r="I823" s="17">
        <v>0</v>
      </c>
      <c r="J823" s="453">
        <v>0</v>
      </c>
      <c r="K823" s="443">
        <v>0</v>
      </c>
      <c r="L823" s="439">
        <v>60062</v>
      </c>
      <c r="M823" s="439" t="s">
        <v>233</v>
      </c>
      <c r="N823" s="439">
        <v>60062</v>
      </c>
      <c r="O823" s="439" t="s">
        <v>233</v>
      </c>
      <c r="Q823" s="440"/>
      <c r="R823" s="440"/>
      <c r="S823" s="440">
        <v>10034</v>
      </c>
      <c r="T823" s="440"/>
      <c r="U823" s="443">
        <v>35</v>
      </c>
      <c r="V823" s="443">
        <v>0</v>
      </c>
      <c r="W823" s="443">
        <v>0</v>
      </c>
      <c r="Z823" s="447">
        <f>ROUND(AY823*(30+G823^1.5)*AX823,0)</f>
        <v>205807</v>
      </c>
      <c r="AB823" s="442"/>
      <c r="AC823" s="442"/>
      <c r="AD823" s="443" t="s">
        <v>3995</v>
      </c>
      <c r="AF823" s="443" t="str">
        <f t="shared" si="115"/>
        <v>title([30级]狩猎震荡者[紫])
body(hotyellow_3(任务进程:)newline()
   狩猎goto(10034,4)，去找goto(60162,4)。
blankline()hotyellow_3(任务描述:)newline() 
space()space()space()player()，我这里有一份有关消灭燃烧平原火焰震荡者的委托单，如果你有兴趣的话，就由你来完成吧！)</v>
      </c>
      <c r="AG823" s="452" t="s">
        <v>3994</v>
      </c>
      <c r="AH823" s="443" t="s">
        <v>291</v>
      </c>
      <c r="AI823" s="443" t="s">
        <v>292</v>
      </c>
      <c r="AJ823" s="443" t="s">
        <v>6386</v>
      </c>
      <c r="AL823" s="450">
        <v>0</v>
      </c>
      <c r="AM823" s="443" t="str">
        <f t="shared" si="110"/>
        <v>&lt;p&gt;
&lt;n&gt;  狩猎：&lt;/n&gt;
 &lt;n&gt; &lt;/n&gt;&lt;goto id="10034" mapid="4" flagpoint="1" taskid="12126" quick="1"/&gt;
&lt;/p&gt;</v>
      </c>
      <c r="AN823" s="443" t="str">
        <f t="shared" ref="AN823:AN854" si="116">"&lt;p&gt;
&lt;n&gt;  交：&lt;/n&gt;
 &lt;n&gt; &lt;/n&gt;&lt;goto id="""&amp;N823&amp;""" mapid="""&amp;F823&amp;""" flagpoint=""1"" taskid="""&amp;A823&amp;""" quick=""1""/&gt;&lt;/p&gt;"</f>
        <v>&lt;p&gt;
&lt;n&gt;  交：&lt;/n&gt;
 &lt;n&gt; &lt;/n&gt;&lt;goto id="60062" mapid="4" flagpoint="1" taskid="12126" quick="1"/&gt;&lt;/p&gt;</v>
      </c>
      <c r="AP823" s="452">
        <v>0</v>
      </c>
      <c r="AQ823" s="443">
        <v>1</v>
      </c>
      <c r="AR823" s="437">
        <v>0</v>
      </c>
      <c r="AS823" s="443">
        <v>0</v>
      </c>
      <c r="AT823" s="443">
        <v>1</v>
      </c>
      <c r="AU823" s="437">
        <v>0</v>
      </c>
      <c r="AV823" s="17">
        <f t="shared" si="106"/>
        <v>0</v>
      </c>
      <c r="AW823" s="443" t="str">
        <f t="shared" ref="AW823:AW854" si="117">"{s_taskKillNpc, {"&amp;L823&amp;","&amp;N823&amp;","&amp;S823&amp;","&amp;U823&amp;"}}"</f>
        <v>{s_taskKillNpc, {60062,60062,10034,35}}</v>
      </c>
      <c r="AX823" s="439">
        <v>3</v>
      </c>
      <c r="AY823" s="443">
        <v>24</v>
      </c>
    </row>
    <row r="824" spans="1:51" s="439" customFormat="1" ht="84.75" thickBot="1" x14ac:dyDescent="0.2">
      <c r="A824" s="444">
        <v>12131</v>
      </c>
      <c r="C824" s="439" t="s">
        <v>2222</v>
      </c>
      <c r="D824" s="439">
        <v>2</v>
      </c>
      <c r="E824" s="439">
        <v>0</v>
      </c>
      <c r="F824" s="439">
        <v>4</v>
      </c>
      <c r="G824" s="120">
        <v>200</v>
      </c>
      <c r="H824" s="439">
        <v>200</v>
      </c>
      <c r="I824" s="17">
        <v>0</v>
      </c>
      <c r="J824" s="453">
        <v>0</v>
      </c>
      <c r="K824" s="439">
        <v>0</v>
      </c>
      <c r="L824" s="439">
        <v>60062</v>
      </c>
      <c r="M824" s="439" t="s">
        <v>233</v>
      </c>
      <c r="N824" s="439">
        <v>60062</v>
      </c>
      <c r="O824" s="439" t="s">
        <v>233</v>
      </c>
      <c r="Q824" s="446"/>
      <c r="R824" s="446"/>
      <c r="S824" s="446">
        <v>10035</v>
      </c>
      <c r="T824" s="446"/>
      <c r="U824" s="439">
        <v>45</v>
      </c>
      <c r="V824" s="439">
        <v>0</v>
      </c>
      <c r="W824" s="439">
        <v>0</v>
      </c>
      <c r="Z824" s="447"/>
      <c r="AB824" s="448"/>
      <c r="AC824" s="448"/>
      <c r="AD824" s="439" t="s">
        <v>3995</v>
      </c>
      <c r="AF824" s="439" t="str">
        <f t="shared" ref="AF824:AF829" si="118">"title("&amp;C824&amp;")
body(hotyellow_3(任务进程:)newline()
   狩猎goto(10035,4)，去找goto(60162,4)。
blankline()hotyellow_3(任务描述:)newline() 
space()space()space()player()，我这里有一份有关消灭燃烧平原疯狂萤火虫的委托单，如果你有兴趣的话，就由你来完成吧！)"</f>
        <v>title([31级]狩猎萤火虫)
body(hotyellow_3(任务进程:)newline()
   狩猎goto(10035,4)，去找goto(60162,4)。
blankline()hotyellow_3(任务描述:)newline() 
space()space()space()player()，我这里有一份有关消灭燃烧平原疯狂萤火虫的委托单，如果你有兴趣的话，就由你来完成吧！)</v>
      </c>
      <c r="AG824" s="437" t="s">
        <v>3989</v>
      </c>
      <c r="AH824" s="439" t="s">
        <v>291</v>
      </c>
      <c r="AI824" s="439" t="s">
        <v>292</v>
      </c>
      <c r="AJ824" s="439" t="s">
        <v>6387</v>
      </c>
      <c r="AL824" s="445">
        <v>0</v>
      </c>
      <c r="AM824" s="443" t="str">
        <f t="shared" si="110"/>
        <v>&lt;p&gt;
&lt;n&gt;  狩猎：&lt;/n&gt;
 &lt;n&gt; &lt;/n&gt;&lt;goto id="10035" mapid="4" flagpoint="1" taskid="12131" quick="1"/&gt;
&lt;/p&gt;</v>
      </c>
      <c r="AN824" s="443" t="str">
        <f t="shared" si="116"/>
        <v>&lt;p&gt;
&lt;n&gt;  交：&lt;/n&gt;
 &lt;n&gt; &lt;/n&gt;&lt;goto id="60062" mapid="4" flagpoint="1" taskid="12131" quick="1"/&gt;&lt;/p&gt;</v>
      </c>
      <c r="AP824" s="439">
        <v>1</v>
      </c>
      <c r="AQ824" s="439">
        <v>0</v>
      </c>
      <c r="AR824" s="437">
        <v>0</v>
      </c>
      <c r="AS824" s="439">
        <v>0</v>
      </c>
      <c r="AT824" s="439">
        <v>1</v>
      </c>
      <c r="AU824" s="437">
        <v>0</v>
      </c>
      <c r="AV824" s="17">
        <f t="shared" si="106"/>
        <v>0</v>
      </c>
      <c r="AW824" s="439" t="str">
        <f t="shared" si="117"/>
        <v>{s_taskKillNpc, {60062,60062,10035,45}}</v>
      </c>
    </row>
    <row r="825" spans="1:51" s="443" customFormat="1" ht="84.75" thickBot="1" x14ac:dyDescent="0.2">
      <c r="A825" s="449">
        <v>12132</v>
      </c>
      <c r="C825" s="443" t="s">
        <v>2541</v>
      </c>
      <c r="D825" s="443">
        <v>2</v>
      </c>
      <c r="E825" s="443">
        <v>0</v>
      </c>
      <c r="F825" s="443">
        <v>4</v>
      </c>
      <c r="G825" s="120">
        <v>200</v>
      </c>
      <c r="H825" s="443">
        <v>200</v>
      </c>
      <c r="I825" s="17">
        <v>0</v>
      </c>
      <c r="J825" s="453">
        <v>0</v>
      </c>
      <c r="K825" s="443">
        <v>0</v>
      </c>
      <c r="L825" s="439">
        <v>60062</v>
      </c>
      <c r="M825" s="439" t="s">
        <v>233</v>
      </c>
      <c r="N825" s="439">
        <v>60062</v>
      </c>
      <c r="O825" s="439" t="s">
        <v>233</v>
      </c>
      <c r="Q825" s="440"/>
      <c r="R825" s="440"/>
      <c r="S825" s="440">
        <v>10035</v>
      </c>
      <c r="T825" s="440"/>
      <c r="U825" s="443">
        <v>45</v>
      </c>
      <c r="V825" s="443">
        <v>0</v>
      </c>
      <c r="W825" s="443">
        <v>0</v>
      </c>
      <c r="Z825" s="447">
        <f>ROUND(AY825*(30+G825^1.5)*AX825,0)</f>
        <v>85753</v>
      </c>
      <c r="AB825" s="442"/>
      <c r="AC825" s="442"/>
      <c r="AD825" s="443" t="s">
        <v>3995</v>
      </c>
      <c r="AF825" s="443" t="str">
        <f t="shared" si="118"/>
        <v>title([31级]狩猎萤火虫[白])
body(hotyellow_3(任务进程:)newline()
   狩猎goto(10035,4)，去找goto(60162,4)。
blankline()hotyellow_3(任务描述:)newline() 
space()space()space()player()，我这里有一份有关消灭燃烧平原疯狂萤火虫的委托单，如果你有兴趣的话，就由你来完成吧！)</v>
      </c>
      <c r="AG825" s="443" t="s">
        <v>3990</v>
      </c>
      <c r="AH825" s="443" t="s">
        <v>291</v>
      </c>
      <c r="AI825" s="443" t="s">
        <v>292</v>
      </c>
      <c r="AJ825" s="443" t="s">
        <v>6387</v>
      </c>
      <c r="AL825" s="450">
        <v>0</v>
      </c>
      <c r="AM825" s="443" t="str">
        <f t="shared" si="110"/>
        <v>&lt;p&gt;
&lt;n&gt;  狩猎：&lt;/n&gt;
 &lt;n&gt; &lt;/n&gt;&lt;goto id="10035" mapid="4" flagpoint="1" taskid="12132" quick="1"/&gt;
&lt;/p&gt;</v>
      </c>
      <c r="AN825" s="443" t="str">
        <f t="shared" si="116"/>
        <v>&lt;p&gt;
&lt;n&gt;  交：&lt;/n&gt;
 &lt;n&gt; &lt;/n&gt;&lt;goto id="60062" mapid="4" flagpoint="1" taskid="12132" quick="1"/&gt;&lt;/p&gt;</v>
      </c>
      <c r="AP825" s="443">
        <v>0</v>
      </c>
      <c r="AQ825" s="443">
        <v>1</v>
      </c>
      <c r="AR825" s="437">
        <v>0</v>
      </c>
      <c r="AS825" s="443">
        <v>0</v>
      </c>
      <c r="AT825" s="443">
        <v>1</v>
      </c>
      <c r="AU825" s="437">
        <v>0</v>
      </c>
      <c r="AV825" s="17">
        <f t="shared" ref="AV825:AV888" si="119">IF(D825 = 1,1,0)</f>
        <v>0</v>
      </c>
      <c r="AW825" s="443" t="str">
        <f t="shared" si="117"/>
        <v>{s_taskKillNpc, {60062,60062,10035,45}}</v>
      </c>
      <c r="AX825" s="439">
        <v>1</v>
      </c>
      <c r="AY825" s="443">
        <v>30</v>
      </c>
    </row>
    <row r="826" spans="1:51" s="443" customFormat="1" ht="84.75" thickBot="1" x14ac:dyDescent="0.2">
      <c r="A826" s="449">
        <v>12133</v>
      </c>
      <c r="C826" s="443" t="s">
        <v>2566</v>
      </c>
      <c r="D826" s="443">
        <v>2</v>
      </c>
      <c r="E826" s="443">
        <v>0</v>
      </c>
      <c r="F826" s="443">
        <v>4</v>
      </c>
      <c r="G826" s="120">
        <v>200</v>
      </c>
      <c r="H826" s="443">
        <v>200</v>
      </c>
      <c r="I826" s="17">
        <v>0</v>
      </c>
      <c r="J826" s="453">
        <v>0</v>
      </c>
      <c r="K826" s="443">
        <v>0</v>
      </c>
      <c r="L826" s="439">
        <v>60062</v>
      </c>
      <c r="M826" s="439" t="s">
        <v>233</v>
      </c>
      <c r="N826" s="439">
        <v>60062</v>
      </c>
      <c r="O826" s="439" t="s">
        <v>233</v>
      </c>
      <c r="Q826" s="440"/>
      <c r="R826" s="440"/>
      <c r="S826" s="440">
        <v>10035</v>
      </c>
      <c r="T826" s="440"/>
      <c r="U826" s="443">
        <v>45</v>
      </c>
      <c r="V826" s="443">
        <v>0</v>
      </c>
      <c r="W826" s="443">
        <v>0</v>
      </c>
      <c r="Z826" s="447">
        <f>ROUND(AY826*(30+G826^1.5)*AX826,0)</f>
        <v>111479</v>
      </c>
      <c r="AB826" s="442"/>
      <c r="AC826" s="442"/>
      <c r="AD826" s="443" t="s">
        <v>3995</v>
      </c>
      <c r="AF826" s="443" t="str">
        <f t="shared" si="118"/>
        <v>title([31级]狩猎萤火虫[蓝])
body(hotyellow_3(任务进程:)newline()
   狩猎goto(10035,4)，去找goto(60162,4)。
blankline()hotyellow_3(任务描述:)newline() 
space()space()space()player()，我这里有一份有关消灭燃烧平原疯狂萤火虫的委托单，如果你有兴趣的话，就由你来完成吧！)</v>
      </c>
      <c r="AG826" s="443" t="s">
        <v>3991</v>
      </c>
      <c r="AH826" s="443" t="s">
        <v>291</v>
      </c>
      <c r="AI826" s="443" t="s">
        <v>292</v>
      </c>
      <c r="AJ826" s="443" t="s">
        <v>6387</v>
      </c>
      <c r="AL826" s="450">
        <v>0</v>
      </c>
      <c r="AM826" s="443" t="str">
        <f t="shared" si="110"/>
        <v>&lt;p&gt;
&lt;n&gt;  狩猎：&lt;/n&gt;
 &lt;n&gt; &lt;/n&gt;&lt;goto id="10035" mapid="4" flagpoint="1" taskid="12133" quick="1"/&gt;
&lt;/p&gt;</v>
      </c>
      <c r="AN826" s="443" t="str">
        <f t="shared" si="116"/>
        <v>&lt;p&gt;
&lt;n&gt;  交：&lt;/n&gt;
 &lt;n&gt; &lt;/n&gt;&lt;goto id="60062" mapid="4" flagpoint="1" taskid="12133" quick="1"/&gt;&lt;/p&gt;</v>
      </c>
      <c r="AP826" s="443">
        <v>0</v>
      </c>
      <c r="AQ826" s="443">
        <v>1</v>
      </c>
      <c r="AR826" s="437">
        <v>0</v>
      </c>
      <c r="AS826" s="443">
        <v>0</v>
      </c>
      <c r="AT826" s="443">
        <v>1</v>
      </c>
      <c r="AU826" s="437">
        <v>0</v>
      </c>
      <c r="AV826" s="17">
        <f t="shared" si="119"/>
        <v>0</v>
      </c>
      <c r="AW826" s="443" t="str">
        <f t="shared" si="117"/>
        <v>{s_taskKillNpc, {60062,60062,10035,45}}</v>
      </c>
      <c r="AX826" s="439">
        <v>1.3</v>
      </c>
      <c r="AY826" s="443">
        <v>30</v>
      </c>
    </row>
    <row r="827" spans="1:51" s="443" customFormat="1" ht="84.75" thickBot="1" x14ac:dyDescent="0.2">
      <c r="A827" s="449">
        <v>12134</v>
      </c>
      <c r="C827" s="443" t="s">
        <v>2591</v>
      </c>
      <c r="D827" s="443">
        <v>2</v>
      </c>
      <c r="E827" s="443">
        <v>0</v>
      </c>
      <c r="F827" s="443">
        <v>4</v>
      </c>
      <c r="G827" s="120">
        <v>200</v>
      </c>
      <c r="H827" s="443">
        <v>200</v>
      </c>
      <c r="I827" s="17">
        <v>0</v>
      </c>
      <c r="J827" s="453">
        <v>0</v>
      </c>
      <c r="K827" s="443">
        <v>0</v>
      </c>
      <c r="L827" s="439">
        <v>60062</v>
      </c>
      <c r="M827" s="439" t="s">
        <v>233</v>
      </c>
      <c r="N827" s="439">
        <v>60062</v>
      </c>
      <c r="O827" s="439" t="s">
        <v>233</v>
      </c>
      <c r="Q827" s="440"/>
      <c r="R827" s="440"/>
      <c r="S827" s="440">
        <v>10035</v>
      </c>
      <c r="T827" s="440"/>
      <c r="U827" s="443">
        <v>45</v>
      </c>
      <c r="V827" s="443">
        <v>0</v>
      </c>
      <c r="W827" s="443">
        <v>0</v>
      </c>
      <c r="Z827" s="447">
        <f>ROUND(AY827*(30+G827^1.5)*AX827,0)</f>
        <v>137205</v>
      </c>
      <c r="AB827" s="442"/>
      <c r="AC827" s="442"/>
      <c r="AD827" s="443" t="s">
        <v>3995</v>
      </c>
      <c r="AF827" s="443" t="str">
        <f t="shared" si="118"/>
        <v>title([31级]狩猎萤火虫[黄])
body(hotyellow_3(任务进程:)newline()
   狩猎goto(10035,4)，去找goto(60162,4)。
blankline()hotyellow_3(任务描述:)newline() 
space()space()space()player()，我这里有一份有关消灭燃烧平原疯狂萤火虫的委托单，如果你有兴趣的话，就由你来完成吧！)</v>
      </c>
      <c r="AG827" s="443" t="s">
        <v>3992</v>
      </c>
      <c r="AH827" s="443" t="s">
        <v>291</v>
      </c>
      <c r="AI827" s="443" t="s">
        <v>292</v>
      </c>
      <c r="AJ827" s="443" t="s">
        <v>6387</v>
      </c>
      <c r="AL827" s="450">
        <v>0</v>
      </c>
      <c r="AM827" s="443" t="str">
        <f t="shared" si="110"/>
        <v>&lt;p&gt;
&lt;n&gt;  狩猎：&lt;/n&gt;
 &lt;n&gt; &lt;/n&gt;&lt;goto id="10035" mapid="4" flagpoint="1" taskid="12134" quick="1"/&gt;
&lt;/p&gt;</v>
      </c>
      <c r="AN827" s="443" t="str">
        <f t="shared" si="116"/>
        <v>&lt;p&gt;
&lt;n&gt;  交：&lt;/n&gt;
 &lt;n&gt; &lt;/n&gt;&lt;goto id="60062" mapid="4" flagpoint="1" taskid="12134" quick="1"/&gt;&lt;/p&gt;</v>
      </c>
      <c r="AP827" s="443">
        <v>0</v>
      </c>
      <c r="AQ827" s="443">
        <v>1</v>
      </c>
      <c r="AR827" s="437">
        <v>0</v>
      </c>
      <c r="AS827" s="443">
        <v>0</v>
      </c>
      <c r="AT827" s="443">
        <v>1</v>
      </c>
      <c r="AU827" s="437">
        <v>0</v>
      </c>
      <c r="AV827" s="17">
        <f t="shared" si="119"/>
        <v>0</v>
      </c>
      <c r="AW827" s="443" t="str">
        <f t="shared" si="117"/>
        <v>{s_taskKillNpc, {60062,60062,10035,45}}</v>
      </c>
      <c r="AX827" s="439">
        <v>1.6</v>
      </c>
      <c r="AY827" s="443">
        <v>30</v>
      </c>
    </row>
    <row r="828" spans="1:51" s="443" customFormat="1" ht="84.75" thickBot="1" x14ac:dyDescent="0.2">
      <c r="A828" s="449">
        <v>12135</v>
      </c>
      <c r="C828" s="443" t="s">
        <v>2616</v>
      </c>
      <c r="D828" s="443">
        <v>2</v>
      </c>
      <c r="E828" s="443">
        <v>0</v>
      </c>
      <c r="F828" s="443">
        <v>4</v>
      </c>
      <c r="G828" s="120">
        <v>200</v>
      </c>
      <c r="H828" s="443">
        <v>200</v>
      </c>
      <c r="I828" s="17">
        <v>0</v>
      </c>
      <c r="J828" s="453">
        <v>0</v>
      </c>
      <c r="K828" s="443">
        <v>0</v>
      </c>
      <c r="L828" s="439">
        <v>60062</v>
      </c>
      <c r="M828" s="439" t="s">
        <v>233</v>
      </c>
      <c r="N828" s="439">
        <v>60062</v>
      </c>
      <c r="O828" s="439" t="s">
        <v>233</v>
      </c>
      <c r="Q828" s="440"/>
      <c r="R828" s="440"/>
      <c r="S828" s="440">
        <v>10035</v>
      </c>
      <c r="T828" s="440"/>
      <c r="U828" s="443">
        <v>45</v>
      </c>
      <c r="V828" s="443">
        <v>0</v>
      </c>
      <c r="W828" s="443">
        <v>0</v>
      </c>
      <c r="Z828" s="447">
        <f>ROUND(AY828*(30+G828^1.5)*AX828,0)</f>
        <v>188656</v>
      </c>
      <c r="AB828" s="442"/>
      <c r="AC828" s="442"/>
      <c r="AD828" s="443" t="s">
        <v>3995</v>
      </c>
      <c r="AF828" s="443" t="str">
        <f t="shared" si="118"/>
        <v>title([31级]狩猎萤火虫[绿])
body(hotyellow_3(任务进程:)newline()
   狩猎goto(10035,4)，去找goto(60162,4)。
blankline()hotyellow_3(任务描述:)newline() 
space()space()space()player()，我这里有一份有关消灭燃烧平原疯狂萤火虫的委托单，如果你有兴趣的话，就由你来完成吧！)</v>
      </c>
      <c r="AG828" s="443" t="s">
        <v>3993</v>
      </c>
      <c r="AH828" s="443" t="s">
        <v>291</v>
      </c>
      <c r="AI828" s="443" t="s">
        <v>292</v>
      </c>
      <c r="AJ828" s="443" t="s">
        <v>6387</v>
      </c>
      <c r="AL828" s="450">
        <v>0</v>
      </c>
      <c r="AM828" s="443" t="str">
        <f t="shared" si="110"/>
        <v>&lt;p&gt;
&lt;n&gt;  狩猎：&lt;/n&gt;
 &lt;n&gt; &lt;/n&gt;&lt;goto id="10035" mapid="4" flagpoint="1" taskid="12135" quick="1"/&gt;
&lt;/p&gt;</v>
      </c>
      <c r="AN828" s="443" t="str">
        <f t="shared" si="116"/>
        <v>&lt;p&gt;
&lt;n&gt;  交：&lt;/n&gt;
 &lt;n&gt; &lt;/n&gt;&lt;goto id="60062" mapid="4" flagpoint="1" taskid="12135" quick="1"/&gt;&lt;/p&gt;</v>
      </c>
      <c r="AP828" s="443">
        <v>0</v>
      </c>
      <c r="AQ828" s="443">
        <v>1</v>
      </c>
      <c r="AR828" s="437">
        <v>0</v>
      </c>
      <c r="AS828" s="443">
        <v>0</v>
      </c>
      <c r="AT828" s="443">
        <v>1</v>
      </c>
      <c r="AU828" s="437">
        <v>0</v>
      </c>
      <c r="AV828" s="17">
        <f t="shared" si="119"/>
        <v>0</v>
      </c>
      <c r="AW828" s="443" t="str">
        <f t="shared" si="117"/>
        <v>{s_taskKillNpc, {60062,60062,10035,45}}</v>
      </c>
      <c r="AX828" s="439">
        <v>2.2000000000000002</v>
      </c>
      <c r="AY828" s="443">
        <v>30</v>
      </c>
    </row>
    <row r="829" spans="1:51" s="443" customFormat="1" ht="84.75" thickBot="1" x14ac:dyDescent="0.2">
      <c r="A829" s="449">
        <v>12136</v>
      </c>
      <c r="C829" s="443" t="s">
        <v>2641</v>
      </c>
      <c r="D829" s="443">
        <v>2</v>
      </c>
      <c r="E829" s="443">
        <v>0</v>
      </c>
      <c r="F829" s="443">
        <v>4</v>
      </c>
      <c r="G829" s="120">
        <v>200</v>
      </c>
      <c r="H829" s="443">
        <v>200</v>
      </c>
      <c r="I829" s="17">
        <v>0</v>
      </c>
      <c r="J829" s="453">
        <v>0</v>
      </c>
      <c r="K829" s="443">
        <v>0</v>
      </c>
      <c r="L829" s="439">
        <v>60062</v>
      </c>
      <c r="M829" s="439" t="s">
        <v>233</v>
      </c>
      <c r="N829" s="439">
        <v>60062</v>
      </c>
      <c r="O829" s="439" t="s">
        <v>233</v>
      </c>
      <c r="Q829" s="440"/>
      <c r="R829" s="440"/>
      <c r="S829" s="440">
        <v>10035</v>
      </c>
      <c r="T829" s="440"/>
      <c r="U829" s="443">
        <v>45</v>
      </c>
      <c r="V829" s="443">
        <v>0</v>
      </c>
      <c r="W829" s="443">
        <v>0</v>
      </c>
      <c r="Z829" s="447">
        <f>ROUND(AY829*(30+G829^1.5)*AX829,0)</f>
        <v>257258</v>
      </c>
      <c r="AB829" s="442"/>
      <c r="AC829" s="442"/>
      <c r="AD829" s="443" t="s">
        <v>3995</v>
      </c>
      <c r="AF829" s="443" t="str">
        <f t="shared" si="118"/>
        <v>title([31级]狩猎萤火虫[紫])
body(hotyellow_3(任务进程:)newline()
   狩猎goto(10035,4)，去找goto(60162,4)。
blankline()hotyellow_3(任务描述:)newline() 
space()space()space()player()，我这里有一份有关消灭燃烧平原疯狂萤火虫的委托单，如果你有兴趣的话，就由你来完成吧！)</v>
      </c>
      <c r="AG829" s="452" t="s">
        <v>3994</v>
      </c>
      <c r="AH829" s="443" t="s">
        <v>291</v>
      </c>
      <c r="AI829" s="443" t="s">
        <v>292</v>
      </c>
      <c r="AJ829" s="443" t="s">
        <v>6387</v>
      </c>
      <c r="AL829" s="450">
        <v>0</v>
      </c>
      <c r="AM829" s="443" t="str">
        <f t="shared" si="110"/>
        <v>&lt;p&gt;
&lt;n&gt;  狩猎：&lt;/n&gt;
 &lt;n&gt; &lt;/n&gt;&lt;goto id="10035" mapid="4" flagpoint="1" taskid="12136" quick="1"/&gt;
&lt;/p&gt;</v>
      </c>
      <c r="AN829" s="443" t="str">
        <f t="shared" si="116"/>
        <v>&lt;p&gt;
&lt;n&gt;  交：&lt;/n&gt;
 &lt;n&gt; &lt;/n&gt;&lt;goto id="60062" mapid="4" flagpoint="1" taskid="12136" quick="1"/&gt;&lt;/p&gt;</v>
      </c>
      <c r="AP829" s="452">
        <v>0</v>
      </c>
      <c r="AQ829" s="443">
        <v>1</v>
      </c>
      <c r="AR829" s="437">
        <v>0</v>
      </c>
      <c r="AS829" s="443">
        <v>0</v>
      </c>
      <c r="AT829" s="443">
        <v>1</v>
      </c>
      <c r="AU829" s="437">
        <v>0</v>
      </c>
      <c r="AV829" s="17">
        <f t="shared" si="119"/>
        <v>0</v>
      </c>
      <c r="AW829" s="443" t="str">
        <f t="shared" si="117"/>
        <v>{s_taskKillNpc, {60062,60062,10035,45}}</v>
      </c>
      <c r="AX829" s="439">
        <v>3</v>
      </c>
      <c r="AY829" s="443">
        <v>30</v>
      </c>
    </row>
    <row r="830" spans="1:51" s="439" customFormat="1" ht="84.75" thickBot="1" x14ac:dyDescent="0.2">
      <c r="A830" s="444">
        <v>12141</v>
      </c>
      <c r="C830" s="439" t="s">
        <v>2223</v>
      </c>
      <c r="D830" s="439">
        <v>2</v>
      </c>
      <c r="E830" s="439">
        <v>0</v>
      </c>
      <c r="F830" s="439">
        <v>4</v>
      </c>
      <c r="G830" s="120">
        <v>200</v>
      </c>
      <c r="H830" s="439">
        <v>200</v>
      </c>
      <c r="I830" s="17">
        <v>0</v>
      </c>
      <c r="J830" s="453">
        <v>0</v>
      </c>
      <c r="K830" s="439">
        <v>0</v>
      </c>
      <c r="L830" s="439">
        <v>60062</v>
      </c>
      <c r="M830" s="439" t="s">
        <v>233</v>
      </c>
      <c r="N830" s="439">
        <v>60062</v>
      </c>
      <c r="O830" s="439" t="s">
        <v>233</v>
      </c>
      <c r="Q830" s="446"/>
      <c r="R830" s="446"/>
      <c r="S830" s="446">
        <v>10036</v>
      </c>
      <c r="T830" s="446"/>
      <c r="U830" s="439">
        <v>45</v>
      </c>
      <c r="V830" s="439">
        <v>0</v>
      </c>
      <c r="W830" s="439">
        <v>0</v>
      </c>
      <c r="Z830" s="447"/>
      <c r="AB830" s="448"/>
      <c r="AC830" s="448"/>
      <c r="AF830" s="443" t="str">
        <f t="shared" ref="AF830:AF835" si="120">"title("&amp;C830&amp;")
body(hotyellow_3(任务进程:)newline()
   狩猎goto(10036,4)，去找goto(60162,4)。
blankline()hotyellow_3(任务描述:)newline() 
space()space()space()player()，我这里有一份有关消灭燃烧平原地狱食火者的委托单，如果你有兴趣的话，就由你来完成吧！)"</f>
        <v>title([32级]狩猎食火者)
body(hotyellow_3(任务进程:)newline()
   狩猎goto(10036,4)，去找goto(60162,4)。
blankline()hotyellow_3(任务描述:)newline() 
space()space()space()player()，我这里有一份有关消灭燃烧平原地狱食火者的委托单，如果你有兴趣的话，就由你来完成吧！)</v>
      </c>
      <c r="AG830" s="437" t="s">
        <v>3989</v>
      </c>
      <c r="AH830" s="439" t="s">
        <v>291</v>
      </c>
      <c r="AI830" s="439" t="s">
        <v>292</v>
      </c>
      <c r="AJ830" s="439" t="s">
        <v>6388</v>
      </c>
      <c r="AL830" s="445"/>
      <c r="AM830" s="443" t="str">
        <f t="shared" si="110"/>
        <v>&lt;p&gt;
&lt;n&gt;  狩猎：&lt;/n&gt;
 &lt;n&gt; &lt;/n&gt;&lt;goto id="10036" mapid="4" flagpoint="1" taskid="12141" quick="1"/&gt;
&lt;/p&gt;</v>
      </c>
      <c r="AN830" s="443" t="str">
        <f t="shared" si="116"/>
        <v>&lt;p&gt;
&lt;n&gt;  交：&lt;/n&gt;
 &lt;n&gt; &lt;/n&gt;&lt;goto id="60062" mapid="4" flagpoint="1" taskid="12141" quick="1"/&gt;&lt;/p&gt;</v>
      </c>
      <c r="AP830" s="439">
        <v>1</v>
      </c>
      <c r="AQ830" s="439">
        <v>0</v>
      </c>
      <c r="AR830" s="437">
        <v>0</v>
      </c>
      <c r="AS830" s="439">
        <v>0</v>
      </c>
      <c r="AT830" s="439">
        <v>1</v>
      </c>
      <c r="AU830" s="437">
        <v>0</v>
      </c>
      <c r="AV830" s="17">
        <f t="shared" si="119"/>
        <v>0</v>
      </c>
      <c r="AW830" s="439" t="str">
        <f t="shared" si="117"/>
        <v>{s_taskKillNpc, {60062,60062,10036,45}}</v>
      </c>
    </row>
    <row r="831" spans="1:51" s="443" customFormat="1" ht="84.75" thickBot="1" x14ac:dyDescent="0.2">
      <c r="A831" s="449">
        <v>12142</v>
      </c>
      <c r="C831" s="443" t="s">
        <v>2542</v>
      </c>
      <c r="D831" s="443">
        <v>2</v>
      </c>
      <c r="E831" s="443">
        <v>0</v>
      </c>
      <c r="F831" s="443">
        <v>4</v>
      </c>
      <c r="G831" s="120">
        <v>200</v>
      </c>
      <c r="H831" s="443">
        <v>200</v>
      </c>
      <c r="I831" s="17">
        <v>0</v>
      </c>
      <c r="J831" s="453">
        <v>0</v>
      </c>
      <c r="K831" s="443">
        <v>0</v>
      </c>
      <c r="L831" s="439">
        <v>60062</v>
      </c>
      <c r="M831" s="439" t="s">
        <v>233</v>
      </c>
      <c r="N831" s="439">
        <v>60062</v>
      </c>
      <c r="O831" s="439" t="s">
        <v>233</v>
      </c>
      <c r="Q831" s="440"/>
      <c r="R831" s="440"/>
      <c r="S831" s="440">
        <v>10036</v>
      </c>
      <c r="T831" s="440"/>
      <c r="U831" s="443">
        <v>45</v>
      </c>
      <c r="V831" s="443">
        <v>0</v>
      </c>
      <c r="W831" s="443">
        <v>0</v>
      </c>
      <c r="Z831" s="447">
        <f>ROUND(AY831*(30+G831^1.5)*AX831,0)</f>
        <v>85753</v>
      </c>
      <c r="AB831" s="442"/>
      <c r="AC831" s="442"/>
      <c r="AF831" s="443" t="str">
        <f t="shared" si="120"/>
        <v>title([32级]狩猎食火者[白])
body(hotyellow_3(任务进程:)newline()
   狩猎goto(10036,4)，去找goto(60162,4)。
blankline()hotyellow_3(任务描述:)newline() 
space()space()space()player()，我这里有一份有关消灭燃烧平原地狱食火者的委托单，如果你有兴趣的话，就由你来完成吧！)</v>
      </c>
      <c r="AG831" s="443" t="s">
        <v>3990</v>
      </c>
      <c r="AH831" s="443" t="s">
        <v>291</v>
      </c>
      <c r="AI831" s="443" t="s">
        <v>292</v>
      </c>
      <c r="AJ831" s="443" t="s">
        <v>6388</v>
      </c>
      <c r="AL831" s="450"/>
      <c r="AM831" s="443" t="str">
        <f t="shared" si="110"/>
        <v>&lt;p&gt;
&lt;n&gt;  狩猎：&lt;/n&gt;
 &lt;n&gt; &lt;/n&gt;&lt;goto id="10036" mapid="4" flagpoint="1" taskid="12142" quick="1"/&gt;
&lt;/p&gt;</v>
      </c>
      <c r="AN831" s="443" t="str">
        <f t="shared" si="116"/>
        <v>&lt;p&gt;
&lt;n&gt;  交：&lt;/n&gt;
 &lt;n&gt; &lt;/n&gt;&lt;goto id="60062" mapid="4" flagpoint="1" taskid="12142" quick="1"/&gt;&lt;/p&gt;</v>
      </c>
      <c r="AP831" s="443">
        <v>0</v>
      </c>
      <c r="AQ831" s="443">
        <v>1</v>
      </c>
      <c r="AR831" s="437">
        <v>0</v>
      </c>
      <c r="AS831" s="443">
        <v>0</v>
      </c>
      <c r="AT831" s="443">
        <v>1</v>
      </c>
      <c r="AU831" s="437">
        <v>0</v>
      </c>
      <c r="AV831" s="17">
        <f t="shared" si="119"/>
        <v>0</v>
      </c>
      <c r="AW831" s="443" t="str">
        <f t="shared" si="117"/>
        <v>{s_taskKillNpc, {60062,60062,10036,45}}</v>
      </c>
      <c r="AX831" s="439">
        <v>1</v>
      </c>
      <c r="AY831" s="443">
        <v>30</v>
      </c>
    </row>
    <row r="832" spans="1:51" s="443" customFormat="1" ht="84.75" thickBot="1" x14ac:dyDescent="0.2">
      <c r="A832" s="449">
        <v>12143</v>
      </c>
      <c r="C832" s="443" t="s">
        <v>2567</v>
      </c>
      <c r="D832" s="443">
        <v>2</v>
      </c>
      <c r="E832" s="443">
        <v>0</v>
      </c>
      <c r="F832" s="443">
        <v>4</v>
      </c>
      <c r="G832" s="120">
        <v>200</v>
      </c>
      <c r="H832" s="443">
        <v>200</v>
      </c>
      <c r="I832" s="17">
        <v>0</v>
      </c>
      <c r="J832" s="453">
        <v>0</v>
      </c>
      <c r="K832" s="443">
        <v>0</v>
      </c>
      <c r="L832" s="439">
        <v>60062</v>
      </c>
      <c r="M832" s="439" t="s">
        <v>233</v>
      </c>
      <c r="N832" s="439">
        <v>60062</v>
      </c>
      <c r="O832" s="439" t="s">
        <v>233</v>
      </c>
      <c r="Q832" s="440"/>
      <c r="R832" s="440"/>
      <c r="S832" s="440">
        <v>10036</v>
      </c>
      <c r="T832" s="440"/>
      <c r="U832" s="443">
        <v>45</v>
      </c>
      <c r="V832" s="443">
        <v>0</v>
      </c>
      <c r="W832" s="443">
        <v>0</v>
      </c>
      <c r="Z832" s="447">
        <f>ROUND(AY832*(30+G832^1.5)*AX832,0)</f>
        <v>111479</v>
      </c>
      <c r="AB832" s="442"/>
      <c r="AC832" s="442"/>
      <c r="AF832" s="443" t="str">
        <f t="shared" si="120"/>
        <v>title([32级]狩猎食火者[蓝])
body(hotyellow_3(任务进程:)newline()
   狩猎goto(10036,4)，去找goto(60162,4)。
blankline()hotyellow_3(任务描述:)newline() 
space()space()space()player()，我这里有一份有关消灭燃烧平原地狱食火者的委托单，如果你有兴趣的话，就由你来完成吧！)</v>
      </c>
      <c r="AG832" s="443" t="s">
        <v>3991</v>
      </c>
      <c r="AH832" s="443" t="s">
        <v>291</v>
      </c>
      <c r="AI832" s="443" t="s">
        <v>292</v>
      </c>
      <c r="AJ832" s="443" t="s">
        <v>6388</v>
      </c>
      <c r="AL832" s="450"/>
      <c r="AM832" s="443" t="str">
        <f t="shared" si="110"/>
        <v>&lt;p&gt;
&lt;n&gt;  狩猎：&lt;/n&gt;
 &lt;n&gt; &lt;/n&gt;&lt;goto id="10036" mapid="4" flagpoint="1" taskid="12143" quick="1"/&gt;
&lt;/p&gt;</v>
      </c>
      <c r="AN832" s="443" t="str">
        <f t="shared" si="116"/>
        <v>&lt;p&gt;
&lt;n&gt;  交：&lt;/n&gt;
 &lt;n&gt; &lt;/n&gt;&lt;goto id="60062" mapid="4" flagpoint="1" taskid="12143" quick="1"/&gt;&lt;/p&gt;</v>
      </c>
      <c r="AP832" s="443">
        <v>0</v>
      </c>
      <c r="AQ832" s="443">
        <v>1</v>
      </c>
      <c r="AR832" s="437">
        <v>0</v>
      </c>
      <c r="AS832" s="443">
        <v>0</v>
      </c>
      <c r="AT832" s="443">
        <v>1</v>
      </c>
      <c r="AU832" s="437">
        <v>0</v>
      </c>
      <c r="AV832" s="17">
        <f t="shared" si="119"/>
        <v>0</v>
      </c>
      <c r="AW832" s="443" t="str">
        <f t="shared" si="117"/>
        <v>{s_taskKillNpc, {60062,60062,10036,45}}</v>
      </c>
      <c r="AX832" s="439">
        <v>1.3</v>
      </c>
      <c r="AY832" s="443">
        <v>30</v>
      </c>
    </row>
    <row r="833" spans="1:51" s="443" customFormat="1" ht="84.75" thickBot="1" x14ac:dyDescent="0.2">
      <c r="A833" s="449">
        <v>12144</v>
      </c>
      <c r="C833" s="443" t="s">
        <v>2592</v>
      </c>
      <c r="D833" s="443">
        <v>2</v>
      </c>
      <c r="E833" s="443">
        <v>0</v>
      </c>
      <c r="F833" s="443">
        <v>4</v>
      </c>
      <c r="G833" s="120">
        <v>200</v>
      </c>
      <c r="H833" s="443">
        <v>200</v>
      </c>
      <c r="I833" s="17">
        <v>0</v>
      </c>
      <c r="J833" s="453">
        <v>0</v>
      </c>
      <c r="K833" s="443">
        <v>0</v>
      </c>
      <c r="L833" s="439">
        <v>60062</v>
      </c>
      <c r="M833" s="439" t="s">
        <v>233</v>
      </c>
      <c r="N833" s="439">
        <v>60062</v>
      </c>
      <c r="O833" s="439" t="s">
        <v>233</v>
      </c>
      <c r="Q833" s="440"/>
      <c r="R833" s="440"/>
      <c r="S833" s="440">
        <v>10036</v>
      </c>
      <c r="T833" s="440"/>
      <c r="U833" s="443">
        <v>45</v>
      </c>
      <c r="V833" s="443">
        <v>0</v>
      </c>
      <c r="W833" s="443">
        <v>0</v>
      </c>
      <c r="Z833" s="447">
        <f>ROUND(AY833*(30+G833^1.5)*AX833,0)</f>
        <v>137205</v>
      </c>
      <c r="AB833" s="442"/>
      <c r="AC833" s="442"/>
      <c r="AF833" s="443" t="str">
        <f t="shared" si="120"/>
        <v>title([32级]狩猎食火者[黄])
body(hotyellow_3(任务进程:)newline()
   狩猎goto(10036,4)，去找goto(60162,4)。
blankline()hotyellow_3(任务描述:)newline() 
space()space()space()player()，我这里有一份有关消灭燃烧平原地狱食火者的委托单，如果你有兴趣的话，就由你来完成吧！)</v>
      </c>
      <c r="AG833" s="443" t="s">
        <v>3992</v>
      </c>
      <c r="AH833" s="443" t="s">
        <v>291</v>
      </c>
      <c r="AI833" s="443" t="s">
        <v>292</v>
      </c>
      <c r="AJ833" s="443" t="s">
        <v>6388</v>
      </c>
      <c r="AL833" s="450"/>
      <c r="AM833" s="443" t="str">
        <f t="shared" si="110"/>
        <v>&lt;p&gt;
&lt;n&gt;  狩猎：&lt;/n&gt;
 &lt;n&gt; &lt;/n&gt;&lt;goto id="10036" mapid="4" flagpoint="1" taskid="12144" quick="1"/&gt;
&lt;/p&gt;</v>
      </c>
      <c r="AN833" s="443" t="str">
        <f t="shared" si="116"/>
        <v>&lt;p&gt;
&lt;n&gt;  交：&lt;/n&gt;
 &lt;n&gt; &lt;/n&gt;&lt;goto id="60062" mapid="4" flagpoint="1" taskid="12144" quick="1"/&gt;&lt;/p&gt;</v>
      </c>
      <c r="AP833" s="443">
        <v>0</v>
      </c>
      <c r="AQ833" s="443">
        <v>1</v>
      </c>
      <c r="AR833" s="437">
        <v>0</v>
      </c>
      <c r="AS833" s="443">
        <v>0</v>
      </c>
      <c r="AT833" s="443">
        <v>1</v>
      </c>
      <c r="AU833" s="437">
        <v>0</v>
      </c>
      <c r="AV833" s="17">
        <f t="shared" si="119"/>
        <v>0</v>
      </c>
      <c r="AW833" s="443" t="str">
        <f t="shared" si="117"/>
        <v>{s_taskKillNpc, {60062,60062,10036,45}}</v>
      </c>
      <c r="AX833" s="439">
        <v>1.6</v>
      </c>
      <c r="AY833" s="443">
        <v>30</v>
      </c>
    </row>
    <row r="834" spans="1:51" s="443" customFormat="1" ht="84.75" thickBot="1" x14ac:dyDescent="0.2">
      <c r="A834" s="449">
        <v>12145</v>
      </c>
      <c r="C834" s="443" t="s">
        <v>2617</v>
      </c>
      <c r="D834" s="443">
        <v>2</v>
      </c>
      <c r="E834" s="443">
        <v>0</v>
      </c>
      <c r="F834" s="443">
        <v>4</v>
      </c>
      <c r="G834" s="120">
        <v>200</v>
      </c>
      <c r="H834" s="443">
        <v>200</v>
      </c>
      <c r="I834" s="17">
        <v>0</v>
      </c>
      <c r="J834" s="453">
        <v>0</v>
      </c>
      <c r="K834" s="443">
        <v>0</v>
      </c>
      <c r="L834" s="439">
        <v>60062</v>
      </c>
      <c r="M834" s="439" t="s">
        <v>233</v>
      </c>
      <c r="N834" s="439">
        <v>60062</v>
      </c>
      <c r="O834" s="439" t="s">
        <v>233</v>
      </c>
      <c r="Q834" s="440"/>
      <c r="R834" s="440"/>
      <c r="S834" s="440">
        <v>10036</v>
      </c>
      <c r="T834" s="440"/>
      <c r="U834" s="443">
        <v>45</v>
      </c>
      <c r="V834" s="443">
        <v>0</v>
      </c>
      <c r="W834" s="443">
        <v>0</v>
      </c>
      <c r="Z834" s="447">
        <f>ROUND(AY834*(30+G834^1.5)*AX834,0)</f>
        <v>188656</v>
      </c>
      <c r="AB834" s="442"/>
      <c r="AC834" s="442"/>
      <c r="AF834" s="443" t="str">
        <f t="shared" si="120"/>
        <v>title([32级]狩猎食火者[绿])
body(hotyellow_3(任务进程:)newline()
   狩猎goto(10036,4)，去找goto(60162,4)。
blankline()hotyellow_3(任务描述:)newline() 
space()space()space()player()，我这里有一份有关消灭燃烧平原地狱食火者的委托单，如果你有兴趣的话，就由你来完成吧！)</v>
      </c>
      <c r="AG834" s="443" t="s">
        <v>3993</v>
      </c>
      <c r="AH834" s="443" t="s">
        <v>291</v>
      </c>
      <c r="AI834" s="443" t="s">
        <v>292</v>
      </c>
      <c r="AJ834" s="443" t="s">
        <v>6388</v>
      </c>
      <c r="AL834" s="450"/>
      <c r="AM834" s="443" t="str">
        <f t="shared" si="110"/>
        <v>&lt;p&gt;
&lt;n&gt;  狩猎：&lt;/n&gt;
 &lt;n&gt; &lt;/n&gt;&lt;goto id="10036" mapid="4" flagpoint="1" taskid="12145" quick="1"/&gt;
&lt;/p&gt;</v>
      </c>
      <c r="AN834" s="443" t="str">
        <f t="shared" si="116"/>
        <v>&lt;p&gt;
&lt;n&gt;  交：&lt;/n&gt;
 &lt;n&gt; &lt;/n&gt;&lt;goto id="60062" mapid="4" flagpoint="1" taskid="12145" quick="1"/&gt;&lt;/p&gt;</v>
      </c>
      <c r="AP834" s="443">
        <v>0</v>
      </c>
      <c r="AQ834" s="443">
        <v>1</v>
      </c>
      <c r="AR834" s="437">
        <v>0</v>
      </c>
      <c r="AS834" s="443">
        <v>0</v>
      </c>
      <c r="AT834" s="443">
        <v>1</v>
      </c>
      <c r="AU834" s="437">
        <v>0</v>
      </c>
      <c r="AV834" s="17">
        <f t="shared" si="119"/>
        <v>0</v>
      </c>
      <c r="AW834" s="443" t="str">
        <f t="shared" si="117"/>
        <v>{s_taskKillNpc, {60062,60062,10036,45}}</v>
      </c>
      <c r="AX834" s="439">
        <v>2.2000000000000002</v>
      </c>
      <c r="AY834" s="443">
        <v>30</v>
      </c>
    </row>
    <row r="835" spans="1:51" s="443" customFormat="1" ht="84.75" thickBot="1" x14ac:dyDescent="0.2">
      <c r="A835" s="449">
        <v>12146</v>
      </c>
      <c r="C835" s="443" t="s">
        <v>2642</v>
      </c>
      <c r="D835" s="443">
        <v>2</v>
      </c>
      <c r="E835" s="443">
        <v>0</v>
      </c>
      <c r="F835" s="443">
        <v>4</v>
      </c>
      <c r="G835" s="120">
        <v>200</v>
      </c>
      <c r="H835" s="443">
        <v>200</v>
      </c>
      <c r="I835" s="17">
        <v>0</v>
      </c>
      <c r="J835" s="453">
        <v>0</v>
      </c>
      <c r="K835" s="443">
        <v>0</v>
      </c>
      <c r="L835" s="439">
        <v>60062</v>
      </c>
      <c r="M835" s="439" t="s">
        <v>233</v>
      </c>
      <c r="N835" s="439">
        <v>60062</v>
      </c>
      <c r="O835" s="439" t="s">
        <v>233</v>
      </c>
      <c r="Q835" s="440"/>
      <c r="R835" s="440"/>
      <c r="S835" s="440">
        <v>10036</v>
      </c>
      <c r="T835" s="440"/>
      <c r="U835" s="443">
        <v>45</v>
      </c>
      <c r="V835" s="443">
        <v>0</v>
      </c>
      <c r="W835" s="443">
        <v>0</v>
      </c>
      <c r="Z835" s="447">
        <f>ROUND(AY835*(30+G835^1.5)*AX835,0)</f>
        <v>257258</v>
      </c>
      <c r="AB835" s="442"/>
      <c r="AC835" s="442"/>
      <c r="AF835" s="443" t="str">
        <f t="shared" si="120"/>
        <v>title([32级]狩猎食火者[紫])
body(hotyellow_3(任务进程:)newline()
   狩猎goto(10036,4)，去找goto(60162,4)。
blankline()hotyellow_3(任务描述:)newline() 
space()space()space()player()，我这里有一份有关消灭燃烧平原地狱食火者的委托单，如果你有兴趣的话，就由你来完成吧！)</v>
      </c>
      <c r="AG835" s="452" t="s">
        <v>3994</v>
      </c>
      <c r="AH835" s="443" t="s">
        <v>291</v>
      </c>
      <c r="AI835" s="443" t="s">
        <v>292</v>
      </c>
      <c r="AJ835" s="443" t="s">
        <v>6388</v>
      </c>
      <c r="AL835" s="450"/>
      <c r="AM835" s="443" t="str">
        <f t="shared" si="110"/>
        <v>&lt;p&gt;
&lt;n&gt;  狩猎：&lt;/n&gt;
 &lt;n&gt; &lt;/n&gt;&lt;goto id="10036" mapid="4" flagpoint="1" taskid="12146" quick="1"/&gt;
&lt;/p&gt;</v>
      </c>
      <c r="AN835" s="443" t="str">
        <f t="shared" si="116"/>
        <v>&lt;p&gt;
&lt;n&gt;  交：&lt;/n&gt;
 &lt;n&gt; &lt;/n&gt;&lt;goto id="60062" mapid="4" flagpoint="1" taskid="12146" quick="1"/&gt;&lt;/p&gt;</v>
      </c>
      <c r="AP835" s="452">
        <v>0</v>
      </c>
      <c r="AQ835" s="443">
        <v>1</v>
      </c>
      <c r="AR835" s="437">
        <v>0</v>
      </c>
      <c r="AS835" s="443">
        <v>0</v>
      </c>
      <c r="AT835" s="443">
        <v>1</v>
      </c>
      <c r="AU835" s="437">
        <v>0</v>
      </c>
      <c r="AV835" s="17">
        <f t="shared" si="119"/>
        <v>0</v>
      </c>
      <c r="AW835" s="443" t="str">
        <f t="shared" si="117"/>
        <v>{s_taskKillNpc, {60062,60062,10036,45}}</v>
      </c>
      <c r="AX835" s="439">
        <v>3</v>
      </c>
      <c r="AY835" s="443">
        <v>30</v>
      </c>
    </row>
    <row r="836" spans="1:51" s="456" customFormat="1" ht="84.75" thickBot="1" x14ac:dyDescent="0.2">
      <c r="A836" s="444">
        <v>12151</v>
      </c>
      <c r="B836" s="439"/>
      <c r="C836" s="439" t="s">
        <v>3280</v>
      </c>
      <c r="D836" s="439">
        <v>2</v>
      </c>
      <c r="E836" s="439">
        <v>0</v>
      </c>
      <c r="F836" s="439">
        <v>4</v>
      </c>
      <c r="G836" s="120">
        <v>200</v>
      </c>
      <c r="H836" s="439">
        <v>200</v>
      </c>
      <c r="I836" s="17">
        <v>0</v>
      </c>
      <c r="J836" s="453">
        <v>0</v>
      </c>
      <c r="K836" s="439">
        <v>0</v>
      </c>
      <c r="L836" s="439">
        <v>60062</v>
      </c>
      <c r="M836" s="439" t="s">
        <v>233</v>
      </c>
      <c r="N836" s="439">
        <v>60062</v>
      </c>
      <c r="O836" s="439" t="s">
        <v>233</v>
      </c>
      <c r="P836" s="439"/>
      <c r="Q836" s="446"/>
      <c r="R836" s="446"/>
      <c r="S836" s="446">
        <v>10037</v>
      </c>
      <c r="T836" s="446"/>
      <c r="U836" s="439">
        <v>45</v>
      </c>
      <c r="V836" s="439">
        <v>0</v>
      </c>
      <c r="W836" s="439">
        <v>0</v>
      </c>
      <c r="X836" s="439"/>
      <c r="Y836" s="439"/>
      <c r="Z836" s="447"/>
      <c r="AA836" s="439"/>
      <c r="AB836" s="448"/>
      <c r="AC836" s="448"/>
      <c r="AD836" s="439"/>
      <c r="AE836" s="439"/>
      <c r="AF836" s="443" t="str">
        <f t="shared" ref="AF836:AF841" si="121">"title("&amp;C836&amp;")
body(hotyellow_3(任务进程:)newline()
   狩猎goto(10037,4)，去找goto(60162,4)。
blankline()hotyellow_3(任务描述:)newline() 
space()space()space()player()，我这里有一份有关消灭燃烧平原爆裂火焰守卫的委托单，如果你有兴趣的话，就由你来完成吧！)"</f>
        <v>title([34级]狩猎火焰守卫)
body(hotyellow_3(任务进程:)newline()
   狩猎goto(10037,4)，去找goto(60162,4)。
blankline()hotyellow_3(任务描述:)newline() 
space()space()space()player()，我这里有一份有关消灭燃烧平原爆裂火焰守卫的委托单，如果你有兴趣的话，就由你来完成吧！)</v>
      </c>
      <c r="AG836" s="437" t="s">
        <v>3989</v>
      </c>
      <c r="AH836" s="439" t="s">
        <v>291</v>
      </c>
      <c r="AI836" s="439" t="s">
        <v>292</v>
      </c>
      <c r="AJ836" s="439" t="s">
        <v>6389</v>
      </c>
      <c r="AK836" s="439"/>
      <c r="AL836" s="445">
        <v>0</v>
      </c>
      <c r="AM836" s="443" t="str">
        <f t="shared" si="110"/>
        <v>&lt;p&gt;
&lt;n&gt;  狩猎：&lt;/n&gt;
 &lt;n&gt; &lt;/n&gt;&lt;goto id="10037" mapid="4" flagpoint="1" taskid="12151" quick="1"/&gt;
&lt;/p&gt;</v>
      </c>
      <c r="AN836" s="443" t="str">
        <f t="shared" si="116"/>
        <v>&lt;p&gt;
&lt;n&gt;  交：&lt;/n&gt;
 &lt;n&gt; &lt;/n&gt;&lt;goto id="60062" mapid="4" flagpoint="1" taskid="12151" quick="1"/&gt;&lt;/p&gt;</v>
      </c>
      <c r="AO836" s="439"/>
      <c r="AP836" s="439">
        <v>1</v>
      </c>
      <c r="AQ836" s="439">
        <v>0</v>
      </c>
      <c r="AR836" s="437">
        <v>0</v>
      </c>
      <c r="AS836" s="439">
        <v>0</v>
      </c>
      <c r="AT836" s="439">
        <v>1</v>
      </c>
      <c r="AU836" s="437">
        <v>0</v>
      </c>
      <c r="AV836" s="17">
        <f t="shared" si="119"/>
        <v>0</v>
      </c>
      <c r="AW836" s="439" t="str">
        <f t="shared" si="117"/>
        <v>{s_taskKillNpc, {60062,60062,10037,45}}</v>
      </c>
      <c r="AX836" s="439"/>
    </row>
    <row r="837" spans="1:51" s="457" customFormat="1" ht="84.75" thickBot="1" x14ac:dyDescent="0.2">
      <c r="A837" s="449">
        <v>12152</v>
      </c>
      <c r="B837" s="443"/>
      <c r="C837" s="443" t="s">
        <v>3281</v>
      </c>
      <c r="D837" s="443">
        <v>2</v>
      </c>
      <c r="E837" s="443">
        <v>0</v>
      </c>
      <c r="F837" s="443">
        <v>4</v>
      </c>
      <c r="G837" s="120">
        <v>200</v>
      </c>
      <c r="H837" s="443">
        <v>200</v>
      </c>
      <c r="I837" s="17">
        <v>0</v>
      </c>
      <c r="J837" s="453">
        <v>0</v>
      </c>
      <c r="K837" s="443">
        <v>0</v>
      </c>
      <c r="L837" s="439">
        <v>60062</v>
      </c>
      <c r="M837" s="439" t="s">
        <v>233</v>
      </c>
      <c r="N837" s="439">
        <v>60062</v>
      </c>
      <c r="O837" s="439" t="s">
        <v>233</v>
      </c>
      <c r="P837" s="443"/>
      <c r="Q837" s="440"/>
      <c r="R837" s="440"/>
      <c r="S837" s="440">
        <v>10037</v>
      </c>
      <c r="T837" s="440"/>
      <c r="U837" s="443">
        <v>45</v>
      </c>
      <c r="V837" s="443">
        <v>0</v>
      </c>
      <c r="W837" s="443">
        <v>0</v>
      </c>
      <c r="X837" s="443"/>
      <c r="Y837" s="443"/>
      <c r="Z837" s="447">
        <f>ROUND(AY837*(30+G837^1.5)*AX837,0)</f>
        <v>85753</v>
      </c>
      <c r="AA837" s="443"/>
      <c r="AB837" s="442"/>
      <c r="AC837" s="442"/>
      <c r="AD837" s="443"/>
      <c r="AE837" s="443"/>
      <c r="AF837" s="443" t="str">
        <f t="shared" si="121"/>
        <v>title([34级]狩猎火焰守卫[白])
body(hotyellow_3(任务进程:)newline()
   狩猎goto(10037,4)，去找goto(60162,4)。
blankline()hotyellow_3(任务描述:)newline() 
space()space()space()player()，我这里有一份有关消灭燃烧平原爆裂火焰守卫的委托单，如果你有兴趣的话，就由你来完成吧！)</v>
      </c>
      <c r="AG837" s="443" t="s">
        <v>3990</v>
      </c>
      <c r="AH837" s="443" t="s">
        <v>291</v>
      </c>
      <c r="AI837" s="443" t="s">
        <v>292</v>
      </c>
      <c r="AJ837" s="443" t="s">
        <v>6389</v>
      </c>
      <c r="AK837" s="443"/>
      <c r="AL837" s="450">
        <v>0</v>
      </c>
      <c r="AM837" s="443" t="str">
        <f t="shared" si="110"/>
        <v>&lt;p&gt;
&lt;n&gt;  狩猎：&lt;/n&gt;
 &lt;n&gt; &lt;/n&gt;&lt;goto id="10037" mapid="4" flagpoint="1" taskid="12152" quick="1"/&gt;
&lt;/p&gt;</v>
      </c>
      <c r="AN837" s="443" t="str">
        <f t="shared" si="116"/>
        <v>&lt;p&gt;
&lt;n&gt;  交：&lt;/n&gt;
 &lt;n&gt; &lt;/n&gt;&lt;goto id="60062" mapid="4" flagpoint="1" taskid="12152" quick="1"/&gt;&lt;/p&gt;</v>
      </c>
      <c r="AO837" s="443"/>
      <c r="AP837" s="443">
        <v>0</v>
      </c>
      <c r="AQ837" s="443">
        <v>1</v>
      </c>
      <c r="AR837" s="437">
        <v>0</v>
      </c>
      <c r="AS837" s="443">
        <v>0</v>
      </c>
      <c r="AT837" s="443">
        <v>1</v>
      </c>
      <c r="AU837" s="437">
        <v>0</v>
      </c>
      <c r="AV837" s="17">
        <f t="shared" si="119"/>
        <v>0</v>
      </c>
      <c r="AW837" s="443" t="str">
        <f t="shared" si="117"/>
        <v>{s_taskKillNpc, {60062,60062,10037,45}}</v>
      </c>
      <c r="AX837" s="439">
        <v>1</v>
      </c>
      <c r="AY837" s="443">
        <v>30</v>
      </c>
    </row>
    <row r="838" spans="1:51" s="457" customFormat="1" ht="84.75" thickBot="1" x14ac:dyDescent="0.2">
      <c r="A838" s="449">
        <v>12153</v>
      </c>
      <c r="B838" s="443"/>
      <c r="C838" s="443" t="s">
        <v>3282</v>
      </c>
      <c r="D838" s="443">
        <v>2</v>
      </c>
      <c r="E838" s="443">
        <v>0</v>
      </c>
      <c r="F838" s="443">
        <v>4</v>
      </c>
      <c r="G838" s="120">
        <v>200</v>
      </c>
      <c r="H838" s="443">
        <v>200</v>
      </c>
      <c r="I838" s="17">
        <v>0</v>
      </c>
      <c r="J838" s="453">
        <v>0</v>
      </c>
      <c r="K838" s="443">
        <v>0</v>
      </c>
      <c r="L838" s="439">
        <v>60062</v>
      </c>
      <c r="M838" s="439" t="s">
        <v>233</v>
      </c>
      <c r="N838" s="439">
        <v>60062</v>
      </c>
      <c r="O838" s="439" t="s">
        <v>233</v>
      </c>
      <c r="P838" s="443"/>
      <c r="Q838" s="440"/>
      <c r="R838" s="440"/>
      <c r="S838" s="440">
        <v>10037</v>
      </c>
      <c r="T838" s="440"/>
      <c r="U838" s="443">
        <v>45</v>
      </c>
      <c r="V838" s="443">
        <v>0</v>
      </c>
      <c r="W838" s="443">
        <v>0</v>
      </c>
      <c r="X838" s="443"/>
      <c r="Y838" s="443"/>
      <c r="Z838" s="447">
        <f>ROUND(AY838*(30+G838^1.5)*AX838,0)</f>
        <v>111479</v>
      </c>
      <c r="AA838" s="443"/>
      <c r="AB838" s="442"/>
      <c r="AC838" s="442"/>
      <c r="AD838" s="443"/>
      <c r="AE838" s="443"/>
      <c r="AF838" s="443" t="str">
        <f t="shared" si="121"/>
        <v>title([34级]狩猎火焰守卫[蓝])
body(hotyellow_3(任务进程:)newline()
   狩猎goto(10037,4)，去找goto(60162,4)。
blankline()hotyellow_3(任务描述:)newline() 
space()space()space()player()，我这里有一份有关消灭燃烧平原爆裂火焰守卫的委托单，如果你有兴趣的话，就由你来完成吧！)</v>
      </c>
      <c r="AG838" s="443" t="s">
        <v>3991</v>
      </c>
      <c r="AH838" s="443" t="s">
        <v>291</v>
      </c>
      <c r="AI838" s="443" t="s">
        <v>292</v>
      </c>
      <c r="AJ838" s="443" t="s">
        <v>6389</v>
      </c>
      <c r="AK838" s="443"/>
      <c r="AL838" s="450">
        <v>0</v>
      </c>
      <c r="AM838" s="443" t="str">
        <f t="shared" si="110"/>
        <v>&lt;p&gt;
&lt;n&gt;  狩猎：&lt;/n&gt;
 &lt;n&gt; &lt;/n&gt;&lt;goto id="10037" mapid="4" flagpoint="1" taskid="12153" quick="1"/&gt;
&lt;/p&gt;</v>
      </c>
      <c r="AN838" s="443" t="str">
        <f t="shared" si="116"/>
        <v>&lt;p&gt;
&lt;n&gt;  交：&lt;/n&gt;
 &lt;n&gt; &lt;/n&gt;&lt;goto id="60062" mapid="4" flagpoint="1" taskid="12153" quick="1"/&gt;&lt;/p&gt;</v>
      </c>
      <c r="AO838" s="443"/>
      <c r="AP838" s="443">
        <v>0</v>
      </c>
      <c r="AQ838" s="443">
        <v>1</v>
      </c>
      <c r="AR838" s="437">
        <v>0</v>
      </c>
      <c r="AS838" s="443">
        <v>0</v>
      </c>
      <c r="AT838" s="443">
        <v>1</v>
      </c>
      <c r="AU838" s="437">
        <v>0</v>
      </c>
      <c r="AV838" s="17">
        <f t="shared" si="119"/>
        <v>0</v>
      </c>
      <c r="AW838" s="443" t="str">
        <f t="shared" si="117"/>
        <v>{s_taskKillNpc, {60062,60062,10037,45}}</v>
      </c>
      <c r="AX838" s="439">
        <v>1.3</v>
      </c>
      <c r="AY838" s="443">
        <v>30</v>
      </c>
    </row>
    <row r="839" spans="1:51" s="457" customFormat="1" ht="84.75" thickBot="1" x14ac:dyDescent="0.2">
      <c r="A839" s="449">
        <v>12154</v>
      </c>
      <c r="B839" s="443"/>
      <c r="C839" s="443" t="s">
        <v>3283</v>
      </c>
      <c r="D839" s="443">
        <v>2</v>
      </c>
      <c r="E839" s="443">
        <v>0</v>
      </c>
      <c r="F839" s="443">
        <v>4</v>
      </c>
      <c r="G839" s="120">
        <v>200</v>
      </c>
      <c r="H839" s="443">
        <v>200</v>
      </c>
      <c r="I839" s="17">
        <v>0</v>
      </c>
      <c r="J839" s="453">
        <v>0</v>
      </c>
      <c r="K839" s="443">
        <v>0</v>
      </c>
      <c r="L839" s="439">
        <v>60062</v>
      </c>
      <c r="M839" s="439" t="s">
        <v>233</v>
      </c>
      <c r="N839" s="439">
        <v>60062</v>
      </c>
      <c r="O839" s="439" t="s">
        <v>233</v>
      </c>
      <c r="P839" s="443"/>
      <c r="Q839" s="440"/>
      <c r="R839" s="440"/>
      <c r="S839" s="440">
        <v>10037</v>
      </c>
      <c r="T839" s="440"/>
      <c r="U839" s="443">
        <v>45</v>
      </c>
      <c r="V839" s="443">
        <v>0</v>
      </c>
      <c r="W839" s="443">
        <v>0</v>
      </c>
      <c r="X839" s="443"/>
      <c r="Y839" s="443"/>
      <c r="Z839" s="447">
        <f>ROUND(AY839*(30+G839^1.5)*AX839,0)</f>
        <v>137205</v>
      </c>
      <c r="AA839" s="443"/>
      <c r="AB839" s="442"/>
      <c r="AC839" s="442"/>
      <c r="AD839" s="443"/>
      <c r="AE839" s="443"/>
      <c r="AF839" s="443" t="str">
        <f t="shared" si="121"/>
        <v>title([34级]狩猎火焰守卫[黄])
body(hotyellow_3(任务进程:)newline()
   狩猎goto(10037,4)，去找goto(60162,4)。
blankline()hotyellow_3(任务描述:)newline() 
space()space()space()player()，我这里有一份有关消灭燃烧平原爆裂火焰守卫的委托单，如果你有兴趣的话，就由你来完成吧！)</v>
      </c>
      <c r="AG839" s="443" t="s">
        <v>3992</v>
      </c>
      <c r="AH839" s="443" t="s">
        <v>291</v>
      </c>
      <c r="AI839" s="443" t="s">
        <v>292</v>
      </c>
      <c r="AJ839" s="443" t="s">
        <v>6389</v>
      </c>
      <c r="AK839" s="443"/>
      <c r="AL839" s="450">
        <v>0</v>
      </c>
      <c r="AM839" s="443" t="str">
        <f t="shared" si="110"/>
        <v>&lt;p&gt;
&lt;n&gt;  狩猎：&lt;/n&gt;
 &lt;n&gt; &lt;/n&gt;&lt;goto id="10037" mapid="4" flagpoint="1" taskid="12154" quick="1"/&gt;
&lt;/p&gt;</v>
      </c>
      <c r="AN839" s="443" t="str">
        <f t="shared" si="116"/>
        <v>&lt;p&gt;
&lt;n&gt;  交：&lt;/n&gt;
 &lt;n&gt; &lt;/n&gt;&lt;goto id="60062" mapid="4" flagpoint="1" taskid="12154" quick="1"/&gt;&lt;/p&gt;</v>
      </c>
      <c r="AO839" s="443"/>
      <c r="AP839" s="443">
        <v>0</v>
      </c>
      <c r="AQ839" s="443">
        <v>1</v>
      </c>
      <c r="AR839" s="437">
        <v>0</v>
      </c>
      <c r="AS839" s="443">
        <v>0</v>
      </c>
      <c r="AT839" s="443">
        <v>1</v>
      </c>
      <c r="AU839" s="437">
        <v>0</v>
      </c>
      <c r="AV839" s="17">
        <f t="shared" si="119"/>
        <v>0</v>
      </c>
      <c r="AW839" s="443" t="str">
        <f t="shared" si="117"/>
        <v>{s_taskKillNpc, {60062,60062,10037,45}}</v>
      </c>
      <c r="AX839" s="439">
        <v>1.6</v>
      </c>
      <c r="AY839" s="443">
        <v>30</v>
      </c>
    </row>
    <row r="840" spans="1:51" s="457" customFormat="1" ht="84.75" thickBot="1" x14ac:dyDescent="0.2">
      <c r="A840" s="449">
        <v>12155</v>
      </c>
      <c r="B840" s="443"/>
      <c r="C840" s="443" t="s">
        <v>3284</v>
      </c>
      <c r="D840" s="443">
        <v>2</v>
      </c>
      <c r="E840" s="443">
        <v>0</v>
      </c>
      <c r="F840" s="443">
        <v>4</v>
      </c>
      <c r="G840" s="120">
        <v>200</v>
      </c>
      <c r="H840" s="443">
        <v>200</v>
      </c>
      <c r="I840" s="17">
        <v>0</v>
      </c>
      <c r="J840" s="453">
        <v>0</v>
      </c>
      <c r="K840" s="443">
        <v>0</v>
      </c>
      <c r="L840" s="439">
        <v>60062</v>
      </c>
      <c r="M840" s="439" t="s">
        <v>233</v>
      </c>
      <c r="N840" s="439">
        <v>60062</v>
      </c>
      <c r="O840" s="439" t="s">
        <v>233</v>
      </c>
      <c r="P840" s="443"/>
      <c r="Q840" s="440"/>
      <c r="R840" s="440"/>
      <c r="S840" s="440">
        <v>10037</v>
      </c>
      <c r="T840" s="440"/>
      <c r="U840" s="443">
        <v>45</v>
      </c>
      <c r="V840" s="443">
        <v>0</v>
      </c>
      <c r="W840" s="443">
        <v>0</v>
      </c>
      <c r="X840" s="443"/>
      <c r="Y840" s="443"/>
      <c r="Z840" s="447">
        <f>ROUND(AY840*(30+G840^1.5)*AX840,0)</f>
        <v>188656</v>
      </c>
      <c r="AA840" s="443"/>
      <c r="AB840" s="442"/>
      <c r="AC840" s="442"/>
      <c r="AD840" s="443"/>
      <c r="AE840" s="443"/>
      <c r="AF840" s="443" t="str">
        <f t="shared" si="121"/>
        <v>title([34级]狩猎火焰守卫[绿])
body(hotyellow_3(任务进程:)newline()
   狩猎goto(10037,4)，去找goto(60162,4)。
blankline()hotyellow_3(任务描述:)newline() 
space()space()space()player()，我这里有一份有关消灭燃烧平原爆裂火焰守卫的委托单，如果你有兴趣的话，就由你来完成吧！)</v>
      </c>
      <c r="AG840" s="443" t="s">
        <v>3993</v>
      </c>
      <c r="AH840" s="443" t="s">
        <v>291</v>
      </c>
      <c r="AI840" s="443" t="s">
        <v>292</v>
      </c>
      <c r="AJ840" s="443" t="s">
        <v>6389</v>
      </c>
      <c r="AK840" s="443"/>
      <c r="AL840" s="450">
        <v>0</v>
      </c>
      <c r="AM840" s="443" t="str">
        <f t="shared" si="110"/>
        <v>&lt;p&gt;
&lt;n&gt;  狩猎：&lt;/n&gt;
 &lt;n&gt; &lt;/n&gt;&lt;goto id="10037" mapid="4" flagpoint="1" taskid="12155" quick="1"/&gt;
&lt;/p&gt;</v>
      </c>
      <c r="AN840" s="443" t="str">
        <f t="shared" si="116"/>
        <v>&lt;p&gt;
&lt;n&gt;  交：&lt;/n&gt;
 &lt;n&gt; &lt;/n&gt;&lt;goto id="60062" mapid="4" flagpoint="1" taskid="12155" quick="1"/&gt;&lt;/p&gt;</v>
      </c>
      <c r="AO840" s="443"/>
      <c r="AP840" s="443">
        <v>0</v>
      </c>
      <c r="AQ840" s="443">
        <v>1</v>
      </c>
      <c r="AR840" s="437">
        <v>0</v>
      </c>
      <c r="AS840" s="443">
        <v>0</v>
      </c>
      <c r="AT840" s="443">
        <v>1</v>
      </c>
      <c r="AU840" s="437">
        <v>0</v>
      </c>
      <c r="AV840" s="17">
        <f t="shared" si="119"/>
        <v>0</v>
      </c>
      <c r="AW840" s="443" t="str">
        <f t="shared" si="117"/>
        <v>{s_taskKillNpc, {60062,60062,10037,45}}</v>
      </c>
      <c r="AX840" s="439">
        <v>2.2000000000000002</v>
      </c>
      <c r="AY840" s="443">
        <v>30</v>
      </c>
    </row>
    <row r="841" spans="1:51" s="457" customFormat="1" ht="84.75" thickBot="1" x14ac:dyDescent="0.2">
      <c r="A841" s="449">
        <v>12156</v>
      </c>
      <c r="B841" s="443"/>
      <c r="C841" s="443" t="s">
        <v>3285</v>
      </c>
      <c r="D841" s="443">
        <v>2</v>
      </c>
      <c r="E841" s="443">
        <v>0</v>
      </c>
      <c r="F841" s="443">
        <v>4</v>
      </c>
      <c r="G841" s="120">
        <v>200</v>
      </c>
      <c r="H841" s="443">
        <v>200</v>
      </c>
      <c r="I841" s="17">
        <v>0</v>
      </c>
      <c r="J841" s="453">
        <v>0</v>
      </c>
      <c r="K841" s="443">
        <v>0</v>
      </c>
      <c r="L841" s="439">
        <v>60062</v>
      </c>
      <c r="M841" s="439" t="s">
        <v>233</v>
      </c>
      <c r="N841" s="439">
        <v>60062</v>
      </c>
      <c r="O841" s="439" t="s">
        <v>233</v>
      </c>
      <c r="P841" s="443"/>
      <c r="Q841" s="440"/>
      <c r="R841" s="440"/>
      <c r="S841" s="440">
        <v>10037</v>
      </c>
      <c r="T841" s="440"/>
      <c r="U841" s="443">
        <v>45</v>
      </c>
      <c r="V841" s="443">
        <v>0</v>
      </c>
      <c r="W841" s="443">
        <v>0</v>
      </c>
      <c r="X841" s="443"/>
      <c r="Y841" s="443"/>
      <c r="Z841" s="447">
        <f>ROUND(AY841*(30+G841^1.5)*AX841,0)</f>
        <v>257258</v>
      </c>
      <c r="AA841" s="443"/>
      <c r="AB841" s="442"/>
      <c r="AC841" s="442"/>
      <c r="AD841" s="443"/>
      <c r="AE841" s="443"/>
      <c r="AF841" s="443" t="str">
        <f t="shared" si="121"/>
        <v>title([34级]狩猎火焰守卫[紫])
body(hotyellow_3(任务进程:)newline()
   狩猎goto(10037,4)，去找goto(60162,4)。
blankline()hotyellow_3(任务描述:)newline() 
space()space()space()player()，我这里有一份有关消灭燃烧平原爆裂火焰守卫的委托单，如果你有兴趣的话，就由你来完成吧！)</v>
      </c>
      <c r="AG841" s="452" t="s">
        <v>3994</v>
      </c>
      <c r="AH841" s="443" t="s">
        <v>291</v>
      </c>
      <c r="AI841" s="443" t="s">
        <v>292</v>
      </c>
      <c r="AJ841" s="443" t="s">
        <v>6389</v>
      </c>
      <c r="AK841" s="443"/>
      <c r="AL841" s="450">
        <v>0</v>
      </c>
      <c r="AM841" s="443" t="str">
        <f t="shared" si="110"/>
        <v>&lt;p&gt;
&lt;n&gt;  狩猎：&lt;/n&gt;
 &lt;n&gt; &lt;/n&gt;&lt;goto id="10037" mapid="4" flagpoint="1" taskid="12156" quick="1"/&gt;
&lt;/p&gt;</v>
      </c>
      <c r="AN841" s="443" t="str">
        <f t="shared" si="116"/>
        <v>&lt;p&gt;
&lt;n&gt;  交：&lt;/n&gt;
 &lt;n&gt; &lt;/n&gt;&lt;goto id="60062" mapid="4" flagpoint="1" taskid="12156" quick="1"/&gt;&lt;/p&gt;</v>
      </c>
      <c r="AO841" s="443"/>
      <c r="AP841" s="452">
        <v>0</v>
      </c>
      <c r="AQ841" s="443">
        <v>1</v>
      </c>
      <c r="AR841" s="437">
        <v>0</v>
      </c>
      <c r="AS841" s="443">
        <v>0</v>
      </c>
      <c r="AT841" s="443">
        <v>1</v>
      </c>
      <c r="AU841" s="437">
        <v>0</v>
      </c>
      <c r="AV841" s="17">
        <f t="shared" si="119"/>
        <v>0</v>
      </c>
      <c r="AW841" s="443" t="str">
        <f t="shared" si="117"/>
        <v>{s_taskKillNpc, {60062,60062,10037,45}}</v>
      </c>
      <c r="AX841" s="439">
        <v>3</v>
      </c>
      <c r="AY841" s="443">
        <v>30</v>
      </c>
    </row>
    <row r="842" spans="1:51" s="456" customFormat="1" ht="84.75" thickBot="1" x14ac:dyDescent="0.2">
      <c r="A842" s="444">
        <v>12161</v>
      </c>
      <c r="B842" s="439"/>
      <c r="C842" s="439" t="s">
        <v>3286</v>
      </c>
      <c r="D842" s="439">
        <v>2</v>
      </c>
      <c r="E842" s="439">
        <v>0</v>
      </c>
      <c r="F842" s="439">
        <v>4</v>
      </c>
      <c r="G842" s="120">
        <v>200</v>
      </c>
      <c r="H842" s="439">
        <v>200</v>
      </c>
      <c r="I842" s="17">
        <v>0</v>
      </c>
      <c r="J842" s="453">
        <v>0</v>
      </c>
      <c r="K842" s="439">
        <v>0</v>
      </c>
      <c r="L842" s="439">
        <v>60062</v>
      </c>
      <c r="M842" s="439" t="s">
        <v>233</v>
      </c>
      <c r="N842" s="439">
        <v>60062</v>
      </c>
      <c r="O842" s="439" t="s">
        <v>233</v>
      </c>
      <c r="P842" s="439"/>
      <c r="Q842" s="446"/>
      <c r="R842" s="446"/>
      <c r="S842" s="446">
        <v>10041</v>
      </c>
      <c r="T842" s="446"/>
      <c r="U842" s="439">
        <v>45</v>
      </c>
      <c r="V842" s="439">
        <v>0</v>
      </c>
      <c r="W842" s="439">
        <v>0</v>
      </c>
      <c r="X842" s="439"/>
      <c r="Y842" s="439"/>
      <c r="Z842" s="447"/>
      <c r="AA842" s="439"/>
      <c r="AB842" s="448"/>
      <c r="AC842" s="448"/>
      <c r="AD842" s="439"/>
      <c r="AE842" s="439"/>
      <c r="AF842" s="439" t="str">
        <f t="shared" ref="AF842:AF847" si="122">"title("&amp;C842&amp;")
body(hotyellow_3(任务进程:)newline()
   狩猎goto(10041,4)，去找goto(60162,4)。
blankline()hotyellow_3(任务描述:)newline() 
space()space()space()player()，我这里有一份有关消灭燃烧平原火焰蝴蝶幼虫，如果你有兴趣的话，就由你来完成吧！)"</f>
        <v>title([33级]狩猎蜘蛛幼虫)
body(hotyellow_3(任务进程:)newline()
   狩猎goto(10041,4)，去找goto(60162,4)。
blankline()hotyellow_3(任务描述:)newline() 
space()space()space()player()，我这里有一份有关消灭燃烧平原火焰蝴蝶幼虫，如果你有兴趣的话，就由你来完成吧！)</v>
      </c>
      <c r="AG842" s="437" t="s">
        <v>3989</v>
      </c>
      <c r="AH842" s="439" t="s">
        <v>291</v>
      </c>
      <c r="AI842" s="439" t="s">
        <v>292</v>
      </c>
      <c r="AJ842" s="439" t="s">
        <v>6390</v>
      </c>
      <c r="AK842" s="439"/>
      <c r="AL842" s="445">
        <v>0</v>
      </c>
      <c r="AM842" s="443" t="str">
        <f t="shared" si="110"/>
        <v>&lt;p&gt;
&lt;n&gt;  狩猎：&lt;/n&gt;
 &lt;n&gt; &lt;/n&gt;&lt;goto id="10041" mapid="4" flagpoint="1" taskid="12161" quick="1"/&gt;
&lt;/p&gt;</v>
      </c>
      <c r="AN842" s="443" t="str">
        <f t="shared" si="116"/>
        <v>&lt;p&gt;
&lt;n&gt;  交：&lt;/n&gt;
 &lt;n&gt; &lt;/n&gt;&lt;goto id="60062" mapid="4" flagpoint="1" taskid="12161" quick="1"/&gt;&lt;/p&gt;</v>
      </c>
      <c r="AO842" s="439"/>
      <c r="AP842" s="439">
        <v>1</v>
      </c>
      <c r="AQ842" s="439">
        <v>0</v>
      </c>
      <c r="AR842" s="437">
        <v>0</v>
      </c>
      <c r="AS842" s="439">
        <v>0</v>
      </c>
      <c r="AT842" s="439">
        <v>1</v>
      </c>
      <c r="AU842" s="437">
        <v>0</v>
      </c>
      <c r="AV842" s="17">
        <f t="shared" si="119"/>
        <v>0</v>
      </c>
      <c r="AW842" s="439" t="str">
        <f t="shared" si="117"/>
        <v>{s_taskKillNpc, {60062,60062,10041,45}}</v>
      </c>
      <c r="AX842" s="439"/>
    </row>
    <row r="843" spans="1:51" s="457" customFormat="1" ht="84.75" thickBot="1" x14ac:dyDescent="0.2">
      <c r="A843" s="449">
        <v>12162</v>
      </c>
      <c r="B843" s="443"/>
      <c r="C843" s="443" t="s">
        <v>3287</v>
      </c>
      <c r="D843" s="443">
        <v>2</v>
      </c>
      <c r="E843" s="443">
        <v>0</v>
      </c>
      <c r="F843" s="443">
        <v>4</v>
      </c>
      <c r="G843" s="120">
        <v>200</v>
      </c>
      <c r="H843" s="443">
        <v>200</v>
      </c>
      <c r="I843" s="17">
        <v>0</v>
      </c>
      <c r="J843" s="453">
        <v>0</v>
      </c>
      <c r="K843" s="443">
        <v>0</v>
      </c>
      <c r="L843" s="439">
        <v>60062</v>
      </c>
      <c r="M843" s="439" t="s">
        <v>233</v>
      </c>
      <c r="N843" s="439">
        <v>60062</v>
      </c>
      <c r="O843" s="439" t="s">
        <v>233</v>
      </c>
      <c r="P843" s="443"/>
      <c r="Q843" s="440"/>
      <c r="R843" s="440"/>
      <c r="S843" s="440">
        <v>10041</v>
      </c>
      <c r="T843" s="440"/>
      <c r="U843" s="443">
        <v>45</v>
      </c>
      <c r="V843" s="443">
        <v>0</v>
      </c>
      <c r="W843" s="443">
        <v>0</v>
      </c>
      <c r="X843" s="443"/>
      <c r="Y843" s="443"/>
      <c r="Z843" s="447">
        <f>ROUND(AY843*(30+G843^1.5)*AX843,0)</f>
        <v>85753</v>
      </c>
      <c r="AA843" s="443"/>
      <c r="AB843" s="442"/>
      <c r="AC843" s="442"/>
      <c r="AD843" s="443"/>
      <c r="AE843" s="443"/>
      <c r="AF843" s="443" t="str">
        <f t="shared" si="122"/>
        <v>title([33级]狩猎蜘蛛幼虫[白])
body(hotyellow_3(任务进程:)newline()
   狩猎goto(10041,4)，去找goto(60162,4)。
blankline()hotyellow_3(任务描述:)newline() 
space()space()space()player()，我这里有一份有关消灭燃烧平原火焰蝴蝶幼虫，如果你有兴趣的话，就由你来完成吧！)</v>
      </c>
      <c r="AG843" s="443" t="s">
        <v>3990</v>
      </c>
      <c r="AH843" s="443" t="s">
        <v>291</v>
      </c>
      <c r="AI843" s="443" t="s">
        <v>292</v>
      </c>
      <c r="AJ843" s="443" t="s">
        <v>6390</v>
      </c>
      <c r="AK843" s="443"/>
      <c r="AL843" s="450">
        <v>0</v>
      </c>
      <c r="AM843" s="443" t="str">
        <f t="shared" si="110"/>
        <v>&lt;p&gt;
&lt;n&gt;  狩猎：&lt;/n&gt;
 &lt;n&gt; &lt;/n&gt;&lt;goto id="10041" mapid="4" flagpoint="1" taskid="12162" quick="1"/&gt;
&lt;/p&gt;</v>
      </c>
      <c r="AN843" s="443" t="str">
        <f t="shared" si="116"/>
        <v>&lt;p&gt;
&lt;n&gt;  交：&lt;/n&gt;
 &lt;n&gt; &lt;/n&gt;&lt;goto id="60062" mapid="4" flagpoint="1" taskid="12162" quick="1"/&gt;&lt;/p&gt;</v>
      </c>
      <c r="AO843" s="443"/>
      <c r="AP843" s="443">
        <v>0</v>
      </c>
      <c r="AQ843" s="443">
        <v>1</v>
      </c>
      <c r="AR843" s="437">
        <v>0</v>
      </c>
      <c r="AS843" s="443">
        <v>0</v>
      </c>
      <c r="AT843" s="443">
        <v>1</v>
      </c>
      <c r="AU843" s="437">
        <v>0</v>
      </c>
      <c r="AV843" s="17">
        <f t="shared" si="119"/>
        <v>0</v>
      </c>
      <c r="AW843" s="443" t="str">
        <f t="shared" si="117"/>
        <v>{s_taskKillNpc, {60062,60062,10041,45}}</v>
      </c>
      <c r="AX843" s="439">
        <v>1</v>
      </c>
      <c r="AY843" s="443">
        <v>30</v>
      </c>
    </row>
    <row r="844" spans="1:51" s="457" customFormat="1" ht="84.75" thickBot="1" x14ac:dyDescent="0.2">
      <c r="A844" s="449">
        <v>12163</v>
      </c>
      <c r="B844" s="443"/>
      <c r="C844" s="443" t="s">
        <v>3288</v>
      </c>
      <c r="D844" s="443">
        <v>2</v>
      </c>
      <c r="E844" s="443">
        <v>0</v>
      </c>
      <c r="F844" s="443">
        <v>4</v>
      </c>
      <c r="G844" s="120">
        <v>200</v>
      </c>
      <c r="H844" s="443">
        <v>200</v>
      </c>
      <c r="I844" s="17">
        <v>0</v>
      </c>
      <c r="J844" s="453">
        <v>0</v>
      </c>
      <c r="K844" s="443">
        <v>0</v>
      </c>
      <c r="L844" s="439">
        <v>60062</v>
      </c>
      <c r="M844" s="439" t="s">
        <v>233</v>
      </c>
      <c r="N844" s="439">
        <v>60062</v>
      </c>
      <c r="O844" s="439" t="s">
        <v>233</v>
      </c>
      <c r="P844" s="443"/>
      <c r="Q844" s="440"/>
      <c r="R844" s="440"/>
      <c r="S844" s="440">
        <v>10041</v>
      </c>
      <c r="T844" s="440"/>
      <c r="U844" s="443">
        <v>45</v>
      </c>
      <c r="V844" s="443">
        <v>0</v>
      </c>
      <c r="W844" s="443">
        <v>0</v>
      </c>
      <c r="X844" s="443"/>
      <c r="Y844" s="443"/>
      <c r="Z844" s="447">
        <f>ROUND(AY844*(30+G844^1.5)*AX844,0)</f>
        <v>111479</v>
      </c>
      <c r="AA844" s="443"/>
      <c r="AB844" s="442"/>
      <c r="AC844" s="442"/>
      <c r="AD844" s="443"/>
      <c r="AE844" s="443"/>
      <c r="AF844" s="443" t="str">
        <f t="shared" si="122"/>
        <v>title([33级]狩猎蜘蛛幼虫[蓝])
body(hotyellow_3(任务进程:)newline()
   狩猎goto(10041,4)，去找goto(60162,4)。
blankline()hotyellow_3(任务描述:)newline() 
space()space()space()player()，我这里有一份有关消灭燃烧平原火焰蝴蝶幼虫，如果你有兴趣的话，就由你来完成吧！)</v>
      </c>
      <c r="AG844" s="443" t="s">
        <v>3991</v>
      </c>
      <c r="AH844" s="443" t="s">
        <v>291</v>
      </c>
      <c r="AI844" s="443" t="s">
        <v>292</v>
      </c>
      <c r="AJ844" s="443" t="s">
        <v>6390</v>
      </c>
      <c r="AK844" s="443"/>
      <c r="AL844" s="450">
        <v>0</v>
      </c>
      <c r="AM844" s="443" t="str">
        <f t="shared" si="110"/>
        <v>&lt;p&gt;
&lt;n&gt;  狩猎：&lt;/n&gt;
 &lt;n&gt; &lt;/n&gt;&lt;goto id="10041" mapid="4" flagpoint="1" taskid="12163" quick="1"/&gt;
&lt;/p&gt;</v>
      </c>
      <c r="AN844" s="443" t="str">
        <f t="shared" si="116"/>
        <v>&lt;p&gt;
&lt;n&gt;  交：&lt;/n&gt;
 &lt;n&gt; &lt;/n&gt;&lt;goto id="60062" mapid="4" flagpoint="1" taskid="12163" quick="1"/&gt;&lt;/p&gt;</v>
      </c>
      <c r="AO844" s="443"/>
      <c r="AP844" s="443">
        <v>0</v>
      </c>
      <c r="AQ844" s="443">
        <v>1</v>
      </c>
      <c r="AR844" s="437">
        <v>0</v>
      </c>
      <c r="AS844" s="443">
        <v>0</v>
      </c>
      <c r="AT844" s="443">
        <v>1</v>
      </c>
      <c r="AU844" s="437">
        <v>0</v>
      </c>
      <c r="AV844" s="17">
        <f t="shared" si="119"/>
        <v>0</v>
      </c>
      <c r="AW844" s="443" t="str">
        <f t="shared" si="117"/>
        <v>{s_taskKillNpc, {60062,60062,10041,45}}</v>
      </c>
      <c r="AX844" s="439">
        <v>1.3</v>
      </c>
      <c r="AY844" s="443">
        <v>30</v>
      </c>
    </row>
    <row r="845" spans="1:51" s="457" customFormat="1" ht="84.75" thickBot="1" x14ac:dyDescent="0.2">
      <c r="A845" s="449">
        <v>12164</v>
      </c>
      <c r="B845" s="443"/>
      <c r="C845" s="443" t="s">
        <v>3289</v>
      </c>
      <c r="D845" s="443">
        <v>2</v>
      </c>
      <c r="E845" s="443">
        <v>0</v>
      </c>
      <c r="F845" s="443">
        <v>4</v>
      </c>
      <c r="G845" s="120">
        <v>200</v>
      </c>
      <c r="H845" s="443">
        <v>200</v>
      </c>
      <c r="I845" s="17">
        <v>0</v>
      </c>
      <c r="J845" s="453">
        <v>0</v>
      </c>
      <c r="K845" s="443">
        <v>0</v>
      </c>
      <c r="L845" s="439">
        <v>60062</v>
      </c>
      <c r="M845" s="439" t="s">
        <v>233</v>
      </c>
      <c r="N845" s="439">
        <v>60062</v>
      </c>
      <c r="O845" s="439" t="s">
        <v>233</v>
      </c>
      <c r="P845" s="443"/>
      <c r="Q845" s="440"/>
      <c r="R845" s="440"/>
      <c r="S845" s="440">
        <v>10041</v>
      </c>
      <c r="T845" s="440"/>
      <c r="U845" s="443">
        <v>45</v>
      </c>
      <c r="V845" s="443">
        <v>0</v>
      </c>
      <c r="W845" s="443">
        <v>0</v>
      </c>
      <c r="X845" s="443"/>
      <c r="Y845" s="443"/>
      <c r="Z845" s="447">
        <f>ROUND(AY845*(30+G845^1.5)*AX845,0)</f>
        <v>137205</v>
      </c>
      <c r="AA845" s="443"/>
      <c r="AB845" s="442"/>
      <c r="AC845" s="442"/>
      <c r="AD845" s="443"/>
      <c r="AE845" s="443"/>
      <c r="AF845" s="443" t="str">
        <f t="shared" si="122"/>
        <v>title([33级]狩猎蜘蛛幼虫[黄])
body(hotyellow_3(任务进程:)newline()
   狩猎goto(10041,4)，去找goto(60162,4)。
blankline()hotyellow_3(任务描述:)newline() 
space()space()space()player()，我这里有一份有关消灭燃烧平原火焰蝴蝶幼虫，如果你有兴趣的话，就由你来完成吧！)</v>
      </c>
      <c r="AG845" s="443" t="s">
        <v>3992</v>
      </c>
      <c r="AH845" s="443" t="s">
        <v>291</v>
      </c>
      <c r="AI845" s="443" t="s">
        <v>292</v>
      </c>
      <c r="AJ845" s="443" t="s">
        <v>6390</v>
      </c>
      <c r="AK845" s="443"/>
      <c r="AL845" s="450">
        <v>0</v>
      </c>
      <c r="AM845" s="443" t="str">
        <f t="shared" si="110"/>
        <v>&lt;p&gt;
&lt;n&gt;  狩猎：&lt;/n&gt;
 &lt;n&gt; &lt;/n&gt;&lt;goto id="10041" mapid="4" flagpoint="1" taskid="12164" quick="1"/&gt;
&lt;/p&gt;</v>
      </c>
      <c r="AN845" s="443" t="str">
        <f t="shared" si="116"/>
        <v>&lt;p&gt;
&lt;n&gt;  交：&lt;/n&gt;
 &lt;n&gt; &lt;/n&gt;&lt;goto id="60062" mapid="4" flagpoint="1" taskid="12164" quick="1"/&gt;&lt;/p&gt;</v>
      </c>
      <c r="AO845" s="443"/>
      <c r="AP845" s="443">
        <v>0</v>
      </c>
      <c r="AQ845" s="443">
        <v>1</v>
      </c>
      <c r="AR845" s="437">
        <v>0</v>
      </c>
      <c r="AS845" s="443">
        <v>0</v>
      </c>
      <c r="AT845" s="443">
        <v>1</v>
      </c>
      <c r="AU845" s="437">
        <v>0</v>
      </c>
      <c r="AV845" s="17">
        <f t="shared" si="119"/>
        <v>0</v>
      </c>
      <c r="AW845" s="443" t="str">
        <f t="shared" si="117"/>
        <v>{s_taskKillNpc, {60062,60062,10041,45}}</v>
      </c>
      <c r="AX845" s="439">
        <v>1.6</v>
      </c>
      <c r="AY845" s="443">
        <v>30</v>
      </c>
    </row>
    <row r="846" spans="1:51" s="457" customFormat="1" ht="84.75" thickBot="1" x14ac:dyDescent="0.2">
      <c r="A846" s="449">
        <v>12165</v>
      </c>
      <c r="B846" s="443"/>
      <c r="C846" s="443" t="s">
        <v>3290</v>
      </c>
      <c r="D846" s="443">
        <v>2</v>
      </c>
      <c r="E846" s="443">
        <v>0</v>
      </c>
      <c r="F846" s="443">
        <v>4</v>
      </c>
      <c r="G846" s="120">
        <v>200</v>
      </c>
      <c r="H846" s="443">
        <v>200</v>
      </c>
      <c r="I846" s="17">
        <v>0</v>
      </c>
      <c r="J846" s="453">
        <v>0</v>
      </c>
      <c r="K846" s="443">
        <v>0</v>
      </c>
      <c r="L846" s="439">
        <v>60062</v>
      </c>
      <c r="M846" s="439" t="s">
        <v>233</v>
      </c>
      <c r="N846" s="439">
        <v>60062</v>
      </c>
      <c r="O846" s="439" t="s">
        <v>233</v>
      </c>
      <c r="P846" s="443"/>
      <c r="Q846" s="440"/>
      <c r="R846" s="440"/>
      <c r="S846" s="440">
        <v>10041</v>
      </c>
      <c r="T846" s="440"/>
      <c r="U846" s="443">
        <v>45</v>
      </c>
      <c r="V846" s="443">
        <v>0</v>
      </c>
      <c r="W846" s="443">
        <v>0</v>
      </c>
      <c r="X846" s="443"/>
      <c r="Y846" s="443"/>
      <c r="Z846" s="447">
        <f>ROUND(AY846*(30+G846^1.5)*AX846,0)</f>
        <v>188656</v>
      </c>
      <c r="AA846" s="443"/>
      <c r="AB846" s="442"/>
      <c r="AC846" s="442"/>
      <c r="AD846" s="443"/>
      <c r="AE846" s="443"/>
      <c r="AF846" s="443" t="str">
        <f t="shared" si="122"/>
        <v>title([33级]狩猎蜘蛛幼虫[绿])
body(hotyellow_3(任务进程:)newline()
   狩猎goto(10041,4)，去找goto(60162,4)。
blankline()hotyellow_3(任务描述:)newline() 
space()space()space()player()，我这里有一份有关消灭燃烧平原火焰蝴蝶幼虫，如果你有兴趣的话，就由你来完成吧！)</v>
      </c>
      <c r="AG846" s="443" t="s">
        <v>3993</v>
      </c>
      <c r="AH846" s="443" t="s">
        <v>291</v>
      </c>
      <c r="AI846" s="443" t="s">
        <v>292</v>
      </c>
      <c r="AJ846" s="443" t="s">
        <v>6390</v>
      </c>
      <c r="AK846" s="443"/>
      <c r="AL846" s="450">
        <v>0</v>
      </c>
      <c r="AM846" s="443" t="str">
        <f t="shared" si="110"/>
        <v>&lt;p&gt;
&lt;n&gt;  狩猎：&lt;/n&gt;
 &lt;n&gt; &lt;/n&gt;&lt;goto id="10041" mapid="4" flagpoint="1" taskid="12165" quick="1"/&gt;
&lt;/p&gt;</v>
      </c>
      <c r="AN846" s="443" t="str">
        <f t="shared" si="116"/>
        <v>&lt;p&gt;
&lt;n&gt;  交：&lt;/n&gt;
 &lt;n&gt; &lt;/n&gt;&lt;goto id="60062" mapid="4" flagpoint="1" taskid="12165" quick="1"/&gt;&lt;/p&gt;</v>
      </c>
      <c r="AO846" s="443"/>
      <c r="AP846" s="443">
        <v>0</v>
      </c>
      <c r="AQ846" s="443">
        <v>1</v>
      </c>
      <c r="AR846" s="437">
        <v>0</v>
      </c>
      <c r="AS846" s="443">
        <v>0</v>
      </c>
      <c r="AT846" s="443">
        <v>1</v>
      </c>
      <c r="AU846" s="437">
        <v>0</v>
      </c>
      <c r="AV846" s="17">
        <f t="shared" si="119"/>
        <v>0</v>
      </c>
      <c r="AW846" s="443" t="str">
        <f t="shared" si="117"/>
        <v>{s_taskKillNpc, {60062,60062,10041,45}}</v>
      </c>
      <c r="AX846" s="439">
        <v>2.2000000000000002</v>
      </c>
      <c r="AY846" s="443">
        <v>30</v>
      </c>
    </row>
    <row r="847" spans="1:51" s="458" customFormat="1" ht="84.75" thickBot="1" x14ac:dyDescent="0.2">
      <c r="A847" s="451">
        <v>12166</v>
      </c>
      <c r="B847" s="452"/>
      <c r="C847" s="452" t="s">
        <v>3291</v>
      </c>
      <c r="D847" s="452">
        <v>2</v>
      </c>
      <c r="E847" s="452">
        <v>0</v>
      </c>
      <c r="F847" s="452">
        <v>4</v>
      </c>
      <c r="G847" s="120">
        <v>200</v>
      </c>
      <c r="H847" s="452">
        <v>200</v>
      </c>
      <c r="I847" s="17">
        <v>0</v>
      </c>
      <c r="J847" s="453">
        <v>0</v>
      </c>
      <c r="K847" s="452">
        <v>0</v>
      </c>
      <c r="L847" s="439">
        <v>60062</v>
      </c>
      <c r="M847" s="439" t="s">
        <v>233</v>
      </c>
      <c r="N847" s="439">
        <v>60062</v>
      </c>
      <c r="O847" s="439" t="s">
        <v>233</v>
      </c>
      <c r="P847" s="452"/>
      <c r="Q847" s="454"/>
      <c r="R847" s="454"/>
      <c r="S847" s="454">
        <v>10041</v>
      </c>
      <c r="T847" s="454"/>
      <c r="U847" s="452">
        <v>45</v>
      </c>
      <c r="V847" s="452">
        <v>0</v>
      </c>
      <c r="W847" s="452">
        <v>0</v>
      </c>
      <c r="X847" s="452"/>
      <c r="Y847" s="452"/>
      <c r="Z847" s="447">
        <f>ROUND(AY847*(30+G847^1.5)*AX847,0)</f>
        <v>257258</v>
      </c>
      <c r="AA847" s="452"/>
      <c r="AB847" s="455"/>
      <c r="AC847" s="455"/>
      <c r="AD847" s="452"/>
      <c r="AE847" s="452"/>
      <c r="AF847" s="452" t="str">
        <f t="shared" si="122"/>
        <v>title([33级]狩猎蜘蛛幼虫[紫])
body(hotyellow_3(任务进程:)newline()
   狩猎goto(10041,4)，去找goto(60162,4)。
blankline()hotyellow_3(任务描述:)newline() 
space()space()space()player()，我这里有一份有关消灭燃烧平原火焰蝴蝶幼虫，如果你有兴趣的话，就由你来完成吧！)</v>
      </c>
      <c r="AG847" s="452" t="s">
        <v>3994</v>
      </c>
      <c r="AH847" s="452" t="s">
        <v>291</v>
      </c>
      <c r="AI847" s="452" t="s">
        <v>292</v>
      </c>
      <c r="AJ847" s="452" t="s">
        <v>6390</v>
      </c>
      <c r="AK847" s="452"/>
      <c r="AL847" s="453">
        <v>0</v>
      </c>
      <c r="AM847" s="443" t="str">
        <f t="shared" si="110"/>
        <v>&lt;p&gt;
&lt;n&gt;  狩猎：&lt;/n&gt;
 &lt;n&gt; &lt;/n&gt;&lt;goto id="10041" mapid="4" flagpoint="1" taskid="12166" quick="1"/&gt;
&lt;/p&gt;</v>
      </c>
      <c r="AN847" s="443" t="str">
        <f t="shared" si="116"/>
        <v>&lt;p&gt;
&lt;n&gt;  交：&lt;/n&gt;
 &lt;n&gt; &lt;/n&gt;&lt;goto id="60062" mapid="4" flagpoint="1" taskid="12166" quick="1"/&gt;&lt;/p&gt;</v>
      </c>
      <c r="AO847" s="452"/>
      <c r="AP847" s="452">
        <v>0</v>
      </c>
      <c r="AQ847" s="443">
        <v>1</v>
      </c>
      <c r="AR847" s="437">
        <v>0</v>
      </c>
      <c r="AS847" s="452">
        <v>0</v>
      </c>
      <c r="AT847" s="452">
        <v>1</v>
      </c>
      <c r="AU847" s="437">
        <v>0</v>
      </c>
      <c r="AV847" s="17">
        <f t="shared" si="119"/>
        <v>0</v>
      </c>
      <c r="AW847" s="452" t="str">
        <f t="shared" si="117"/>
        <v>{s_taskKillNpc, {60062,60062,10041,45}}</v>
      </c>
      <c r="AX847" s="439">
        <v>3</v>
      </c>
      <c r="AY847" s="443">
        <v>30</v>
      </c>
    </row>
    <row r="848" spans="1:51" s="460" customFormat="1" ht="84.75" thickBot="1" x14ac:dyDescent="0.2">
      <c r="A848" s="459">
        <v>12171</v>
      </c>
      <c r="C848" s="460" t="s">
        <v>2224</v>
      </c>
      <c r="D848" s="460">
        <v>2</v>
      </c>
      <c r="E848" s="460">
        <v>0</v>
      </c>
      <c r="F848" s="460">
        <v>3</v>
      </c>
      <c r="G848" s="120">
        <v>200</v>
      </c>
      <c r="H848" s="460">
        <v>200</v>
      </c>
      <c r="I848" s="17">
        <v>0</v>
      </c>
      <c r="J848" s="461">
        <v>0</v>
      </c>
      <c r="K848" s="460">
        <v>0</v>
      </c>
      <c r="L848" s="460">
        <v>60201</v>
      </c>
      <c r="M848" s="460" t="s">
        <v>3982</v>
      </c>
      <c r="N848" s="460">
        <v>60201</v>
      </c>
      <c r="O848" s="460" t="s">
        <v>5178</v>
      </c>
      <c r="Q848" s="462"/>
      <c r="R848" s="462"/>
      <c r="S848" s="462">
        <v>10057</v>
      </c>
      <c r="T848" s="462"/>
      <c r="U848" s="460">
        <v>45</v>
      </c>
      <c r="V848" s="460">
        <v>0</v>
      </c>
      <c r="W848" s="460">
        <v>0</v>
      </c>
      <c r="Z848" s="463"/>
      <c r="AB848" s="464"/>
      <c r="AC848" s="464"/>
      <c r="AF848" s="460" t="str">
        <f t="shared" ref="AF848:AF853" si="123">"title("&amp;C848&amp;")
body(hotyellow_3(任务进程:)newline()
   狩猎goto(10057,3)，去找goto(60201,3)。
blankline()hotyellow_3(任务描述:)newline() 
space()space()space()player()，我这里有一份有关消灭凤城异角龙的委托单，如果你有兴趣的话，就由你来完成吧！)"</f>
        <v>title([35级]狩猎异角龙)
body(hotyellow_3(任务进程:)newline()
   狩猎goto(10057,3)，去找goto(60201,3)。
blankline()hotyellow_3(任务描述:)newline() 
space()space()space()player()，我这里有一份有关消灭凤城异角龙的委托单，如果你有兴趣的话，就由你来完成吧！)</v>
      </c>
      <c r="AG848" s="437" t="s">
        <v>3989</v>
      </c>
      <c r="AH848" s="460" t="s">
        <v>291</v>
      </c>
      <c r="AI848" s="460" t="s">
        <v>292</v>
      </c>
      <c r="AJ848" s="460" t="s">
        <v>6391</v>
      </c>
      <c r="AL848" s="465">
        <v>0</v>
      </c>
      <c r="AM848" s="443" t="str">
        <f t="shared" si="110"/>
        <v>&lt;p&gt;
&lt;n&gt;  狩猎：&lt;/n&gt;
 &lt;n&gt; &lt;/n&gt;&lt;goto id="10057" mapid="3" flagpoint="1" taskid="12171" quick="1"/&gt;
&lt;/p&gt;</v>
      </c>
      <c r="AN848" s="443" t="str">
        <f t="shared" si="116"/>
        <v>&lt;p&gt;
&lt;n&gt;  交：&lt;/n&gt;
 &lt;n&gt; &lt;/n&gt;&lt;goto id="60201" mapid="3" flagpoint="1" taskid="12171" quick="1"/&gt;&lt;/p&gt;</v>
      </c>
      <c r="AP848" s="460">
        <v>1</v>
      </c>
      <c r="AQ848" s="460">
        <v>0</v>
      </c>
      <c r="AR848" s="101">
        <v>0</v>
      </c>
      <c r="AS848" s="460">
        <v>0</v>
      </c>
      <c r="AT848" s="460">
        <v>1</v>
      </c>
      <c r="AU848" s="101">
        <v>0</v>
      </c>
      <c r="AV848" s="17">
        <f t="shared" si="119"/>
        <v>0</v>
      </c>
      <c r="AW848" s="460" t="str">
        <f t="shared" si="117"/>
        <v>{s_taskKillNpc, {60201,60201,10057,45}}</v>
      </c>
    </row>
    <row r="849" spans="1:51" s="82" customFormat="1" ht="84.75" thickBot="1" x14ac:dyDescent="0.2">
      <c r="A849" s="466">
        <v>12172</v>
      </c>
      <c r="C849" s="82" t="s">
        <v>2543</v>
      </c>
      <c r="D849" s="82">
        <v>2</v>
      </c>
      <c r="E849" s="82">
        <v>0</v>
      </c>
      <c r="F849" s="82">
        <v>3</v>
      </c>
      <c r="G849" s="120">
        <v>200</v>
      </c>
      <c r="H849" s="82">
        <v>200</v>
      </c>
      <c r="I849" s="17">
        <v>0</v>
      </c>
      <c r="J849" s="461">
        <v>0</v>
      </c>
      <c r="K849" s="82">
        <v>0</v>
      </c>
      <c r="L849" s="460">
        <v>60201</v>
      </c>
      <c r="M849" s="460" t="s">
        <v>3982</v>
      </c>
      <c r="N849" s="460">
        <v>60201</v>
      </c>
      <c r="O849" s="460" t="s">
        <v>5178</v>
      </c>
      <c r="Q849" s="102"/>
      <c r="R849" s="102"/>
      <c r="S849" s="102">
        <v>10057</v>
      </c>
      <c r="T849" s="102"/>
      <c r="U849" s="82">
        <v>45</v>
      </c>
      <c r="V849" s="82">
        <v>0</v>
      </c>
      <c r="W849" s="82">
        <v>0</v>
      </c>
      <c r="Z849" s="463">
        <f>ROUND(AY849*(30+G849^1.5)*AX849,0)</f>
        <v>85753</v>
      </c>
      <c r="AB849" s="105"/>
      <c r="AC849" s="105"/>
      <c r="AF849" s="82" t="str">
        <f t="shared" si="123"/>
        <v>title([35级]狩猎异角龙[白])
body(hotyellow_3(任务进程:)newline()
   狩猎goto(10057,3)，去找goto(60201,3)。
blankline()hotyellow_3(任务描述:)newline() 
space()space()space()player()，我这里有一份有关消灭凤城异角龙的委托单，如果你有兴趣的话，就由你来完成吧！)</v>
      </c>
      <c r="AG849" s="443" t="s">
        <v>3990</v>
      </c>
      <c r="AH849" s="82" t="s">
        <v>291</v>
      </c>
      <c r="AI849" s="82" t="s">
        <v>292</v>
      </c>
      <c r="AJ849" s="82" t="s">
        <v>6391</v>
      </c>
      <c r="AL849" s="83">
        <v>0</v>
      </c>
      <c r="AM849" s="443" t="str">
        <f t="shared" si="110"/>
        <v>&lt;p&gt;
&lt;n&gt;  狩猎：&lt;/n&gt;
 &lt;n&gt; &lt;/n&gt;&lt;goto id="10057" mapid="3" flagpoint="1" taskid="12172" quick="1"/&gt;
&lt;/p&gt;</v>
      </c>
      <c r="AN849" s="443" t="str">
        <f t="shared" si="116"/>
        <v>&lt;p&gt;
&lt;n&gt;  交：&lt;/n&gt;
 &lt;n&gt; &lt;/n&gt;&lt;goto id="60201" mapid="3" flagpoint="1" taskid="12172" quick="1"/&gt;&lt;/p&gt;</v>
      </c>
      <c r="AP849" s="82">
        <v>0</v>
      </c>
      <c r="AQ849" s="82">
        <v>1</v>
      </c>
      <c r="AR849" s="101">
        <v>0</v>
      </c>
      <c r="AS849" s="82">
        <v>0</v>
      </c>
      <c r="AT849" s="82">
        <v>1</v>
      </c>
      <c r="AU849" s="101">
        <v>0</v>
      </c>
      <c r="AV849" s="17">
        <f t="shared" si="119"/>
        <v>0</v>
      </c>
      <c r="AW849" s="82" t="str">
        <f t="shared" si="117"/>
        <v>{s_taskKillNpc, {60201,60201,10057,45}}</v>
      </c>
      <c r="AX849" s="460">
        <v>1</v>
      </c>
      <c r="AY849" s="82">
        <v>30</v>
      </c>
    </row>
    <row r="850" spans="1:51" s="82" customFormat="1" ht="84.75" thickBot="1" x14ac:dyDescent="0.2">
      <c r="A850" s="466">
        <v>12173</v>
      </c>
      <c r="C850" s="82" t="s">
        <v>2568</v>
      </c>
      <c r="D850" s="82">
        <v>2</v>
      </c>
      <c r="E850" s="82">
        <v>0</v>
      </c>
      <c r="F850" s="82">
        <v>3</v>
      </c>
      <c r="G850" s="120">
        <v>200</v>
      </c>
      <c r="H850" s="82">
        <v>200</v>
      </c>
      <c r="I850" s="17">
        <v>0</v>
      </c>
      <c r="J850" s="461">
        <v>0</v>
      </c>
      <c r="K850" s="82">
        <v>0</v>
      </c>
      <c r="L850" s="460">
        <v>60201</v>
      </c>
      <c r="M850" s="460" t="s">
        <v>3982</v>
      </c>
      <c r="N850" s="460">
        <v>60201</v>
      </c>
      <c r="O850" s="460" t="s">
        <v>5178</v>
      </c>
      <c r="Q850" s="102"/>
      <c r="R850" s="102"/>
      <c r="S850" s="102">
        <v>10057</v>
      </c>
      <c r="T850" s="102"/>
      <c r="U850" s="82">
        <v>45</v>
      </c>
      <c r="V850" s="82">
        <v>0</v>
      </c>
      <c r="W850" s="82">
        <v>0</v>
      </c>
      <c r="Z850" s="463">
        <f>ROUND(AY850*(30+G850^1.5)*AX850,0)</f>
        <v>111479</v>
      </c>
      <c r="AB850" s="105"/>
      <c r="AC850" s="105"/>
      <c r="AF850" s="82" t="str">
        <f t="shared" si="123"/>
        <v>title([35级]狩猎异角龙[蓝])
body(hotyellow_3(任务进程:)newline()
   狩猎goto(10057,3)，去找goto(60201,3)。
blankline()hotyellow_3(任务描述:)newline() 
space()space()space()player()，我这里有一份有关消灭凤城异角龙的委托单，如果你有兴趣的话，就由你来完成吧！)</v>
      </c>
      <c r="AG850" s="443" t="s">
        <v>3991</v>
      </c>
      <c r="AH850" s="82" t="s">
        <v>291</v>
      </c>
      <c r="AI850" s="82" t="s">
        <v>292</v>
      </c>
      <c r="AJ850" s="82" t="s">
        <v>6391</v>
      </c>
      <c r="AL850" s="83">
        <v>0</v>
      </c>
      <c r="AM850" s="443" t="str">
        <f t="shared" si="110"/>
        <v>&lt;p&gt;
&lt;n&gt;  狩猎：&lt;/n&gt;
 &lt;n&gt; &lt;/n&gt;&lt;goto id="10057" mapid="3" flagpoint="1" taskid="12173" quick="1"/&gt;
&lt;/p&gt;</v>
      </c>
      <c r="AN850" s="443" t="str">
        <f t="shared" si="116"/>
        <v>&lt;p&gt;
&lt;n&gt;  交：&lt;/n&gt;
 &lt;n&gt; &lt;/n&gt;&lt;goto id="60201" mapid="3" flagpoint="1" taskid="12173" quick="1"/&gt;&lt;/p&gt;</v>
      </c>
      <c r="AP850" s="82">
        <v>0</v>
      </c>
      <c r="AQ850" s="82">
        <v>1</v>
      </c>
      <c r="AR850" s="101">
        <v>0</v>
      </c>
      <c r="AS850" s="82">
        <v>0</v>
      </c>
      <c r="AT850" s="82">
        <v>1</v>
      </c>
      <c r="AU850" s="101">
        <v>0</v>
      </c>
      <c r="AV850" s="17">
        <f t="shared" si="119"/>
        <v>0</v>
      </c>
      <c r="AW850" s="82" t="str">
        <f t="shared" si="117"/>
        <v>{s_taskKillNpc, {60201,60201,10057,45}}</v>
      </c>
      <c r="AX850" s="460">
        <v>1.3</v>
      </c>
      <c r="AY850" s="82">
        <v>30</v>
      </c>
    </row>
    <row r="851" spans="1:51" s="82" customFormat="1" ht="84.75" thickBot="1" x14ac:dyDescent="0.2">
      <c r="A851" s="466">
        <v>12174</v>
      </c>
      <c r="C851" s="82" t="s">
        <v>2593</v>
      </c>
      <c r="D851" s="82">
        <v>2</v>
      </c>
      <c r="E851" s="82">
        <v>0</v>
      </c>
      <c r="F851" s="82">
        <v>3</v>
      </c>
      <c r="G851" s="120">
        <v>200</v>
      </c>
      <c r="H851" s="82">
        <v>200</v>
      </c>
      <c r="I851" s="17">
        <v>0</v>
      </c>
      <c r="J851" s="461">
        <v>0</v>
      </c>
      <c r="K851" s="82">
        <v>0</v>
      </c>
      <c r="L851" s="460">
        <v>60201</v>
      </c>
      <c r="M851" s="460" t="s">
        <v>3982</v>
      </c>
      <c r="N851" s="460">
        <v>60201</v>
      </c>
      <c r="O851" s="460" t="s">
        <v>5178</v>
      </c>
      <c r="Q851" s="102"/>
      <c r="R851" s="102"/>
      <c r="S851" s="102">
        <v>10057</v>
      </c>
      <c r="T851" s="102"/>
      <c r="U851" s="82">
        <v>45</v>
      </c>
      <c r="V851" s="82">
        <v>0</v>
      </c>
      <c r="W851" s="82">
        <v>0</v>
      </c>
      <c r="Z851" s="463">
        <f>ROUND(AY851*(30+G851^1.5)*AX851,0)</f>
        <v>137205</v>
      </c>
      <c r="AB851" s="105"/>
      <c r="AC851" s="105"/>
      <c r="AF851" s="82" t="str">
        <f t="shared" si="123"/>
        <v>title([35级]狩猎异角龙[黄])
body(hotyellow_3(任务进程:)newline()
   狩猎goto(10057,3)，去找goto(60201,3)。
blankline()hotyellow_3(任务描述:)newline() 
space()space()space()player()，我这里有一份有关消灭凤城异角龙的委托单，如果你有兴趣的话，就由你来完成吧！)</v>
      </c>
      <c r="AG851" s="443" t="s">
        <v>3992</v>
      </c>
      <c r="AH851" s="82" t="s">
        <v>291</v>
      </c>
      <c r="AI851" s="82" t="s">
        <v>292</v>
      </c>
      <c r="AJ851" s="82" t="s">
        <v>6391</v>
      </c>
      <c r="AL851" s="83">
        <v>0</v>
      </c>
      <c r="AM851" s="443" t="str">
        <f t="shared" si="110"/>
        <v>&lt;p&gt;
&lt;n&gt;  狩猎：&lt;/n&gt;
 &lt;n&gt; &lt;/n&gt;&lt;goto id="10057" mapid="3" flagpoint="1" taskid="12174" quick="1"/&gt;
&lt;/p&gt;</v>
      </c>
      <c r="AN851" s="443" t="str">
        <f t="shared" si="116"/>
        <v>&lt;p&gt;
&lt;n&gt;  交：&lt;/n&gt;
 &lt;n&gt; &lt;/n&gt;&lt;goto id="60201" mapid="3" flagpoint="1" taskid="12174" quick="1"/&gt;&lt;/p&gt;</v>
      </c>
      <c r="AP851" s="82">
        <v>0</v>
      </c>
      <c r="AQ851" s="82">
        <v>1</v>
      </c>
      <c r="AR851" s="101">
        <v>0</v>
      </c>
      <c r="AS851" s="82">
        <v>0</v>
      </c>
      <c r="AT851" s="82">
        <v>1</v>
      </c>
      <c r="AU851" s="101">
        <v>0</v>
      </c>
      <c r="AV851" s="17">
        <f t="shared" si="119"/>
        <v>0</v>
      </c>
      <c r="AW851" s="82" t="str">
        <f t="shared" si="117"/>
        <v>{s_taskKillNpc, {60201,60201,10057,45}}</v>
      </c>
      <c r="AX851" s="460">
        <v>1.6</v>
      </c>
      <c r="AY851" s="82">
        <v>30</v>
      </c>
    </row>
    <row r="852" spans="1:51" s="82" customFormat="1" ht="84.75" thickBot="1" x14ac:dyDescent="0.2">
      <c r="A852" s="466">
        <v>12175</v>
      </c>
      <c r="C852" s="82" t="s">
        <v>2618</v>
      </c>
      <c r="D852" s="82">
        <v>2</v>
      </c>
      <c r="E852" s="82">
        <v>0</v>
      </c>
      <c r="F852" s="82">
        <v>3</v>
      </c>
      <c r="G852" s="120">
        <v>200</v>
      </c>
      <c r="H852" s="82">
        <v>200</v>
      </c>
      <c r="I852" s="17">
        <v>0</v>
      </c>
      <c r="J852" s="461">
        <v>0</v>
      </c>
      <c r="K852" s="82">
        <v>0</v>
      </c>
      <c r="L852" s="460">
        <v>60201</v>
      </c>
      <c r="M852" s="460" t="s">
        <v>3982</v>
      </c>
      <c r="N852" s="460">
        <v>60201</v>
      </c>
      <c r="O852" s="460" t="s">
        <v>5178</v>
      </c>
      <c r="Q852" s="102"/>
      <c r="R852" s="102"/>
      <c r="S852" s="102">
        <v>10057</v>
      </c>
      <c r="T852" s="102"/>
      <c r="U852" s="82">
        <v>45</v>
      </c>
      <c r="V852" s="82">
        <v>0</v>
      </c>
      <c r="W852" s="82">
        <v>0</v>
      </c>
      <c r="Z852" s="463">
        <f>ROUND(AY852*(30+G852^1.5)*AX852,0)</f>
        <v>188656</v>
      </c>
      <c r="AB852" s="105"/>
      <c r="AC852" s="105"/>
      <c r="AF852" s="82" t="str">
        <f t="shared" si="123"/>
        <v>title([35级]狩猎异角龙[绿])
body(hotyellow_3(任务进程:)newline()
   狩猎goto(10057,3)，去找goto(60201,3)。
blankline()hotyellow_3(任务描述:)newline() 
space()space()space()player()，我这里有一份有关消灭凤城异角龙的委托单，如果你有兴趣的话，就由你来完成吧！)</v>
      </c>
      <c r="AG852" s="443" t="s">
        <v>3993</v>
      </c>
      <c r="AH852" s="82" t="s">
        <v>291</v>
      </c>
      <c r="AI852" s="82" t="s">
        <v>292</v>
      </c>
      <c r="AJ852" s="82" t="s">
        <v>6391</v>
      </c>
      <c r="AL852" s="83">
        <v>0</v>
      </c>
      <c r="AM852" s="443" t="str">
        <f t="shared" si="110"/>
        <v>&lt;p&gt;
&lt;n&gt;  狩猎：&lt;/n&gt;
 &lt;n&gt; &lt;/n&gt;&lt;goto id="10057" mapid="3" flagpoint="1" taskid="12175" quick="1"/&gt;
&lt;/p&gt;</v>
      </c>
      <c r="AN852" s="443" t="str">
        <f t="shared" si="116"/>
        <v>&lt;p&gt;
&lt;n&gt;  交：&lt;/n&gt;
 &lt;n&gt; &lt;/n&gt;&lt;goto id="60201" mapid="3" flagpoint="1" taskid="12175" quick="1"/&gt;&lt;/p&gt;</v>
      </c>
      <c r="AP852" s="82">
        <v>0</v>
      </c>
      <c r="AQ852" s="82">
        <v>1</v>
      </c>
      <c r="AR852" s="101">
        <v>0</v>
      </c>
      <c r="AS852" s="82">
        <v>0</v>
      </c>
      <c r="AT852" s="82">
        <v>1</v>
      </c>
      <c r="AU852" s="101">
        <v>0</v>
      </c>
      <c r="AV852" s="17">
        <f t="shared" si="119"/>
        <v>0</v>
      </c>
      <c r="AW852" s="82" t="str">
        <f t="shared" si="117"/>
        <v>{s_taskKillNpc, {60201,60201,10057,45}}</v>
      </c>
      <c r="AX852" s="460">
        <v>2.2000000000000002</v>
      </c>
      <c r="AY852" s="82">
        <v>30</v>
      </c>
    </row>
    <row r="853" spans="1:51" s="468" customFormat="1" ht="84.75" thickBot="1" x14ac:dyDescent="0.2">
      <c r="A853" s="467">
        <v>12176</v>
      </c>
      <c r="C853" s="468" t="s">
        <v>2643</v>
      </c>
      <c r="D853" s="468">
        <v>2</v>
      </c>
      <c r="E853" s="468">
        <v>0</v>
      </c>
      <c r="F853" s="468">
        <v>3</v>
      </c>
      <c r="G853" s="120">
        <v>200</v>
      </c>
      <c r="H853" s="468">
        <v>200</v>
      </c>
      <c r="I853" s="17">
        <v>0</v>
      </c>
      <c r="J853" s="461">
        <v>0</v>
      </c>
      <c r="K853" s="468">
        <v>0</v>
      </c>
      <c r="L853" s="460">
        <v>60201</v>
      </c>
      <c r="M853" s="460" t="s">
        <v>3982</v>
      </c>
      <c r="N853" s="460">
        <v>60201</v>
      </c>
      <c r="O853" s="460" t="s">
        <v>5178</v>
      </c>
      <c r="Q853" s="469"/>
      <c r="R853" s="469"/>
      <c r="S853" s="469">
        <v>10057</v>
      </c>
      <c r="T853" s="469"/>
      <c r="U853" s="468">
        <v>45</v>
      </c>
      <c r="V853" s="468">
        <v>0</v>
      </c>
      <c r="W853" s="468">
        <v>0</v>
      </c>
      <c r="Z853" s="463">
        <f>ROUND(AY853*(30+G853^1.5)*AX853,0)</f>
        <v>257258</v>
      </c>
      <c r="AB853" s="470"/>
      <c r="AC853" s="470"/>
      <c r="AF853" s="468" t="str">
        <f t="shared" si="123"/>
        <v>title([35级]狩猎异角龙[紫])
body(hotyellow_3(任务进程:)newline()
   狩猎goto(10057,3)，去找goto(60201,3)。
blankline()hotyellow_3(任务描述:)newline() 
space()space()space()player()，我这里有一份有关消灭凤城异角龙的委托单，如果你有兴趣的话，就由你来完成吧！)</v>
      </c>
      <c r="AG853" s="452" t="s">
        <v>3994</v>
      </c>
      <c r="AH853" s="468" t="s">
        <v>291</v>
      </c>
      <c r="AI853" s="468" t="s">
        <v>292</v>
      </c>
      <c r="AJ853" s="468" t="s">
        <v>6391</v>
      </c>
      <c r="AL853" s="461">
        <v>0</v>
      </c>
      <c r="AM853" s="443" t="str">
        <f t="shared" si="110"/>
        <v>&lt;p&gt;
&lt;n&gt;  狩猎：&lt;/n&gt;
 &lt;n&gt; &lt;/n&gt;&lt;goto id="10057" mapid="3" flagpoint="1" taskid="12176" quick="1"/&gt;
&lt;/p&gt;</v>
      </c>
      <c r="AN853" s="443" t="str">
        <f t="shared" si="116"/>
        <v>&lt;p&gt;
&lt;n&gt;  交：&lt;/n&gt;
 &lt;n&gt; &lt;/n&gt;&lt;goto id="60201" mapid="3" flagpoint="1" taskid="12176" quick="1"/&gt;&lt;/p&gt;</v>
      </c>
      <c r="AP853" s="468">
        <v>0</v>
      </c>
      <c r="AQ853" s="82">
        <v>1</v>
      </c>
      <c r="AR853" s="101">
        <v>0</v>
      </c>
      <c r="AS853" s="468">
        <v>0</v>
      </c>
      <c r="AT853" s="468">
        <v>1</v>
      </c>
      <c r="AU853" s="101">
        <v>0</v>
      </c>
      <c r="AV853" s="17">
        <f t="shared" si="119"/>
        <v>0</v>
      </c>
      <c r="AW853" s="468" t="str">
        <f t="shared" si="117"/>
        <v>{s_taskKillNpc, {60201,60201,10057,45}}</v>
      </c>
      <c r="AX853" s="460">
        <v>3</v>
      </c>
      <c r="AY853" s="82">
        <v>30</v>
      </c>
    </row>
    <row r="854" spans="1:51" s="471" customFormat="1" ht="84.75" thickBot="1" x14ac:dyDescent="0.2">
      <c r="A854" s="459">
        <v>12181</v>
      </c>
      <c r="B854" s="460"/>
      <c r="C854" s="460" t="s">
        <v>2225</v>
      </c>
      <c r="D854" s="460">
        <v>2</v>
      </c>
      <c r="E854" s="460">
        <v>0</v>
      </c>
      <c r="F854" s="460">
        <v>3</v>
      </c>
      <c r="G854" s="120">
        <v>200</v>
      </c>
      <c r="H854" s="460">
        <v>200</v>
      </c>
      <c r="I854" s="17">
        <v>0</v>
      </c>
      <c r="J854" s="461">
        <v>0</v>
      </c>
      <c r="K854" s="460">
        <v>0</v>
      </c>
      <c r="L854" s="460">
        <v>60201</v>
      </c>
      <c r="M854" s="460" t="s">
        <v>3982</v>
      </c>
      <c r="N854" s="460">
        <v>60201</v>
      </c>
      <c r="O854" s="460" t="s">
        <v>5178</v>
      </c>
      <c r="P854" s="460"/>
      <c r="Q854" s="462"/>
      <c r="R854" s="462"/>
      <c r="S854" s="462">
        <v>10058</v>
      </c>
      <c r="T854" s="462"/>
      <c r="U854" s="460">
        <v>50</v>
      </c>
      <c r="V854" s="460">
        <v>0</v>
      </c>
      <c r="W854" s="460">
        <v>0</v>
      </c>
      <c r="X854" s="460"/>
      <c r="Y854" s="460"/>
      <c r="Z854" s="463"/>
      <c r="AA854" s="460"/>
      <c r="AB854" s="464"/>
      <c r="AC854" s="464"/>
      <c r="AD854" s="460"/>
      <c r="AE854" s="460"/>
      <c r="AF854" s="460" t="str">
        <f t="shared" ref="AF854:AF859" si="124">"title("&amp;C854&amp;")
body(hotyellow_3(任务进程:)newline()
   狩猎goto(10058,3)，去找goto(60201,3)。
blankline()hot3(任务描述:)blankline()
space()space()space()player()，我这里有一份有关消灭凤城疾走龙的委托单，如果你有兴趣的话，就由你来完成吧！)"</f>
        <v>title([36级]狩猎疾走龙)
body(hotyellow_3(任务进程:)newline()
   狩猎goto(10058,3)，去找goto(60201,3)。
blankline()hot3(任务描述:)blankline()
space()space()space()player()，我这里有一份有关消灭凤城疾走龙的委托单，如果你有兴趣的话，就由你来完成吧！)</v>
      </c>
      <c r="AG854" s="437" t="s">
        <v>3989</v>
      </c>
      <c r="AH854" s="460" t="s">
        <v>291</v>
      </c>
      <c r="AI854" s="460" t="s">
        <v>292</v>
      </c>
      <c r="AJ854" s="460" t="s">
        <v>6392</v>
      </c>
      <c r="AK854" s="460"/>
      <c r="AL854" s="465">
        <v>0</v>
      </c>
      <c r="AM854" s="443" t="str">
        <f t="shared" si="110"/>
        <v>&lt;p&gt;
&lt;n&gt;  狩猎：&lt;/n&gt;
 &lt;n&gt; &lt;/n&gt;&lt;goto id="10058" mapid="3" flagpoint="1" taskid="12181" quick="1"/&gt;
&lt;/p&gt;</v>
      </c>
      <c r="AN854" s="443" t="str">
        <f t="shared" si="116"/>
        <v>&lt;p&gt;
&lt;n&gt;  交：&lt;/n&gt;
 &lt;n&gt; &lt;/n&gt;&lt;goto id="60201" mapid="3" flagpoint="1" taskid="12181" quick="1"/&gt;&lt;/p&gt;</v>
      </c>
      <c r="AO854" s="460"/>
      <c r="AP854" s="460">
        <v>1</v>
      </c>
      <c r="AQ854" s="460">
        <v>0</v>
      </c>
      <c r="AR854" s="101">
        <v>0</v>
      </c>
      <c r="AS854" s="460">
        <v>0</v>
      </c>
      <c r="AT854" s="460">
        <v>1</v>
      </c>
      <c r="AU854" s="101">
        <v>0</v>
      </c>
      <c r="AV854" s="17">
        <f t="shared" si="119"/>
        <v>0</v>
      </c>
      <c r="AW854" s="460" t="str">
        <f t="shared" si="117"/>
        <v>{s_taskKillNpc, {60201,60201,10058,50}}</v>
      </c>
      <c r="AX854" s="460"/>
    </row>
    <row r="855" spans="1:51" s="472" customFormat="1" ht="84.75" thickBot="1" x14ac:dyDescent="0.2">
      <c r="A855" s="466">
        <v>12182</v>
      </c>
      <c r="B855" s="82"/>
      <c r="C855" s="82" t="s">
        <v>2544</v>
      </c>
      <c r="D855" s="82">
        <v>2</v>
      </c>
      <c r="E855" s="82">
        <v>0</v>
      </c>
      <c r="F855" s="82">
        <v>3</v>
      </c>
      <c r="G855" s="120">
        <v>200</v>
      </c>
      <c r="H855" s="82">
        <v>200</v>
      </c>
      <c r="I855" s="17">
        <v>0</v>
      </c>
      <c r="J855" s="461">
        <v>0</v>
      </c>
      <c r="K855" s="82">
        <v>0</v>
      </c>
      <c r="L855" s="460">
        <v>60201</v>
      </c>
      <c r="M855" s="460" t="s">
        <v>3982</v>
      </c>
      <c r="N855" s="460">
        <v>60201</v>
      </c>
      <c r="O855" s="460" t="s">
        <v>5178</v>
      </c>
      <c r="P855" s="82"/>
      <c r="Q855" s="102"/>
      <c r="R855" s="102"/>
      <c r="S855" s="102">
        <v>10058</v>
      </c>
      <c r="T855" s="102"/>
      <c r="U855" s="82">
        <v>50</v>
      </c>
      <c r="V855" s="82">
        <v>0</v>
      </c>
      <c r="W855" s="82">
        <v>0</v>
      </c>
      <c r="X855" s="82"/>
      <c r="Y855" s="82"/>
      <c r="Z855" s="463">
        <f>ROUND(AY855*(30+G855^1.5)*AX855,0)</f>
        <v>97187</v>
      </c>
      <c r="AA855" s="82"/>
      <c r="AB855" s="105"/>
      <c r="AC855" s="105"/>
      <c r="AD855" s="82"/>
      <c r="AE855" s="82"/>
      <c r="AF855" s="82" t="str">
        <f t="shared" si="124"/>
        <v>title([36级]狩猎疾走龙[白])
body(hotyellow_3(任务进程:)newline()
   狩猎goto(10058,3)，去找goto(60201,3)。
blankline()hot3(任务描述:)blankline()
space()space()space()player()，我这里有一份有关消灭凤城疾走龙的委托单，如果你有兴趣的话，就由你来完成吧！)</v>
      </c>
      <c r="AG855" s="443" t="s">
        <v>3990</v>
      </c>
      <c r="AH855" s="82" t="s">
        <v>291</v>
      </c>
      <c r="AI855" s="82" t="s">
        <v>292</v>
      </c>
      <c r="AJ855" s="82" t="s">
        <v>6392</v>
      </c>
      <c r="AK855" s="82"/>
      <c r="AL855" s="83">
        <v>0</v>
      </c>
      <c r="AM855" s="443" t="str">
        <f t="shared" si="110"/>
        <v>&lt;p&gt;
&lt;n&gt;  狩猎：&lt;/n&gt;
 &lt;n&gt; &lt;/n&gt;&lt;goto id="10058" mapid="3" flagpoint="1" taskid="12182" quick="1"/&gt;
&lt;/p&gt;</v>
      </c>
      <c r="AN855" s="443" t="str">
        <f t="shared" ref="AN855:AN886" si="125">"&lt;p&gt;
&lt;n&gt;  交：&lt;/n&gt;
 &lt;n&gt; &lt;/n&gt;&lt;goto id="""&amp;N855&amp;""" mapid="""&amp;F855&amp;""" flagpoint=""1"" taskid="""&amp;A855&amp;""" quick=""1""/&gt;&lt;/p&gt;"</f>
        <v>&lt;p&gt;
&lt;n&gt;  交：&lt;/n&gt;
 &lt;n&gt; &lt;/n&gt;&lt;goto id="60201" mapid="3" flagpoint="1" taskid="12182" quick="1"/&gt;&lt;/p&gt;</v>
      </c>
      <c r="AO855" s="82"/>
      <c r="AP855" s="82">
        <v>0</v>
      </c>
      <c r="AQ855" s="82">
        <v>1</v>
      </c>
      <c r="AR855" s="101">
        <v>0</v>
      </c>
      <c r="AS855" s="82">
        <v>0</v>
      </c>
      <c r="AT855" s="82">
        <v>1</v>
      </c>
      <c r="AU855" s="101">
        <v>0</v>
      </c>
      <c r="AV855" s="17">
        <f t="shared" si="119"/>
        <v>0</v>
      </c>
      <c r="AW855" s="82" t="str">
        <f t="shared" ref="AW855:AW886" si="126">"{s_taskKillNpc, {"&amp;L855&amp;","&amp;N855&amp;","&amp;S855&amp;","&amp;U855&amp;"}}"</f>
        <v>{s_taskKillNpc, {60201,60201,10058,50}}</v>
      </c>
      <c r="AX855" s="460">
        <v>1</v>
      </c>
      <c r="AY855" s="472">
        <v>34</v>
      </c>
    </row>
    <row r="856" spans="1:51" s="472" customFormat="1" ht="84.75" thickBot="1" x14ac:dyDescent="0.2">
      <c r="A856" s="466">
        <v>12183</v>
      </c>
      <c r="B856" s="82"/>
      <c r="C856" s="82" t="s">
        <v>2569</v>
      </c>
      <c r="D856" s="82">
        <v>2</v>
      </c>
      <c r="E856" s="82">
        <v>0</v>
      </c>
      <c r="F856" s="82">
        <v>3</v>
      </c>
      <c r="G856" s="120">
        <v>200</v>
      </c>
      <c r="H856" s="82">
        <v>200</v>
      </c>
      <c r="I856" s="17">
        <v>0</v>
      </c>
      <c r="J856" s="461">
        <v>0</v>
      </c>
      <c r="K856" s="82">
        <v>0</v>
      </c>
      <c r="L856" s="460">
        <v>60201</v>
      </c>
      <c r="M856" s="460" t="s">
        <v>3982</v>
      </c>
      <c r="N856" s="460">
        <v>60201</v>
      </c>
      <c r="O856" s="460" t="s">
        <v>5178</v>
      </c>
      <c r="P856" s="82"/>
      <c r="Q856" s="102"/>
      <c r="R856" s="102"/>
      <c r="S856" s="102">
        <v>10058</v>
      </c>
      <c r="T856" s="102"/>
      <c r="U856" s="82">
        <v>50</v>
      </c>
      <c r="V856" s="82">
        <v>0</v>
      </c>
      <c r="W856" s="82">
        <v>0</v>
      </c>
      <c r="X856" s="82"/>
      <c r="Y856" s="82"/>
      <c r="Z856" s="463">
        <f>ROUND(AY856*(30+G856^1.5)*AX856,0)</f>
        <v>126342</v>
      </c>
      <c r="AA856" s="82"/>
      <c r="AB856" s="105"/>
      <c r="AC856" s="105"/>
      <c r="AD856" s="82"/>
      <c r="AE856" s="82"/>
      <c r="AF856" s="82" t="str">
        <f t="shared" si="124"/>
        <v>title([36级]狩猎疾走龙[蓝])
body(hotyellow_3(任务进程:)newline()
   狩猎goto(10058,3)，去找goto(60201,3)。
blankline()hot3(任务描述:)blankline()
space()space()space()player()，我这里有一份有关消灭凤城疾走龙的委托单，如果你有兴趣的话，就由你来完成吧！)</v>
      </c>
      <c r="AG856" s="443" t="s">
        <v>3991</v>
      </c>
      <c r="AH856" s="82" t="s">
        <v>291</v>
      </c>
      <c r="AI856" s="82" t="s">
        <v>2787</v>
      </c>
      <c r="AJ856" s="82" t="s">
        <v>6392</v>
      </c>
      <c r="AK856" s="82"/>
      <c r="AL856" s="83">
        <v>0</v>
      </c>
      <c r="AM856" s="443" t="str">
        <f t="shared" ref="AM856:AM919" si="127">"&lt;p&gt;
&lt;n&gt;  狩猎：&lt;/n&gt;
 &lt;n&gt; &lt;/n&gt;&lt;goto id="""&amp;S856&amp;""" mapid="""&amp;F856&amp;""" flagpoint=""1"" taskid="""&amp;A856&amp;""" quick=""1""/&gt;
&lt;/p&gt;"</f>
        <v>&lt;p&gt;
&lt;n&gt;  狩猎：&lt;/n&gt;
 &lt;n&gt; &lt;/n&gt;&lt;goto id="10058" mapid="3" flagpoint="1" taskid="12183" quick="1"/&gt;
&lt;/p&gt;</v>
      </c>
      <c r="AN856" s="443" t="str">
        <f t="shared" si="125"/>
        <v>&lt;p&gt;
&lt;n&gt;  交：&lt;/n&gt;
 &lt;n&gt; &lt;/n&gt;&lt;goto id="60201" mapid="3" flagpoint="1" taskid="12183" quick="1"/&gt;&lt;/p&gt;</v>
      </c>
      <c r="AO856" s="82"/>
      <c r="AP856" s="82">
        <v>0</v>
      </c>
      <c r="AQ856" s="82">
        <v>1</v>
      </c>
      <c r="AR856" s="101">
        <v>0</v>
      </c>
      <c r="AS856" s="82">
        <v>0</v>
      </c>
      <c r="AT856" s="82">
        <v>1</v>
      </c>
      <c r="AU856" s="101">
        <v>0</v>
      </c>
      <c r="AV856" s="17">
        <f t="shared" si="119"/>
        <v>0</v>
      </c>
      <c r="AW856" s="82" t="str">
        <f t="shared" si="126"/>
        <v>{s_taskKillNpc, {60201,60201,10058,50}}</v>
      </c>
      <c r="AX856" s="460">
        <v>1.3</v>
      </c>
      <c r="AY856" s="472">
        <v>34</v>
      </c>
    </row>
    <row r="857" spans="1:51" s="472" customFormat="1" ht="84.75" thickBot="1" x14ac:dyDescent="0.2">
      <c r="A857" s="466">
        <v>12184</v>
      </c>
      <c r="B857" s="82"/>
      <c r="C857" s="82" t="s">
        <v>2594</v>
      </c>
      <c r="D857" s="82">
        <v>2</v>
      </c>
      <c r="E857" s="82">
        <v>0</v>
      </c>
      <c r="F857" s="82">
        <v>3</v>
      </c>
      <c r="G857" s="120">
        <v>200</v>
      </c>
      <c r="H857" s="82">
        <v>200</v>
      </c>
      <c r="I857" s="17">
        <v>0</v>
      </c>
      <c r="J857" s="461">
        <v>0</v>
      </c>
      <c r="K857" s="82">
        <v>0</v>
      </c>
      <c r="L857" s="460">
        <v>60201</v>
      </c>
      <c r="M857" s="460" t="s">
        <v>3982</v>
      </c>
      <c r="N857" s="460">
        <v>60201</v>
      </c>
      <c r="O857" s="460" t="s">
        <v>5178</v>
      </c>
      <c r="P857" s="82"/>
      <c r="Q857" s="102"/>
      <c r="R857" s="102"/>
      <c r="S857" s="102">
        <v>10058</v>
      </c>
      <c r="T857" s="102"/>
      <c r="U857" s="82">
        <v>50</v>
      </c>
      <c r="V857" s="82">
        <v>0</v>
      </c>
      <c r="W857" s="82">
        <v>0</v>
      </c>
      <c r="X857" s="82"/>
      <c r="Y857" s="82"/>
      <c r="Z857" s="463">
        <f>ROUND(AY857*(30+G857^1.5)*AX857,0)</f>
        <v>155498</v>
      </c>
      <c r="AA857" s="82"/>
      <c r="AB857" s="105"/>
      <c r="AC857" s="105"/>
      <c r="AD857" s="82"/>
      <c r="AE857" s="82"/>
      <c r="AF857" s="82" t="str">
        <f t="shared" si="124"/>
        <v>title([36级]狩猎疾走龙[黄])
body(hotyellow_3(任务进程:)newline()
   狩猎goto(10058,3)，去找goto(60201,3)。
blankline()hot3(任务描述:)blankline()
space()space()space()player()，我这里有一份有关消灭凤城疾走龙的委托单，如果你有兴趣的话，就由你来完成吧！)</v>
      </c>
      <c r="AG857" s="443" t="s">
        <v>3992</v>
      </c>
      <c r="AH857" s="82" t="s">
        <v>291</v>
      </c>
      <c r="AI857" s="82" t="s">
        <v>292</v>
      </c>
      <c r="AJ857" s="82" t="s">
        <v>6392</v>
      </c>
      <c r="AK857" s="82"/>
      <c r="AL857" s="83">
        <v>0</v>
      </c>
      <c r="AM857" s="443" t="str">
        <f t="shared" si="127"/>
        <v>&lt;p&gt;
&lt;n&gt;  狩猎：&lt;/n&gt;
 &lt;n&gt; &lt;/n&gt;&lt;goto id="10058" mapid="3" flagpoint="1" taskid="12184" quick="1"/&gt;
&lt;/p&gt;</v>
      </c>
      <c r="AN857" s="443" t="str">
        <f t="shared" si="125"/>
        <v>&lt;p&gt;
&lt;n&gt;  交：&lt;/n&gt;
 &lt;n&gt; &lt;/n&gt;&lt;goto id="60201" mapid="3" flagpoint="1" taskid="12184" quick="1"/&gt;&lt;/p&gt;</v>
      </c>
      <c r="AO857" s="82"/>
      <c r="AP857" s="82">
        <v>0</v>
      </c>
      <c r="AQ857" s="82">
        <v>1</v>
      </c>
      <c r="AR857" s="101">
        <v>0</v>
      </c>
      <c r="AS857" s="82">
        <v>0</v>
      </c>
      <c r="AT857" s="82">
        <v>1</v>
      </c>
      <c r="AU857" s="101">
        <v>0</v>
      </c>
      <c r="AV857" s="17">
        <f t="shared" si="119"/>
        <v>0</v>
      </c>
      <c r="AW857" s="82" t="str">
        <f t="shared" si="126"/>
        <v>{s_taskKillNpc, {60201,60201,10058,50}}</v>
      </c>
      <c r="AX857" s="460">
        <v>1.6</v>
      </c>
      <c r="AY857" s="472">
        <v>34</v>
      </c>
    </row>
    <row r="858" spans="1:51" s="472" customFormat="1" ht="84.75" thickBot="1" x14ac:dyDescent="0.2">
      <c r="A858" s="466">
        <v>12185</v>
      </c>
      <c r="B858" s="82"/>
      <c r="C858" s="82" t="s">
        <v>2619</v>
      </c>
      <c r="D858" s="82">
        <v>2</v>
      </c>
      <c r="E858" s="82">
        <v>0</v>
      </c>
      <c r="F858" s="82">
        <v>3</v>
      </c>
      <c r="G858" s="120">
        <v>200</v>
      </c>
      <c r="H858" s="82">
        <v>200</v>
      </c>
      <c r="I858" s="17">
        <v>0</v>
      </c>
      <c r="J858" s="461">
        <v>0</v>
      </c>
      <c r="K858" s="82">
        <v>0</v>
      </c>
      <c r="L858" s="460">
        <v>60201</v>
      </c>
      <c r="M858" s="460" t="s">
        <v>3982</v>
      </c>
      <c r="N858" s="460">
        <v>60201</v>
      </c>
      <c r="O858" s="460" t="s">
        <v>5178</v>
      </c>
      <c r="P858" s="82"/>
      <c r="Q858" s="102"/>
      <c r="R858" s="102"/>
      <c r="S858" s="102">
        <v>10058</v>
      </c>
      <c r="T858" s="102"/>
      <c r="U858" s="82">
        <v>50</v>
      </c>
      <c r="V858" s="82">
        <v>0</v>
      </c>
      <c r="W858" s="82">
        <v>0</v>
      </c>
      <c r="X858" s="82"/>
      <c r="Y858" s="82"/>
      <c r="Z858" s="463">
        <f>ROUND(AY858*(30+G858^1.5)*AX858,0)</f>
        <v>213810</v>
      </c>
      <c r="AA858" s="82"/>
      <c r="AB858" s="105"/>
      <c r="AC858" s="105"/>
      <c r="AD858" s="82"/>
      <c r="AE858" s="82"/>
      <c r="AF858" s="82" t="str">
        <f t="shared" si="124"/>
        <v>title([36级]狩猎疾走龙[绿])
body(hotyellow_3(任务进程:)newline()
   狩猎goto(10058,3)，去找goto(60201,3)。
blankline()hot3(任务描述:)blankline()
space()space()space()player()，我这里有一份有关消灭凤城疾走龙的委托单，如果你有兴趣的话，就由你来完成吧！)</v>
      </c>
      <c r="AG858" s="443" t="s">
        <v>3993</v>
      </c>
      <c r="AH858" s="82" t="s">
        <v>291</v>
      </c>
      <c r="AI858" s="82" t="s">
        <v>292</v>
      </c>
      <c r="AJ858" s="82" t="s">
        <v>6392</v>
      </c>
      <c r="AK858" s="82"/>
      <c r="AL858" s="83">
        <v>0</v>
      </c>
      <c r="AM858" s="443" t="str">
        <f t="shared" si="127"/>
        <v>&lt;p&gt;
&lt;n&gt;  狩猎：&lt;/n&gt;
 &lt;n&gt; &lt;/n&gt;&lt;goto id="10058" mapid="3" flagpoint="1" taskid="12185" quick="1"/&gt;
&lt;/p&gt;</v>
      </c>
      <c r="AN858" s="443" t="str">
        <f t="shared" si="125"/>
        <v>&lt;p&gt;
&lt;n&gt;  交：&lt;/n&gt;
 &lt;n&gt; &lt;/n&gt;&lt;goto id="60201" mapid="3" flagpoint="1" taskid="12185" quick="1"/&gt;&lt;/p&gt;</v>
      </c>
      <c r="AO858" s="82"/>
      <c r="AP858" s="82">
        <v>0</v>
      </c>
      <c r="AQ858" s="82">
        <v>1</v>
      </c>
      <c r="AR858" s="101">
        <v>0</v>
      </c>
      <c r="AS858" s="82">
        <v>0</v>
      </c>
      <c r="AT858" s="82">
        <v>1</v>
      </c>
      <c r="AU858" s="101">
        <v>0</v>
      </c>
      <c r="AV858" s="17">
        <f t="shared" si="119"/>
        <v>0</v>
      </c>
      <c r="AW858" s="82" t="str">
        <f t="shared" si="126"/>
        <v>{s_taskKillNpc, {60201,60201,10058,50}}</v>
      </c>
      <c r="AX858" s="460">
        <v>2.2000000000000002</v>
      </c>
      <c r="AY858" s="472">
        <v>34</v>
      </c>
    </row>
    <row r="859" spans="1:51" s="473" customFormat="1" ht="84.75" thickBot="1" x14ac:dyDescent="0.2">
      <c r="A859" s="467">
        <v>12186</v>
      </c>
      <c r="B859" s="468"/>
      <c r="C859" s="468" t="s">
        <v>2644</v>
      </c>
      <c r="D859" s="468">
        <v>2</v>
      </c>
      <c r="E859" s="468">
        <v>0</v>
      </c>
      <c r="F859" s="468">
        <v>3</v>
      </c>
      <c r="G859" s="120">
        <v>200</v>
      </c>
      <c r="H859" s="468">
        <v>200</v>
      </c>
      <c r="I859" s="17">
        <v>0</v>
      </c>
      <c r="J859" s="461">
        <v>0</v>
      </c>
      <c r="K859" s="468">
        <v>0</v>
      </c>
      <c r="L859" s="460">
        <v>60201</v>
      </c>
      <c r="M859" s="460" t="s">
        <v>3982</v>
      </c>
      <c r="N859" s="460">
        <v>60201</v>
      </c>
      <c r="O859" s="460" t="s">
        <v>5178</v>
      </c>
      <c r="P859" s="468"/>
      <c r="Q859" s="469"/>
      <c r="R859" s="469"/>
      <c r="S859" s="469">
        <v>10058</v>
      </c>
      <c r="T859" s="469"/>
      <c r="U859" s="468">
        <v>50</v>
      </c>
      <c r="V859" s="468">
        <v>0</v>
      </c>
      <c r="W859" s="468">
        <v>0</v>
      </c>
      <c r="X859" s="468"/>
      <c r="Y859" s="468"/>
      <c r="Z859" s="463">
        <f>ROUND(AY859*(30+G859^1.5)*AX859,0)</f>
        <v>291560</v>
      </c>
      <c r="AA859" s="468"/>
      <c r="AB859" s="470"/>
      <c r="AC859" s="470"/>
      <c r="AD859" s="468"/>
      <c r="AE859" s="468"/>
      <c r="AF859" s="468" t="str">
        <f t="shared" si="124"/>
        <v>title([36级]狩猎疾走龙[紫])
body(hotyellow_3(任务进程:)newline()
   狩猎goto(10058,3)，去找goto(60201,3)。
blankline()hot3(任务描述:)blankline()
space()space()space()player()，我这里有一份有关消灭凤城疾走龙的委托单，如果你有兴趣的话，就由你来完成吧！)</v>
      </c>
      <c r="AG859" s="452" t="s">
        <v>3994</v>
      </c>
      <c r="AH859" s="468" t="s">
        <v>291</v>
      </c>
      <c r="AI859" s="468" t="s">
        <v>292</v>
      </c>
      <c r="AJ859" s="468" t="s">
        <v>6392</v>
      </c>
      <c r="AK859" s="468"/>
      <c r="AL859" s="461">
        <v>0</v>
      </c>
      <c r="AM859" s="443" t="str">
        <f t="shared" si="127"/>
        <v>&lt;p&gt;
&lt;n&gt;  狩猎：&lt;/n&gt;
 &lt;n&gt; &lt;/n&gt;&lt;goto id="10058" mapid="3" flagpoint="1" taskid="12186" quick="1"/&gt;
&lt;/p&gt;</v>
      </c>
      <c r="AN859" s="443" t="str">
        <f t="shared" si="125"/>
        <v>&lt;p&gt;
&lt;n&gt;  交：&lt;/n&gt;
 &lt;n&gt; &lt;/n&gt;&lt;goto id="60201" mapid="3" flagpoint="1" taskid="12186" quick="1"/&gt;&lt;/p&gt;</v>
      </c>
      <c r="AO859" s="468"/>
      <c r="AP859" s="468">
        <v>0</v>
      </c>
      <c r="AQ859" s="82">
        <v>1</v>
      </c>
      <c r="AR859" s="101">
        <v>0</v>
      </c>
      <c r="AS859" s="468">
        <v>0</v>
      </c>
      <c r="AT859" s="468">
        <v>1</v>
      </c>
      <c r="AU859" s="101">
        <v>0</v>
      </c>
      <c r="AV859" s="17">
        <f t="shared" si="119"/>
        <v>0</v>
      </c>
      <c r="AW859" s="468" t="str">
        <f t="shared" si="126"/>
        <v>{s_taskKillNpc, {60201,60201,10058,50}}</v>
      </c>
      <c r="AX859" s="460">
        <v>3</v>
      </c>
      <c r="AY859" s="472">
        <v>34</v>
      </c>
    </row>
    <row r="860" spans="1:51" s="471" customFormat="1" ht="72.75" thickBot="1" x14ac:dyDescent="0.2">
      <c r="A860" s="459">
        <v>12191</v>
      </c>
      <c r="B860" s="460"/>
      <c r="C860" s="460" t="s">
        <v>2226</v>
      </c>
      <c r="D860" s="460">
        <v>2</v>
      </c>
      <c r="E860" s="460">
        <v>0</v>
      </c>
      <c r="F860" s="460">
        <v>3</v>
      </c>
      <c r="G860" s="120">
        <v>200</v>
      </c>
      <c r="H860" s="460">
        <v>200</v>
      </c>
      <c r="I860" s="17">
        <v>0</v>
      </c>
      <c r="J860" s="461">
        <v>0</v>
      </c>
      <c r="K860" s="460">
        <v>0</v>
      </c>
      <c r="L860" s="460">
        <v>60201</v>
      </c>
      <c r="M860" s="460" t="s">
        <v>3982</v>
      </c>
      <c r="N860" s="460">
        <v>60201</v>
      </c>
      <c r="O860" s="460" t="s">
        <v>5178</v>
      </c>
      <c r="P860" s="460"/>
      <c r="Q860" s="462"/>
      <c r="R860" s="462"/>
      <c r="S860" s="462">
        <v>10059</v>
      </c>
      <c r="T860" s="462"/>
      <c r="U860" s="460">
        <v>50</v>
      </c>
      <c r="V860" s="460">
        <v>0</v>
      </c>
      <c r="W860" s="460">
        <v>0</v>
      </c>
      <c r="X860" s="460"/>
      <c r="Y860" s="460"/>
      <c r="Z860" s="463"/>
      <c r="AA860" s="460"/>
      <c r="AB860" s="464"/>
      <c r="AC860" s="464"/>
      <c r="AD860" s="460"/>
      <c r="AE860" s="460"/>
      <c r="AF860" s="460" t="str">
        <f t="shared" ref="AF860:AF865" si="128">"title("&amp;C860&amp;")
body(hotyellow_3(任务进程:)newline()
   狩猎goto(10059,3)，去找goto(60201,3)。
blankline()hotyellow_3(任务描述:)newline() 
space()space()space()player()，我这里有一份有关消灭凤城翼龙的委托单，如果你有兴趣的话，就由你来完成吧！)"</f>
        <v>title([37级]狩猎翼龙)
body(hotyellow_3(任务进程:)newline()
   狩猎goto(10059,3)，去找goto(60201,3)。
blankline()hotyellow_3(任务描述:)newline() 
space()space()space()player()，我这里有一份有关消灭凤城翼龙的委托单，如果你有兴趣的话，就由你来完成吧！)</v>
      </c>
      <c r="AG860" s="437" t="s">
        <v>3989</v>
      </c>
      <c r="AH860" s="460" t="s">
        <v>291</v>
      </c>
      <c r="AI860" s="460" t="s">
        <v>292</v>
      </c>
      <c r="AJ860" s="460" t="s">
        <v>6393</v>
      </c>
      <c r="AK860" s="460"/>
      <c r="AL860" s="465">
        <v>0</v>
      </c>
      <c r="AM860" s="443" t="str">
        <f t="shared" si="127"/>
        <v>&lt;p&gt;
&lt;n&gt;  狩猎：&lt;/n&gt;
 &lt;n&gt; &lt;/n&gt;&lt;goto id="10059" mapid="3" flagpoint="1" taskid="12191" quick="1"/&gt;
&lt;/p&gt;</v>
      </c>
      <c r="AN860" s="443" t="str">
        <f t="shared" si="125"/>
        <v>&lt;p&gt;
&lt;n&gt;  交：&lt;/n&gt;
 &lt;n&gt; &lt;/n&gt;&lt;goto id="60201" mapid="3" flagpoint="1" taskid="12191" quick="1"/&gt;&lt;/p&gt;</v>
      </c>
      <c r="AO860" s="460"/>
      <c r="AP860" s="460">
        <v>1</v>
      </c>
      <c r="AQ860" s="460">
        <v>0</v>
      </c>
      <c r="AR860" s="101">
        <v>0</v>
      </c>
      <c r="AS860" s="460">
        <v>0</v>
      </c>
      <c r="AT860" s="460">
        <v>1</v>
      </c>
      <c r="AU860" s="101">
        <v>0</v>
      </c>
      <c r="AV860" s="17">
        <f t="shared" si="119"/>
        <v>0</v>
      </c>
      <c r="AW860" s="460" t="str">
        <f t="shared" si="126"/>
        <v>{s_taskKillNpc, {60201,60201,10059,50}}</v>
      </c>
      <c r="AX860" s="460"/>
    </row>
    <row r="861" spans="1:51" s="472" customFormat="1" ht="72.75" thickBot="1" x14ac:dyDescent="0.2">
      <c r="A861" s="466">
        <v>12192</v>
      </c>
      <c r="B861" s="82"/>
      <c r="C861" s="82" t="s">
        <v>2545</v>
      </c>
      <c r="D861" s="82">
        <v>2</v>
      </c>
      <c r="E861" s="82">
        <v>0</v>
      </c>
      <c r="F861" s="82">
        <v>3</v>
      </c>
      <c r="G861" s="120">
        <v>200</v>
      </c>
      <c r="H861" s="82">
        <v>200</v>
      </c>
      <c r="I861" s="17">
        <v>0</v>
      </c>
      <c r="J861" s="461">
        <v>0</v>
      </c>
      <c r="K861" s="82">
        <v>0</v>
      </c>
      <c r="L861" s="460">
        <v>60201</v>
      </c>
      <c r="M861" s="460" t="s">
        <v>3982</v>
      </c>
      <c r="N861" s="460">
        <v>60201</v>
      </c>
      <c r="O861" s="460" t="s">
        <v>5178</v>
      </c>
      <c r="P861" s="82"/>
      <c r="Q861" s="102"/>
      <c r="R861" s="102"/>
      <c r="S861" s="102">
        <v>10059</v>
      </c>
      <c r="T861" s="102"/>
      <c r="U861" s="82">
        <v>50</v>
      </c>
      <c r="V861" s="82">
        <v>0</v>
      </c>
      <c r="W861" s="82">
        <v>0</v>
      </c>
      <c r="X861" s="82"/>
      <c r="Y861" s="82"/>
      <c r="Z861" s="463">
        <f>ROUND(AY861*(30+G861^1.5)*AX861,0)</f>
        <v>97187</v>
      </c>
      <c r="AA861" s="82"/>
      <c r="AB861" s="105"/>
      <c r="AC861" s="105"/>
      <c r="AD861" s="82"/>
      <c r="AE861" s="82"/>
      <c r="AF861" s="82" t="str">
        <f t="shared" si="128"/>
        <v>title([37级]狩猎翼龙[白])
body(hotyellow_3(任务进程:)newline()
   狩猎goto(10059,3)，去找goto(60201,3)。
blankline()hotyellow_3(任务描述:)newline() 
space()space()space()player()，我这里有一份有关消灭凤城翼龙的委托单，如果你有兴趣的话，就由你来完成吧！)</v>
      </c>
      <c r="AG861" s="443" t="s">
        <v>3990</v>
      </c>
      <c r="AH861" s="82" t="s">
        <v>291</v>
      </c>
      <c r="AI861" s="82" t="s">
        <v>292</v>
      </c>
      <c r="AJ861" s="82" t="s">
        <v>6393</v>
      </c>
      <c r="AK861" s="82"/>
      <c r="AL861" s="83">
        <v>0</v>
      </c>
      <c r="AM861" s="443" t="str">
        <f t="shared" si="127"/>
        <v>&lt;p&gt;
&lt;n&gt;  狩猎：&lt;/n&gt;
 &lt;n&gt; &lt;/n&gt;&lt;goto id="10059" mapid="3" flagpoint="1" taskid="12192" quick="1"/&gt;
&lt;/p&gt;</v>
      </c>
      <c r="AN861" s="443" t="str">
        <f t="shared" si="125"/>
        <v>&lt;p&gt;
&lt;n&gt;  交：&lt;/n&gt;
 &lt;n&gt; &lt;/n&gt;&lt;goto id="60201" mapid="3" flagpoint="1" taskid="12192" quick="1"/&gt;&lt;/p&gt;</v>
      </c>
      <c r="AO861" s="82"/>
      <c r="AP861" s="82">
        <v>0</v>
      </c>
      <c r="AQ861" s="82">
        <v>1</v>
      </c>
      <c r="AR861" s="101">
        <v>0</v>
      </c>
      <c r="AS861" s="82">
        <v>0</v>
      </c>
      <c r="AT861" s="82">
        <v>1</v>
      </c>
      <c r="AU861" s="101">
        <v>0</v>
      </c>
      <c r="AV861" s="17">
        <f t="shared" si="119"/>
        <v>0</v>
      </c>
      <c r="AW861" s="82" t="str">
        <f t="shared" si="126"/>
        <v>{s_taskKillNpc, {60201,60201,10059,50}}</v>
      </c>
      <c r="AX861" s="460">
        <v>1</v>
      </c>
      <c r="AY861" s="472">
        <v>34</v>
      </c>
    </row>
    <row r="862" spans="1:51" s="472" customFormat="1" ht="72.75" thickBot="1" x14ac:dyDescent="0.2">
      <c r="A862" s="466">
        <v>12193</v>
      </c>
      <c r="B862" s="82"/>
      <c r="C862" s="82" t="s">
        <v>2570</v>
      </c>
      <c r="D862" s="82">
        <v>2</v>
      </c>
      <c r="E862" s="82">
        <v>0</v>
      </c>
      <c r="F862" s="82">
        <v>3</v>
      </c>
      <c r="G862" s="120">
        <v>200</v>
      </c>
      <c r="H862" s="82">
        <v>200</v>
      </c>
      <c r="I862" s="17">
        <v>0</v>
      </c>
      <c r="J862" s="461">
        <v>0</v>
      </c>
      <c r="K862" s="82">
        <v>0</v>
      </c>
      <c r="L862" s="460">
        <v>60201</v>
      </c>
      <c r="M862" s="460" t="s">
        <v>3982</v>
      </c>
      <c r="N862" s="460">
        <v>60201</v>
      </c>
      <c r="O862" s="460" t="s">
        <v>5178</v>
      </c>
      <c r="P862" s="82"/>
      <c r="Q862" s="102"/>
      <c r="R862" s="102"/>
      <c r="S862" s="102">
        <v>10059</v>
      </c>
      <c r="T862" s="102"/>
      <c r="U862" s="82">
        <v>50</v>
      </c>
      <c r="V862" s="82">
        <v>0</v>
      </c>
      <c r="W862" s="82">
        <v>0</v>
      </c>
      <c r="X862" s="82"/>
      <c r="Y862" s="82"/>
      <c r="Z862" s="463">
        <f>ROUND(AY862*(30+G862^1.5)*AX862,0)</f>
        <v>126342</v>
      </c>
      <c r="AA862" s="82"/>
      <c r="AB862" s="105"/>
      <c r="AC862" s="105"/>
      <c r="AD862" s="82"/>
      <c r="AE862" s="82"/>
      <c r="AF862" s="82" t="str">
        <f t="shared" si="128"/>
        <v>title([37级]狩猎翼龙[蓝])
body(hotyellow_3(任务进程:)newline()
   狩猎goto(10059,3)，去找goto(60201,3)。
blankline()hotyellow_3(任务描述:)newline() 
space()space()space()player()，我这里有一份有关消灭凤城翼龙的委托单，如果你有兴趣的话，就由你来完成吧！)</v>
      </c>
      <c r="AG862" s="443" t="s">
        <v>3991</v>
      </c>
      <c r="AH862" s="82" t="s">
        <v>291</v>
      </c>
      <c r="AI862" s="82" t="s">
        <v>292</v>
      </c>
      <c r="AJ862" s="82" t="s">
        <v>6393</v>
      </c>
      <c r="AK862" s="82"/>
      <c r="AL862" s="83">
        <v>0</v>
      </c>
      <c r="AM862" s="443" t="str">
        <f t="shared" si="127"/>
        <v>&lt;p&gt;
&lt;n&gt;  狩猎：&lt;/n&gt;
 &lt;n&gt; &lt;/n&gt;&lt;goto id="10059" mapid="3" flagpoint="1" taskid="12193" quick="1"/&gt;
&lt;/p&gt;</v>
      </c>
      <c r="AN862" s="443" t="str">
        <f t="shared" si="125"/>
        <v>&lt;p&gt;
&lt;n&gt;  交：&lt;/n&gt;
 &lt;n&gt; &lt;/n&gt;&lt;goto id="60201" mapid="3" flagpoint="1" taskid="12193" quick="1"/&gt;&lt;/p&gt;</v>
      </c>
      <c r="AO862" s="82"/>
      <c r="AP862" s="82">
        <v>0</v>
      </c>
      <c r="AQ862" s="82">
        <v>1</v>
      </c>
      <c r="AR862" s="101">
        <v>0</v>
      </c>
      <c r="AS862" s="82">
        <v>0</v>
      </c>
      <c r="AT862" s="82">
        <v>1</v>
      </c>
      <c r="AU862" s="101">
        <v>0</v>
      </c>
      <c r="AV862" s="17">
        <f t="shared" si="119"/>
        <v>0</v>
      </c>
      <c r="AW862" s="82" t="str">
        <f t="shared" si="126"/>
        <v>{s_taskKillNpc, {60201,60201,10059,50}}</v>
      </c>
      <c r="AX862" s="460">
        <v>1.3</v>
      </c>
      <c r="AY862" s="472">
        <v>34</v>
      </c>
    </row>
    <row r="863" spans="1:51" s="472" customFormat="1" ht="72.75" thickBot="1" x14ac:dyDescent="0.2">
      <c r="A863" s="466">
        <v>12194</v>
      </c>
      <c r="B863" s="82"/>
      <c r="C863" s="82" t="s">
        <v>2595</v>
      </c>
      <c r="D863" s="82">
        <v>2</v>
      </c>
      <c r="E863" s="82">
        <v>0</v>
      </c>
      <c r="F863" s="82">
        <v>3</v>
      </c>
      <c r="G863" s="120">
        <v>200</v>
      </c>
      <c r="H863" s="82">
        <v>200</v>
      </c>
      <c r="I863" s="17">
        <v>0</v>
      </c>
      <c r="J863" s="461">
        <v>0</v>
      </c>
      <c r="K863" s="82">
        <v>0</v>
      </c>
      <c r="L863" s="460">
        <v>60201</v>
      </c>
      <c r="M863" s="460" t="s">
        <v>3982</v>
      </c>
      <c r="N863" s="460">
        <v>60201</v>
      </c>
      <c r="O863" s="460" t="s">
        <v>5178</v>
      </c>
      <c r="P863" s="82"/>
      <c r="Q863" s="102"/>
      <c r="R863" s="102"/>
      <c r="S863" s="102">
        <v>10059</v>
      </c>
      <c r="T863" s="102"/>
      <c r="U863" s="82">
        <v>50</v>
      </c>
      <c r="V863" s="82">
        <v>0</v>
      </c>
      <c r="W863" s="82">
        <v>0</v>
      </c>
      <c r="X863" s="82"/>
      <c r="Y863" s="82"/>
      <c r="Z863" s="463">
        <f>ROUND(AY863*(30+G863^1.5)*AX863,0)</f>
        <v>155498</v>
      </c>
      <c r="AA863" s="82"/>
      <c r="AB863" s="105"/>
      <c r="AC863" s="105"/>
      <c r="AD863" s="82"/>
      <c r="AE863" s="82"/>
      <c r="AF863" s="82" t="str">
        <f t="shared" si="128"/>
        <v>title([37级]狩猎翼龙[黄])
body(hotyellow_3(任务进程:)newline()
   狩猎goto(10059,3)，去找goto(60201,3)。
blankline()hotyellow_3(任务描述:)newline() 
space()space()space()player()，我这里有一份有关消灭凤城翼龙的委托单，如果你有兴趣的话，就由你来完成吧！)</v>
      </c>
      <c r="AG863" s="443" t="s">
        <v>3992</v>
      </c>
      <c r="AH863" s="82" t="s">
        <v>291</v>
      </c>
      <c r="AI863" s="82" t="s">
        <v>292</v>
      </c>
      <c r="AJ863" s="82" t="s">
        <v>6393</v>
      </c>
      <c r="AK863" s="82"/>
      <c r="AL863" s="83">
        <v>0</v>
      </c>
      <c r="AM863" s="443" t="str">
        <f t="shared" si="127"/>
        <v>&lt;p&gt;
&lt;n&gt;  狩猎：&lt;/n&gt;
 &lt;n&gt; &lt;/n&gt;&lt;goto id="10059" mapid="3" flagpoint="1" taskid="12194" quick="1"/&gt;
&lt;/p&gt;</v>
      </c>
      <c r="AN863" s="443" t="str">
        <f t="shared" si="125"/>
        <v>&lt;p&gt;
&lt;n&gt;  交：&lt;/n&gt;
 &lt;n&gt; &lt;/n&gt;&lt;goto id="60201" mapid="3" flagpoint="1" taskid="12194" quick="1"/&gt;&lt;/p&gt;</v>
      </c>
      <c r="AO863" s="82"/>
      <c r="AP863" s="82">
        <v>0</v>
      </c>
      <c r="AQ863" s="82">
        <v>1</v>
      </c>
      <c r="AR863" s="101">
        <v>0</v>
      </c>
      <c r="AS863" s="82">
        <v>0</v>
      </c>
      <c r="AT863" s="82">
        <v>1</v>
      </c>
      <c r="AU863" s="101">
        <v>0</v>
      </c>
      <c r="AV863" s="17">
        <f t="shared" si="119"/>
        <v>0</v>
      </c>
      <c r="AW863" s="82" t="str">
        <f t="shared" si="126"/>
        <v>{s_taskKillNpc, {60201,60201,10059,50}}</v>
      </c>
      <c r="AX863" s="460">
        <v>1.6</v>
      </c>
      <c r="AY863" s="472">
        <v>34</v>
      </c>
    </row>
    <row r="864" spans="1:51" s="472" customFormat="1" ht="72.75" thickBot="1" x14ac:dyDescent="0.2">
      <c r="A864" s="466">
        <v>12195</v>
      </c>
      <c r="B864" s="82"/>
      <c r="C864" s="82" t="s">
        <v>2620</v>
      </c>
      <c r="D864" s="82">
        <v>2</v>
      </c>
      <c r="E864" s="82">
        <v>0</v>
      </c>
      <c r="F864" s="82">
        <v>3</v>
      </c>
      <c r="G864" s="120">
        <v>200</v>
      </c>
      <c r="H864" s="82">
        <v>200</v>
      </c>
      <c r="I864" s="17">
        <v>0</v>
      </c>
      <c r="J864" s="461">
        <v>0</v>
      </c>
      <c r="K864" s="82">
        <v>0</v>
      </c>
      <c r="L864" s="460">
        <v>60201</v>
      </c>
      <c r="M864" s="460" t="s">
        <v>3982</v>
      </c>
      <c r="N864" s="460">
        <v>60201</v>
      </c>
      <c r="O864" s="460" t="s">
        <v>5178</v>
      </c>
      <c r="P864" s="82"/>
      <c r="Q864" s="102"/>
      <c r="R864" s="102"/>
      <c r="S864" s="102">
        <v>10059</v>
      </c>
      <c r="T864" s="102"/>
      <c r="U864" s="82">
        <v>50</v>
      </c>
      <c r="V864" s="82">
        <v>0</v>
      </c>
      <c r="W864" s="82">
        <v>0</v>
      </c>
      <c r="X864" s="82"/>
      <c r="Y864" s="82"/>
      <c r="Z864" s="463">
        <f>ROUND(AY864*(30+G864^1.5)*AX864,0)</f>
        <v>213810</v>
      </c>
      <c r="AA864" s="82"/>
      <c r="AB864" s="105"/>
      <c r="AC864" s="105"/>
      <c r="AD864" s="82"/>
      <c r="AE864" s="82"/>
      <c r="AF864" s="82" t="str">
        <f t="shared" si="128"/>
        <v>title([37级]狩猎翼龙[绿])
body(hotyellow_3(任务进程:)newline()
   狩猎goto(10059,3)，去找goto(60201,3)。
blankline()hotyellow_3(任务描述:)newline() 
space()space()space()player()，我这里有一份有关消灭凤城翼龙的委托单，如果你有兴趣的话，就由你来完成吧！)</v>
      </c>
      <c r="AG864" s="443" t="s">
        <v>3993</v>
      </c>
      <c r="AH864" s="82" t="s">
        <v>291</v>
      </c>
      <c r="AI864" s="82" t="s">
        <v>292</v>
      </c>
      <c r="AJ864" s="82" t="s">
        <v>6393</v>
      </c>
      <c r="AK864" s="82"/>
      <c r="AL864" s="83">
        <v>0</v>
      </c>
      <c r="AM864" s="443" t="str">
        <f t="shared" si="127"/>
        <v>&lt;p&gt;
&lt;n&gt;  狩猎：&lt;/n&gt;
 &lt;n&gt; &lt;/n&gt;&lt;goto id="10059" mapid="3" flagpoint="1" taskid="12195" quick="1"/&gt;
&lt;/p&gt;</v>
      </c>
      <c r="AN864" s="443" t="str">
        <f t="shared" si="125"/>
        <v>&lt;p&gt;
&lt;n&gt;  交：&lt;/n&gt;
 &lt;n&gt; &lt;/n&gt;&lt;goto id="60201" mapid="3" flagpoint="1" taskid="12195" quick="1"/&gt;&lt;/p&gt;</v>
      </c>
      <c r="AO864" s="82"/>
      <c r="AP864" s="82">
        <v>0</v>
      </c>
      <c r="AQ864" s="82">
        <v>1</v>
      </c>
      <c r="AR864" s="101">
        <v>0</v>
      </c>
      <c r="AS864" s="82">
        <v>0</v>
      </c>
      <c r="AT864" s="82">
        <v>1</v>
      </c>
      <c r="AU864" s="101">
        <v>0</v>
      </c>
      <c r="AV864" s="17">
        <f t="shared" si="119"/>
        <v>0</v>
      </c>
      <c r="AW864" s="82" t="str">
        <f t="shared" si="126"/>
        <v>{s_taskKillNpc, {60201,60201,10059,50}}</v>
      </c>
      <c r="AX864" s="460">
        <v>2.2000000000000002</v>
      </c>
      <c r="AY864" s="472">
        <v>34</v>
      </c>
    </row>
    <row r="865" spans="1:51" s="473" customFormat="1" ht="72.75" thickBot="1" x14ac:dyDescent="0.2">
      <c r="A865" s="467">
        <v>12196</v>
      </c>
      <c r="B865" s="468"/>
      <c r="C865" s="468" t="s">
        <v>2645</v>
      </c>
      <c r="D865" s="468">
        <v>2</v>
      </c>
      <c r="E865" s="468">
        <v>0</v>
      </c>
      <c r="F865" s="468">
        <v>3</v>
      </c>
      <c r="G865" s="120">
        <v>200</v>
      </c>
      <c r="H865" s="468">
        <v>200</v>
      </c>
      <c r="I865" s="17">
        <v>0</v>
      </c>
      <c r="J865" s="461">
        <v>0</v>
      </c>
      <c r="K865" s="468">
        <v>0</v>
      </c>
      <c r="L865" s="460">
        <v>60201</v>
      </c>
      <c r="M865" s="460" t="s">
        <v>3982</v>
      </c>
      <c r="N865" s="460">
        <v>60201</v>
      </c>
      <c r="O865" s="460" t="s">
        <v>5178</v>
      </c>
      <c r="P865" s="468"/>
      <c r="Q865" s="469"/>
      <c r="R865" s="469"/>
      <c r="S865" s="469">
        <v>10059</v>
      </c>
      <c r="T865" s="469"/>
      <c r="U865" s="468">
        <v>50</v>
      </c>
      <c r="V865" s="468">
        <v>0</v>
      </c>
      <c r="W865" s="468">
        <v>0</v>
      </c>
      <c r="X865" s="468"/>
      <c r="Y865" s="468"/>
      <c r="Z865" s="463">
        <f>ROUND(AY865*(30+G865^1.5)*AX865,0)</f>
        <v>291560</v>
      </c>
      <c r="AA865" s="468"/>
      <c r="AB865" s="470"/>
      <c r="AC865" s="470"/>
      <c r="AD865" s="468"/>
      <c r="AE865" s="468"/>
      <c r="AF865" s="468" t="str">
        <f t="shared" si="128"/>
        <v>title([37级]狩猎翼龙[紫])
body(hotyellow_3(任务进程:)newline()
   狩猎goto(10059,3)，去找goto(60201,3)。
blankline()hotyellow_3(任务描述:)newline() 
space()space()space()player()，我这里有一份有关消灭凤城翼龙的委托单，如果你有兴趣的话，就由你来完成吧！)</v>
      </c>
      <c r="AG865" s="452" t="s">
        <v>3994</v>
      </c>
      <c r="AH865" s="468" t="s">
        <v>291</v>
      </c>
      <c r="AI865" s="468" t="s">
        <v>292</v>
      </c>
      <c r="AJ865" s="468" t="s">
        <v>6393</v>
      </c>
      <c r="AK865" s="468"/>
      <c r="AL865" s="461">
        <v>0</v>
      </c>
      <c r="AM865" s="443" t="str">
        <f t="shared" si="127"/>
        <v>&lt;p&gt;
&lt;n&gt;  狩猎：&lt;/n&gt;
 &lt;n&gt; &lt;/n&gt;&lt;goto id="10059" mapid="3" flagpoint="1" taskid="12196" quick="1"/&gt;
&lt;/p&gt;</v>
      </c>
      <c r="AN865" s="443" t="str">
        <f t="shared" si="125"/>
        <v>&lt;p&gt;
&lt;n&gt;  交：&lt;/n&gt;
 &lt;n&gt; &lt;/n&gt;&lt;goto id="60201" mapid="3" flagpoint="1" taskid="12196" quick="1"/&gt;&lt;/p&gt;</v>
      </c>
      <c r="AO865" s="468"/>
      <c r="AP865" s="468">
        <v>0</v>
      </c>
      <c r="AQ865" s="82">
        <v>1</v>
      </c>
      <c r="AR865" s="101">
        <v>0</v>
      </c>
      <c r="AS865" s="468">
        <v>0</v>
      </c>
      <c r="AT865" s="468">
        <v>1</v>
      </c>
      <c r="AU865" s="101">
        <v>0</v>
      </c>
      <c r="AV865" s="17">
        <f t="shared" si="119"/>
        <v>0</v>
      </c>
      <c r="AW865" s="468" t="str">
        <f t="shared" si="126"/>
        <v>{s_taskKillNpc, {60201,60201,10059,50}}</v>
      </c>
      <c r="AX865" s="460">
        <v>3</v>
      </c>
      <c r="AY865" s="472">
        <v>34</v>
      </c>
    </row>
    <row r="866" spans="1:51" s="471" customFormat="1" ht="84.75" thickBot="1" x14ac:dyDescent="0.2">
      <c r="A866" s="459">
        <v>12201</v>
      </c>
      <c r="B866" s="460"/>
      <c r="C866" s="460" t="s">
        <v>2227</v>
      </c>
      <c r="D866" s="460">
        <v>2</v>
      </c>
      <c r="E866" s="460">
        <v>0</v>
      </c>
      <c r="F866" s="460">
        <v>3</v>
      </c>
      <c r="G866" s="120">
        <v>200</v>
      </c>
      <c r="H866" s="460">
        <v>200</v>
      </c>
      <c r="I866" s="17">
        <v>0</v>
      </c>
      <c r="J866" s="461">
        <v>0</v>
      </c>
      <c r="K866" s="460">
        <v>0</v>
      </c>
      <c r="L866" s="460">
        <v>60201</v>
      </c>
      <c r="M866" s="460" t="s">
        <v>3982</v>
      </c>
      <c r="N866" s="460">
        <v>60201</v>
      </c>
      <c r="O866" s="460" t="s">
        <v>5178</v>
      </c>
      <c r="P866" s="460"/>
      <c r="Q866" s="462"/>
      <c r="R866" s="462"/>
      <c r="S866" s="462">
        <v>10060</v>
      </c>
      <c r="T866" s="462"/>
      <c r="U866" s="460">
        <v>50</v>
      </c>
      <c r="V866" s="460">
        <v>0</v>
      </c>
      <c r="W866" s="460">
        <v>0</v>
      </c>
      <c r="X866" s="460"/>
      <c r="Y866" s="460"/>
      <c r="Z866" s="463"/>
      <c r="AA866" s="460"/>
      <c r="AB866" s="464"/>
      <c r="AC866" s="464"/>
      <c r="AD866" s="460"/>
      <c r="AE866" s="460"/>
      <c r="AF866" s="82" t="str">
        <f t="shared" ref="AF866:AF871" si="129">"title("&amp;C866&amp;")
body(hotyellow_3(任务进程:)newline()
   狩猎goto(10060,3)，去找goto(60201,3)。
blankline()hotyellow_3(任务描述:)newline() 
space()space()space()player()，我这里有一份有关消灭凤城毒蜘蛛的委托单，如果你有兴趣的话，就由你来完成吧！)"</f>
        <v>title([38级]狩猎毒蜘蛛)
body(hotyellow_3(任务进程:)newline()
   狩猎goto(10060,3)，去找goto(60201,3)。
blankline()hotyellow_3(任务描述:)newline() 
space()space()space()player()，我这里有一份有关消灭凤城毒蜘蛛的委托单，如果你有兴趣的话，就由你来完成吧！)</v>
      </c>
      <c r="AG866" s="437" t="s">
        <v>3989</v>
      </c>
      <c r="AH866" s="460" t="s">
        <v>291</v>
      </c>
      <c r="AI866" s="460" t="s">
        <v>292</v>
      </c>
      <c r="AJ866" s="460" t="s">
        <v>6394</v>
      </c>
      <c r="AK866" s="460"/>
      <c r="AL866" s="465">
        <v>0</v>
      </c>
      <c r="AM866" s="443" t="str">
        <f t="shared" si="127"/>
        <v>&lt;p&gt;
&lt;n&gt;  狩猎：&lt;/n&gt;
 &lt;n&gt; &lt;/n&gt;&lt;goto id="10060" mapid="3" flagpoint="1" taskid="12201" quick="1"/&gt;
&lt;/p&gt;</v>
      </c>
      <c r="AN866" s="443" t="str">
        <f t="shared" si="125"/>
        <v>&lt;p&gt;
&lt;n&gt;  交：&lt;/n&gt;
 &lt;n&gt; &lt;/n&gt;&lt;goto id="60201" mapid="3" flagpoint="1" taskid="12201" quick="1"/&gt;&lt;/p&gt;</v>
      </c>
      <c r="AO866" s="460"/>
      <c r="AP866" s="460">
        <v>1</v>
      </c>
      <c r="AQ866" s="460">
        <v>0</v>
      </c>
      <c r="AR866" s="101">
        <v>0</v>
      </c>
      <c r="AS866" s="460">
        <v>0</v>
      </c>
      <c r="AT866" s="460">
        <v>1</v>
      </c>
      <c r="AU866" s="101">
        <v>0</v>
      </c>
      <c r="AV866" s="17">
        <f t="shared" si="119"/>
        <v>0</v>
      </c>
      <c r="AW866" s="460" t="str">
        <f t="shared" si="126"/>
        <v>{s_taskKillNpc, {60201,60201,10060,50}}</v>
      </c>
      <c r="AX866" s="460"/>
    </row>
    <row r="867" spans="1:51" s="472" customFormat="1" ht="84.75" thickBot="1" x14ac:dyDescent="0.2">
      <c r="A867" s="466">
        <v>12202</v>
      </c>
      <c r="B867" s="82"/>
      <c r="C867" s="82" t="s">
        <v>2546</v>
      </c>
      <c r="D867" s="82">
        <v>2</v>
      </c>
      <c r="E867" s="82">
        <v>0</v>
      </c>
      <c r="F867" s="82">
        <v>3</v>
      </c>
      <c r="G867" s="120">
        <v>200</v>
      </c>
      <c r="H867" s="82">
        <v>200</v>
      </c>
      <c r="I867" s="17">
        <v>0</v>
      </c>
      <c r="J867" s="461">
        <v>0</v>
      </c>
      <c r="K867" s="82">
        <v>0</v>
      </c>
      <c r="L867" s="460">
        <v>60201</v>
      </c>
      <c r="M867" s="460" t="s">
        <v>3982</v>
      </c>
      <c r="N867" s="460">
        <v>60201</v>
      </c>
      <c r="O867" s="460" t="s">
        <v>5178</v>
      </c>
      <c r="P867" s="82"/>
      <c r="Q867" s="102"/>
      <c r="R867" s="102"/>
      <c r="S867" s="102">
        <v>10060</v>
      </c>
      <c r="T867" s="102"/>
      <c r="U867" s="82">
        <v>50</v>
      </c>
      <c r="V867" s="82">
        <v>0</v>
      </c>
      <c r="W867" s="82">
        <v>0</v>
      </c>
      <c r="X867" s="82"/>
      <c r="Y867" s="82"/>
      <c r="Z867" s="463">
        <f>ROUND(AY867*(30+G867^1.5)*AX867,0)</f>
        <v>97187</v>
      </c>
      <c r="AA867" s="82"/>
      <c r="AB867" s="105"/>
      <c r="AC867" s="105"/>
      <c r="AD867" s="82"/>
      <c r="AE867" s="82"/>
      <c r="AF867" s="82" t="str">
        <f t="shared" si="129"/>
        <v>title([38级]狩猎毒蜘蛛[白])
body(hotyellow_3(任务进程:)newline()
   狩猎goto(10060,3)，去找goto(60201,3)。
blankline()hotyellow_3(任务描述:)newline() 
space()space()space()player()，我这里有一份有关消灭凤城毒蜘蛛的委托单，如果你有兴趣的话，就由你来完成吧！)</v>
      </c>
      <c r="AG867" s="443" t="s">
        <v>3990</v>
      </c>
      <c r="AH867" s="82" t="s">
        <v>291</v>
      </c>
      <c r="AI867" s="82" t="s">
        <v>292</v>
      </c>
      <c r="AJ867" s="82" t="s">
        <v>6394</v>
      </c>
      <c r="AK867" s="82"/>
      <c r="AL867" s="83">
        <v>0</v>
      </c>
      <c r="AM867" s="443" t="str">
        <f t="shared" si="127"/>
        <v>&lt;p&gt;
&lt;n&gt;  狩猎：&lt;/n&gt;
 &lt;n&gt; &lt;/n&gt;&lt;goto id="10060" mapid="3" flagpoint="1" taskid="12202" quick="1"/&gt;
&lt;/p&gt;</v>
      </c>
      <c r="AN867" s="443" t="str">
        <f t="shared" si="125"/>
        <v>&lt;p&gt;
&lt;n&gt;  交：&lt;/n&gt;
 &lt;n&gt; &lt;/n&gt;&lt;goto id="60201" mapid="3" flagpoint="1" taskid="12202" quick="1"/&gt;&lt;/p&gt;</v>
      </c>
      <c r="AO867" s="82"/>
      <c r="AP867" s="82">
        <v>0</v>
      </c>
      <c r="AQ867" s="82">
        <v>1</v>
      </c>
      <c r="AR867" s="101">
        <v>0</v>
      </c>
      <c r="AS867" s="82">
        <v>0</v>
      </c>
      <c r="AT867" s="82">
        <v>1</v>
      </c>
      <c r="AU867" s="101">
        <v>0</v>
      </c>
      <c r="AV867" s="17">
        <f t="shared" si="119"/>
        <v>0</v>
      </c>
      <c r="AW867" s="82" t="str">
        <f t="shared" si="126"/>
        <v>{s_taskKillNpc, {60201,60201,10060,50}}</v>
      </c>
      <c r="AX867" s="460">
        <v>1</v>
      </c>
      <c r="AY867" s="472">
        <v>34</v>
      </c>
    </row>
    <row r="868" spans="1:51" s="472" customFormat="1" ht="84.75" thickBot="1" x14ac:dyDescent="0.2">
      <c r="A868" s="466">
        <v>12203</v>
      </c>
      <c r="B868" s="82"/>
      <c r="C868" s="82" t="s">
        <v>2571</v>
      </c>
      <c r="D868" s="82">
        <v>2</v>
      </c>
      <c r="E868" s="82">
        <v>0</v>
      </c>
      <c r="F868" s="82">
        <v>3</v>
      </c>
      <c r="G868" s="120">
        <v>200</v>
      </c>
      <c r="H868" s="82">
        <v>200</v>
      </c>
      <c r="I868" s="17">
        <v>0</v>
      </c>
      <c r="J868" s="461">
        <v>0</v>
      </c>
      <c r="K868" s="82">
        <v>0</v>
      </c>
      <c r="L868" s="460">
        <v>60201</v>
      </c>
      <c r="M868" s="460" t="s">
        <v>3982</v>
      </c>
      <c r="N868" s="460">
        <v>60201</v>
      </c>
      <c r="O868" s="460" t="s">
        <v>5178</v>
      </c>
      <c r="P868" s="82"/>
      <c r="Q868" s="102"/>
      <c r="R868" s="102"/>
      <c r="S868" s="102">
        <v>10060</v>
      </c>
      <c r="T868" s="102"/>
      <c r="U868" s="82">
        <v>50</v>
      </c>
      <c r="V868" s="82">
        <v>0</v>
      </c>
      <c r="W868" s="82">
        <v>0</v>
      </c>
      <c r="X868" s="82"/>
      <c r="Y868" s="82"/>
      <c r="Z868" s="463">
        <f>ROUND(AY868*(30+G868^1.5)*AX868,0)</f>
        <v>126342</v>
      </c>
      <c r="AA868" s="82"/>
      <c r="AB868" s="105"/>
      <c r="AC868" s="105"/>
      <c r="AD868" s="82"/>
      <c r="AE868" s="82"/>
      <c r="AF868" s="82" t="str">
        <f t="shared" si="129"/>
        <v>title([38级]狩猎毒蜘蛛[蓝])
body(hotyellow_3(任务进程:)newline()
   狩猎goto(10060,3)，去找goto(60201,3)。
blankline()hotyellow_3(任务描述:)newline() 
space()space()space()player()，我这里有一份有关消灭凤城毒蜘蛛的委托单，如果你有兴趣的话，就由你来完成吧！)</v>
      </c>
      <c r="AG868" s="443" t="s">
        <v>3991</v>
      </c>
      <c r="AH868" s="82" t="s">
        <v>291</v>
      </c>
      <c r="AI868" s="82" t="s">
        <v>292</v>
      </c>
      <c r="AJ868" s="82" t="s">
        <v>6394</v>
      </c>
      <c r="AK868" s="82"/>
      <c r="AL868" s="83">
        <v>0</v>
      </c>
      <c r="AM868" s="443" t="str">
        <f t="shared" si="127"/>
        <v>&lt;p&gt;
&lt;n&gt;  狩猎：&lt;/n&gt;
 &lt;n&gt; &lt;/n&gt;&lt;goto id="10060" mapid="3" flagpoint="1" taskid="12203" quick="1"/&gt;
&lt;/p&gt;</v>
      </c>
      <c r="AN868" s="443" t="str">
        <f t="shared" si="125"/>
        <v>&lt;p&gt;
&lt;n&gt;  交：&lt;/n&gt;
 &lt;n&gt; &lt;/n&gt;&lt;goto id="60201" mapid="3" flagpoint="1" taskid="12203" quick="1"/&gt;&lt;/p&gt;</v>
      </c>
      <c r="AO868" s="82"/>
      <c r="AP868" s="82">
        <v>0</v>
      </c>
      <c r="AQ868" s="82">
        <v>1</v>
      </c>
      <c r="AR868" s="101">
        <v>0</v>
      </c>
      <c r="AS868" s="82">
        <v>0</v>
      </c>
      <c r="AT868" s="82">
        <v>1</v>
      </c>
      <c r="AU868" s="101">
        <v>0</v>
      </c>
      <c r="AV868" s="17">
        <f t="shared" si="119"/>
        <v>0</v>
      </c>
      <c r="AW868" s="82" t="str">
        <f t="shared" si="126"/>
        <v>{s_taskKillNpc, {60201,60201,10060,50}}</v>
      </c>
      <c r="AX868" s="460">
        <v>1.3</v>
      </c>
      <c r="AY868" s="472">
        <v>34</v>
      </c>
    </row>
    <row r="869" spans="1:51" s="472" customFormat="1" ht="84.75" thickBot="1" x14ac:dyDescent="0.2">
      <c r="A869" s="466">
        <v>12204</v>
      </c>
      <c r="B869" s="82"/>
      <c r="C869" s="82" t="s">
        <v>2596</v>
      </c>
      <c r="D869" s="82">
        <v>2</v>
      </c>
      <c r="E869" s="82">
        <v>0</v>
      </c>
      <c r="F869" s="82">
        <v>3</v>
      </c>
      <c r="G869" s="120">
        <v>200</v>
      </c>
      <c r="H869" s="82">
        <v>200</v>
      </c>
      <c r="I869" s="17">
        <v>0</v>
      </c>
      <c r="J869" s="461">
        <v>0</v>
      </c>
      <c r="K869" s="82">
        <v>0</v>
      </c>
      <c r="L869" s="460">
        <v>60201</v>
      </c>
      <c r="M869" s="460" t="s">
        <v>3982</v>
      </c>
      <c r="N869" s="460">
        <v>60201</v>
      </c>
      <c r="O869" s="460" t="s">
        <v>5178</v>
      </c>
      <c r="P869" s="82"/>
      <c r="Q869" s="102"/>
      <c r="R869" s="102"/>
      <c r="S869" s="102">
        <v>10060</v>
      </c>
      <c r="T869" s="102"/>
      <c r="U869" s="82">
        <v>50</v>
      </c>
      <c r="V869" s="82">
        <v>0</v>
      </c>
      <c r="W869" s="82">
        <v>0</v>
      </c>
      <c r="X869" s="82"/>
      <c r="Y869" s="82"/>
      <c r="Z869" s="463">
        <f>ROUND(AY869*(30+G869^1.5)*AX869,0)</f>
        <v>155498</v>
      </c>
      <c r="AA869" s="82"/>
      <c r="AB869" s="105"/>
      <c r="AC869" s="105"/>
      <c r="AD869" s="82"/>
      <c r="AE869" s="82"/>
      <c r="AF869" s="82" t="str">
        <f t="shared" si="129"/>
        <v>title([38级]狩猎毒蜘蛛[黄])
body(hotyellow_3(任务进程:)newline()
   狩猎goto(10060,3)，去找goto(60201,3)。
blankline()hotyellow_3(任务描述:)newline() 
space()space()space()player()，我这里有一份有关消灭凤城毒蜘蛛的委托单，如果你有兴趣的话，就由你来完成吧！)</v>
      </c>
      <c r="AG869" s="443" t="s">
        <v>3992</v>
      </c>
      <c r="AH869" s="82" t="s">
        <v>291</v>
      </c>
      <c r="AI869" s="82" t="s">
        <v>292</v>
      </c>
      <c r="AJ869" s="82" t="s">
        <v>6394</v>
      </c>
      <c r="AK869" s="82"/>
      <c r="AL869" s="83">
        <v>0</v>
      </c>
      <c r="AM869" s="443" t="str">
        <f t="shared" si="127"/>
        <v>&lt;p&gt;
&lt;n&gt;  狩猎：&lt;/n&gt;
 &lt;n&gt; &lt;/n&gt;&lt;goto id="10060" mapid="3" flagpoint="1" taskid="12204" quick="1"/&gt;
&lt;/p&gt;</v>
      </c>
      <c r="AN869" s="443" t="str">
        <f t="shared" si="125"/>
        <v>&lt;p&gt;
&lt;n&gt;  交：&lt;/n&gt;
 &lt;n&gt; &lt;/n&gt;&lt;goto id="60201" mapid="3" flagpoint="1" taskid="12204" quick="1"/&gt;&lt;/p&gt;</v>
      </c>
      <c r="AO869" s="82"/>
      <c r="AP869" s="82">
        <v>0</v>
      </c>
      <c r="AQ869" s="82">
        <v>1</v>
      </c>
      <c r="AR869" s="101">
        <v>0</v>
      </c>
      <c r="AS869" s="82">
        <v>0</v>
      </c>
      <c r="AT869" s="82">
        <v>1</v>
      </c>
      <c r="AU869" s="101">
        <v>0</v>
      </c>
      <c r="AV869" s="17">
        <f t="shared" si="119"/>
        <v>0</v>
      </c>
      <c r="AW869" s="82" t="str">
        <f t="shared" si="126"/>
        <v>{s_taskKillNpc, {60201,60201,10060,50}}</v>
      </c>
      <c r="AX869" s="460">
        <v>1.6</v>
      </c>
      <c r="AY869" s="472">
        <v>34</v>
      </c>
    </row>
    <row r="870" spans="1:51" s="472" customFormat="1" ht="84.75" thickBot="1" x14ac:dyDescent="0.2">
      <c r="A870" s="466">
        <v>12205</v>
      </c>
      <c r="B870" s="82"/>
      <c r="C870" s="82" t="s">
        <v>2621</v>
      </c>
      <c r="D870" s="82">
        <v>2</v>
      </c>
      <c r="E870" s="82">
        <v>0</v>
      </c>
      <c r="F870" s="82">
        <v>3</v>
      </c>
      <c r="G870" s="120">
        <v>200</v>
      </c>
      <c r="H870" s="82">
        <v>200</v>
      </c>
      <c r="I870" s="17">
        <v>0</v>
      </c>
      <c r="J870" s="461">
        <v>0</v>
      </c>
      <c r="K870" s="82">
        <v>0</v>
      </c>
      <c r="L870" s="460">
        <v>60201</v>
      </c>
      <c r="M870" s="460" t="s">
        <v>3982</v>
      </c>
      <c r="N870" s="460">
        <v>60201</v>
      </c>
      <c r="O870" s="460" t="s">
        <v>5178</v>
      </c>
      <c r="P870" s="82"/>
      <c r="Q870" s="102"/>
      <c r="R870" s="102"/>
      <c r="S870" s="102">
        <v>10060</v>
      </c>
      <c r="T870" s="102"/>
      <c r="U870" s="82">
        <v>50</v>
      </c>
      <c r="V870" s="82">
        <v>0</v>
      </c>
      <c r="W870" s="82">
        <v>0</v>
      </c>
      <c r="X870" s="82"/>
      <c r="Y870" s="82"/>
      <c r="Z870" s="463">
        <f>ROUND(AY870*(30+G870^1.5)*AX870,0)</f>
        <v>213810</v>
      </c>
      <c r="AA870" s="82"/>
      <c r="AB870" s="105"/>
      <c r="AC870" s="105"/>
      <c r="AD870" s="82"/>
      <c r="AE870" s="82"/>
      <c r="AF870" s="82" t="str">
        <f t="shared" si="129"/>
        <v>title([38级]狩猎毒蜘蛛[绿])
body(hotyellow_3(任务进程:)newline()
   狩猎goto(10060,3)，去找goto(60201,3)。
blankline()hotyellow_3(任务描述:)newline() 
space()space()space()player()，我这里有一份有关消灭凤城毒蜘蛛的委托单，如果你有兴趣的话，就由你来完成吧！)</v>
      </c>
      <c r="AG870" s="443" t="s">
        <v>3993</v>
      </c>
      <c r="AH870" s="82" t="s">
        <v>291</v>
      </c>
      <c r="AI870" s="82" t="s">
        <v>292</v>
      </c>
      <c r="AJ870" s="82" t="s">
        <v>6394</v>
      </c>
      <c r="AK870" s="82"/>
      <c r="AL870" s="83">
        <v>0</v>
      </c>
      <c r="AM870" s="443" t="str">
        <f t="shared" si="127"/>
        <v>&lt;p&gt;
&lt;n&gt;  狩猎：&lt;/n&gt;
 &lt;n&gt; &lt;/n&gt;&lt;goto id="10060" mapid="3" flagpoint="1" taskid="12205" quick="1"/&gt;
&lt;/p&gt;</v>
      </c>
      <c r="AN870" s="443" t="str">
        <f t="shared" si="125"/>
        <v>&lt;p&gt;
&lt;n&gt;  交：&lt;/n&gt;
 &lt;n&gt; &lt;/n&gt;&lt;goto id="60201" mapid="3" flagpoint="1" taskid="12205" quick="1"/&gt;&lt;/p&gt;</v>
      </c>
      <c r="AO870" s="82"/>
      <c r="AP870" s="82">
        <v>0</v>
      </c>
      <c r="AQ870" s="82">
        <v>1</v>
      </c>
      <c r="AR870" s="101">
        <v>0</v>
      </c>
      <c r="AS870" s="82">
        <v>0</v>
      </c>
      <c r="AT870" s="82">
        <v>1</v>
      </c>
      <c r="AU870" s="101">
        <v>0</v>
      </c>
      <c r="AV870" s="17">
        <f t="shared" si="119"/>
        <v>0</v>
      </c>
      <c r="AW870" s="82" t="str">
        <f t="shared" si="126"/>
        <v>{s_taskKillNpc, {60201,60201,10060,50}}</v>
      </c>
      <c r="AX870" s="460">
        <v>2.2000000000000002</v>
      </c>
      <c r="AY870" s="472">
        <v>34</v>
      </c>
    </row>
    <row r="871" spans="1:51" s="472" customFormat="1" ht="84.75" thickBot="1" x14ac:dyDescent="0.2">
      <c r="A871" s="466">
        <v>12206</v>
      </c>
      <c r="B871" s="82"/>
      <c r="C871" s="82" t="s">
        <v>2646</v>
      </c>
      <c r="D871" s="82">
        <v>2</v>
      </c>
      <c r="E871" s="82">
        <v>0</v>
      </c>
      <c r="F871" s="82">
        <v>3</v>
      </c>
      <c r="G871" s="120">
        <v>200</v>
      </c>
      <c r="H871" s="82">
        <v>200</v>
      </c>
      <c r="I871" s="17">
        <v>0</v>
      </c>
      <c r="J871" s="461">
        <v>0</v>
      </c>
      <c r="K871" s="82">
        <v>0</v>
      </c>
      <c r="L871" s="460">
        <v>60201</v>
      </c>
      <c r="M871" s="460" t="s">
        <v>3982</v>
      </c>
      <c r="N871" s="460">
        <v>60201</v>
      </c>
      <c r="O871" s="460" t="s">
        <v>5178</v>
      </c>
      <c r="P871" s="82"/>
      <c r="Q871" s="102"/>
      <c r="R871" s="102"/>
      <c r="S871" s="102">
        <v>10060</v>
      </c>
      <c r="T871" s="102"/>
      <c r="U871" s="82">
        <v>50</v>
      </c>
      <c r="V871" s="82">
        <v>0</v>
      </c>
      <c r="W871" s="82">
        <v>0</v>
      </c>
      <c r="X871" s="82"/>
      <c r="Y871" s="82"/>
      <c r="Z871" s="463">
        <f>ROUND(AY871*(30+G871^1.5)*AX871,0)</f>
        <v>291560</v>
      </c>
      <c r="AA871" s="82"/>
      <c r="AB871" s="105"/>
      <c r="AC871" s="105"/>
      <c r="AD871" s="82"/>
      <c r="AE871" s="82"/>
      <c r="AF871" s="82" t="str">
        <f t="shared" si="129"/>
        <v>title([38级]狩猎毒蜘蛛[紫])
body(hotyellow_3(任务进程:)newline()
   狩猎goto(10060,3)，去找goto(60201,3)。
blankline()hotyellow_3(任务描述:)newline() 
space()space()space()player()，我这里有一份有关消灭凤城毒蜘蛛的委托单，如果你有兴趣的话，就由你来完成吧！)</v>
      </c>
      <c r="AG871" s="452" t="s">
        <v>3994</v>
      </c>
      <c r="AH871" s="82" t="s">
        <v>291</v>
      </c>
      <c r="AI871" s="82" t="s">
        <v>292</v>
      </c>
      <c r="AJ871" s="82" t="s">
        <v>6394</v>
      </c>
      <c r="AK871" s="82"/>
      <c r="AL871" s="83">
        <v>0</v>
      </c>
      <c r="AM871" s="443" t="str">
        <f t="shared" si="127"/>
        <v>&lt;p&gt;
&lt;n&gt;  狩猎：&lt;/n&gt;
 &lt;n&gt; &lt;/n&gt;&lt;goto id="10060" mapid="3" flagpoint="1" taskid="12206" quick="1"/&gt;
&lt;/p&gt;</v>
      </c>
      <c r="AN871" s="443" t="str">
        <f t="shared" si="125"/>
        <v>&lt;p&gt;
&lt;n&gt;  交：&lt;/n&gt;
 &lt;n&gt; &lt;/n&gt;&lt;goto id="60201" mapid="3" flagpoint="1" taskid="12206" quick="1"/&gt;&lt;/p&gt;</v>
      </c>
      <c r="AO871" s="82"/>
      <c r="AP871" s="468">
        <v>0</v>
      </c>
      <c r="AQ871" s="82">
        <v>1</v>
      </c>
      <c r="AR871" s="101">
        <v>0</v>
      </c>
      <c r="AS871" s="82">
        <v>0</v>
      </c>
      <c r="AT871" s="82">
        <v>1</v>
      </c>
      <c r="AU871" s="101">
        <v>0</v>
      </c>
      <c r="AV871" s="17">
        <f t="shared" si="119"/>
        <v>0</v>
      </c>
      <c r="AW871" s="82" t="str">
        <f t="shared" si="126"/>
        <v>{s_taskKillNpc, {60201,60201,10060,50}}</v>
      </c>
      <c r="AX871" s="460">
        <v>3</v>
      </c>
      <c r="AY871" s="472">
        <v>34</v>
      </c>
    </row>
    <row r="872" spans="1:51" s="471" customFormat="1" ht="84.75" thickBot="1" x14ac:dyDescent="0.2">
      <c r="A872" s="459">
        <v>12211</v>
      </c>
      <c r="B872" s="460"/>
      <c r="C872" s="460" t="s">
        <v>2228</v>
      </c>
      <c r="D872" s="460">
        <v>2</v>
      </c>
      <c r="E872" s="460">
        <v>0</v>
      </c>
      <c r="F872" s="460">
        <v>3</v>
      </c>
      <c r="G872" s="120">
        <v>200</v>
      </c>
      <c r="H872" s="460">
        <v>200</v>
      </c>
      <c r="I872" s="17">
        <v>0</v>
      </c>
      <c r="J872" s="461">
        <v>0</v>
      </c>
      <c r="K872" s="460">
        <v>0</v>
      </c>
      <c r="L872" s="460">
        <v>60201</v>
      </c>
      <c r="M872" s="460" t="s">
        <v>3982</v>
      </c>
      <c r="N872" s="460">
        <v>60201</v>
      </c>
      <c r="O872" s="460" t="s">
        <v>5178</v>
      </c>
      <c r="P872" s="460"/>
      <c r="Q872" s="462"/>
      <c r="R872" s="462"/>
      <c r="S872" s="462">
        <v>10061</v>
      </c>
      <c r="T872" s="462"/>
      <c r="U872" s="460">
        <v>50</v>
      </c>
      <c r="V872" s="460">
        <v>0</v>
      </c>
      <c r="W872" s="460">
        <v>0</v>
      </c>
      <c r="X872" s="460"/>
      <c r="Y872" s="460"/>
      <c r="Z872" s="463"/>
      <c r="AA872" s="460"/>
      <c r="AB872" s="464"/>
      <c r="AC872" s="464"/>
      <c r="AD872" s="460"/>
      <c r="AE872" s="460"/>
      <c r="AF872" s="460" t="str">
        <f t="shared" ref="AF872:AF877" si="130">"title("&amp;C872&amp;")
body(hotyellow_3(任务进程:)newline()
   狩猎goto(10061,3)，去找goto(60201,3)。
blankline()hotyellow_3(任务描述:)newline() 
space()space()space()player()，我这里有一份有关消灭凤城狂暴犀牛的委托单，如果你有兴趣的话，就由你来完成吧！)"</f>
        <v>title([39级]狩猎狂暴犀牛)
body(hotyellow_3(任务进程:)newline()
   狩猎goto(10061,3)，去找goto(60201,3)。
blankline()hotyellow_3(任务描述:)newline() 
space()space()space()player()，我这里有一份有关消灭凤城狂暴犀牛的委托单，如果你有兴趣的话，就由你来完成吧！)</v>
      </c>
      <c r="AG872" s="437" t="s">
        <v>3989</v>
      </c>
      <c r="AH872" s="460" t="s">
        <v>291</v>
      </c>
      <c r="AI872" s="460" t="s">
        <v>292</v>
      </c>
      <c r="AJ872" s="460" t="s">
        <v>6395</v>
      </c>
      <c r="AK872" s="460"/>
      <c r="AL872" s="465">
        <v>0</v>
      </c>
      <c r="AM872" s="443" t="str">
        <f t="shared" si="127"/>
        <v>&lt;p&gt;
&lt;n&gt;  狩猎：&lt;/n&gt;
 &lt;n&gt; &lt;/n&gt;&lt;goto id="10061" mapid="3" flagpoint="1" taskid="12211" quick="1"/&gt;
&lt;/p&gt;</v>
      </c>
      <c r="AN872" s="443" t="str">
        <f t="shared" si="125"/>
        <v>&lt;p&gt;
&lt;n&gt;  交：&lt;/n&gt;
 &lt;n&gt; &lt;/n&gt;&lt;goto id="60201" mapid="3" flagpoint="1" taskid="12211" quick="1"/&gt;&lt;/p&gt;</v>
      </c>
      <c r="AO872" s="460"/>
      <c r="AP872" s="460">
        <v>1</v>
      </c>
      <c r="AQ872" s="460">
        <v>0</v>
      </c>
      <c r="AR872" s="101">
        <v>0</v>
      </c>
      <c r="AS872" s="460">
        <v>0</v>
      </c>
      <c r="AT872" s="460">
        <v>1</v>
      </c>
      <c r="AU872" s="101">
        <v>0</v>
      </c>
      <c r="AV872" s="17">
        <f t="shared" si="119"/>
        <v>0</v>
      </c>
      <c r="AW872" s="460" t="str">
        <f t="shared" si="126"/>
        <v>{s_taskKillNpc, {60201,60201,10061,50}}</v>
      </c>
      <c r="AX872" s="460"/>
    </row>
    <row r="873" spans="1:51" s="472" customFormat="1" ht="84.75" thickBot="1" x14ac:dyDescent="0.2">
      <c r="A873" s="466">
        <v>12212</v>
      </c>
      <c r="B873" s="82"/>
      <c r="C873" s="82" t="s">
        <v>2547</v>
      </c>
      <c r="D873" s="82">
        <v>2</v>
      </c>
      <c r="E873" s="82">
        <v>0</v>
      </c>
      <c r="F873" s="82">
        <v>3</v>
      </c>
      <c r="G873" s="120">
        <v>200</v>
      </c>
      <c r="H873" s="82">
        <v>200</v>
      </c>
      <c r="I873" s="17">
        <v>0</v>
      </c>
      <c r="J873" s="461">
        <v>0</v>
      </c>
      <c r="K873" s="82">
        <v>0</v>
      </c>
      <c r="L873" s="460">
        <v>60201</v>
      </c>
      <c r="M873" s="460" t="s">
        <v>3982</v>
      </c>
      <c r="N873" s="460">
        <v>60201</v>
      </c>
      <c r="O873" s="460" t="s">
        <v>5178</v>
      </c>
      <c r="P873" s="82"/>
      <c r="Q873" s="102"/>
      <c r="R873" s="102"/>
      <c r="S873" s="102">
        <v>10061</v>
      </c>
      <c r="T873" s="102"/>
      <c r="U873" s="82">
        <v>50</v>
      </c>
      <c r="V873" s="82">
        <v>0</v>
      </c>
      <c r="W873" s="82">
        <v>0</v>
      </c>
      <c r="X873" s="82"/>
      <c r="Y873" s="82"/>
      <c r="Z873" s="463">
        <f>ROUND(AY873*(30+G873^1.5)*AX873,0)</f>
        <v>97187</v>
      </c>
      <c r="AA873" s="82"/>
      <c r="AB873" s="105"/>
      <c r="AC873" s="105"/>
      <c r="AD873" s="82"/>
      <c r="AE873" s="82"/>
      <c r="AF873" s="82" t="str">
        <f t="shared" si="130"/>
        <v>title([39级]狩猎狂暴犀牛[白])
body(hotyellow_3(任务进程:)newline()
   狩猎goto(10061,3)，去找goto(60201,3)。
blankline()hotyellow_3(任务描述:)newline() 
space()space()space()player()，我这里有一份有关消灭凤城狂暴犀牛的委托单，如果你有兴趣的话，就由你来完成吧！)</v>
      </c>
      <c r="AG873" s="443" t="s">
        <v>3990</v>
      </c>
      <c r="AH873" s="82" t="s">
        <v>291</v>
      </c>
      <c r="AI873" s="82" t="s">
        <v>292</v>
      </c>
      <c r="AJ873" s="82" t="s">
        <v>6395</v>
      </c>
      <c r="AK873" s="82"/>
      <c r="AL873" s="83">
        <v>0</v>
      </c>
      <c r="AM873" s="443" t="str">
        <f t="shared" si="127"/>
        <v>&lt;p&gt;
&lt;n&gt;  狩猎：&lt;/n&gt;
 &lt;n&gt; &lt;/n&gt;&lt;goto id="10061" mapid="3" flagpoint="1" taskid="12212" quick="1"/&gt;
&lt;/p&gt;</v>
      </c>
      <c r="AN873" s="443" t="str">
        <f t="shared" si="125"/>
        <v>&lt;p&gt;
&lt;n&gt;  交：&lt;/n&gt;
 &lt;n&gt; &lt;/n&gt;&lt;goto id="60201" mapid="3" flagpoint="1" taskid="12212" quick="1"/&gt;&lt;/p&gt;</v>
      </c>
      <c r="AO873" s="82"/>
      <c r="AP873" s="82">
        <v>0</v>
      </c>
      <c r="AQ873" s="82">
        <v>1</v>
      </c>
      <c r="AR873" s="101">
        <v>0</v>
      </c>
      <c r="AS873" s="82">
        <v>0</v>
      </c>
      <c r="AT873" s="82">
        <v>1</v>
      </c>
      <c r="AU873" s="101">
        <v>0</v>
      </c>
      <c r="AV873" s="17">
        <f t="shared" si="119"/>
        <v>0</v>
      </c>
      <c r="AW873" s="82" t="str">
        <f t="shared" si="126"/>
        <v>{s_taskKillNpc, {60201,60201,10061,50}}</v>
      </c>
      <c r="AX873" s="460">
        <v>1</v>
      </c>
      <c r="AY873" s="472">
        <v>34</v>
      </c>
    </row>
    <row r="874" spans="1:51" s="472" customFormat="1" ht="84.75" thickBot="1" x14ac:dyDescent="0.2">
      <c r="A874" s="466">
        <v>12213</v>
      </c>
      <c r="B874" s="82"/>
      <c r="C874" s="82" t="s">
        <v>2572</v>
      </c>
      <c r="D874" s="82">
        <v>2</v>
      </c>
      <c r="E874" s="82">
        <v>0</v>
      </c>
      <c r="F874" s="82">
        <v>3</v>
      </c>
      <c r="G874" s="120">
        <v>200</v>
      </c>
      <c r="H874" s="82">
        <v>200</v>
      </c>
      <c r="I874" s="17">
        <v>0</v>
      </c>
      <c r="J874" s="461">
        <v>0</v>
      </c>
      <c r="K874" s="82">
        <v>0</v>
      </c>
      <c r="L874" s="460">
        <v>60201</v>
      </c>
      <c r="M874" s="460" t="s">
        <v>3982</v>
      </c>
      <c r="N874" s="460">
        <v>60201</v>
      </c>
      <c r="O874" s="460" t="s">
        <v>5178</v>
      </c>
      <c r="P874" s="82"/>
      <c r="Q874" s="102"/>
      <c r="R874" s="102"/>
      <c r="S874" s="102">
        <v>10061</v>
      </c>
      <c r="T874" s="102"/>
      <c r="U874" s="82">
        <v>50</v>
      </c>
      <c r="V874" s="82">
        <v>0</v>
      </c>
      <c r="W874" s="82">
        <v>0</v>
      </c>
      <c r="X874" s="82"/>
      <c r="Y874" s="82"/>
      <c r="Z874" s="463">
        <f>ROUND(AY874*(30+G874^1.5)*AX874,0)</f>
        <v>126342</v>
      </c>
      <c r="AA874" s="82"/>
      <c r="AB874" s="105"/>
      <c r="AC874" s="105"/>
      <c r="AD874" s="82"/>
      <c r="AE874" s="82"/>
      <c r="AF874" s="82" t="str">
        <f t="shared" si="130"/>
        <v>title([39级]狩猎狂暴犀牛[蓝])
body(hotyellow_3(任务进程:)newline()
   狩猎goto(10061,3)，去找goto(60201,3)。
blankline()hotyellow_3(任务描述:)newline() 
space()space()space()player()，我这里有一份有关消灭凤城狂暴犀牛的委托单，如果你有兴趣的话，就由你来完成吧！)</v>
      </c>
      <c r="AG874" s="443" t="s">
        <v>3991</v>
      </c>
      <c r="AH874" s="82" t="s">
        <v>291</v>
      </c>
      <c r="AI874" s="82" t="s">
        <v>292</v>
      </c>
      <c r="AJ874" s="82" t="s">
        <v>6395</v>
      </c>
      <c r="AK874" s="82"/>
      <c r="AL874" s="83">
        <v>0</v>
      </c>
      <c r="AM874" s="443" t="str">
        <f t="shared" si="127"/>
        <v>&lt;p&gt;
&lt;n&gt;  狩猎：&lt;/n&gt;
 &lt;n&gt; &lt;/n&gt;&lt;goto id="10061" mapid="3" flagpoint="1" taskid="12213" quick="1"/&gt;
&lt;/p&gt;</v>
      </c>
      <c r="AN874" s="443" t="str">
        <f t="shared" si="125"/>
        <v>&lt;p&gt;
&lt;n&gt;  交：&lt;/n&gt;
 &lt;n&gt; &lt;/n&gt;&lt;goto id="60201" mapid="3" flagpoint="1" taskid="12213" quick="1"/&gt;&lt;/p&gt;</v>
      </c>
      <c r="AO874" s="82"/>
      <c r="AP874" s="82">
        <v>0</v>
      </c>
      <c r="AQ874" s="82">
        <v>1</v>
      </c>
      <c r="AR874" s="101">
        <v>0</v>
      </c>
      <c r="AS874" s="82">
        <v>0</v>
      </c>
      <c r="AT874" s="82">
        <v>1</v>
      </c>
      <c r="AU874" s="101">
        <v>0</v>
      </c>
      <c r="AV874" s="17">
        <f t="shared" si="119"/>
        <v>0</v>
      </c>
      <c r="AW874" s="82" t="str">
        <f t="shared" si="126"/>
        <v>{s_taskKillNpc, {60201,60201,10061,50}}</v>
      </c>
      <c r="AX874" s="460">
        <v>1.3</v>
      </c>
      <c r="AY874" s="472">
        <v>34</v>
      </c>
    </row>
    <row r="875" spans="1:51" s="472" customFormat="1" ht="84.75" thickBot="1" x14ac:dyDescent="0.2">
      <c r="A875" s="466">
        <v>12214</v>
      </c>
      <c r="B875" s="82"/>
      <c r="C875" s="82" t="s">
        <v>2597</v>
      </c>
      <c r="D875" s="82">
        <v>2</v>
      </c>
      <c r="E875" s="82">
        <v>0</v>
      </c>
      <c r="F875" s="82">
        <v>3</v>
      </c>
      <c r="G875" s="120">
        <v>200</v>
      </c>
      <c r="H875" s="82">
        <v>200</v>
      </c>
      <c r="I875" s="17">
        <v>0</v>
      </c>
      <c r="J875" s="461">
        <v>0</v>
      </c>
      <c r="K875" s="82">
        <v>0</v>
      </c>
      <c r="L875" s="460">
        <v>60201</v>
      </c>
      <c r="M875" s="460" t="s">
        <v>3982</v>
      </c>
      <c r="N875" s="460">
        <v>60201</v>
      </c>
      <c r="O875" s="460" t="s">
        <v>5178</v>
      </c>
      <c r="P875" s="82"/>
      <c r="Q875" s="102"/>
      <c r="R875" s="102"/>
      <c r="S875" s="102">
        <v>10061</v>
      </c>
      <c r="T875" s="102"/>
      <c r="U875" s="82">
        <v>50</v>
      </c>
      <c r="V875" s="82">
        <v>0</v>
      </c>
      <c r="W875" s="82">
        <v>0</v>
      </c>
      <c r="X875" s="82"/>
      <c r="Y875" s="82"/>
      <c r="Z875" s="463">
        <f>ROUND(AY875*(30+G875^1.5)*AX875,0)</f>
        <v>155498</v>
      </c>
      <c r="AA875" s="82"/>
      <c r="AB875" s="105"/>
      <c r="AC875" s="105"/>
      <c r="AD875" s="82"/>
      <c r="AE875" s="82"/>
      <c r="AF875" s="82" t="str">
        <f t="shared" si="130"/>
        <v>title([39级]狩猎狂暴犀牛[黄])
body(hotyellow_3(任务进程:)newline()
   狩猎goto(10061,3)，去找goto(60201,3)。
blankline()hotyellow_3(任务描述:)newline() 
space()space()space()player()，我这里有一份有关消灭凤城狂暴犀牛的委托单，如果你有兴趣的话，就由你来完成吧！)</v>
      </c>
      <c r="AG875" s="443" t="s">
        <v>3992</v>
      </c>
      <c r="AH875" s="82" t="s">
        <v>291</v>
      </c>
      <c r="AI875" s="82" t="s">
        <v>292</v>
      </c>
      <c r="AJ875" s="82" t="s">
        <v>6395</v>
      </c>
      <c r="AK875" s="82"/>
      <c r="AL875" s="83">
        <v>0</v>
      </c>
      <c r="AM875" s="443" t="str">
        <f t="shared" si="127"/>
        <v>&lt;p&gt;
&lt;n&gt;  狩猎：&lt;/n&gt;
 &lt;n&gt; &lt;/n&gt;&lt;goto id="10061" mapid="3" flagpoint="1" taskid="12214" quick="1"/&gt;
&lt;/p&gt;</v>
      </c>
      <c r="AN875" s="443" t="str">
        <f t="shared" si="125"/>
        <v>&lt;p&gt;
&lt;n&gt;  交：&lt;/n&gt;
 &lt;n&gt; &lt;/n&gt;&lt;goto id="60201" mapid="3" flagpoint="1" taskid="12214" quick="1"/&gt;&lt;/p&gt;</v>
      </c>
      <c r="AO875" s="82"/>
      <c r="AP875" s="82">
        <v>0</v>
      </c>
      <c r="AQ875" s="82">
        <v>1</v>
      </c>
      <c r="AR875" s="101">
        <v>0</v>
      </c>
      <c r="AS875" s="82">
        <v>0</v>
      </c>
      <c r="AT875" s="82">
        <v>1</v>
      </c>
      <c r="AU875" s="101">
        <v>0</v>
      </c>
      <c r="AV875" s="17">
        <f t="shared" si="119"/>
        <v>0</v>
      </c>
      <c r="AW875" s="82" t="str">
        <f t="shared" si="126"/>
        <v>{s_taskKillNpc, {60201,60201,10061,50}}</v>
      </c>
      <c r="AX875" s="460">
        <v>1.6</v>
      </c>
      <c r="AY875" s="472">
        <v>34</v>
      </c>
    </row>
    <row r="876" spans="1:51" s="472" customFormat="1" ht="84.75" thickBot="1" x14ac:dyDescent="0.2">
      <c r="A876" s="466">
        <v>12215</v>
      </c>
      <c r="B876" s="82"/>
      <c r="C876" s="82" t="s">
        <v>2622</v>
      </c>
      <c r="D876" s="82">
        <v>2</v>
      </c>
      <c r="E876" s="82">
        <v>0</v>
      </c>
      <c r="F876" s="82">
        <v>3</v>
      </c>
      <c r="G876" s="120">
        <v>200</v>
      </c>
      <c r="H876" s="82">
        <v>200</v>
      </c>
      <c r="I876" s="17">
        <v>0</v>
      </c>
      <c r="J876" s="461">
        <v>0</v>
      </c>
      <c r="K876" s="82">
        <v>0</v>
      </c>
      <c r="L876" s="460">
        <v>60201</v>
      </c>
      <c r="M876" s="460" t="s">
        <v>3982</v>
      </c>
      <c r="N876" s="460">
        <v>60201</v>
      </c>
      <c r="O876" s="460" t="s">
        <v>5178</v>
      </c>
      <c r="P876" s="82"/>
      <c r="Q876" s="102"/>
      <c r="R876" s="102"/>
      <c r="S876" s="102">
        <v>10061</v>
      </c>
      <c r="T876" s="102"/>
      <c r="U876" s="82">
        <v>50</v>
      </c>
      <c r="V876" s="82">
        <v>0</v>
      </c>
      <c r="W876" s="82">
        <v>0</v>
      </c>
      <c r="X876" s="82"/>
      <c r="Y876" s="82"/>
      <c r="Z876" s="463">
        <f>ROUND(AY876*(30+G876^1.5)*AX876,0)</f>
        <v>213810</v>
      </c>
      <c r="AA876" s="82"/>
      <c r="AB876" s="105"/>
      <c r="AC876" s="105"/>
      <c r="AD876" s="82"/>
      <c r="AE876" s="82"/>
      <c r="AF876" s="82" t="str">
        <f t="shared" si="130"/>
        <v>title([39级]狩猎狂暴犀牛[绿])
body(hotyellow_3(任务进程:)newline()
   狩猎goto(10061,3)，去找goto(60201,3)。
blankline()hotyellow_3(任务描述:)newline() 
space()space()space()player()，我这里有一份有关消灭凤城狂暴犀牛的委托单，如果你有兴趣的话，就由你来完成吧！)</v>
      </c>
      <c r="AG876" s="443" t="s">
        <v>3993</v>
      </c>
      <c r="AH876" s="82" t="s">
        <v>291</v>
      </c>
      <c r="AI876" s="82" t="s">
        <v>292</v>
      </c>
      <c r="AJ876" s="82" t="s">
        <v>6395</v>
      </c>
      <c r="AK876" s="82"/>
      <c r="AL876" s="83">
        <v>0</v>
      </c>
      <c r="AM876" s="443" t="str">
        <f t="shared" si="127"/>
        <v>&lt;p&gt;
&lt;n&gt;  狩猎：&lt;/n&gt;
 &lt;n&gt; &lt;/n&gt;&lt;goto id="10061" mapid="3" flagpoint="1" taskid="12215" quick="1"/&gt;
&lt;/p&gt;</v>
      </c>
      <c r="AN876" s="443" t="str">
        <f t="shared" si="125"/>
        <v>&lt;p&gt;
&lt;n&gt;  交：&lt;/n&gt;
 &lt;n&gt; &lt;/n&gt;&lt;goto id="60201" mapid="3" flagpoint="1" taskid="12215" quick="1"/&gt;&lt;/p&gt;</v>
      </c>
      <c r="AO876" s="82"/>
      <c r="AP876" s="82">
        <v>0</v>
      </c>
      <c r="AQ876" s="82">
        <v>1</v>
      </c>
      <c r="AR876" s="101">
        <v>0</v>
      </c>
      <c r="AS876" s="82">
        <v>0</v>
      </c>
      <c r="AT876" s="82">
        <v>1</v>
      </c>
      <c r="AU876" s="101">
        <v>0</v>
      </c>
      <c r="AV876" s="17">
        <f t="shared" si="119"/>
        <v>0</v>
      </c>
      <c r="AW876" s="82" t="str">
        <f t="shared" si="126"/>
        <v>{s_taskKillNpc, {60201,60201,10061,50}}</v>
      </c>
      <c r="AX876" s="460">
        <v>2.2000000000000002</v>
      </c>
      <c r="AY876" s="472">
        <v>34</v>
      </c>
    </row>
    <row r="877" spans="1:51" s="473" customFormat="1" ht="84.75" thickBot="1" x14ac:dyDescent="0.2">
      <c r="A877" s="467">
        <v>12216</v>
      </c>
      <c r="B877" s="468"/>
      <c r="C877" s="468" t="s">
        <v>2647</v>
      </c>
      <c r="D877" s="468">
        <v>2</v>
      </c>
      <c r="E877" s="468">
        <v>0</v>
      </c>
      <c r="F877" s="468">
        <v>3</v>
      </c>
      <c r="G877" s="120">
        <v>200</v>
      </c>
      <c r="H877" s="468">
        <v>200</v>
      </c>
      <c r="I877" s="17">
        <v>0</v>
      </c>
      <c r="J877" s="461">
        <v>0</v>
      </c>
      <c r="K877" s="468">
        <v>0</v>
      </c>
      <c r="L877" s="460">
        <v>60201</v>
      </c>
      <c r="M877" s="460" t="s">
        <v>3982</v>
      </c>
      <c r="N877" s="460">
        <v>60201</v>
      </c>
      <c r="O877" s="460" t="s">
        <v>5178</v>
      </c>
      <c r="P877" s="468"/>
      <c r="Q877" s="469"/>
      <c r="R877" s="469"/>
      <c r="S877" s="469">
        <v>10061</v>
      </c>
      <c r="T877" s="469"/>
      <c r="U877" s="468">
        <v>50</v>
      </c>
      <c r="V877" s="468">
        <v>0</v>
      </c>
      <c r="W877" s="468">
        <v>0</v>
      </c>
      <c r="X877" s="468"/>
      <c r="Y877" s="468"/>
      <c r="Z877" s="463">
        <f>ROUND(AY877*(30+G877^1.5)*AX877,0)</f>
        <v>291560</v>
      </c>
      <c r="AA877" s="468"/>
      <c r="AB877" s="470"/>
      <c r="AC877" s="470"/>
      <c r="AD877" s="468"/>
      <c r="AE877" s="468"/>
      <c r="AF877" s="468" t="str">
        <f t="shared" si="130"/>
        <v>title([39级]狩猎狂暴犀牛[紫])
body(hotyellow_3(任务进程:)newline()
   狩猎goto(10061,3)，去找goto(60201,3)。
blankline()hotyellow_3(任务描述:)newline() 
space()space()space()player()，我这里有一份有关消灭凤城狂暴犀牛的委托单，如果你有兴趣的话，就由你来完成吧！)</v>
      </c>
      <c r="AG877" s="452" t="s">
        <v>3994</v>
      </c>
      <c r="AH877" s="468" t="s">
        <v>291</v>
      </c>
      <c r="AI877" s="468" t="s">
        <v>292</v>
      </c>
      <c r="AJ877" s="468" t="s">
        <v>6395</v>
      </c>
      <c r="AK877" s="468"/>
      <c r="AL877" s="461">
        <v>0</v>
      </c>
      <c r="AM877" s="443" t="str">
        <f t="shared" si="127"/>
        <v>&lt;p&gt;
&lt;n&gt;  狩猎：&lt;/n&gt;
 &lt;n&gt; &lt;/n&gt;&lt;goto id="10061" mapid="3" flagpoint="1" taskid="12216" quick="1"/&gt;
&lt;/p&gt;</v>
      </c>
      <c r="AN877" s="443" t="str">
        <f t="shared" si="125"/>
        <v>&lt;p&gt;
&lt;n&gt;  交：&lt;/n&gt;
 &lt;n&gt; &lt;/n&gt;&lt;goto id="60201" mapid="3" flagpoint="1" taskid="12216" quick="1"/&gt;&lt;/p&gt;</v>
      </c>
      <c r="AO877" s="468"/>
      <c r="AP877" s="468">
        <v>0</v>
      </c>
      <c r="AQ877" s="82">
        <v>1</v>
      </c>
      <c r="AR877" s="101">
        <v>0</v>
      </c>
      <c r="AS877" s="468">
        <v>0</v>
      </c>
      <c r="AT877" s="468">
        <v>1</v>
      </c>
      <c r="AU877" s="101">
        <v>0</v>
      </c>
      <c r="AV877" s="17">
        <f t="shared" si="119"/>
        <v>0</v>
      </c>
      <c r="AW877" s="468" t="str">
        <f t="shared" si="126"/>
        <v>{s_taskKillNpc, {60201,60201,10061,50}}</v>
      </c>
      <c r="AX877" s="460">
        <v>3</v>
      </c>
      <c r="AY877" s="472">
        <v>34</v>
      </c>
    </row>
    <row r="878" spans="1:51" s="471" customFormat="1" ht="84.75" thickBot="1" x14ac:dyDescent="0.2">
      <c r="A878" s="459">
        <v>12221</v>
      </c>
      <c r="B878" s="460"/>
      <c r="C878" s="460" t="s">
        <v>2229</v>
      </c>
      <c r="D878" s="460">
        <v>2</v>
      </c>
      <c r="E878" s="460">
        <v>0</v>
      </c>
      <c r="F878" s="460">
        <v>3</v>
      </c>
      <c r="G878" s="120">
        <v>200</v>
      </c>
      <c r="H878" s="460">
        <v>200</v>
      </c>
      <c r="I878" s="17">
        <v>0</v>
      </c>
      <c r="J878" s="461">
        <v>0</v>
      </c>
      <c r="K878" s="460">
        <v>0</v>
      </c>
      <c r="L878" s="460">
        <v>60201</v>
      </c>
      <c r="M878" s="460" t="s">
        <v>3982</v>
      </c>
      <c r="N878" s="460">
        <v>60201</v>
      </c>
      <c r="O878" s="460" t="s">
        <v>5178</v>
      </c>
      <c r="P878" s="460"/>
      <c r="Q878" s="462"/>
      <c r="R878" s="462"/>
      <c r="S878" s="462">
        <v>10062</v>
      </c>
      <c r="T878" s="462"/>
      <c r="U878" s="460">
        <v>50</v>
      </c>
      <c r="V878" s="460">
        <v>0</v>
      </c>
      <c r="W878" s="460">
        <v>0</v>
      </c>
      <c r="X878" s="460"/>
      <c r="Y878" s="460"/>
      <c r="Z878" s="463"/>
      <c r="AA878" s="460"/>
      <c r="AB878" s="464"/>
      <c r="AC878" s="464"/>
      <c r="AD878" s="460"/>
      <c r="AE878" s="460"/>
      <c r="AF878" s="460" t="str">
        <f t="shared" ref="AF878:AF883" si="131">"title("&amp;C878&amp;")
body(hotyellow_3(任务进程:)newline()
   狩猎goto(10062,3)，去找goto(60201,3)。
blankline()hotyellow_3(任务描述:)newline() 
space()space()space()player()，我这里有一份有关消灭凤城赤甲蝎的委托单，如果你有兴趣的话，就由你来完成吧！)"</f>
        <v>title([40级]狩猎赤甲蝎)
body(hotyellow_3(任务进程:)newline()
   狩猎goto(10062,3)，去找goto(60201,3)。
blankline()hotyellow_3(任务描述:)newline() 
space()space()space()player()，我这里有一份有关消灭凤城赤甲蝎的委托单，如果你有兴趣的话，就由你来完成吧！)</v>
      </c>
      <c r="AG878" s="437" t="s">
        <v>3989</v>
      </c>
      <c r="AH878" s="460" t="s">
        <v>291</v>
      </c>
      <c r="AI878" s="460" t="s">
        <v>292</v>
      </c>
      <c r="AJ878" s="460" t="s">
        <v>6396</v>
      </c>
      <c r="AK878" s="460"/>
      <c r="AL878" s="465">
        <v>0</v>
      </c>
      <c r="AM878" s="443" t="str">
        <f t="shared" si="127"/>
        <v>&lt;p&gt;
&lt;n&gt;  狩猎：&lt;/n&gt;
 &lt;n&gt; &lt;/n&gt;&lt;goto id="10062" mapid="3" flagpoint="1" taskid="12221" quick="1"/&gt;
&lt;/p&gt;</v>
      </c>
      <c r="AN878" s="443" t="str">
        <f t="shared" si="125"/>
        <v>&lt;p&gt;
&lt;n&gt;  交：&lt;/n&gt;
 &lt;n&gt; &lt;/n&gt;&lt;goto id="60201" mapid="3" flagpoint="1" taskid="12221" quick="1"/&gt;&lt;/p&gt;</v>
      </c>
      <c r="AO878" s="460"/>
      <c r="AP878" s="460">
        <v>1</v>
      </c>
      <c r="AQ878" s="460">
        <v>0</v>
      </c>
      <c r="AR878" s="101">
        <v>0</v>
      </c>
      <c r="AS878" s="460">
        <v>0</v>
      </c>
      <c r="AT878" s="460">
        <v>1</v>
      </c>
      <c r="AU878" s="101">
        <v>0</v>
      </c>
      <c r="AV878" s="17">
        <f t="shared" si="119"/>
        <v>0</v>
      </c>
      <c r="AW878" s="460" t="str">
        <f t="shared" si="126"/>
        <v>{s_taskKillNpc, {60201,60201,10062,50}}</v>
      </c>
      <c r="AX878" s="460"/>
    </row>
    <row r="879" spans="1:51" s="472" customFormat="1" ht="84.75" thickBot="1" x14ac:dyDescent="0.2">
      <c r="A879" s="466">
        <v>12222</v>
      </c>
      <c r="B879" s="82"/>
      <c r="C879" s="82" t="s">
        <v>2548</v>
      </c>
      <c r="D879" s="82">
        <v>2</v>
      </c>
      <c r="E879" s="82">
        <v>0</v>
      </c>
      <c r="F879" s="82">
        <v>3</v>
      </c>
      <c r="G879" s="120">
        <v>200</v>
      </c>
      <c r="H879" s="82">
        <v>200</v>
      </c>
      <c r="I879" s="17">
        <v>0</v>
      </c>
      <c r="J879" s="461">
        <v>0</v>
      </c>
      <c r="K879" s="82">
        <v>0</v>
      </c>
      <c r="L879" s="460">
        <v>60201</v>
      </c>
      <c r="M879" s="460" t="s">
        <v>3982</v>
      </c>
      <c r="N879" s="460">
        <v>60201</v>
      </c>
      <c r="O879" s="460" t="s">
        <v>5178</v>
      </c>
      <c r="P879" s="82"/>
      <c r="Q879" s="102"/>
      <c r="R879" s="102"/>
      <c r="S879" s="102">
        <v>10062</v>
      </c>
      <c r="T879" s="102"/>
      <c r="U879" s="82">
        <v>50</v>
      </c>
      <c r="V879" s="82">
        <v>0</v>
      </c>
      <c r="W879" s="82">
        <v>0</v>
      </c>
      <c r="X879" s="82"/>
      <c r="Y879" s="82"/>
      <c r="Z879" s="463">
        <f>ROUND(AY879*(30+G879^1.5)*AX879,0)</f>
        <v>97187</v>
      </c>
      <c r="AA879" s="82"/>
      <c r="AB879" s="105"/>
      <c r="AC879" s="105"/>
      <c r="AD879" s="82"/>
      <c r="AE879" s="82"/>
      <c r="AF879" s="82" t="str">
        <f t="shared" si="131"/>
        <v>title([40级]狩猎赤甲蝎[白])
body(hotyellow_3(任务进程:)newline()
   狩猎goto(10062,3)，去找goto(60201,3)。
blankline()hotyellow_3(任务描述:)newline() 
space()space()space()player()，我这里有一份有关消灭凤城赤甲蝎的委托单，如果你有兴趣的话，就由你来完成吧！)</v>
      </c>
      <c r="AG879" s="443" t="s">
        <v>3990</v>
      </c>
      <c r="AH879" s="82" t="s">
        <v>291</v>
      </c>
      <c r="AI879" s="82" t="s">
        <v>292</v>
      </c>
      <c r="AJ879" s="82" t="s">
        <v>6396</v>
      </c>
      <c r="AK879" s="82"/>
      <c r="AL879" s="83">
        <v>0</v>
      </c>
      <c r="AM879" s="443" t="str">
        <f t="shared" si="127"/>
        <v>&lt;p&gt;
&lt;n&gt;  狩猎：&lt;/n&gt;
 &lt;n&gt; &lt;/n&gt;&lt;goto id="10062" mapid="3" flagpoint="1" taskid="12222" quick="1"/&gt;
&lt;/p&gt;</v>
      </c>
      <c r="AN879" s="443" t="str">
        <f t="shared" si="125"/>
        <v>&lt;p&gt;
&lt;n&gt;  交：&lt;/n&gt;
 &lt;n&gt; &lt;/n&gt;&lt;goto id="60201" mapid="3" flagpoint="1" taskid="12222" quick="1"/&gt;&lt;/p&gt;</v>
      </c>
      <c r="AO879" s="82"/>
      <c r="AP879" s="82">
        <v>0</v>
      </c>
      <c r="AQ879" s="82">
        <v>1</v>
      </c>
      <c r="AR879" s="101">
        <v>0</v>
      </c>
      <c r="AS879" s="82">
        <v>0</v>
      </c>
      <c r="AT879" s="82">
        <v>1</v>
      </c>
      <c r="AU879" s="101">
        <v>0</v>
      </c>
      <c r="AV879" s="17">
        <f t="shared" si="119"/>
        <v>0</v>
      </c>
      <c r="AW879" s="82" t="str">
        <f t="shared" si="126"/>
        <v>{s_taskKillNpc, {60201,60201,10062,50}}</v>
      </c>
      <c r="AX879" s="460">
        <v>1</v>
      </c>
      <c r="AY879" s="472">
        <v>34</v>
      </c>
    </row>
    <row r="880" spans="1:51" s="472" customFormat="1" ht="84.75" thickBot="1" x14ac:dyDescent="0.2">
      <c r="A880" s="466">
        <v>12223</v>
      </c>
      <c r="B880" s="82"/>
      <c r="C880" s="82" t="s">
        <v>2573</v>
      </c>
      <c r="D880" s="82">
        <v>2</v>
      </c>
      <c r="E880" s="82">
        <v>0</v>
      </c>
      <c r="F880" s="82">
        <v>3</v>
      </c>
      <c r="G880" s="120">
        <v>200</v>
      </c>
      <c r="H880" s="82">
        <v>200</v>
      </c>
      <c r="I880" s="17">
        <v>0</v>
      </c>
      <c r="J880" s="461">
        <v>0</v>
      </c>
      <c r="K880" s="82">
        <v>0</v>
      </c>
      <c r="L880" s="460">
        <v>60201</v>
      </c>
      <c r="M880" s="460" t="s">
        <v>3982</v>
      </c>
      <c r="N880" s="460">
        <v>60201</v>
      </c>
      <c r="O880" s="460" t="s">
        <v>5178</v>
      </c>
      <c r="P880" s="82"/>
      <c r="Q880" s="102"/>
      <c r="R880" s="102"/>
      <c r="S880" s="102">
        <v>10062</v>
      </c>
      <c r="T880" s="102"/>
      <c r="U880" s="82">
        <v>50</v>
      </c>
      <c r="V880" s="82">
        <v>0</v>
      </c>
      <c r="W880" s="82">
        <v>0</v>
      </c>
      <c r="X880" s="82"/>
      <c r="Y880" s="82"/>
      <c r="Z880" s="463">
        <f>ROUND(AY880*(30+G880^1.5)*AX880,0)</f>
        <v>126342</v>
      </c>
      <c r="AA880" s="82"/>
      <c r="AB880" s="105"/>
      <c r="AC880" s="105"/>
      <c r="AD880" s="82"/>
      <c r="AE880" s="82"/>
      <c r="AF880" s="82" t="str">
        <f t="shared" si="131"/>
        <v>title([40级]狩猎赤甲蝎[蓝])
body(hotyellow_3(任务进程:)newline()
   狩猎goto(10062,3)，去找goto(60201,3)。
blankline()hotyellow_3(任务描述:)newline() 
space()space()space()player()，我这里有一份有关消灭凤城赤甲蝎的委托单，如果你有兴趣的话，就由你来完成吧！)</v>
      </c>
      <c r="AG880" s="443" t="s">
        <v>3991</v>
      </c>
      <c r="AH880" s="82" t="s">
        <v>291</v>
      </c>
      <c r="AI880" s="82" t="s">
        <v>292</v>
      </c>
      <c r="AJ880" s="82" t="s">
        <v>6396</v>
      </c>
      <c r="AK880" s="82"/>
      <c r="AL880" s="83">
        <v>0</v>
      </c>
      <c r="AM880" s="443" t="str">
        <f t="shared" si="127"/>
        <v>&lt;p&gt;
&lt;n&gt;  狩猎：&lt;/n&gt;
 &lt;n&gt; &lt;/n&gt;&lt;goto id="10062" mapid="3" flagpoint="1" taskid="12223" quick="1"/&gt;
&lt;/p&gt;</v>
      </c>
      <c r="AN880" s="443" t="str">
        <f t="shared" si="125"/>
        <v>&lt;p&gt;
&lt;n&gt;  交：&lt;/n&gt;
 &lt;n&gt; &lt;/n&gt;&lt;goto id="60201" mapid="3" flagpoint="1" taskid="12223" quick="1"/&gt;&lt;/p&gt;</v>
      </c>
      <c r="AO880" s="82"/>
      <c r="AP880" s="82">
        <v>0</v>
      </c>
      <c r="AQ880" s="82">
        <v>1</v>
      </c>
      <c r="AR880" s="101">
        <v>0</v>
      </c>
      <c r="AS880" s="82">
        <v>0</v>
      </c>
      <c r="AT880" s="82">
        <v>1</v>
      </c>
      <c r="AU880" s="101">
        <v>0</v>
      </c>
      <c r="AV880" s="17">
        <f t="shared" si="119"/>
        <v>0</v>
      </c>
      <c r="AW880" s="82" t="str">
        <f t="shared" si="126"/>
        <v>{s_taskKillNpc, {60201,60201,10062,50}}</v>
      </c>
      <c r="AX880" s="460">
        <v>1.3</v>
      </c>
      <c r="AY880" s="472">
        <v>34</v>
      </c>
    </row>
    <row r="881" spans="1:51" s="472" customFormat="1" ht="84.75" thickBot="1" x14ac:dyDescent="0.2">
      <c r="A881" s="466">
        <v>12224</v>
      </c>
      <c r="B881" s="82"/>
      <c r="C881" s="82" t="s">
        <v>2598</v>
      </c>
      <c r="D881" s="82">
        <v>2</v>
      </c>
      <c r="E881" s="82">
        <v>0</v>
      </c>
      <c r="F881" s="82">
        <v>3</v>
      </c>
      <c r="G881" s="120">
        <v>200</v>
      </c>
      <c r="H881" s="82">
        <v>200</v>
      </c>
      <c r="I881" s="17">
        <v>0</v>
      </c>
      <c r="J881" s="461">
        <v>0</v>
      </c>
      <c r="K881" s="82">
        <v>0</v>
      </c>
      <c r="L881" s="460">
        <v>60201</v>
      </c>
      <c r="M881" s="460" t="s">
        <v>3982</v>
      </c>
      <c r="N881" s="460">
        <v>60201</v>
      </c>
      <c r="O881" s="460" t="s">
        <v>5178</v>
      </c>
      <c r="P881" s="82"/>
      <c r="Q881" s="102"/>
      <c r="R881" s="102"/>
      <c r="S881" s="102">
        <v>10062</v>
      </c>
      <c r="T881" s="102"/>
      <c r="U881" s="82">
        <v>50</v>
      </c>
      <c r="V881" s="82">
        <v>0</v>
      </c>
      <c r="W881" s="82">
        <v>0</v>
      </c>
      <c r="X881" s="82"/>
      <c r="Y881" s="82"/>
      <c r="Z881" s="463">
        <f>ROUND(AY881*(30+G881^1.5)*AX881,0)</f>
        <v>155498</v>
      </c>
      <c r="AA881" s="82"/>
      <c r="AB881" s="105"/>
      <c r="AC881" s="105"/>
      <c r="AD881" s="82"/>
      <c r="AE881" s="82"/>
      <c r="AF881" s="82" t="str">
        <f t="shared" si="131"/>
        <v>title([40级]狩猎赤甲蝎[黄])
body(hotyellow_3(任务进程:)newline()
   狩猎goto(10062,3)，去找goto(60201,3)。
blankline()hotyellow_3(任务描述:)newline() 
space()space()space()player()，我这里有一份有关消灭凤城赤甲蝎的委托单，如果你有兴趣的话，就由你来完成吧！)</v>
      </c>
      <c r="AG881" s="443" t="s">
        <v>3992</v>
      </c>
      <c r="AH881" s="82" t="s">
        <v>291</v>
      </c>
      <c r="AI881" s="82" t="s">
        <v>292</v>
      </c>
      <c r="AJ881" s="82" t="s">
        <v>6396</v>
      </c>
      <c r="AK881" s="82"/>
      <c r="AL881" s="83">
        <v>0</v>
      </c>
      <c r="AM881" s="443" t="str">
        <f t="shared" si="127"/>
        <v>&lt;p&gt;
&lt;n&gt;  狩猎：&lt;/n&gt;
 &lt;n&gt; &lt;/n&gt;&lt;goto id="10062" mapid="3" flagpoint="1" taskid="12224" quick="1"/&gt;
&lt;/p&gt;</v>
      </c>
      <c r="AN881" s="443" t="str">
        <f t="shared" si="125"/>
        <v>&lt;p&gt;
&lt;n&gt;  交：&lt;/n&gt;
 &lt;n&gt; &lt;/n&gt;&lt;goto id="60201" mapid="3" flagpoint="1" taskid="12224" quick="1"/&gt;&lt;/p&gt;</v>
      </c>
      <c r="AO881" s="82"/>
      <c r="AP881" s="82">
        <v>0</v>
      </c>
      <c r="AQ881" s="82">
        <v>1</v>
      </c>
      <c r="AR881" s="101">
        <v>0</v>
      </c>
      <c r="AS881" s="82">
        <v>0</v>
      </c>
      <c r="AT881" s="82">
        <v>1</v>
      </c>
      <c r="AU881" s="101">
        <v>0</v>
      </c>
      <c r="AV881" s="17">
        <f t="shared" si="119"/>
        <v>0</v>
      </c>
      <c r="AW881" s="82" t="str">
        <f t="shared" si="126"/>
        <v>{s_taskKillNpc, {60201,60201,10062,50}}</v>
      </c>
      <c r="AX881" s="460">
        <v>1.6</v>
      </c>
      <c r="AY881" s="472">
        <v>34</v>
      </c>
    </row>
    <row r="882" spans="1:51" s="472" customFormat="1" ht="84.75" thickBot="1" x14ac:dyDescent="0.2">
      <c r="A882" s="466">
        <v>12225</v>
      </c>
      <c r="B882" s="82"/>
      <c r="C882" s="82" t="s">
        <v>2623</v>
      </c>
      <c r="D882" s="82">
        <v>2</v>
      </c>
      <c r="E882" s="82">
        <v>0</v>
      </c>
      <c r="F882" s="82">
        <v>3</v>
      </c>
      <c r="G882" s="120">
        <v>200</v>
      </c>
      <c r="H882" s="82">
        <v>200</v>
      </c>
      <c r="I882" s="17">
        <v>0</v>
      </c>
      <c r="J882" s="461">
        <v>0</v>
      </c>
      <c r="K882" s="82">
        <v>0</v>
      </c>
      <c r="L882" s="460">
        <v>60201</v>
      </c>
      <c r="M882" s="460" t="s">
        <v>3982</v>
      </c>
      <c r="N882" s="460">
        <v>60201</v>
      </c>
      <c r="O882" s="460" t="s">
        <v>5178</v>
      </c>
      <c r="P882" s="82"/>
      <c r="Q882" s="102"/>
      <c r="R882" s="102"/>
      <c r="S882" s="102">
        <v>10062</v>
      </c>
      <c r="T882" s="102"/>
      <c r="U882" s="82">
        <v>50</v>
      </c>
      <c r="V882" s="82">
        <v>0</v>
      </c>
      <c r="W882" s="82">
        <v>0</v>
      </c>
      <c r="X882" s="82"/>
      <c r="Y882" s="82"/>
      <c r="Z882" s="463">
        <f>ROUND(AY882*(30+G882^1.5)*AX882,0)</f>
        <v>213810</v>
      </c>
      <c r="AA882" s="82"/>
      <c r="AB882" s="105"/>
      <c r="AC882" s="105"/>
      <c r="AD882" s="82"/>
      <c r="AE882" s="82"/>
      <c r="AF882" s="82" t="str">
        <f t="shared" si="131"/>
        <v>title([40级]狩猎赤甲蝎[绿])
body(hotyellow_3(任务进程:)newline()
   狩猎goto(10062,3)，去找goto(60201,3)。
blankline()hotyellow_3(任务描述:)newline() 
space()space()space()player()，我这里有一份有关消灭凤城赤甲蝎的委托单，如果你有兴趣的话，就由你来完成吧！)</v>
      </c>
      <c r="AG882" s="443" t="s">
        <v>3993</v>
      </c>
      <c r="AH882" s="82" t="s">
        <v>291</v>
      </c>
      <c r="AI882" s="82" t="s">
        <v>292</v>
      </c>
      <c r="AJ882" s="82" t="s">
        <v>6396</v>
      </c>
      <c r="AK882" s="82"/>
      <c r="AL882" s="83">
        <v>0</v>
      </c>
      <c r="AM882" s="443" t="str">
        <f t="shared" si="127"/>
        <v>&lt;p&gt;
&lt;n&gt;  狩猎：&lt;/n&gt;
 &lt;n&gt; &lt;/n&gt;&lt;goto id="10062" mapid="3" flagpoint="1" taskid="12225" quick="1"/&gt;
&lt;/p&gt;</v>
      </c>
      <c r="AN882" s="443" t="str">
        <f t="shared" si="125"/>
        <v>&lt;p&gt;
&lt;n&gt;  交：&lt;/n&gt;
 &lt;n&gt; &lt;/n&gt;&lt;goto id="60201" mapid="3" flagpoint="1" taskid="12225" quick="1"/&gt;&lt;/p&gt;</v>
      </c>
      <c r="AO882" s="82"/>
      <c r="AP882" s="82">
        <v>0</v>
      </c>
      <c r="AQ882" s="82">
        <v>1</v>
      </c>
      <c r="AR882" s="101">
        <v>0</v>
      </c>
      <c r="AS882" s="82">
        <v>0</v>
      </c>
      <c r="AT882" s="82">
        <v>1</v>
      </c>
      <c r="AU882" s="101">
        <v>0</v>
      </c>
      <c r="AV882" s="17">
        <f t="shared" si="119"/>
        <v>0</v>
      </c>
      <c r="AW882" s="82" t="str">
        <f t="shared" si="126"/>
        <v>{s_taskKillNpc, {60201,60201,10062,50}}</v>
      </c>
      <c r="AX882" s="460">
        <v>2.2000000000000002</v>
      </c>
      <c r="AY882" s="472">
        <v>34</v>
      </c>
    </row>
    <row r="883" spans="1:51" s="473" customFormat="1" ht="84.75" thickBot="1" x14ac:dyDescent="0.2">
      <c r="A883" s="467">
        <v>12226</v>
      </c>
      <c r="B883" s="468"/>
      <c r="C883" s="468" t="s">
        <v>2648</v>
      </c>
      <c r="D883" s="468">
        <v>2</v>
      </c>
      <c r="E883" s="468">
        <v>0</v>
      </c>
      <c r="F883" s="468">
        <v>3</v>
      </c>
      <c r="G883" s="120">
        <v>200</v>
      </c>
      <c r="H883" s="468">
        <v>200</v>
      </c>
      <c r="I883" s="17">
        <v>0</v>
      </c>
      <c r="J883" s="461">
        <v>0</v>
      </c>
      <c r="K883" s="468">
        <v>0</v>
      </c>
      <c r="L883" s="460">
        <v>60201</v>
      </c>
      <c r="M883" s="460" t="s">
        <v>3982</v>
      </c>
      <c r="N883" s="460">
        <v>60201</v>
      </c>
      <c r="O883" s="460" t="s">
        <v>5178</v>
      </c>
      <c r="P883" s="468"/>
      <c r="Q883" s="469"/>
      <c r="R883" s="469"/>
      <c r="S883" s="469">
        <v>10062</v>
      </c>
      <c r="T883" s="469"/>
      <c r="U883" s="468">
        <v>50</v>
      </c>
      <c r="V883" s="468">
        <v>0</v>
      </c>
      <c r="W883" s="468">
        <v>0</v>
      </c>
      <c r="X883" s="468"/>
      <c r="Y883" s="468"/>
      <c r="Z883" s="463">
        <f>ROUND(AY883*(30+G883^1.5)*AX883,0)</f>
        <v>291560</v>
      </c>
      <c r="AA883" s="468"/>
      <c r="AB883" s="470"/>
      <c r="AC883" s="470"/>
      <c r="AD883" s="468"/>
      <c r="AE883" s="468"/>
      <c r="AF883" s="468" t="str">
        <f t="shared" si="131"/>
        <v>title([40级]狩猎赤甲蝎[紫])
body(hotyellow_3(任务进程:)newline()
   狩猎goto(10062,3)，去找goto(60201,3)。
blankline()hotyellow_3(任务描述:)newline() 
space()space()space()player()，我这里有一份有关消灭凤城赤甲蝎的委托单，如果你有兴趣的话，就由你来完成吧！)</v>
      </c>
      <c r="AG883" s="452" t="s">
        <v>3994</v>
      </c>
      <c r="AH883" s="468" t="s">
        <v>291</v>
      </c>
      <c r="AI883" s="468" t="s">
        <v>292</v>
      </c>
      <c r="AJ883" s="468" t="s">
        <v>6396</v>
      </c>
      <c r="AK883" s="468"/>
      <c r="AL883" s="461">
        <v>0</v>
      </c>
      <c r="AM883" s="443" t="str">
        <f t="shared" si="127"/>
        <v>&lt;p&gt;
&lt;n&gt;  狩猎：&lt;/n&gt;
 &lt;n&gt; &lt;/n&gt;&lt;goto id="10062" mapid="3" flagpoint="1" taskid="12226" quick="1"/&gt;
&lt;/p&gt;</v>
      </c>
      <c r="AN883" s="443" t="str">
        <f t="shared" si="125"/>
        <v>&lt;p&gt;
&lt;n&gt;  交：&lt;/n&gt;
 &lt;n&gt; &lt;/n&gt;&lt;goto id="60201" mapid="3" flagpoint="1" taskid="12226" quick="1"/&gt;&lt;/p&gt;</v>
      </c>
      <c r="AO883" s="468"/>
      <c r="AP883" s="468">
        <v>0</v>
      </c>
      <c r="AQ883" s="82">
        <v>1</v>
      </c>
      <c r="AR883" s="101">
        <v>0</v>
      </c>
      <c r="AS883" s="468">
        <v>0</v>
      </c>
      <c r="AT883" s="468">
        <v>1</v>
      </c>
      <c r="AU883" s="101">
        <v>0</v>
      </c>
      <c r="AV883" s="17">
        <f t="shared" si="119"/>
        <v>0</v>
      </c>
      <c r="AW883" s="468" t="str">
        <f t="shared" si="126"/>
        <v>{s_taskKillNpc, {60201,60201,10062,50}}</v>
      </c>
      <c r="AX883" s="460">
        <v>3</v>
      </c>
      <c r="AY883" s="472">
        <v>34</v>
      </c>
    </row>
    <row r="884" spans="1:51" s="471" customFormat="1" ht="84.75" thickBot="1" x14ac:dyDescent="0.2">
      <c r="A884" s="459">
        <v>12231</v>
      </c>
      <c r="B884" s="460"/>
      <c r="C884" s="460" t="s">
        <v>2230</v>
      </c>
      <c r="D884" s="460">
        <v>2</v>
      </c>
      <c r="E884" s="460">
        <v>0</v>
      </c>
      <c r="F884" s="460">
        <v>3</v>
      </c>
      <c r="G884" s="120">
        <v>200</v>
      </c>
      <c r="H884" s="460">
        <v>200</v>
      </c>
      <c r="I884" s="17">
        <v>0</v>
      </c>
      <c r="J884" s="461">
        <v>0</v>
      </c>
      <c r="K884" s="460">
        <v>0</v>
      </c>
      <c r="L884" s="460">
        <v>60201</v>
      </c>
      <c r="M884" s="460" t="s">
        <v>3982</v>
      </c>
      <c r="N884" s="460">
        <v>60201</v>
      </c>
      <c r="O884" s="460" t="s">
        <v>5178</v>
      </c>
      <c r="P884" s="460"/>
      <c r="Q884" s="462"/>
      <c r="R884" s="462"/>
      <c r="S884" s="462">
        <v>10063</v>
      </c>
      <c r="T884" s="462"/>
      <c r="U884" s="460">
        <v>60</v>
      </c>
      <c r="V884" s="460">
        <v>0</v>
      </c>
      <c r="W884" s="460">
        <v>0</v>
      </c>
      <c r="X884" s="460"/>
      <c r="Y884" s="460"/>
      <c r="Z884" s="463"/>
      <c r="AA884" s="460"/>
      <c r="AB884" s="464"/>
      <c r="AC884" s="464"/>
      <c r="AD884" s="460"/>
      <c r="AE884" s="460"/>
      <c r="AF884" s="460" t="str">
        <f t="shared" ref="AF884:AF889" si="132">"title("&amp;C884&amp;")
body(hotyellow_3(任务进程:)newline()
   狩猎goto(10063,3)，去找goto(60201,3)。
blankline()hotyellow_3(任务描述:)newline() 
space()space()space()player()，我这里有一份有关消灭凤城巨钳蝎的委托单，如果你有兴趣的话，就由你来完成吧！)"</f>
        <v>title([41级]狩猎巨钳蝎)
body(hotyellow_3(任务进程:)newline()
   狩猎goto(10063,3)，去找goto(60201,3)。
blankline()hotyellow_3(任务描述:)newline() 
space()space()space()player()，我这里有一份有关消灭凤城巨钳蝎的委托单，如果你有兴趣的话，就由你来完成吧！)</v>
      </c>
      <c r="AG884" s="437" t="s">
        <v>3989</v>
      </c>
      <c r="AH884" s="460" t="s">
        <v>291</v>
      </c>
      <c r="AI884" s="460" t="s">
        <v>292</v>
      </c>
      <c r="AJ884" s="460" t="s">
        <v>6397</v>
      </c>
      <c r="AK884" s="460"/>
      <c r="AL884" s="465">
        <v>0</v>
      </c>
      <c r="AM884" s="443" t="str">
        <f t="shared" si="127"/>
        <v>&lt;p&gt;
&lt;n&gt;  狩猎：&lt;/n&gt;
 &lt;n&gt; &lt;/n&gt;&lt;goto id="10063" mapid="3" flagpoint="1" taskid="12231" quick="1"/&gt;
&lt;/p&gt;</v>
      </c>
      <c r="AN884" s="443" t="str">
        <f t="shared" si="125"/>
        <v>&lt;p&gt;
&lt;n&gt;  交：&lt;/n&gt;
 &lt;n&gt; &lt;/n&gt;&lt;goto id="60201" mapid="3" flagpoint="1" taskid="12231" quick="1"/&gt;&lt;/p&gt;</v>
      </c>
      <c r="AO884" s="460"/>
      <c r="AP884" s="460">
        <v>1</v>
      </c>
      <c r="AQ884" s="460">
        <v>0</v>
      </c>
      <c r="AR884" s="101">
        <v>0</v>
      </c>
      <c r="AS884" s="460">
        <v>0</v>
      </c>
      <c r="AT884" s="460">
        <v>1</v>
      </c>
      <c r="AU884" s="101">
        <v>0</v>
      </c>
      <c r="AV884" s="17">
        <f t="shared" si="119"/>
        <v>0</v>
      </c>
      <c r="AW884" s="460" t="str">
        <f t="shared" si="126"/>
        <v>{s_taskKillNpc, {60201,60201,10063,60}}</v>
      </c>
      <c r="AX884" s="460"/>
    </row>
    <row r="885" spans="1:51" s="472" customFormat="1" ht="84.75" thickBot="1" x14ac:dyDescent="0.2">
      <c r="A885" s="466">
        <v>12232</v>
      </c>
      <c r="B885" s="82"/>
      <c r="C885" s="82" t="s">
        <v>2549</v>
      </c>
      <c r="D885" s="82">
        <v>2</v>
      </c>
      <c r="E885" s="82">
        <v>0</v>
      </c>
      <c r="F885" s="82">
        <v>3</v>
      </c>
      <c r="G885" s="120">
        <v>200</v>
      </c>
      <c r="H885" s="82">
        <v>200</v>
      </c>
      <c r="I885" s="17">
        <v>0</v>
      </c>
      <c r="J885" s="461">
        <v>0</v>
      </c>
      <c r="K885" s="82">
        <v>0</v>
      </c>
      <c r="L885" s="460">
        <v>60201</v>
      </c>
      <c r="M885" s="460" t="s">
        <v>3982</v>
      </c>
      <c r="N885" s="460">
        <v>60201</v>
      </c>
      <c r="O885" s="460" t="s">
        <v>5178</v>
      </c>
      <c r="P885" s="82"/>
      <c r="Q885" s="102"/>
      <c r="R885" s="102"/>
      <c r="S885" s="102">
        <v>10063</v>
      </c>
      <c r="T885" s="102"/>
      <c r="U885" s="82">
        <v>60</v>
      </c>
      <c r="V885" s="82">
        <v>0</v>
      </c>
      <c r="W885" s="82">
        <v>0</v>
      </c>
      <c r="X885" s="82"/>
      <c r="Y885" s="82"/>
      <c r="Z885" s="463">
        <f>ROUND(AY885*(30+G885^1.5)*AX885,0)</f>
        <v>114337</v>
      </c>
      <c r="AA885" s="82"/>
      <c r="AB885" s="105"/>
      <c r="AC885" s="105"/>
      <c r="AD885" s="82"/>
      <c r="AE885" s="82"/>
      <c r="AF885" s="82" t="str">
        <f t="shared" si="132"/>
        <v>title([41级]狩猎巨钳蝎[白])
body(hotyellow_3(任务进程:)newline()
   狩猎goto(10063,3)，去找goto(60201,3)。
blankline()hotyellow_3(任务描述:)newline() 
space()space()space()player()，我这里有一份有关消灭凤城巨钳蝎的委托单，如果你有兴趣的话，就由你来完成吧！)</v>
      </c>
      <c r="AG885" s="443" t="s">
        <v>3990</v>
      </c>
      <c r="AH885" s="82" t="s">
        <v>291</v>
      </c>
      <c r="AI885" s="82" t="s">
        <v>292</v>
      </c>
      <c r="AJ885" s="82" t="s">
        <v>6397</v>
      </c>
      <c r="AK885" s="82"/>
      <c r="AL885" s="83">
        <v>0</v>
      </c>
      <c r="AM885" s="443" t="str">
        <f t="shared" si="127"/>
        <v>&lt;p&gt;
&lt;n&gt;  狩猎：&lt;/n&gt;
 &lt;n&gt; &lt;/n&gt;&lt;goto id="10063" mapid="3" flagpoint="1" taskid="12232" quick="1"/&gt;
&lt;/p&gt;</v>
      </c>
      <c r="AN885" s="443" t="str">
        <f t="shared" si="125"/>
        <v>&lt;p&gt;
&lt;n&gt;  交：&lt;/n&gt;
 &lt;n&gt; &lt;/n&gt;&lt;goto id="60201" mapid="3" flagpoint="1" taskid="12232" quick="1"/&gt;&lt;/p&gt;</v>
      </c>
      <c r="AO885" s="82"/>
      <c r="AP885" s="82">
        <v>0</v>
      </c>
      <c r="AQ885" s="82">
        <v>1</v>
      </c>
      <c r="AR885" s="101">
        <v>0</v>
      </c>
      <c r="AS885" s="82">
        <v>0</v>
      </c>
      <c r="AT885" s="82">
        <v>1</v>
      </c>
      <c r="AU885" s="101">
        <v>0</v>
      </c>
      <c r="AV885" s="17">
        <f t="shared" si="119"/>
        <v>0</v>
      </c>
      <c r="AW885" s="82" t="str">
        <f t="shared" si="126"/>
        <v>{s_taskKillNpc, {60201,60201,10063,60}}</v>
      </c>
      <c r="AX885" s="460">
        <v>1</v>
      </c>
      <c r="AY885" s="472">
        <v>40</v>
      </c>
    </row>
    <row r="886" spans="1:51" s="472" customFormat="1" ht="84.75" thickBot="1" x14ac:dyDescent="0.2">
      <c r="A886" s="466">
        <v>12233</v>
      </c>
      <c r="B886" s="82"/>
      <c r="C886" s="82" t="s">
        <v>2574</v>
      </c>
      <c r="D886" s="82">
        <v>2</v>
      </c>
      <c r="E886" s="82">
        <v>0</v>
      </c>
      <c r="F886" s="82">
        <v>3</v>
      </c>
      <c r="G886" s="120">
        <v>200</v>
      </c>
      <c r="H886" s="82">
        <v>200</v>
      </c>
      <c r="I886" s="17">
        <v>0</v>
      </c>
      <c r="J886" s="461">
        <v>0</v>
      </c>
      <c r="K886" s="82">
        <v>0</v>
      </c>
      <c r="L886" s="460">
        <v>60201</v>
      </c>
      <c r="M886" s="460" t="s">
        <v>3982</v>
      </c>
      <c r="N886" s="460">
        <v>60201</v>
      </c>
      <c r="O886" s="460" t="s">
        <v>5178</v>
      </c>
      <c r="P886" s="82"/>
      <c r="Q886" s="102"/>
      <c r="R886" s="102"/>
      <c r="S886" s="102">
        <v>10063</v>
      </c>
      <c r="T886" s="102"/>
      <c r="U886" s="82">
        <v>60</v>
      </c>
      <c r="V886" s="82">
        <v>0</v>
      </c>
      <c r="W886" s="82">
        <v>0</v>
      </c>
      <c r="X886" s="82"/>
      <c r="Y886" s="82"/>
      <c r="Z886" s="463">
        <f>ROUND(AY886*(30+G886^1.5)*AX886,0)</f>
        <v>148638</v>
      </c>
      <c r="AA886" s="82"/>
      <c r="AB886" s="105"/>
      <c r="AC886" s="105"/>
      <c r="AD886" s="82"/>
      <c r="AE886" s="82"/>
      <c r="AF886" s="82" t="str">
        <f t="shared" si="132"/>
        <v>title([41级]狩猎巨钳蝎[蓝])
body(hotyellow_3(任务进程:)newline()
   狩猎goto(10063,3)，去找goto(60201,3)。
blankline()hotyellow_3(任务描述:)newline() 
space()space()space()player()，我这里有一份有关消灭凤城巨钳蝎的委托单，如果你有兴趣的话，就由你来完成吧！)</v>
      </c>
      <c r="AG886" s="443" t="s">
        <v>3991</v>
      </c>
      <c r="AH886" s="82" t="s">
        <v>291</v>
      </c>
      <c r="AI886" s="82" t="s">
        <v>292</v>
      </c>
      <c r="AJ886" s="82" t="s">
        <v>6397</v>
      </c>
      <c r="AK886" s="82"/>
      <c r="AL886" s="83">
        <v>0</v>
      </c>
      <c r="AM886" s="443" t="str">
        <f t="shared" si="127"/>
        <v>&lt;p&gt;
&lt;n&gt;  狩猎：&lt;/n&gt;
 &lt;n&gt; &lt;/n&gt;&lt;goto id="10063" mapid="3" flagpoint="1" taskid="12233" quick="1"/&gt;
&lt;/p&gt;</v>
      </c>
      <c r="AN886" s="443" t="str">
        <f t="shared" si="125"/>
        <v>&lt;p&gt;
&lt;n&gt;  交：&lt;/n&gt;
 &lt;n&gt; &lt;/n&gt;&lt;goto id="60201" mapid="3" flagpoint="1" taskid="12233" quick="1"/&gt;&lt;/p&gt;</v>
      </c>
      <c r="AO886" s="82"/>
      <c r="AP886" s="82">
        <v>0</v>
      </c>
      <c r="AQ886" s="82">
        <v>1</v>
      </c>
      <c r="AR886" s="101">
        <v>0</v>
      </c>
      <c r="AS886" s="82">
        <v>0</v>
      </c>
      <c r="AT886" s="82">
        <v>1</v>
      </c>
      <c r="AU886" s="101">
        <v>0</v>
      </c>
      <c r="AV886" s="17">
        <f t="shared" si="119"/>
        <v>0</v>
      </c>
      <c r="AW886" s="82" t="str">
        <f t="shared" si="126"/>
        <v>{s_taskKillNpc, {60201,60201,10063,60}}</v>
      </c>
      <c r="AX886" s="460">
        <v>1.3</v>
      </c>
      <c r="AY886" s="472">
        <v>40</v>
      </c>
    </row>
    <row r="887" spans="1:51" s="472" customFormat="1" ht="84.75" thickBot="1" x14ac:dyDescent="0.2">
      <c r="A887" s="466">
        <v>12234</v>
      </c>
      <c r="B887" s="82"/>
      <c r="C887" s="82" t="s">
        <v>2599</v>
      </c>
      <c r="D887" s="82">
        <v>2</v>
      </c>
      <c r="E887" s="82">
        <v>0</v>
      </c>
      <c r="F887" s="82">
        <v>3</v>
      </c>
      <c r="G887" s="120">
        <v>200</v>
      </c>
      <c r="H887" s="82">
        <v>200</v>
      </c>
      <c r="I887" s="17">
        <v>0</v>
      </c>
      <c r="J887" s="461">
        <v>0</v>
      </c>
      <c r="K887" s="82">
        <v>0</v>
      </c>
      <c r="L887" s="460">
        <v>60201</v>
      </c>
      <c r="M887" s="460" t="s">
        <v>3982</v>
      </c>
      <c r="N887" s="460">
        <v>60201</v>
      </c>
      <c r="O887" s="460" t="s">
        <v>5178</v>
      </c>
      <c r="P887" s="82"/>
      <c r="Q887" s="102"/>
      <c r="R887" s="102"/>
      <c r="S887" s="102">
        <v>10063</v>
      </c>
      <c r="T887" s="102"/>
      <c r="U887" s="82">
        <v>60</v>
      </c>
      <c r="V887" s="82">
        <v>0</v>
      </c>
      <c r="W887" s="82">
        <v>0</v>
      </c>
      <c r="X887" s="82"/>
      <c r="Y887" s="82"/>
      <c r="Z887" s="463">
        <f>ROUND(AY887*(30+G887^1.5)*AX887,0)</f>
        <v>182939</v>
      </c>
      <c r="AA887" s="82"/>
      <c r="AB887" s="105"/>
      <c r="AC887" s="105"/>
      <c r="AD887" s="82"/>
      <c r="AE887" s="82"/>
      <c r="AF887" s="82" t="str">
        <f t="shared" si="132"/>
        <v>title([41级]狩猎巨钳蝎[黄])
body(hotyellow_3(任务进程:)newline()
   狩猎goto(10063,3)，去找goto(60201,3)。
blankline()hotyellow_3(任务描述:)newline() 
space()space()space()player()，我这里有一份有关消灭凤城巨钳蝎的委托单，如果你有兴趣的话，就由你来完成吧！)</v>
      </c>
      <c r="AG887" s="443" t="s">
        <v>3992</v>
      </c>
      <c r="AH887" s="82" t="s">
        <v>291</v>
      </c>
      <c r="AI887" s="82" t="s">
        <v>292</v>
      </c>
      <c r="AJ887" s="82" t="s">
        <v>6397</v>
      </c>
      <c r="AK887" s="82"/>
      <c r="AL887" s="83">
        <v>0</v>
      </c>
      <c r="AM887" s="443" t="str">
        <f t="shared" si="127"/>
        <v>&lt;p&gt;
&lt;n&gt;  狩猎：&lt;/n&gt;
 &lt;n&gt; &lt;/n&gt;&lt;goto id="10063" mapid="3" flagpoint="1" taskid="12234" quick="1"/&gt;
&lt;/p&gt;</v>
      </c>
      <c r="AN887" s="443" t="str">
        <f t="shared" ref="AN887:AN918" si="133">"&lt;p&gt;
&lt;n&gt;  交：&lt;/n&gt;
 &lt;n&gt; &lt;/n&gt;&lt;goto id="""&amp;N887&amp;""" mapid="""&amp;F887&amp;""" flagpoint=""1"" taskid="""&amp;A887&amp;""" quick=""1""/&gt;&lt;/p&gt;"</f>
        <v>&lt;p&gt;
&lt;n&gt;  交：&lt;/n&gt;
 &lt;n&gt; &lt;/n&gt;&lt;goto id="60201" mapid="3" flagpoint="1" taskid="12234" quick="1"/&gt;&lt;/p&gt;</v>
      </c>
      <c r="AO887" s="82"/>
      <c r="AP887" s="82">
        <v>0</v>
      </c>
      <c r="AQ887" s="82">
        <v>1</v>
      </c>
      <c r="AR887" s="101">
        <v>0</v>
      </c>
      <c r="AS887" s="82">
        <v>0</v>
      </c>
      <c r="AT887" s="82">
        <v>1</v>
      </c>
      <c r="AU887" s="101">
        <v>0</v>
      </c>
      <c r="AV887" s="17">
        <f t="shared" si="119"/>
        <v>0</v>
      </c>
      <c r="AW887" s="82" t="str">
        <f t="shared" ref="AW887:AW918" si="134">"{s_taskKillNpc, {"&amp;L887&amp;","&amp;N887&amp;","&amp;S887&amp;","&amp;U887&amp;"}}"</f>
        <v>{s_taskKillNpc, {60201,60201,10063,60}}</v>
      </c>
      <c r="AX887" s="460">
        <v>1.6</v>
      </c>
      <c r="AY887" s="472">
        <v>40</v>
      </c>
    </row>
    <row r="888" spans="1:51" s="472" customFormat="1" ht="84.75" thickBot="1" x14ac:dyDescent="0.2">
      <c r="A888" s="466">
        <v>12235</v>
      </c>
      <c r="B888" s="82"/>
      <c r="C888" s="82" t="s">
        <v>2624</v>
      </c>
      <c r="D888" s="82">
        <v>2</v>
      </c>
      <c r="E888" s="82">
        <v>0</v>
      </c>
      <c r="F888" s="82">
        <v>3</v>
      </c>
      <c r="G888" s="120">
        <v>200</v>
      </c>
      <c r="H888" s="82">
        <v>200</v>
      </c>
      <c r="I888" s="17">
        <v>0</v>
      </c>
      <c r="J888" s="461">
        <v>0</v>
      </c>
      <c r="K888" s="82">
        <v>0</v>
      </c>
      <c r="L888" s="460">
        <v>60201</v>
      </c>
      <c r="M888" s="460" t="s">
        <v>3982</v>
      </c>
      <c r="N888" s="460">
        <v>60201</v>
      </c>
      <c r="O888" s="460" t="s">
        <v>5178</v>
      </c>
      <c r="P888" s="82"/>
      <c r="Q888" s="102"/>
      <c r="R888" s="102"/>
      <c r="S888" s="102">
        <v>10063</v>
      </c>
      <c r="T888" s="102"/>
      <c r="U888" s="82">
        <v>60</v>
      </c>
      <c r="V888" s="82">
        <v>0</v>
      </c>
      <c r="W888" s="82">
        <v>0</v>
      </c>
      <c r="X888" s="82"/>
      <c r="Y888" s="82"/>
      <c r="Z888" s="463">
        <f>ROUND(AY888*(30+G888^1.5)*AX888,0)</f>
        <v>251542</v>
      </c>
      <c r="AA888" s="82"/>
      <c r="AB888" s="105"/>
      <c r="AC888" s="105"/>
      <c r="AD888" s="82"/>
      <c r="AE888" s="82"/>
      <c r="AF888" s="82" t="str">
        <f t="shared" si="132"/>
        <v>title([41级]狩猎巨钳蝎[绿])
body(hotyellow_3(任务进程:)newline()
   狩猎goto(10063,3)，去找goto(60201,3)。
blankline()hotyellow_3(任务描述:)newline() 
space()space()space()player()，我这里有一份有关消灭凤城巨钳蝎的委托单，如果你有兴趣的话，就由你来完成吧！)</v>
      </c>
      <c r="AG888" s="443" t="s">
        <v>3993</v>
      </c>
      <c r="AH888" s="82" t="s">
        <v>291</v>
      </c>
      <c r="AI888" s="82" t="s">
        <v>292</v>
      </c>
      <c r="AJ888" s="82" t="s">
        <v>6397</v>
      </c>
      <c r="AK888" s="82"/>
      <c r="AL888" s="83">
        <v>0</v>
      </c>
      <c r="AM888" s="443" t="str">
        <f t="shared" si="127"/>
        <v>&lt;p&gt;
&lt;n&gt;  狩猎：&lt;/n&gt;
 &lt;n&gt; &lt;/n&gt;&lt;goto id="10063" mapid="3" flagpoint="1" taskid="12235" quick="1"/&gt;
&lt;/p&gt;</v>
      </c>
      <c r="AN888" s="443" t="str">
        <f t="shared" si="133"/>
        <v>&lt;p&gt;
&lt;n&gt;  交：&lt;/n&gt;
 &lt;n&gt; &lt;/n&gt;&lt;goto id="60201" mapid="3" flagpoint="1" taskid="12235" quick="1"/&gt;&lt;/p&gt;</v>
      </c>
      <c r="AO888" s="82"/>
      <c r="AP888" s="82">
        <v>0</v>
      </c>
      <c r="AQ888" s="82">
        <v>1</v>
      </c>
      <c r="AR888" s="101">
        <v>0</v>
      </c>
      <c r="AS888" s="82">
        <v>0</v>
      </c>
      <c r="AT888" s="82">
        <v>1</v>
      </c>
      <c r="AU888" s="101">
        <v>0</v>
      </c>
      <c r="AV888" s="17">
        <f t="shared" si="119"/>
        <v>0</v>
      </c>
      <c r="AW888" s="82" t="str">
        <f t="shared" si="134"/>
        <v>{s_taskKillNpc, {60201,60201,10063,60}}</v>
      </c>
      <c r="AX888" s="460">
        <v>2.2000000000000002</v>
      </c>
      <c r="AY888" s="472">
        <v>40</v>
      </c>
    </row>
    <row r="889" spans="1:51" s="473" customFormat="1" ht="84.75" thickBot="1" x14ac:dyDescent="0.2">
      <c r="A889" s="467">
        <v>12236</v>
      </c>
      <c r="B889" s="468"/>
      <c r="C889" s="468" t="s">
        <v>2649</v>
      </c>
      <c r="D889" s="468">
        <v>2</v>
      </c>
      <c r="E889" s="468">
        <v>0</v>
      </c>
      <c r="F889" s="468">
        <v>3</v>
      </c>
      <c r="G889" s="120">
        <v>200</v>
      </c>
      <c r="H889" s="468">
        <v>200</v>
      </c>
      <c r="I889" s="17">
        <v>0</v>
      </c>
      <c r="J889" s="461">
        <v>0</v>
      </c>
      <c r="K889" s="468">
        <v>0</v>
      </c>
      <c r="L889" s="460">
        <v>60201</v>
      </c>
      <c r="M889" s="460" t="s">
        <v>3982</v>
      </c>
      <c r="N889" s="460">
        <v>60201</v>
      </c>
      <c r="O889" s="460" t="s">
        <v>5178</v>
      </c>
      <c r="P889" s="468"/>
      <c r="Q889" s="469"/>
      <c r="R889" s="469"/>
      <c r="S889" s="469">
        <v>10063</v>
      </c>
      <c r="T889" s="469"/>
      <c r="U889" s="468">
        <v>60</v>
      </c>
      <c r="V889" s="468">
        <v>0</v>
      </c>
      <c r="W889" s="468">
        <v>0</v>
      </c>
      <c r="X889" s="468"/>
      <c r="Y889" s="468"/>
      <c r="Z889" s="463">
        <f>ROUND(AY889*(30+G889^1.5)*AX889,0)</f>
        <v>343011</v>
      </c>
      <c r="AA889" s="468"/>
      <c r="AB889" s="470"/>
      <c r="AC889" s="470"/>
      <c r="AD889" s="468"/>
      <c r="AE889" s="468"/>
      <c r="AF889" s="468" t="str">
        <f t="shared" si="132"/>
        <v>title([41级]狩猎巨钳蝎[紫])
body(hotyellow_3(任务进程:)newline()
   狩猎goto(10063,3)，去找goto(60201,3)。
blankline()hotyellow_3(任务描述:)newline() 
space()space()space()player()，我这里有一份有关消灭凤城巨钳蝎的委托单，如果你有兴趣的话，就由你来完成吧！)</v>
      </c>
      <c r="AG889" s="452" t="s">
        <v>3994</v>
      </c>
      <c r="AH889" s="468" t="s">
        <v>291</v>
      </c>
      <c r="AI889" s="468" t="s">
        <v>292</v>
      </c>
      <c r="AJ889" s="468" t="s">
        <v>6397</v>
      </c>
      <c r="AK889" s="468"/>
      <c r="AL889" s="461">
        <v>0</v>
      </c>
      <c r="AM889" s="443" t="str">
        <f t="shared" si="127"/>
        <v>&lt;p&gt;
&lt;n&gt;  狩猎：&lt;/n&gt;
 &lt;n&gt; &lt;/n&gt;&lt;goto id="10063" mapid="3" flagpoint="1" taskid="12236" quick="1"/&gt;
&lt;/p&gt;</v>
      </c>
      <c r="AN889" s="443" t="str">
        <f t="shared" si="133"/>
        <v>&lt;p&gt;
&lt;n&gt;  交：&lt;/n&gt;
 &lt;n&gt; &lt;/n&gt;&lt;goto id="60201" mapid="3" flagpoint="1" taskid="12236" quick="1"/&gt;&lt;/p&gt;</v>
      </c>
      <c r="AO889" s="468"/>
      <c r="AP889" s="468">
        <v>0</v>
      </c>
      <c r="AQ889" s="82">
        <v>1</v>
      </c>
      <c r="AR889" s="101">
        <v>0</v>
      </c>
      <c r="AS889" s="468">
        <v>0</v>
      </c>
      <c r="AT889" s="468">
        <v>1</v>
      </c>
      <c r="AU889" s="101">
        <v>0</v>
      </c>
      <c r="AV889" s="17">
        <f t="shared" ref="AV889:AV952" si="135">IF(D889 = 1,1,0)</f>
        <v>0</v>
      </c>
      <c r="AW889" s="468" t="str">
        <f t="shared" si="134"/>
        <v>{s_taskKillNpc, {60201,60201,10063,60}}</v>
      </c>
      <c r="AX889" s="460">
        <v>3</v>
      </c>
      <c r="AY889" s="472">
        <v>40</v>
      </c>
    </row>
    <row r="890" spans="1:51" s="471" customFormat="1" ht="84.75" thickBot="1" x14ac:dyDescent="0.2">
      <c r="A890" s="459">
        <v>12241</v>
      </c>
      <c r="B890" s="460"/>
      <c r="C890" s="460" t="s">
        <v>2231</v>
      </c>
      <c r="D890" s="460">
        <v>2</v>
      </c>
      <c r="E890" s="460">
        <v>0</v>
      </c>
      <c r="F890" s="460">
        <v>3</v>
      </c>
      <c r="G890" s="120">
        <v>200</v>
      </c>
      <c r="H890" s="460">
        <v>200</v>
      </c>
      <c r="I890" s="17">
        <v>0</v>
      </c>
      <c r="J890" s="461">
        <v>0</v>
      </c>
      <c r="K890" s="460">
        <v>0</v>
      </c>
      <c r="L890" s="460">
        <v>60201</v>
      </c>
      <c r="M890" s="460" t="s">
        <v>3982</v>
      </c>
      <c r="N890" s="460">
        <v>60201</v>
      </c>
      <c r="O890" s="460" t="s">
        <v>5178</v>
      </c>
      <c r="P890" s="460"/>
      <c r="Q890" s="462"/>
      <c r="R890" s="462"/>
      <c r="S890" s="462">
        <v>10064</v>
      </c>
      <c r="T890" s="462"/>
      <c r="U890" s="460">
        <v>60</v>
      </c>
      <c r="V890" s="460">
        <v>0</v>
      </c>
      <c r="W890" s="460">
        <v>0</v>
      </c>
      <c r="X890" s="460"/>
      <c r="Y890" s="460"/>
      <c r="Z890" s="463"/>
      <c r="AA890" s="460"/>
      <c r="AB890" s="464"/>
      <c r="AC890" s="464"/>
      <c r="AD890" s="460"/>
      <c r="AE890" s="460"/>
      <c r="AF890" s="460" t="str">
        <f t="shared" ref="AF890:AF895" si="136">"title("&amp;C890&amp;")
body(hotyellow_3(任务进程:)newline()
   狩猎goto(10064,3)，去找goto(60201,3)。
blankline()hotyellow_3(任务描述:)newline() 
space()space()space()player()，我这里有一份有关消灭凤城螳螂后的委托单，如果你有兴趣的话，就由你来完成吧！)"</f>
        <v>title([42级]狩猎螳螂后)
body(hotyellow_3(任务进程:)newline()
   狩猎goto(10064,3)，去找goto(60201,3)。
blankline()hotyellow_3(任务描述:)newline() 
space()space()space()player()，我这里有一份有关消灭凤城螳螂后的委托单，如果你有兴趣的话，就由你来完成吧！)</v>
      </c>
      <c r="AG890" s="437" t="s">
        <v>3989</v>
      </c>
      <c r="AH890" s="460" t="s">
        <v>291</v>
      </c>
      <c r="AI890" s="460" t="s">
        <v>292</v>
      </c>
      <c r="AJ890" s="460" t="s">
        <v>6398</v>
      </c>
      <c r="AK890" s="460"/>
      <c r="AL890" s="465">
        <v>0</v>
      </c>
      <c r="AM890" s="443" t="str">
        <f t="shared" si="127"/>
        <v>&lt;p&gt;
&lt;n&gt;  狩猎：&lt;/n&gt;
 &lt;n&gt; &lt;/n&gt;&lt;goto id="10064" mapid="3" flagpoint="1" taskid="12241" quick="1"/&gt;
&lt;/p&gt;</v>
      </c>
      <c r="AN890" s="443" t="str">
        <f t="shared" si="133"/>
        <v>&lt;p&gt;
&lt;n&gt;  交：&lt;/n&gt;
 &lt;n&gt; &lt;/n&gt;&lt;goto id="60201" mapid="3" flagpoint="1" taskid="12241" quick="1"/&gt;&lt;/p&gt;</v>
      </c>
      <c r="AO890" s="460"/>
      <c r="AP890" s="460">
        <v>1</v>
      </c>
      <c r="AQ890" s="460">
        <v>0</v>
      </c>
      <c r="AR890" s="101">
        <v>0</v>
      </c>
      <c r="AS890" s="460">
        <v>0</v>
      </c>
      <c r="AT890" s="460">
        <v>1</v>
      </c>
      <c r="AU890" s="101">
        <v>0</v>
      </c>
      <c r="AV890" s="17">
        <f t="shared" si="135"/>
        <v>0</v>
      </c>
      <c r="AW890" s="460" t="str">
        <f t="shared" si="134"/>
        <v>{s_taskKillNpc, {60201,60201,10064,60}}</v>
      </c>
      <c r="AX890" s="460"/>
    </row>
    <row r="891" spans="1:51" s="472" customFormat="1" ht="84.75" thickBot="1" x14ac:dyDescent="0.2">
      <c r="A891" s="466">
        <v>12242</v>
      </c>
      <c r="B891" s="82"/>
      <c r="C891" s="82" t="s">
        <v>2550</v>
      </c>
      <c r="D891" s="82">
        <v>2</v>
      </c>
      <c r="E891" s="82">
        <v>0</v>
      </c>
      <c r="F891" s="82">
        <v>3</v>
      </c>
      <c r="G891" s="120">
        <v>200</v>
      </c>
      <c r="H891" s="82">
        <v>200</v>
      </c>
      <c r="I891" s="17">
        <v>0</v>
      </c>
      <c r="J891" s="461">
        <v>0</v>
      </c>
      <c r="K891" s="82">
        <v>0</v>
      </c>
      <c r="L891" s="460">
        <v>60201</v>
      </c>
      <c r="M891" s="460" t="s">
        <v>3982</v>
      </c>
      <c r="N891" s="460">
        <v>60201</v>
      </c>
      <c r="O891" s="460" t="s">
        <v>5178</v>
      </c>
      <c r="P891" s="82"/>
      <c r="Q891" s="102"/>
      <c r="R891" s="102"/>
      <c r="S891" s="102">
        <v>10064</v>
      </c>
      <c r="T891" s="102"/>
      <c r="U891" s="82">
        <v>60</v>
      </c>
      <c r="V891" s="82">
        <v>0</v>
      </c>
      <c r="W891" s="82">
        <v>0</v>
      </c>
      <c r="X891" s="82"/>
      <c r="Y891" s="82"/>
      <c r="Z891" s="463">
        <f>ROUND(AY891*(30+G891^1.5)*AX891,0)</f>
        <v>114337</v>
      </c>
      <c r="AA891" s="82"/>
      <c r="AB891" s="105"/>
      <c r="AC891" s="105"/>
      <c r="AD891" s="82"/>
      <c r="AE891" s="82"/>
      <c r="AF891" s="82" t="str">
        <f t="shared" si="136"/>
        <v>title([42级]狩猎螳螂后[白])
body(hotyellow_3(任务进程:)newline()
   狩猎goto(10064,3)，去找goto(60201,3)。
blankline()hotyellow_3(任务描述:)newline() 
space()space()space()player()，我这里有一份有关消灭凤城螳螂后的委托单，如果你有兴趣的话，就由你来完成吧！)</v>
      </c>
      <c r="AG891" s="443" t="s">
        <v>3990</v>
      </c>
      <c r="AH891" s="82" t="s">
        <v>291</v>
      </c>
      <c r="AI891" s="82" t="s">
        <v>292</v>
      </c>
      <c r="AJ891" s="82" t="s">
        <v>6398</v>
      </c>
      <c r="AK891" s="82"/>
      <c r="AL891" s="83">
        <v>0</v>
      </c>
      <c r="AM891" s="443" t="str">
        <f t="shared" si="127"/>
        <v>&lt;p&gt;
&lt;n&gt;  狩猎：&lt;/n&gt;
 &lt;n&gt; &lt;/n&gt;&lt;goto id="10064" mapid="3" flagpoint="1" taskid="12242" quick="1"/&gt;
&lt;/p&gt;</v>
      </c>
      <c r="AN891" s="443" t="str">
        <f t="shared" si="133"/>
        <v>&lt;p&gt;
&lt;n&gt;  交：&lt;/n&gt;
 &lt;n&gt; &lt;/n&gt;&lt;goto id="60201" mapid="3" flagpoint="1" taskid="12242" quick="1"/&gt;&lt;/p&gt;</v>
      </c>
      <c r="AO891" s="82"/>
      <c r="AP891" s="82">
        <v>0</v>
      </c>
      <c r="AQ891" s="82">
        <v>1</v>
      </c>
      <c r="AR891" s="101">
        <v>0</v>
      </c>
      <c r="AS891" s="82">
        <v>0</v>
      </c>
      <c r="AT891" s="82">
        <v>1</v>
      </c>
      <c r="AU891" s="101">
        <v>0</v>
      </c>
      <c r="AV891" s="17">
        <f t="shared" si="135"/>
        <v>0</v>
      </c>
      <c r="AW891" s="82" t="str">
        <f t="shared" si="134"/>
        <v>{s_taskKillNpc, {60201,60201,10064,60}}</v>
      </c>
      <c r="AX891" s="460">
        <v>1</v>
      </c>
      <c r="AY891" s="472">
        <v>40</v>
      </c>
    </row>
    <row r="892" spans="1:51" s="472" customFormat="1" ht="84.75" thickBot="1" x14ac:dyDescent="0.2">
      <c r="A892" s="466">
        <v>12243</v>
      </c>
      <c r="B892" s="82"/>
      <c r="C892" s="82" t="s">
        <v>2575</v>
      </c>
      <c r="D892" s="82">
        <v>2</v>
      </c>
      <c r="E892" s="82">
        <v>0</v>
      </c>
      <c r="F892" s="82">
        <v>3</v>
      </c>
      <c r="G892" s="120">
        <v>200</v>
      </c>
      <c r="H892" s="82">
        <v>200</v>
      </c>
      <c r="I892" s="17">
        <v>0</v>
      </c>
      <c r="J892" s="461">
        <v>0</v>
      </c>
      <c r="K892" s="82">
        <v>0</v>
      </c>
      <c r="L892" s="460">
        <v>60201</v>
      </c>
      <c r="M892" s="460" t="s">
        <v>3982</v>
      </c>
      <c r="N892" s="460">
        <v>60201</v>
      </c>
      <c r="O892" s="460" t="s">
        <v>5178</v>
      </c>
      <c r="P892" s="82"/>
      <c r="Q892" s="102"/>
      <c r="R892" s="102"/>
      <c r="S892" s="102">
        <v>10064</v>
      </c>
      <c r="T892" s="102"/>
      <c r="U892" s="82">
        <v>60</v>
      </c>
      <c r="V892" s="82">
        <v>0</v>
      </c>
      <c r="W892" s="82">
        <v>0</v>
      </c>
      <c r="X892" s="82"/>
      <c r="Y892" s="82"/>
      <c r="Z892" s="463">
        <f>ROUND(AY892*(30+G892^1.5)*AX892,0)</f>
        <v>148638</v>
      </c>
      <c r="AA892" s="82"/>
      <c r="AB892" s="105"/>
      <c r="AC892" s="105"/>
      <c r="AD892" s="82"/>
      <c r="AE892" s="82"/>
      <c r="AF892" s="82" t="str">
        <f t="shared" si="136"/>
        <v>title([42级]狩猎螳螂后[蓝])
body(hotyellow_3(任务进程:)newline()
   狩猎goto(10064,3)，去找goto(60201,3)。
blankline()hotyellow_3(任务描述:)newline() 
space()space()space()player()，我这里有一份有关消灭凤城螳螂后的委托单，如果你有兴趣的话，就由你来完成吧！)</v>
      </c>
      <c r="AG892" s="443" t="s">
        <v>3991</v>
      </c>
      <c r="AH892" s="82" t="s">
        <v>291</v>
      </c>
      <c r="AI892" s="82" t="s">
        <v>292</v>
      </c>
      <c r="AJ892" s="82" t="s">
        <v>6398</v>
      </c>
      <c r="AK892" s="82"/>
      <c r="AL892" s="83">
        <v>0</v>
      </c>
      <c r="AM892" s="443" t="str">
        <f t="shared" si="127"/>
        <v>&lt;p&gt;
&lt;n&gt;  狩猎：&lt;/n&gt;
 &lt;n&gt; &lt;/n&gt;&lt;goto id="10064" mapid="3" flagpoint="1" taskid="12243" quick="1"/&gt;
&lt;/p&gt;</v>
      </c>
      <c r="AN892" s="443" t="str">
        <f t="shared" si="133"/>
        <v>&lt;p&gt;
&lt;n&gt;  交：&lt;/n&gt;
 &lt;n&gt; &lt;/n&gt;&lt;goto id="60201" mapid="3" flagpoint="1" taskid="12243" quick="1"/&gt;&lt;/p&gt;</v>
      </c>
      <c r="AO892" s="82"/>
      <c r="AP892" s="82">
        <v>0</v>
      </c>
      <c r="AQ892" s="82">
        <v>1</v>
      </c>
      <c r="AR892" s="101">
        <v>0</v>
      </c>
      <c r="AS892" s="82">
        <v>0</v>
      </c>
      <c r="AT892" s="82">
        <v>1</v>
      </c>
      <c r="AU892" s="101">
        <v>0</v>
      </c>
      <c r="AV892" s="17">
        <f t="shared" si="135"/>
        <v>0</v>
      </c>
      <c r="AW892" s="82" t="str">
        <f t="shared" si="134"/>
        <v>{s_taskKillNpc, {60201,60201,10064,60}}</v>
      </c>
      <c r="AX892" s="460">
        <v>1.3</v>
      </c>
      <c r="AY892" s="472">
        <v>40</v>
      </c>
    </row>
    <row r="893" spans="1:51" s="472" customFormat="1" ht="84.75" thickBot="1" x14ac:dyDescent="0.2">
      <c r="A893" s="466">
        <v>12244</v>
      </c>
      <c r="B893" s="82"/>
      <c r="C893" s="82" t="s">
        <v>2600</v>
      </c>
      <c r="D893" s="82">
        <v>2</v>
      </c>
      <c r="E893" s="82">
        <v>0</v>
      </c>
      <c r="F893" s="82">
        <v>3</v>
      </c>
      <c r="G893" s="120">
        <v>200</v>
      </c>
      <c r="H893" s="82">
        <v>200</v>
      </c>
      <c r="I893" s="17">
        <v>0</v>
      </c>
      <c r="J893" s="461">
        <v>0</v>
      </c>
      <c r="K893" s="82">
        <v>0</v>
      </c>
      <c r="L893" s="460">
        <v>60201</v>
      </c>
      <c r="M893" s="460" t="s">
        <v>3982</v>
      </c>
      <c r="N893" s="460">
        <v>60201</v>
      </c>
      <c r="O893" s="460" t="s">
        <v>5178</v>
      </c>
      <c r="P893" s="82"/>
      <c r="Q893" s="102"/>
      <c r="R893" s="102"/>
      <c r="S893" s="102">
        <v>10064</v>
      </c>
      <c r="T893" s="102"/>
      <c r="U893" s="82">
        <v>60</v>
      </c>
      <c r="V893" s="82">
        <v>0</v>
      </c>
      <c r="W893" s="82">
        <v>0</v>
      </c>
      <c r="X893" s="82"/>
      <c r="Y893" s="82"/>
      <c r="Z893" s="463">
        <f>ROUND(AY893*(30+G893^1.5)*AX893,0)</f>
        <v>182939</v>
      </c>
      <c r="AA893" s="82"/>
      <c r="AB893" s="105"/>
      <c r="AC893" s="105"/>
      <c r="AD893" s="82"/>
      <c r="AE893" s="82"/>
      <c r="AF893" s="82" t="str">
        <f t="shared" si="136"/>
        <v>title([42级]狩猎螳螂后[黄])
body(hotyellow_3(任务进程:)newline()
   狩猎goto(10064,3)，去找goto(60201,3)。
blankline()hotyellow_3(任务描述:)newline() 
space()space()space()player()，我这里有一份有关消灭凤城螳螂后的委托单，如果你有兴趣的话，就由你来完成吧！)</v>
      </c>
      <c r="AG893" s="443" t="s">
        <v>3992</v>
      </c>
      <c r="AH893" s="82" t="s">
        <v>291</v>
      </c>
      <c r="AI893" s="82" t="s">
        <v>292</v>
      </c>
      <c r="AJ893" s="82" t="s">
        <v>6398</v>
      </c>
      <c r="AK893" s="82"/>
      <c r="AL893" s="83">
        <v>0</v>
      </c>
      <c r="AM893" s="443" t="str">
        <f t="shared" si="127"/>
        <v>&lt;p&gt;
&lt;n&gt;  狩猎：&lt;/n&gt;
 &lt;n&gt; &lt;/n&gt;&lt;goto id="10064" mapid="3" flagpoint="1" taskid="12244" quick="1"/&gt;
&lt;/p&gt;</v>
      </c>
      <c r="AN893" s="443" t="str">
        <f t="shared" si="133"/>
        <v>&lt;p&gt;
&lt;n&gt;  交：&lt;/n&gt;
 &lt;n&gt; &lt;/n&gt;&lt;goto id="60201" mapid="3" flagpoint="1" taskid="12244" quick="1"/&gt;&lt;/p&gt;</v>
      </c>
      <c r="AO893" s="82"/>
      <c r="AP893" s="82">
        <v>0</v>
      </c>
      <c r="AQ893" s="82">
        <v>1</v>
      </c>
      <c r="AR893" s="101">
        <v>0</v>
      </c>
      <c r="AS893" s="82">
        <v>0</v>
      </c>
      <c r="AT893" s="82">
        <v>1</v>
      </c>
      <c r="AU893" s="101">
        <v>0</v>
      </c>
      <c r="AV893" s="17">
        <f t="shared" si="135"/>
        <v>0</v>
      </c>
      <c r="AW893" s="82" t="str">
        <f t="shared" si="134"/>
        <v>{s_taskKillNpc, {60201,60201,10064,60}}</v>
      </c>
      <c r="AX893" s="460">
        <v>1.6</v>
      </c>
      <c r="AY893" s="472">
        <v>40</v>
      </c>
    </row>
    <row r="894" spans="1:51" s="472" customFormat="1" ht="84.75" thickBot="1" x14ac:dyDescent="0.2">
      <c r="A894" s="466">
        <v>12245</v>
      </c>
      <c r="B894" s="82"/>
      <c r="C894" s="82" t="s">
        <v>2625</v>
      </c>
      <c r="D894" s="82">
        <v>2</v>
      </c>
      <c r="E894" s="82">
        <v>0</v>
      </c>
      <c r="F894" s="82">
        <v>3</v>
      </c>
      <c r="G894" s="120">
        <v>200</v>
      </c>
      <c r="H894" s="82">
        <v>200</v>
      </c>
      <c r="I894" s="17">
        <v>0</v>
      </c>
      <c r="J894" s="461">
        <v>0</v>
      </c>
      <c r="K894" s="82">
        <v>0</v>
      </c>
      <c r="L894" s="460">
        <v>60201</v>
      </c>
      <c r="M894" s="460" t="s">
        <v>3982</v>
      </c>
      <c r="N894" s="460">
        <v>60201</v>
      </c>
      <c r="O894" s="460" t="s">
        <v>5178</v>
      </c>
      <c r="P894" s="82"/>
      <c r="Q894" s="102"/>
      <c r="R894" s="102"/>
      <c r="S894" s="102">
        <v>10064</v>
      </c>
      <c r="T894" s="102"/>
      <c r="U894" s="82">
        <v>60</v>
      </c>
      <c r="V894" s="82">
        <v>0</v>
      </c>
      <c r="W894" s="82">
        <v>0</v>
      </c>
      <c r="X894" s="82"/>
      <c r="Y894" s="82"/>
      <c r="Z894" s="463">
        <f>ROUND(AY894*(30+G894^1.5)*AX894,0)</f>
        <v>251542</v>
      </c>
      <c r="AA894" s="82"/>
      <c r="AB894" s="105"/>
      <c r="AC894" s="105"/>
      <c r="AD894" s="82"/>
      <c r="AE894" s="82"/>
      <c r="AF894" s="82" t="str">
        <f t="shared" si="136"/>
        <v>title([42级]狩猎螳螂后[绿])
body(hotyellow_3(任务进程:)newline()
   狩猎goto(10064,3)，去找goto(60201,3)。
blankline()hotyellow_3(任务描述:)newline() 
space()space()space()player()，我这里有一份有关消灭凤城螳螂后的委托单，如果你有兴趣的话，就由你来完成吧！)</v>
      </c>
      <c r="AG894" s="443" t="s">
        <v>3993</v>
      </c>
      <c r="AH894" s="82" t="s">
        <v>291</v>
      </c>
      <c r="AI894" s="82" t="s">
        <v>292</v>
      </c>
      <c r="AJ894" s="82" t="s">
        <v>6398</v>
      </c>
      <c r="AK894" s="82"/>
      <c r="AL894" s="83">
        <v>0</v>
      </c>
      <c r="AM894" s="443" t="str">
        <f t="shared" si="127"/>
        <v>&lt;p&gt;
&lt;n&gt;  狩猎：&lt;/n&gt;
 &lt;n&gt; &lt;/n&gt;&lt;goto id="10064" mapid="3" flagpoint="1" taskid="12245" quick="1"/&gt;
&lt;/p&gt;</v>
      </c>
      <c r="AN894" s="443" t="str">
        <f t="shared" si="133"/>
        <v>&lt;p&gt;
&lt;n&gt;  交：&lt;/n&gt;
 &lt;n&gt; &lt;/n&gt;&lt;goto id="60201" mapid="3" flagpoint="1" taskid="12245" quick="1"/&gt;&lt;/p&gt;</v>
      </c>
      <c r="AO894" s="82"/>
      <c r="AP894" s="82">
        <v>0</v>
      </c>
      <c r="AQ894" s="82">
        <v>1</v>
      </c>
      <c r="AR894" s="101">
        <v>0</v>
      </c>
      <c r="AS894" s="82">
        <v>0</v>
      </c>
      <c r="AT894" s="82">
        <v>1</v>
      </c>
      <c r="AU894" s="101">
        <v>0</v>
      </c>
      <c r="AV894" s="17">
        <f t="shared" si="135"/>
        <v>0</v>
      </c>
      <c r="AW894" s="82" t="str">
        <f t="shared" si="134"/>
        <v>{s_taskKillNpc, {60201,60201,10064,60}}</v>
      </c>
      <c r="AX894" s="460">
        <v>2.2000000000000002</v>
      </c>
      <c r="AY894" s="472">
        <v>40</v>
      </c>
    </row>
    <row r="895" spans="1:51" s="473" customFormat="1" ht="84.75" thickBot="1" x14ac:dyDescent="0.2">
      <c r="A895" s="467">
        <v>12246</v>
      </c>
      <c r="B895" s="468"/>
      <c r="C895" s="468" t="s">
        <v>2650</v>
      </c>
      <c r="D895" s="468">
        <v>2</v>
      </c>
      <c r="E895" s="468">
        <v>0</v>
      </c>
      <c r="F895" s="468">
        <v>3</v>
      </c>
      <c r="G895" s="120">
        <v>200</v>
      </c>
      <c r="H895" s="468">
        <v>200</v>
      </c>
      <c r="I895" s="17">
        <v>0</v>
      </c>
      <c r="J895" s="461">
        <v>0</v>
      </c>
      <c r="K895" s="468">
        <v>0</v>
      </c>
      <c r="L895" s="460">
        <v>60201</v>
      </c>
      <c r="M895" s="460" t="s">
        <v>3982</v>
      </c>
      <c r="N895" s="460">
        <v>60201</v>
      </c>
      <c r="O895" s="460" t="s">
        <v>5178</v>
      </c>
      <c r="P895" s="468"/>
      <c r="Q895" s="469"/>
      <c r="R895" s="469"/>
      <c r="S895" s="469">
        <v>10064</v>
      </c>
      <c r="T895" s="469"/>
      <c r="U895" s="468">
        <v>60</v>
      </c>
      <c r="V895" s="468">
        <v>0</v>
      </c>
      <c r="W895" s="468">
        <v>0</v>
      </c>
      <c r="X895" s="468"/>
      <c r="Y895" s="468"/>
      <c r="Z895" s="463">
        <f>ROUND(AY895*(30+G895^1.5)*AX895,0)</f>
        <v>343011</v>
      </c>
      <c r="AA895" s="468"/>
      <c r="AB895" s="470"/>
      <c r="AC895" s="470"/>
      <c r="AD895" s="468"/>
      <c r="AE895" s="468"/>
      <c r="AF895" s="468" t="str">
        <f t="shared" si="136"/>
        <v>title([42级]狩猎螳螂后[紫])
body(hotyellow_3(任务进程:)newline()
   狩猎goto(10064,3)，去找goto(60201,3)。
blankline()hotyellow_3(任务描述:)newline() 
space()space()space()player()，我这里有一份有关消灭凤城螳螂后的委托单，如果你有兴趣的话，就由你来完成吧！)</v>
      </c>
      <c r="AG895" s="452" t="s">
        <v>3994</v>
      </c>
      <c r="AH895" s="468" t="s">
        <v>291</v>
      </c>
      <c r="AI895" s="468" t="s">
        <v>292</v>
      </c>
      <c r="AJ895" s="468" t="s">
        <v>6398</v>
      </c>
      <c r="AK895" s="468"/>
      <c r="AL895" s="461">
        <v>0</v>
      </c>
      <c r="AM895" s="443" t="str">
        <f t="shared" si="127"/>
        <v>&lt;p&gt;
&lt;n&gt;  狩猎：&lt;/n&gt;
 &lt;n&gt; &lt;/n&gt;&lt;goto id="10064" mapid="3" flagpoint="1" taskid="12246" quick="1"/&gt;
&lt;/p&gt;</v>
      </c>
      <c r="AN895" s="443" t="str">
        <f t="shared" si="133"/>
        <v>&lt;p&gt;
&lt;n&gt;  交：&lt;/n&gt;
 &lt;n&gt; &lt;/n&gt;&lt;goto id="60201" mapid="3" flagpoint="1" taskid="12246" quick="1"/&gt;&lt;/p&gt;</v>
      </c>
      <c r="AO895" s="468"/>
      <c r="AP895" s="468">
        <v>0</v>
      </c>
      <c r="AQ895" s="82">
        <v>1</v>
      </c>
      <c r="AR895" s="101">
        <v>0</v>
      </c>
      <c r="AS895" s="468">
        <v>0</v>
      </c>
      <c r="AT895" s="468">
        <v>1</v>
      </c>
      <c r="AU895" s="101">
        <v>0</v>
      </c>
      <c r="AV895" s="17">
        <f t="shared" si="135"/>
        <v>0</v>
      </c>
      <c r="AW895" s="468" t="str">
        <f t="shared" si="134"/>
        <v>{s_taskKillNpc, {60201,60201,10064,60}}</v>
      </c>
      <c r="AX895" s="460">
        <v>3</v>
      </c>
      <c r="AY895" s="472">
        <v>40</v>
      </c>
    </row>
    <row r="896" spans="1:51" s="471" customFormat="1" ht="84.75" thickBot="1" x14ac:dyDescent="0.2">
      <c r="A896" s="459">
        <v>12251</v>
      </c>
      <c r="B896" s="460"/>
      <c r="C896" s="460" t="s">
        <v>2232</v>
      </c>
      <c r="D896" s="460">
        <v>2</v>
      </c>
      <c r="E896" s="460">
        <v>0</v>
      </c>
      <c r="F896" s="460">
        <v>3</v>
      </c>
      <c r="G896" s="120">
        <v>200</v>
      </c>
      <c r="H896" s="460">
        <v>200</v>
      </c>
      <c r="I896" s="17">
        <v>0</v>
      </c>
      <c r="J896" s="461">
        <v>0</v>
      </c>
      <c r="K896" s="460">
        <v>0</v>
      </c>
      <c r="L896" s="460">
        <v>60201</v>
      </c>
      <c r="M896" s="460" t="s">
        <v>3982</v>
      </c>
      <c r="N896" s="460">
        <v>60201</v>
      </c>
      <c r="O896" s="460" t="s">
        <v>5178</v>
      </c>
      <c r="P896" s="460"/>
      <c r="Q896" s="462"/>
      <c r="R896" s="462"/>
      <c r="S896" s="462">
        <v>10065</v>
      </c>
      <c r="T896" s="462"/>
      <c r="U896" s="460">
        <v>60</v>
      </c>
      <c r="V896" s="460">
        <v>0</v>
      </c>
      <c r="W896" s="460">
        <v>0</v>
      </c>
      <c r="X896" s="460"/>
      <c r="Y896" s="460"/>
      <c r="Z896" s="463"/>
      <c r="AA896" s="460"/>
      <c r="AB896" s="464"/>
      <c r="AC896" s="464"/>
      <c r="AD896" s="460"/>
      <c r="AE896" s="460"/>
      <c r="AF896" s="460" t="str">
        <f t="shared" ref="AF896:AF901" si="137">"title("&amp;C896&amp;")
body(hotyellow_3(任务进程:)newline()
   狩猎goto(10065,3)，去找goto(60201,3)。
blankline()hotyellow_3(任务描述:)newline() 
space()space()space()player()，我这里有一份有关消灭凤城震地象的委托单，如果你有兴趣的话，就由你来完成吧！)"</f>
        <v>title([43级]狩猎震地象)
body(hotyellow_3(任务进程:)newline()
   狩猎goto(10065,3)，去找goto(60201,3)。
blankline()hotyellow_3(任务描述:)newline() 
space()space()space()player()，我这里有一份有关消灭凤城震地象的委托单，如果你有兴趣的话，就由你来完成吧！)</v>
      </c>
      <c r="AG896" s="437" t="s">
        <v>3989</v>
      </c>
      <c r="AH896" s="460" t="s">
        <v>291</v>
      </c>
      <c r="AI896" s="460" t="s">
        <v>292</v>
      </c>
      <c r="AJ896" s="460" t="s">
        <v>6399</v>
      </c>
      <c r="AK896" s="460"/>
      <c r="AL896" s="465"/>
      <c r="AM896" s="443" t="str">
        <f t="shared" si="127"/>
        <v>&lt;p&gt;
&lt;n&gt;  狩猎：&lt;/n&gt;
 &lt;n&gt; &lt;/n&gt;&lt;goto id="10065" mapid="3" flagpoint="1" taskid="12251" quick="1"/&gt;
&lt;/p&gt;</v>
      </c>
      <c r="AN896" s="443" t="str">
        <f t="shared" si="133"/>
        <v>&lt;p&gt;
&lt;n&gt;  交：&lt;/n&gt;
 &lt;n&gt; &lt;/n&gt;&lt;goto id="60201" mapid="3" flagpoint="1" taskid="12251" quick="1"/&gt;&lt;/p&gt;</v>
      </c>
      <c r="AO896" s="460"/>
      <c r="AP896" s="460">
        <v>1</v>
      </c>
      <c r="AQ896" s="460">
        <v>0</v>
      </c>
      <c r="AR896" s="101">
        <v>0</v>
      </c>
      <c r="AS896" s="460">
        <v>0</v>
      </c>
      <c r="AT896" s="460">
        <v>1</v>
      </c>
      <c r="AU896" s="101">
        <v>0</v>
      </c>
      <c r="AV896" s="17">
        <f t="shared" si="135"/>
        <v>0</v>
      </c>
      <c r="AW896" s="460" t="str">
        <f t="shared" si="134"/>
        <v>{s_taskKillNpc, {60201,60201,10065,60}}</v>
      </c>
      <c r="AX896" s="460"/>
    </row>
    <row r="897" spans="1:51" s="472" customFormat="1" ht="84.75" thickBot="1" x14ac:dyDescent="0.2">
      <c r="A897" s="466">
        <v>12252</v>
      </c>
      <c r="B897" s="82"/>
      <c r="C897" s="82" t="s">
        <v>2551</v>
      </c>
      <c r="D897" s="82">
        <v>2</v>
      </c>
      <c r="E897" s="82">
        <v>0</v>
      </c>
      <c r="F897" s="82">
        <v>3</v>
      </c>
      <c r="G897" s="120">
        <v>200</v>
      </c>
      <c r="H897" s="82">
        <v>200</v>
      </c>
      <c r="I897" s="17">
        <v>0</v>
      </c>
      <c r="J897" s="461">
        <v>0</v>
      </c>
      <c r="K897" s="82">
        <v>0</v>
      </c>
      <c r="L897" s="460">
        <v>60201</v>
      </c>
      <c r="M897" s="460" t="s">
        <v>3982</v>
      </c>
      <c r="N897" s="460">
        <v>60201</v>
      </c>
      <c r="O897" s="460" t="s">
        <v>5178</v>
      </c>
      <c r="P897" s="82"/>
      <c r="Q897" s="102"/>
      <c r="R897" s="102"/>
      <c r="S897" s="102">
        <v>10065</v>
      </c>
      <c r="T897" s="102"/>
      <c r="U897" s="82">
        <v>60</v>
      </c>
      <c r="V897" s="82">
        <v>0</v>
      </c>
      <c r="W897" s="82">
        <v>0</v>
      </c>
      <c r="X897" s="82"/>
      <c r="Y897" s="82"/>
      <c r="Z897" s="463">
        <f>ROUND(AY897*(30+G897^1.5)*AX897,0)</f>
        <v>114337</v>
      </c>
      <c r="AA897" s="82"/>
      <c r="AB897" s="105"/>
      <c r="AC897" s="105"/>
      <c r="AD897" s="82"/>
      <c r="AE897" s="82"/>
      <c r="AF897" s="82" t="str">
        <f t="shared" si="137"/>
        <v>title([43级]狩猎震地象[白])
body(hotyellow_3(任务进程:)newline()
   狩猎goto(10065,3)，去找goto(60201,3)。
blankline()hotyellow_3(任务描述:)newline() 
space()space()space()player()，我这里有一份有关消灭凤城震地象的委托单，如果你有兴趣的话，就由你来完成吧！)</v>
      </c>
      <c r="AG897" s="443" t="s">
        <v>3990</v>
      </c>
      <c r="AH897" s="82" t="s">
        <v>291</v>
      </c>
      <c r="AI897" s="82" t="s">
        <v>292</v>
      </c>
      <c r="AJ897" s="82" t="s">
        <v>6399</v>
      </c>
      <c r="AK897" s="82"/>
      <c r="AL897" s="83"/>
      <c r="AM897" s="443" t="str">
        <f t="shared" si="127"/>
        <v>&lt;p&gt;
&lt;n&gt;  狩猎：&lt;/n&gt;
 &lt;n&gt; &lt;/n&gt;&lt;goto id="10065" mapid="3" flagpoint="1" taskid="12252" quick="1"/&gt;
&lt;/p&gt;</v>
      </c>
      <c r="AN897" s="443" t="str">
        <f t="shared" si="133"/>
        <v>&lt;p&gt;
&lt;n&gt;  交：&lt;/n&gt;
 &lt;n&gt; &lt;/n&gt;&lt;goto id="60201" mapid="3" flagpoint="1" taskid="12252" quick="1"/&gt;&lt;/p&gt;</v>
      </c>
      <c r="AO897" s="82"/>
      <c r="AP897" s="82">
        <v>0</v>
      </c>
      <c r="AQ897" s="82">
        <v>1</v>
      </c>
      <c r="AR897" s="101">
        <v>0</v>
      </c>
      <c r="AS897" s="82">
        <v>0</v>
      </c>
      <c r="AT897" s="82">
        <v>1</v>
      </c>
      <c r="AU897" s="101">
        <v>0</v>
      </c>
      <c r="AV897" s="17">
        <f t="shared" si="135"/>
        <v>0</v>
      </c>
      <c r="AW897" s="82" t="str">
        <f t="shared" si="134"/>
        <v>{s_taskKillNpc, {60201,60201,10065,60}}</v>
      </c>
      <c r="AX897" s="460">
        <v>1</v>
      </c>
      <c r="AY897" s="472">
        <v>40</v>
      </c>
    </row>
    <row r="898" spans="1:51" s="472" customFormat="1" ht="84.75" thickBot="1" x14ac:dyDescent="0.2">
      <c r="A898" s="466">
        <v>12253</v>
      </c>
      <c r="B898" s="82"/>
      <c r="C898" s="82" t="s">
        <v>2576</v>
      </c>
      <c r="D898" s="82">
        <v>2</v>
      </c>
      <c r="E898" s="82">
        <v>0</v>
      </c>
      <c r="F898" s="82">
        <v>3</v>
      </c>
      <c r="G898" s="120">
        <v>200</v>
      </c>
      <c r="H898" s="82">
        <v>200</v>
      </c>
      <c r="I898" s="17">
        <v>0</v>
      </c>
      <c r="J898" s="461">
        <v>0</v>
      </c>
      <c r="K898" s="82">
        <v>0</v>
      </c>
      <c r="L898" s="460">
        <v>60201</v>
      </c>
      <c r="M898" s="460" t="s">
        <v>3982</v>
      </c>
      <c r="N898" s="460">
        <v>60201</v>
      </c>
      <c r="O898" s="460" t="s">
        <v>5178</v>
      </c>
      <c r="P898" s="82"/>
      <c r="Q898" s="102"/>
      <c r="R898" s="102"/>
      <c r="S898" s="102">
        <v>10065</v>
      </c>
      <c r="T898" s="102"/>
      <c r="U898" s="82">
        <v>60</v>
      </c>
      <c r="V898" s="82">
        <v>0</v>
      </c>
      <c r="W898" s="82">
        <v>0</v>
      </c>
      <c r="X898" s="82"/>
      <c r="Y898" s="82"/>
      <c r="Z898" s="463">
        <f>ROUND(AY898*(30+G898^1.5)*AX898,0)</f>
        <v>148638</v>
      </c>
      <c r="AA898" s="82"/>
      <c r="AB898" s="105"/>
      <c r="AC898" s="105"/>
      <c r="AD898" s="82"/>
      <c r="AE898" s="82"/>
      <c r="AF898" s="82" t="str">
        <f t="shared" si="137"/>
        <v>title([43级]狩猎震地象[蓝])
body(hotyellow_3(任务进程:)newline()
   狩猎goto(10065,3)，去找goto(60201,3)。
blankline()hotyellow_3(任务描述:)newline() 
space()space()space()player()，我这里有一份有关消灭凤城震地象的委托单，如果你有兴趣的话，就由你来完成吧！)</v>
      </c>
      <c r="AG898" s="443" t="s">
        <v>3991</v>
      </c>
      <c r="AH898" s="82" t="s">
        <v>291</v>
      </c>
      <c r="AI898" s="82" t="s">
        <v>292</v>
      </c>
      <c r="AJ898" s="82" t="s">
        <v>6399</v>
      </c>
      <c r="AK898" s="82"/>
      <c r="AL898" s="83"/>
      <c r="AM898" s="443" t="str">
        <f t="shared" si="127"/>
        <v>&lt;p&gt;
&lt;n&gt;  狩猎：&lt;/n&gt;
 &lt;n&gt; &lt;/n&gt;&lt;goto id="10065" mapid="3" flagpoint="1" taskid="12253" quick="1"/&gt;
&lt;/p&gt;</v>
      </c>
      <c r="AN898" s="443" t="str">
        <f t="shared" si="133"/>
        <v>&lt;p&gt;
&lt;n&gt;  交：&lt;/n&gt;
 &lt;n&gt; &lt;/n&gt;&lt;goto id="60201" mapid="3" flagpoint="1" taskid="12253" quick="1"/&gt;&lt;/p&gt;</v>
      </c>
      <c r="AO898" s="82"/>
      <c r="AP898" s="82">
        <v>0</v>
      </c>
      <c r="AQ898" s="82">
        <v>1</v>
      </c>
      <c r="AR898" s="101">
        <v>0</v>
      </c>
      <c r="AS898" s="82">
        <v>0</v>
      </c>
      <c r="AT898" s="82">
        <v>1</v>
      </c>
      <c r="AU898" s="101">
        <v>0</v>
      </c>
      <c r="AV898" s="17">
        <f t="shared" si="135"/>
        <v>0</v>
      </c>
      <c r="AW898" s="82" t="str">
        <f t="shared" si="134"/>
        <v>{s_taskKillNpc, {60201,60201,10065,60}}</v>
      </c>
      <c r="AX898" s="460">
        <v>1.3</v>
      </c>
      <c r="AY898" s="472">
        <v>40</v>
      </c>
    </row>
    <row r="899" spans="1:51" s="472" customFormat="1" ht="84.75" thickBot="1" x14ac:dyDescent="0.2">
      <c r="A899" s="466">
        <v>12254</v>
      </c>
      <c r="B899" s="82"/>
      <c r="C899" s="82" t="s">
        <v>2601</v>
      </c>
      <c r="D899" s="82">
        <v>2</v>
      </c>
      <c r="E899" s="82">
        <v>0</v>
      </c>
      <c r="F899" s="82">
        <v>3</v>
      </c>
      <c r="G899" s="120">
        <v>200</v>
      </c>
      <c r="H899" s="82">
        <v>200</v>
      </c>
      <c r="I899" s="17">
        <v>0</v>
      </c>
      <c r="J899" s="461">
        <v>0</v>
      </c>
      <c r="K899" s="82">
        <v>0</v>
      </c>
      <c r="L899" s="460">
        <v>60201</v>
      </c>
      <c r="M899" s="460" t="s">
        <v>3982</v>
      </c>
      <c r="N899" s="460">
        <v>60201</v>
      </c>
      <c r="O899" s="460" t="s">
        <v>5178</v>
      </c>
      <c r="P899" s="82"/>
      <c r="Q899" s="102"/>
      <c r="R899" s="102"/>
      <c r="S899" s="102">
        <v>10065</v>
      </c>
      <c r="T899" s="102"/>
      <c r="U899" s="82">
        <v>60</v>
      </c>
      <c r="V899" s="82">
        <v>0</v>
      </c>
      <c r="W899" s="82">
        <v>0</v>
      </c>
      <c r="X899" s="82"/>
      <c r="Y899" s="82"/>
      <c r="Z899" s="463">
        <f>ROUND(AY899*(30+G899^1.5)*AX899,0)</f>
        <v>182939</v>
      </c>
      <c r="AA899" s="82"/>
      <c r="AB899" s="105"/>
      <c r="AC899" s="105"/>
      <c r="AD899" s="82"/>
      <c r="AE899" s="82"/>
      <c r="AF899" s="82" t="str">
        <f t="shared" si="137"/>
        <v>title([43级]狩猎震地象[黄])
body(hotyellow_3(任务进程:)newline()
   狩猎goto(10065,3)，去找goto(60201,3)。
blankline()hotyellow_3(任务描述:)newline() 
space()space()space()player()，我这里有一份有关消灭凤城震地象的委托单，如果你有兴趣的话，就由你来完成吧！)</v>
      </c>
      <c r="AG899" s="443" t="s">
        <v>3992</v>
      </c>
      <c r="AH899" s="82" t="s">
        <v>291</v>
      </c>
      <c r="AI899" s="82" t="s">
        <v>292</v>
      </c>
      <c r="AJ899" s="82" t="s">
        <v>6399</v>
      </c>
      <c r="AK899" s="82"/>
      <c r="AL899" s="83"/>
      <c r="AM899" s="443" t="str">
        <f t="shared" si="127"/>
        <v>&lt;p&gt;
&lt;n&gt;  狩猎：&lt;/n&gt;
 &lt;n&gt; &lt;/n&gt;&lt;goto id="10065" mapid="3" flagpoint="1" taskid="12254" quick="1"/&gt;
&lt;/p&gt;</v>
      </c>
      <c r="AN899" s="443" t="str">
        <f t="shared" si="133"/>
        <v>&lt;p&gt;
&lt;n&gt;  交：&lt;/n&gt;
 &lt;n&gt; &lt;/n&gt;&lt;goto id="60201" mapid="3" flagpoint="1" taskid="12254" quick="1"/&gt;&lt;/p&gt;</v>
      </c>
      <c r="AO899" s="82"/>
      <c r="AP899" s="82">
        <v>0</v>
      </c>
      <c r="AQ899" s="82">
        <v>1</v>
      </c>
      <c r="AR899" s="101">
        <v>0</v>
      </c>
      <c r="AS899" s="82">
        <v>0</v>
      </c>
      <c r="AT899" s="82">
        <v>1</v>
      </c>
      <c r="AU899" s="101">
        <v>0</v>
      </c>
      <c r="AV899" s="17">
        <f t="shared" si="135"/>
        <v>0</v>
      </c>
      <c r="AW899" s="82" t="str">
        <f t="shared" si="134"/>
        <v>{s_taskKillNpc, {60201,60201,10065,60}}</v>
      </c>
      <c r="AX899" s="460">
        <v>1.6</v>
      </c>
      <c r="AY899" s="472">
        <v>40</v>
      </c>
    </row>
    <row r="900" spans="1:51" s="472" customFormat="1" ht="84.75" thickBot="1" x14ac:dyDescent="0.2">
      <c r="A900" s="466">
        <v>12255</v>
      </c>
      <c r="B900" s="82"/>
      <c r="C900" s="82" t="s">
        <v>2626</v>
      </c>
      <c r="D900" s="82">
        <v>2</v>
      </c>
      <c r="E900" s="82">
        <v>0</v>
      </c>
      <c r="F900" s="82">
        <v>3</v>
      </c>
      <c r="G900" s="120">
        <v>200</v>
      </c>
      <c r="H900" s="82">
        <v>200</v>
      </c>
      <c r="I900" s="17">
        <v>0</v>
      </c>
      <c r="J900" s="461">
        <v>0</v>
      </c>
      <c r="K900" s="82">
        <v>0</v>
      </c>
      <c r="L900" s="460">
        <v>60201</v>
      </c>
      <c r="M900" s="460" t="s">
        <v>3982</v>
      </c>
      <c r="N900" s="460">
        <v>60201</v>
      </c>
      <c r="O900" s="460" t="s">
        <v>5178</v>
      </c>
      <c r="P900" s="82"/>
      <c r="Q900" s="102"/>
      <c r="R900" s="102"/>
      <c r="S900" s="102">
        <v>10065</v>
      </c>
      <c r="T900" s="102"/>
      <c r="U900" s="82">
        <v>60</v>
      </c>
      <c r="V900" s="82">
        <v>0</v>
      </c>
      <c r="W900" s="82">
        <v>0</v>
      </c>
      <c r="X900" s="82"/>
      <c r="Y900" s="82"/>
      <c r="Z900" s="463">
        <f>ROUND(AY900*(30+G900^1.5)*AX900,0)</f>
        <v>251542</v>
      </c>
      <c r="AA900" s="82"/>
      <c r="AB900" s="105"/>
      <c r="AC900" s="105"/>
      <c r="AD900" s="82"/>
      <c r="AE900" s="82"/>
      <c r="AF900" s="82" t="str">
        <f t="shared" si="137"/>
        <v>title([43级]狩猎震地象[绿])
body(hotyellow_3(任务进程:)newline()
   狩猎goto(10065,3)，去找goto(60201,3)。
blankline()hotyellow_3(任务描述:)newline() 
space()space()space()player()，我这里有一份有关消灭凤城震地象的委托单，如果你有兴趣的话，就由你来完成吧！)</v>
      </c>
      <c r="AG900" s="443" t="s">
        <v>3993</v>
      </c>
      <c r="AH900" s="82" t="s">
        <v>291</v>
      </c>
      <c r="AI900" s="82" t="s">
        <v>292</v>
      </c>
      <c r="AJ900" s="82" t="s">
        <v>6399</v>
      </c>
      <c r="AK900" s="82"/>
      <c r="AL900" s="83"/>
      <c r="AM900" s="443" t="str">
        <f t="shared" si="127"/>
        <v>&lt;p&gt;
&lt;n&gt;  狩猎：&lt;/n&gt;
 &lt;n&gt; &lt;/n&gt;&lt;goto id="10065" mapid="3" flagpoint="1" taskid="12255" quick="1"/&gt;
&lt;/p&gt;</v>
      </c>
      <c r="AN900" s="443" t="str">
        <f t="shared" si="133"/>
        <v>&lt;p&gt;
&lt;n&gt;  交：&lt;/n&gt;
 &lt;n&gt; &lt;/n&gt;&lt;goto id="60201" mapid="3" flagpoint="1" taskid="12255" quick="1"/&gt;&lt;/p&gt;</v>
      </c>
      <c r="AO900" s="82"/>
      <c r="AP900" s="82">
        <v>0</v>
      </c>
      <c r="AQ900" s="82">
        <v>1</v>
      </c>
      <c r="AR900" s="101">
        <v>0</v>
      </c>
      <c r="AS900" s="82">
        <v>0</v>
      </c>
      <c r="AT900" s="82">
        <v>1</v>
      </c>
      <c r="AU900" s="101">
        <v>0</v>
      </c>
      <c r="AV900" s="17">
        <f t="shared" si="135"/>
        <v>0</v>
      </c>
      <c r="AW900" s="82" t="str">
        <f t="shared" si="134"/>
        <v>{s_taskKillNpc, {60201,60201,10065,60}}</v>
      </c>
      <c r="AX900" s="460">
        <v>2.2000000000000002</v>
      </c>
      <c r="AY900" s="472">
        <v>40</v>
      </c>
    </row>
    <row r="901" spans="1:51" s="473" customFormat="1" ht="84.75" thickBot="1" x14ac:dyDescent="0.2">
      <c r="A901" s="467">
        <v>12256</v>
      </c>
      <c r="B901" s="468"/>
      <c r="C901" s="468" t="s">
        <v>2651</v>
      </c>
      <c r="D901" s="468">
        <v>2</v>
      </c>
      <c r="E901" s="468">
        <v>0</v>
      </c>
      <c r="F901" s="468">
        <v>3</v>
      </c>
      <c r="G901" s="120">
        <v>200</v>
      </c>
      <c r="H901" s="468">
        <v>200</v>
      </c>
      <c r="I901" s="17">
        <v>0</v>
      </c>
      <c r="J901" s="461">
        <v>0</v>
      </c>
      <c r="K901" s="468">
        <v>0</v>
      </c>
      <c r="L901" s="460">
        <v>60201</v>
      </c>
      <c r="M901" s="460" t="s">
        <v>3982</v>
      </c>
      <c r="N901" s="460">
        <v>60201</v>
      </c>
      <c r="O901" s="460" t="s">
        <v>5178</v>
      </c>
      <c r="P901" s="468"/>
      <c r="Q901" s="469"/>
      <c r="R901" s="469"/>
      <c r="S901" s="469">
        <v>10065</v>
      </c>
      <c r="T901" s="469"/>
      <c r="U901" s="468">
        <v>60</v>
      </c>
      <c r="V901" s="468">
        <v>0</v>
      </c>
      <c r="W901" s="468">
        <v>0</v>
      </c>
      <c r="X901" s="468"/>
      <c r="Y901" s="468"/>
      <c r="Z901" s="463">
        <f>ROUND(AY901*(30+G901^1.5)*AX901,0)</f>
        <v>343011</v>
      </c>
      <c r="AA901" s="468"/>
      <c r="AB901" s="470"/>
      <c r="AC901" s="470"/>
      <c r="AD901" s="468"/>
      <c r="AE901" s="468"/>
      <c r="AF901" s="468" t="str">
        <f t="shared" si="137"/>
        <v>title([43级]狩猎震地象[紫])
body(hotyellow_3(任务进程:)newline()
   狩猎goto(10065,3)，去找goto(60201,3)。
blankline()hotyellow_3(任务描述:)newline() 
space()space()space()player()，我这里有一份有关消灭凤城震地象的委托单，如果你有兴趣的话，就由你来完成吧！)</v>
      </c>
      <c r="AG901" s="452" t="s">
        <v>3994</v>
      </c>
      <c r="AH901" s="468" t="s">
        <v>291</v>
      </c>
      <c r="AI901" s="468" t="s">
        <v>292</v>
      </c>
      <c r="AJ901" s="468" t="s">
        <v>6399</v>
      </c>
      <c r="AK901" s="468"/>
      <c r="AL901" s="461"/>
      <c r="AM901" s="443" t="str">
        <f t="shared" si="127"/>
        <v>&lt;p&gt;
&lt;n&gt;  狩猎：&lt;/n&gt;
 &lt;n&gt; &lt;/n&gt;&lt;goto id="10065" mapid="3" flagpoint="1" taskid="12256" quick="1"/&gt;
&lt;/p&gt;</v>
      </c>
      <c r="AN901" s="443" t="str">
        <f t="shared" si="133"/>
        <v>&lt;p&gt;
&lt;n&gt;  交：&lt;/n&gt;
 &lt;n&gt; &lt;/n&gt;&lt;goto id="60201" mapid="3" flagpoint="1" taskid="12256" quick="1"/&gt;&lt;/p&gt;</v>
      </c>
      <c r="AO901" s="468"/>
      <c r="AP901" s="468">
        <v>0</v>
      </c>
      <c r="AQ901" s="82">
        <v>1</v>
      </c>
      <c r="AR901" s="101">
        <v>0</v>
      </c>
      <c r="AS901" s="468">
        <v>0</v>
      </c>
      <c r="AT901" s="468">
        <v>1</v>
      </c>
      <c r="AU901" s="101">
        <v>0</v>
      </c>
      <c r="AV901" s="17">
        <f t="shared" si="135"/>
        <v>0</v>
      </c>
      <c r="AW901" s="468" t="str">
        <f t="shared" si="134"/>
        <v>{s_taskKillNpc, {60201,60201,10065,60}}</v>
      </c>
      <c r="AX901" s="460">
        <v>3</v>
      </c>
      <c r="AY901" s="472">
        <v>40</v>
      </c>
    </row>
    <row r="902" spans="1:51" s="481" customFormat="1" ht="84.75" thickBot="1" x14ac:dyDescent="0.2">
      <c r="A902" s="474">
        <v>12261</v>
      </c>
      <c r="B902" s="475"/>
      <c r="C902" s="475" t="s">
        <v>2233</v>
      </c>
      <c r="D902" s="475">
        <v>2</v>
      </c>
      <c r="E902" s="475">
        <v>0</v>
      </c>
      <c r="F902" s="475">
        <v>6</v>
      </c>
      <c r="G902" s="120">
        <v>200</v>
      </c>
      <c r="H902" s="475">
        <v>200</v>
      </c>
      <c r="I902" s="17">
        <v>0</v>
      </c>
      <c r="J902" s="476">
        <v>0</v>
      </c>
      <c r="K902" s="475">
        <v>0</v>
      </c>
      <c r="L902" s="275">
        <v>60099</v>
      </c>
      <c r="M902" s="275" t="s">
        <v>673</v>
      </c>
      <c r="N902" s="275">
        <v>60099</v>
      </c>
      <c r="O902" s="275" t="s">
        <v>673</v>
      </c>
      <c r="P902" s="475"/>
      <c r="Q902" s="477"/>
      <c r="R902" s="477"/>
      <c r="S902" s="477">
        <v>10077</v>
      </c>
      <c r="T902" s="477"/>
      <c r="U902" s="475">
        <v>60</v>
      </c>
      <c r="V902" s="475">
        <v>0</v>
      </c>
      <c r="W902" s="475">
        <v>0</v>
      </c>
      <c r="X902" s="475"/>
      <c r="Y902" s="475"/>
      <c r="Z902" s="478"/>
      <c r="AA902" s="475"/>
      <c r="AB902" s="479"/>
      <c r="AC902" s="479"/>
      <c r="AD902" s="475"/>
      <c r="AE902" s="475"/>
      <c r="AF902" s="475" t="str">
        <f t="shared" ref="AF902:AF907" si="138">"title("&amp;C902&amp;")
body(hotyellow_3(任务进程:)newline()
   狩猎goto(10077,6)，去找goto(60099,6)。
blankline()hot3(任务描述:)blankline()
space()space()space()player()，我这里有一份有关消灭剑阁魔族游荡者的委托单，如果你有兴趣的话，就由你来完成吧！)"</f>
        <v>title([45级]狩猎游荡者)
body(hotyellow_3(任务进程:)newline()
   狩猎goto(10077,6)，去找goto(60099,6)。
blankline()hot3(任务描述:)blankline()
space()space()space()player()，我这里有一份有关消灭剑阁魔族游荡者的委托单，如果你有兴趣的话，就由你来完成吧！)</v>
      </c>
      <c r="AG902" s="437" t="s">
        <v>3989</v>
      </c>
      <c r="AH902" s="475" t="s">
        <v>291</v>
      </c>
      <c r="AI902" s="475" t="s">
        <v>292</v>
      </c>
      <c r="AJ902" s="475" t="s">
        <v>6400</v>
      </c>
      <c r="AK902" s="475"/>
      <c r="AL902" s="480">
        <v>0</v>
      </c>
      <c r="AM902" s="443" t="str">
        <f t="shared" si="127"/>
        <v>&lt;p&gt;
&lt;n&gt;  狩猎：&lt;/n&gt;
 &lt;n&gt; &lt;/n&gt;&lt;goto id="10077" mapid="6" flagpoint="1" taskid="12261" quick="1"/&gt;
&lt;/p&gt;</v>
      </c>
      <c r="AN902" s="443" t="str">
        <f t="shared" si="133"/>
        <v>&lt;p&gt;
&lt;n&gt;  交：&lt;/n&gt;
 &lt;n&gt; &lt;/n&gt;&lt;goto id="60099" mapid="6" flagpoint="1" taskid="12261" quick="1"/&gt;&lt;/p&gt;</v>
      </c>
      <c r="AO902" s="475"/>
      <c r="AP902" s="475">
        <v>1</v>
      </c>
      <c r="AQ902" s="475">
        <v>0</v>
      </c>
      <c r="AR902" s="26">
        <v>0</v>
      </c>
      <c r="AS902" s="475">
        <v>0</v>
      </c>
      <c r="AT902" s="475">
        <v>1</v>
      </c>
      <c r="AU902" s="26">
        <v>0</v>
      </c>
      <c r="AV902" s="17">
        <f t="shared" si="135"/>
        <v>0</v>
      </c>
      <c r="AW902" s="475" t="str">
        <f t="shared" si="134"/>
        <v>{s_taskKillNpc, {60099,60099,10077,60}}</v>
      </c>
      <c r="AX902" s="475"/>
    </row>
    <row r="903" spans="1:51" s="484" customFormat="1" ht="84.75" thickBot="1" x14ac:dyDescent="0.2">
      <c r="A903" s="482">
        <v>12262</v>
      </c>
      <c r="B903" s="275"/>
      <c r="C903" s="275" t="s">
        <v>2552</v>
      </c>
      <c r="D903" s="275">
        <v>2</v>
      </c>
      <c r="E903" s="275">
        <v>0</v>
      </c>
      <c r="F903" s="275">
        <v>6</v>
      </c>
      <c r="G903" s="120">
        <v>200</v>
      </c>
      <c r="H903" s="275">
        <v>200</v>
      </c>
      <c r="I903" s="17">
        <v>0</v>
      </c>
      <c r="J903" s="476">
        <v>0</v>
      </c>
      <c r="K903" s="275">
        <v>0</v>
      </c>
      <c r="L903" s="275">
        <v>60099</v>
      </c>
      <c r="M903" s="275" t="s">
        <v>673</v>
      </c>
      <c r="N903" s="275">
        <v>60099</v>
      </c>
      <c r="O903" s="275" t="s">
        <v>673</v>
      </c>
      <c r="P903" s="275"/>
      <c r="Q903" s="43"/>
      <c r="R903" s="43"/>
      <c r="S903" s="43">
        <v>10077</v>
      </c>
      <c r="T903" s="43"/>
      <c r="U903" s="275">
        <v>60</v>
      </c>
      <c r="V903" s="275">
        <v>0</v>
      </c>
      <c r="W903" s="275">
        <v>0</v>
      </c>
      <c r="X903" s="275"/>
      <c r="Y903" s="275"/>
      <c r="Z903" s="478">
        <f>ROUND(AY903*(30+G903^1.5)*AX903,0)</f>
        <v>114337</v>
      </c>
      <c r="AA903" s="275"/>
      <c r="AB903" s="45"/>
      <c r="AC903" s="45"/>
      <c r="AD903" s="275"/>
      <c r="AE903" s="275"/>
      <c r="AF903" s="475" t="str">
        <f t="shared" si="138"/>
        <v>title([45级]狩猎游荡者[白])
body(hotyellow_3(任务进程:)newline()
   狩猎goto(10077,6)，去找goto(60099,6)。
blankline()hot3(任务描述:)blankline()
space()space()space()player()，我这里有一份有关消灭剑阁魔族游荡者的委托单，如果你有兴趣的话，就由你来完成吧！)</v>
      </c>
      <c r="AG903" s="443" t="s">
        <v>3990</v>
      </c>
      <c r="AH903" s="275" t="s">
        <v>291</v>
      </c>
      <c r="AI903" s="275" t="s">
        <v>292</v>
      </c>
      <c r="AJ903" s="275" t="s">
        <v>6400</v>
      </c>
      <c r="AK903" s="275"/>
      <c r="AL903" s="483">
        <v>0</v>
      </c>
      <c r="AM903" s="443" t="str">
        <f t="shared" si="127"/>
        <v>&lt;p&gt;
&lt;n&gt;  狩猎：&lt;/n&gt;
 &lt;n&gt; &lt;/n&gt;&lt;goto id="10077" mapid="6" flagpoint="1" taskid="12262" quick="1"/&gt;
&lt;/p&gt;</v>
      </c>
      <c r="AN903" s="443" t="str">
        <f t="shared" si="133"/>
        <v>&lt;p&gt;
&lt;n&gt;  交：&lt;/n&gt;
 &lt;n&gt; &lt;/n&gt;&lt;goto id="60099" mapid="6" flagpoint="1" taskid="12262" quick="1"/&gt;&lt;/p&gt;</v>
      </c>
      <c r="AO903" s="275"/>
      <c r="AP903" s="275">
        <v>0</v>
      </c>
      <c r="AQ903" s="275">
        <v>1</v>
      </c>
      <c r="AR903" s="26">
        <v>0</v>
      </c>
      <c r="AS903" s="275">
        <v>0</v>
      </c>
      <c r="AT903" s="275">
        <v>1</v>
      </c>
      <c r="AU903" s="26">
        <v>0</v>
      </c>
      <c r="AV903" s="17">
        <f t="shared" si="135"/>
        <v>0</v>
      </c>
      <c r="AW903" s="275" t="str">
        <f t="shared" si="134"/>
        <v>{s_taskKillNpc, {60099,60099,10077,60}}</v>
      </c>
      <c r="AX903" s="475">
        <v>1</v>
      </c>
      <c r="AY903" s="484">
        <v>40</v>
      </c>
    </row>
    <row r="904" spans="1:51" s="484" customFormat="1" ht="84.75" thickBot="1" x14ac:dyDescent="0.2">
      <c r="A904" s="482">
        <v>12263</v>
      </c>
      <c r="B904" s="275"/>
      <c r="C904" s="275" t="s">
        <v>2577</v>
      </c>
      <c r="D904" s="275">
        <v>2</v>
      </c>
      <c r="E904" s="275">
        <v>0</v>
      </c>
      <c r="F904" s="275">
        <v>6</v>
      </c>
      <c r="G904" s="120">
        <v>200</v>
      </c>
      <c r="H904" s="275">
        <v>200</v>
      </c>
      <c r="I904" s="17">
        <v>0</v>
      </c>
      <c r="J904" s="476">
        <v>0</v>
      </c>
      <c r="K904" s="275">
        <v>0</v>
      </c>
      <c r="L904" s="275">
        <v>60099</v>
      </c>
      <c r="M904" s="275" t="s">
        <v>673</v>
      </c>
      <c r="N904" s="275">
        <v>60099</v>
      </c>
      <c r="O904" s="275" t="s">
        <v>673</v>
      </c>
      <c r="P904" s="275"/>
      <c r="Q904" s="43"/>
      <c r="R904" s="43"/>
      <c r="S904" s="43">
        <v>10077</v>
      </c>
      <c r="T904" s="43"/>
      <c r="U904" s="275">
        <v>60</v>
      </c>
      <c r="V904" s="275">
        <v>0</v>
      </c>
      <c r="W904" s="275">
        <v>0</v>
      </c>
      <c r="X904" s="275"/>
      <c r="Y904" s="275"/>
      <c r="Z904" s="478">
        <f>ROUND(AY904*(30+G904^1.5)*AX904,0)</f>
        <v>148638</v>
      </c>
      <c r="AA904" s="275"/>
      <c r="AB904" s="45"/>
      <c r="AC904" s="45"/>
      <c r="AD904" s="275"/>
      <c r="AE904" s="275"/>
      <c r="AF904" s="475" t="str">
        <f t="shared" si="138"/>
        <v>title([45级]狩猎游荡者[蓝])
body(hotyellow_3(任务进程:)newline()
   狩猎goto(10077,6)，去找goto(60099,6)。
blankline()hot3(任务描述:)blankline()
space()space()space()player()，我这里有一份有关消灭剑阁魔族游荡者的委托单，如果你有兴趣的话，就由你来完成吧！)</v>
      </c>
      <c r="AG904" s="443" t="s">
        <v>3991</v>
      </c>
      <c r="AH904" s="275" t="s">
        <v>291</v>
      </c>
      <c r="AI904" s="275" t="s">
        <v>292</v>
      </c>
      <c r="AJ904" s="275" t="s">
        <v>6400</v>
      </c>
      <c r="AK904" s="275"/>
      <c r="AL904" s="483">
        <v>0</v>
      </c>
      <c r="AM904" s="443" t="str">
        <f t="shared" si="127"/>
        <v>&lt;p&gt;
&lt;n&gt;  狩猎：&lt;/n&gt;
 &lt;n&gt; &lt;/n&gt;&lt;goto id="10077" mapid="6" flagpoint="1" taskid="12263" quick="1"/&gt;
&lt;/p&gt;</v>
      </c>
      <c r="AN904" s="443" t="str">
        <f t="shared" si="133"/>
        <v>&lt;p&gt;
&lt;n&gt;  交：&lt;/n&gt;
 &lt;n&gt; &lt;/n&gt;&lt;goto id="60099" mapid="6" flagpoint="1" taskid="12263" quick="1"/&gt;&lt;/p&gt;</v>
      </c>
      <c r="AO904" s="275"/>
      <c r="AP904" s="275">
        <v>0</v>
      </c>
      <c r="AQ904" s="275">
        <v>1</v>
      </c>
      <c r="AR904" s="26">
        <v>0</v>
      </c>
      <c r="AS904" s="275">
        <v>0</v>
      </c>
      <c r="AT904" s="275">
        <v>1</v>
      </c>
      <c r="AU904" s="26">
        <v>0</v>
      </c>
      <c r="AV904" s="17">
        <f t="shared" si="135"/>
        <v>0</v>
      </c>
      <c r="AW904" s="275" t="str">
        <f t="shared" si="134"/>
        <v>{s_taskKillNpc, {60099,60099,10077,60}}</v>
      </c>
      <c r="AX904" s="475">
        <v>1.3</v>
      </c>
      <c r="AY904" s="484">
        <v>40</v>
      </c>
    </row>
    <row r="905" spans="1:51" s="484" customFormat="1" ht="84.75" thickBot="1" x14ac:dyDescent="0.2">
      <c r="A905" s="482">
        <v>12264</v>
      </c>
      <c r="B905" s="275"/>
      <c r="C905" s="275" t="s">
        <v>2602</v>
      </c>
      <c r="D905" s="275">
        <v>2</v>
      </c>
      <c r="E905" s="275">
        <v>0</v>
      </c>
      <c r="F905" s="275">
        <v>6</v>
      </c>
      <c r="G905" s="120">
        <v>200</v>
      </c>
      <c r="H905" s="275">
        <v>200</v>
      </c>
      <c r="I905" s="17">
        <v>0</v>
      </c>
      <c r="J905" s="476">
        <v>0</v>
      </c>
      <c r="K905" s="275">
        <v>0</v>
      </c>
      <c r="L905" s="275">
        <v>60099</v>
      </c>
      <c r="M905" s="275" t="s">
        <v>673</v>
      </c>
      <c r="N905" s="275">
        <v>60099</v>
      </c>
      <c r="O905" s="275" t="s">
        <v>673</v>
      </c>
      <c r="P905" s="275"/>
      <c r="Q905" s="43"/>
      <c r="R905" s="43"/>
      <c r="S905" s="43">
        <v>10077</v>
      </c>
      <c r="T905" s="43"/>
      <c r="U905" s="275">
        <v>60</v>
      </c>
      <c r="V905" s="275">
        <v>0</v>
      </c>
      <c r="W905" s="275">
        <v>0</v>
      </c>
      <c r="X905" s="275"/>
      <c r="Y905" s="275"/>
      <c r="Z905" s="478">
        <f>ROUND(AY905*(30+G905^1.5)*AX905,0)</f>
        <v>182939</v>
      </c>
      <c r="AA905" s="275"/>
      <c r="AB905" s="45"/>
      <c r="AC905" s="45"/>
      <c r="AD905" s="275"/>
      <c r="AE905" s="275"/>
      <c r="AF905" s="475" t="str">
        <f t="shared" si="138"/>
        <v>title([45级]狩猎游荡者[黄])
body(hotyellow_3(任务进程:)newline()
   狩猎goto(10077,6)，去找goto(60099,6)。
blankline()hot3(任务描述:)blankline()
space()space()space()player()，我这里有一份有关消灭剑阁魔族游荡者的委托单，如果你有兴趣的话，就由你来完成吧！)</v>
      </c>
      <c r="AG905" s="443" t="s">
        <v>3992</v>
      </c>
      <c r="AH905" s="275" t="s">
        <v>291</v>
      </c>
      <c r="AI905" s="275" t="s">
        <v>292</v>
      </c>
      <c r="AJ905" s="275" t="s">
        <v>6400</v>
      </c>
      <c r="AK905" s="275"/>
      <c r="AL905" s="483">
        <v>0</v>
      </c>
      <c r="AM905" s="443" t="str">
        <f t="shared" si="127"/>
        <v>&lt;p&gt;
&lt;n&gt;  狩猎：&lt;/n&gt;
 &lt;n&gt; &lt;/n&gt;&lt;goto id="10077" mapid="6" flagpoint="1" taskid="12264" quick="1"/&gt;
&lt;/p&gt;</v>
      </c>
      <c r="AN905" s="443" t="str">
        <f t="shared" si="133"/>
        <v>&lt;p&gt;
&lt;n&gt;  交：&lt;/n&gt;
 &lt;n&gt; &lt;/n&gt;&lt;goto id="60099" mapid="6" flagpoint="1" taskid="12264" quick="1"/&gt;&lt;/p&gt;</v>
      </c>
      <c r="AO905" s="275"/>
      <c r="AP905" s="275">
        <v>0</v>
      </c>
      <c r="AQ905" s="275">
        <v>1</v>
      </c>
      <c r="AR905" s="26">
        <v>0</v>
      </c>
      <c r="AS905" s="275">
        <v>0</v>
      </c>
      <c r="AT905" s="275">
        <v>1</v>
      </c>
      <c r="AU905" s="26">
        <v>0</v>
      </c>
      <c r="AV905" s="17">
        <f t="shared" si="135"/>
        <v>0</v>
      </c>
      <c r="AW905" s="275" t="str">
        <f t="shared" si="134"/>
        <v>{s_taskKillNpc, {60099,60099,10077,60}}</v>
      </c>
      <c r="AX905" s="475">
        <v>1.6</v>
      </c>
      <c r="AY905" s="484">
        <v>40</v>
      </c>
    </row>
    <row r="906" spans="1:51" s="484" customFormat="1" ht="84.75" thickBot="1" x14ac:dyDescent="0.2">
      <c r="A906" s="482">
        <v>12265</v>
      </c>
      <c r="B906" s="275"/>
      <c r="C906" s="275" t="s">
        <v>2627</v>
      </c>
      <c r="D906" s="275">
        <v>2</v>
      </c>
      <c r="E906" s="275">
        <v>0</v>
      </c>
      <c r="F906" s="275">
        <v>6</v>
      </c>
      <c r="G906" s="120">
        <v>200</v>
      </c>
      <c r="H906" s="275">
        <v>200</v>
      </c>
      <c r="I906" s="17">
        <v>0</v>
      </c>
      <c r="J906" s="476">
        <v>0</v>
      </c>
      <c r="K906" s="275">
        <v>0</v>
      </c>
      <c r="L906" s="275">
        <v>60099</v>
      </c>
      <c r="M906" s="275" t="s">
        <v>673</v>
      </c>
      <c r="N906" s="275">
        <v>60099</v>
      </c>
      <c r="O906" s="275" t="s">
        <v>673</v>
      </c>
      <c r="P906" s="275"/>
      <c r="Q906" s="43"/>
      <c r="R906" s="43"/>
      <c r="S906" s="43">
        <v>10077</v>
      </c>
      <c r="T906" s="43"/>
      <c r="U906" s="275">
        <v>60</v>
      </c>
      <c r="V906" s="275">
        <v>0</v>
      </c>
      <c r="W906" s="275">
        <v>0</v>
      </c>
      <c r="X906" s="275"/>
      <c r="Y906" s="275"/>
      <c r="Z906" s="478">
        <f>ROUND(AY906*(30+G906^1.5)*AX906,0)</f>
        <v>251542</v>
      </c>
      <c r="AA906" s="275"/>
      <c r="AB906" s="45"/>
      <c r="AC906" s="45"/>
      <c r="AD906" s="275"/>
      <c r="AE906" s="275"/>
      <c r="AF906" s="475" t="str">
        <f t="shared" si="138"/>
        <v>title([45级]狩猎游荡者[绿])
body(hotyellow_3(任务进程:)newline()
   狩猎goto(10077,6)，去找goto(60099,6)。
blankline()hot3(任务描述:)blankline()
space()space()space()player()，我这里有一份有关消灭剑阁魔族游荡者的委托单，如果你有兴趣的话，就由你来完成吧！)</v>
      </c>
      <c r="AG906" s="443" t="s">
        <v>3993</v>
      </c>
      <c r="AH906" s="275" t="s">
        <v>291</v>
      </c>
      <c r="AI906" s="275" t="s">
        <v>292</v>
      </c>
      <c r="AJ906" s="275" t="s">
        <v>6400</v>
      </c>
      <c r="AK906" s="275"/>
      <c r="AL906" s="483">
        <v>0</v>
      </c>
      <c r="AM906" s="443" t="str">
        <f t="shared" si="127"/>
        <v>&lt;p&gt;
&lt;n&gt;  狩猎：&lt;/n&gt;
 &lt;n&gt; &lt;/n&gt;&lt;goto id="10077" mapid="6" flagpoint="1" taskid="12265" quick="1"/&gt;
&lt;/p&gt;</v>
      </c>
      <c r="AN906" s="443" t="str">
        <f t="shared" si="133"/>
        <v>&lt;p&gt;
&lt;n&gt;  交：&lt;/n&gt;
 &lt;n&gt; &lt;/n&gt;&lt;goto id="60099" mapid="6" flagpoint="1" taskid="12265" quick="1"/&gt;&lt;/p&gt;</v>
      </c>
      <c r="AO906" s="275"/>
      <c r="AP906" s="275">
        <v>0</v>
      </c>
      <c r="AQ906" s="275">
        <v>1</v>
      </c>
      <c r="AR906" s="26">
        <v>0</v>
      </c>
      <c r="AS906" s="275">
        <v>0</v>
      </c>
      <c r="AT906" s="275">
        <v>1</v>
      </c>
      <c r="AU906" s="26">
        <v>0</v>
      </c>
      <c r="AV906" s="17">
        <f t="shared" si="135"/>
        <v>0</v>
      </c>
      <c r="AW906" s="275" t="str">
        <f t="shared" si="134"/>
        <v>{s_taskKillNpc, {60099,60099,10077,60}}</v>
      </c>
      <c r="AX906" s="475">
        <v>2.2000000000000002</v>
      </c>
      <c r="AY906" s="484">
        <v>40</v>
      </c>
    </row>
    <row r="907" spans="1:51" s="484" customFormat="1" ht="84.75" thickBot="1" x14ac:dyDescent="0.2">
      <c r="A907" s="482">
        <v>12266</v>
      </c>
      <c r="B907" s="275"/>
      <c r="C907" s="275" t="s">
        <v>2652</v>
      </c>
      <c r="D907" s="275">
        <v>2</v>
      </c>
      <c r="E907" s="275">
        <v>0</v>
      </c>
      <c r="F907" s="275">
        <v>6</v>
      </c>
      <c r="G907" s="120">
        <v>200</v>
      </c>
      <c r="H907" s="275">
        <v>200</v>
      </c>
      <c r="I907" s="17">
        <v>0</v>
      </c>
      <c r="J907" s="476">
        <v>0</v>
      </c>
      <c r="K907" s="275">
        <v>0</v>
      </c>
      <c r="L907" s="275">
        <v>60099</v>
      </c>
      <c r="M907" s="275" t="s">
        <v>673</v>
      </c>
      <c r="N907" s="275">
        <v>60099</v>
      </c>
      <c r="O907" s="275" t="s">
        <v>673</v>
      </c>
      <c r="P907" s="275"/>
      <c r="Q907" s="43"/>
      <c r="R907" s="43"/>
      <c r="S907" s="43">
        <v>10077</v>
      </c>
      <c r="T907" s="43"/>
      <c r="U907" s="275">
        <v>60</v>
      </c>
      <c r="V907" s="275">
        <v>0</v>
      </c>
      <c r="W907" s="275">
        <v>0</v>
      </c>
      <c r="X907" s="275"/>
      <c r="Y907" s="275"/>
      <c r="Z907" s="478">
        <f>ROUND(AY907*(30+G907^1.5)*AX907,0)</f>
        <v>343011</v>
      </c>
      <c r="AA907" s="275"/>
      <c r="AB907" s="45"/>
      <c r="AC907" s="45"/>
      <c r="AD907" s="275"/>
      <c r="AE907" s="275"/>
      <c r="AF907" s="475" t="str">
        <f t="shared" si="138"/>
        <v>title([45级]狩猎游荡者[紫])
body(hotyellow_3(任务进程:)newline()
   狩猎goto(10077,6)，去找goto(60099,6)。
blankline()hot3(任务描述:)blankline()
space()space()space()player()，我这里有一份有关消灭剑阁魔族游荡者的委托单，如果你有兴趣的话，就由你来完成吧！)</v>
      </c>
      <c r="AG907" s="452" t="s">
        <v>3994</v>
      </c>
      <c r="AH907" s="275" t="s">
        <v>291</v>
      </c>
      <c r="AI907" s="275" t="s">
        <v>292</v>
      </c>
      <c r="AJ907" s="275" t="s">
        <v>6400</v>
      </c>
      <c r="AK907" s="275"/>
      <c r="AL907" s="483">
        <v>0</v>
      </c>
      <c r="AM907" s="443" t="str">
        <f t="shared" si="127"/>
        <v>&lt;p&gt;
&lt;n&gt;  狩猎：&lt;/n&gt;
 &lt;n&gt; &lt;/n&gt;&lt;goto id="10077" mapid="6" flagpoint="1" taskid="12266" quick="1"/&gt;
&lt;/p&gt;</v>
      </c>
      <c r="AN907" s="443" t="str">
        <f t="shared" si="133"/>
        <v>&lt;p&gt;
&lt;n&gt;  交：&lt;/n&gt;
 &lt;n&gt; &lt;/n&gt;&lt;goto id="60099" mapid="6" flagpoint="1" taskid="12266" quick="1"/&gt;&lt;/p&gt;</v>
      </c>
      <c r="AO907" s="275"/>
      <c r="AP907" s="485">
        <v>0</v>
      </c>
      <c r="AQ907" s="275">
        <v>1</v>
      </c>
      <c r="AR907" s="26">
        <v>0</v>
      </c>
      <c r="AS907" s="275">
        <v>0</v>
      </c>
      <c r="AT907" s="275">
        <v>1</v>
      </c>
      <c r="AU907" s="26">
        <v>0</v>
      </c>
      <c r="AV907" s="17">
        <f t="shared" si="135"/>
        <v>0</v>
      </c>
      <c r="AW907" s="275" t="str">
        <f t="shared" si="134"/>
        <v>{s_taskKillNpc, {60099,60099,10077,60}}</v>
      </c>
      <c r="AX907" s="475">
        <v>3</v>
      </c>
      <c r="AY907" s="484">
        <v>40</v>
      </c>
    </row>
    <row r="908" spans="1:51" s="481" customFormat="1" ht="84.75" thickBot="1" x14ac:dyDescent="0.2">
      <c r="A908" s="474">
        <v>12271</v>
      </c>
      <c r="B908" s="475"/>
      <c r="C908" s="475" t="s">
        <v>2234</v>
      </c>
      <c r="D908" s="475">
        <v>2</v>
      </c>
      <c r="E908" s="475">
        <v>0</v>
      </c>
      <c r="F908" s="475">
        <v>6</v>
      </c>
      <c r="G908" s="120">
        <v>200</v>
      </c>
      <c r="H908" s="475">
        <v>200</v>
      </c>
      <c r="I908" s="17">
        <v>0</v>
      </c>
      <c r="J908" s="476">
        <v>0</v>
      </c>
      <c r="K908" s="475">
        <v>0</v>
      </c>
      <c r="L908" s="275">
        <v>60099</v>
      </c>
      <c r="M908" s="275" t="s">
        <v>673</v>
      </c>
      <c r="N908" s="275">
        <v>60099</v>
      </c>
      <c r="O908" s="275" t="s">
        <v>673</v>
      </c>
      <c r="P908" s="475"/>
      <c r="Q908" s="477"/>
      <c r="R908" s="477"/>
      <c r="S908" s="477">
        <v>10078</v>
      </c>
      <c r="T908" s="477"/>
      <c r="U908" s="475">
        <v>65</v>
      </c>
      <c r="V908" s="475">
        <v>0</v>
      </c>
      <c r="W908" s="475">
        <v>0</v>
      </c>
      <c r="X908" s="475"/>
      <c r="Y908" s="475"/>
      <c r="Z908" s="478"/>
      <c r="AA908" s="475"/>
      <c r="AB908" s="479"/>
      <c r="AC908" s="479"/>
      <c r="AD908" s="475"/>
      <c r="AE908" s="475"/>
      <c r="AF908" s="475" t="str">
        <f t="shared" ref="AF908:AF913" si="139">"title("&amp;C908&amp;")
body(hotyellow_3(任务进程:)newline()
   狩猎goto(10078,6)，去找goto(60099,6)。
blankline()hotyellow_3(任务描述:)newline() 
space()space()space()player()，我这里有一份有关消灭剑阁魔族夺魂者的委托单，如果你有兴趣的话，就由你来完成吧！)"</f>
        <v>title([46级]魔族夺魂者)
body(hotyellow_3(任务进程:)newline()
   狩猎goto(10078,6)，去找goto(60099,6)。
blankline()hotyellow_3(任务描述:)newline() 
space()space()space()player()，我这里有一份有关消灭剑阁魔族夺魂者的委托单，如果你有兴趣的话，就由你来完成吧！)</v>
      </c>
      <c r="AG908" s="437" t="s">
        <v>3989</v>
      </c>
      <c r="AH908" s="475" t="s">
        <v>291</v>
      </c>
      <c r="AI908" s="475" t="s">
        <v>292</v>
      </c>
      <c r="AJ908" s="475" t="s">
        <v>6401</v>
      </c>
      <c r="AK908" s="475"/>
      <c r="AL908" s="480">
        <v>0</v>
      </c>
      <c r="AM908" s="443" t="str">
        <f t="shared" si="127"/>
        <v>&lt;p&gt;
&lt;n&gt;  狩猎：&lt;/n&gt;
 &lt;n&gt; &lt;/n&gt;&lt;goto id="10078" mapid="6" flagpoint="1" taskid="12271" quick="1"/&gt;
&lt;/p&gt;</v>
      </c>
      <c r="AN908" s="443" t="str">
        <f t="shared" si="133"/>
        <v>&lt;p&gt;
&lt;n&gt;  交：&lt;/n&gt;
 &lt;n&gt; &lt;/n&gt;&lt;goto id="60099" mapid="6" flagpoint="1" taskid="12271" quick="1"/&gt;&lt;/p&gt;</v>
      </c>
      <c r="AO908" s="475"/>
      <c r="AP908" s="475">
        <v>1</v>
      </c>
      <c r="AQ908" s="475">
        <v>0</v>
      </c>
      <c r="AR908" s="26">
        <v>0</v>
      </c>
      <c r="AS908" s="475">
        <v>0</v>
      </c>
      <c r="AT908" s="475">
        <v>1</v>
      </c>
      <c r="AU908" s="26">
        <v>0</v>
      </c>
      <c r="AV908" s="17">
        <f t="shared" si="135"/>
        <v>0</v>
      </c>
      <c r="AW908" s="475" t="str">
        <f t="shared" si="134"/>
        <v>{s_taskKillNpc, {60099,60099,10078,65}}</v>
      </c>
      <c r="AX908" s="475"/>
    </row>
    <row r="909" spans="1:51" s="484" customFormat="1" ht="84.75" thickBot="1" x14ac:dyDescent="0.2">
      <c r="A909" s="482">
        <v>12272</v>
      </c>
      <c r="B909" s="275"/>
      <c r="C909" s="275" t="s">
        <v>2553</v>
      </c>
      <c r="D909" s="275">
        <v>2</v>
      </c>
      <c r="E909" s="275">
        <v>0</v>
      </c>
      <c r="F909" s="275">
        <v>6</v>
      </c>
      <c r="G909" s="120">
        <v>200</v>
      </c>
      <c r="H909" s="275">
        <v>200</v>
      </c>
      <c r="I909" s="17">
        <v>0</v>
      </c>
      <c r="J909" s="476">
        <v>0</v>
      </c>
      <c r="K909" s="275">
        <v>0</v>
      </c>
      <c r="L909" s="275">
        <v>60099</v>
      </c>
      <c r="M909" s="275" t="s">
        <v>673</v>
      </c>
      <c r="N909" s="275">
        <v>60099</v>
      </c>
      <c r="O909" s="275" t="s">
        <v>673</v>
      </c>
      <c r="P909" s="275"/>
      <c r="Q909" s="43"/>
      <c r="R909" s="43"/>
      <c r="S909" s="43">
        <v>10078</v>
      </c>
      <c r="T909" s="43"/>
      <c r="U909" s="275">
        <v>65</v>
      </c>
      <c r="V909" s="275">
        <v>0</v>
      </c>
      <c r="W909" s="275">
        <v>0</v>
      </c>
      <c r="X909" s="275"/>
      <c r="Y909" s="275"/>
      <c r="Z909" s="478">
        <f>ROUND(AY909*(30+G909^1.5)*AX909,0)</f>
        <v>125771</v>
      </c>
      <c r="AA909" s="275"/>
      <c r="AB909" s="45"/>
      <c r="AC909" s="45"/>
      <c r="AD909" s="275"/>
      <c r="AE909" s="275"/>
      <c r="AF909" s="275" t="str">
        <f t="shared" si="139"/>
        <v>title([46级]魔族夺魂者[白])
body(hotyellow_3(任务进程:)newline()
   狩猎goto(10078,6)，去找goto(60099,6)。
blankline()hotyellow_3(任务描述:)newline() 
space()space()space()player()，我这里有一份有关消灭剑阁魔族夺魂者的委托单，如果你有兴趣的话，就由你来完成吧！)</v>
      </c>
      <c r="AG909" s="443" t="s">
        <v>3990</v>
      </c>
      <c r="AH909" s="275" t="s">
        <v>291</v>
      </c>
      <c r="AI909" s="275" t="s">
        <v>292</v>
      </c>
      <c r="AJ909" s="275" t="s">
        <v>6401</v>
      </c>
      <c r="AK909" s="275"/>
      <c r="AL909" s="483">
        <v>0</v>
      </c>
      <c r="AM909" s="443" t="str">
        <f t="shared" si="127"/>
        <v>&lt;p&gt;
&lt;n&gt;  狩猎：&lt;/n&gt;
 &lt;n&gt; &lt;/n&gt;&lt;goto id="10078" mapid="6" flagpoint="1" taskid="12272" quick="1"/&gt;
&lt;/p&gt;</v>
      </c>
      <c r="AN909" s="443" t="str">
        <f t="shared" si="133"/>
        <v>&lt;p&gt;
&lt;n&gt;  交：&lt;/n&gt;
 &lt;n&gt; &lt;/n&gt;&lt;goto id="60099" mapid="6" flagpoint="1" taskid="12272" quick="1"/&gt;&lt;/p&gt;</v>
      </c>
      <c r="AO909" s="275"/>
      <c r="AP909" s="275">
        <v>0</v>
      </c>
      <c r="AQ909" s="275">
        <v>1</v>
      </c>
      <c r="AR909" s="26">
        <v>0</v>
      </c>
      <c r="AS909" s="275">
        <v>0</v>
      </c>
      <c r="AT909" s="275">
        <v>1</v>
      </c>
      <c r="AU909" s="26">
        <v>0</v>
      </c>
      <c r="AV909" s="17">
        <f t="shared" si="135"/>
        <v>0</v>
      </c>
      <c r="AW909" s="275" t="str">
        <f t="shared" si="134"/>
        <v>{s_taskKillNpc, {60099,60099,10078,65}}</v>
      </c>
      <c r="AX909" s="475">
        <v>1</v>
      </c>
      <c r="AY909" s="484">
        <v>44</v>
      </c>
    </row>
    <row r="910" spans="1:51" s="484" customFormat="1" ht="84.75" thickBot="1" x14ac:dyDescent="0.2">
      <c r="A910" s="482">
        <v>12273</v>
      </c>
      <c r="B910" s="275"/>
      <c r="C910" s="275" t="s">
        <v>2578</v>
      </c>
      <c r="D910" s="275">
        <v>2</v>
      </c>
      <c r="E910" s="275">
        <v>0</v>
      </c>
      <c r="F910" s="275">
        <v>6</v>
      </c>
      <c r="G910" s="120">
        <v>200</v>
      </c>
      <c r="H910" s="275">
        <v>200</v>
      </c>
      <c r="I910" s="17">
        <v>0</v>
      </c>
      <c r="J910" s="476">
        <v>0</v>
      </c>
      <c r="K910" s="275">
        <v>0</v>
      </c>
      <c r="L910" s="275">
        <v>60099</v>
      </c>
      <c r="M910" s="275" t="s">
        <v>673</v>
      </c>
      <c r="N910" s="275">
        <v>60099</v>
      </c>
      <c r="O910" s="275" t="s">
        <v>673</v>
      </c>
      <c r="P910" s="275"/>
      <c r="Q910" s="43"/>
      <c r="R910" s="43"/>
      <c r="S910" s="43">
        <v>10078</v>
      </c>
      <c r="T910" s="43"/>
      <c r="U910" s="275">
        <v>65</v>
      </c>
      <c r="V910" s="275">
        <v>0</v>
      </c>
      <c r="W910" s="275">
        <v>0</v>
      </c>
      <c r="X910" s="275"/>
      <c r="Y910" s="275"/>
      <c r="Z910" s="478">
        <f>ROUND(AY910*(30+G910^1.5)*AX910,0)</f>
        <v>163502</v>
      </c>
      <c r="AA910" s="275"/>
      <c r="AB910" s="45"/>
      <c r="AC910" s="45"/>
      <c r="AD910" s="275"/>
      <c r="AE910" s="275"/>
      <c r="AF910" s="275" t="str">
        <f t="shared" si="139"/>
        <v>title([46级]魔族夺魂者[蓝])
body(hotyellow_3(任务进程:)newline()
   狩猎goto(10078,6)，去找goto(60099,6)。
blankline()hotyellow_3(任务描述:)newline() 
space()space()space()player()，我这里有一份有关消灭剑阁魔族夺魂者的委托单，如果你有兴趣的话，就由你来完成吧！)</v>
      </c>
      <c r="AG910" s="443" t="s">
        <v>3991</v>
      </c>
      <c r="AH910" s="275" t="s">
        <v>291</v>
      </c>
      <c r="AI910" s="275" t="s">
        <v>292</v>
      </c>
      <c r="AJ910" s="275" t="s">
        <v>6401</v>
      </c>
      <c r="AK910" s="275"/>
      <c r="AL910" s="483">
        <v>0</v>
      </c>
      <c r="AM910" s="443" t="str">
        <f t="shared" si="127"/>
        <v>&lt;p&gt;
&lt;n&gt;  狩猎：&lt;/n&gt;
 &lt;n&gt; &lt;/n&gt;&lt;goto id="10078" mapid="6" flagpoint="1" taskid="12273" quick="1"/&gt;
&lt;/p&gt;</v>
      </c>
      <c r="AN910" s="443" t="str">
        <f t="shared" si="133"/>
        <v>&lt;p&gt;
&lt;n&gt;  交：&lt;/n&gt;
 &lt;n&gt; &lt;/n&gt;&lt;goto id="60099" mapid="6" flagpoint="1" taskid="12273" quick="1"/&gt;&lt;/p&gt;</v>
      </c>
      <c r="AO910" s="275"/>
      <c r="AP910" s="275">
        <v>0</v>
      </c>
      <c r="AQ910" s="275">
        <v>1</v>
      </c>
      <c r="AR910" s="26">
        <v>0</v>
      </c>
      <c r="AS910" s="275">
        <v>0</v>
      </c>
      <c r="AT910" s="275">
        <v>1</v>
      </c>
      <c r="AU910" s="26">
        <v>0</v>
      </c>
      <c r="AV910" s="17">
        <f t="shared" si="135"/>
        <v>0</v>
      </c>
      <c r="AW910" s="275" t="str">
        <f t="shared" si="134"/>
        <v>{s_taskKillNpc, {60099,60099,10078,65}}</v>
      </c>
      <c r="AX910" s="475">
        <v>1.3</v>
      </c>
      <c r="AY910" s="484">
        <v>44</v>
      </c>
    </row>
    <row r="911" spans="1:51" s="484" customFormat="1" ht="84.75" thickBot="1" x14ac:dyDescent="0.2">
      <c r="A911" s="482">
        <v>12274</v>
      </c>
      <c r="B911" s="275"/>
      <c r="C911" s="275" t="s">
        <v>2603</v>
      </c>
      <c r="D911" s="275">
        <v>2</v>
      </c>
      <c r="E911" s="275">
        <v>0</v>
      </c>
      <c r="F911" s="275">
        <v>6</v>
      </c>
      <c r="G911" s="120">
        <v>200</v>
      </c>
      <c r="H911" s="275">
        <v>200</v>
      </c>
      <c r="I911" s="17">
        <v>0</v>
      </c>
      <c r="J911" s="476">
        <v>0</v>
      </c>
      <c r="K911" s="275">
        <v>0</v>
      </c>
      <c r="L911" s="275">
        <v>60099</v>
      </c>
      <c r="M911" s="275" t="s">
        <v>673</v>
      </c>
      <c r="N911" s="275">
        <v>60099</v>
      </c>
      <c r="O911" s="275" t="s">
        <v>673</v>
      </c>
      <c r="P911" s="275"/>
      <c r="Q911" s="43"/>
      <c r="R911" s="43"/>
      <c r="S911" s="43">
        <v>10078</v>
      </c>
      <c r="T911" s="43"/>
      <c r="U911" s="275">
        <v>65</v>
      </c>
      <c r="V911" s="275">
        <v>0</v>
      </c>
      <c r="W911" s="275">
        <v>0</v>
      </c>
      <c r="X911" s="275"/>
      <c r="Y911" s="275"/>
      <c r="Z911" s="478">
        <f>ROUND(AY911*(30+G911^1.5)*AX911,0)</f>
        <v>201233</v>
      </c>
      <c r="AA911" s="275"/>
      <c r="AB911" s="45"/>
      <c r="AC911" s="45"/>
      <c r="AD911" s="275"/>
      <c r="AE911" s="275"/>
      <c r="AF911" s="275" t="str">
        <f t="shared" si="139"/>
        <v>title([46级]魔族夺魂者[黄])
body(hotyellow_3(任务进程:)newline()
   狩猎goto(10078,6)，去找goto(60099,6)。
blankline()hotyellow_3(任务描述:)newline() 
space()space()space()player()，我这里有一份有关消灭剑阁魔族夺魂者的委托单，如果你有兴趣的话，就由你来完成吧！)</v>
      </c>
      <c r="AG911" s="443" t="s">
        <v>3992</v>
      </c>
      <c r="AH911" s="275" t="s">
        <v>291</v>
      </c>
      <c r="AI911" s="275" t="s">
        <v>292</v>
      </c>
      <c r="AJ911" s="275" t="s">
        <v>6401</v>
      </c>
      <c r="AK911" s="275"/>
      <c r="AL911" s="483">
        <v>0</v>
      </c>
      <c r="AM911" s="443" t="str">
        <f t="shared" si="127"/>
        <v>&lt;p&gt;
&lt;n&gt;  狩猎：&lt;/n&gt;
 &lt;n&gt; &lt;/n&gt;&lt;goto id="10078" mapid="6" flagpoint="1" taskid="12274" quick="1"/&gt;
&lt;/p&gt;</v>
      </c>
      <c r="AN911" s="443" t="str">
        <f t="shared" si="133"/>
        <v>&lt;p&gt;
&lt;n&gt;  交：&lt;/n&gt;
 &lt;n&gt; &lt;/n&gt;&lt;goto id="60099" mapid="6" flagpoint="1" taskid="12274" quick="1"/&gt;&lt;/p&gt;</v>
      </c>
      <c r="AO911" s="275"/>
      <c r="AP911" s="275">
        <v>0</v>
      </c>
      <c r="AQ911" s="275">
        <v>1</v>
      </c>
      <c r="AR911" s="26">
        <v>0</v>
      </c>
      <c r="AS911" s="275">
        <v>0</v>
      </c>
      <c r="AT911" s="275">
        <v>1</v>
      </c>
      <c r="AU911" s="26">
        <v>0</v>
      </c>
      <c r="AV911" s="17">
        <f t="shared" si="135"/>
        <v>0</v>
      </c>
      <c r="AW911" s="275" t="str">
        <f t="shared" si="134"/>
        <v>{s_taskKillNpc, {60099,60099,10078,65}}</v>
      </c>
      <c r="AX911" s="475">
        <v>1.6</v>
      </c>
      <c r="AY911" s="484">
        <v>44</v>
      </c>
    </row>
    <row r="912" spans="1:51" s="484" customFormat="1" ht="84.75" thickBot="1" x14ac:dyDescent="0.2">
      <c r="A912" s="482">
        <v>12275</v>
      </c>
      <c r="B912" s="275"/>
      <c r="C912" s="275" t="s">
        <v>2628</v>
      </c>
      <c r="D912" s="275">
        <v>2</v>
      </c>
      <c r="E912" s="275">
        <v>0</v>
      </c>
      <c r="F912" s="275">
        <v>6</v>
      </c>
      <c r="G912" s="120">
        <v>200</v>
      </c>
      <c r="H912" s="275">
        <v>200</v>
      </c>
      <c r="I912" s="17">
        <v>0</v>
      </c>
      <c r="J912" s="476">
        <v>0</v>
      </c>
      <c r="K912" s="275">
        <v>0</v>
      </c>
      <c r="L912" s="275">
        <v>60099</v>
      </c>
      <c r="M912" s="275" t="s">
        <v>673</v>
      </c>
      <c r="N912" s="275">
        <v>60099</v>
      </c>
      <c r="O912" s="275" t="s">
        <v>673</v>
      </c>
      <c r="P912" s="275"/>
      <c r="Q912" s="43"/>
      <c r="R912" s="43"/>
      <c r="S912" s="43">
        <v>10078</v>
      </c>
      <c r="T912" s="43"/>
      <c r="U912" s="275">
        <v>65</v>
      </c>
      <c r="V912" s="275">
        <v>0</v>
      </c>
      <c r="W912" s="275">
        <v>0</v>
      </c>
      <c r="X912" s="275"/>
      <c r="Y912" s="275"/>
      <c r="Z912" s="478">
        <f>ROUND(AY912*(30+G912^1.5)*AX912,0)</f>
        <v>276696</v>
      </c>
      <c r="AA912" s="275"/>
      <c r="AB912" s="45"/>
      <c r="AC912" s="45"/>
      <c r="AD912" s="275"/>
      <c r="AE912" s="275"/>
      <c r="AF912" s="275" t="str">
        <f t="shared" si="139"/>
        <v>title([46级]魔族夺魂者[绿])
body(hotyellow_3(任务进程:)newline()
   狩猎goto(10078,6)，去找goto(60099,6)。
blankline()hotyellow_3(任务描述:)newline() 
space()space()space()player()，我这里有一份有关消灭剑阁魔族夺魂者的委托单，如果你有兴趣的话，就由你来完成吧！)</v>
      </c>
      <c r="AG912" s="443" t="s">
        <v>3993</v>
      </c>
      <c r="AH912" s="275" t="s">
        <v>291</v>
      </c>
      <c r="AI912" s="275" t="s">
        <v>292</v>
      </c>
      <c r="AJ912" s="275" t="s">
        <v>6401</v>
      </c>
      <c r="AK912" s="275"/>
      <c r="AL912" s="483">
        <v>0</v>
      </c>
      <c r="AM912" s="443" t="str">
        <f t="shared" si="127"/>
        <v>&lt;p&gt;
&lt;n&gt;  狩猎：&lt;/n&gt;
 &lt;n&gt; &lt;/n&gt;&lt;goto id="10078" mapid="6" flagpoint="1" taskid="12275" quick="1"/&gt;
&lt;/p&gt;</v>
      </c>
      <c r="AN912" s="443" t="str">
        <f t="shared" si="133"/>
        <v>&lt;p&gt;
&lt;n&gt;  交：&lt;/n&gt;
 &lt;n&gt; &lt;/n&gt;&lt;goto id="60099" mapid="6" flagpoint="1" taskid="12275" quick="1"/&gt;&lt;/p&gt;</v>
      </c>
      <c r="AO912" s="275"/>
      <c r="AP912" s="275">
        <v>0</v>
      </c>
      <c r="AQ912" s="275">
        <v>1</v>
      </c>
      <c r="AR912" s="26">
        <v>0</v>
      </c>
      <c r="AS912" s="275">
        <v>0</v>
      </c>
      <c r="AT912" s="275">
        <v>1</v>
      </c>
      <c r="AU912" s="26">
        <v>0</v>
      </c>
      <c r="AV912" s="17">
        <f t="shared" si="135"/>
        <v>0</v>
      </c>
      <c r="AW912" s="275" t="str">
        <f t="shared" si="134"/>
        <v>{s_taskKillNpc, {60099,60099,10078,65}}</v>
      </c>
      <c r="AX912" s="475">
        <v>2.2000000000000002</v>
      </c>
      <c r="AY912" s="484">
        <v>44</v>
      </c>
    </row>
    <row r="913" spans="1:51" s="489" customFormat="1" ht="84.75" thickBot="1" x14ac:dyDescent="0.2">
      <c r="A913" s="486">
        <v>12276</v>
      </c>
      <c r="B913" s="485"/>
      <c r="C913" s="485" t="s">
        <v>2653</v>
      </c>
      <c r="D913" s="485">
        <v>2</v>
      </c>
      <c r="E913" s="485">
        <v>0</v>
      </c>
      <c r="F913" s="485">
        <v>6</v>
      </c>
      <c r="G913" s="120">
        <v>200</v>
      </c>
      <c r="H913" s="485">
        <v>200</v>
      </c>
      <c r="I913" s="17">
        <v>0</v>
      </c>
      <c r="J913" s="476">
        <v>0</v>
      </c>
      <c r="K913" s="485">
        <v>0</v>
      </c>
      <c r="L913" s="275">
        <v>60099</v>
      </c>
      <c r="M913" s="275" t="s">
        <v>673</v>
      </c>
      <c r="N913" s="275">
        <v>60099</v>
      </c>
      <c r="O913" s="275" t="s">
        <v>673</v>
      </c>
      <c r="P913" s="485"/>
      <c r="Q913" s="487"/>
      <c r="R913" s="487"/>
      <c r="S913" s="487">
        <v>10078</v>
      </c>
      <c r="T913" s="487"/>
      <c r="U913" s="485">
        <v>65</v>
      </c>
      <c r="V913" s="485">
        <v>0</v>
      </c>
      <c r="W913" s="485">
        <v>0</v>
      </c>
      <c r="X913" s="485"/>
      <c r="Y913" s="485"/>
      <c r="Z913" s="478">
        <f>ROUND(AY913*(30+G913^1.5)*AX913,0)</f>
        <v>377312</v>
      </c>
      <c r="AA913" s="485"/>
      <c r="AB913" s="488"/>
      <c r="AC913" s="488"/>
      <c r="AD913" s="485"/>
      <c r="AE913" s="485"/>
      <c r="AF913" s="485" t="str">
        <f t="shared" si="139"/>
        <v>title([46级]魔族夺魂者[紫])
body(hotyellow_3(任务进程:)newline()
   狩猎goto(10078,6)，去找goto(60099,6)。
blankline()hotyellow_3(任务描述:)newline() 
space()space()space()player()，我这里有一份有关消灭剑阁魔族夺魂者的委托单，如果你有兴趣的话，就由你来完成吧！)</v>
      </c>
      <c r="AG913" s="452" t="s">
        <v>3994</v>
      </c>
      <c r="AH913" s="485" t="s">
        <v>291</v>
      </c>
      <c r="AI913" s="485" t="s">
        <v>292</v>
      </c>
      <c r="AJ913" s="485" t="s">
        <v>6401</v>
      </c>
      <c r="AK913" s="485"/>
      <c r="AL913" s="476">
        <v>0</v>
      </c>
      <c r="AM913" s="443" t="str">
        <f t="shared" si="127"/>
        <v>&lt;p&gt;
&lt;n&gt;  狩猎：&lt;/n&gt;
 &lt;n&gt; &lt;/n&gt;&lt;goto id="10078" mapid="6" flagpoint="1" taskid="12276" quick="1"/&gt;
&lt;/p&gt;</v>
      </c>
      <c r="AN913" s="443" t="str">
        <f t="shared" si="133"/>
        <v>&lt;p&gt;
&lt;n&gt;  交：&lt;/n&gt;
 &lt;n&gt; &lt;/n&gt;&lt;goto id="60099" mapid="6" flagpoint="1" taskid="12276" quick="1"/&gt;&lt;/p&gt;</v>
      </c>
      <c r="AO913" s="485"/>
      <c r="AP913" s="485">
        <v>0</v>
      </c>
      <c r="AQ913" s="275">
        <v>1</v>
      </c>
      <c r="AR913" s="26">
        <v>0</v>
      </c>
      <c r="AS913" s="485">
        <v>0</v>
      </c>
      <c r="AT913" s="485">
        <v>1</v>
      </c>
      <c r="AU913" s="26">
        <v>0</v>
      </c>
      <c r="AV913" s="17">
        <f t="shared" si="135"/>
        <v>0</v>
      </c>
      <c r="AW913" s="485" t="str">
        <f t="shared" si="134"/>
        <v>{s_taskKillNpc, {60099,60099,10078,65}}</v>
      </c>
      <c r="AX913" s="475">
        <v>3</v>
      </c>
      <c r="AY913" s="484">
        <v>44</v>
      </c>
    </row>
    <row r="914" spans="1:51" s="481" customFormat="1" ht="84.75" thickBot="1" x14ac:dyDescent="0.2">
      <c r="A914" s="474">
        <v>12281</v>
      </c>
      <c r="B914" s="475"/>
      <c r="C914" s="475" t="s">
        <v>2505</v>
      </c>
      <c r="D914" s="475">
        <v>2</v>
      </c>
      <c r="E914" s="475">
        <v>0</v>
      </c>
      <c r="F914" s="475">
        <v>6</v>
      </c>
      <c r="G914" s="120">
        <v>200</v>
      </c>
      <c r="H914" s="475">
        <v>200</v>
      </c>
      <c r="I914" s="17">
        <v>0</v>
      </c>
      <c r="J914" s="476">
        <v>0</v>
      </c>
      <c r="K914" s="475">
        <v>0</v>
      </c>
      <c r="L914" s="275">
        <v>60099</v>
      </c>
      <c r="M914" s="275" t="s">
        <v>673</v>
      </c>
      <c r="N914" s="275">
        <v>60099</v>
      </c>
      <c r="O914" s="275" t="s">
        <v>673</v>
      </c>
      <c r="P914" s="475"/>
      <c r="Q914" s="477"/>
      <c r="R914" s="477"/>
      <c r="S914" s="477">
        <v>10079</v>
      </c>
      <c r="T914" s="477"/>
      <c r="U914" s="475">
        <v>65</v>
      </c>
      <c r="V914" s="475">
        <v>0</v>
      </c>
      <c r="W914" s="475">
        <v>0</v>
      </c>
      <c r="X914" s="475"/>
      <c r="Y914" s="475"/>
      <c r="Z914" s="478"/>
      <c r="AA914" s="475"/>
      <c r="AB914" s="479"/>
      <c r="AC914" s="479"/>
      <c r="AD914" s="475"/>
      <c r="AE914" s="475"/>
      <c r="AF914" s="475" t="str">
        <f t="shared" ref="AF914:AF919" si="140">"title("&amp;C914&amp;")
body(hotyellow_3(任务进程:)newline()
   狩猎goto(10079,6)，去找goto(60099,6)。
blankline()hotyellow_3(任务描述:)newline() 
space()space()space()player()，我这里有一份有关消灭剑阁重装巨熊的委托单，如果你有兴趣的话，就由你来完成吧！)"</f>
        <v>title([47级]狩猎重装巨熊)
body(hotyellow_3(任务进程:)newline()
   狩猎goto(10079,6)，去找goto(60099,6)。
blankline()hotyellow_3(任务描述:)newline() 
space()space()space()player()，我这里有一份有关消灭剑阁重装巨熊的委托单，如果你有兴趣的话，就由你来完成吧！)</v>
      </c>
      <c r="AG914" s="437" t="s">
        <v>3989</v>
      </c>
      <c r="AH914" s="475" t="s">
        <v>291</v>
      </c>
      <c r="AI914" s="475" t="s">
        <v>292</v>
      </c>
      <c r="AJ914" s="475" t="s">
        <v>6402</v>
      </c>
      <c r="AK914" s="475"/>
      <c r="AL914" s="480">
        <v>0</v>
      </c>
      <c r="AM914" s="443" t="str">
        <f t="shared" si="127"/>
        <v>&lt;p&gt;
&lt;n&gt;  狩猎：&lt;/n&gt;
 &lt;n&gt; &lt;/n&gt;&lt;goto id="10079" mapid="6" flagpoint="1" taskid="12281" quick="1"/&gt;
&lt;/p&gt;</v>
      </c>
      <c r="AN914" s="443" t="str">
        <f t="shared" si="133"/>
        <v>&lt;p&gt;
&lt;n&gt;  交：&lt;/n&gt;
 &lt;n&gt; &lt;/n&gt;&lt;goto id="60099" mapid="6" flagpoint="1" taskid="12281" quick="1"/&gt;&lt;/p&gt;</v>
      </c>
      <c r="AO914" s="475"/>
      <c r="AP914" s="475">
        <v>1</v>
      </c>
      <c r="AQ914" s="475">
        <v>0</v>
      </c>
      <c r="AR914" s="26">
        <v>0</v>
      </c>
      <c r="AS914" s="475">
        <v>0</v>
      </c>
      <c r="AT914" s="475">
        <v>1</v>
      </c>
      <c r="AU914" s="26">
        <v>0</v>
      </c>
      <c r="AV914" s="17">
        <f t="shared" si="135"/>
        <v>0</v>
      </c>
      <c r="AW914" s="475" t="str">
        <f t="shared" si="134"/>
        <v>{s_taskKillNpc, {60099,60099,10079,65}}</v>
      </c>
      <c r="AX914" s="475"/>
    </row>
    <row r="915" spans="1:51" s="484" customFormat="1" ht="84.75" thickBot="1" x14ac:dyDescent="0.2">
      <c r="A915" s="482">
        <v>12282</v>
      </c>
      <c r="B915" s="275"/>
      <c r="C915" s="275" t="s">
        <v>2554</v>
      </c>
      <c r="D915" s="275">
        <v>2</v>
      </c>
      <c r="E915" s="275">
        <v>0</v>
      </c>
      <c r="F915" s="275">
        <v>6</v>
      </c>
      <c r="G915" s="120">
        <v>200</v>
      </c>
      <c r="H915" s="275">
        <v>200</v>
      </c>
      <c r="I915" s="17">
        <v>0</v>
      </c>
      <c r="J915" s="476">
        <v>0</v>
      </c>
      <c r="K915" s="275">
        <v>0</v>
      </c>
      <c r="L915" s="275">
        <v>60099</v>
      </c>
      <c r="M915" s="275" t="s">
        <v>673</v>
      </c>
      <c r="N915" s="275">
        <v>60099</v>
      </c>
      <c r="O915" s="275" t="s">
        <v>673</v>
      </c>
      <c r="P915" s="275"/>
      <c r="Q915" s="43"/>
      <c r="R915" s="43"/>
      <c r="S915" s="43">
        <v>10079</v>
      </c>
      <c r="T915" s="43"/>
      <c r="U915" s="275">
        <v>65</v>
      </c>
      <c r="V915" s="275">
        <v>0</v>
      </c>
      <c r="W915" s="275">
        <v>0</v>
      </c>
      <c r="X915" s="275"/>
      <c r="Y915" s="275"/>
      <c r="Z915" s="478">
        <f>ROUND(AY915*(30+G915^1.5)*AX915,0)</f>
        <v>125771</v>
      </c>
      <c r="AA915" s="275"/>
      <c r="AB915" s="45"/>
      <c r="AC915" s="45"/>
      <c r="AD915" s="275"/>
      <c r="AE915" s="275"/>
      <c r="AF915" s="275" t="str">
        <f t="shared" si="140"/>
        <v>title([47级]狩猎重装巨熊[白])
body(hotyellow_3(任务进程:)newline()
   狩猎goto(10079,6)，去找goto(60099,6)。
blankline()hotyellow_3(任务描述:)newline() 
space()space()space()player()，我这里有一份有关消灭剑阁重装巨熊的委托单，如果你有兴趣的话，就由你来完成吧！)</v>
      </c>
      <c r="AG915" s="443" t="s">
        <v>3990</v>
      </c>
      <c r="AH915" s="275" t="s">
        <v>291</v>
      </c>
      <c r="AI915" s="275" t="s">
        <v>292</v>
      </c>
      <c r="AJ915" s="275" t="s">
        <v>6402</v>
      </c>
      <c r="AK915" s="275"/>
      <c r="AL915" s="483">
        <v>0</v>
      </c>
      <c r="AM915" s="443" t="str">
        <f t="shared" si="127"/>
        <v>&lt;p&gt;
&lt;n&gt;  狩猎：&lt;/n&gt;
 &lt;n&gt; &lt;/n&gt;&lt;goto id="10079" mapid="6" flagpoint="1" taskid="12282" quick="1"/&gt;
&lt;/p&gt;</v>
      </c>
      <c r="AN915" s="443" t="str">
        <f t="shared" si="133"/>
        <v>&lt;p&gt;
&lt;n&gt;  交：&lt;/n&gt;
 &lt;n&gt; &lt;/n&gt;&lt;goto id="60099" mapid="6" flagpoint="1" taskid="12282" quick="1"/&gt;&lt;/p&gt;</v>
      </c>
      <c r="AO915" s="275"/>
      <c r="AP915" s="275">
        <v>0</v>
      </c>
      <c r="AQ915" s="275">
        <v>1</v>
      </c>
      <c r="AR915" s="26">
        <v>0</v>
      </c>
      <c r="AS915" s="275">
        <v>0</v>
      </c>
      <c r="AT915" s="275">
        <v>1</v>
      </c>
      <c r="AU915" s="26">
        <v>0</v>
      </c>
      <c r="AV915" s="17">
        <f t="shared" si="135"/>
        <v>0</v>
      </c>
      <c r="AW915" s="275" t="str">
        <f t="shared" si="134"/>
        <v>{s_taskKillNpc, {60099,60099,10079,65}}</v>
      </c>
      <c r="AX915" s="475">
        <v>1</v>
      </c>
      <c r="AY915" s="484">
        <v>44</v>
      </c>
    </row>
    <row r="916" spans="1:51" s="484" customFormat="1" ht="84.75" thickBot="1" x14ac:dyDescent="0.2">
      <c r="A916" s="482">
        <v>12283</v>
      </c>
      <c r="B916" s="275"/>
      <c r="C916" s="275" t="s">
        <v>2579</v>
      </c>
      <c r="D916" s="275">
        <v>2</v>
      </c>
      <c r="E916" s="275">
        <v>0</v>
      </c>
      <c r="F916" s="275">
        <v>6</v>
      </c>
      <c r="G916" s="120">
        <v>200</v>
      </c>
      <c r="H916" s="275">
        <v>200</v>
      </c>
      <c r="I916" s="17">
        <v>0</v>
      </c>
      <c r="J916" s="476">
        <v>0</v>
      </c>
      <c r="K916" s="275">
        <v>0</v>
      </c>
      <c r="L916" s="275">
        <v>60099</v>
      </c>
      <c r="M916" s="275" t="s">
        <v>673</v>
      </c>
      <c r="N916" s="275">
        <v>60099</v>
      </c>
      <c r="O916" s="275" t="s">
        <v>673</v>
      </c>
      <c r="P916" s="275"/>
      <c r="Q916" s="43"/>
      <c r="R916" s="43"/>
      <c r="S916" s="43">
        <v>10079</v>
      </c>
      <c r="T916" s="43"/>
      <c r="U916" s="275">
        <v>65</v>
      </c>
      <c r="V916" s="275">
        <v>0</v>
      </c>
      <c r="W916" s="275">
        <v>0</v>
      </c>
      <c r="X916" s="275"/>
      <c r="Y916" s="275"/>
      <c r="Z916" s="478">
        <f>ROUND(AY916*(30+G916^1.5)*AX916,0)</f>
        <v>163502</v>
      </c>
      <c r="AA916" s="275"/>
      <c r="AB916" s="45"/>
      <c r="AC916" s="45"/>
      <c r="AD916" s="275"/>
      <c r="AE916" s="275"/>
      <c r="AF916" s="275" t="str">
        <f t="shared" si="140"/>
        <v>title([47级]狩猎重装巨熊[蓝])
body(hotyellow_3(任务进程:)newline()
   狩猎goto(10079,6)，去找goto(60099,6)。
blankline()hotyellow_3(任务描述:)newline() 
space()space()space()player()，我这里有一份有关消灭剑阁重装巨熊的委托单，如果你有兴趣的话，就由你来完成吧！)</v>
      </c>
      <c r="AG916" s="443" t="s">
        <v>3991</v>
      </c>
      <c r="AH916" s="275" t="s">
        <v>291</v>
      </c>
      <c r="AI916" s="275" t="s">
        <v>292</v>
      </c>
      <c r="AJ916" s="275" t="s">
        <v>6402</v>
      </c>
      <c r="AK916" s="275"/>
      <c r="AL916" s="483">
        <v>0</v>
      </c>
      <c r="AM916" s="443" t="str">
        <f t="shared" si="127"/>
        <v>&lt;p&gt;
&lt;n&gt;  狩猎：&lt;/n&gt;
 &lt;n&gt; &lt;/n&gt;&lt;goto id="10079" mapid="6" flagpoint="1" taskid="12283" quick="1"/&gt;
&lt;/p&gt;</v>
      </c>
      <c r="AN916" s="443" t="str">
        <f t="shared" si="133"/>
        <v>&lt;p&gt;
&lt;n&gt;  交：&lt;/n&gt;
 &lt;n&gt; &lt;/n&gt;&lt;goto id="60099" mapid="6" flagpoint="1" taskid="12283" quick="1"/&gt;&lt;/p&gt;</v>
      </c>
      <c r="AO916" s="275"/>
      <c r="AP916" s="275">
        <v>0</v>
      </c>
      <c r="AQ916" s="275">
        <v>1</v>
      </c>
      <c r="AR916" s="26">
        <v>0</v>
      </c>
      <c r="AS916" s="275">
        <v>0</v>
      </c>
      <c r="AT916" s="275">
        <v>1</v>
      </c>
      <c r="AU916" s="26">
        <v>0</v>
      </c>
      <c r="AV916" s="17">
        <f t="shared" si="135"/>
        <v>0</v>
      </c>
      <c r="AW916" s="275" t="str">
        <f t="shared" si="134"/>
        <v>{s_taskKillNpc, {60099,60099,10079,65}}</v>
      </c>
      <c r="AX916" s="475">
        <v>1.3</v>
      </c>
      <c r="AY916" s="484">
        <v>44</v>
      </c>
    </row>
    <row r="917" spans="1:51" s="484" customFormat="1" ht="84.75" thickBot="1" x14ac:dyDescent="0.2">
      <c r="A917" s="482">
        <v>12284</v>
      </c>
      <c r="B917" s="275"/>
      <c r="C917" s="275" t="s">
        <v>2604</v>
      </c>
      <c r="D917" s="275">
        <v>2</v>
      </c>
      <c r="E917" s="275">
        <v>0</v>
      </c>
      <c r="F917" s="275">
        <v>6</v>
      </c>
      <c r="G917" s="120">
        <v>200</v>
      </c>
      <c r="H917" s="275">
        <v>200</v>
      </c>
      <c r="I917" s="17">
        <v>0</v>
      </c>
      <c r="J917" s="476">
        <v>0</v>
      </c>
      <c r="K917" s="275">
        <v>0</v>
      </c>
      <c r="L917" s="275">
        <v>60099</v>
      </c>
      <c r="M917" s="275" t="s">
        <v>673</v>
      </c>
      <c r="N917" s="275">
        <v>60099</v>
      </c>
      <c r="O917" s="275" t="s">
        <v>673</v>
      </c>
      <c r="P917" s="275"/>
      <c r="Q917" s="43"/>
      <c r="R917" s="43"/>
      <c r="S917" s="43">
        <v>10079</v>
      </c>
      <c r="T917" s="43"/>
      <c r="U917" s="275">
        <v>65</v>
      </c>
      <c r="V917" s="275">
        <v>0</v>
      </c>
      <c r="W917" s="275">
        <v>0</v>
      </c>
      <c r="X917" s="275"/>
      <c r="Y917" s="275"/>
      <c r="Z917" s="478">
        <f>ROUND(AY917*(30+G917^1.5)*AX917,0)</f>
        <v>201233</v>
      </c>
      <c r="AA917" s="275"/>
      <c r="AB917" s="45"/>
      <c r="AC917" s="45"/>
      <c r="AD917" s="275"/>
      <c r="AE917" s="275"/>
      <c r="AF917" s="275" t="str">
        <f t="shared" si="140"/>
        <v>title([47级]狩猎重装巨熊[黄])
body(hotyellow_3(任务进程:)newline()
   狩猎goto(10079,6)，去找goto(60099,6)。
blankline()hotyellow_3(任务描述:)newline() 
space()space()space()player()，我这里有一份有关消灭剑阁重装巨熊的委托单，如果你有兴趣的话，就由你来完成吧！)</v>
      </c>
      <c r="AG917" s="443" t="s">
        <v>3992</v>
      </c>
      <c r="AH917" s="275" t="s">
        <v>291</v>
      </c>
      <c r="AI917" s="275" t="s">
        <v>292</v>
      </c>
      <c r="AJ917" s="275" t="s">
        <v>6402</v>
      </c>
      <c r="AK917" s="275"/>
      <c r="AL917" s="483">
        <v>0</v>
      </c>
      <c r="AM917" s="443" t="str">
        <f t="shared" si="127"/>
        <v>&lt;p&gt;
&lt;n&gt;  狩猎：&lt;/n&gt;
 &lt;n&gt; &lt;/n&gt;&lt;goto id="10079" mapid="6" flagpoint="1" taskid="12284" quick="1"/&gt;
&lt;/p&gt;</v>
      </c>
      <c r="AN917" s="443" t="str">
        <f t="shared" si="133"/>
        <v>&lt;p&gt;
&lt;n&gt;  交：&lt;/n&gt;
 &lt;n&gt; &lt;/n&gt;&lt;goto id="60099" mapid="6" flagpoint="1" taskid="12284" quick="1"/&gt;&lt;/p&gt;</v>
      </c>
      <c r="AO917" s="275"/>
      <c r="AP917" s="275">
        <v>0</v>
      </c>
      <c r="AQ917" s="275">
        <v>1</v>
      </c>
      <c r="AR917" s="26">
        <v>0</v>
      </c>
      <c r="AS917" s="275">
        <v>0</v>
      </c>
      <c r="AT917" s="275">
        <v>1</v>
      </c>
      <c r="AU917" s="26">
        <v>0</v>
      </c>
      <c r="AV917" s="17">
        <f t="shared" si="135"/>
        <v>0</v>
      </c>
      <c r="AW917" s="275" t="str">
        <f t="shared" si="134"/>
        <v>{s_taskKillNpc, {60099,60099,10079,65}}</v>
      </c>
      <c r="AX917" s="475">
        <v>1.6</v>
      </c>
      <c r="AY917" s="484">
        <v>44</v>
      </c>
    </row>
    <row r="918" spans="1:51" s="484" customFormat="1" ht="84.75" thickBot="1" x14ac:dyDescent="0.2">
      <c r="A918" s="482">
        <v>12285</v>
      </c>
      <c r="B918" s="275"/>
      <c r="C918" s="275" t="s">
        <v>2629</v>
      </c>
      <c r="D918" s="275">
        <v>2</v>
      </c>
      <c r="E918" s="275">
        <v>0</v>
      </c>
      <c r="F918" s="275">
        <v>6</v>
      </c>
      <c r="G918" s="120">
        <v>200</v>
      </c>
      <c r="H918" s="275">
        <v>200</v>
      </c>
      <c r="I918" s="17">
        <v>0</v>
      </c>
      <c r="J918" s="476">
        <v>0</v>
      </c>
      <c r="K918" s="275">
        <v>0</v>
      </c>
      <c r="L918" s="275">
        <v>60099</v>
      </c>
      <c r="M918" s="275" t="s">
        <v>673</v>
      </c>
      <c r="N918" s="275">
        <v>60099</v>
      </c>
      <c r="O918" s="275" t="s">
        <v>673</v>
      </c>
      <c r="P918" s="275"/>
      <c r="Q918" s="43"/>
      <c r="R918" s="43"/>
      <c r="S918" s="43">
        <v>10079</v>
      </c>
      <c r="T918" s="43"/>
      <c r="U918" s="275">
        <v>65</v>
      </c>
      <c r="V918" s="275">
        <v>0</v>
      </c>
      <c r="W918" s="275">
        <v>0</v>
      </c>
      <c r="X918" s="275"/>
      <c r="Y918" s="275"/>
      <c r="Z918" s="478">
        <f>ROUND(AY918*(30+G918^1.5)*AX918,0)</f>
        <v>276696</v>
      </c>
      <c r="AA918" s="275"/>
      <c r="AB918" s="45"/>
      <c r="AC918" s="45"/>
      <c r="AD918" s="275"/>
      <c r="AE918" s="275"/>
      <c r="AF918" s="275" t="str">
        <f t="shared" si="140"/>
        <v>title([47级]狩猎重装巨熊[绿])
body(hotyellow_3(任务进程:)newline()
   狩猎goto(10079,6)，去找goto(60099,6)。
blankline()hotyellow_3(任务描述:)newline() 
space()space()space()player()，我这里有一份有关消灭剑阁重装巨熊的委托单，如果你有兴趣的话，就由你来完成吧！)</v>
      </c>
      <c r="AG918" s="443" t="s">
        <v>3993</v>
      </c>
      <c r="AH918" s="275" t="s">
        <v>291</v>
      </c>
      <c r="AI918" s="275" t="s">
        <v>292</v>
      </c>
      <c r="AJ918" s="275" t="s">
        <v>6402</v>
      </c>
      <c r="AK918" s="275"/>
      <c r="AL918" s="483">
        <v>0</v>
      </c>
      <c r="AM918" s="443" t="str">
        <f t="shared" si="127"/>
        <v>&lt;p&gt;
&lt;n&gt;  狩猎：&lt;/n&gt;
 &lt;n&gt; &lt;/n&gt;&lt;goto id="10079" mapid="6" flagpoint="1" taskid="12285" quick="1"/&gt;
&lt;/p&gt;</v>
      </c>
      <c r="AN918" s="443" t="str">
        <f t="shared" si="133"/>
        <v>&lt;p&gt;
&lt;n&gt;  交：&lt;/n&gt;
 &lt;n&gt; &lt;/n&gt;&lt;goto id="60099" mapid="6" flagpoint="1" taskid="12285" quick="1"/&gt;&lt;/p&gt;</v>
      </c>
      <c r="AO918" s="275"/>
      <c r="AP918" s="275">
        <v>0</v>
      </c>
      <c r="AQ918" s="275">
        <v>1</v>
      </c>
      <c r="AR918" s="26">
        <v>0</v>
      </c>
      <c r="AS918" s="275">
        <v>0</v>
      </c>
      <c r="AT918" s="275">
        <v>1</v>
      </c>
      <c r="AU918" s="26">
        <v>0</v>
      </c>
      <c r="AV918" s="17">
        <f t="shared" si="135"/>
        <v>0</v>
      </c>
      <c r="AW918" s="275" t="str">
        <f t="shared" si="134"/>
        <v>{s_taskKillNpc, {60099,60099,10079,65}}</v>
      </c>
      <c r="AX918" s="475">
        <v>2.2000000000000002</v>
      </c>
      <c r="AY918" s="484">
        <v>44</v>
      </c>
    </row>
    <row r="919" spans="1:51" s="489" customFormat="1" ht="84.75" thickBot="1" x14ac:dyDescent="0.2">
      <c r="A919" s="486">
        <v>12286</v>
      </c>
      <c r="B919" s="485"/>
      <c r="C919" s="485" t="s">
        <v>2654</v>
      </c>
      <c r="D919" s="485">
        <v>2</v>
      </c>
      <c r="E919" s="485">
        <v>0</v>
      </c>
      <c r="F919" s="485">
        <v>6</v>
      </c>
      <c r="G919" s="120">
        <v>200</v>
      </c>
      <c r="H919" s="485">
        <v>200</v>
      </c>
      <c r="I919" s="17">
        <v>0</v>
      </c>
      <c r="J919" s="476">
        <v>0</v>
      </c>
      <c r="K919" s="485">
        <v>0</v>
      </c>
      <c r="L919" s="275">
        <v>60099</v>
      </c>
      <c r="M919" s="275" t="s">
        <v>673</v>
      </c>
      <c r="N919" s="275">
        <v>60099</v>
      </c>
      <c r="O919" s="275" t="s">
        <v>673</v>
      </c>
      <c r="P919" s="485"/>
      <c r="Q919" s="487"/>
      <c r="R919" s="487"/>
      <c r="S919" s="487">
        <v>10079</v>
      </c>
      <c r="T919" s="487"/>
      <c r="U919" s="485">
        <v>65</v>
      </c>
      <c r="V919" s="485">
        <v>0</v>
      </c>
      <c r="W919" s="485">
        <v>0</v>
      </c>
      <c r="X919" s="485"/>
      <c r="Y919" s="485"/>
      <c r="Z919" s="478">
        <f>ROUND(AY919*(30+G919^1.5)*AX919,0)</f>
        <v>377312</v>
      </c>
      <c r="AA919" s="485"/>
      <c r="AB919" s="488"/>
      <c r="AC919" s="488"/>
      <c r="AD919" s="485"/>
      <c r="AE919" s="485"/>
      <c r="AF919" s="485" t="str">
        <f t="shared" si="140"/>
        <v>title([47级]狩猎重装巨熊[紫])
body(hotyellow_3(任务进程:)newline()
   狩猎goto(10079,6)，去找goto(60099,6)。
blankline()hotyellow_3(任务描述:)newline() 
space()space()space()player()，我这里有一份有关消灭剑阁重装巨熊的委托单，如果你有兴趣的话，就由你来完成吧！)</v>
      </c>
      <c r="AG919" s="452" t="s">
        <v>3994</v>
      </c>
      <c r="AH919" s="485" t="s">
        <v>291</v>
      </c>
      <c r="AI919" s="485" t="s">
        <v>292</v>
      </c>
      <c r="AJ919" s="485" t="s">
        <v>6402</v>
      </c>
      <c r="AK919" s="485"/>
      <c r="AL919" s="476">
        <v>0</v>
      </c>
      <c r="AM919" s="443" t="str">
        <f t="shared" si="127"/>
        <v>&lt;p&gt;
&lt;n&gt;  狩猎：&lt;/n&gt;
 &lt;n&gt; &lt;/n&gt;&lt;goto id="10079" mapid="6" flagpoint="1" taskid="12286" quick="1"/&gt;
&lt;/p&gt;</v>
      </c>
      <c r="AN919" s="443" t="str">
        <f t="shared" ref="AN919:AN955" si="141">"&lt;p&gt;
&lt;n&gt;  交：&lt;/n&gt;
 &lt;n&gt; &lt;/n&gt;&lt;goto id="""&amp;N919&amp;""" mapid="""&amp;F919&amp;""" flagpoint=""1"" taskid="""&amp;A919&amp;""" quick=""1""/&gt;&lt;/p&gt;"</f>
        <v>&lt;p&gt;
&lt;n&gt;  交：&lt;/n&gt;
 &lt;n&gt; &lt;/n&gt;&lt;goto id="60099" mapid="6" flagpoint="1" taskid="12286" quick="1"/&gt;&lt;/p&gt;</v>
      </c>
      <c r="AO919" s="485"/>
      <c r="AP919" s="485">
        <v>0</v>
      </c>
      <c r="AQ919" s="275">
        <v>1</v>
      </c>
      <c r="AR919" s="26">
        <v>0</v>
      </c>
      <c r="AS919" s="485">
        <v>0</v>
      </c>
      <c r="AT919" s="485">
        <v>1</v>
      </c>
      <c r="AU919" s="26">
        <v>0</v>
      </c>
      <c r="AV919" s="17">
        <f t="shared" si="135"/>
        <v>0</v>
      </c>
      <c r="AW919" s="485" t="str">
        <f t="shared" ref="AW919:AW955" si="142">"{s_taskKillNpc, {"&amp;L919&amp;","&amp;N919&amp;","&amp;S919&amp;","&amp;U919&amp;"}}"</f>
        <v>{s_taskKillNpc, {60099,60099,10079,65}}</v>
      </c>
      <c r="AX919" s="475">
        <v>3</v>
      </c>
      <c r="AY919" s="484">
        <v>44</v>
      </c>
    </row>
    <row r="920" spans="1:51" s="481" customFormat="1" ht="84.75" thickBot="1" x14ac:dyDescent="0.2">
      <c r="A920" s="474">
        <v>12291</v>
      </c>
      <c r="B920" s="475"/>
      <c r="C920" s="475" t="s">
        <v>2506</v>
      </c>
      <c r="D920" s="475">
        <v>2</v>
      </c>
      <c r="E920" s="475">
        <v>0</v>
      </c>
      <c r="F920" s="475">
        <v>6</v>
      </c>
      <c r="G920" s="120">
        <v>200</v>
      </c>
      <c r="H920" s="475">
        <v>200</v>
      </c>
      <c r="I920" s="17">
        <v>0</v>
      </c>
      <c r="J920" s="476">
        <v>0</v>
      </c>
      <c r="K920" s="475">
        <v>0</v>
      </c>
      <c r="L920" s="275">
        <v>60099</v>
      </c>
      <c r="M920" s="275" t="s">
        <v>673</v>
      </c>
      <c r="N920" s="275">
        <v>60099</v>
      </c>
      <c r="O920" s="275" t="s">
        <v>673</v>
      </c>
      <c r="P920" s="475"/>
      <c r="Q920" s="477"/>
      <c r="R920" s="477"/>
      <c r="S920" s="477">
        <v>10080</v>
      </c>
      <c r="T920" s="477"/>
      <c r="U920" s="475">
        <v>65</v>
      </c>
      <c r="V920" s="475">
        <v>0</v>
      </c>
      <c r="W920" s="475">
        <v>0</v>
      </c>
      <c r="X920" s="475"/>
      <c r="Y920" s="475"/>
      <c r="Z920" s="478"/>
      <c r="AA920" s="475"/>
      <c r="AB920" s="479"/>
      <c r="AC920" s="479"/>
      <c r="AD920" s="475"/>
      <c r="AE920" s="475"/>
      <c r="AF920" s="475" t="str">
        <f t="shared" ref="AF920:AF925" si="143">"title("&amp;C920&amp;")
body(hotyellow_3(任务进程:)newline()
   狩猎goto(10080,6)，去找goto(60099,6)。
blankline()hotyellow_3(任务描述:)newline() 
space()space()space()player()，我这里有一份有关消灭剑阁魔族掠夺者的委托单，如果你有兴趣的话，就由你来完成吧！)"</f>
        <v>title([48级]狩猎掠夺者)
body(hotyellow_3(任务进程:)newline()
   狩猎goto(10080,6)，去找goto(60099,6)。
blankline()hotyellow_3(任务描述:)newline() 
space()space()space()player()，我这里有一份有关消灭剑阁魔族掠夺者的委托单，如果你有兴趣的话，就由你来完成吧！)</v>
      </c>
      <c r="AG920" s="437" t="s">
        <v>3989</v>
      </c>
      <c r="AH920" s="475" t="s">
        <v>291</v>
      </c>
      <c r="AI920" s="475" t="s">
        <v>292</v>
      </c>
      <c r="AJ920" s="475" t="s">
        <v>6403</v>
      </c>
      <c r="AK920" s="475"/>
      <c r="AL920" s="480">
        <v>0</v>
      </c>
      <c r="AM920" s="443" t="str">
        <f t="shared" ref="AM920:AM955" si="144">"&lt;p&gt;
&lt;n&gt;  狩猎：&lt;/n&gt;
 &lt;n&gt; &lt;/n&gt;&lt;goto id="""&amp;S920&amp;""" mapid="""&amp;F920&amp;""" flagpoint=""1"" taskid="""&amp;A920&amp;""" quick=""1""/&gt;
&lt;/p&gt;"</f>
        <v>&lt;p&gt;
&lt;n&gt;  狩猎：&lt;/n&gt;
 &lt;n&gt; &lt;/n&gt;&lt;goto id="10080" mapid="6" flagpoint="1" taskid="12291" quick="1"/&gt;
&lt;/p&gt;</v>
      </c>
      <c r="AN920" s="443" t="str">
        <f t="shared" si="141"/>
        <v>&lt;p&gt;
&lt;n&gt;  交：&lt;/n&gt;
 &lt;n&gt; &lt;/n&gt;&lt;goto id="60099" mapid="6" flagpoint="1" taskid="12291" quick="1"/&gt;&lt;/p&gt;</v>
      </c>
      <c r="AO920" s="475"/>
      <c r="AP920" s="475">
        <v>1</v>
      </c>
      <c r="AQ920" s="475">
        <v>0</v>
      </c>
      <c r="AR920" s="26">
        <v>0</v>
      </c>
      <c r="AS920" s="475">
        <v>0</v>
      </c>
      <c r="AT920" s="475">
        <v>1</v>
      </c>
      <c r="AU920" s="26">
        <v>0</v>
      </c>
      <c r="AV920" s="17">
        <f t="shared" si="135"/>
        <v>0</v>
      </c>
      <c r="AW920" s="475" t="str">
        <f t="shared" si="142"/>
        <v>{s_taskKillNpc, {60099,60099,10080,65}}</v>
      </c>
      <c r="AX920" s="475"/>
    </row>
    <row r="921" spans="1:51" s="484" customFormat="1" ht="84.75" thickBot="1" x14ac:dyDescent="0.2">
      <c r="A921" s="482">
        <v>12292</v>
      </c>
      <c r="B921" s="275"/>
      <c r="C921" s="275" t="s">
        <v>2555</v>
      </c>
      <c r="D921" s="275">
        <v>2</v>
      </c>
      <c r="E921" s="275">
        <v>0</v>
      </c>
      <c r="F921" s="275">
        <v>6</v>
      </c>
      <c r="G921" s="120">
        <v>200</v>
      </c>
      <c r="H921" s="275">
        <v>200</v>
      </c>
      <c r="I921" s="17">
        <v>0</v>
      </c>
      <c r="J921" s="476">
        <v>0</v>
      </c>
      <c r="K921" s="275">
        <v>0</v>
      </c>
      <c r="L921" s="275">
        <v>60099</v>
      </c>
      <c r="M921" s="275" t="s">
        <v>673</v>
      </c>
      <c r="N921" s="275">
        <v>60099</v>
      </c>
      <c r="O921" s="275" t="s">
        <v>673</v>
      </c>
      <c r="P921" s="275"/>
      <c r="Q921" s="43"/>
      <c r="R921" s="43"/>
      <c r="S921" s="43">
        <v>10080</v>
      </c>
      <c r="T921" s="43"/>
      <c r="U921" s="275">
        <v>65</v>
      </c>
      <c r="V921" s="275">
        <v>0</v>
      </c>
      <c r="W921" s="275">
        <v>0</v>
      </c>
      <c r="X921" s="275"/>
      <c r="Y921" s="275"/>
      <c r="Z921" s="478">
        <f>ROUND(AY921*(30+G921^1.5)*AX921,0)</f>
        <v>125771</v>
      </c>
      <c r="AA921" s="275"/>
      <c r="AB921" s="45"/>
      <c r="AC921" s="45"/>
      <c r="AD921" s="275"/>
      <c r="AE921" s="275"/>
      <c r="AF921" s="275" t="str">
        <f t="shared" si="143"/>
        <v>title([48级]狩猎掠夺者[白])
body(hotyellow_3(任务进程:)newline()
   狩猎goto(10080,6)，去找goto(60099,6)。
blankline()hotyellow_3(任务描述:)newline() 
space()space()space()player()，我这里有一份有关消灭剑阁魔族掠夺者的委托单，如果你有兴趣的话，就由你来完成吧！)</v>
      </c>
      <c r="AG921" s="443" t="s">
        <v>3990</v>
      </c>
      <c r="AH921" s="275" t="s">
        <v>291</v>
      </c>
      <c r="AI921" s="275" t="s">
        <v>292</v>
      </c>
      <c r="AJ921" s="275" t="s">
        <v>6403</v>
      </c>
      <c r="AK921" s="275"/>
      <c r="AL921" s="483">
        <v>0</v>
      </c>
      <c r="AM921" s="443" t="str">
        <f t="shared" si="144"/>
        <v>&lt;p&gt;
&lt;n&gt;  狩猎：&lt;/n&gt;
 &lt;n&gt; &lt;/n&gt;&lt;goto id="10080" mapid="6" flagpoint="1" taskid="12292" quick="1"/&gt;
&lt;/p&gt;</v>
      </c>
      <c r="AN921" s="443" t="str">
        <f t="shared" si="141"/>
        <v>&lt;p&gt;
&lt;n&gt;  交：&lt;/n&gt;
 &lt;n&gt; &lt;/n&gt;&lt;goto id="60099" mapid="6" flagpoint="1" taskid="12292" quick="1"/&gt;&lt;/p&gt;</v>
      </c>
      <c r="AO921" s="275"/>
      <c r="AP921" s="275">
        <v>0</v>
      </c>
      <c r="AQ921" s="275">
        <v>1</v>
      </c>
      <c r="AR921" s="26">
        <v>0</v>
      </c>
      <c r="AS921" s="275">
        <v>0</v>
      </c>
      <c r="AT921" s="275">
        <v>1</v>
      </c>
      <c r="AU921" s="26">
        <v>0</v>
      </c>
      <c r="AV921" s="17">
        <f t="shared" si="135"/>
        <v>0</v>
      </c>
      <c r="AW921" s="275" t="str">
        <f t="shared" si="142"/>
        <v>{s_taskKillNpc, {60099,60099,10080,65}}</v>
      </c>
      <c r="AX921" s="475">
        <v>1</v>
      </c>
      <c r="AY921" s="484">
        <v>44</v>
      </c>
    </row>
    <row r="922" spans="1:51" s="484" customFormat="1" ht="84.75" thickBot="1" x14ac:dyDescent="0.2">
      <c r="A922" s="482">
        <v>12293</v>
      </c>
      <c r="B922" s="275"/>
      <c r="C922" s="275" t="s">
        <v>2580</v>
      </c>
      <c r="D922" s="275">
        <v>2</v>
      </c>
      <c r="E922" s="275">
        <v>0</v>
      </c>
      <c r="F922" s="275">
        <v>6</v>
      </c>
      <c r="G922" s="120">
        <v>200</v>
      </c>
      <c r="H922" s="275">
        <v>200</v>
      </c>
      <c r="I922" s="17">
        <v>0</v>
      </c>
      <c r="J922" s="476">
        <v>0</v>
      </c>
      <c r="K922" s="275">
        <v>0</v>
      </c>
      <c r="L922" s="275">
        <v>60099</v>
      </c>
      <c r="M922" s="275" t="s">
        <v>673</v>
      </c>
      <c r="N922" s="275">
        <v>60099</v>
      </c>
      <c r="O922" s="275" t="s">
        <v>673</v>
      </c>
      <c r="P922" s="275"/>
      <c r="Q922" s="43"/>
      <c r="R922" s="43"/>
      <c r="S922" s="43">
        <v>10080</v>
      </c>
      <c r="T922" s="43"/>
      <c r="U922" s="275">
        <v>65</v>
      </c>
      <c r="V922" s="275">
        <v>0</v>
      </c>
      <c r="W922" s="275">
        <v>0</v>
      </c>
      <c r="X922" s="275"/>
      <c r="Y922" s="275"/>
      <c r="Z922" s="478">
        <f>ROUND(AY922*(30+G922^1.5)*AX922,0)</f>
        <v>163502</v>
      </c>
      <c r="AA922" s="275"/>
      <c r="AB922" s="45"/>
      <c r="AC922" s="45"/>
      <c r="AD922" s="275"/>
      <c r="AE922" s="275"/>
      <c r="AF922" s="275" t="str">
        <f t="shared" si="143"/>
        <v>title([48级]狩猎掠夺者[蓝])
body(hotyellow_3(任务进程:)newline()
   狩猎goto(10080,6)，去找goto(60099,6)。
blankline()hotyellow_3(任务描述:)newline() 
space()space()space()player()，我这里有一份有关消灭剑阁魔族掠夺者的委托单，如果你有兴趣的话，就由你来完成吧！)</v>
      </c>
      <c r="AG922" s="443" t="s">
        <v>3991</v>
      </c>
      <c r="AH922" s="275" t="s">
        <v>291</v>
      </c>
      <c r="AI922" s="275" t="s">
        <v>292</v>
      </c>
      <c r="AJ922" s="275" t="s">
        <v>6403</v>
      </c>
      <c r="AK922" s="275"/>
      <c r="AL922" s="483">
        <v>0</v>
      </c>
      <c r="AM922" s="443" t="str">
        <f t="shared" si="144"/>
        <v>&lt;p&gt;
&lt;n&gt;  狩猎：&lt;/n&gt;
 &lt;n&gt; &lt;/n&gt;&lt;goto id="10080" mapid="6" flagpoint="1" taskid="12293" quick="1"/&gt;
&lt;/p&gt;</v>
      </c>
      <c r="AN922" s="443" t="str">
        <f t="shared" si="141"/>
        <v>&lt;p&gt;
&lt;n&gt;  交：&lt;/n&gt;
 &lt;n&gt; &lt;/n&gt;&lt;goto id="60099" mapid="6" flagpoint="1" taskid="12293" quick="1"/&gt;&lt;/p&gt;</v>
      </c>
      <c r="AO922" s="275"/>
      <c r="AP922" s="275">
        <v>0</v>
      </c>
      <c r="AQ922" s="275">
        <v>1</v>
      </c>
      <c r="AR922" s="26">
        <v>0</v>
      </c>
      <c r="AS922" s="275">
        <v>0</v>
      </c>
      <c r="AT922" s="275">
        <v>1</v>
      </c>
      <c r="AU922" s="26">
        <v>0</v>
      </c>
      <c r="AV922" s="17">
        <f t="shared" si="135"/>
        <v>0</v>
      </c>
      <c r="AW922" s="275" t="str">
        <f t="shared" si="142"/>
        <v>{s_taskKillNpc, {60099,60099,10080,65}}</v>
      </c>
      <c r="AX922" s="475">
        <v>1.3</v>
      </c>
      <c r="AY922" s="484">
        <v>44</v>
      </c>
    </row>
    <row r="923" spans="1:51" s="484" customFormat="1" ht="84.75" thickBot="1" x14ac:dyDescent="0.2">
      <c r="A923" s="482">
        <v>12294</v>
      </c>
      <c r="B923" s="275"/>
      <c r="C923" s="275" t="s">
        <v>2605</v>
      </c>
      <c r="D923" s="275">
        <v>2</v>
      </c>
      <c r="E923" s="275">
        <v>0</v>
      </c>
      <c r="F923" s="275">
        <v>6</v>
      </c>
      <c r="G923" s="120">
        <v>200</v>
      </c>
      <c r="H923" s="275">
        <v>200</v>
      </c>
      <c r="I923" s="17">
        <v>0</v>
      </c>
      <c r="J923" s="476">
        <v>0</v>
      </c>
      <c r="K923" s="275">
        <v>0</v>
      </c>
      <c r="L923" s="275">
        <v>60099</v>
      </c>
      <c r="M923" s="275" t="s">
        <v>673</v>
      </c>
      <c r="N923" s="275">
        <v>60099</v>
      </c>
      <c r="O923" s="275" t="s">
        <v>673</v>
      </c>
      <c r="P923" s="275"/>
      <c r="Q923" s="43"/>
      <c r="R923" s="43"/>
      <c r="S923" s="43">
        <v>10080</v>
      </c>
      <c r="T923" s="43"/>
      <c r="U923" s="275">
        <v>65</v>
      </c>
      <c r="V923" s="275">
        <v>0</v>
      </c>
      <c r="W923" s="275">
        <v>0</v>
      </c>
      <c r="X923" s="275"/>
      <c r="Y923" s="275"/>
      <c r="Z923" s="478">
        <f>ROUND(AY923*(30+G923^1.5)*AX923,0)</f>
        <v>201233</v>
      </c>
      <c r="AA923" s="275"/>
      <c r="AB923" s="45"/>
      <c r="AC923" s="45"/>
      <c r="AD923" s="275"/>
      <c r="AE923" s="275"/>
      <c r="AF923" s="275" t="str">
        <f t="shared" si="143"/>
        <v>title([48级]狩猎掠夺者[黄])
body(hotyellow_3(任务进程:)newline()
   狩猎goto(10080,6)，去找goto(60099,6)。
blankline()hotyellow_3(任务描述:)newline() 
space()space()space()player()，我这里有一份有关消灭剑阁魔族掠夺者的委托单，如果你有兴趣的话，就由你来完成吧！)</v>
      </c>
      <c r="AG923" s="443" t="s">
        <v>3992</v>
      </c>
      <c r="AH923" s="275" t="s">
        <v>291</v>
      </c>
      <c r="AI923" s="275" t="s">
        <v>292</v>
      </c>
      <c r="AJ923" s="275" t="s">
        <v>6403</v>
      </c>
      <c r="AK923" s="275"/>
      <c r="AL923" s="483">
        <v>0</v>
      </c>
      <c r="AM923" s="443" t="str">
        <f t="shared" si="144"/>
        <v>&lt;p&gt;
&lt;n&gt;  狩猎：&lt;/n&gt;
 &lt;n&gt; &lt;/n&gt;&lt;goto id="10080" mapid="6" flagpoint="1" taskid="12294" quick="1"/&gt;
&lt;/p&gt;</v>
      </c>
      <c r="AN923" s="443" t="str">
        <f t="shared" si="141"/>
        <v>&lt;p&gt;
&lt;n&gt;  交：&lt;/n&gt;
 &lt;n&gt; &lt;/n&gt;&lt;goto id="60099" mapid="6" flagpoint="1" taskid="12294" quick="1"/&gt;&lt;/p&gt;</v>
      </c>
      <c r="AO923" s="275"/>
      <c r="AP923" s="275">
        <v>0</v>
      </c>
      <c r="AQ923" s="275">
        <v>1</v>
      </c>
      <c r="AR923" s="26">
        <v>0</v>
      </c>
      <c r="AS923" s="275">
        <v>0</v>
      </c>
      <c r="AT923" s="275">
        <v>1</v>
      </c>
      <c r="AU923" s="26">
        <v>0</v>
      </c>
      <c r="AV923" s="17">
        <f t="shared" si="135"/>
        <v>0</v>
      </c>
      <c r="AW923" s="275" t="str">
        <f t="shared" si="142"/>
        <v>{s_taskKillNpc, {60099,60099,10080,65}}</v>
      </c>
      <c r="AX923" s="475">
        <v>1.6</v>
      </c>
      <c r="AY923" s="484">
        <v>44</v>
      </c>
    </row>
    <row r="924" spans="1:51" s="484" customFormat="1" ht="84.75" thickBot="1" x14ac:dyDescent="0.2">
      <c r="A924" s="482">
        <v>12295</v>
      </c>
      <c r="B924" s="275"/>
      <c r="C924" s="275" t="s">
        <v>2630</v>
      </c>
      <c r="D924" s="275">
        <v>2</v>
      </c>
      <c r="E924" s="275">
        <v>0</v>
      </c>
      <c r="F924" s="275">
        <v>6</v>
      </c>
      <c r="G924" s="120">
        <v>200</v>
      </c>
      <c r="H924" s="275">
        <v>200</v>
      </c>
      <c r="I924" s="17">
        <v>0</v>
      </c>
      <c r="J924" s="476">
        <v>0</v>
      </c>
      <c r="K924" s="275">
        <v>0</v>
      </c>
      <c r="L924" s="275">
        <v>60099</v>
      </c>
      <c r="M924" s="275" t="s">
        <v>673</v>
      </c>
      <c r="N924" s="275">
        <v>60099</v>
      </c>
      <c r="O924" s="275" t="s">
        <v>673</v>
      </c>
      <c r="P924" s="275"/>
      <c r="Q924" s="43"/>
      <c r="R924" s="43"/>
      <c r="S924" s="43">
        <v>10080</v>
      </c>
      <c r="T924" s="43"/>
      <c r="U924" s="275">
        <v>65</v>
      </c>
      <c r="V924" s="275">
        <v>0</v>
      </c>
      <c r="W924" s="275">
        <v>0</v>
      </c>
      <c r="X924" s="275"/>
      <c r="Y924" s="275"/>
      <c r="Z924" s="478">
        <f>ROUND(AY924*(30+G924^1.5)*AX924,0)</f>
        <v>276696</v>
      </c>
      <c r="AA924" s="275"/>
      <c r="AB924" s="45"/>
      <c r="AC924" s="45"/>
      <c r="AD924" s="275"/>
      <c r="AE924" s="275"/>
      <c r="AF924" s="275" t="str">
        <f t="shared" si="143"/>
        <v>title([48级]狩猎掠夺者[绿])
body(hotyellow_3(任务进程:)newline()
   狩猎goto(10080,6)，去找goto(60099,6)。
blankline()hotyellow_3(任务描述:)newline() 
space()space()space()player()，我这里有一份有关消灭剑阁魔族掠夺者的委托单，如果你有兴趣的话，就由你来完成吧！)</v>
      </c>
      <c r="AG924" s="443" t="s">
        <v>3993</v>
      </c>
      <c r="AH924" s="275" t="s">
        <v>291</v>
      </c>
      <c r="AI924" s="275" t="s">
        <v>292</v>
      </c>
      <c r="AJ924" s="275" t="s">
        <v>6403</v>
      </c>
      <c r="AK924" s="275"/>
      <c r="AL924" s="483">
        <v>0</v>
      </c>
      <c r="AM924" s="443" t="str">
        <f t="shared" si="144"/>
        <v>&lt;p&gt;
&lt;n&gt;  狩猎：&lt;/n&gt;
 &lt;n&gt; &lt;/n&gt;&lt;goto id="10080" mapid="6" flagpoint="1" taskid="12295" quick="1"/&gt;
&lt;/p&gt;</v>
      </c>
      <c r="AN924" s="443" t="str">
        <f t="shared" si="141"/>
        <v>&lt;p&gt;
&lt;n&gt;  交：&lt;/n&gt;
 &lt;n&gt; &lt;/n&gt;&lt;goto id="60099" mapid="6" flagpoint="1" taskid="12295" quick="1"/&gt;&lt;/p&gt;</v>
      </c>
      <c r="AO924" s="275"/>
      <c r="AP924" s="275">
        <v>0</v>
      </c>
      <c r="AQ924" s="275">
        <v>1</v>
      </c>
      <c r="AR924" s="26">
        <v>0</v>
      </c>
      <c r="AS924" s="275">
        <v>0</v>
      </c>
      <c r="AT924" s="275">
        <v>1</v>
      </c>
      <c r="AU924" s="26">
        <v>0</v>
      </c>
      <c r="AV924" s="17">
        <f t="shared" si="135"/>
        <v>0</v>
      </c>
      <c r="AW924" s="275" t="str">
        <f t="shared" si="142"/>
        <v>{s_taskKillNpc, {60099,60099,10080,65}}</v>
      </c>
      <c r="AX924" s="475">
        <v>2.2000000000000002</v>
      </c>
      <c r="AY924" s="484">
        <v>44</v>
      </c>
    </row>
    <row r="925" spans="1:51" s="489" customFormat="1" ht="84.75" thickBot="1" x14ac:dyDescent="0.2">
      <c r="A925" s="486">
        <v>12296</v>
      </c>
      <c r="B925" s="485"/>
      <c r="C925" s="485" t="s">
        <v>2655</v>
      </c>
      <c r="D925" s="485">
        <v>2</v>
      </c>
      <c r="E925" s="485">
        <v>0</v>
      </c>
      <c r="F925" s="485">
        <v>6</v>
      </c>
      <c r="G925" s="120">
        <v>200</v>
      </c>
      <c r="H925" s="485">
        <v>200</v>
      </c>
      <c r="I925" s="17">
        <v>0</v>
      </c>
      <c r="J925" s="476">
        <v>0</v>
      </c>
      <c r="K925" s="485">
        <v>0</v>
      </c>
      <c r="L925" s="275">
        <v>60099</v>
      </c>
      <c r="M925" s="275" t="s">
        <v>673</v>
      </c>
      <c r="N925" s="275">
        <v>60099</v>
      </c>
      <c r="O925" s="275" t="s">
        <v>673</v>
      </c>
      <c r="P925" s="485"/>
      <c r="Q925" s="487"/>
      <c r="R925" s="487"/>
      <c r="S925" s="487">
        <v>10080</v>
      </c>
      <c r="T925" s="487"/>
      <c r="U925" s="485">
        <v>65</v>
      </c>
      <c r="V925" s="485">
        <v>0</v>
      </c>
      <c r="W925" s="485">
        <v>0</v>
      </c>
      <c r="X925" s="485"/>
      <c r="Y925" s="485"/>
      <c r="Z925" s="478">
        <f>ROUND(AY925*(30+G925^1.5)*AX925,0)</f>
        <v>377312</v>
      </c>
      <c r="AA925" s="485"/>
      <c r="AB925" s="488"/>
      <c r="AC925" s="488"/>
      <c r="AD925" s="485"/>
      <c r="AE925" s="485"/>
      <c r="AF925" s="485" t="str">
        <f t="shared" si="143"/>
        <v>title([48级]狩猎掠夺者[紫])
body(hotyellow_3(任务进程:)newline()
   狩猎goto(10080,6)，去找goto(60099,6)。
blankline()hotyellow_3(任务描述:)newline() 
space()space()space()player()，我这里有一份有关消灭剑阁魔族掠夺者的委托单，如果你有兴趣的话，就由你来完成吧！)</v>
      </c>
      <c r="AG925" s="452" t="s">
        <v>3994</v>
      </c>
      <c r="AH925" s="485" t="s">
        <v>291</v>
      </c>
      <c r="AI925" s="485" t="s">
        <v>292</v>
      </c>
      <c r="AJ925" s="485" t="s">
        <v>6403</v>
      </c>
      <c r="AK925" s="485"/>
      <c r="AL925" s="476">
        <v>0</v>
      </c>
      <c r="AM925" s="443" t="str">
        <f t="shared" si="144"/>
        <v>&lt;p&gt;
&lt;n&gt;  狩猎：&lt;/n&gt;
 &lt;n&gt; &lt;/n&gt;&lt;goto id="10080" mapid="6" flagpoint="1" taskid="12296" quick="1"/&gt;
&lt;/p&gt;</v>
      </c>
      <c r="AN925" s="443" t="str">
        <f t="shared" si="141"/>
        <v>&lt;p&gt;
&lt;n&gt;  交：&lt;/n&gt;
 &lt;n&gt; &lt;/n&gt;&lt;goto id="60099" mapid="6" flagpoint="1" taskid="12296" quick="1"/&gt;&lt;/p&gt;</v>
      </c>
      <c r="AO925" s="485"/>
      <c r="AP925" s="485">
        <v>0</v>
      </c>
      <c r="AQ925" s="275">
        <v>1</v>
      </c>
      <c r="AR925" s="26">
        <v>0</v>
      </c>
      <c r="AS925" s="485">
        <v>0</v>
      </c>
      <c r="AT925" s="485">
        <v>1</v>
      </c>
      <c r="AU925" s="26">
        <v>0</v>
      </c>
      <c r="AV925" s="17">
        <f t="shared" si="135"/>
        <v>0</v>
      </c>
      <c r="AW925" s="485" t="str">
        <f t="shared" si="142"/>
        <v>{s_taskKillNpc, {60099,60099,10080,65}}</v>
      </c>
      <c r="AX925" s="475">
        <v>3</v>
      </c>
      <c r="AY925" s="484">
        <v>44</v>
      </c>
    </row>
    <row r="926" spans="1:51" s="481" customFormat="1" ht="84.75" thickBot="1" x14ac:dyDescent="0.2">
      <c r="A926" s="474">
        <v>12301</v>
      </c>
      <c r="B926" s="475"/>
      <c r="C926" s="475" t="s">
        <v>2235</v>
      </c>
      <c r="D926" s="475">
        <v>2</v>
      </c>
      <c r="E926" s="475">
        <v>0</v>
      </c>
      <c r="F926" s="475">
        <v>6</v>
      </c>
      <c r="G926" s="120">
        <v>200</v>
      </c>
      <c r="H926" s="475">
        <v>200</v>
      </c>
      <c r="I926" s="17">
        <v>0</v>
      </c>
      <c r="J926" s="476">
        <v>0</v>
      </c>
      <c r="K926" s="475">
        <v>0</v>
      </c>
      <c r="L926" s="275">
        <v>60099</v>
      </c>
      <c r="M926" s="275" t="s">
        <v>673</v>
      </c>
      <c r="N926" s="275">
        <v>60099</v>
      </c>
      <c r="O926" s="275" t="s">
        <v>673</v>
      </c>
      <c r="P926" s="475"/>
      <c r="Q926" s="477"/>
      <c r="R926" s="477"/>
      <c r="S926" s="477">
        <v>10081</v>
      </c>
      <c r="T926" s="477"/>
      <c r="U926" s="475">
        <v>65</v>
      </c>
      <c r="V926" s="475">
        <v>0</v>
      </c>
      <c r="W926" s="475">
        <v>0</v>
      </c>
      <c r="X926" s="475"/>
      <c r="Y926" s="475"/>
      <c r="Z926" s="478"/>
      <c r="AA926" s="475"/>
      <c r="AB926" s="479"/>
      <c r="AC926" s="479"/>
      <c r="AD926" s="475"/>
      <c r="AE926" s="475"/>
      <c r="AF926" s="475" t="str">
        <f t="shared" ref="AF926:AF931" si="145">"title("&amp;C926&amp;")
body(hotyellow_3(任务进程:)newline()
   狩猎goto(10081,6)，去找goto(60099,6)。
blankline()hotyellow_3(任务描述:)newline() 
space()space()space()player()，我这里有一份有关消灭剑阁魔族猎杀者的委托单，如果你有兴趣的话，就由你来完成吧！)"</f>
        <v>title([49级]狩猎猎杀者)
body(hotyellow_3(任务进程:)newline()
   狩猎goto(10081,6)，去找goto(60099,6)。
blankline()hotyellow_3(任务描述:)newline() 
space()space()space()player()，我这里有一份有关消灭剑阁魔族猎杀者的委托单，如果你有兴趣的话，就由你来完成吧！)</v>
      </c>
      <c r="AG926" s="437" t="s">
        <v>3989</v>
      </c>
      <c r="AH926" s="475" t="s">
        <v>291</v>
      </c>
      <c r="AI926" s="475" t="s">
        <v>292</v>
      </c>
      <c r="AJ926" s="475" t="s">
        <v>6404</v>
      </c>
      <c r="AK926" s="475"/>
      <c r="AL926" s="480">
        <v>0</v>
      </c>
      <c r="AM926" s="443" t="str">
        <f t="shared" si="144"/>
        <v>&lt;p&gt;
&lt;n&gt;  狩猎：&lt;/n&gt;
 &lt;n&gt; &lt;/n&gt;&lt;goto id="10081" mapid="6" flagpoint="1" taskid="12301" quick="1"/&gt;
&lt;/p&gt;</v>
      </c>
      <c r="AN926" s="443" t="str">
        <f t="shared" si="141"/>
        <v>&lt;p&gt;
&lt;n&gt;  交：&lt;/n&gt;
 &lt;n&gt; &lt;/n&gt;&lt;goto id="60099" mapid="6" flagpoint="1" taskid="12301" quick="1"/&gt;&lt;/p&gt;</v>
      </c>
      <c r="AO926" s="475"/>
      <c r="AP926" s="475">
        <v>1</v>
      </c>
      <c r="AQ926" s="475">
        <v>0</v>
      </c>
      <c r="AR926" s="26">
        <v>0</v>
      </c>
      <c r="AS926" s="475">
        <v>0</v>
      </c>
      <c r="AT926" s="475">
        <v>1</v>
      </c>
      <c r="AU926" s="26">
        <v>0</v>
      </c>
      <c r="AV926" s="17">
        <f t="shared" si="135"/>
        <v>0</v>
      </c>
      <c r="AW926" s="475" t="str">
        <f t="shared" si="142"/>
        <v>{s_taskKillNpc, {60099,60099,10081,65}}</v>
      </c>
      <c r="AX926" s="475"/>
    </row>
    <row r="927" spans="1:51" s="484" customFormat="1" ht="84.75" thickBot="1" x14ac:dyDescent="0.2">
      <c r="A927" s="482">
        <v>12302</v>
      </c>
      <c r="B927" s="275"/>
      <c r="C927" s="275" t="s">
        <v>2556</v>
      </c>
      <c r="D927" s="275">
        <v>2</v>
      </c>
      <c r="E927" s="275">
        <v>0</v>
      </c>
      <c r="F927" s="275">
        <v>6</v>
      </c>
      <c r="G927" s="120">
        <v>200</v>
      </c>
      <c r="H927" s="275">
        <v>200</v>
      </c>
      <c r="I927" s="17">
        <v>0</v>
      </c>
      <c r="J927" s="476">
        <v>0</v>
      </c>
      <c r="K927" s="275">
        <v>0</v>
      </c>
      <c r="L927" s="275">
        <v>60099</v>
      </c>
      <c r="M927" s="275" t="s">
        <v>673</v>
      </c>
      <c r="N927" s="275">
        <v>60099</v>
      </c>
      <c r="O927" s="275" t="s">
        <v>673</v>
      </c>
      <c r="P927" s="275"/>
      <c r="Q927" s="43"/>
      <c r="R927" s="43"/>
      <c r="S927" s="43">
        <v>10081</v>
      </c>
      <c r="T927" s="43"/>
      <c r="U927" s="275">
        <v>65</v>
      </c>
      <c r="V927" s="275">
        <v>0</v>
      </c>
      <c r="W927" s="275">
        <v>0</v>
      </c>
      <c r="X927" s="275"/>
      <c r="Y927" s="275"/>
      <c r="Z927" s="478">
        <f>ROUND(AY927*(30+G927^1.5)*AX927,0)</f>
        <v>125771</v>
      </c>
      <c r="AA927" s="275"/>
      <c r="AB927" s="45"/>
      <c r="AC927" s="45"/>
      <c r="AD927" s="275"/>
      <c r="AE927" s="275"/>
      <c r="AF927" s="475" t="str">
        <f t="shared" si="145"/>
        <v>title([49级]狩猎猎杀者[白])
body(hotyellow_3(任务进程:)newline()
   狩猎goto(10081,6)，去找goto(60099,6)。
blankline()hotyellow_3(任务描述:)newline() 
space()space()space()player()，我这里有一份有关消灭剑阁魔族猎杀者的委托单，如果你有兴趣的话，就由你来完成吧！)</v>
      </c>
      <c r="AG927" s="443" t="s">
        <v>3990</v>
      </c>
      <c r="AH927" s="275" t="s">
        <v>291</v>
      </c>
      <c r="AI927" s="275" t="s">
        <v>292</v>
      </c>
      <c r="AJ927" s="275" t="s">
        <v>6404</v>
      </c>
      <c r="AK927" s="275"/>
      <c r="AL927" s="483">
        <v>0</v>
      </c>
      <c r="AM927" s="443" t="str">
        <f t="shared" si="144"/>
        <v>&lt;p&gt;
&lt;n&gt;  狩猎：&lt;/n&gt;
 &lt;n&gt; &lt;/n&gt;&lt;goto id="10081" mapid="6" flagpoint="1" taskid="12302" quick="1"/&gt;
&lt;/p&gt;</v>
      </c>
      <c r="AN927" s="443" t="str">
        <f t="shared" si="141"/>
        <v>&lt;p&gt;
&lt;n&gt;  交：&lt;/n&gt;
 &lt;n&gt; &lt;/n&gt;&lt;goto id="60099" mapid="6" flagpoint="1" taskid="12302" quick="1"/&gt;&lt;/p&gt;</v>
      </c>
      <c r="AO927" s="275"/>
      <c r="AP927" s="275">
        <v>0</v>
      </c>
      <c r="AQ927" s="275">
        <v>1</v>
      </c>
      <c r="AR927" s="26">
        <v>0</v>
      </c>
      <c r="AS927" s="275">
        <v>0</v>
      </c>
      <c r="AT927" s="275">
        <v>1</v>
      </c>
      <c r="AU927" s="26">
        <v>0</v>
      </c>
      <c r="AV927" s="17">
        <f t="shared" si="135"/>
        <v>0</v>
      </c>
      <c r="AW927" s="275" t="str">
        <f t="shared" si="142"/>
        <v>{s_taskKillNpc, {60099,60099,10081,65}}</v>
      </c>
      <c r="AX927" s="475">
        <v>1</v>
      </c>
      <c r="AY927" s="484">
        <v>44</v>
      </c>
    </row>
    <row r="928" spans="1:51" s="484" customFormat="1" ht="84.75" thickBot="1" x14ac:dyDescent="0.2">
      <c r="A928" s="482">
        <v>12303</v>
      </c>
      <c r="B928" s="275"/>
      <c r="C928" s="275" t="s">
        <v>2581</v>
      </c>
      <c r="D928" s="275">
        <v>2</v>
      </c>
      <c r="E928" s="275">
        <v>0</v>
      </c>
      <c r="F928" s="275">
        <v>6</v>
      </c>
      <c r="G928" s="120">
        <v>200</v>
      </c>
      <c r="H928" s="275">
        <v>200</v>
      </c>
      <c r="I928" s="17">
        <v>0</v>
      </c>
      <c r="J928" s="476">
        <v>0</v>
      </c>
      <c r="K928" s="275">
        <v>0</v>
      </c>
      <c r="L928" s="275">
        <v>60099</v>
      </c>
      <c r="M928" s="275" t="s">
        <v>673</v>
      </c>
      <c r="N928" s="275">
        <v>60099</v>
      </c>
      <c r="O928" s="275" t="s">
        <v>673</v>
      </c>
      <c r="P928" s="275"/>
      <c r="Q928" s="43"/>
      <c r="R928" s="43"/>
      <c r="S928" s="43">
        <v>10081</v>
      </c>
      <c r="T928" s="43"/>
      <c r="U928" s="275">
        <v>65</v>
      </c>
      <c r="V928" s="275">
        <v>0</v>
      </c>
      <c r="W928" s="275">
        <v>0</v>
      </c>
      <c r="X928" s="275"/>
      <c r="Y928" s="275"/>
      <c r="Z928" s="478">
        <f>ROUND(AY928*(30+G928^1.5)*AX928,0)</f>
        <v>163502</v>
      </c>
      <c r="AA928" s="275"/>
      <c r="AB928" s="45"/>
      <c r="AC928" s="45"/>
      <c r="AD928" s="275"/>
      <c r="AE928" s="275"/>
      <c r="AF928" s="475" t="str">
        <f t="shared" si="145"/>
        <v>title([49级]狩猎猎杀者[蓝])
body(hotyellow_3(任务进程:)newline()
   狩猎goto(10081,6)，去找goto(60099,6)。
blankline()hotyellow_3(任务描述:)newline() 
space()space()space()player()，我这里有一份有关消灭剑阁魔族猎杀者的委托单，如果你有兴趣的话，就由你来完成吧！)</v>
      </c>
      <c r="AG928" s="443" t="s">
        <v>3991</v>
      </c>
      <c r="AH928" s="275" t="s">
        <v>291</v>
      </c>
      <c r="AI928" s="275" t="s">
        <v>292</v>
      </c>
      <c r="AJ928" s="275" t="s">
        <v>6404</v>
      </c>
      <c r="AK928" s="275"/>
      <c r="AL928" s="483">
        <v>0</v>
      </c>
      <c r="AM928" s="443" t="str">
        <f t="shared" si="144"/>
        <v>&lt;p&gt;
&lt;n&gt;  狩猎：&lt;/n&gt;
 &lt;n&gt; &lt;/n&gt;&lt;goto id="10081" mapid="6" flagpoint="1" taskid="12303" quick="1"/&gt;
&lt;/p&gt;</v>
      </c>
      <c r="AN928" s="443" t="str">
        <f t="shared" si="141"/>
        <v>&lt;p&gt;
&lt;n&gt;  交：&lt;/n&gt;
 &lt;n&gt; &lt;/n&gt;&lt;goto id="60099" mapid="6" flagpoint="1" taskid="12303" quick="1"/&gt;&lt;/p&gt;</v>
      </c>
      <c r="AO928" s="275"/>
      <c r="AP928" s="275">
        <v>0</v>
      </c>
      <c r="AQ928" s="275">
        <v>1</v>
      </c>
      <c r="AR928" s="26">
        <v>0</v>
      </c>
      <c r="AS928" s="275">
        <v>0</v>
      </c>
      <c r="AT928" s="275">
        <v>1</v>
      </c>
      <c r="AU928" s="26">
        <v>0</v>
      </c>
      <c r="AV928" s="17">
        <f t="shared" si="135"/>
        <v>0</v>
      </c>
      <c r="AW928" s="275" t="str">
        <f t="shared" si="142"/>
        <v>{s_taskKillNpc, {60099,60099,10081,65}}</v>
      </c>
      <c r="AX928" s="475">
        <v>1.3</v>
      </c>
      <c r="AY928" s="484">
        <v>44</v>
      </c>
    </row>
    <row r="929" spans="1:51" s="484" customFormat="1" ht="84.75" thickBot="1" x14ac:dyDescent="0.2">
      <c r="A929" s="482">
        <v>12304</v>
      </c>
      <c r="B929" s="275"/>
      <c r="C929" s="275" t="s">
        <v>2606</v>
      </c>
      <c r="D929" s="275">
        <v>2</v>
      </c>
      <c r="E929" s="275">
        <v>0</v>
      </c>
      <c r="F929" s="275">
        <v>6</v>
      </c>
      <c r="G929" s="120">
        <v>200</v>
      </c>
      <c r="H929" s="275">
        <v>200</v>
      </c>
      <c r="I929" s="17">
        <v>0</v>
      </c>
      <c r="J929" s="476">
        <v>0</v>
      </c>
      <c r="K929" s="275">
        <v>0</v>
      </c>
      <c r="L929" s="275">
        <v>60099</v>
      </c>
      <c r="M929" s="275" t="s">
        <v>673</v>
      </c>
      <c r="N929" s="275">
        <v>60099</v>
      </c>
      <c r="O929" s="275" t="s">
        <v>673</v>
      </c>
      <c r="P929" s="275"/>
      <c r="Q929" s="43"/>
      <c r="R929" s="43"/>
      <c r="S929" s="43">
        <v>10081</v>
      </c>
      <c r="T929" s="43"/>
      <c r="U929" s="275">
        <v>65</v>
      </c>
      <c r="V929" s="275">
        <v>0</v>
      </c>
      <c r="W929" s="275">
        <v>0</v>
      </c>
      <c r="X929" s="275"/>
      <c r="Y929" s="275"/>
      <c r="Z929" s="478">
        <f>ROUND(AY929*(30+G929^1.5)*AX929,0)</f>
        <v>201233</v>
      </c>
      <c r="AA929" s="275"/>
      <c r="AB929" s="45"/>
      <c r="AC929" s="45"/>
      <c r="AD929" s="275"/>
      <c r="AE929" s="275"/>
      <c r="AF929" s="475" t="str">
        <f t="shared" si="145"/>
        <v>title([49级]狩猎猎杀者[黄])
body(hotyellow_3(任务进程:)newline()
   狩猎goto(10081,6)，去找goto(60099,6)。
blankline()hotyellow_3(任务描述:)newline() 
space()space()space()player()，我这里有一份有关消灭剑阁魔族猎杀者的委托单，如果你有兴趣的话，就由你来完成吧！)</v>
      </c>
      <c r="AG929" s="443" t="s">
        <v>3992</v>
      </c>
      <c r="AH929" s="275" t="s">
        <v>291</v>
      </c>
      <c r="AI929" s="275" t="s">
        <v>292</v>
      </c>
      <c r="AJ929" s="275" t="s">
        <v>6404</v>
      </c>
      <c r="AK929" s="275"/>
      <c r="AL929" s="483">
        <v>0</v>
      </c>
      <c r="AM929" s="443" t="str">
        <f t="shared" si="144"/>
        <v>&lt;p&gt;
&lt;n&gt;  狩猎：&lt;/n&gt;
 &lt;n&gt; &lt;/n&gt;&lt;goto id="10081" mapid="6" flagpoint="1" taskid="12304" quick="1"/&gt;
&lt;/p&gt;</v>
      </c>
      <c r="AN929" s="443" t="str">
        <f t="shared" si="141"/>
        <v>&lt;p&gt;
&lt;n&gt;  交：&lt;/n&gt;
 &lt;n&gt; &lt;/n&gt;&lt;goto id="60099" mapid="6" flagpoint="1" taskid="12304" quick="1"/&gt;&lt;/p&gt;</v>
      </c>
      <c r="AO929" s="275"/>
      <c r="AP929" s="275">
        <v>0</v>
      </c>
      <c r="AQ929" s="275">
        <v>1</v>
      </c>
      <c r="AR929" s="26">
        <v>0</v>
      </c>
      <c r="AS929" s="275">
        <v>0</v>
      </c>
      <c r="AT929" s="275">
        <v>1</v>
      </c>
      <c r="AU929" s="26">
        <v>0</v>
      </c>
      <c r="AV929" s="17">
        <f t="shared" si="135"/>
        <v>0</v>
      </c>
      <c r="AW929" s="275" t="str">
        <f t="shared" si="142"/>
        <v>{s_taskKillNpc, {60099,60099,10081,65}}</v>
      </c>
      <c r="AX929" s="475">
        <v>1.6</v>
      </c>
      <c r="AY929" s="484">
        <v>44</v>
      </c>
    </row>
    <row r="930" spans="1:51" s="484" customFormat="1" ht="84.75" thickBot="1" x14ac:dyDescent="0.2">
      <c r="A930" s="482">
        <v>12305</v>
      </c>
      <c r="B930" s="275"/>
      <c r="C930" s="275" t="s">
        <v>2631</v>
      </c>
      <c r="D930" s="275">
        <v>2</v>
      </c>
      <c r="E930" s="275">
        <v>0</v>
      </c>
      <c r="F930" s="275">
        <v>6</v>
      </c>
      <c r="G930" s="120">
        <v>200</v>
      </c>
      <c r="H930" s="275">
        <v>200</v>
      </c>
      <c r="I930" s="17">
        <v>0</v>
      </c>
      <c r="J930" s="476">
        <v>0</v>
      </c>
      <c r="K930" s="275">
        <v>0</v>
      </c>
      <c r="L930" s="275">
        <v>60099</v>
      </c>
      <c r="M930" s="275" t="s">
        <v>673</v>
      </c>
      <c r="N930" s="275">
        <v>60099</v>
      </c>
      <c r="O930" s="275" t="s">
        <v>673</v>
      </c>
      <c r="P930" s="275"/>
      <c r="Q930" s="43"/>
      <c r="R930" s="43"/>
      <c r="S930" s="43">
        <v>10081</v>
      </c>
      <c r="T930" s="43"/>
      <c r="U930" s="275">
        <v>65</v>
      </c>
      <c r="V930" s="275">
        <v>0</v>
      </c>
      <c r="W930" s="275">
        <v>0</v>
      </c>
      <c r="X930" s="275"/>
      <c r="Y930" s="275"/>
      <c r="Z930" s="478">
        <f>ROUND(AY930*(30+G930^1.5)*AX930,0)</f>
        <v>276696</v>
      </c>
      <c r="AA930" s="275"/>
      <c r="AB930" s="45"/>
      <c r="AC930" s="45"/>
      <c r="AD930" s="275"/>
      <c r="AE930" s="275"/>
      <c r="AF930" s="475" t="str">
        <f t="shared" si="145"/>
        <v>title([49级]狩猎猎杀者[绿])
body(hotyellow_3(任务进程:)newline()
   狩猎goto(10081,6)，去找goto(60099,6)。
blankline()hotyellow_3(任务描述:)newline() 
space()space()space()player()，我这里有一份有关消灭剑阁魔族猎杀者的委托单，如果你有兴趣的话，就由你来完成吧！)</v>
      </c>
      <c r="AG930" s="443" t="s">
        <v>3993</v>
      </c>
      <c r="AH930" s="275" t="s">
        <v>291</v>
      </c>
      <c r="AI930" s="275" t="s">
        <v>292</v>
      </c>
      <c r="AJ930" s="275" t="s">
        <v>6404</v>
      </c>
      <c r="AK930" s="275"/>
      <c r="AL930" s="483">
        <v>0</v>
      </c>
      <c r="AM930" s="443" t="str">
        <f t="shared" si="144"/>
        <v>&lt;p&gt;
&lt;n&gt;  狩猎：&lt;/n&gt;
 &lt;n&gt; &lt;/n&gt;&lt;goto id="10081" mapid="6" flagpoint="1" taskid="12305" quick="1"/&gt;
&lt;/p&gt;</v>
      </c>
      <c r="AN930" s="443" t="str">
        <f t="shared" si="141"/>
        <v>&lt;p&gt;
&lt;n&gt;  交：&lt;/n&gt;
 &lt;n&gt; &lt;/n&gt;&lt;goto id="60099" mapid="6" flagpoint="1" taskid="12305" quick="1"/&gt;&lt;/p&gt;</v>
      </c>
      <c r="AO930" s="275"/>
      <c r="AP930" s="275">
        <v>0</v>
      </c>
      <c r="AQ930" s="275">
        <v>1</v>
      </c>
      <c r="AR930" s="26">
        <v>0</v>
      </c>
      <c r="AS930" s="275">
        <v>0</v>
      </c>
      <c r="AT930" s="275">
        <v>1</v>
      </c>
      <c r="AU930" s="26">
        <v>0</v>
      </c>
      <c r="AV930" s="17">
        <f t="shared" si="135"/>
        <v>0</v>
      </c>
      <c r="AW930" s="275" t="str">
        <f t="shared" si="142"/>
        <v>{s_taskKillNpc, {60099,60099,10081,65}}</v>
      </c>
      <c r="AX930" s="475">
        <v>2.2000000000000002</v>
      </c>
      <c r="AY930" s="484">
        <v>44</v>
      </c>
    </row>
    <row r="931" spans="1:51" s="484" customFormat="1" ht="84.75" thickBot="1" x14ac:dyDescent="0.2">
      <c r="A931" s="482">
        <v>12306</v>
      </c>
      <c r="B931" s="275"/>
      <c r="C931" s="275" t="s">
        <v>2656</v>
      </c>
      <c r="D931" s="275">
        <v>2</v>
      </c>
      <c r="E931" s="275">
        <v>0</v>
      </c>
      <c r="F931" s="275">
        <v>6</v>
      </c>
      <c r="G931" s="120">
        <v>200</v>
      </c>
      <c r="H931" s="275">
        <v>200</v>
      </c>
      <c r="I931" s="17">
        <v>0</v>
      </c>
      <c r="J931" s="476">
        <v>0</v>
      </c>
      <c r="K931" s="275">
        <v>0</v>
      </c>
      <c r="L931" s="275">
        <v>60099</v>
      </c>
      <c r="M931" s="275" t="s">
        <v>673</v>
      </c>
      <c r="N931" s="275">
        <v>60099</v>
      </c>
      <c r="O931" s="275" t="s">
        <v>673</v>
      </c>
      <c r="P931" s="275"/>
      <c r="Q931" s="43"/>
      <c r="R931" s="43"/>
      <c r="S931" s="43">
        <v>10081</v>
      </c>
      <c r="T931" s="43"/>
      <c r="U931" s="275">
        <v>65</v>
      </c>
      <c r="V931" s="275">
        <v>0</v>
      </c>
      <c r="W931" s="275">
        <v>0</v>
      </c>
      <c r="X931" s="275"/>
      <c r="Y931" s="275"/>
      <c r="Z931" s="478">
        <f>ROUND(AY931*(30+G931^1.5)*AX931,0)</f>
        <v>377312</v>
      </c>
      <c r="AA931" s="275"/>
      <c r="AB931" s="45"/>
      <c r="AC931" s="45"/>
      <c r="AD931" s="275"/>
      <c r="AE931" s="275"/>
      <c r="AF931" s="475" t="str">
        <f t="shared" si="145"/>
        <v>title([49级]狩猎猎杀者[紫])
body(hotyellow_3(任务进程:)newline()
   狩猎goto(10081,6)，去找goto(60099,6)。
blankline()hotyellow_3(任务描述:)newline() 
space()space()space()player()，我这里有一份有关消灭剑阁魔族猎杀者的委托单，如果你有兴趣的话，就由你来完成吧！)</v>
      </c>
      <c r="AG931" s="452" t="s">
        <v>3994</v>
      </c>
      <c r="AH931" s="275" t="s">
        <v>291</v>
      </c>
      <c r="AI931" s="275" t="s">
        <v>292</v>
      </c>
      <c r="AJ931" s="275" t="s">
        <v>6404</v>
      </c>
      <c r="AK931" s="275"/>
      <c r="AL931" s="483">
        <v>0</v>
      </c>
      <c r="AM931" s="443" t="str">
        <f t="shared" si="144"/>
        <v>&lt;p&gt;
&lt;n&gt;  狩猎：&lt;/n&gt;
 &lt;n&gt; &lt;/n&gt;&lt;goto id="10081" mapid="6" flagpoint="1" taskid="12306" quick="1"/&gt;
&lt;/p&gt;</v>
      </c>
      <c r="AN931" s="443" t="str">
        <f t="shared" si="141"/>
        <v>&lt;p&gt;
&lt;n&gt;  交：&lt;/n&gt;
 &lt;n&gt; &lt;/n&gt;&lt;goto id="60099" mapid="6" flagpoint="1" taskid="12306" quick="1"/&gt;&lt;/p&gt;</v>
      </c>
      <c r="AO931" s="275"/>
      <c r="AP931" s="485">
        <v>0</v>
      </c>
      <c r="AQ931" s="275">
        <v>1</v>
      </c>
      <c r="AR931" s="26">
        <v>0</v>
      </c>
      <c r="AS931" s="275">
        <v>0</v>
      </c>
      <c r="AT931" s="275">
        <v>1</v>
      </c>
      <c r="AU931" s="26">
        <v>0</v>
      </c>
      <c r="AV931" s="17">
        <f t="shared" si="135"/>
        <v>0</v>
      </c>
      <c r="AW931" s="275" t="str">
        <f t="shared" si="142"/>
        <v>{s_taskKillNpc, {60099,60099,10081,65}}</v>
      </c>
      <c r="AX931" s="475">
        <v>3</v>
      </c>
      <c r="AY931" s="484">
        <v>44</v>
      </c>
    </row>
    <row r="932" spans="1:51" s="481" customFormat="1" ht="84.75" thickBot="1" x14ac:dyDescent="0.2">
      <c r="A932" s="474">
        <v>12311</v>
      </c>
      <c r="B932" s="475"/>
      <c r="C932" s="475" t="s">
        <v>2236</v>
      </c>
      <c r="D932" s="475">
        <v>2</v>
      </c>
      <c r="E932" s="475">
        <v>0</v>
      </c>
      <c r="F932" s="475">
        <v>6</v>
      </c>
      <c r="G932" s="120">
        <v>200</v>
      </c>
      <c r="H932" s="475">
        <v>200</v>
      </c>
      <c r="I932" s="17">
        <v>0</v>
      </c>
      <c r="J932" s="476">
        <v>0</v>
      </c>
      <c r="K932" s="475">
        <v>0</v>
      </c>
      <c r="L932" s="275">
        <v>60099</v>
      </c>
      <c r="M932" s="275" t="s">
        <v>673</v>
      </c>
      <c r="N932" s="275">
        <v>60099</v>
      </c>
      <c r="O932" s="275" t="s">
        <v>673</v>
      </c>
      <c r="P932" s="475"/>
      <c r="Q932" s="477"/>
      <c r="R932" s="477"/>
      <c r="S932" s="477">
        <v>10088</v>
      </c>
      <c r="T932" s="477"/>
      <c r="U932" s="475">
        <v>65</v>
      </c>
      <c r="V932" s="475">
        <v>0</v>
      </c>
      <c r="W932" s="475">
        <v>0</v>
      </c>
      <c r="X932" s="475"/>
      <c r="Y932" s="475"/>
      <c r="Z932" s="478"/>
      <c r="AA932" s="475"/>
      <c r="AB932" s="479"/>
      <c r="AC932" s="479"/>
      <c r="AD932" s="475"/>
      <c r="AE932" s="475"/>
      <c r="AF932" s="475" t="str">
        <f t="shared" ref="AF932:AF937" si="146">"title("&amp;C932&amp;")
body(hotyellow_3(任务进程:)newline()
   狩猎goto(10088,6)，去找goto(60099,6)。
blankline()hotyellow_3(任务描述:)newline() 
space()space()space()player()，我这里有一份有关消灭剑阁食尸者的委托单，如果你有兴趣的话，就由你来完成吧！)"</f>
        <v>title([50级]狩猎食尸者)
body(hotyellow_3(任务进程:)newline()
   狩猎goto(10088,6)，去找goto(60099,6)。
blankline()hotyellow_3(任务描述:)newline() 
space()space()space()player()，我这里有一份有关消灭剑阁食尸者的委托单，如果你有兴趣的话，就由你来完成吧！)</v>
      </c>
      <c r="AG932" s="437" t="s">
        <v>3989</v>
      </c>
      <c r="AH932" s="475" t="s">
        <v>291</v>
      </c>
      <c r="AI932" s="475" t="s">
        <v>292</v>
      </c>
      <c r="AJ932" s="475" t="s">
        <v>6405</v>
      </c>
      <c r="AK932" s="475"/>
      <c r="AL932" s="480">
        <v>0</v>
      </c>
      <c r="AM932" s="443" t="str">
        <f t="shared" si="144"/>
        <v>&lt;p&gt;
&lt;n&gt;  狩猎：&lt;/n&gt;
 &lt;n&gt; &lt;/n&gt;&lt;goto id="10088" mapid="6" flagpoint="1" taskid="12311" quick="1"/&gt;
&lt;/p&gt;</v>
      </c>
      <c r="AN932" s="443" t="str">
        <f t="shared" si="141"/>
        <v>&lt;p&gt;
&lt;n&gt;  交：&lt;/n&gt;
 &lt;n&gt; &lt;/n&gt;&lt;goto id="60099" mapid="6" flagpoint="1" taskid="12311" quick="1"/&gt;&lt;/p&gt;</v>
      </c>
      <c r="AO932" s="475"/>
      <c r="AP932" s="475">
        <v>1</v>
      </c>
      <c r="AQ932" s="475">
        <v>0</v>
      </c>
      <c r="AR932" s="26">
        <v>0</v>
      </c>
      <c r="AS932" s="475">
        <v>0</v>
      </c>
      <c r="AT932" s="475">
        <v>1</v>
      </c>
      <c r="AU932" s="26">
        <v>0</v>
      </c>
      <c r="AV932" s="17">
        <f t="shared" si="135"/>
        <v>0</v>
      </c>
      <c r="AW932" s="475" t="str">
        <f t="shared" si="142"/>
        <v>{s_taskKillNpc, {60099,60099,10088,65}}</v>
      </c>
      <c r="AX932" s="475"/>
    </row>
    <row r="933" spans="1:51" s="484" customFormat="1" ht="84.75" thickBot="1" x14ac:dyDescent="0.2">
      <c r="A933" s="482">
        <v>12312</v>
      </c>
      <c r="B933" s="275"/>
      <c r="C933" s="275" t="s">
        <v>2557</v>
      </c>
      <c r="D933" s="275">
        <v>2</v>
      </c>
      <c r="E933" s="275">
        <v>0</v>
      </c>
      <c r="F933" s="275">
        <v>6</v>
      </c>
      <c r="G933" s="120">
        <v>200</v>
      </c>
      <c r="H933" s="275">
        <v>200</v>
      </c>
      <c r="I933" s="17">
        <v>0</v>
      </c>
      <c r="J933" s="476">
        <v>0</v>
      </c>
      <c r="K933" s="275">
        <v>0</v>
      </c>
      <c r="L933" s="275">
        <v>60099</v>
      </c>
      <c r="M933" s="275" t="s">
        <v>673</v>
      </c>
      <c r="N933" s="275">
        <v>60099</v>
      </c>
      <c r="O933" s="275" t="s">
        <v>673</v>
      </c>
      <c r="P933" s="275"/>
      <c r="Q933" s="43"/>
      <c r="R933" s="43"/>
      <c r="S933" s="43">
        <v>10088</v>
      </c>
      <c r="T933" s="43"/>
      <c r="U933" s="275">
        <v>65</v>
      </c>
      <c r="V933" s="275">
        <v>0</v>
      </c>
      <c r="W933" s="275">
        <v>0</v>
      </c>
      <c r="X933" s="275"/>
      <c r="Y933" s="275"/>
      <c r="Z933" s="478">
        <f>ROUND(AY933*(30+G933^1.5)*AX933,0)</f>
        <v>125771</v>
      </c>
      <c r="AA933" s="275"/>
      <c r="AB933" s="45"/>
      <c r="AC933" s="45"/>
      <c r="AD933" s="275"/>
      <c r="AE933" s="275"/>
      <c r="AF933" s="275" t="str">
        <f t="shared" si="146"/>
        <v>title([50级]狩猎食尸者[白])
body(hotyellow_3(任务进程:)newline()
   狩猎goto(10088,6)，去找goto(60099,6)。
blankline()hotyellow_3(任务描述:)newline() 
space()space()space()player()，我这里有一份有关消灭剑阁食尸者的委托单，如果你有兴趣的话，就由你来完成吧！)</v>
      </c>
      <c r="AG933" s="443" t="s">
        <v>3990</v>
      </c>
      <c r="AH933" s="275" t="s">
        <v>291</v>
      </c>
      <c r="AI933" s="275" t="s">
        <v>292</v>
      </c>
      <c r="AJ933" s="275" t="s">
        <v>6405</v>
      </c>
      <c r="AK933" s="275"/>
      <c r="AL933" s="483">
        <v>0</v>
      </c>
      <c r="AM933" s="443" t="str">
        <f t="shared" si="144"/>
        <v>&lt;p&gt;
&lt;n&gt;  狩猎：&lt;/n&gt;
 &lt;n&gt; &lt;/n&gt;&lt;goto id="10088" mapid="6" flagpoint="1" taskid="12312" quick="1"/&gt;
&lt;/p&gt;</v>
      </c>
      <c r="AN933" s="443" t="str">
        <f t="shared" si="141"/>
        <v>&lt;p&gt;
&lt;n&gt;  交：&lt;/n&gt;
 &lt;n&gt; &lt;/n&gt;&lt;goto id="60099" mapid="6" flagpoint="1" taskid="12312" quick="1"/&gt;&lt;/p&gt;</v>
      </c>
      <c r="AO933" s="275"/>
      <c r="AP933" s="275">
        <v>0</v>
      </c>
      <c r="AQ933" s="275">
        <v>1</v>
      </c>
      <c r="AR933" s="26">
        <v>0</v>
      </c>
      <c r="AS933" s="275">
        <v>0</v>
      </c>
      <c r="AT933" s="275">
        <v>1</v>
      </c>
      <c r="AU933" s="26">
        <v>0</v>
      </c>
      <c r="AV933" s="17">
        <f t="shared" si="135"/>
        <v>0</v>
      </c>
      <c r="AW933" s="275" t="str">
        <f t="shared" si="142"/>
        <v>{s_taskKillNpc, {60099,60099,10088,65}}</v>
      </c>
      <c r="AX933" s="475">
        <v>1</v>
      </c>
      <c r="AY933" s="484">
        <v>44</v>
      </c>
    </row>
    <row r="934" spans="1:51" s="484" customFormat="1" ht="84.75" thickBot="1" x14ac:dyDescent="0.2">
      <c r="A934" s="482">
        <v>12313</v>
      </c>
      <c r="B934" s="275"/>
      <c r="C934" s="275" t="s">
        <v>2582</v>
      </c>
      <c r="D934" s="275">
        <v>2</v>
      </c>
      <c r="E934" s="275">
        <v>0</v>
      </c>
      <c r="F934" s="275">
        <v>6</v>
      </c>
      <c r="G934" s="120">
        <v>200</v>
      </c>
      <c r="H934" s="275">
        <v>200</v>
      </c>
      <c r="I934" s="17">
        <v>0</v>
      </c>
      <c r="J934" s="476">
        <v>0</v>
      </c>
      <c r="K934" s="275">
        <v>0</v>
      </c>
      <c r="L934" s="275">
        <v>60099</v>
      </c>
      <c r="M934" s="275" t="s">
        <v>673</v>
      </c>
      <c r="N934" s="275">
        <v>60099</v>
      </c>
      <c r="O934" s="275" t="s">
        <v>673</v>
      </c>
      <c r="P934" s="275"/>
      <c r="Q934" s="43"/>
      <c r="R934" s="43"/>
      <c r="S934" s="43">
        <v>10088</v>
      </c>
      <c r="T934" s="43"/>
      <c r="U934" s="275">
        <v>65</v>
      </c>
      <c r="V934" s="275">
        <v>0</v>
      </c>
      <c r="W934" s="275">
        <v>0</v>
      </c>
      <c r="X934" s="275"/>
      <c r="Y934" s="275"/>
      <c r="Z934" s="478">
        <f>ROUND(AY934*(30+G934^1.5)*AX934,0)</f>
        <v>163502</v>
      </c>
      <c r="AA934" s="275"/>
      <c r="AB934" s="45"/>
      <c r="AC934" s="45"/>
      <c r="AD934" s="275"/>
      <c r="AE934" s="275"/>
      <c r="AF934" s="275" t="str">
        <f t="shared" si="146"/>
        <v>title([50级]狩猎食尸者[蓝])
body(hotyellow_3(任务进程:)newline()
   狩猎goto(10088,6)，去找goto(60099,6)。
blankline()hotyellow_3(任务描述:)newline() 
space()space()space()player()，我这里有一份有关消灭剑阁食尸者的委托单，如果你有兴趣的话，就由你来完成吧！)</v>
      </c>
      <c r="AG934" s="443" t="s">
        <v>3991</v>
      </c>
      <c r="AH934" s="275" t="s">
        <v>291</v>
      </c>
      <c r="AI934" s="275" t="s">
        <v>292</v>
      </c>
      <c r="AJ934" s="275" t="s">
        <v>6405</v>
      </c>
      <c r="AK934" s="275"/>
      <c r="AL934" s="483">
        <v>0</v>
      </c>
      <c r="AM934" s="443" t="str">
        <f t="shared" si="144"/>
        <v>&lt;p&gt;
&lt;n&gt;  狩猎：&lt;/n&gt;
 &lt;n&gt; &lt;/n&gt;&lt;goto id="10088" mapid="6" flagpoint="1" taskid="12313" quick="1"/&gt;
&lt;/p&gt;</v>
      </c>
      <c r="AN934" s="443" t="str">
        <f t="shared" si="141"/>
        <v>&lt;p&gt;
&lt;n&gt;  交：&lt;/n&gt;
 &lt;n&gt; &lt;/n&gt;&lt;goto id="60099" mapid="6" flagpoint="1" taskid="12313" quick="1"/&gt;&lt;/p&gt;</v>
      </c>
      <c r="AO934" s="275"/>
      <c r="AP934" s="275">
        <v>0</v>
      </c>
      <c r="AQ934" s="275">
        <v>1</v>
      </c>
      <c r="AR934" s="26">
        <v>0</v>
      </c>
      <c r="AS934" s="275">
        <v>0</v>
      </c>
      <c r="AT934" s="275">
        <v>1</v>
      </c>
      <c r="AU934" s="26">
        <v>0</v>
      </c>
      <c r="AV934" s="17">
        <f t="shared" si="135"/>
        <v>0</v>
      </c>
      <c r="AW934" s="275" t="str">
        <f t="shared" si="142"/>
        <v>{s_taskKillNpc, {60099,60099,10088,65}}</v>
      </c>
      <c r="AX934" s="475">
        <v>1.3</v>
      </c>
      <c r="AY934" s="484">
        <v>44</v>
      </c>
    </row>
    <row r="935" spans="1:51" s="484" customFormat="1" ht="84.75" thickBot="1" x14ac:dyDescent="0.2">
      <c r="A935" s="482">
        <v>12314</v>
      </c>
      <c r="B935" s="275"/>
      <c r="C935" s="275" t="s">
        <v>2607</v>
      </c>
      <c r="D935" s="275">
        <v>2</v>
      </c>
      <c r="E935" s="275">
        <v>0</v>
      </c>
      <c r="F935" s="275">
        <v>6</v>
      </c>
      <c r="G935" s="120">
        <v>200</v>
      </c>
      <c r="H935" s="275">
        <v>200</v>
      </c>
      <c r="I935" s="17">
        <v>0</v>
      </c>
      <c r="J935" s="476">
        <v>0</v>
      </c>
      <c r="K935" s="275">
        <v>0</v>
      </c>
      <c r="L935" s="275">
        <v>60099</v>
      </c>
      <c r="M935" s="275" t="s">
        <v>673</v>
      </c>
      <c r="N935" s="275">
        <v>60099</v>
      </c>
      <c r="O935" s="275" t="s">
        <v>673</v>
      </c>
      <c r="P935" s="275"/>
      <c r="Q935" s="43"/>
      <c r="R935" s="43"/>
      <c r="S935" s="43">
        <v>10088</v>
      </c>
      <c r="T935" s="43"/>
      <c r="U935" s="275">
        <v>65</v>
      </c>
      <c r="V935" s="275">
        <v>0</v>
      </c>
      <c r="W935" s="275">
        <v>0</v>
      </c>
      <c r="X935" s="275"/>
      <c r="Y935" s="275"/>
      <c r="Z935" s="478">
        <f>ROUND(AY935*(30+G935^1.5)*AX935,0)</f>
        <v>201233</v>
      </c>
      <c r="AA935" s="275"/>
      <c r="AB935" s="45"/>
      <c r="AC935" s="45"/>
      <c r="AD935" s="275"/>
      <c r="AE935" s="275"/>
      <c r="AF935" s="275" t="str">
        <f t="shared" si="146"/>
        <v>title([50级]狩猎食尸者[黄])
body(hotyellow_3(任务进程:)newline()
   狩猎goto(10088,6)，去找goto(60099,6)。
blankline()hotyellow_3(任务描述:)newline() 
space()space()space()player()，我这里有一份有关消灭剑阁食尸者的委托单，如果你有兴趣的话，就由你来完成吧！)</v>
      </c>
      <c r="AG935" s="443" t="s">
        <v>3992</v>
      </c>
      <c r="AH935" s="275" t="s">
        <v>291</v>
      </c>
      <c r="AI935" s="275" t="s">
        <v>292</v>
      </c>
      <c r="AJ935" s="275" t="s">
        <v>6405</v>
      </c>
      <c r="AK935" s="275"/>
      <c r="AL935" s="483">
        <v>0</v>
      </c>
      <c r="AM935" s="443" t="str">
        <f t="shared" si="144"/>
        <v>&lt;p&gt;
&lt;n&gt;  狩猎：&lt;/n&gt;
 &lt;n&gt; &lt;/n&gt;&lt;goto id="10088" mapid="6" flagpoint="1" taskid="12314" quick="1"/&gt;
&lt;/p&gt;</v>
      </c>
      <c r="AN935" s="443" t="str">
        <f t="shared" si="141"/>
        <v>&lt;p&gt;
&lt;n&gt;  交：&lt;/n&gt;
 &lt;n&gt; &lt;/n&gt;&lt;goto id="60099" mapid="6" flagpoint="1" taskid="12314" quick="1"/&gt;&lt;/p&gt;</v>
      </c>
      <c r="AO935" s="275"/>
      <c r="AP935" s="275">
        <v>0</v>
      </c>
      <c r="AQ935" s="275">
        <v>1</v>
      </c>
      <c r="AR935" s="26">
        <v>0</v>
      </c>
      <c r="AS935" s="275">
        <v>0</v>
      </c>
      <c r="AT935" s="275">
        <v>1</v>
      </c>
      <c r="AU935" s="26">
        <v>0</v>
      </c>
      <c r="AV935" s="17">
        <f t="shared" si="135"/>
        <v>0</v>
      </c>
      <c r="AW935" s="275" t="str">
        <f t="shared" si="142"/>
        <v>{s_taskKillNpc, {60099,60099,10088,65}}</v>
      </c>
      <c r="AX935" s="475">
        <v>1.6</v>
      </c>
      <c r="AY935" s="484">
        <v>44</v>
      </c>
    </row>
    <row r="936" spans="1:51" s="484" customFormat="1" ht="84.75" thickBot="1" x14ac:dyDescent="0.2">
      <c r="A936" s="482">
        <v>12315</v>
      </c>
      <c r="B936" s="275"/>
      <c r="C936" s="275" t="s">
        <v>2632</v>
      </c>
      <c r="D936" s="275">
        <v>2</v>
      </c>
      <c r="E936" s="275">
        <v>0</v>
      </c>
      <c r="F936" s="275">
        <v>6</v>
      </c>
      <c r="G936" s="120">
        <v>200</v>
      </c>
      <c r="H936" s="275">
        <v>200</v>
      </c>
      <c r="I936" s="17">
        <v>0</v>
      </c>
      <c r="J936" s="476">
        <v>0</v>
      </c>
      <c r="K936" s="275">
        <v>0</v>
      </c>
      <c r="L936" s="275">
        <v>60099</v>
      </c>
      <c r="M936" s="275" t="s">
        <v>673</v>
      </c>
      <c r="N936" s="275">
        <v>60099</v>
      </c>
      <c r="O936" s="275" t="s">
        <v>673</v>
      </c>
      <c r="P936" s="275"/>
      <c r="Q936" s="43"/>
      <c r="R936" s="43"/>
      <c r="S936" s="43">
        <v>10088</v>
      </c>
      <c r="T936" s="43"/>
      <c r="U936" s="275">
        <v>65</v>
      </c>
      <c r="V936" s="275">
        <v>0</v>
      </c>
      <c r="W936" s="275">
        <v>0</v>
      </c>
      <c r="X936" s="275"/>
      <c r="Y936" s="275"/>
      <c r="Z936" s="478">
        <f>ROUND(AY936*(30+G936^1.5)*AX936,0)</f>
        <v>276696</v>
      </c>
      <c r="AA936" s="275"/>
      <c r="AB936" s="45"/>
      <c r="AC936" s="45"/>
      <c r="AD936" s="275"/>
      <c r="AE936" s="275"/>
      <c r="AF936" s="275" t="str">
        <f t="shared" si="146"/>
        <v>title([50级]狩猎食尸者[绿])
body(hotyellow_3(任务进程:)newline()
   狩猎goto(10088,6)，去找goto(60099,6)。
blankline()hotyellow_3(任务描述:)newline() 
space()space()space()player()，我这里有一份有关消灭剑阁食尸者的委托单，如果你有兴趣的话，就由你来完成吧！)</v>
      </c>
      <c r="AG936" s="443" t="s">
        <v>3993</v>
      </c>
      <c r="AH936" s="275" t="s">
        <v>291</v>
      </c>
      <c r="AI936" s="275" t="s">
        <v>292</v>
      </c>
      <c r="AJ936" s="275" t="s">
        <v>6405</v>
      </c>
      <c r="AK936" s="275"/>
      <c r="AL936" s="483">
        <v>0</v>
      </c>
      <c r="AM936" s="443" t="str">
        <f t="shared" si="144"/>
        <v>&lt;p&gt;
&lt;n&gt;  狩猎：&lt;/n&gt;
 &lt;n&gt; &lt;/n&gt;&lt;goto id="10088" mapid="6" flagpoint="1" taskid="12315" quick="1"/&gt;
&lt;/p&gt;</v>
      </c>
      <c r="AN936" s="443" t="str">
        <f t="shared" si="141"/>
        <v>&lt;p&gt;
&lt;n&gt;  交：&lt;/n&gt;
 &lt;n&gt; &lt;/n&gt;&lt;goto id="60099" mapid="6" flagpoint="1" taskid="12315" quick="1"/&gt;&lt;/p&gt;</v>
      </c>
      <c r="AO936" s="275"/>
      <c r="AP936" s="275">
        <v>0</v>
      </c>
      <c r="AQ936" s="275">
        <v>1</v>
      </c>
      <c r="AR936" s="26">
        <v>0</v>
      </c>
      <c r="AS936" s="275">
        <v>0</v>
      </c>
      <c r="AT936" s="275">
        <v>1</v>
      </c>
      <c r="AU936" s="26">
        <v>0</v>
      </c>
      <c r="AV936" s="17">
        <f t="shared" si="135"/>
        <v>0</v>
      </c>
      <c r="AW936" s="275" t="str">
        <f t="shared" si="142"/>
        <v>{s_taskKillNpc, {60099,60099,10088,65}}</v>
      </c>
      <c r="AX936" s="475">
        <v>2.2000000000000002</v>
      </c>
      <c r="AY936" s="484">
        <v>44</v>
      </c>
    </row>
    <row r="937" spans="1:51" s="489" customFormat="1" ht="84.75" thickBot="1" x14ac:dyDescent="0.2">
      <c r="A937" s="486">
        <v>12316</v>
      </c>
      <c r="B937" s="485"/>
      <c r="C937" s="485" t="s">
        <v>2657</v>
      </c>
      <c r="D937" s="485">
        <v>2</v>
      </c>
      <c r="E937" s="485">
        <v>0</v>
      </c>
      <c r="F937" s="485">
        <v>6</v>
      </c>
      <c r="G937" s="120">
        <v>200</v>
      </c>
      <c r="H937" s="485">
        <v>200</v>
      </c>
      <c r="I937" s="17">
        <v>0</v>
      </c>
      <c r="J937" s="476">
        <v>0</v>
      </c>
      <c r="K937" s="485">
        <v>0</v>
      </c>
      <c r="L937" s="275">
        <v>60099</v>
      </c>
      <c r="M937" s="275" t="s">
        <v>673</v>
      </c>
      <c r="N937" s="275">
        <v>60099</v>
      </c>
      <c r="O937" s="275" t="s">
        <v>673</v>
      </c>
      <c r="P937" s="485"/>
      <c r="Q937" s="487"/>
      <c r="R937" s="487"/>
      <c r="S937" s="487">
        <v>10088</v>
      </c>
      <c r="T937" s="487"/>
      <c r="U937" s="485">
        <v>65</v>
      </c>
      <c r="V937" s="485">
        <v>0</v>
      </c>
      <c r="W937" s="485">
        <v>0</v>
      </c>
      <c r="X937" s="485"/>
      <c r="Y937" s="485"/>
      <c r="Z937" s="478">
        <f>ROUND(AY937*(30+G937^1.5)*AX937,0)</f>
        <v>377312</v>
      </c>
      <c r="AA937" s="485"/>
      <c r="AB937" s="488"/>
      <c r="AC937" s="488"/>
      <c r="AD937" s="485"/>
      <c r="AE937" s="485"/>
      <c r="AF937" s="485" t="str">
        <f t="shared" si="146"/>
        <v>title([50级]狩猎食尸者[紫])
body(hotyellow_3(任务进程:)newline()
   狩猎goto(10088,6)，去找goto(60099,6)。
blankline()hotyellow_3(任务描述:)newline() 
space()space()space()player()，我这里有一份有关消灭剑阁食尸者的委托单，如果你有兴趣的话，就由你来完成吧！)</v>
      </c>
      <c r="AG937" s="452" t="s">
        <v>3994</v>
      </c>
      <c r="AH937" s="485" t="s">
        <v>291</v>
      </c>
      <c r="AI937" s="485" t="s">
        <v>292</v>
      </c>
      <c r="AJ937" s="485" t="s">
        <v>6405</v>
      </c>
      <c r="AK937" s="485"/>
      <c r="AL937" s="476">
        <v>0</v>
      </c>
      <c r="AM937" s="443" t="str">
        <f t="shared" si="144"/>
        <v>&lt;p&gt;
&lt;n&gt;  狩猎：&lt;/n&gt;
 &lt;n&gt; &lt;/n&gt;&lt;goto id="10088" mapid="6" flagpoint="1" taskid="12316" quick="1"/&gt;
&lt;/p&gt;</v>
      </c>
      <c r="AN937" s="443" t="str">
        <f t="shared" si="141"/>
        <v>&lt;p&gt;
&lt;n&gt;  交：&lt;/n&gt;
 &lt;n&gt; &lt;/n&gt;&lt;goto id="60099" mapid="6" flagpoint="1" taskid="12316" quick="1"/&gt;&lt;/p&gt;</v>
      </c>
      <c r="AO937" s="485"/>
      <c r="AP937" s="485">
        <v>0</v>
      </c>
      <c r="AQ937" s="275">
        <v>1</v>
      </c>
      <c r="AR937" s="26">
        <v>0</v>
      </c>
      <c r="AS937" s="485">
        <v>0</v>
      </c>
      <c r="AT937" s="485">
        <v>1</v>
      </c>
      <c r="AU937" s="26">
        <v>0</v>
      </c>
      <c r="AV937" s="17">
        <f t="shared" si="135"/>
        <v>0</v>
      </c>
      <c r="AW937" s="485" t="str">
        <f t="shared" si="142"/>
        <v>{s_taskKillNpc, {60099,60099,10088,65}}</v>
      </c>
      <c r="AX937" s="475">
        <v>3</v>
      </c>
      <c r="AY937" s="484">
        <v>44</v>
      </c>
    </row>
    <row r="938" spans="1:51" s="481" customFormat="1" ht="84.75" thickBot="1" x14ac:dyDescent="0.2">
      <c r="A938" s="474">
        <v>12321</v>
      </c>
      <c r="B938" s="475"/>
      <c r="C938" s="475" t="s">
        <v>2237</v>
      </c>
      <c r="D938" s="475">
        <v>2</v>
      </c>
      <c r="E938" s="475">
        <v>0</v>
      </c>
      <c r="F938" s="475">
        <v>6</v>
      </c>
      <c r="G938" s="120">
        <v>200</v>
      </c>
      <c r="H938" s="475">
        <v>200</v>
      </c>
      <c r="I938" s="17">
        <v>0</v>
      </c>
      <c r="J938" s="476">
        <v>0</v>
      </c>
      <c r="K938" s="475">
        <v>0</v>
      </c>
      <c r="L938" s="275">
        <v>60099</v>
      </c>
      <c r="M938" s="275" t="s">
        <v>673</v>
      </c>
      <c r="N938" s="275">
        <v>60099</v>
      </c>
      <c r="O938" s="275" t="s">
        <v>673</v>
      </c>
      <c r="P938" s="475"/>
      <c r="Q938" s="477"/>
      <c r="R938" s="477"/>
      <c r="S938" s="477">
        <v>10126</v>
      </c>
      <c r="T938" s="477"/>
      <c r="U938" s="475">
        <v>75</v>
      </c>
      <c r="V938" s="475">
        <v>0</v>
      </c>
      <c r="W938" s="475">
        <v>0</v>
      </c>
      <c r="X938" s="475"/>
      <c r="Y938" s="475"/>
      <c r="Z938" s="478"/>
      <c r="AA938" s="475"/>
      <c r="AB938" s="479"/>
      <c r="AC938" s="479"/>
      <c r="AD938" s="475"/>
      <c r="AE938" s="475"/>
      <c r="AF938" s="475" t="str">
        <f t="shared" ref="AF938:AF943" si="147">"title("&amp;C938&amp;")
body(hotyellow_3(任务进程:)newline()
   狩猎goto(10126,6)，去找goto(60099,6)。
blankline()hotyellow_3(任务描述:)newline() 
space()space()space()player()，我这里有一份有关消灭剑阁剧毒虫王的委托单，如果你有兴趣的话，就由你来完成吧！)"</f>
        <v>title([51级]狩猎剧毒虫王)
body(hotyellow_3(任务进程:)newline()
   狩猎goto(10126,6)，去找goto(60099,6)。
blankline()hotyellow_3(任务描述:)newline() 
space()space()space()player()，我这里有一份有关消灭剑阁剧毒虫王的委托单，如果你有兴趣的话，就由你来完成吧！)</v>
      </c>
      <c r="AG938" s="437" t="s">
        <v>3989</v>
      </c>
      <c r="AH938" s="475" t="s">
        <v>291</v>
      </c>
      <c r="AI938" s="475" t="s">
        <v>292</v>
      </c>
      <c r="AJ938" s="475" t="s">
        <v>6406</v>
      </c>
      <c r="AK938" s="475"/>
      <c r="AL938" s="480">
        <v>0</v>
      </c>
      <c r="AM938" s="443" t="str">
        <f t="shared" si="144"/>
        <v>&lt;p&gt;
&lt;n&gt;  狩猎：&lt;/n&gt;
 &lt;n&gt; &lt;/n&gt;&lt;goto id="10126" mapid="6" flagpoint="1" taskid="12321" quick="1"/&gt;
&lt;/p&gt;</v>
      </c>
      <c r="AN938" s="443" t="str">
        <f t="shared" si="141"/>
        <v>&lt;p&gt;
&lt;n&gt;  交：&lt;/n&gt;
 &lt;n&gt; &lt;/n&gt;&lt;goto id="60099" mapid="6" flagpoint="1" taskid="12321" quick="1"/&gt;&lt;/p&gt;</v>
      </c>
      <c r="AO938" s="475"/>
      <c r="AP938" s="475">
        <v>1</v>
      </c>
      <c r="AQ938" s="475">
        <v>0</v>
      </c>
      <c r="AR938" s="26">
        <v>0</v>
      </c>
      <c r="AS938" s="475">
        <v>0</v>
      </c>
      <c r="AT938" s="475">
        <v>1</v>
      </c>
      <c r="AU938" s="26">
        <v>0</v>
      </c>
      <c r="AV938" s="17">
        <f t="shared" si="135"/>
        <v>0</v>
      </c>
      <c r="AW938" s="475" t="str">
        <f t="shared" si="142"/>
        <v>{s_taskKillNpc, {60099,60099,10126,75}}</v>
      </c>
      <c r="AX938" s="475"/>
    </row>
    <row r="939" spans="1:51" s="484" customFormat="1" ht="84.75" thickBot="1" x14ac:dyDescent="0.2">
      <c r="A939" s="482">
        <v>12322</v>
      </c>
      <c r="B939" s="275"/>
      <c r="C939" s="275" t="s">
        <v>2558</v>
      </c>
      <c r="D939" s="275">
        <v>2</v>
      </c>
      <c r="E939" s="275">
        <v>0</v>
      </c>
      <c r="F939" s="275">
        <v>6</v>
      </c>
      <c r="G939" s="120">
        <v>200</v>
      </c>
      <c r="H939" s="275">
        <v>200</v>
      </c>
      <c r="I939" s="17">
        <v>0</v>
      </c>
      <c r="J939" s="476">
        <v>0</v>
      </c>
      <c r="K939" s="275">
        <v>0</v>
      </c>
      <c r="L939" s="275">
        <v>60099</v>
      </c>
      <c r="M939" s="275" t="s">
        <v>673</v>
      </c>
      <c r="N939" s="275">
        <v>60099</v>
      </c>
      <c r="O939" s="275" t="s">
        <v>673</v>
      </c>
      <c r="P939" s="275"/>
      <c r="Q939" s="43"/>
      <c r="R939" s="43"/>
      <c r="S939" s="43">
        <v>10126</v>
      </c>
      <c r="T939" s="43"/>
      <c r="U939" s="275">
        <v>75</v>
      </c>
      <c r="V939" s="275">
        <v>0</v>
      </c>
      <c r="W939" s="275">
        <v>0</v>
      </c>
      <c r="X939" s="275"/>
      <c r="Y939" s="275"/>
      <c r="Z939" s="478">
        <f>ROUND(AY939*(30+G939^1.5)*AX939,0)</f>
        <v>142921</v>
      </c>
      <c r="AA939" s="275"/>
      <c r="AB939" s="45"/>
      <c r="AC939" s="45"/>
      <c r="AD939" s="275"/>
      <c r="AE939" s="275"/>
      <c r="AF939" s="275" t="str">
        <f t="shared" si="147"/>
        <v>title([51级]狩猎剧毒虫王[白])
body(hotyellow_3(任务进程:)newline()
   狩猎goto(10126,6)，去找goto(60099,6)。
blankline()hotyellow_3(任务描述:)newline() 
space()space()space()player()，我这里有一份有关消灭剑阁剧毒虫王的委托单，如果你有兴趣的话，就由你来完成吧！)</v>
      </c>
      <c r="AG939" s="443" t="s">
        <v>3990</v>
      </c>
      <c r="AH939" s="275" t="s">
        <v>291</v>
      </c>
      <c r="AI939" s="275" t="s">
        <v>292</v>
      </c>
      <c r="AJ939" s="275" t="s">
        <v>6406</v>
      </c>
      <c r="AK939" s="275"/>
      <c r="AL939" s="483">
        <v>0</v>
      </c>
      <c r="AM939" s="443" t="str">
        <f t="shared" si="144"/>
        <v>&lt;p&gt;
&lt;n&gt;  狩猎：&lt;/n&gt;
 &lt;n&gt; &lt;/n&gt;&lt;goto id="10126" mapid="6" flagpoint="1" taskid="12322" quick="1"/&gt;
&lt;/p&gt;</v>
      </c>
      <c r="AN939" s="443" t="str">
        <f t="shared" si="141"/>
        <v>&lt;p&gt;
&lt;n&gt;  交：&lt;/n&gt;
 &lt;n&gt; &lt;/n&gt;&lt;goto id="60099" mapid="6" flagpoint="1" taskid="12322" quick="1"/&gt;&lt;/p&gt;</v>
      </c>
      <c r="AO939" s="275"/>
      <c r="AP939" s="275">
        <v>0</v>
      </c>
      <c r="AQ939" s="275">
        <v>1</v>
      </c>
      <c r="AR939" s="26">
        <v>0</v>
      </c>
      <c r="AS939" s="275">
        <v>0</v>
      </c>
      <c r="AT939" s="275">
        <v>1</v>
      </c>
      <c r="AU939" s="26">
        <v>0</v>
      </c>
      <c r="AV939" s="17">
        <f t="shared" si="135"/>
        <v>0</v>
      </c>
      <c r="AW939" s="275" t="str">
        <f t="shared" si="142"/>
        <v>{s_taskKillNpc, {60099,60099,10126,75}}</v>
      </c>
      <c r="AX939" s="475">
        <v>1</v>
      </c>
      <c r="AY939" s="484">
        <v>50</v>
      </c>
    </row>
    <row r="940" spans="1:51" s="484" customFormat="1" ht="84.75" thickBot="1" x14ac:dyDescent="0.2">
      <c r="A940" s="482">
        <v>12323</v>
      </c>
      <c r="B940" s="275"/>
      <c r="C940" s="275" t="s">
        <v>2583</v>
      </c>
      <c r="D940" s="275">
        <v>2</v>
      </c>
      <c r="E940" s="275">
        <v>0</v>
      </c>
      <c r="F940" s="275">
        <v>6</v>
      </c>
      <c r="G940" s="120">
        <v>200</v>
      </c>
      <c r="H940" s="275">
        <v>200</v>
      </c>
      <c r="I940" s="17">
        <v>0</v>
      </c>
      <c r="J940" s="476">
        <v>0</v>
      </c>
      <c r="K940" s="275">
        <v>0</v>
      </c>
      <c r="L940" s="275">
        <v>60099</v>
      </c>
      <c r="M940" s="275" t="s">
        <v>673</v>
      </c>
      <c r="N940" s="275">
        <v>60099</v>
      </c>
      <c r="O940" s="275" t="s">
        <v>673</v>
      </c>
      <c r="P940" s="275"/>
      <c r="Q940" s="43"/>
      <c r="R940" s="43"/>
      <c r="S940" s="43">
        <v>10126</v>
      </c>
      <c r="T940" s="43"/>
      <c r="U940" s="275">
        <v>75</v>
      </c>
      <c r="V940" s="275">
        <v>0</v>
      </c>
      <c r="W940" s="275">
        <v>0</v>
      </c>
      <c r="X940" s="275"/>
      <c r="Y940" s="275"/>
      <c r="Z940" s="478">
        <f>ROUND(AY940*(30+G940^1.5)*AX940,0)</f>
        <v>185798</v>
      </c>
      <c r="AA940" s="275"/>
      <c r="AB940" s="45"/>
      <c r="AC940" s="45"/>
      <c r="AD940" s="275"/>
      <c r="AE940" s="275"/>
      <c r="AF940" s="275" t="str">
        <f t="shared" si="147"/>
        <v>title([51级]狩猎剧毒虫王[蓝])
body(hotyellow_3(任务进程:)newline()
   狩猎goto(10126,6)，去找goto(60099,6)。
blankline()hotyellow_3(任务描述:)newline() 
space()space()space()player()，我这里有一份有关消灭剑阁剧毒虫王的委托单，如果你有兴趣的话，就由你来完成吧！)</v>
      </c>
      <c r="AG940" s="443" t="s">
        <v>3991</v>
      </c>
      <c r="AH940" s="275" t="s">
        <v>291</v>
      </c>
      <c r="AI940" s="275" t="s">
        <v>292</v>
      </c>
      <c r="AJ940" s="275" t="s">
        <v>6406</v>
      </c>
      <c r="AK940" s="275"/>
      <c r="AL940" s="483">
        <v>0</v>
      </c>
      <c r="AM940" s="443" t="str">
        <f t="shared" si="144"/>
        <v>&lt;p&gt;
&lt;n&gt;  狩猎：&lt;/n&gt;
 &lt;n&gt; &lt;/n&gt;&lt;goto id="10126" mapid="6" flagpoint="1" taskid="12323" quick="1"/&gt;
&lt;/p&gt;</v>
      </c>
      <c r="AN940" s="443" t="str">
        <f t="shared" si="141"/>
        <v>&lt;p&gt;
&lt;n&gt;  交：&lt;/n&gt;
 &lt;n&gt; &lt;/n&gt;&lt;goto id="60099" mapid="6" flagpoint="1" taskid="12323" quick="1"/&gt;&lt;/p&gt;</v>
      </c>
      <c r="AO940" s="275"/>
      <c r="AP940" s="275">
        <v>0</v>
      </c>
      <c r="AQ940" s="275">
        <v>1</v>
      </c>
      <c r="AR940" s="26">
        <v>0</v>
      </c>
      <c r="AS940" s="275">
        <v>0</v>
      </c>
      <c r="AT940" s="275">
        <v>1</v>
      </c>
      <c r="AU940" s="26">
        <v>0</v>
      </c>
      <c r="AV940" s="17">
        <f t="shared" si="135"/>
        <v>0</v>
      </c>
      <c r="AW940" s="275" t="str">
        <f t="shared" si="142"/>
        <v>{s_taskKillNpc, {60099,60099,10126,75}}</v>
      </c>
      <c r="AX940" s="475">
        <v>1.3</v>
      </c>
      <c r="AY940" s="484">
        <v>50</v>
      </c>
    </row>
    <row r="941" spans="1:51" s="484" customFormat="1" ht="84.75" thickBot="1" x14ac:dyDescent="0.2">
      <c r="A941" s="482">
        <v>12324</v>
      </c>
      <c r="B941" s="275"/>
      <c r="C941" s="275" t="s">
        <v>2608</v>
      </c>
      <c r="D941" s="275">
        <v>2</v>
      </c>
      <c r="E941" s="275">
        <v>0</v>
      </c>
      <c r="F941" s="275">
        <v>6</v>
      </c>
      <c r="G941" s="120">
        <v>200</v>
      </c>
      <c r="H941" s="275">
        <v>200</v>
      </c>
      <c r="I941" s="17">
        <v>0</v>
      </c>
      <c r="J941" s="476">
        <v>0</v>
      </c>
      <c r="K941" s="275">
        <v>0</v>
      </c>
      <c r="L941" s="275">
        <v>60099</v>
      </c>
      <c r="M941" s="275" t="s">
        <v>673</v>
      </c>
      <c r="N941" s="275">
        <v>60099</v>
      </c>
      <c r="O941" s="275" t="s">
        <v>673</v>
      </c>
      <c r="P941" s="275"/>
      <c r="Q941" s="43"/>
      <c r="R941" s="43"/>
      <c r="S941" s="43">
        <v>10126</v>
      </c>
      <c r="T941" s="43"/>
      <c r="U941" s="275">
        <v>75</v>
      </c>
      <c r="V941" s="275">
        <v>0</v>
      </c>
      <c r="W941" s="275">
        <v>0</v>
      </c>
      <c r="X941" s="275"/>
      <c r="Y941" s="275"/>
      <c r="Z941" s="478">
        <f>ROUND(AY941*(30+G941^1.5)*AX941,0)</f>
        <v>228674</v>
      </c>
      <c r="AA941" s="275"/>
      <c r="AB941" s="45"/>
      <c r="AC941" s="45"/>
      <c r="AD941" s="275"/>
      <c r="AE941" s="275"/>
      <c r="AF941" s="275" t="str">
        <f t="shared" si="147"/>
        <v>title([51级]狩猎剧毒虫王[黄])
body(hotyellow_3(任务进程:)newline()
   狩猎goto(10126,6)，去找goto(60099,6)。
blankline()hotyellow_3(任务描述:)newline() 
space()space()space()player()，我这里有一份有关消灭剑阁剧毒虫王的委托单，如果你有兴趣的话，就由你来完成吧！)</v>
      </c>
      <c r="AG941" s="443" t="s">
        <v>3992</v>
      </c>
      <c r="AH941" s="275" t="s">
        <v>291</v>
      </c>
      <c r="AI941" s="275" t="s">
        <v>292</v>
      </c>
      <c r="AJ941" s="275" t="s">
        <v>6406</v>
      </c>
      <c r="AK941" s="275"/>
      <c r="AL941" s="483">
        <v>0</v>
      </c>
      <c r="AM941" s="443" t="str">
        <f t="shared" si="144"/>
        <v>&lt;p&gt;
&lt;n&gt;  狩猎：&lt;/n&gt;
 &lt;n&gt; &lt;/n&gt;&lt;goto id="10126" mapid="6" flagpoint="1" taskid="12324" quick="1"/&gt;
&lt;/p&gt;</v>
      </c>
      <c r="AN941" s="443" t="str">
        <f t="shared" si="141"/>
        <v>&lt;p&gt;
&lt;n&gt;  交：&lt;/n&gt;
 &lt;n&gt; &lt;/n&gt;&lt;goto id="60099" mapid="6" flagpoint="1" taskid="12324" quick="1"/&gt;&lt;/p&gt;</v>
      </c>
      <c r="AO941" s="275"/>
      <c r="AP941" s="275">
        <v>0</v>
      </c>
      <c r="AQ941" s="275">
        <v>1</v>
      </c>
      <c r="AR941" s="26">
        <v>0</v>
      </c>
      <c r="AS941" s="275">
        <v>0</v>
      </c>
      <c r="AT941" s="275">
        <v>1</v>
      </c>
      <c r="AU941" s="26">
        <v>0</v>
      </c>
      <c r="AV941" s="17">
        <f t="shared" si="135"/>
        <v>0</v>
      </c>
      <c r="AW941" s="275" t="str">
        <f t="shared" si="142"/>
        <v>{s_taskKillNpc, {60099,60099,10126,75}}</v>
      </c>
      <c r="AX941" s="475">
        <v>1.6</v>
      </c>
      <c r="AY941" s="484">
        <v>50</v>
      </c>
    </row>
    <row r="942" spans="1:51" s="484" customFormat="1" ht="84.75" thickBot="1" x14ac:dyDescent="0.2">
      <c r="A942" s="482">
        <v>12325</v>
      </c>
      <c r="B942" s="275"/>
      <c r="C942" s="275" t="s">
        <v>2633</v>
      </c>
      <c r="D942" s="275">
        <v>2</v>
      </c>
      <c r="E942" s="275">
        <v>0</v>
      </c>
      <c r="F942" s="275">
        <v>6</v>
      </c>
      <c r="G942" s="120">
        <v>200</v>
      </c>
      <c r="H942" s="275">
        <v>200</v>
      </c>
      <c r="I942" s="17">
        <v>0</v>
      </c>
      <c r="J942" s="476">
        <v>0</v>
      </c>
      <c r="K942" s="275">
        <v>0</v>
      </c>
      <c r="L942" s="275">
        <v>60099</v>
      </c>
      <c r="M942" s="275" t="s">
        <v>673</v>
      </c>
      <c r="N942" s="275">
        <v>60099</v>
      </c>
      <c r="O942" s="275" t="s">
        <v>673</v>
      </c>
      <c r="P942" s="275"/>
      <c r="Q942" s="43"/>
      <c r="R942" s="43"/>
      <c r="S942" s="43">
        <v>10126</v>
      </c>
      <c r="T942" s="43"/>
      <c r="U942" s="275">
        <v>75</v>
      </c>
      <c r="V942" s="275">
        <v>0</v>
      </c>
      <c r="W942" s="275">
        <v>0</v>
      </c>
      <c r="X942" s="275"/>
      <c r="Y942" s="275"/>
      <c r="Z942" s="478">
        <f>ROUND(AY942*(30+G942^1.5)*AX942,0)</f>
        <v>314427</v>
      </c>
      <c r="AA942" s="275"/>
      <c r="AB942" s="45"/>
      <c r="AC942" s="45"/>
      <c r="AD942" s="275"/>
      <c r="AE942" s="275"/>
      <c r="AF942" s="275" t="str">
        <f t="shared" si="147"/>
        <v>title([51级]狩猎剧毒虫王[绿])
body(hotyellow_3(任务进程:)newline()
   狩猎goto(10126,6)，去找goto(60099,6)。
blankline()hotyellow_3(任务描述:)newline() 
space()space()space()player()，我这里有一份有关消灭剑阁剧毒虫王的委托单，如果你有兴趣的话，就由你来完成吧！)</v>
      </c>
      <c r="AG942" s="443" t="s">
        <v>3993</v>
      </c>
      <c r="AH942" s="275" t="s">
        <v>291</v>
      </c>
      <c r="AI942" s="275" t="s">
        <v>292</v>
      </c>
      <c r="AJ942" s="275" t="s">
        <v>6406</v>
      </c>
      <c r="AK942" s="275"/>
      <c r="AL942" s="483">
        <v>0</v>
      </c>
      <c r="AM942" s="443" t="str">
        <f t="shared" si="144"/>
        <v>&lt;p&gt;
&lt;n&gt;  狩猎：&lt;/n&gt;
 &lt;n&gt; &lt;/n&gt;&lt;goto id="10126" mapid="6" flagpoint="1" taskid="12325" quick="1"/&gt;
&lt;/p&gt;</v>
      </c>
      <c r="AN942" s="443" t="str">
        <f t="shared" si="141"/>
        <v>&lt;p&gt;
&lt;n&gt;  交：&lt;/n&gt;
 &lt;n&gt; &lt;/n&gt;&lt;goto id="60099" mapid="6" flagpoint="1" taskid="12325" quick="1"/&gt;&lt;/p&gt;</v>
      </c>
      <c r="AO942" s="275"/>
      <c r="AP942" s="275">
        <v>0</v>
      </c>
      <c r="AQ942" s="275">
        <v>1</v>
      </c>
      <c r="AR942" s="26">
        <v>0</v>
      </c>
      <c r="AS942" s="275">
        <v>0</v>
      </c>
      <c r="AT942" s="275">
        <v>1</v>
      </c>
      <c r="AU942" s="26">
        <v>0</v>
      </c>
      <c r="AV942" s="17">
        <f t="shared" si="135"/>
        <v>0</v>
      </c>
      <c r="AW942" s="275" t="str">
        <f t="shared" si="142"/>
        <v>{s_taskKillNpc, {60099,60099,10126,75}}</v>
      </c>
      <c r="AX942" s="475">
        <v>2.2000000000000002</v>
      </c>
      <c r="AY942" s="484">
        <v>50</v>
      </c>
    </row>
    <row r="943" spans="1:51" s="489" customFormat="1" ht="84.75" thickBot="1" x14ac:dyDescent="0.2">
      <c r="A943" s="486">
        <v>12326</v>
      </c>
      <c r="B943" s="485"/>
      <c r="C943" s="485" t="s">
        <v>2658</v>
      </c>
      <c r="D943" s="485">
        <v>2</v>
      </c>
      <c r="E943" s="485">
        <v>0</v>
      </c>
      <c r="F943" s="485">
        <v>6</v>
      </c>
      <c r="G943" s="120">
        <v>200</v>
      </c>
      <c r="H943" s="485">
        <v>200</v>
      </c>
      <c r="I943" s="17">
        <v>0</v>
      </c>
      <c r="J943" s="476">
        <v>0</v>
      </c>
      <c r="K943" s="485">
        <v>0</v>
      </c>
      <c r="L943" s="275">
        <v>60099</v>
      </c>
      <c r="M943" s="275" t="s">
        <v>673</v>
      </c>
      <c r="N943" s="275">
        <v>60099</v>
      </c>
      <c r="O943" s="275" t="s">
        <v>673</v>
      </c>
      <c r="P943" s="485"/>
      <c r="Q943" s="487"/>
      <c r="R943" s="487"/>
      <c r="S943" s="487">
        <v>10126</v>
      </c>
      <c r="T943" s="487"/>
      <c r="U943" s="485">
        <v>75</v>
      </c>
      <c r="V943" s="485">
        <v>0</v>
      </c>
      <c r="W943" s="485">
        <v>0</v>
      </c>
      <c r="X943" s="485"/>
      <c r="Y943" s="485"/>
      <c r="Z943" s="478">
        <f>ROUND(AY943*(30+G943^1.5)*AX943,0)</f>
        <v>428764</v>
      </c>
      <c r="AA943" s="485"/>
      <c r="AB943" s="488"/>
      <c r="AC943" s="488"/>
      <c r="AD943" s="485"/>
      <c r="AE943" s="485"/>
      <c r="AF943" s="485" t="str">
        <f t="shared" si="147"/>
        <v>title([51级]狩猎剧毒虫王[紫])
body(hotyellow_3(任务进程:)newline()
   狩猎goto(10126,6)，去找goto(60099,6)。
blankline()hotyellow_3(任务描述:)newline() 
space()space()space()player()，我这里有一份有关消灭剑阁剧毒虫王的委托单，如果你有兴趣的话，就由你来完成吧！)</v>
      </c>
      <c r="AG943" s="452" t="s">
        <v>3994</v>
      </c>
      <c r="AH943" s="485" t="s">
        <v>291</v>
      </c>
      <c r="AI943" s="485" t="s">
        <v>292</v>
      </c>
      <c r="AJ943" s="485" t="s">
        <v>6406</v>
      </c>
      <c r="AK943" s="485"/>
      <c r="AL943" s="476">
        <v>0</v>
      </c>
      <c r="AM943" s="443" t="str">
        <f t="shared" si="144"/>
        <v>&lt;p&gt;
&lt;n&gt;  狩猎：&lt;/n&gt;
 &lt;n&gt; &lt;/n&gt;&lt;goto id="10126" mapid="6" flagpoint="1" taskid="12326" quick="1"/&gt;
&lt;/p&gt;</v>
      </c>
      <c r="AN943" s="443" t="str">
        <f t="shared" si="141"/>
        <v>&lt;p&gt;
&lt;n&gt;  交：&lt;/n&gt;
 &lt;n&gt; &lt;/n&gt;&lt;goto id="60099" mapid="6" flagpoint="1" taskid="12326" quick="1"/&gt;&lt;/p&gt;</v>
      </c>
      <c r="AO943" s="485"/>
      <c r="AP943" s="485">
        <v>0</v>
      </c>
      <c r="AQ943" s="275">
        <v>1</v>
      </c>
      <c r="AR943" s="26">
        <v>0</v>
      </c>
      <c r="AS943" s="485">
        <v>0</v>
      </c>
      <c r="AT943" s="485">
        <v>1</v>
      </c>
      <c r="AU943" s="26">
        <v>0</v>
      </c>
      <c r="AV943" s="17">
        <f t="shared" si="135"/>
        <v>0</v>
      </c>
      <c r="AW943" s="485" t="str">
        <f t="shared" si="142"/>
        <v>{s_taskKillNpc, {60099,60099,10126,75}}</v>
      </c>
      <c r="AX943" s="475">
        <v>3</v>
      </c>
      <c r="AY943" s="484">
        <v>50</v>
      </c>
    </row>
    <row r="944" spans="1:51" s="481" customFormat="1" ht="84.75" thickBot="1" x14ac:dyDescent="0.2">
      <c r="A944" s="474">
        <v>12331</v>
      </c>
      <c r="B944" s="475"/>
      <c r="C944" s="475" t="s">
        <v>2238</v>
      </c>
      <c r="D944" s="475">
        <v>2</v>
      </c>
      <c r="E944" s="475">
        <v>0</v>
      </c>
      <c r="F944" s="475">
        <v>6</v>
      </c>
      <c r="G944" s="120">
        <v>200</v>
      </c>
      <c r="H944" s="475">
        <v>200</v>
      </c>
      <c r="I944" s="17">
        <v>0</v>
      </c>
      <c r="J944" s="476">
        <v>0</v>
      </c>
      <c r="K944" s="475">
        <v>0</v>
      </c>
      <c r="L944" s="275">
        <v>60099</v>
      </c>
      <c r="M944" s="275" t="s">
        <v>673</v>
      </c>
      <c r="N944" s="275">
        <v>60099</v>
      </c>
      <c r="O944" s="275" t="s">
        <v>673</v>
      </c>
      <c r="P944" s="475"/>
      <c r="Q944" s="477"/>
      <c r="R944" s="477"/>
      <c r="S944" s="477">
        <v>10127</v>
      </c>
      <c r="T944" s="477"/>
      <c r="U944" s="475">
        <v>75</v>
      </c>
      <c r="V944" s="475">
        <v>0</v>
      </c>
      <c r="W944" s="475">
        <v>0</v>
      </c>
      <c r="X944" s="475"/>
      <c r="Y944" s="475"/>
      <c r="Z944" s="478"/>
      <c r="AA944" s="475"/>
      <c r="AB944" s="479"/>
      <c r="AC944" s="479"/>
      <c r="AD944" s="475"/>
      <c r="AE944" s="475"/>
      <c r="AF944" s="475" t="str">
        <f t="shared" ref="AF944:AF949" si="148">"title("&amp;C944&amp;")
body(hotyellow_3(任务进程:)newline()
   狩猎goto(10127,6)，去找goto(60099,6)。
blankline()hotyellow_3(任务描述:)newline() 
space()space()space()player()，我这里有一份有关消灭剑阁唤醒者的委托单，如果你有兴趣的话，就由你来完成吧！)"</f>
        <v>title([52级]狩猎唤醒者)
body(hotyellow_3(任务进程:)newline()
   狩猎goto(10127,6)，去找goto(60099,6)。
blankline()hotyellow_3(任务描述:)newline() 
space()space()space()player()，我这里有一份有关消灭剑阁唤醒者的委托单，如果你有兴趣的话，就由你来完成吧！)</v>
      </c>
      <c r="AG944" s="437" t="s">
        <v>3989</v>
      </c>
      <c r="AH944" s="475" t="s">
        <v>291</v>
      </c>
      <c r="AI944" s="475" t="s">
        <v>292</v>
      </c>
      <c r="AJ944" s="475" t="s">
        <v>6407</v>
      </c>
      <c r="AK944" s="475"/>
      <c r="AL944" s="480"/>
      <c r="AM944" s="443" t="str">
        <f t="shared" si="144"/>
        <v>&lt;p&gt;
&lt;n&gt;  狩猎：&lt;/n&gt;
 &lt;n&gt; &lt;/n&gt;&lt;goto id="10127" mapid="6" flagpoint="1" taskid="12331" quick="1"/&gt;
&lt;/p&gt;</v>
      </c>
      <c r="AN944" s="443" t="str">
        <f t="shared" si="141"/>
        <v>&lt;p&gt;
&lt;n&gt;  交：&lt;/n&gt;
 &lt;n&gt; &lt;/n&gt;&lt;goto id="60099" mapid="6" flagpoint="1" taskid="12331" quick="1"/&gt;&lt;/p&gt;</v>
      </c>
      <c r="AO944" s="475"/>
      <c r="AP944" s="475">
        <v>1</v>
      </c>
      <c r="AQ944" s="475">
        <v>0</v>
      </c>
      <c r="AR944" s="26">
        <v>0</v>
      </c>
      <c r="AS944" s="475">
        <v>0</v>
      </c>
      <c r="AT944" s="475">
        <v>1</v>
      </c>
      <c r="AU944" s="26">
        <v>0</v>
      </c>
      <c r="AV944" s="17">
        <f t="shared" si="135"/>
        <v>0</v>
      </c>
      <c r="AW944" s="475" t="str">
        <f t="shared" si="142"/>
        <v>{s_taskKillNpc, {60099,60099,10127,75}}</v>
      </c>
      <c r="AX944" s="475"/>
    </row>
    <row r="945" spans="1:51" s="484" customFormat="1" ht="84.75" thickBot="1" x14ac:dyDescent="0.2">
      <c r="A945" s="482">
        <v>12332</v>
      </c>
      <c r="B945" s="275"/>
      <c r="C945" s="275" t="s">
        <v>2559</v>
      </c>
      <c r="D945" s="275">
        <v>2</v>
      </c>
      <c r="E945" s="275">
        <v>0</v>
      </c>
      <c r="F945" s="275">
        <v>6</v>
      </c>
      <c r="G945" s="120">
        <v>200</v>
      </c>
      <c r="H945" s="275">
        <v>200</v>
      </c>
      <c r="I945" s="17">
        <v>0</v>
      </c>
      <c r="J945" s="476">
        <v>0</v>
      </c>
      <c r="K945" s="275">
        <v>0</v>
      </c>
      <c r="L945" s="275">
        <v>60099</v>
      </c>
      <c r="M945" s="275" t="s">
        <v>673</v>
      </c>
      <c r="N945" s="275">
        <v>60099</v>
      </c>
      <c r="O945" s="275" t="s">
        <v>673</v>
      </c>
      <c r="P945" s="275"/>
      <c r="Q945" s="43"/>
      <c r="R945" s="43"/>
      <c r="S945" s="43">
        <v>10127</v>
      </c>
      <c r="T945" s="43"/>
      <c r="U945" s="275">
        <v>75</v>
      </c>
      <c r="V945" s="275">
        <v>0</v>
      </c>
      <c r="W945" s="275">
        <v>0</v>
      </c>
      <c r="X945" s="275"/>
      <c r="Y945" s="275"/>
      <c r="Z945" s="478">
        <f>ROUND(AY945*(30+G945^1.5)*AX945,0)</f>
        <v>142921</v>
      </c>
      <c r="AA945" s="275"/>
      <c r="AB945" s="45"/>
      <c r="AC945" s="45"/>
      <c r="AD945" s="275"/>
      <c r="AE945" s="275"/>
      <c r="AF945" s="275" t="str">
        <f t="shared" si="148"/>
        <v>title([52级]狩猎唤醒者[白])
body(hotyellow_3(任务进程:)newline()
   狩猎goto(10127,6)，去找goto(60099,6)。
blankline()hotyellow_3(任务描述:)newline() 
space()space()space()player()，我这里有一份有关消灭剑阁唤醒者的委托单，如果你有兴趣的话，就由你来完成吧！)</v>
      </c>
      <c r="AG945" s="443" t="s">
        <v>3990</v>
      </c>
      <c r="AH945" s="275" t="s">
        <v>291</v>
      </c>
      <c r="AI945" s="275" t="s">
        <v>292</v>
      </c>
      <c r="AJ945" s="275" t="s">
        <v>6407</v>
      </c>
      <c r="AK945" s="275"/>
      <c r="AL945" s="483"/>
      <c r="AM945" s="443" t="str">
        <f t="shared" si="144"/>
        <v>&lt;p&gt;
&lt;n&gt;  狩猎：&lt;/n&gt;
 &lt;n&gt; &lt;/n&gt;&lt;goto id="10127" mapid="6" flagpoint="1" taskid="12332" quick="1"/&gt;
&lt;/p&gt;</v>
      </c>
      <c r="AN945" s="443" t="str">
        <f t="shared" si="141"/>
        <v>&lt;p&gt;
&lt;n&gt;  交：&lt;/n&gt;
 &lt;n&gt; &lt;/n&gt;&lt;goto id="60099" mapid="6" flagpoint="1" taskid="12332" quick="1"/&gt;&lt;/p&gt;</v>
      </c>
      <c r="AO945" s="275"/>
      <c r="AP945" s="275">
        <v>0</v>
      </c>
      <c r="AQ945" s="275">
        <v>1</v>
      </c>
      <c r="AR945" s="26">
        <v>0</v>
      </c>
      <c r="AS945" s="275">
        <v>0</v>
      </c>
      <c r="AT945" s="275">
        <v>1</v>
      </c>
      <c r="AU945" s="26">
        <v>0</v>
      </c>
      <c r="AV945" s="17">
        <f t="shared" si="135"/>
        <v>0</v>
      </c>
      <c r="AW945" s="275" t="str">
        <f t="shared" si="142"/>
        <v>{s_taskKillNpc, {60099,60099,10127,75}}</v>
      </c>
      <c r="AX945" s="475">
        <v>1</v>
      </c>
      <c r="AY945" s="484">
        <v>50</v>
      </c>
    </row>
    <row r="946" spans="1:51" s="484" customFormat="1" ht="84.75" thickBot="1" x14ac:dyDescent="0.2">
      <c r="A946" s="482">
        <v>12333</v>
      </c>
      <c r="B946" s="275"/>
      <c r="C946" s="275" t="s">
        <v>2584</v>
      </c>
      <c r="D946" s="275">
        <v>2</v>
      </c>
      <c r="E946" s="275">
        <v>0</v>
      </c>
      <c r="F946" s="275">
        <v>6</v>
      </c>
      <c r="G946" s="120">
        <v>200</v>
      </c>
      <c r="H946" s="275">
        <v>200</v>
      </c>
      <c r="I946" s="17">
        <v>0</v>
      </c>
      <c r="J946" s="476">
        <v>0</v>
      </c>
      <c r="K946" s="275">
        <v>0</v>
      </c>
      <c r="L946" s="275">
        <v>60099</v>
      </c>
      <c r="M946" s="275" t="s">
        <v>673</v>
      </c>
      <c r="N946" s="275">
        <v>60099</v>
      </c>
      <c r="O946" s="275" t="s">
        <v>673</v>
      </c>
      <c r="P946" s="275"/>
      <c r="Q946" s="43"/>
      <c r="R946" s="43"/>
      <c r="S946" s="43">
        <v>10127</v>
      </c>
      <c r="T946" s="43"/>
      <c r="U946" s="275">
        <v>75</v>
      </c>
      <c r="V946" s="275">
        <v>0</v>
      </c>
      <c r="W946" s="275">
        <v>0</v>
      </c>
      <c r="X946" s="275"/>
      <c r="Y946" s="275"/>
      <c r="Z946" s="478">
        <f>ROUND(AY946*(30+G946^1.5)*AX946,0)</f>
        <v>185798</v>
      </c>
      <c r="AA946" s="275"/>
      <c r="AB946" s="45"/>
      <c r="AC946" s="45"/>
      <c r="AD946" s="275"/>
      <c r="AE946" s="275"/>
      <c r="AF946" s="275" t="str">
        <f t="shared" si="148"/>
        <v>title([52级]狩猎唤醒者[蓝])
body(hotyellow_3(任务进程:)newline()
   狩猎goto(10127,6)，去找goto(60099,6)。
blankline()hotyellow_3(任务描述:)newline() 
space()space()space()player()，我这里有一份有关消灭剑阁唤醒者的委托单，如果你有兴趣的话，就由你来完成吧！)</v>
      </c>
      <c r="AG946" s="443" t="s">
        <v>3991</v>
      </c>
      <c r="AH946" s="275" t="s">
        <v>291</v>
      </c>
      <c r="AI946" s="275" t="s">
        <v>292</v>
      </c>
      <c r="AJ946" s="275" t="s">
        <v>6407</v>
      </c>
      <c r="AK946" s="275"/>
      <c r="AL946" s="483"/>
      <c r="AM946" s="443" t="str">
        <f t="shared" si="144"/>
        <v>&lt;p&gt;
&lt;n&gt;  狩猎：&lt;/n&gt;
 &lt;n&gt; &lt;/n&gt;&lt;goto id="10127" mapid="6" flagpoint="1" taskid="12333" quick="1"/&gt;
&lt;/p&gt;</v>
      </c>
      <c r="AN946" s="443" t="str">
        <f t="shared" si="141"/>
        <v>&lt;p&gt;
&lt;n&gt;  交：&lt;/n&gt;
 &lt;n&gt; &lt;/n&gt;&lt;goto id="60099" mapid="6" flagpoint="1" taskid="12333" quick="1"/&gt;&lt;/p&gt;</v>
      </c>
      <c r="AO946" s="275"/>
      <c r="AP946" s="275">
        <v>0</v>
      </c>
      <c r="AQ946" s="275">
        <v>1</v>
      </c>
      <c r="AR946" s="26">
        <v>0</v>
      </c>
      <c r="AS946" s="275">
        <v>0</v>
      </c>
      <c r="AT946" s="275">
        <v>1</v>
      </c>
      <c r="AU946" s="26">
        <v>0</v>
      </c>
      <c r="AV946" s="17">
        <f t="shared" si="135"/>
        <v>0</v>
      </c>
      <c r="AW946" s="275" t="str">
        <f t="shared" si="142"/>
        <v>{s_taskKillNpc, {60099,60099,10127,75}}</v>
      </c>
      <c r="AX946" s="475">
        <v>1.3</v>
      </c>
      <c r="AY946" s="484">
        <v>50</v>
      </c>
    </row>
    <row r="947" spans="1:51" s="484" customFormat="1" ht="84.75" thickBot="1" x14ac:dyDescent="0.2">
      <c r="A947" s="482">
        <v>12334</v>
      </c>
      <c r="B947" s="275"/>
      <c r="C947" s="275" t="s">
        <v>2609</v>
      </c>
      <c r="D947" s="275">
        <v>2</v>
      </c>
      <c r="E947" s="275">
        <v>0</v>
      </c>
      <c r="F947" s="275">
        <v>6</v>
      </c>
      <c r="G947" s="120">
        <v>200</v>
      </c>
      <c r="H947" s="275">
        <v>200</v>
      </c>
      <c r="I947" s="17">
        <v>0</v>
      </c>
      <c r="J947" s="476">
        <v>0</v>
      </c>
      <c r="K947" s="275">
        <v>0</v>
      </c>
      <c r="L947" s="275">
        <v>60099</v>
      </c>
      <c r="M947" s="275" t="s">
        <v>673</v>
      </c>
      <c r="N947" s="275">
        <v>60099</v>
      </c>
      <c r="O947" s="275" t="s">
        <v>673</v>
      </c>
      <c r="P947" s="275"/>
      <c r="Q947" s="43"/>
      <c r="R947" s="43"/>
      <c r="S947" s="43">
        <v>10127</v>
      </c>
      <c r="T947" s="43"/>
      <c r="U947" s="275">
        <v>75</v>
      </c>
      <c r="V947" s="275">
        <v>0</v>
      </c>
      <c r="W947" s="275">
        <v>0</v>
      </c>
      <c r="X947" s="275"/>
      <c r="Y947" s="275"/>
      <c r="Z947" s="478">
        <f>ROUND(AY947*(30+G947^1.5)*AX947,0)</f>
        <v>228674</v>
      </c>
      <c r="AA947" s="275"/>
      <c r="AB947" s="45"/>
      <c r="AC947" s="45"/>
      <c r="AD947" s="275"/>
      <c r="AE947" s="275"/>
      <c r="AF947" s="275" t="str">
        <f t="shared" si="148"/>
        <v>title([52级]狩猎唤醒者[黄])
body(hotyellow_3(任务进程:)newline()
   狩猎goto(10127,6)，去找goto(60099,6)。
blankline()hotyellow_3(任务描述:)newline() 
space()space()space()player()，我这里有一份有关消灭剑阁唤醒者的委托单，如果你有兴趣的话，就由你来完成吧！)</v>
      </c>
      <c r="AG947" s="443" t="s">
        <v>3992</v>
      </c>
      <c r="AH947" s="275" t="s">
        <v>291</v>
      </c>
      <c r="AI947" s="275" t="s">
        <v>292</v>
      </c>
      <c r="AJ947" s="275" t="s">
        <v>6407</v>
      </c>
      <c r="AK947" s="275"/>
      <c r="AL947" s="483"/>
      <c r="AM947" s="443" t="str">
        <f t="shared" si="144"/>
        <v>&lt;p&gt;
&lt;n&gt;  狩猎：&lt;/n&gt;
 &lt;n&gt; &lt;/n&gt;&lt;goto id="10127" mapid="6" flagpoint="1" taskid="12334" quick="1"/&gt;
&lt;/p&gt;</v>
      </c>
      <c r="AN947" s="443" t="str">
        <f t="shared" si="141"/>
        <v>&lt;p&gt;
&lt;n&gt;  交：&lt;/n&gt;
 &lt;n&gt; &lt;/n&gt;&lt;goto id="60099" mapid="6" flagpoint="1" taskid="12334" quick="1"/&gt;&lt;/p&gt;</v>
      </c>
      <c r="AO947" s="275"/>
      <c r="AP947" s="275">
        <v>0</v>
      </c>
      <c r="AQ947" s="275">
        <v>1</v>
      </c>
      <c r="AR947" s="26">
        <v>0</v>
      </c>
      <c r="AS947" s="275">
        <v>0</v>
      </c>
      <c r="AT947" s="275">
        <v>1</v>
      </c>
      <c r="AU947" s="26">
        <v>0</v>
      </c>
      <c r="AV947" s="17">
        <f t="shared" si="135"/>
        <v>0</v>
      </c>
      <c r="AW947" s="275" t="str">
        <f t="shared" si="142"/>
        <v>{s_taskKillNpc, {60099,60099,10127,75}}</v>
      </c>
      <c r="AX947" s="475">
        <v>1.6</v>
      </c>
      <c r="AY947" s="484">
        <v>50</v>
      </c>
    </row>
    <row r="948" spans="1:51" s="484" customFormat="1" ht="84.75" thickBot="1" x14ac:dyDescent="0.2">
      <c r="A948" s="482">
        <v>12335</v>
      </c>
      <c r="B948" s="275"/>
      <c r="C948" s="275" t="s">
        <v>2634</v>
      </c>
      <c r="D948" s="275">
        <v>2</v>
      </c>
      <c r="E948" s="275">
        <v>0</v>
      </c>
      <c r="F948" s="275">
        <v>6</v>
      </c>
      <c r="G948" s="120">
        <v>200</v>
      </c>
      <c r="H948" s="275">
        <v>200</v>
      </c>
      <c r="I948" s="17">
        <v>0</v>
      </c>
      <c r="J948" s="476">
        <v>0</v>
      </c>
      <c r="K948" s="275">
        <v>0</v>
      </c>
      <c r="L948" s="275">
        <v>60099</v>
      </c>
      <c r="M948" s="275" t="s">
        <v>673</v>
      </c>
      <c r="N948" s="275">
        <v>60099</v>
      </c>
      <c r="O948" s="275" t="s">
        <v>673</v>
      </c>
      <c r="P948" s="275"/>
      <c r="Q948" s="43"/>
      <c r="R948" s="43"/>
      <c r="S948" s="43">
        <v>10127</v>
      </c>
      <c r="T948" s="43"/>
      <c r="U948" s="275">
        <v>75</v>
      </c>
      <c r="V948" s="275">
        <v>0</v>
      </c>
      <c r="W948" s="275">
        <v>0</v>
      </c>
      <c r="X948" s="275"/>
      <c r="Y948" s="275"/>
      <c r="Z948" s="478">
        <f>ROUND(AY948*(30+G948^1.5)*AX948,0)</f>
        <v>314427</v>
      </c>
      <c r="AA948" s="275"/>
      <c r="AB948" s="45"/>
      <c r="AC948" s="45"/>
      <c r="AD948" s="275"/>
      <c r="AE948" s="275"/>
      <c r="AF948" s="275" t="str">
        <f t="shared" si="148"/>
        <v>title([52级]狩猎唤醒者[绿])
body(hotyellow_3(任务进程:)newline()
   狩猎goto(10127,6)，去找goto(60099,6)。
blankline()hotyellow_3(任务描述:)newline() 
space()space()space()player()，我这里有一份有关消灭剑阁唤醒者的委托单，如果你有兴趣的话，就由你来完成吧！)</v>
      </c>
      <c r="AG948" s="443" t="s">
        <v>3993</v>
      </c>
      <c r="AH948" s="275" t="s">
        <v>291</v>
      </c>
      <c r="AI948" s="275" t="s">
        <v>292</v>
      </c>
      <c r="AJ948" s="275" t="s">
        <v>6407</v>
      </c>
      <c r="AK948" s="275"/>
      <c r="AL948" s="483"/>
      <c r="AM948" s="443" t="str">
        <f t="shared" si="144"/>
        <v>&lt;p&gt;
&lt;n&gt;  狩猎：&lt;/n&gt;
 &lt;n&gt; &lt;/n&gt;&lt;goto id="10127" mapid="6" flagpoint="1" taskid="12335" quick="1"/&gt;
&lt;/p&gt;</v>
      </c>
      <c r="AN948" s="443" t="str">
        <f t="shared" si="141"/>
        <v>&lt;p&gt;
&lt;n&gt;  交：&lt;/n&gt;
 &lt;n&gt; &lt;/n&gt;&lt;goto id="60099" mapid="6" flagpoint="1" taskid="12335" quick="1"/&gt;&lt;/p&gt;</v>
      </c>
      <c r="AO948" s="275"/>
      <c r="AP948" s="275">
        <v>0</v>
      </c>
      <c r="AQ948" s="275">
        <v>1</v>
      </c>
      <c r="AR948" s="26">
        <v>0</v>
      </c>
      <c r="AS948" s="275">
        <v>0</v>
      </c>
      <c r="AT948" s="275">
        <v>1</v>
      </c>
      <c r="AU948" s="26">
        <v>0</v>
      </c>
      <c r="AV948" s="17">
        <f t="shared" si="135"/>
        <v>0</v>
      </c>
      <c r="AW948" s="275" t="str">
        <f t="shared" si="142"/>
        <v>{s_taskKillNpc, {60099,60099,10127,75}}</v>
      </c>
      <c r="AX948" s="475">
        <v>2.2000000000000002</v>
      </c>
      <c r="AY948" s="484">
        <v>50</v>
      </c>
    </row>
    <row r="949" spans="1:51" s="489" customFormat="1" ht="84.75" thickBot="1" x14ac:dyDescent="0.2">
      <c r="A949" s="486">
        <v>12336</v>
      </c>
      <c r="B949" s="485"/>
      <c r="C949" s="485" t="s">
        <v>2659</v>
      </c>
      <c r="D949" s="485">
        <v>2</v>
      </c>
      <c r="E949" s="485">
        <v>0</v>
      </c>
      <c r="F949" s="485">
        <v>6</v>
      </c>
      <c r="G949" s="120">
        <v>200</v>
      </c>
      <c r="H949" s="485">
        <v>200</v>
      </c>
      <c r="I949" s="17">
        <v>0</v>
      </c>
      <c r="J949" s="476">
        <v>0</v>
      </c>
      <c r="K949" s="485">
        <v>0</v>
      </c>
      <c r="L949" s="275">
        <v>60099</v>
      </c>
      <c r="M949" s="275" t="s">
        <v>673</v>
      </c>
      <c r="N949" s="275">
        <v>60099</v>
      </c>
      <c r="O949" s="275" t="s">
        <v>673</v>
      </c>
      <c r="P949" s="485"/>
      <c r="Q949" s="487"/>
      <c r="R949" s="487"/>
      <c r="S949" s="487">
        <v>10127</v>
      </c>
      <c r="T949" s="487"/>
      <c r="U949" s="485">
        <v>75</v>
      </c>
      <c r="V949" s="485">
        <v>0</v>
      </c>
      <c r="W949" s="485">
        <v>0</v>
      </c>
      <c r="X949" s="485"/>
      <c r="Y949" s="485"/>
      <c r="Z949" s="478">
        <f>ROUND(AY949*(30+G949^1.5)*AX949,0)</f>
        <v>428764</v>
      </c>
      <c r="AA949" s="485"/>
      <c r="AB949" s="488"/>
      <c r="AC949" s="488"/>
      <c r="AD949" s="485"/>
      <c r="AE949" s="485"/>
      <c r="AF949" s="485" t="str">
        <f t="shared" si="148"/>
        <v>title([52级]狩猎唤醒者[紫])
body(hotyellow_3(任务进程:)newline()
   狩猎goto(10127,6)，去找goto(60099,6)。
blankline()hotyellow_3(任务描述:)newline() 
space()space()space()player()，我这里有一份有关消灭剑阁唤醒者的委托单，如果你有兴趣的话，就由你来完成吧！)</v>
      </c>
      <c r="AG949" s="452" t="s">
        <v>3994</v>
      </c>
      <c r="AH949" s="485" t="s">
        <v>291</v>
      </c>
      <c r="AI949" s="485" t="s">
        <v>292</v>
      </c>
      <c r="AJ949" s="485" t="s">
        <v>6407</v>
      </c>
      <c r="AK949" s="485"/>
      <c r="AL949" s="476"/>
      <c r="AM949" s="443" t="str">
        <f t="shared" si="144"/>
        <v>&lt;p&gt;
&lt;n&gt;  狩猎：&lt;/n&gt;
 &lt;n&gt; &lt;/n&gt;&lt;goto id="10127" mapid="6" flagpoint="1" taskid="12336" quick="1"/&gt;
&lt;/p&gt;</v>
      </c>
      <c r="AN949" s="443" t="str">
        <f t="shared" si="141"/>
        <v>&lt;p&gt;
&lt;n&gt;  交：&lt;/n&gt;
 &lt;n&gt; &lt;/n&gt;&lt;goto id="60099" mapid="6" flagpoint="1" taskid="12336" quick="1"/&gt;&lt;/p&gt;</v>
      </c>
      <c r="AO949" s="485"/>
      <c r="AP949" s="485">
        <v>0</v>
      </c>
      <c r="AQ949" s="275">
        <v>1</v>
      </c>
      <c r="AR949" s="26">
        <v>0</v>
      </c>
      <c r="AS949" s="485">
        <v>0</v>
      </c>
      <c r="AT949" s="485">
        <v>1</v>
      </c>
      <c r="AU949" s="26">
        <v>0</v>
      </c>
      <c r="AV949" s="17">
        <f t="shared" si="135"/>
        <v>0</v>
      </c>
      <c r="AW949" s="485" t="str">
        <f t="shared" si="142"/>
        <v>{s_taskKillNpc, {60099,60099,10127,75}}</v>
      </c>
      <c r="AX949" s="475">
        <v>3</v>
      </c>
      <c r="AY949" s="484">
        <v>50</v>
      </c>
    </row>
    <row r="950" spans="1:51" s="490" customFormat="1" ht="72.75" thickBot="1" x14ac:dyDescent="0.2">
      <c r="A950" s="39">
        <v>12341</v>
      </c>
      <c r="B950" s="26"/>
      <c r="C950" s="26" t="s">
        <v>2239</v>
      </c>
      <c r="D950" s="26">
        <v>2</v>
      </c>
      <c r="E950" s="26">
        <v>0</v>
      </c>
      <c r="F950" s="26">
        <v>6</v>
      </c>
      <c r="G950" s="120">
        <v>200</v>
      </c>
      <c r="H950" s="26">
        <v>200</v>
      </c>
      <c r="I950" s="17">
        <v>0</v>
      </c>
      <c r="J950" s="476">
        <v>0</v>
      </c>
      <c r="K950" s="26">
        <v>0</v>
      </c>
      <c r="L950" s="275">
        <v>60099</v>
      </c>
      <c r="M950" s="275" t="s">
        <v>673</v>
      </c>
      <c r="N950" s="275">
        <v>60099</v>
      </c>
      <c r="O950" s="275" t="s">
        <v>673</v>
      </c>
      <c r="P950" s="26"/>
      <c r="Q950" s="43"/>
      <c r="R950" s="43"/>
      <c r="S950" s="43">
        <v>10128</v>
      </c>
      <c r="T950" s="43"/>
      <c r="U950" s="26">
        <v>75</v>
      </c>
      <c r="V950" s="26">
        <v>0</v>
      </c>
      <c r="W950" s="26">
        <v>0</v>
      </c>
      <c r="X950" s="26"/>
      <c r="Y950" s="26"/>
      <c r="Z950" s="478"/>
      <c r="AA950" s="26"/>
      <c r="AB950" s="45"/>
      <c r="AC950" s="45"/>
      <c r="AD950" s="26"/>
      <c r="AE950" s="26"/>
      <c r="AF950" s="26" t="str">
        <f t="shared" ref="AF950:AF955" si="149">"title("&amp;C950&amp;")
body(hotyellow_3(任务进程:)newline()
   狩猎goto(10128,6)，去找goto(60099,6)。
blankline()hotyellow_3(任务描述:)newline() 
space()space()space()player()，我这里有一份有关消灭剑阁刚猪的委托单，如果你有兴趣的话，就由你来完成吧！)"</f>
        <v>title([53级]狩猎刚猪)
body(hotyellow_3(任务进程:)newline()
   狩猎goto(10128,6)，去找goto(60099,6)。
blankline()hotyellow_3(任务描述:)newline() 
space()space()space()player()，我这里有一份有关消灭剑阁刚猪的委托单，如果你有兴趣的话，就由你来完成吧！)</v>
      </c>
      <c r="AG950" s="437" t="s">
        <v>3989</v>
      </c>
      <c r="AH950" s="26" t="s">
        <v>291</v>
      </c>
      <c r="AI950" s="26" t="s">
        <v>292</v>
      </c>
      <c r="AJ950" s="26" t="s">
        <v>6408</v>
      </c>
      <c r="AK950" s="26"/>
      <c r="AL950" s="48"/>
      <c r="AM950" s="443" t="str">
        <f t="shared" si="144"/>
        <v>&lt;p&gt;
&lt;n&gt;  狩猎：&lt;/n&gt;
 &lt;n&gt; &lt;/n&gt;&lt;goto id="10128" mapid="6" flagpoint="1" taskid="12341" quick="1"/&gt;
&lt;/p&gt;</v>
      </c>
      <c r="AN950" s="443" t="str">
        <f t="shared" si="141"/>
        <v>&lt;p&gt;
&lt;n&gt;  交：&lt;/n&gt;
 &lt;n&gt; &lt;/n&gt;&lt;goto id="60099" mapid="6" flagpoint="1" taskid="12341" quick="1"/&gt;&lt;/p&gt;</v>
      </c>
      <c r="AO950" s="26"/>
      <c r="AP950" s="475">
        <v>1</v>
      </c>
      <c r="AQ950" s="475">
        <v>0</v>
      </c>
      <c r="AR950" s="26">
        <v>0</v>
      </c>
      <c r="AS950" s="26">
        <v>0</v>
      </c>
      <c r="AT950" s="26">
        <v>1</v>
      </c>
      <c r="AU950" s="26">
        <v>0</v>
      </c>
      <c r="AV950" s="17">
        <f t="shared" si="135"/>
        <v>0</v>
      </c>
      <c r="AW950" s="26" t="str">
        <f t="shared" si="142"/>
        <v>{s_taskKillNpc, {60099,60099,10128,75}}</v>
      </c>
      <c r="AX950" s="475"/>
    </row>
    <row r="951" spans="1:51" s="490" customFormat="1" ht="72.75" thickBot="1" x14ac:dyDescent="0.2">
      <c r="A951" s="39">
        <v>12342</v>
      </c>
      <c r="B951" s="26"/>
      <c r="C951" s="26" t="s">
        <v>2560</v>
      </c>
      <c r="D951" s="26">
        <v>2</v>
      </c>
      <c r="E951" s="26">
        <v>0</v>
      </c>
      <c r="F951" s="26">
        <v>6</v>
      </c>
      <c r="G951" s="120">
        <v>200</v>
      </c>
      <c r="H951" s="26">
        <v>200</v>
      </c>
      <c r="I951" s="17">
        <v>0</v>
      </c>
      <c r="J951" s="476">
        <v>0</v>
      </c>
      <c r="K951" s="26">
        <v>0</v>
      </c>
      <c r="L951" s="275">
        <v>60099</v>
      </c>
      <c r="M951" s="275" t="s">
        <v>673</v>
      </c>
      <c r="N951" s="275">
        <v>60099</v>
      </c>
      <c r="O951" s="275" t="s">
        <v>673</v>
      </c>
      <c r="P951" s="26"/>
      <c r="Q951" s="43"/>
      <c r="R951" s="43"/>
      <c r="S951" s="43">
        <v>10128</v>
      </c>
      <c r="T951" s="43"/>
      <c r="U951" s="26">
        <v>75</v>
      </c>
      <c r="V951" s="26">
        <v>0</v>
      </c>
      <c r="W951" s="26">
        <v>0</v>
      </c>
      <c r="X951" s="26"/>
      <c r="Y951" s="26"/>
      <c r="Z951" s="478">
        <f>ROUND(AY951*(30+G951^1.5)*AX951,0)</f>
        <v>142921</v>
      </c>
      <c r="AA951" s="26"/>
      <c r="AB951" s="45"/>
      <c r="AC951" s="45"/>
      <c r="AD951" s="26"/>
      <c r="AE951" s="26"/>
      <c r="AF951" s="26" t="str">
        <f t="shared" si="149"/>
        <v>title([53级]狩猎刚猪[白])
body(hotyellow_3(任务进程:)newline()
   狩猎goto(10128,6)，去找goto(60099,6)。
blankline()hotyellow_3(任务描述:)newline() 
space()space()space()player()，我这里有一份有关消灭剑阁刚猪的委托单，如果你有兴趣的话，就由你来完成吧！)</v>
      </c>
      <c r="AG951" s="443" t="s">
        <v>3990</v>
      </c>
      <c r="AH951" s="26" t="s">
        <v>291</v>
      </c>
      <c r="AI951" s="26" t="s">
        <v>292</v>
      </c>
      <c r="AJ951" s="26" t="s">
        <v>6408</v>
      </c>
      <c r="AK951" s="26"/>
      <c r="AL951" s="48"/>
      <c r="AM951" s="443" t="str">
        <f t="shared" si="144"/>
        <v>&lt;p&gt;
&lt;n&gt;  狩猎：&lt;/n&gt;
 &lt;n&gt; &lt;/n&gt;&lt;goto id="10128" mapid="6" flagpoint="1" taskid="12342" quick="1"/&gt;
&lt;/p&gt;</v>
      </c>
      <c r="AN951" s="443" t="str">
        <f t="shared" si="141"/>
        <v>&lt;p&gt;
&lt;n&gt;  交：&lt;/n&gt;
 &lt;n&gt; &lt;/n&gt;&lt;goto id="60099" mapid="6" flagpoint="1" taskid="12342" quick="1"/&gt;&lt;/p&gt;</v>
      </c>
      <c r="AO951" s="26"/>
      <c r="AP951" s="275">
        <v>0</v>
      </c>
      <c r="AQ951" s="275">
        <v>1</v>
      </c>
      <c r="AR951" s="26">
        <v>0</v>
      </c>
      <c r="AS951" s="26">
        <v>0</v>
      </c>
      <c r="AT951" s="26">
        <v>1</v>
      </c>
      <c r="AU951" s="26">
        <v>0</v>
      </c>
      <c r="AV951" s="17">
        <f t="shared" si="135"/>
        <v>0</v>
      </c>
      <c r="AW951" s="26" t="str">
        <f t="shared" si="142"/>
        <v>{s_taskKillNpc, {60099,60099,10128,75}}</v>
      </c>
      <c r="AX951" s="475">
        <v>1</v>
      </c>
      <c r="AY951" s="484">
        <v>50</v>
      </c>
    </row>
    <row r="952" spans="1:51" s="490" customFormat="1" ht="72.75" thickBot="1" x14ac:dyDescent="0.2">
      <c r="A952" s="39">
        <v>12343</v>
      </c>
      <c r="B952" s="26"/>
      <c r="C952" s="26" t="s">
        <v>2585</v>
      </c>
      <c r="D952" s="26">
        <v>2</v>
      </c>
      <c r="E952" s="26">
        <v>0</v>
      </c>
      <c r="F952" s="26">
        <v>6</v>
      </c>
      <c r="G952" s="120">
        <v>200</v>
      </c>
      <c r="H952" s="26">
        <v>200</v>
      </c>
      <c r="I952" s="17">
        <v>0</v>
      </c>
      <c r="J952" s="476">
        <v>0</v>
      </c>
      <c r="K952" s="26">
        <v>0</v>
      </c>
      <c r="L952" s="275">
        <v>60099</v>
      </c>
      <c r="M952" s="275" t="s">
        <v>673</v>
      </c>
      <c r="N952" s="275">
        <v>60099</v>
      </c>
      <c r="O952" s="275" t="s">
        <v>673</v>
      </c>
      <c r="P952" s="26"/>
      <c r="Q952" s="43"/>
      <c r="R952" s="43"/>
      <c r="S952" s="43">
        <v>10128</v>
      </c>
      <c r="T952" s="43"/>
      <c r="U952" s="26">
        <v>75</v>
      </c>
      <c r="V952" s="26">
        <v>0</v>
      </c>
      <c r="W952" s="26">
        <v>0</v>
      </c>
      <c r="X952" s="26"/>
      <c r="Y952" s="26"/>
      <c r="Z952" s="478">
        <f>ROUND(AY952*(30+G952^1.5)*AX952,0)</f>
        <v>185798</v>
      </c>
      <c r="AA952" s="26"/>
      <c r="AB952" s="45"/>
      <c r="AC952" s="45"/>
      <c r="AD952" s="26"/>
      <c r="AE952" s="26"/>
      <c r="AF952" s="26" t="str">
        <f t="shared" si="149"/>
        <v>title([53级]狩猎刚猪[蓝])
body(hotyellow_3(任务进程:)newline()
   狩猎goto(10128,6)，去找goto(60099,6)。
blankline()hotyellow_3(任务描述:)newline() 
space()space()space()player()，我这里有一份有关消灭剑阁刚猪的委托单，如果你有兴趣的话，就由你来完成吧！)</v>
      </c>
      <c r="AG952" s="443" t="s">
        <v>3991</v>
      </c>
      <c r="AH952" s="26" t="s">
        <v>291</v>
      </c>
      <c r="AI952" s="26" t="s">
        <v>292</v>
      </c>
      <c r="AJ952" s="26" t="s">
        <v>6408</v>
      </c>
      <c r="AK952" s="26"/>
      <c r="AL952" s="48"/>
      <c r="AM952" s="443" t="str">
        <f t="shared" si="144"/>
        <v>&lt;p&gt;
&lt;n&gt;  狩猎：&lt;/n&gt;
 &lt;n&gt; &lt;/n&gt;&lt;goto id="10128" mapid="6" flagpoint="1" taskid="12343" quick="1"/&gt;
&lt;/p&gt;</v>
      </c>
      <c r="AN952" s="443" t="str">
        <f t="shared" si="141"/>
        <v>&lt;p&gt;
&lt;n&gt;  交：&lt;/n&gt;
 &lt;n&gt; &lt;/n&gt;&lt;goto id="60099" mapid="6" flagpoint="1" taskid="12343" quick="1"/&gt;&lt;/p&gt;</v>
      </c>
      <c r="AO952" s="26"/>
      <c r="AP952" s="275">
        <v>0</v>
      </c>
      <c r="AQ952" s="275">
        <v>1</v>
      </c>
      <c r="AR952" s="26">
        <v>0</v>
      </c>
      <c r="AS952" s="26">
        <v>0</v>
      </c>
      <c r="AT952" s="26">
        <v>1</v>
      </c>
      <c r="AU952" s="26">
        <v>0</v>
      </c>
      <c r="AV952" s="17">
        <f t="shared" si="135"/>
        <v>0</v>
      </c>
      <c r="AW952" s="26" t="str">
        <f t="shared" si="142"/>
        <v>{s_taskKillNpc, {60099,60099,10128,75}}</v>
      </c>
      <c r="AX952" s="475">
        <v>1.3</v>
      </c>
      <c r="AY952" s="484">
        <v>50</v>
      </c>
    </row>
    <row r="953" spans="1:51" s="490" customFormat="1" ht="72.75" thickBot="1" x14ac:dyDescent="0.2">
      <c r="A953" s="39">
        <v>12344</v>
      </c>
      <c r="B953" s="26"/>
      <c r="C953" s="26" t="s">
        <v>2610</v>
      </c>
      <c r="D953" s="26">
        <v>2</v>
      </c>
      <c r="E953" s="26">
        <v>0</v>
      </c>
      <c r="F953" s="26">
        <v>6</v>
      </c>
      <c r="G953" s="120">
        <v>200</v>
      </c>
      <c r="H953" s="26">
        <v>200</v>
      </c>
      <c r="I953" s="17">
        <v>0</v>
      </c>
      <c r="J953" s="476">
        <v>0</v>
      </c>
      <c r="K953" s="26">
        <v>0</v>
      </c>
      <c r="L953" s="275">
        <v>60099</v>
      </c>
      <c r="M953" s="275" t="s">
        <v>673</v>
      </c>
      <c r="N953" s="275">
        <v>60099</v>
      </c>
      <c r="O953" s="275" t="s">
        <v>673</v>
      </c>
      <c r="P953" s="26"/>
      <c r="Q953" s="43"/>
      <c r="R953" s="43"/>
      <c r="S953" s="43">
        <v>10128</v>
      </c>
      <c r="T953" s="43"/>
      <c r="U953" s="26">
        <v>75</v>
      </c>
      <c r="V953" s="26">
        <v>0</v>
      </c>
      <c r="W953" s="26">
        <v>0</v>
      </c>
      <c r="X953" s="26"/>
      <c r="Y953" s="26"/>
      <c r="Z953" s="478">
        <f>ROUND(AY953*(30+G953^1.5)*AX953,0)</f>
        <v>228674</v>
      </c>
      <c r="AA953" s="26"/>
      <c r="AB953" s="45"/>
      <c r="AC953" s="45"/>
      <c r="AD953" s="26"/>
      <c r="AE953" s="26"/>
      <c r="AF953" s="26" t="str">
        <f t="shared" si="149"/>
        <v>title([53级]狩猎刚猪[黄])
body(hotyellow_3(任务进程:)newline()
   狩猎goto(10128,6)，去找goto(60099,6)。
blankline()hotyellow_3(任务描述:)newline() 
space()space()space()player()，我这里有一份有关消灭剑阁刚猪的委托单，如果你有兴趣的话，就由你来完成吧！)</v>
      </c>
      <c r="AG953" s="443" t="s">
        <v>3992</v>
      </c>
      <c r="AH953" s="26" t="s">
        <v>291</v>
      </c>
      <c r="AI953" s="26" t="s">
        <v>292</v>
      </c>
      <c r="AJ953" s="26" t="s">
        <v>6408</v>
      </c>
      <c r="AK953" s="26"/>
      <c r="AL953" s="48"/>
      <c r="AM953" s="443" t="str">
        <f t="shared" si="144"/>
        <v>&lt;p&gt;
&lt;n&gt;  狩猎：&lt;/n&gt;
 &lt;n&gt; &lt;/n&gt;&lt;goto id="10128" mapid="6" flagpoint="1" taskid="12344" quick="1"/&gt;
&lt;/p&gt;</v>
      </c>
      <c r="AN953" s="443" t="str">
        <f t="shared" si="141"/>
        <v>&lt;p&gt;
&lt;n&gt;  交：&lt;/n&gt;
 &lt;n&gt; &lt;/n&gt;&lt;goto id="60099" mapid="6" flagpoint="1" taskid="12344" quick="1"/&gt;&lt;/p&gt;</v>
      </c>
      <c r="AO953" s="26"/>
      <c r="AP953" s="275">
        <v>0</v>
      </c>
      <c r="AQ953" s="275">
        <v>1</v>
      </c>
      <c r="AR953" s="26">
        <v>0</v>
      </c>
      <c r="AS953" s="26">
        <v>0</v>
      </c>
      <c r="AT953" s="26">
        <v>1</v>
      </c>
      <c r="AU953" s="26">
        <v>0</v>
      </c>
      <c r="AV953" s="17">
        <f t="shared" ref="AV953:AV1016" si="150">IF(D953 = 1,1,0)</f>
        <v>0</v>
      </c>
      <c r="AW953" s="26" t="str">
        <f t="shared" si="142"/>
        <v>{s_taskKillNpc, {60099,60099,10128,75}}</v>
      </c>
      <c r="AX953" s="475">
        <v>1.6</v>
      </c>
      <c r="AY953" s="484">
        <v>50</v>
      </c>
    </row>
    <row r="954" spans="1:51" s="490" customFormat="1" ht="72.75" thickBot="1" x14ac:dyDescent="0.2">
      <c r="A954" s="39">
        <v>12345</v>
      </c>
      <c r="B954" s="26"/>
      <c r="C954" s="26" t="s">
        <v>2635</v>
      </c>
      <c r="D954" s="26">
        <v>2</v>
      </c>
      <c r="E954" s="26">
        <v>0</v>
      </c>
      <c r="F954" s="26">
        <v>6</v>
      </c>
      <c r="G954" s="120">
        <v>200</v>
      </c>
      <c r="H954" s="26">
        <v>200</v>
      </c>
      <c r="I954" s="17">
        <v>0</v>
      </c>
      <c r="J954" s="476">
        <v>0</v>
      </c>
      <c r="K954" s="26">
        <v>0</v>
      </c>
      <c r="L954" s="275">
        <v>60099</v>
      </c>
      <c r="M954" s="275" t="s">
        <v>673</v>
      </c>
      <c r="N954" s="275">
        <v>60099</v>
      </c>
      <c r="O954" s="275" t="s">
        <v>673</v>
      </c>
      <c r="P954" s="26"/>
      <c r="Q954" s="43"/>
      <c r="R954" s="43"/>
      <c r="S954" s="43">
        <v>10128</v>
      </c>
      <c r="T954" s="43"/>
      <c r="U954" s="26">
        <v>75</v>
      </c>
      <c r="V954" s="26">
        <v>0</v>
      </c>
      <c r="W954" s="26">
        <v>0</v>
      </c>
      <c r="X954" s="26"/>
      <c r="Y954" s="26"/>
      <c r="Z954" s="478">
        <f>ROUND(AY954*(30+G954^1.5)*AX954,0)</f>
        <v>314427</v>
      </c>
      <c r="AA954" s="26"/>
      <c r="AB954" s="45"/>
      <c r="AC954" s="45"/>
      <c r="AD954" s="26"/>
      <c r="AE954" s="26"/>
      <c r="AF954" s="26" t="str">
        <f t="shared" si="149"/>
        <v>title([53级]狩猎刚猪[绿])
body(hotyellow_3(任务进程:)newline()
   狩猎goto(10128,6)，去找goto(60099,6)。
blankline()hotyellow_3(任务描述:)newline() 
space()space()space()player()，我这里有一份有关消灭剑阁刚猪的委托单，如果你有兴趣的话，就由你来完成吧！)</v>
      </c>
      <c r="AG954" s="443" t="s">
        <v>3993</v>
      </c>
      <c r="AH954" s="26" t="s">
        <v>291</v>
      </c>
      <c r="AI954" s="26" t="s">
        <v>292</v>
      </c>
      <c r="AJ954" s="26" t="s">
        <v>6408</v>
      </c>
      <c r="AK954" s="26"/>
      <c r="AL954" s="48"/>
      <c r="AM954" s="443" t="str">
        <f t="shared" si="144"/>
        <v>&lt;p&gt;
&lt;n&gt;  狩猎：&lt;/n&gt;
 &lt;n&gt; &lt;/n&gt;&lt;goto id="10128" mapid="6" flagpoint="1" taskid="12345" quick="1"/&gt;
&lt;/p&gt;</v>
      </c>
      <c r="AN954" s="443" t="str">
        <f t="shared" si="141"/>
        <v>&lt;p&gt;
&lt;n&gt;  交：&lt;/n&gt;
 &lt;n&gt; &lt;/n&gt;&lt;goto id="60099" mapid="6" flagpoint="1" taskid="12345" quick="1"/&gt;&lt;/p&gt;</v>
      </c>
      <c r="AO954" s="26"/>
      <c r="AP954" s="275">
        <v>0</v>
      </c>
      <c r="AQ954" s="275">
        <v>1</v>
      </c>
      <c r="AR954" s="26">
        <v>0</v>
      </c>
      <c r="AS954" s="26">
        <v>0</v>
      </c>
      <c r="AT954" s="26">
        <v>1</v>
      </c>
      <c r="AU954" s="26">
        <v>0</v>
      </c>
      <c r="AV954" s="17">
        <f t="shared" si="150"/>
        <v>0</v>
      </c>
      <c r="AW954" s="26" t="str">
        <f t="shared" si="142"/>
        <v>{s_taskKillNpc, {60099,60099,10128,75}}</v>
      </c>
      <c r="AX954" s="475">
        <v>2.2000000000000002</v>
      </c>
      <c r="AY954" s="484">
        <v>50</v>
      </c>
    </row>
    <row r="955" spans="1:51" s="490" customFormat="1" ht="72.75" thickBot="1" x14ac:dyDescent="0.2">
      <c r="A955" s="39">
        <v>12346</v>
      </c>
      <c r="B955" s="26"/>
      <c r="C955" s="26" t="s">
        <v>2660</v>
      </c>
      <c r="D955" s="26">
        <v>2</v>
      </c>
      <c r="E955" s="26">
        <v>0</v>
      </c>
      <c r="F955" s="26">
        <v>6</v>
      </c>
      <c r="G955" s="120">
        <v>200</v>
      </c>
      <c r="H955" s="26">
        <v>200</v>
      </c>
      <c r="I955" s="17">
        <v>0</v>
      </c>
      <c r="J955" s="476">
        <v>0</v>
      </c>
      <c r="K955" s="26">
        <v>0</v>
      </c>
      <c r="L955" s="275">
        <v>60099</v>
      </c>
      <c r="M955" s="275" t="s">
        <v>673</v>
      </c>
      <c r="N955" s="275">
        <v>60099</v>
      </c>
      <c r="O955" s="275" t="s">
        <v>673</v>
      </c>
      <c r="P955" s="26"/>
      <c r="Q955" s="43"/>
      <c r="R955" s="43"/>
      <c r="S955" s="43">
        <v>10128</v>
      </c>
      <c r="T955" s="43"/>
      <c r="U955" s="26">
        <v>75</v>
      </c>
      <c r="V955" s="26">
        <v>0</v>
      </c>
      <c r="W955" s="26">
        <v>0</v>
      </c>
      <c r="X955" s="26"/>
      <c r="Y955" s="26"/>
      <c r="Z955" s="478">
        <f>ROUND(AY955*(30+G955^1.5)*AX955,0)</f>
        <v>428764</v>
      </c>
      <c r="AA955" s="26"/>
      <c r="AB955" s="45"/>
      <c r="AC955" s="45"/>
      <c r="AD955" s="26"/>
      <c r="AE955" s="26"/>
      <c r="AF955" s="26" t="str">
        <f t="shared" si="149"/>
        <v>title([53级]狩猎刚猪[紫])
body(hotyellow_3(任务进程:)newline()
   狩猎goto(10128,6)，去找goto(60099,6)。
blankline()hotyellow_3(任务描述:)newline() 
space()space()space()player()，我这里有一份有关消灭剑阁刚猪的委托单，如果你有兴趣的话，就由你来完成吧！)</v>
      </c>
      <c r="AG955" s="452" t="s">
        <v>3994</v>
      </c>
      <c r="AH955" s="26" t="s">
        <v>291</v>
      </c>
      <c r="AI955" s="26" t="s">
        <v>292</v>
      </c>
      <c r="AJ955" s="26" t="s">
        <v>6408</v>
      </c>
      <c r="AK955" s="26"/>
      <c r="AL955" s="48"/>
      <c r="AM955" s="443" t="str">
        <f t="shared" si="144"/>
        <v>&lt;p&gt;
&lt;n&gt;  狩猎：&lt;/n&gt;
 &lt;n&gt; &lt;/n&gt;&lt;goto id="10128" mapid="6" flagpoint="1" taskid="12346" quick="1"/&gt;
&lt;/p&gt;</v>
      </c>
      <c r="AN955" s="443" t="str">
        <f t="shared" si="141"/>
        <v>&lt;p&gt;
&lt;n&gt;  交：&lt;/n&gt;
 &lt;n&gt; &lt;/n&gt;&lt;goto id="60099" mapid="6" flagpoint="1" taskid="12346" quick="1"/&gt;&lt;/p&gt;</v>
      </c>
      <c r="AO955" s="26"/>
      <c r="AP955" s="485">
        <v>0</v>
      </c>
      <c r="AQ955" s="275">
        <v>1</v>
      </c>
      <c r="AR955" s="26">
        <v>0</v>
      </c>
      <c r="AS955" s="26">
        <v>0</v>
      </c>
      <c r="AT955" s="26">
        <v>1</v>
      </c>
      <c r="AU955" s="26">
        <v>0</v>
      </c>
      <c r="AV955" s="17">
        <f t="shared" si="150"/>
        <v>0</v>
      </c>
      <c r="AW955" s="26" t="str">
        <f t="shared" si="142"/>
        <v>{s_taskKillNpc, {60099,60099,10128,75}}</v>
      </c>
      <c r="AX955" s="475">
        <v>3</v>
      </c>
      <c r="AY955" s="484">
        <v>50</v>
      </c>
    </row>
    <row r="956" spans="1:51" s="491" customFormat="1" ht="192" x14ac:dyDescent="0.15">
      <c r="A956" s="491">
        <v>13052</v>
      </c>
      <c r="C956" s="491" t="s">
        <v>2240</v>
      </c>
      <c r="D956" s="491">
        <v>2</v>
      </c>
      <c r="E956" s="491">
        <v>0</v>
      </c>
      <c r="F956" s="491">
        <v>3</v>
      </c>
      <c r="G956" s="120">
        <v>200</v>
      </c>
      <c r="H956" s="491">
        <v>200</v>
      </c>
      <c r="I956" s="17">
        <v>0</v>
      </c>
      <c r="J956" s="492">
        <v>0</v>
      </c>
      <c r="K956" s="491">
        <v>0</v>
      </c>
      <c r="L956" s="491">
        <v>60000</v>
      </c>
      <c r="M956" s="491" t="s">
        <v>192</v>
      </c>
      <c r="N956" s="491">
        <v>60000</v>
      </c>
      <c r="O956" s="491" t="s">
        <v>192</v>
      </c>
      <c r="U956" s="491">
        <v>3</v>
      </c>
      <c r="V956" s="491">
        <v>0</v>
      </c>
      <c r="W956" s="491">
        <v>25</v>
      </c>
      <c r="Z956" s="493"/>
      <c r="AD956" s="491" t="s">
        <v>1421</v>
      </c>
      <c r="AF956" s="494" t="s">
        <v>4614</v>
      </c>
      <c r="AG956" s="491" t="s">
        <v>4615</v>
      </c>
      <c r="AH956" s="491" t="s">
        <v>1422</v>
      </c>
      <c r="AI956" s="491" t="s">
        <v>4316</v>
      </c>
      <c r="AJ956" s="491" t="s">
        <v>6409</v>
      </c>
      <c r="AL956" s="492">
        <v>0</v>
      </c>
      <c r="AM956" s="494" t="s">
        <v>6167</v>
      </c>
      <c r="AN956" s="494" t="s">
        <v>5873</v>
      </c>
      <c r="AO956" s="491" t="s">
        <v>1423</v>
      </c>
      <c r="AP956" s="491">
        <v>1</v>
      </c>
      <c r="AQ956" s="491">
        <v>0</v>
      </c>
      <c r="AR956" s="491">
        <v>0</v>
      </c>
      <c r="AS956" s="491">
        <v>0</v>
      </c>
      <c r="AT956" s="491">
        <v>0</v>
      </c>
      <c r="AU956" s="226">
        <v>0</v>
      </c>
      <c r="AV956" s="17">
        <f t="shared" si="150"/>
        <v>0</v>
      </c>
      <c r="AW956" s="491" t="str">
        <f>"{s_taskTalk,{"&amp;L956&amp;","&amp;N956&amp;"}}"</f>
        <v>{s_taskTalk,{60000,60000}}</v>
      </c>
    </row>
    <row r="957" spans="1:51" s="496" customFormat="1" ht="132" x14ac:dyDescent="0.15">
      <c r="A957" s="495">
        <v>13051</v>
      </c>
      <c r="C957" s="496" t="s">
        <v>2241</v>
      </c>
      <c r="D957" s="29">
        <v>2</v>
      </c>
      <c r="E957" s="29">
        <v>0</v>
      </c>
      <c r="F957" s="496">
        <v>3</v>
      </c>
      <c r="G957" s="120">
        <v>200</v>
      </c>
      <c r="H957" s="496">
        <v>200</v>
      </c>
      <c r="I957" s="17">
        <v>0</v>
      </c>
      <c r="J957" s="497">
        <v>0</v>
      </c>
      <c r="K957" s="496">
        <v>0</v>
      </c>
      <c r="L957" s="496">
        <v>60000</v>
      </c>
      <c r="M957" s="496" t="s">
        <v>192</v>
      </c>
      <c r="N957" s="496">
        <v>60000</v>
      </c>
      <c r="O957" s="496" t="s">
        <v>192</v>
      </c>
      <c r="Q957" s="498"/>
      <c r="R957" s="498"/>
      <c r="S957" s="498">
        <v>10173</v>
      </c>
      <c r="T957" s="498"/>
      <c r="U957" s="496">
        <v>1</v>
      </c>
      <c r="V957" s="496">
        <v>0</v>
      </c>
      <c r="W957" s="496">
        <v>25</v>
      </c>
      <c r="Z957" s="132"/>
      <c r="AB957" s="499"/>
      <c r="AC957" s="499"/>
      <c r="AD957" s="496" t="s">
        <v>1242</v>
      </c>
      <c r="AF957" s="496" t="s">
        <v>4616</v>
      </c>
      <c r="AG957" s="496" t="s">
        <v>4617</v>
      </c>
      <c r="AH957" s="496" t="s">
        <v>1417</v>
      </c>
      <c r="AI957" s="496" t="s">
        <v>4317</v>
      </c>
      <c r="AJ957" s="496" t="s">
        <v>6410</v>
      </c>
      <c r="AL957" s="497">
        <v>0</v>
      </c>
      <c r="AM957" s="500" t="s">
        <v>6168</v>
      </c>
      <c r="AN957" s="500" t="s">
        <v>5874</v>
      </c>
      <c r="AP957" s="496">
        <v>1</v>
      </c>
      <c r="AQ957" s="496">
        <v>0</v>
      </c>
      <c r="AR957" s="496">
        <v>0</v>
      </c>
      <c r="AS957" s="496">
        <v>0</v>
      </c>
      <c r="AT957" s="496">
        <v>0</v>
      </c>
      <c r="AU957" s="29">
        <v>0</v>
      </c>
      <c r="AV957" s="17">
        <f t="shared" si="150"/>
        <v>0</v>
      </c>
      <c r="AW957" s="29" t="str">
        <f>"{s_taskKillNpc, {"&amp;L957&amp;","&amp;N957&amp;","&amp;S957&amp;","&amp;U957&amp;"}}"</f>
        <v>{s_taskKillNpc, {60000,60000,10173,1}}</v>
      </c>
    </row>
    <row r="958" spans="1:51" s="491" customFormat="1" ht="48" x14ac:dyDescent="0.15">
      <c r="A958" s="491">
        <v>11021</v>
      </c>
      <c r="B958" s="491">
        <v>10021</v>
      </c>
      <c r="C958" s="491" t="s">
        <v>3188</v>
      </c>
      <c r="D958" s="491">
        <v>2</v>
      </c>
      <c r="E958" s="491">
        <v>0</v>
      </c>
      <c r="F958" s="491">
        <v>1</v>
      </c>
      <c r="G958" s="120">
        <v>200</v>
      </c>
      <c r="H958" s="491">
        <v>200</v>
      </c>
      <c r="I958" s="17">
        <v>0</v>
      </c>
      <c r="J958" s="492">
        <v>1101</v>
      </c>
      <c r="K958" s="491">
        <v>0</v>
      </c>
      <c r="L958" s="491">
        <v>60045</v>
      </c>
      <c r="M958" s="491" t="s">
        <v>1082</v>
      </c>
      <c r="N958" s="491">
        <v>60016</v>
      </c>
      <c r="O958" s="491" t="s">
        <v>5145</v>
      </c>
      <c r="Z958" s="493">
        <v>0</v>
      </c>
      <c r="AE958" s="491" t="s">
        <v>433</v>
      </c>
      <c r="AF958" s="491" t="s">
        <v>2661</v>
      </c>
      <c r="AG958" s="491" t="s">
        <v>1367</v>
      </c>
      <c r="AH958" s="491" t="s">
        <v>549</v>
      </c>
      <c r="AI958" s="491" t="s">
        <v>2662</v>
      </c>
      <c r="AJ958" s="491" t="s">
        <v>6411</v>
      </c>
      <c r="AK958" s="491" t="s">
        <v>339</v>
      </c>
      <c r="AL958" s="492">
        <v>0</v>
      </c>
      <c r="AM958" s="491" t="s">
        <v>2663</v>
      </c>
      <c r="AN958" s="494" t="s">
        <v>5875</v>
      </c>
      <c r="AP958" s="491">
        <v>1</v>
      </c>
      <c r="AQ958" s="491">
        <v>0</v>
      </c>
      <c r="AR958" s="491">
        <v>0</v>
      </c>
      <c r="AS958" s="491">
        <v>0</v>
      </c>
      <c r="AT958" s="491">
        <v>0</v>
      </c>
      <c r="AU958" s="226">
        <v>0</v>
      </c>
      <c r="AV958" s="17">
        <f t="shared" si="150"/>
        <v>0</v>
      </c>
      <c r="AW958" s="491" t="str">
        <f t="shared" ref="AW958:AW963" si="151">"{s_taskTalk,{"&amp;L958&amp;","&amp;N958&amp;"}}"</f>
        <v>{s_taskTalk,{60045,60016}}</v>
      </c>
    </row>
    <row r="959" spans="1:51" s="491" customFormat="1" ht="96" x14ac:dyDescent="0.15">
      <c r="A959" s="491">
        <v>11961</v>
      </c>
      <c r="C959" s="491" t="s">
        <v>2242</v>
      </c>
      <c r="D959" s="491">
        <v>2</v>
      </c>
      <c r="E959" s="491">
        <v>0</v>
      </c>
      <c r="F959" s="491">
        <v>1</v>
      </c>
      <c r="G959" s="120">
        <v>200</v>
      </c>
      <c r="H959" s="491">
        <v>200</v>
      </c>
      <c r="I959" s="17">
        <v>0</v>
      </c>
      <c r="J959" s="492">
        <v>10105</v>
      </c>
      <c r="K959" s="491">
        <v>0</v>
      </c>
      <c r="L959" s="491">
        <v>60056</v>
      </c>
      <c r="M959" s="491" t="s">
        <v>198</v>
      </c>
      <c r="N959" s="491">
        <v>60076</v>
      </c>
      <c r="O959" s="491" t="s">
        <v>234</v>
      </c>
      <c r="Z959" s="493">
        <v>0</v>
      </c>
      <c r="AF959" s="494" t="s">
        <v>4318</v>
      </c>
      <c r="AG959" s="491" t="s">
        <v>4353</v>
      </c>
      <c r="AH959" s="491" t="s">
        <v>4354</v>
      </c>
      <c r="AI959" s="491" t="s">
        <v>2662</v>
      </c>
      <c r="AJ959" s="491" t="s">
        <v>6412</v>
      </c>
      <c r="AL959" s="492">
        <v>0</v>
      </c>
      <c r="AM959" s="494" t="s">
        <v>4319</v>
      </c>
      <c r="AN959" s="494" t="s">
        <v>4320</v>
      </c>
      <c r="AP959" s="491">
        <v>1</v>
      </c>
      <c r="AQ959" s="491">
        <v>0</v>
      </c>
      <c r="AR959" s="491">
        <v>0</v>
      </c>
      <c r="AS959" s="491">
        <v>0</v>
      </c>
      <c r="AT959" s="491">
        <v>0</v>
      </c>
      <c r="AU959" s="226">
        <v>0</v>
      </c>
      <c r="AV959" s="17">
        <f t="shared" si="150"/>
        <v>0</v>
      </c>
      <c r="AW959" s="491" t="str">
        <f t="shared" si="151"/>
        <v>{s_taskTalk,{60056,60076}}</v>
      </c>
    </row>
    <row r="960" spans="1:51" s="491" customFormat="1" ht="108" x14ac:dyDescent="0.15">
      <c r="A960" s="491">
        <v>11962</v>
      </c>
      <c r="C960" s="491" t="s">
        <v>2243</v>
      </c>
      <c r="D960" s="491">
        <v>2</v>
      </c>
      <c r="E960" s="491">
        <v>0</v>
      </c>
      <c r="F960" s="491">
        <v>1</v>
      </c>
      <c r="G960" s="120">
        <v>200</v>
      </c>
      <c r="H960" s="491">
        <v>200</v>
      </c>
      <c r="I960" s="17">
        <v>0</v>
      </c>
      <c r="J960" s="492">
        <v>11961</v>
      </c>
      <c r="K960" s="491">
        <v>0</v>
      </c>
      <c r="L960" s="491">
        <v>60076</v>
      </c>
      <c r="M960" s="491" t="s">
        <v>234</v>
      </c>
      <c r="N960" s="491">
        <v>60099</v>
      </c>
      <c r="O960" s="491" t="s">
        <v>673</v>
      </c>
      <c r="Z960" s="493">
        <v>0</v>
      </c>
      <c r="AF960" s="494" t="s">
        <v>4355</v>
      </c>
      <c r="AG960" s="491" t="s">
        <v>4356</v>
      </c>
      <c r="AH960" s="491" t="s">
        <v>281</v>
      </c>
      <c r="AI960" s="491" t="s">
        <v>2662</v>
      </c>
      <c r="AJ960" s="491" t="s">
        <v>6413</v>
      </c>
      <c r="AL960" s="492">
        <v>0</v>
      </c>
      <c r="AM960" s="494" t="s">
        <v>4357</v>
      </c>
      <c r="AN960" s="494" t="s">
        <v>4357</v>
      </c>
      <c r="AP960" s="491">
        <v>0</v>
      </c>
      <c r="AQ960" s="491">
        <v>0</v>
      </c>
      <c r="AR960" s="491">
        <v>0</v>
      </c>
      <c r="AS960" s="491">
        <v>0</v>
      </c>
      <c r="AT960" s="491">
        <v>0</v>
      </c>
      <c r="AU960" s="226">
        <v>0</v>
      </c>
      <c r="AV960" s="17">
        <f t="shared" si="150"/>
        <v>0</v>
      </c>
      <c r="AW960" s="491" t="str">
        <f t="shared" si="151"/>
        <v>{s_taskTalk,{60076,60099}}</v>
      </c>
    </row>
    <row r="961" spans="1:49" s="491" customFormat="1" x14ac:dyDescent="0.15">
      <c r="A961" s="491">
        <v>11963</v>
      </c>
      <c r="B961" s="491" t="s">
        <v>434</v>
      </c>
      <c r="C961" s="491" t="s">
        <v>2244</v>
      </c>
      <c r="D961" s="491">
        <v>2</v>
      </c>
      <c r="E961" s="491">
        <v>0</v>
      </c>
      <c r="F961" s="491">
        <v>1</v>
      </c>
      <c r="G961" s="120">
        <v>200</v>
      </c>
      <c r="H961" s="491">
        <v>200</v>
      </c>
      <c r="I961" s="17">
        <v>0</v>
      </c>
      <c r="J961" s="492">
        <v>11962</v>
      </c>
      <c r="K961" s="491">
        <v>0</v>
      </c>
      <c r="L961" s="491">
        <v>60099</v>
      </c>
      <c r="M961" s="491" t="s">
        <v>673</v>
      </c>
      <c r="N961" s="491">
        <v>60093</v>
      </c>
      <c r="O961" s="491" t="s">
        <v>435</v>
      </c>
      <c r="Z961" s="493">
        <v>0</v>
      </c>
      <c r="AF961" s="491" t="s">
        <v>2664</v>
      </c>
      <c r="AG961" s="491" t="s">
        <v>2665</v>
      </c>
      <c r="AH961" s="491" t="s">
        <v>293</v>
      </c>
      <c r="AJ961" s="491" t="s">
        <v>6414</v>
      </c>
      <c r="AL961" s="492">
        <v>0</v>
      </c>
      <c r="AM961" s="491" t="s">
        <v>2666</v>
      </c>
      <c r="AN961" s="491" t="s">
        <v>436</v>
      </c>
      <c r="AP961" s="491">
        <v>1</v>
      </c>
      <c r="AQ961" s="491">
        <v>0</v>
      </c>
      <c r="AR961" s="491">
        <v>0</v>
      </c>
      <c r="AS961" s="491">
        <v>0</v>
      </c>
      <c r="AT961" s="491">
        <v>0</v>
      </c>
      <c r="AU961" s="226">
        <v>0</v>
      </c>
      <c r="AV961" s="17">
        <f t="shared" si="150"/>
        <v>0</v>
      </c>
      <c r="AW961" s="491" t="str">
        <f t="shared" si="151"/>
        <v>{s_taskTalk,{60099,60093}}</v>
      </c>
    </row>
    <row r="962" spans="1:49" s="491" customFormat="1" x14ac:dyDescent="0.15">
      <c r="A962" s="491">
        <v>11964</v>
      </c>
      <c r="C962" s="491" t="s">
        <v>2245</v>
      </c>
      <c r="D962" s="491">
        <v>2</v>
      </c>
      <c r="E962" s="491">
        <v>0</v>
      </c>
      <c r="F962" s="491">
        <v>1</v>
      </c>
      <c r="G962" s="120">
        <v>200</v>
      </c>
      <c r="H962" s="491">
        <v>200</v>
      </c>
      <c r="I962" s="17">
        <v>0</v>
      </c>
      <c r="J962" s="492">
        <v>11963</v>
      </c>
      <c r="K962" s="491">
        <v>0</v>
      </c>
      <c r="L962" s="491">
        <v>60093</v>
      </c>
      <c r="M962" s="491" t="s">
        <v>220</v>
      </c>
      <c r="N962" s="491">
        <v>60094</v>
      </c>
      <c r="O962" s="491" t="s">
        <v>2667</v>
      </c>
      <c r="Z962" s="493">
        <v>0</v>
      </c>
      <c r="AF962" s="491" t="s">
        <v>2668</v>
      </c>
      <c r="AG962" s="491" t="s">
        <v>2669</v>
      </c>
      <c r="AH962" s="491" t="s">
        <v>282</v>
      </c>
      <c r="AI962" s="491" t="s">
        <v>39</v>
      </c>
      <c r="AJ962" s="491" t="s">
        <v>6415</v>
      </c>
      <c r="AL962" s="492">
        <v>0</v>
      </c>
      <c r="AM962" s="491" t="s">
        <v>2670</v>
      </c>
      <c r="AN962" s="491" t="s">
        <v>2671</v>
      </c>
      <c r="AP962" s="491">
        <v>0</v>
      </c>
      <c r="AQ962" s="491">
        <v>0</v>
      </c>
      <c r="AR962" s="491">
        <v>0</v>
      </c>
      <c r="AS962" s="491">
        <v>0</v>
      </c>
      <c r="AT962" s="491">
        <v>0</v>
      </c>
      <c r="AU962" s="226">
        <v>0</v>
      </c>
      <c r="AV962" s="17">
        <f t="shared" si="150"/>
        <v>0</v>
      </c>
      <c r="AW962" s="491" t="str">
        <f t="shared" si="151"/>
        <v>{s_taskTalk,{60093,60094}}</v>
      </c>
    </row>
    <row r="963" spans="1:49" s="491" customFormat="1" ht="48" x14ac:dyDescent="0.15">
      <c r="A963" s="491">
        <v>11571</v>
      </c>
      <c r="C963" s="491" t="s">
        <v>2246</v>
      </c>
      <c r="D963" s="491">
        <v>2</v>
      </c>
      <c r="E963" s="491">
        <v>0</v>
      </c>
      <c r="F963" s="491">
        <v>6</v>
      </c>
      <c r="G963" s="120">
        <v>200</v>
      </c>
      <c r="H963" s="491">
        <v>200</v>
      </c>
      <c r="I963" s="17">
        <v>0</v>
      </c>
      <c r="J963" s="492">
        <v>0</v>
      </c>
      <c r="K963" s="491">
        <v>0</v>
      </c>
      <c r="L963" s="491">
        <v>0</v>
      </c>
      <c r="N963" s="491">
        <v>60098</v>
      </c>
      <c r="O963" s="491" t="s">
        <v>2672</v>
      </c>
      <c r="T963" s="491">
        <v>31138</v>
      </c>
      <c r="Z963" s="493">
        <v>0</v>
      </c>
      <c r="AF963" s="491" t="s">
        <v>2673</v>
      </c>
      <c r="AG963" s="491" t="s">
        <v>2674</v>
      </c>
      <c r="AH963" s="491" t="s">
        <v>437</v>
      </c>
      <c r="AI963" s="491" t="s">
        <v>2675</v>
      </c>
      <c r="AJ963" s="491" t="s">
        <v>6416</v>
      </c>
      <c r="AL963" s="492">
        <v>0</v>
      </c>
      <c r="AM963" s="491" t="s">
        <v>2676</v>
      </c>
      <c r="AN963" s="494" t="s">
        <v>5876</v>
      </c>
      <c r="AO963" s="491" t="s">
        <v>438</v>
      </c>
      <c r="AP963" s="491">
        <v>0</v>
      </c>
      <c r="AQ963" s="491">
        <v>0</v>
      </c>
      <c r="AR963" s="491">
        <v>0</v>
      </c>
      <c r="AS963" s="491">
        <v>0</v>
      </c>
      <c r="AT963" s="491">
        <v>0</v>
      </c>
      <c r="AU963" s="226">
        <v>0</v>
      </c>
      <c r="AV963" s="17">
        <f t="shared" si="150"/>
        <v>0</v>
      </c>
      <c r="AW963" s="491" t="str">
        <f t="shared" si="151"/>
        <v>{s_taskTalk,{0,60098}}</v>
      </c>
    </row>
    <row r="964" spans="1:49" s="491" customFormat="1" ht="48" x14ac:dyDescent="0.15">
      <c r="A964" s="491">
        <v>11581</v>
      </c>
      <c r="C964" s="491" t="s">
        <v>2247</v>
      </c>
      <c r="D964" s="491">
        <v>2</v>
      </c>
      <c r="E964" s="491">
        <v>0</v>
      </c>
      <c r="F964" s="491">
        <v>6</v>
      </c>
      <c r="G964" s="120">
        <v>200</v>
      </c>
      <c r="H964" s="491">
        <v>200</v>
      </c>
      <c r="I964" s="17">
        <v>0</v>
      </c>
      <c r="J964" s="492">
        <v>11571</v>
      </c>
      <c r="K964" s="491">
        <v>0</v>
      </c>
      <c r="L964" s="491">
        <v>60098</v>
      </c>
      <c r="M964" s="491" t="s">
        <v>225</v>
      </c>
      <c r="N964" s="491">
        <v>60073</v>
      </c>
      <c r="O964" s="491" t="s">
        <v>2677</v>
      </c>
      <c r="Z964" s="493">
        <v>0</v>
      </c>
      <c r="AF964" s="491" t="s">
        <v>2678</v>
      </c>
      <c r="AG964" s="491" t="s">
        <v>4740</v>
      </c>
      <c r="AH964" s="491" t="s">
        <v>4741</v>
      </c>
      <c r="AJ964" s="491" t="s">
        <v>6374</v>
      </c>
      <c r="AL964" s="492">
        <v>0</v>
      </c>
      <c r="AM964" s="491" t="s">
        <v>2679</v>
      </c>
      <c r="AN964" s="494" t="s">
        <v>5877</v>
      </c>
      <c r="AP964" s="491">
        <v>0</v>
      </c>
      <c r="AQ964" s="491">
        <v>0</v>
      </c>
      <c r="AR964" s="491">
        <v>0</v>
      </c>
      <c r="AS964" s="491">
        <v>0</v>
      </c>
      <c r="AT964" s="491">
        <v>0</v>
      </c>
      <c r="AU964" s="226">
        <v>0</v>
      </c>
      <c r="AV964" s="17">
        <f t="shared" si="150"/>
        <v>0</v>
      </c>
      <c r="AW964" s="491" t="str">
        <f t="shared" ref="AW964:AW988" si="152">"{s_taskTalk,{"&amp;L964&amp;","&amp;N964&amp;"}}"</f>
        <v>{s_taskTalk,{60098,60073}}</v>
      </c>
    </row>
    <row r="965" spans="1:49" s="491" customFormat="1" ht="48" x14ac:dyDescent="0.15">
      <c r="A965" s="491">
        <v>11591</v>
      </c>
      <c r="C965" s="491" t="s">
        <v>2248</v>
      </c>
      <c r="D965" s="491">
        <v>2</v>
      </c>
      <c r="E965" s="491">
        <v>0</v>
      </c>
      <c r="F965" s="491">
        <v>3</v>
      </c>
      <c r="G965" s="120">
        <v>200</v>
      </c>
      <c r="H965" s="491">
        <v>200</v>
      </c>
      <c r="I965" s="17">
        <v>0</v>
      </c>
      <c r="J965" s="492">
        <v>11581</v>
      </c>
      <c r="K965" s="491">
        <v>0</v>
      </c>
      <c r="L965" s="491">
        <v>60073</v>
      </c>
      <c r="M965" s="491" t="s">
        <v>211</v>
      </c>
      <c r="N965" s="491">
        <v>60074</v>
      </c>
      <c r="O965" s="491" t="s">
        <v>2680</v>
      </c>
      <c r="Z965" s="493">
        <v>0</v>
      </c>
      <c r="AF965" s="491" t="s">
        <v>2681</v>
      </c>
      <c r="AG965" s="491" t="s">
        <v>4560</v>
      </c>
      <c r="AH965" s="491" t="s">
        <v>4742</v>
      </c>
      <c r="AJ965" s="491" t="s">
        <v>937</v>
      </c>
      <c r="AL965" s="492">
        <v>0</v>
      </c>
      <c r="AM965" s="491" t="s">
        <v>2682</v>
      </c>
      <c r="AN965" s="494" t="s">
        <v>5878</v>
      </c>
      <c r="AP965" s="491">
        <v>0</v>
      </c>
      <c r="AQ965" s="491">
        <v>0</v>
      </c>
      <c r="AR965" s="491">
        <v>0</v>
      </c>
      <c r="AS965" s="491">
        <v>0</v>
      </c>
      <c r="AT965" s="491">
        <v>0</v>
      </c>
      <c r="AU965" s="226">
        <v>0</v>
      </c>
      <c r="AV965" s="17">
        <f t="shared" si="150"/>
        <v>0</v>
      </c>
      <c r="AW965" s="491" t="str">
        <f t="shared" si="152"/>
        <v>{s_taskTalk,{60073,60074}}</v>
      </c>
    </row>
    <row r="966" spans="1:49" s="491" customFormat="1" ht="48" x14ac:dyDescent="0.15">
      <c r="A966" s="491">
        <v>11601</v>
      </c>
      <c r="C966" s="491" t="s">
        <v>2249</v>
      </c>
      <c r="D966" s="491">
        <v>2</v>
      </c>
      <c r="E966" s="491">
        <v>0</v>
      </c>
      <c r="F966" s="491">
        <v>3</v>
      </c>
      <c r="G966" s="120">
        <v>200</v>
      </c>
      <c r="H966" s="491">
        <v>200</v>
      </c>
      <c r="I966" s="17">
        <v>0</v>
      </c>
      <c r="J966" s="492">
        <v>11591</v>
      </c>
      <c r="K966" s="491">
        <v>0</v>
      </c>
      <c r="L966" s="491">
        <v>60074</v>
      </c>
      <c r="M966" s="491" t="s">
        <v>212</v>
      </c>
      <c r="N966" s="491">
        <v>60078</v>
      </c>
      <c r="O966" s="491" t="s">
        <v>2683</v>
      </c>
      <c r="Z966" s="493">
        <v>0</v>
      </c>
      <c r="AF966" s="491" t="s">
        <v>2684</v>
      </c>
      <c r="AG966" s="491" t="s">
        <v>2685</v>
      </c>
      <c r="AH966" s="491" t="s">
        <v>2686</v>
      </c>
      <c r="AJ966" s="491" t="s">
        <v>6417</v>
      </c>
      <c r="AL966" s="492">
        <v>0</v>
      </c>
      <c r="AM966" s="491" t="s">
        <v>2687</v>
      </c>
      <c r="AN966" s="494" t="s">
        <v>5879</v>
      </c>
      <c r="AP966" s="491">
        <v>0</v>
      </c>
      <c r="AQ966" s="491">
        <v>0</v>
      </c>
      <c r="AR966" s="491">
        <v>0</v>
      </c>
      <c r="AS966" s="491">
        <v>0</v>
      </c>
      <c r="AT966" s="491">
        <v>0</v>
      </c>
      <c r="AU966" s="226">
        <v>0</v>
      </c>
      <c r="AV966" s="17">
        <f t="shared" si="150"/>
        <v>0</v>
      </c>
      <c r="AW966" s="491" t="str">
        <f t="shared" si="152"/>
        <v>{s_taskTalk,{60074,60078}}</v>
      </c>
    </row>
    <row r="967" spans="1:49" s="491" customFormat="1" ht="72" x14ac:dyDescent="0.15">
      <c r="A967" s="491">
        <v>11611</v>
      </c>
      <c r="C967" s="491" t="s">
        <v>2250</v>
      </c>
      <c r="D967" s="491">
        <v>2</v>
      </c>
      <c r="E967" s="491">
        <v>0</v>
      </c>
      <c r="F967" s="491">
        <v>3</v>
      </c>
      <c r="G967" s="120">
        <v>200</v>
      </c>
      <c r="H967" s="491">
        <v>200</v>
      </c>
      <c r="I967" s="17">
        <v>0</v>
      </c>
      <c r="J967" s="492">
        <v>11601</v>
      </c>
      <c r="K967" s="491">
        <v>0</v>
      </c>
      <c r="L967" s="491">
        <v>60078</v>
      </c>
      <c r="M967" s="491" t="s">
        <v>235</v>
      </c>
      <c r="N967" s="491">
        <v>60000</v>
      </c>
      <c r="O967" s="491" t="s">
        <v>2688</v>
      </c>
      <c r="Z967" s="493">
        <v>0</v>
      </c>
      <c r="AF967" s="494" t="s">
        <v>4561</v>
      </c>
      <c r="AG967" s="491" t="s">
        <v>4743</v>
      </c>
      <c r="AH967" s="491" t="s">
        <v>2689</v>
      </c>
      <c r="AJ967" s="491" t="s">
        <v>4522</v>
      </c>
      <c r="AL967" s="492">
        <v>0</v>
      </c>
      <c r="AM967" s="491" t="s">
        <v>2690</v>
      </c>
      <c r="AN967" s="494" t="s">
        <v>5880</v>
      </c>
      <c r="AP967" s="491">
        <v>0</v>
      </c>
      <c r="AQ967" s="491">
        <v>0</v>
      </c>
      <c r="AR967" s="491">
        <v>0</v>
      </c>
      <c r="AS967" s="491">
        <v>0</v>
      </c>
      <c r="AT967" s="491">
        <v>0</v>
      </c>
      <c r="AU967" s="226">
        <v>0</v>
      </c>
      <c r="AV967" s="17">
        <f t="shared" si="150"/>
        <v>0</v>
      </c>
      <c r="AW967" s="491" t="str">
        <f t="shared" si="152"/>
        <v>{s_taskTalk,{60078,60000}}</v>
      </c>
    </row>
    <row r="968" spans="1:49" s="491" customFormat="1" ht="48" x14ac:dyDescent="0.15">
      <c r="A968" s="491">
        <v>11621</v>
      </c>
      <c r="C968" s="491" t="s">
        <v>2251</v>
      </c>
      <c r="D968" s="491">
        <v>2</v>
      </c>
      <c r="E968" s="491">
        <v>0</v>
      </c>
      <c r="F968" s="491">
        <v>3</v>
      </c>
      <c r="G968" s="120">
        <v>200</v>
      </c>
      <c r="H968" s="491">
        <v>200</v>
      </c>
      <c r="I968" s="17">
        <v>0</v>
      </c>
      <c r="J968" s="492">
        <v>11611</v>
      </c>
      <c r="K968" s="491">
        <v>0</v>
      </c>
      <c r="L968" s="491">
        <v>60000</v>
      </c>
      <c r="M968" s="491" t="s">
        <v>439</v>
      </c>
      <c r="N968" s="491">
        <v>60078</v>
      </c>
      <c r="O968" s="491" t="s">
        <v>5179</v>
      </c>
      <c r="Z968" s="493">
        <v>0</v>
      </c>
      <c r="AF968" s="491" t="s">
        <v>2691</v>
      </c>
      <c r="AG968" s="491" t="s">
        <v>2692</v>
      </c>
      <c r="AH968" s="491" t="s">
        <v>2693</v>
      </c>
      <c r="AJ968" s="491" t="s">
        <v>6417</v>
      </c>
      <c r="AL968" s="492">
        <v>0</v>
      </c>
      <c r="AM968" s="491" t="s">
        <v>2694</v>
      </c>
      <c r="AN968" s="494" t="s">
        <v>5881</v>
      </c>
      <c r="AP968" s="491">
        <v>0</v>
      </c>
      <c r="AQ968" s="491">
        <v>0</v>
      </c>
      <c r="AR968" s="491">
        <v>0</v>
      </c>
      <c r="AS968" s="491">
        <v>0</v>
      </c>
      <c r="AT968" s="491">
        <v>0</v>
      </c>
      <c r="AU968" s="226">
        <v>0</v>
      </c>
      <c r="AV968" s="17">
        <f t="shared" si="150"/>
        <v>0</v>
      </c>
      <c r="AW968" s="491" t="str">
        <f t="shared" si="152"/>
        <v>{s_taskTalk,{60000,60078}}</v>
      </c>
    </row>
    <row r="969" spans="1:49" s="491" customFormat="1" ht="228" x14ac:dyDescent="0.15">
      <c r="A969" s="491">
        <v>11031</v>
      </c>
      <c r="C969" s="491" t="s">
        <v>2252</v>
      </c>
      <c r="D969" s="491">
        <v>2</v>
      </c>
      <c r="E969" s="491">
        <v>0</v>
      </c>
      <c r="F969" s="491">
        <v>3</v>
      </c>
      <c r="G969" s="120">
        <v>200</v>
      </c>
      <c r="H969" s="491">
        <v>200</v>
      </c>
      <c r="I969" s="17">
        <v>0</v>
      </c>
      <c r="J969" s="492">
        <v>0</v>
      </c>
      <c r="K969" s="491">
        <v>0</v>
      </c>
      <c r="L969" s="491">
        <v>0</v>
      </c>
      <c r="N969" s="491">
        <v>60074</v>
      </c>
      <c r="O969" s="491" t="s">
        <v>2695</v>
      </c>
      <c r="Z969" s="493">
        <v>0</v>
      </c>
      <c r="AF969" s="494" t="s">
        <v>4744</v>
      </c>
      <c r="AG969" s="491" t="s">
        <v>4745</v>
      </c>
      <c r="AH969" s="491" t="s">
        <v>2696</v>
      </c>
      <c r="AI969" s="491" t="s">
        <v>440</v>
      </c>
      <c r="AJ969" s="491" t="s">
        <v>6418</v>
      </c>
      <c r="AL969" s="492">
        <v>0</v>
      </c>
      <c r="AM969" s="491" t="s">
        <v>2697</v>
      </c>
      <c r="AN969" s="494" t="s">
        <v>5882</v>
      </c>
      <c r="AO969" s="491" t="s">
        <v>1665</v>
      </c>
      <c r="AP969" s="491">
        <v>0</v>
      </c>
      <c r="AQ969" s="491">
        <v>0</v>
      </c>
      <c r="AR969" s="491">
        <v>0</v>
      </c>
      <c r="AS969" s="491">
        <v>0</v>
      </c>
      <c r="AU969" s="226">
        <v>0</v>
      </c>
      <c r="AV969" s="17">
        <f t="shared" si="150"/>
        <v>0</v>
      </c>
      <c r="AW969" s="491" t="str">
        <f t="shared" si="152"/>
        <v>{s_taskTalk,{0,60074}}</v>
      </c>
    </row>
    <row r="970" spans="1:49" s="491" customFormat="1" ht="96" x14ac:dyDescent="0.15">
      <c r="A970" s="491">
        <v>11041</v>
      </c>
      <c r="C970" s="491" t="s">
        <v>2253</v>
      </c>
      <c r="D970" s="491">
        <v>2</v>
      </c>
      <c r="E970" s="491">
        <v>0</v>
      </c>
      <c r="F970" s="491">
        <v>3</v>
      </c>
      <c r="G970" s="120">
        <v>200</v>
      </c>
      <c r="H970" s="491">
        <v>200</v>
      </c>
      <c r="I970" s="17">
        <v>0</v>
      </c>
      <c r="J970" s="492">
        <v>0</v>
      </c>
      <c r="K970" s="491">
        <v>0</v>
      </c>
      <c r="L970" s="491">
        <v>0</v>
      </c>
      <c r="N970" s="491">
        <v>60073</v>
      </c>
      <c r="O970" s="491" t="s">
        <v>2698</v>
      </c>
      <c r="Z970" s="493">
        <v>0</v>
      </c>
      <c r="AF970" s="494" t="s">
        <v>4321</v>
      </c>
      <c r="AG970" s="491" t="s">
        <v>2699</v>
      </c>
      <c r="AH970" s="491" t="s">
        <v>2700</v>
      </c>
      <c r="AJ970" s="491" t="s">
        <v>6419</v>
      </c>
      <c r="AL970" s="492">
        <v>0</v>
      </c>
      <c r="AM970" s="491" t="s">
        <v>2701</v>
      </c>
      <c r="AN970" s="494" t="s">
        <v>5883</v>
      </c>
      <c r="AP970" s="491">
        <v>0</v>
      </c>
      <c r="AQ970" s="491">
        <v>0</v>
      </c>
      <c r="AR970" s="491">
        <v>0</v>
      </c>
      <c r="AS970" s="491">
        <v>0</v>
      </c>
      <c r="AU970" s="226">
        <v>0</v>
      </c>
      <c r="AV970" s="17">
        <f t="shared" si="150"/>
        <v>0</v>
      </c>
      <c r="AW970" s="491" t="str">
        <f t="shared" si="152"/>
        <v>{s_taskTalk,{0,60073}}</v>
      </c>
    </row>
    <row r="971" spans="1:49" s="491" customFormat="1" ht="120" x14ac:dyDescent="0.15">
      <c r="A971" s="491">
        <v>11631</v>
      </c>
      <c r="C971" s="491" t="s">
        <v>2254</v>
      </c>
      <c r="D971" s="491">
        <v>2</v>
      </c>
      <c r="E971" s="491">
        <v>0</v>
      </c>
      <c r="F971" s="491">
        <v>3</v>
      </c>
      <c r="G971" s="120">
        <v>200</v>
      </c>
      <c r="H971" s="491">
        <v>200</v>
      </c>
      <c r="I971" s="17">
        <v>0</v>
      </c>
      <c r="J971" s="492">
        <v>11031</v>
      </c>
      <c r="K971" s="491">
        <v>0</v>
      </c>
      <c r="L971" s="491">
        <v>60074</v>
      </c>
      <c r="M971" s="491" t="s">
        <v>212</v>
      </c>
      <c r="N971" s="491">
        <v>60074</v>
      </c>
      <c r="O971" s="491" t="s">
        <v>2702</v>
      </c>
      <c r="U971" s="491">
        <v>5</v>
      </c>
      <c r="V971" s="491">
        <v>0</v>
      </c>
      <c r="W971" s="491">
        <v>10</v>
      </c>
      <c r="Z971" s="493"/>
      <c r="AF971" s="494" t="s">
        <v>4746</v>
      </c>
      <c r="AG971" s="491" t="s">
        <v>4747</v>
      </c>
      <c r="AH971" s="491" t="s">
        <v>2703</v>
      </c>
      <c r="AI971" s="491" t="s">
        <v>4748</v>
      </c>
      <c r="AJ971" s="491" t="s">
        <v>6420</v>
      </c>
      <c r="AL971" s="492">
        <v>0</v>
      </c>
      <c r="AM971" s="491" t="s">
        <v>2704</v>
      </c>
      <c r="AN971" s="494" t="s">
        <v>5884</v>
      </c>
      <c r="AO971" s="491" t="s">
        <v>441</v>
      </c>
      <c r="AP971" s="491">
        <v>0</v>
      </c>
      <c r="AQ971" s="491">
        <v>0</v>
      </c>
      <c r="AR971" s="491">
        <v>0</v>
      </c>
      <c r="AS971" s="491">
        <v>0</v>
      </c>
      <c r="AU971" s="226">
        <v>0</v>
      </c>
      <c r="AV971" s="17">
        <f t="shared" si="150"/>
        <v>0</v>
      </c>
      <c r="AW971" s="491" t="str">
        <f t="shared" si="152"/>
        <v>{s_taskTalk,{60074,60074}}</v>
      </c>
    </row>
    <row r="972" spans="1:49" s="491" customFormat="1" ht="108" x14ac:dyDescent="0.15">
      <c r="A972" s="491">
        <v>11641</v>
      </c>
      <c r="C972" s="491" t="s">
        <v>2255</v>
      </c>
      <c r="D972" s="491">
        <v>2</v>
      </c>
      <c r="E972" s="491">
        <v>0</v>
      </c>
      <c r="F972" s="491">
        <v>3</v>
      </c>
      <c r="G972" s="120">
        <v>200</v>
      </c>
      <c r="H972" s="491">
        <v>200</v>
      </c>
      <c r="I972" s="17">
        <v>0</v>
      </c>
      <c r="J972" s="492">
        <v>11631</v>
      </c>
      <c r="K972" s="491">
        <v>0</v>
      </c>
      <c r="L972" s="491">
        <v>60074</v>
      </c>
      <c r="M972" s="491" t="s">
        <v>212</v>
      </c>
      <c r="N972" s="491">
        <v>60074</v>
      </c>
      <c r="O972" s="491" t="s">
        <v>2702</v>
      </c>
      <c r="U972" s="491">
        <v>1</v>
      </c>
      <c r="V972" s="491">
        <v>0</v>
      </c>
      <c r="W972" s="491">
        <v>10</v>
      </c>
      <c r="Z972" s="493"/>
      <c r="AF972" s="494" t="s">
        <v>4749</v>
      </c>
      <c r="AG972" s="491" t="s">
        <v>2705</v>
      </c>
      <c r="AH972" s="491" t="s">
        <v>2706</v>
      </c>
      <c r="AI972" s="491" t="s">
        <v>442</v>
      </c>
      <c r="AJ972" s="491" t="s">
        <v>6421</v>
      </c>
      <c r="AL972" s="492">
        <v>0</v>
      </c>
      <c r="AM972" s="491" t="s">
        <v>2707</v>
      </c>
      <c r="AN972" s="494" t="s">
        <v>5885</v>
      </c>
      <c r="AP972" s="491">
        <v>0</v>
      </c>
      <c r="AQ972" s="491">
        <v>0</v>
      </c>
      <c r="AR972" s="491">
        <v>0</v>
      </c>
      <c r="AS972" s="491">
        <v>0</v>
      </c>
      <c r="AU972" s="226">
        <v>0</v>
      </c>
      <c r="AV972" s="17">
        <f t="shared" si="150"/>
        <v>0</v>
      </c>
      <c r="AW972" s="491" t="str">
        <f t="shared" si="152"/>
        <v>{s_taskTalk,{60074,60074}}</v>
      </c>
    </row>
    <row r="973" spans="1:49" s="491" customFormat="1" ht="84" x14ac:dyDescent="0.15">
      <c r="A973" s="491">
        <v>11651</v>
      </c>
      <c r="C973" s="491" t="s">
        <v>2256</v>
      </c>
      <c r="D973" s="491">
        <v>2</v>
      </c>
      <c r="E973" s="491">
        <v>0</v>
      </c>
      <c r="F973" s="491">
        <v>3</v>
      </c>
      <c r="G973" s="120">
        <v>200</v>
      </c>
      <c r="H973" s="491">
        <v>200</v>
      </c>
      <c r="I973" s="17">
        <v>0</v>
      </c>
      <c r="J973" s="492">
        <v>11641</v>
      </c>
      <c r="K973" s="491">
        <v>0</v>
      </c>
      <c r="L973" s="491">
        <v>60074</v>
      </c>
      <c r="M973" s="491" t="s">
        <v>212</v>
      </c>
      <c r="N973" s="491">
        <v>60074</v>
      </c>
      <c r="O973" s="491" t="s">
        <v>2708</v>
      </c>
      <c r="U973" s="491">
        <v>10</v>
      </c>
      <c r="V973" s="491">
        <v>0</v>
      </c>
      <c r="W973" s="491">
        <v>10</v>
      </c>
      <c r="Z973" s="493"/>
      <c r="AF973" s="491" t="s">
        <v>2709</v>
      </c>
      <c r="AG973" s="491" t="s">
        <v>2710</v>
      </c>
      <c r="AH973" s="491" t="s">
        <v>2711</v>
      </c>
      <c r="AI973" s="491" t="s">
        <v>2712</v>
      </c>
      <c r="AJ973" s="491" t="s">
        <v>6422</v>
      </c>
      <c r="AL973" s="492">
        <v>0</v>
      </c>
      <c r="AM973" s="494" t="s">
        <v>6169</v>
      </c>
      <c r="AN973" s="494" t="s">
        <v>5886</v>
      </c>
      <c r="AP973" s="491">
        <v>0</v>
      </c>
      <c r="AQ973" s="491">
        <v>0</v>
      </c>
      <c r="AR973" s="491">
        <v>0</v>
      </c>
      <c r="AS973" s="491">
        <v>0</v>
      </c>
      <c r="AU973" s="226">
        <v>0</v>
      </c>
      <c r="AV973" s="17">
        <f t="shared" si="150"/>
        <v>0</v>
      </c>
      <c r="AW973" s="491" t="str">
        <f t="shared" si="152"/>
        <v>{s_taskTalk,{60074,60074}}</v>
      </c>
    </row>
    <row r="974" spans="1:49" s="491" customFormat="1" ht="144" x14ac:dyDescent="0.15">
      <c r="A974" s="491">
        <v>11661</v>
      </c>
      <c r="C974" s="491" t="s">
        <v>2257</v>
      </c>
      <c r="D974" s="491">
        <v>2</v>
      </c>
      <c r="E974" s="491">
        <v>0</v>
      </c>
      <c r="F974" s="491">
        <v>3</v>
      </c>
      <c r="G974" s="120">
        <v>200</v>
      </c>
      <c r="H974" s="491">
        <v>200</v>
      </c>
      <c r="I974" s="17">
        <v>0</v>
      </c>
      <c r="J974" s="492">
        <v>11651</v>
      </c>
      <c r="K974" s="491">
        <v>0</v>
      </c>
      <c r="L974" s="491">
        <v>60074</v>
      </c>
      <c r="M974" s="491" t="s">
        <v>212</v>
      </c>
      <c r="N974" s="491">
        <v>60000</v>
      </c>
      <c r="O974" s="491" t="s">
        <v>2713</v>
      </c>
      <c r="U974" s="491">
        <v>1</v>
      </c>
      <c r="V974" s="491">
        <v>1</v>
      </c>
      <c r="W974" s="491">
        <v>10</v>
      </c>
      <c r="Z974" s="493"/>
      <c r="AF974" s="494" t="s">
        <v>4750</v>
      </c>
      <c r="AG974" s="491" t="s">
        <v>4562</v>
      </c>
      <c r="AH974" s="491" t="s">
        <v>2714</v>
      </c>
      <c r="AJ974" s="491" t="s">
        <v>4522</v>
      </c>
      <c r="AL974" s="492">
        <v>0</v>
      </c>
      <c r="AM974" s="491" t="s">
        <v>2715</v>
      </c>
      <c r="AN974" s="494" t="s">
        <v>5887</v>
      </c>
      <c r="AP974" s="491">
        <v>0</v>
      </c>
      <c r="AQ974" s="491">
        <v>0</v>
      </c>
      <c r="AR974" s="491">
        <v>0</v>
      </c>
      <c r="AS974" s="491">
        <v>0</v>
      </c>
      <c r="AU974" s="226">
        <v>0</v>
      </c>
      <c r="AV974" s="17">
        <f t="shared" si="150"/>
        <v>0</v>
      </c>
      <c r="AW974" s="491" t="str">
        <f t="shared" si="152"/>
        <v>{s_taskTalk,{60074,60000}}</v>
      </c>
    </row>
    <row r="975" spans="1:49" s="491" customFormat="1" ht="84" x14ac:dyDescent="0.15">
      <c r="A975" s="491">
        <v>11671</v>
      </c>
      <c r="C975" s="491" t="s">
        <v>2258</v>
      </c>
      <c r="D975" s="491">
        <v>2</v>
      </c>
      <c r="E975" s="491">
        <v>0</v>
      </c>
      <c r="F975" s="491">
        <v>3</v>
      </c>
      <c r="G975" s="120">
        <v>200</v>
      </c>
      <c r="H975" s="491">
        <v>200</v>
      </c>
      <c r="I975" s="17">
        <v>0</v>
      </c>
      <c r="J975" s="492">
        <v>11661</v>
      </c>
      <c r="K975" s="491">
        <v>0</v>
      </c>
      <c r="L975" s="491">
        <v>60000</v>
      </c>
      <c r="M975" s="491" t="s">
        <v>192</v>
      </c>
      <c r="N975" s="491">
        <v>60000</v>
      </c>
      <c r="O975" s="491" t="s">
        <v>2716</v>
      </c>
      <c r="U975" s="491">
        <v>20</v>
      </c>
      <c r="V975" s="491">
        <v>0</v>
      </c>
      <c r="W975" s="491">
        <v>10</v>
      </c>
      <c r="Z975" s="493"/>
      <c r="AD975" s="491" t="s">
        <v>40</v>
      </c>
      <c r="AF975" s="491" t="s">
        <v>2717</v>
      </c>
      <c r="AG975" s="491" t="s">
        <v>2718</v>
      </c>
      <c r="AH975" s="491" t="s">
        <v>2719</v>
      </c>
      <c r="AI975" s="491" t="s">
        <v>2720</v>
      </c>
      <c r="AJ975" s="491" t="s">
        <v>6423</v>
      </c>
      <c r="AL975" s="492">
        <v>0</v>
      </c>
      <c r="AM975" s="494" t="s">
        <v>6170</v>
      </c>
      <c r="AN975" s="494" t="s">
        <v>5888</v>
      </c>
      <c r="AP975" s="491">
        <v>0</v>
      </c>
      <c r="AQ975" s="491">
        <v>0</v>
      </c>
      <c r="AR975" s="491">
        <v>0</v>
      </c>
      <c r="AS975" s="491">
        <v>0</v>
      </c>
      <c r="AT975" s="491">
        <v>0</v>
      </c>
      <c r="AU975" s="226">
        <v>0</v>
      </c>
      <c r="AV975" s="17">
        <f t="shared" si="150"/>
        <v>0</v>
      </c>
      <c r="AW975" s="491" t="str">
        <f t="shared" si="152"/>
        <v>{s_taskTalk,{60000,60000}}</v>
      </c>
    </row>
    <row r="976" spans="1:49" s="491" customFormat="1" ht="48" x14ac:dyDescent="0.15">
      <c r="A976" s="491">
        <v>11681</v>
      </c>
      <c r="C976" s="491" t="s">
        <v>2259</v>
      </c>
      <c r="D976" s="491">
        <v>2</v>
      </c>
      <c r="E976" s="491">
        <v>0</v>
      </c>
      <c r="F976" s="491">
        <v>3</v>
      </c>
      <c r="G976" s="120">
        <v>200</v>
      </c>
      <c r="H976" s="491">
        <v>200</v>
      </c>
      <c r="I976" s="17">
        <v>0</v>
      </c>
      <c r="J976" s="492">
        <v>11671</v>
      </c>
      <c r="K976" s="491">
        <v>0</v>
      </c>
      <c r="L976" s="491">
        <v>60000</v>
      </c>
      <c r="M976" s="491" t="s">
        <v>192</v>
      </c>
      <c r="N976" s="491">
        <v>60074</v>
      </c>
      <c r="O976" s="491" t="s">
        <v>2721</v>
      </c>
      <c r="U976" s="491">
        <v>1</v>
      </c>
      <c r="V976" s="491">
        <v>1</v>
      </c>
      <c r="W976" s="491">
        <v>10</v>
      </c>
      <c r="Z976" s="493"/>
      <c r="AF976" s="491" t="s">
        <v>2722</v>
      </c>
      <c r="AG976" s="491" t="s">
        <v>2723</v>
      </c>
      <c r="AH976" s="491" t="s">
        <v>2724</v>
      </c>
      <c r="AJ976" s="491" t="s">
        <v>937</v>
      </c>
      <c r="AL976" s="492">
        <v>0</v>
      </c>
      <c r="AM976" s="491" t="s">
        <v>2725</v>
      </c>
      <c r="AN976" s="494" t="s">
        <v>5889</v>
      </c>
      <c r="AP976" s="491">
        <v>0</v>
      </c>
      <c r="AQ976" s="491">
        <v>0</v>
      </c>
      <c r="AR976" s="491">
        <v>0</v>
      </c>
      <c r="AS976" s="491">
        <v>0</v>
      </c>
      <c r="AU976" s="226">
        <v>0</v>
      </c>
      <c r="AV976" s="17">
        <f t="shared" si="150"/>
        <v>0</v>
      </c>
      <c r="AW976" s="491" t="str">
        <f t="shared" si="152"/>
        <v>{s_taskTalk,{60000,60074}}</v>
      </c>
    </row>
    <row r="977" spans="1:49" s="491" customFormat="1" ht="96" x14ac:dyDescent="0.15">
      <c r="A977" s="491">
        <v>11691</v>
      </c>
      <c r="C977" s="491" t="s">
        <v>2260</v>
      </c>
      <c r="D977" s="491">
        <v>2</v>
      </c>
      <c r="E977" s="491">
        <v>0</v>
      </c>
      <c r="F977" s="491">
        <v>3</v>
      </c>
      <c r="G977" s="120">
        <v>200</v>
      </c>
      <c r="H977" s="491">
        <v>200</v>
      </c>
      <c r="I977" s="17">
        <v>0</v>
      </c>
      <c r="J977" s="492">
        <v>11681</v>
      </c>
      <c r="K977" s="491">
        <v>0</v>
      </c>
      <c r="L977" s="491">
        <v>60074</v>
      </c>
      <c r="M977" s="491" t="s">
        <v>212</v>
      </c>
      <c r="N977" s="491">
        <v>60085</v>
      </c>
      <c r="O977" s="491" t="s">
        <v>2726</v>
      </c>
      <c r="U977" s="491">
        <v>1</v>
      </c>
      <c r="V977" s="491">
        <v>1</v>
      </c>
      <c r="W977" s="491">
        <v>10</v>
      </c>
      <c r="Z977" s="493"/>
      <c r="AD977" s="491" t="s">
        <v>41</v>
      </c>
      <c r="AF977" s="494" t="s">
        <v>4369</v>
      </c>
      <c r="AG977" s="491" t="s">
        <v>4370</v>
      </c>
      <c r="AH977" s="491" t="s">
        <v>2727</v>
      </c>
      <c r="AJ977" s="491" t="s">
        <v>6377</v>
      </c>
      <c r="AL977" s="492">
        <v>0</v>
      </c>
      <c r="AM977" s="491" t="s">
        <v>2728</v>
      </c>
      <c r="AN977" s="494" t="s">
        <v>5890</v>
      </c>
      <c r="AP977" s="491">
        <v>0</v>
      </c>
      <c r="AQ977" s="491">
        <v>0</v>
      </c>
      <c r="AR977" s="491">
        <v>0</v>
      </c>
      <c r="AS977" s="491">
        <v>0</v>
      </c>
      <c r="AU977" s="226">
        <v>0</v>
      </c>
      <c r="AV977" s="17">
        <f t="shared" si="150"/>
        <v>0</v>
      </c>
      <c r="AW977" s="491" t="str">
        <f t="shared" si="152"/>
        <v>{s_taskTalk,{60074,60085}}</v>
      </c>
    </row>
    <row r="978" spans="1:49" s="491" customFormat="1" ht="48" x14ac:dyDescent="0.15">
      <c r="A978" s="491">
        <v>11701</v>
      </c>
      <c r="C978" s="491" t="s">
        <v>2261</v>
      </c>
      <c r="D978" s="491">
        <v>2</v>
      </c>
      <c r="E978" s="491">
        <v>0</v>
      </c>
      <c r="F978" s="491">
        <v>7</v>
      </c>
      <c r="G978" s="120">
        <v>200</v>
      </c>
      <c r="H978" s="491">
        <v>200</v>
      </c>
      <c r="I978" s="17">
        <v>0</v>
      </c>
      <c r="J978" s="492">
        <v>11691</v>
      </c>
      <c r="K978" s="491">
        <v>0</v>
      </c>
      <c r="L978" s="491">
        <v>60085</v>
      </c>
      <c r="M978" s="491" t="s">
        <v>231</v>
      </c>
      <c r="N978" s="491">
        <v>60074</v>
      </c>
      <c r="O978" s="491" t="s">
        <v>2729</v>
      </c>
      <c r="U978" s="491">
        <v>1</v>
      </c>
      <c r="V978" s="491">
        <v>1</v>
      </c>
      <c r="W978" s="491">
        <v>10</v>
      </c>
      <c r="Z978" s="493"/>
      <c r="AF978" s="491" t="s">
        <v>2730</v>
      </c>
      <c r="AG978" s="491" t="s">
        <v>2731</v>
      </c>
      <c r="AH978" s="491" t="s">
        <v>2732</v>
      </c>
      <c r="AJ978" s="491" t="s">
        <v>937</v>
      </c>
      <c r="AL978" s="492">
        <v>0</v>
      </c>
      <c r="AM978" s="491" t="s">
        <v>2733</v>
      </c>
      <c r="AN978" s="494" t="s">
        <v>5891</v>
      </c>
      <c r="AP978" s="491">
        <v>0</v>
      </c>
      <c r="AQ978" s="491">
        <v>0</v>
      </c>
      <c r="AR978" s="491">
        <v>0</v>
      </c>
      <c r="AS978" s="491">
        <v>0</v>
      </c>
      <c r="AU978" s="226">
        <v>0</v>
      </c>
      <c r="AV978" s="17">
        <f t="shared" si="150"/>
        <v>0</v>
      </c>
      <c r="AW978" s="491" t="str">
        <f t="shared" si="152"/>
        <v>{s_taskTalk,{60085,60074}}</v>
      </c>
    </row>
    <row r="979" spans="1:49" s="491" customFormat="1" ht="48" x14ac:dyDescent="0.15">
      <c r="A979" s="491">
        <v>11731</v>
      </c>
      <c r="C979" s="491" t="s">
        <v>2262</v>
      </c>
      <c r="D979" s="491">
        <v>2</v>
      </c>
      <c r="E979" s="491">
        <v>0</v>
      </c>
      <c r="F979" s="491">
        <v>7</v>
      </c>
      <c r="G979" s="120">
        <v>200</v>
      </c>
      <c r="H979" s="491">
        <v>200</v>
      </c>
      <c r="I979" s="17">
        <v>0</v>
      </c>
      <c r="J979" s="492">
        <v>0</v>
      </c>
      <c r="K979" s="491">
        <v>0</v>
      </c>
      <c r="L979" s="491">
        <v>0</v>
      </c>
      <c r="N979" s="491">
        <v>60088</v>
      </c>
      <c r="O979" s="491" t="s">
        <v>2734</v>
      </c>
      <c r="U979" s="491">
        <v>1</v>
      </c>
      <c r="V979" s="491">
        <v>1</v>
      </c>
      <c r="W979" s="491">
        <v>10</v>
      </c>
      <c r="Z979" s="493">
        <v>10000</v>
      </c>
      <c r="AF979" s="491" t="s">
        <v>2735</v>
      </c>
      <c r="AG979" s="491" t="s">
        <v>4751</v>
      </c>
      <c r="AH979" s="491" t="s">
        <v>2736</v>
      </c>
      <c r="AJ979" s="491" t="s">
        <v>6376</v>
      </c>
      <c r="AL979" s="492">
        <v>0</v>
      </c>
      <c r="AM979" s="491" t="s">
        <v>2737</v>
      </c>
      <c r="AN979" s="494" t="s">
        <v>5892</v>
      </c>
      <c r="AP979" s="491">
        <v>0</v>
      </c>
      <c r="AQ979" s="491">
        <v>0</v>
      </c>
      <c r="AR979" s="491">
        <v>0</v>
      </c>
      <c r="AS979" s="491">
        <v>0</v>
      </c>
      <c r="AU979" s="226">
        <v>0</v>
      </c>
      <c r="AV979" s="17">
        <f t="shared" si="150"/>
        <v>0</v>
      </c>
      <c r="AW979" s="491" t="str">
        <f t="shared" si="152"/>
        <v>{s_taskTalk,{0,60088}}</v>
      </c>
    </row>
    <row r="980" spans="1:49" s="491" customFormat="1" ht="84" x14ac:dyDescent="0.15">
      <c r="A980" s="491">
        <v>11741</v>
      </c>
      <c r="C980" s="491" t="s">
        <v>2263</v>
      </c>
      <c r="D980" s="491">
        <v>2</v>
      </c>
      <c r="E980" s="491">
        <v>0</v>
      </c>
      <c r="F980" s="491">
        <v>7</v>
      </c>
      <c r="G980" s="120">
        <v>200</v>
      </c>
      <c r="H980" s="491">
        <v>200</v>
      </c>
      <c r="I980" s="17">
        <v>0</v>
      </c>
      <c r="J980" s="492">
        <v>11731</v>
      </c>
      <c r="K980" s="491">
        <v>0</v>
      </c>
      <c r="L980" s="491">
        <v>60088</v>
      </c>
      <c r="M980" s="491" t="s">
        <v>229</v>
      </c>
      <c r="N980" s="491">
        <v>60088</v>
      </c>
      <c r="O980" s="491" t="s">
        <v>2738</v>
      </c>
      <c r="U980" s="491">
        <v>20</v>
      </c>
      <c r="V980" s="491">
        <v>0</v>
      </c>
      <c r="W980" s="491">
        <v>10</v>
      </c>
      <c r="Z980" s="493"/>
      <c r="AA980" s="491">
        <v>30</v>
      </c>
      <c r="AF980" s="491" t="s">
        <v>2739</v>
      </c>
      <c r="AG980" s="491" t="s">
        <v>2740</v>
      </c>
      <c r="AH980" s="491" t="s">
        <v>2741</v>
      </c>
      <c r="AI980" s="491" t="s">
        <v>443</v>
      </c>
      <c r="AJ980" s="491" t="s">
        <v>6424</v>
      </c>
      <c r="AL980" s="492">
        <v>0</v>
      </c>
      <c r="AM980" s="494" t="s">
        <v>6171</v>
      </c>
      <c r="AN980" s="494" t="s">
        <v>5893</v>
      </c>
      <c r="AP980" s="491">
        <v>0</v>
      </c>
      <c r="AQ980" s="491">
        <v>0</v>
      </c>
      <c r="AR980" s="491">
        <v>0</v>
      </c>
      <c r="AS980" s="491">
        <v>0</v>
      </c>
      <c r="AU980" s="226">
        <v>0</v>
      </c>
      <c r="AV980" s="17">
        <f t="shared" si="150"/>
        <v>0</v>
      </c>
      <c r="AW980" s="491" t="str">
        <f t="shared" si="152"/>
        <v>{s_taskTalk,{60088,60088}}</v>
      </c>
    </row>
    <row r="981" spans="1:49" s="491" customFormat="1" ht="48" x14ac:dyDescent="0.15">
      <c r="A981" s="491">
        <v>11751</v>
      </c>
      <c r="C981" s="491" t="s">
        <v>2264</v>
      </c>
      <c r="D981" s="491">
        <v>2</v>
      </c>
      <c r="E981" s="491">
        <v>0</v>
      </c>
      <c r="F981" s="491">
        <v>7</v>
      </c>
      <c r="G981" s="120">
        <v>200</v>
      </c>
      <c r="H981" s="491">
        <v>200</v>
      </c>
      <c r="I981" s="17">
        <v>0</v>
      </c>
      <c r="J981" s="492">
        <v>11741</v>
      </c>
      <c r="K981" s="491">
        <v>0</v>
      </c>
      <c r="L981" s="491">
        <v>60088</v>
      </c>
      <c r="M981" s="491" t="s">
        <v>229</v>
      </c>
      <c r="N981" s="491">
        <v>60088</v>
      </c>
      <c r="O981" s="491" t="s">
        <v>2738</v>
      </c>
      <c r="U981" s="491">
        <v>1</v>
      </c>
      <c r="V981" s="491">
        <v>1</v>
      </c>
      <c r="W981" s="491">
        <v>10</v>
      </c>
      <c r="Z981" s="493"/>
      <c r="AF981" s="491" t="s">
        <v>2742</v>
      </c>
      <c r="AG981" s="491" t="s">
        <v>2743</v>
      </c>
      <c r="AH981" s="491" t="s">
        <v>4752</v>
      </c>
      <c r="AJ981" s="491" t="s">
        <v>6425</v>
      </c>
      <c r="AL981" s="492">
        <v>0</v>
      </c>
      <c r="AM981" s="491" t="s">
        <v>2744</v>
      </c>
      <c r="AN981" s="494" t="s">
        <v>5894</v>
      </c>
      <c r="AP981" s="491">
        <v>0</v>
      </c>
      <c r="AQ981" s="491">
        <v>0</v>
      </c>
      <c r="AR981" s="491">
        <v>0</v>
      </c>
      <c r="AS981" s="491">
        <v>0</v>
      </c>
      <c r="AU981" s="226">
        <v>0</v>
      </c>
      <c r="AV981" s="17">
        <f t="shared" si="150"/>
        <v>0</v>
      </c>
      <c r="AW981" s="491" t="str">
        <f t="shared" si="152"/>
        <v>{s_taskTalk,{60088,60088}}</v>
      </c>
    </row>
    <row r="982" spans="1:49" s="491" customFormat="1" ht="48" x14ac:dyDescent="0.15">
      <c r="A982" s="491">
        <v>11761</v>
      </c>
      <c r="C982" s="491" t="s">
        <v>2265</v>
      </c>
      <c r="D982" s="491">
        <v>2</v>
      </c>
      <c r="E982" s="491">
        <v>0</v>
      </c>
      <c r="F982" s="491">
        <v>7</v>
      </c>
      <c r="G982" s="120">
        <v>200</v>
      </c>
      <c r="H982" s="491">
        <v>200</v>
      </c>
      <c r="I982" s="17">
        <v>0</v>
      </c>
      <c r="J982" s="492">
        <v>11751</v>
      </c>
      <c r="K982" s="491">
        <v>0</v>
      </c>
      <c r="L982" s="491">
        <v>60088</v>
      </c>
      <c r="M982" s="491" t="s">
        <v>229</v>
      </c>
      <c r="N982" s="491">
        <v>60087</v>
      </c>
      <c r="O982" s="491" t="s">
        <v>2745</v>
      </c>
      <c r="U982" s="491">
        <v>1</v>
      </c>
      <c r="V982" s="491">
        <v>1</v>
      </c>
      <c r="W982" s="491">
        <v>10</v>
      </c>
      <c r="Z982" s="493"/>
      <c r="AD982" s="491" t="s">
        <v>42</v>
      </c>
      <c r="AF982" s="491" t="s">
        <v>2746</v>
      </c>
      <c r="AG982" s="491" t="s">
        <v>2747</v>
      </c>
      <c r="AH982" s="491" t="s">
        <v>2748</v>
      </c>
      <c r="AJ982" s="491" t="s">
        <v>6378</v>
      </c>
      <c r="AL982" s="492">
        <v>0</v>
      </c>
      <c r="AM982" s="491" t="s">
        <v>2749</v>
      </c>
      <c r="AN982" s="494" t="s">
        <v>5895</v>
      </c>
      <c r="AP982" s="491">
        <v>0</v>
      </c>
      <c r="AQ982" s="491">
        <v>0</v>
      </c>
      <c r="AR982" s="491">
        <v>0</v>
      </c>
      <c r="AS982" s="491">
        <v>0</v>
      </c>
      <c r="AU982" s="226">
        <v>0</v>
      </c>
      <c r="AV982" s="17">
        <f t="shared" si="150"/>
        <v>0</v>
      </c>
      <c r="AW982" s="491" t="str">
        <f t="shared" si="152"/>
        <v>{s_taskTalk,{60088,60087}}</v>
      </c>
    </row>
    <row r="983" spans="1:49" s="491" customFormat="1" ht="48" x14ac:dyDescent="0.15">
      <c r="A983" s="491">
        <v>11771</v>
      </c>
      <c r="C983" s="491" t="s">
        <v>2266</v>
      </c>
      <c r="D983" s="491">
        <v>2</v>
      </c>
      <c r="E983" s="491">
        <v>0</v>
      </c>
      <c r="F983" s="491">
        <v>6</v>
      </c>
      <c r="G983" s="120">
        <v>200</v>
      </c>
      <c r="H983" s="491">
        <v>200</v>
      </c>
      <c r="I983" s="17">
        <v>0</v>
      </c>
      <c r="J983" s="492">
        <v>0</v>
      </c>
      <c r="K983" s="491">
        <v>0</v>
      </c>
      <c r="L983" s="491">
        <v>0</v>
      </c>
      <c r="N983" s="491">
        <v>60073</v>
      </c>
      <c r="O983" s="491" t="s">
        <v>2750</v>
      </c>
      <c r="U983" s="491">
        <v>1</v>
      </c>
      <c r="V983" s="491">
        <v>1</v>
      </c>
      <c r="W983" s="491">
        <v>10</v>
      </c>
      <c r="Z983" s="493"/>
      <c r="AA983" s="491">
        <v>10</v>
      </c>
      <c r="AF983" s="491" t="s">
        <v>2751</v>
      </c>
      <c r="AG983" s="491" t="s">
        <v>2752</v>
      </c>
      <c r="AH983" s="491" t="s">
        <v>2753</v>
      </c>
      <c r="AJ983" s="491" t="s">
        <v>6374</v>
      </c>
      <c r="AL983" s="492">
        <v>0</v>
      </c>
      <c r="AM983" s="491" t="s">
        <v>2754</v>
      </c>
      <c r="AN983" s="494" t="s">
        <v>5896</v>
      </c>
      <c r="AP983" s="491">
        <v>0</v>
      </c>
      <c r="AQ983" s="491">
        <v>0</v>
      </c>
      <c r="AR983" s="491">
        <v>0</v>
      </c>
      <c r="AS983" s="491">
        <v>0</v>
      </c>
      <c r="AU983" s="226">
        <v>0</v>
      </c>
      <c r="AV983" s="17">
        <f t="shared" si="150"/>
        <v>0</v>
      </c>
      <c r="AW983" s="491" t="str">
        <f t="shared" si="152"/>
        <v>{s_taskTalk,{0,60073}}</v>
      </c>
    </row>
    <row r="984" spans="1:49" s="491" customFormat="1" ht="108" x14ac:dyDescent="0.15">
      <c r="A984" s="491">
        <v>11781</v>
      </c>
      <c r="C984" s="491" t="s">
        <v>2267</v>
      </c>
      <c r="D984" s="491">
        <v>2</v>
      </c>
      <c r="E984" s="491">
        <v>0</v>
      </c>
      <c r="F984" s="491">
        <v>3</v>
      </c>
      <c r="G984" s="120">
        <v>200</v>
      </c>
      <c r="H984" s="491">
        <v>200</v>
      </c>
      <c r="I984" s="17">
        <v>0</v>
      </c>
      <c r="J984" s="492">
        <v>11771</v>
      </c>
      <c r="K984" s="491">
        <v>0</v>
      </c>
      <c r="L984" s="491">
        <v>60073</v>
      </c>
      <c r="M984" s="491" t="s">
        <v>211</v>
      </c>
      <c r="N984" s="491">
        <v>60072</v>
      </c>
      <c r="O984" s="491" t="s">
        <v>2755</v>
      </c>
      <c r="U984" s="491">
        <v>1</v>
      </c>
      <c r="V984" s="491">
        <v>1</v>
      </c>
      <c r="W984" s="491">
        <v>10</v>
      </c>
      <c r="Z984" s="493"/>
      <c r="AF984" s="494" t="s">
        <v>4753</v>
      </c>
      <c r="AG984" s="491" t="s">
        <v>4754</v>
      </c>
      <c r="AH984" s="491" t="s">
        <v>2756</v>
      </c>
      <c r="AJ984" s="491" t="s">
        <v>6426</v>
      </c>
      <c r="AL984" s="492">
        <v>0</v>
      </c>
      <c r="AM984" s="491" t="s">
        <v>2757</v>
      </c>
      <c r="AN984" s="494" t="s">
        <v>5897</v>
      </c>
      <c r="AP984" s="491">
        <v>0</v>
      </c>
      <c r="AQ984" s="491">
        <v>0</v>
      </c>
      <c r="AR984" s="491">
        <v>0</v>
      </c>
      <c r="AS984" s="491">
        <v>0</v>
      </c>
      <c r="AU984" s="226">
        <v>0</v>
      </c>
      <c r="AV984" s="17">
        <f t="shared" si="150"/>
        <v>0</v>
      </c>
      <c r="AW984" s="491" t="str">
        <f t="shared" si="152"/>
        <v>{s_taskTalk,{60073,60072}}</v>
      </c>
    </row>
    <row r="985" spans="1:49" s="491" customFormat="1" ht="48" x14ac:dyDescent="0.15">
      <c r="A985" s="491">
        <v>11791</v>
      </c>
      <c r="C985" s="491" t="s">
        <v>2268</v>
      </c>
      <c r="D985" s="491">
        <v>2</v>
      </c>
      <c r="E985" s="491">
        <v>0</v>
      </c>
      <c r="F985" s="491">
        <v>3</v>
      </c>
      <c r="G985" s="120">
        <v>200</v>
      </c>
      <c r="H985" s="491">
        <v>200</v>
      </c>
      <c r="I985" s="17">
        <v>0</v>
      </c>
      <c r="J985" s="492">
        <v>11781</v>
      </c>
      <c r="K985" s="491">
        <v>0</v>
      </c>
      <c r="L985" s="491">
        <v>60072</v>
      </c>
      <c r="M985" s="491" t="s">
        <v>210</v>
      </c>
      <c r="N985" s="491">
        <v>60093</v>
      </c>
      <c r="O985" s="491" t="s">
        <v>2758</v>
      </c>
      <c r="U985" s="491">
        <v>1</v>
      </c>
      <c r="V985" s="491">
        <v>1</v>
      </c>
      <c r="W985" s="491">
        <v>10</v>
      </c>
      <c r="Z985" s="493">
        <v>2000</v>
      </c>
      <c r="AF985" s="491" t="s">
        <v>2759</v>
      </c>
      <c r="AG985" s="491" t="s">
        <v>2760</v>
      </c>
      <c r="AH985" s="491" t="s">
        <v>2761</v>
      </c>
      <c r="AJ985" s="491" t="s">
        <v>6375</v>
      </c>
      <c r="AL985" s="492">
        <v>0</v>
      </c>
      <c r="AM985" s="491" t="s">
        <v>2762</v>
      </c>
      <c r="AN985" s="494" t="s">
        <v>5898</v>
      </c>
      <c r="AP985" s="491">
        <v>0</v>
      </c>
      <c r="AQ985" s="491">
        <v>0</v>
      </c>
      <c r="AR985" s="491">
        <v>0</v>
      </c>
      <c r="AS985" s="491">
        <v>0</v>
      </c>
      <c r="AU985" s="226">
        <v>0</v>
      </c>
      <c r="AV985" s="17">
        <f t="shared" si="150"/>
        <v>0</v>
      </c>
      <c r="AW985" s="491" t="str">
        <f t="shared" si="152"/>
        <v>{s_taskTalk,{60072,60093}}</v>
      </c>
    </row>
    <row r="986" spans="1:49" s="491" customFormat="1" ht="48" x14ac:dyDescent="0.15">
      <c r="A986" s="491">
        <v>11801</v>
      </c>
      <c r="C986" s="491" t="s">
        <v>2269</v>
      </c>
      <c r="D986" s="491">
        <v>2</v>
      </c>
      <c r="E986" s="491">
        <v>0</v>
      </c>
      <c r="F986" s="491">
        <v>6</v>
      </c>
      <c r="G986" s="120">
        <v>200</v>
      </c>
      <c r="H986" s="491">
        <v>200</v>
      </c>
      <c r="I986" s="17">
        <v>0</v>
      </c>
      <c r="J986" s="492">
        <v>11791</v>
      </c>
      <c r="K986" s="491">
        <v>0</v>
      </c>
      <c r="L986" s="491">
        <v>60093</v>
      </c>
      <c r="M986" s="491" t="s">
        <v>220</v>
      </c>
      <c r="N986" s="491">
        <v>60072</v>
      </c>
      <c r="O986" s="491" t="s">
        <v>2763</v>
      </c>
      <c r="U986" s="491">
        <v>1</v>
      </c>
      <c r="V986" s="491">
        <v>1</v>
      </c>
      <c r="W986" s="491">
        <v>10</v>
      </c>
      <c r="Z986" s="493"/>
      <c r="AD986" s="491" t="s">
        <v>1376</v>
      </c>
      <c r="AF986" s="491" t="s">
        <v>2764</v>
      </c>
      <c r="AG986" s="491" t="s">
        <v>2765</v>
      </c>
      <c r="AH986" s="491" t="s">
        <v>2766</v>
      </c>
      <c r="AJ986" s="491" t="s">
        <v>6426</v>
      </c>
      <c r="AL986" s="492">
        <v>0</v>
      </c>
      <c r="AM986" s="491" t="s">
        <v>2767</v>
      </c>
      <c r="AN986" s="494" t="s">
        <v>5899</v>
      </c>
      <c r="AP986" s="491">
        <v>0</v>
      </c>
      <c r="AQ986" s="491">
        <v>0</v>
      </c>
      <c r="AR986" s="491">
        <v>0</v>
      </c>
      <c r="AS986" s="491">
        <v>0</v>
      </c>
      <c r="AU986" s="226">
        <v>0</v>
      </c>
      <c r="AV986" s="17">
        <f t="shared" si="150"/>
        <v>0</v>
      </c>
      <c r="AW986" s="491" t="str">
        <f t="shared" si="152"/>
        <v>{s_taskTalk,{60093,60072}}</v>
      </c>
    </row>
    <row r="987" spans="1:49" s="491" customFormat="1" ht="48" x14ac:dyDescent="0.15">
      <c r="A987" s="491">
        <v>11811</v>
      </c>
      <c r="C987" s="491" t="s">
        <v>2270</v>
      </c>
      <c r="D987" s="491">
        <v>2</v>
      </c>
      <c r="E987" s="491">
        <v>0</v>
      </c>
      <c r="F987" s="491">
        <v>3</v>
      </c>
      <c r="G987" s="120">
        <v>200</v>
      </c>
      <c r="H987" s="491">
        <v>200</v>
      </c>
      <c r="I987" s="17">
        <v>0</v>
      </c>
      <c r="J987" s="492">
        <v>11801</v>
      </c>
      <c r="K987" s="491">
        <v>0</v>
      </c>
      <c r="L987" s="491">
        <v>60072</v>
      </c>
      <c r="M987" s="491" t="s">
        <v>210</v>
      </c>
      <c r="N987" s="491">
        <v>60093</v>
      </c>
      <c r="O987" s="491" t="s">
        <v>2768</v>
      </c>
      <c r="U987" s="491">
        <v>1</v>
      </c>
      <c r="V987" s="491">
        <v>1</v>
      </c>
      <c r="W987" s="491">
        <v>10</v>
      </c>
      <c r="Z987" s="493"/>
      <c r="AA987" s="491">
        <v>20</v>
      </c>
      <c r="AE987" s="491" t="s">
        <v>2827</v>
      </c>
      <c r="AF987" s="491" t="s">
        <v>2769</v>
      </c>
      <c r="AG987" s="491" t="s">
        <v>2770</v>
      </c>
      <c r="AH987" s="491" t="s">
        <v>2771</v>
      </c>
      <c r="AJ987" s="491" t="s">
        <v>6375</v>
      </c>
      <c r="AL987" s="492">
        <v>0</v>
      </c>
      <c r="AM987" s="491" t="s">
        <v>2772</v>
      </c>
      <c r="AN987" s="494" t="s">
        <v>5900</v>
      </c>
      <c r="AP987" s="491">
        <v>0</v>
      </c>
      <c r="AQ987" s="491">
        <v>0</v>
      </c>
      <c r="AR987" s="491">
        <v>0</v>
      </c>
      <c r="AS987" s="491">
        <v>0</v>
      </c>
      <c r="AU987" s="226">
        <v>0</v>
      </c>
      <c r="AV987" s="17">
        <f t="shared" si="150"/>
        <v>0</v>
      </c>
      <c r="AW987" s="491" t="str">
        <f t="shared" si="152"/>
        <v>{s_taskTalk,{60072,60093}}</v>
      </c>
    </row>
    <row r="988" spans="1:49" s="491" customFormat="1" ht="48.75" thickBot="1" x14ac:dyDescent="0.2">
      <c r="A988" s="491">
        <v>11821</v>
      </c>
      <c r="C988" s="491" t="s">
        <v>2271</v>
      </c>
      <c r="D988" s="491">
        <v>2</v>
      </c>
      <c r="E988" s="491">
        <v>0</v>
      </c>
      <c r="F988" s="491">
        <v>6</v>
      </c>
      <c r="G988" s="120">
        <v>200</v>
      </c>
      <c r="H988" s="491">
        <v>200</v>
      </c>
      <c r="I988" s="17">
        <v>0</v>
      </c>
      <c r="J988" s="492">
        <v>11811</v>
      </c>
      <c r="K988" s="491">
        <v>0</v>
      </c>
      <c r="L988" s="491">
        <v>60093</v>
      </c>
      <c r="M988" s="491" t="s">
        <v>220</v>
      </c>
      <c r="N988" s="491">
        <v>60072</v>
      </c>
      <c r="O988" s="491" t="s">
        <v>2763</v>
      </c>
      <c r="U988" s="491">
        <v>1</v>
      </c>
      <c r="V988" s="491">
        <v>1</v>
      </c>
      <c r="W988" s="491">
        <v>10</v>
      </c>
      <c r="Z988" s="493"/>
      <c r="AF988" s="491" t="s">
        <v>2773</v>
      </c>
      <c r="AG988" s="491" t="s">
        <v>2774</v>
      </c>
      <c r="AH988" s="491" t="s">
        <v>2775</v>
      </c>
      <c r="AJ988" s="491" t="s">
        <v>6426</v>
      </c>
      <c r="AL988" s="492">
        <v>0</v>
      </c>
      <c r="AM988" s="491" t="s">
        <v>2776</v>
      </c>
      <c r="AN988" s="494" t="s">
        <v>5901</v>
      </c>
      <c r="AP988" s="491">
        <v>0</v>
      </c>
      <c r="AQ988" s="491">
        <v>0</v>
      </c>
      <c r="AR988" s="491">
        <v>0</v>
      </c>
      <c r="AS988" s="491">
        <v>0</v>
      </c>
      <c r="AU988" s="226">
        <v>0</v>
      </c>
      <c r="AV988" s="17">
        <f t="shared" si="150"/>
        <v>0</v>
      </c>
      <c r="AW988" s="491" t="str">
        <f t="shared" si="152"/>
        <v>{s_taskTalk,{60093,60072}}</v>
      </c>
    </row>
    <row r="989" spans="1:49" s="507" customFormat="1" ht="120.75" thickBot="1" x14ac:dyDescent="0.2">
      <c r="A989" s="501">
        <v>10021</v>
      </c>
      <c r="B989" s="502" t="s">
        <v>444</v>
      </c>
      <c r="C989" s="502" t="s">
        <v>2272</v>
      </c>
      <c r="D989" s="435">
        <v>2</v>
      </c>
      <c r="E989" s="435">
        <v>0</v>
      </c>
      <c r="F989" s="502">
        <v>1</v>
      </c>
      <c r="G989" s="120">
        <v>200</v>
      </c>
      <c r="H989" s="502">
        <v>200</v>
      </c>
      <c r="I989" s="17">
        <v>0</v>
      </c>
      <c r="J989" s="503">
        <v>0</v>
      </c>
      <c r="K989" s="502">
        <v>0</v>
      </c>
      <c r="L989" s="502">
        <v>60045</v>
      </c>
      <c r="M989" s="502" t="s">
        <v>1084</v>
      </c>
      <c r="N989" s="502">
        <v>60016</v>
      </c>
      <c r="O989" s="502" t="s">
        <v>5145</v>
      </c>
      <c r="P989" s="502"/>
      <c r="Q989" s="504"/>
      <c r="R989" s="504"/>
      <c r="S989" s="504"/>
      <c r="T989" s="504"/>
      <c r="U989" s="502">
        <v>1</v>
      </c>
      <c r="V989" s="502">
        <v>0</v>
      </c>
      <c r="W989" s="502"/>
      <c r="X989" s="502"/>
      <c r="Y989" s="502"/>
      <c r="Z989" s="505">
        <v>300</v>
      </c>
      <c r="AA989" s="502"/>
      <c r="AB989" s="506"/>
      <c r="AC989" s="506"/>
      <c r="AD989" s="502"/>
      <c r="AE989" s="502" t="s">
        <v>445</v>
      </c>
      <c r="AF989" s="502" t="s">
        <v>1085</v>
      </c>
      <c r="AG989" s="502" t="s">
        <v>1080</v>
      </c>
      <c r="AH989" s="502" t="s">
        <v>4322</v>
      </c>
      <c r="AI989" s="502" t="s">
        <v>1086</v>
      </c>
      <c r="AJ989" s="502" t="s">
        <v>1081</v>
      </c>
      <c r="AK989" s="502" t="s">
        <v>446</v>
      </c>
      <c r="AL989" s="503">
        <v>0</v>
      </c>
      <c r="AM989" s="502" t="s">
        <v>1386</v>
      </c>
      <c r="AN989" s="502" t="s">
        <v>5902</v>
      </c>
      <c r="AO989" s="502"/>
      <c r="AP989" s="507">
        <v>1</v>
      </c>
      <c r="AQ989" s="507">
        <v>0</v>
      </c>
      <c r="AR989" s="507">
        <v>0</v>
      </c>
      <c r="AS989" s="507">
        <v>0</v>
      </c>
      <c r="AU989" s="226">
        <v>0</v>
      </c>
      <c r="AV989" s="17">
        <f t="shared" si="150"/>
        <v>0</v>
      </c>
      <c r="AW989" s="50" t="str">
        <f>"{s_taskLevelUp,{"&amp;L989&amp;","&amp;N989&amp;","&amp;G989+2&amp;"}}"</f>
        <v>{s_taskLevelUp,{60045,60016,202}}</v>
      </c>
    </row>
    <row r="990" spans="1:49" s="507" customFormat="1" ht="72.75" thickBot="1" x14ac:dyDescent="0.2">
      <c r="A990" s="508">
        <v>10023</v>
      </c>
      <c r="B990" s="509"/>
      <c r="C990" s="509" t="s">
        <v>2273</v>
      </c>
      <c r="D990" s="435">
        <v>2</v>
      </c>
      <c r="E990" s="435">
        <v>0</v>
      </c>
      <c r="F990" s="509">
        <v>1</v>
      </c>
      <c r="G990" s="120">
        <v>200</v>
      </c>
      <c r="H990" s="509">
        <v>200</v>
      </c>
      <c r="I990" s="17">
        <v>0</v>
      </c>
      <c r="J990" s="510">
        <v>0</v>
      </c>
      <c r="K990" s="509">
        <v>0</v>
      </c>
      <c r="L990" s="509">
        <v>60016</v>
      </c>
      <c r="M990" s="509" t="s">
        <v>1083</v>
      </c>
      <c r="N990" s="509">
        <v>60016</v>
      </c>
      <c r="O990" s="509" t="s">
        <v>5145</v>
      </c>
      <c r="P990" s="509"/>
      <c r="Q990" s="511"/>
      <c r="R990" s="511"/>
      <c r="S990" s="511"/>
      <c r="T990" s="511"/>
      <c r="U990" s="509">
        <v>4</v>
      </c>
      <c r="V990" s="509">
        <v>0</v>
      </c>
      <c r="W990" s="502"/>
      <c r="X990" s="509"/>
      <c r="Y990" s="509"/>
      <c r="Z990" s="512">
        <v>600</v>
      </c>
      <c r="AA990" s="509"/>
      <c r="AB990" s="513"/>
      <c r="AC990" s="513"/>
      <c r="AD990" s="509"/>
      <c r="AE990" s="509"/>
      <c r="AF990" s="509" t="s">
        <v>1089</v>
      </c>
      <c r="AG990" s="509" t="s">
        <v>1090</v>
      </c>
      <c r="AH990" s="509" t="s">
        <v>1087</v>
      </c>
      <c r="AI990" s="502" t="s">
        <v>1093</v>
      </c>
      <c r="AJ990" s="509" t="s">
        <v>1088</v>
      </c>
      <c r="AK990" s="509"/>
      <c r="AL990" s="510">
        <v>0</v>
      </c>
      <c r="AM990" s="509" t="s">
        <v>1326</v>
      </c>
      <c r="AN990" s="509" t="s">
        <v>5903</v>
      </c>
      <c r="AO990" s="509"/>
      <c r="AP990" s="507">
        <v>1</v>
      </c>
      <c r="AQ990" s="507">
        <v>0</v>
      </c>
      <c r="AR990" s="507">
        <v>0</v>
      </c>
      <c r="AS990" s="507">
        <v>0</v>
      </c>
      <c r="AU990" s="226">
        <v>0</v>
      </c>
      <c r="AV990" s="17">
        <f t="shared" si="150"/>
        <v>0</v>
      </c>
      <c r="AW990" s="50" t="str">
        <f>"{s_taskTalk,{"&amp;L990&amp;","&amp;N990&amp;"}}"</f>
        <v>{s_taskTalk,{60016,60016}}</v>
      </c>
    </row>
    <row r="991" spans="1:49" s="507" customFormat="1" ht="84.75" thickBot="1" x14ac:dyDescent="0.2">
      <c r="A991" s="508">
        <v>10022</v>
      </c>
      <c r="B991" s="509"/>
      <c r="C991" s="509" t="s">
        <v>2274</v>
      </c>
      <c r="D991" s="435">
        <v>2</v>
      </c>
      <c r="E991" s="435">
        <v>0</v>
      </c>
      <c r="F991" s="509">
        <v>1</v>
      </c>
      <c r="G991" s="120">
        <v>200</v>
      </c>
      <c r="H991" s="509">
        <v>200</v>
      </c>
      <c r="I991" s="17">
        <v>0</v>
      </c>
      <c r="J991" s="510">
        <v>0</v>
      </c>
      <c r="K991" s="509">
        <v>0</v>
      </c>
      <c r="L991" s="509">
        <v>60016</v>
      </c>
      <c r="M991" s="509" t="s">
        <v>1083</v>
      </c>
      <c r="N991" s="509">
        <v>60042</v>
      </c>
      <c r="O991" s="509" t="s">
        <v>5147</v>
      </c>
      <c r="P991" s="509"/>
      <c r="Q991" s="511"/>
      <c r="R991" s="511"/>
      <c r="S991" s="511"/>
      <c r="T991" s="511"/>
      <c r="U991" s="509">
        <v>1</v>
      </c>
      <c r="V991" s="509">
        <v>0</v>
      </c>
      <c r="W991" s="502"/>
      <c r="X991" s="509"/>
      <c r="Y991" s="509"/>
      <c r="Z991" s="512">
        <v>600</v>
      </c>
      <c r="AA991" s="509"/>
      <c r="AB991" s="513"/>
      <c r="AC991" s="513"/>
      <c r="AD991" s="509"/>
      <c r="AE991" s="509"/>
      <c r="AF991" s="509" t="s">
        <v>7315</v>
      </c>
      <c r="AG991" s="509" t="s">
        <v>1091</v>
      </c>
      <c r="AH991" s="509" t="s">
        <v>1092</v>
      </c>
      <c r="AI991" s="502" t="s">
        <v>1100</v>
      </c>
      <c r="AJ991" s="509" t="s">
        <v>1099</v>
      </c>
      <c r="AK991" s="509"/>
      <c r="AL991" s="510">
        <v>0</v>
      </c>
      <c r="AM991" s="509" t="s">
        <v>1387</v>
      </c>
      <c r="AN991" s="509" t="s">
        <v>5904</v>
      </c>
      <c r="AO991" s="509"/>
      <c r="AP991" s="507">
        <v>1</v>
      </c>
      <c r="AQ991" s="507">
        <v>0</v>
      </c>
      <c r="AR991" s="507">
        <v>0</v>
      </c>
      <c r="AS991" s="507">
        <v>0</v>
      </c>
      <c r="AU991" s="226">
        <v>0</v>
      </c>
      <c r="AV991" s="17">
        <f t="shared" si="150"/>
        <v>0</v>
      </c>
      <c r="AW991" s="50" t="str">
        <f>"{s_taskLevelUp,{"&amp;L991&amp;","&amp;N991&amp;","&amp;G991+4&amp;"}}"</f>
        <v>{s_taskLevelUp,{60016,60042,204}}</v>
      </c>
    </row>
    <row r="992" spans="1:49" s="507" customFormat="1" ht="72.75" thickBot="1" x14ac:dyDescent="0.2">
      <c r="A992" s="508">
        <v>10025</v>
      </c>
      <c r="B992" s="509"/>
      <c r="C992" s="509" t="s">
        <v>2275</v>
      </c>
      <c r="D992" s="435">
        <v>2</v>
      </c>
      <c r="E992" s="435">
        <v>0</v>
      </c>
      <c r="F992" s="509">
        <v>1</v>
      </c>
      <c r="G992" s="120">
        <v>200</v>
      </c>
      <c r="H992" s="509">
        <v>200</v>
      </c>
      <c r="I992" s="17">
        <v>0</v>
      </c>
      <c r="J992" s="510">
        <v>0</v>
      </c>
      <c r="K992" s="509">
        <v>0</v>
      </c>
      <c r="L992" s="509">
        <v>60042</v>
      </c>
      <c r="M992" s="509" t="s">
        <v>182</v>
      </c>
      <c r="N992" s="509">
        <v>60042</v>
      </c>
      <c r="O992" s="509" t="s">
        <v>5147</v>
      </c>
      <c r="P992" s="509"/>
      <c r="Q992" s="511"/>
      <c r="R992" s="511"/>
      <c r="S992" s="511"/>
      <c r="T992" s="511"/>
      <c r="U992" s="509">
        <v>4</v>
      </c>
      <c r="V992" s="509">
        <v>0</v>
      </c>
      <c r="W992" s="502"/>
      <c r="X992" s="509"/>
      <c r="Y992" s="509"/>
      <c r="Z992" s="512">
        <v>600</v>
      </c>
      <c r="AA992" s="509"/>
      <c r="AB992" s="513"/>
      <c r="AC992" s="513"/>
      <c r="AD992" s="509"/>
      <c r="AE992" s="509"/>
      <c r="AF992" s="509" t="s">
        <v>7316</v>
      </c>
      <c r="AG992" s="509" t="s">
        <v>1102</v>
      </c>
      <c r="AH992" s="509" t="s">
        <v>554</v>
      </c>
      <c r="AI992" s="509" t="s">
        <v>447</v>
      </c>
      <c r="AJ992" s="509" t="s">
        <v>1097</v>
      </c>
      <c r="AK992" s="509"/>
      <c r="AL992" s="510">
        <v>0</v>
      </c>
      <c r="AM992" s="509" t="s">
        <v>1101</v>
      </c>
      <c r="AN992" s="509" t="s">
        <v>5905</v>
      </c>
      <c r="AO992" s="509"/>
      <c r="AP992" s="507">
        <v>1</v>
      </c>
      <c r="AQ992" s="507">
        <v>0</v>
      </c>
      <c r="AR992" s="507">
        <v>0</v>
      </c>
      <c r="AS992" s="507">
        <v>0</v>
      </c>
      <c r="AU992" s="226">
        <v>0</v>
      </c>
      <c r="AV992" s="17">
        <f t="shared" si="150"/>
        <v>0</v>
      </c>
      <c r="AW992" s="50" t="str">
        <f>"{s_taskTalk,{"&amp;L992&amp;","&amp;N992&amp;"}}"</f>
        <v>{s_taskTalk,{60042,60042}}</v>
      </c>
    </row>
    <row r="993" spans="1:49" s="514" customFormat="1" ht="96.75" thickBot="1" x14ac:dyDescent="0.2">
      <c r="A993" s="508">
        <v>10024</v>
      </c>
      <c r="B993" s="509"/>
      <c r="C993" s="509" t="s">
        <v>2276</v>
      </c>
      <c r="D993" s="435">
        <v>2</v>
      </c>
      <c r="E993" s="435">
        <v>0</v>
      </c>
      <c r="F993" s="509">
        <v>1</v>
      </c>
      <c r="G993" s="120">
        <v>200</v>
      </c>
      <c r="H993" s="509">
        <v>200</v>
      </c>
      <c r="I993" s="17">
        <v>0</v>
      </c>
      <c r="J993" s="510">
        <v>0</v>
      </c>
      <c r="K993" s="509">
        <v>0</v>
      </c>
      <c r="L993" s="509">
        <v>60042</v>
      </c>
      <c r="M993" s="509" t="s">
        <v>182</v>
      </c>
      <c r="N993" s="509">
        <v>60028</v>
      </c>
      <c r="O993" s="509" t="s">
        <v>5153</v>
      </c>
      <c r="P993" s="509"/>
      <c r="Q993" s="511"/>
      <c r="R993" s="511"/>
      <c r="S993" s="511"/>
      <c r="T993" s="511"/>
      <c r="U993" s="509">
        <v>1</v>
      </c>
      <c r="V993" s="509">
        <v>0</v>
      </c>
      <c r="W993" s="502"/>
      <c r="X993" s="509"/>
      <c r="Y993" s="509"/>
      <c r="Z993" s="512">
        <v>600</v>
      </c>
      <c r="AA993" s="509"/>
      <c r="AB993" s="513"/>
      <c r="AC993" s="513"/>
      <c r="AD993" s="509"/>
      <c r="AE993" s="509"/>
      <c r="AF993" s="509" t="s">
        <v>1094</v>
      </c>
      <c r="AG993" s="509" t="s">
        <v>1095</v>
      </c>
      <c r="AH993" s="509" t="s">
        <v>1096</v>
      </c>
      <c r="AI993" s="502" t="s">
        <v>1093</v>
      </c>
      <c r="AJ993" s="509" t="s">
        <v>1098</v>
      </c>
      <c r="AK993" s="509"/>
      <c r="AL993" s="510">
        <v>0</v>
      </c>
      <c r="AM993" s="509" t="s">
        <v>1388</v>
      </c>
      <c r="AN993" s="509" t="s">
        <v>5906</v>
      </c>
      <c r="AO993" s="509"/>
      <c r="AP993" s="514">
        <v>1</v>
      </c>
      <c r="AQ993" s="514">
        <v>0</v>
      </c>
      <c r="AR993" s="514">
        <v>0</v>
      </c>
      <c r="AS993" s="514">
        <v>0</v>
      </c>
      <c r="AU993" s="226">
        <v>0</v>
      </c>
      <c r="AV993" s="17">
        <f t="shared" si="150"/>
        <v>0</v>
      </c>
      <c r="AW993" s="50" t="str">
        <f>"{s_taskLevelUp,{"&amp;L993&amp;","&amp;N993&amp;","&amp;G993+4&amp;"}}"</f>
        <v>{s_taskLevelUp,{60042,60028,204}}</v>
      </c>
    </row>
    <row r="994" spans="1:49" s="518" customFormat="1" ht="72.75" thickBot="1" x14ac:dyDescent="0.2">
      <c r="A994" s="515">
        <v>10026</v>
      </c>
      <c r="B994" s="500"/>
      <c r="C994" s="500" t="s">
        <v>3598</v>
      </c>
      <c r="D994" s="29">
        <v>2</v>
      </c>
      <c r="E994" s="29">
        <v>0</v>
      </c>
      <c r="F994" s="500">
        <v>1</v>
      </c>
      <c r="G994" s="120">
        <v>200</v>
      </c>
      <c r="H994" s="500">
        <v>200</v>
      </c>
      <c r="I994" s="17">
        <v>0</v>
      </c>
      <c r="J994" s="516">
        <v>0</v>
      </c>
      <c r="K994" s="500">
        <v>0</v>
      </c>
      <c r="L994" s="500">
        <v>60028</v>
      </c>
      <c r="M994" s="500" t="s">
        <v>189</v>
      </c>
      <c r="N994" s="500">
        <v>60028</v>
      </c>
      <c r="O994" s="500" t="s">
        <v>189</v>
      </c>
      <c r="P994" s="500"/>
      <c r="Q994" s="498"/>
      <c r="R994" s="498"/>
      <c r="S994" s="498"/>
      <c r="T994" s="498"/>
      <c r="U994" s="500">
        <v>4</v>
      </c>
      <c r="V994" s="500">
        <v>0</v>
      </c>
      <c r="W994" s="517"/>
      <c r="X994" s="500"/>
      <c r="Y994" s="500"/>
      <c r="Z994" s="132">
        <v>600</v>
      </c>
      <c r="AA994" s="500"/>
      <c r="AB994" s="499"/>
      <c r="AC994" s="499"/>
      <c r="AD994" s="500"/>
      <c r="AE994" s="500"/>
      <c r="AF994" s="500" t="s">
        <v>1415</v>
      </c>
      <c r="AG994" s="500" t="s">
        <v>1103</v>
      </c>
      <c r="AH994" s="500" t="s">
        <v>1104</v>
      </c>
      <c r="AI994" s="500" t="s">
        <v>1105</v>
      </c>
      <c r="AJ994" s="500" t="s">
        <v>1106</v>
      </c>
      <c r="AK994" s="500"/>
      <c r="AL994" s="516">
        <v>0</v>
      </c>
      <c r="AM994" s="500" t="s">
        <v>1107</v>
      </c>
      <c r="AN994" s="500" t="s">
        <v>5907</v>
      </c>
      <c r="AO994" s="500"/>
      <c r="AP994" s="518">
        <v>1</v>
      </c>
      <c r="AQ994" s="518">
        <v>0</v>
      </c>
      <c r="AR994" s="518">
        <v>0</v>
      </c>
      <c r="AS994" s="518">
        <v>0</v>
      </c>
      <c r="AU994" s="29">
        <v>0</v>
      </c>
      <c r="AV994" s="17">
        <f t="shared" si="150"/>
        <v>0</v>
      </c>
      <c r="AW994" s="29" t="str">
        <f>"{s_taskTalk,{"&amp;L994&amp;","&amp;N994&amp;"}}"</f>
        <v>{s_taskTalk,{60028,60028}}</v>
      </c>
    </row>
    <row r="995" spans="1:49" s="518" customFormat="1" ht="96.75" thickBot="1" x14ac:dyDescent="0.2">
      <c r="A995" s="515">
        <v>10101</v>
      </c>
      <c r="B995" s="500"/>
      <c r="C995" s="500" t="s">
        <v>3599</v>
      </c>
      <c r="D995" s="29">
        <v>2</v>
      </c>
      <c r="E995" s="29">
        <v>0</v>
      </c>
      <c r="F995" s="500">
        <v>3</v>
      </c>
      <c r="G995" s="120">
        <v>200</v>
      </c>
      <c r="H995" s="500">
        <v>200</v>
      </c>
      <c r="I995" s="17">
        <v>0</v>
      </c>
      <c r="J995" s="516">
        <v>10026</v>
      </c>
      <c r="K995" s="500">
        <v>0</v>
      </c>
      <c r="L995" s="500">
        <v>60028</v>
      </c>
      <c r="M995" s="500" t="s">
        <v>189</v>
      </c>
      <c r="N995" s="500">
        <v>60000</v>
      </c>
      <c r="O995" s="500" t="s">
        <v>192</v>
      </c>
      <c r="P995" s="500"/>
      <c r="Q995" s="498"/>
      <c r="R995" s="498"/>
      <c r="S995" s="498"/>
      <c r="T995" s="498"/>
      <c r="U995" s="500">
        <v>1</v>
      </c>
      <c r="V995" s="500">
        <v>0</v>
      </c>
      <c r="W995" s="517"/>
      <c r="X995" s="500"/>
      <c r="Y995" s="500"/>
      <c r="Z995" s="132">
        <v>600</v>
      </c>
      <c r="AA995" s="500"/>
      <c r="AB995" s="499"/>
      <c r="AC995" s="499"/>
      <c r="AD995" s="500" t="s">
        <v>3613</v>
      </c>
      <c r="AE995" s="500"/>
      <c r="AF995" s="500" t="s">
        <v>1108</v>
      </c>
      <c r="AG995" s="500" t="s">
        <v>4563</v>
      </c>
      <c r="AH995" s="500" t="s">
        <v>1109</v>
      </c>
      <c r="AI995" s="500" t="s">
        <v>1116</v>
      </c>
      <c r="AJ995" s="500" t="s">
        <v>4564</v>
      </c>
      <c r="AK995" s="500"/>
      <c r="AL995" s="516">
        <v>0</v>
      </c>
      <c r="AM995" s="500" t="s">
        <v>4565</v>
      </c>
      <c r="AN995" s="500" t="s">
        <v>5908</v>
      </c>
      <c r="AO995" s="500"/>
      <c r="AP995" s="518">
        <v>1</v>
      </c>
      <c r="AQ995" s="518">
        <v>0</v>
      </c>
      <c r="AR995" s="518">
        <v>0</v>
      </c>
      <c r="AS995" s="518">
        <v>0</v>
      </c>
      <c r="AU995" s="29">
        <v>0</v>
      </c>
      <c r="AV995" s="17">
        <f t="shared" si="150"/>
        <v>0</v>
      </c>
      <c r="AW995" s="29" t="str">
        <f>"{s_taskLevelUp,{"&amp;L995&amp;","&amp;N995&amp;","&amp;G995+5&amp;"}}"</f>
        <v>{s_taskLevelUp,{60028,60000,205}}</v>
      </c>
    </row>
    <row r="996" spans="1:49" s="518" customFormat="1" ht="84.75" thickBot="1" x14ac:dyDescent="0.2">
      <c r="A996" s="515">
        <v>10102</v>
      </c>
      <c r="B996" s="500"/>
      <c r="C996" s="500" t="s">
        <v>3600</v>
      </c>
      <c r="D996" s="29">
        <v>2</v>
      </c>
      <c r="E996" s="29">
        <v>0</v>
      </c>
      <c r="F996" s="500">
        <v>3</v>
      </c>
      <c r="G996" s="120">
        <v>200</v>
      </c>
      <c r="H996" s="500">
        <v>200</v>
      </c>
      <c r="I996" s="17">
        <v>0</v>
      </c>
      <c r="J996" s="516">
        <v>10101</v>
      </c>
      <c r="K996" s="500">
        <v>0</v>
      </c>
      <c r="L996" s="500">
        <v>60000</v>
      </c>
      <c r="M996" s="500" t="s">
        <v>192</v>
      </c>
      <c r="N996" s="500">
        <v>60000</v>
      </c>
      <c r="O996" s="500" t="s">
        <v>192</v>
      </c>
      <c r="P996" s="500"/>
      <c r="Q996" s="498"/>
      <c r="R996" s="498"/>
      <c r="S996" s="498"/>
      <c r="T996" s="498"/>
      <c r="U996" s="500">
        <v>4</v>
      </c>
      <c r="V996" s="500">
        <v>0</v>
      </c>
      <c r="W996" s="517"/>
      <c r="X996" s="500"/>
      <c r="Y996" s="500"/>
      <c r="Z996" s="132">
        <v>1200</v>
      </c>
      <c r="AA996" s="500"/>
      <c r="AB996" s="499"/>
      <c r="AC996" s="499"/>
      <c r="AD996" s="500"/>
      <c r="AE996" s="500"/>
      <c r="AF996" s="500" t="s">
        <v>4566</v>
      </c>
      <c r="AG996" s="500" t="s">
        <v>1110</v>
      </c>
      <c r="AH996" s="500" t="s">
        <v>1111</v>
      </c>
      <c r="AI996" s="500" t="s">
        <v>1112</v>
      </c>
      <c r="AJ996" s="500" t="s">
        <v>4567</v>
      </c>
      <c r="AK996" s="500"/>
      <c r="AL996" s="516">
        <v>0</v>
      </c>
      <c r="AM996" s="500" t="s">
        <v>1113</v>
      </c>
      <c r="AN996" s="500" t="s">
        <v>5909</v>
      </c>
      <c r="AO996" s="500"/>
      <c r="AP996" s="518">
        <v>1</v>
      </c>
      <c r="AQ996" s="518">
        <v>0</v>
      </c>
      <c r="AR996" s="518">
        <v>0</v>
      </c>
      <c r="AS996" s="518">
        <v>0</v>
      </c>
      <c r="AU996" s="29">
        <v>0</v>
      </c>
      <c r="AV996" s="17">
        <f t="shared" si="150"/>
        <v>0</v>
      </c>
      <c r="AW996" s="29" t="str">
        <f>"{s_taskTalk,{"&amp;L996&amp;","&amp;N996&amp;"}}"</f>
        <v>{s_taskTalk,{60000,60000}}</v>
      </c>
    </row>
    <row r="997" spans="1:49" s="496" customFormat="1" ht="96.75" thickBot="1" x14ac:dyDescent="0.2">
      <c r="A997" s="519">
        <v>10105</v>
      </c>
      <c r="B997" s="520"/>
      <c r="C997" s="520" t="s">
        <v>3601</v>
      </c>
      <c r="D997" s="29">
        <v>2</v>
      </c>
      <c r="E997" s="29">
        <v>0</v>
      </c>
      <c r="F997" s="520">
        <v>3</v>
      </c>
      <c r="G997" s="120">
        <v>200</v>
      </c>
      <c r="H997" s="520">
        <v>200</v>
      </c>
      <c r="I997" s="17">
        <v>0</v>
      </c>
      <c r="J997" s="521">
        <v>10102</v>
      </c>
      <c r="K997" s="520">
        <v>0</v>
      </c>
      <c r="L997" s="520">
        <v>60000</v>
      </c>
      <c r="M997" s="520" t="s">
        <v>192</v>
      </c>
      <c r="N997" s="520">
        <v>60055</v>
      </c>
      <c r="O997" s="520" t="s">
        <v>236</v>
      </c>
      <c r="P997" s="520"/>
      <c r="Q997" s="522"/>
      <c r="R997" s="522"/>
      <c r="S997" s="522"/>
      <c r="T997" s="522"/>
      <c r="U997" s="520">
        <v>1</v>
      </c>
      <c r="V997" s="520">
        <v>0</v>
      </c>
      <c r="W997" s="517"/>
      <c r="X997" s="520"/>
      <c r="Y997" s="520"/>
      <c r="Z997" s="523">
        <v>1200</v>
      </c>
      <c r="AA997" s="520"/>
      <c r="AB997" s="524"/>
      <c r="AC997" s="524"/>
      <c r="AD997" s="520" t="s">
        <v>3614</v>
      </c>
      <c r="AE997" s="520"/>
      <c r="AF997" s="520" t="s">
        <v>1132</v>
      </c>
      <c r="AG997" s="520" t="s">
        <v>1114</v>
      </c>
      <c r="AH997" s="520" t="s">
        <v>1115</v>
      </c>
      <c r="AI997" s="520" t="s">
        <v>1127</v>
      </c>
      <c r="AJ997" s="520" t="s">
        <v>1122</v>
      </c>
      <c r="AK997" s="520"/>
      <c r="AL997" s="521">
        <v>0</v>
      </c>
      <c r="AM997" s="520" t="s">
        <v>4323</v>
      </c>
      <c r="AN997" s="520" t="s">
        <v>5910</v>
      </c>
      <c r="AO997" s="520"/>
      <c r="AP997" s="496">
        <v>1</v>
      </c>
      <c r="AQ997" s="496">
        <v>0</v>
      </c>
      <c r="AR997" s="496">
        <v>0</v>
      </c>
      <c r="AS997" s="496">
        <v>0</v>
      </c>
      <c r="AT997" s="496">
        <v>0</v>
      </c>
      <c r="AU997" s="29">
        <v>0</v>
      </c>
      <c r="AV997" s="17">
        <f t="shared" si="150"/>
        <v>0</v>
      </c>
      <c r="AW997" s="29" t="str">
        <f>"{s_taskLevelUp,{"&amp;L997&amp;","&amp;N997&amp;","&amp;G997+5&amp;"}}"</f>
        <v>{s_taskLevelUp,{60000,60055,205}}</v>
      </c>
    </row>
    <row r="998" spans="1:49" s="496" customFormat="1" ht="72.75" thickBot="1" x14ac:dyDescent="0.2">
      <c r="A998" s="515">
        <v>10106</v>
      </c>
      <c r="B998" s="500"/>
      <c r="C998" s="500" t="s">
        <v>3602</v>
      </c>
      <c r="D998" s="29">
        <v>2</v>
      </c>
      <c r="E998" s="29">
        <v>0</v>
      </c>
      <c r="F998" s="500">
        <v>3</v>
      </c>
      <c r="G998" s="120">
        <v>200</v>
      </c>
      <c r="H998" s="500">
        <v>200</v>
      </c>
      <c r="I998" s="17">
        <v>0</v>
      </c>
      <c r="J998" s="516">
        <v>10105</v>
      </c>
      <c r="K998" s="500">
        <v>0</v>
      </c>
      <c r="L998" s="520">
        <v>60055</v>
      </c>
      <c r="M998" s="520" t="s">
        <v>236</v>
      </c>
      <c r="N998" s="520">
        <v>60055</v>
      </c>
      <c r="O998" s="520" t="s">
        <v>236</v>
      </c>
      <c r="P998" s="500"/>
      <c r="Q998" s="498"/>
      <c r="R998" s="498"/>
      <c r="S998" s="498"/>
      <c r="T998" s="498"/>
      <c r="U998" s="500">
        <v>4</v>
      </c>
      <c r="V998" s="500">
        <v>0</v>
      </c>
      <c r="W998" s="517"/>
      <c r="X998" s="500"/>
      <c r="Y998" s="500"/>
      <c r="Z998" s="132">
        <v>2400</v>
      </c>
      <c r="AA998" s="500"/>
      <c r="AB998" s="499"/>
      <c r="AC998" s="499"/>
      <c r="AD998" s="500"/>
      <c r="AE998" s="500"/>
      <c r="AF998" s="500" t="s">
        <v>1118</v>
      </c>
      <c r="AG998" s="500" t="s">
        <v>1119</v>
      </c>
      <c r="AH998" s="500" t="s">
        <v>1120</v>
      </c>
      <c r="AI998" s="500" t="s">
        <v>1112</v>
      </c>
      <c r="AJ998" s="500" t="s">
        <v>1121</v>
      </c>
      <c r="AK998" s="500"/>
      <c r="AL998" s="516">
        <v>0</v>
      </c>
      <c r="AM998" s="500" t="s">
        <v>1123</v>
      </c>
      <c r="AN998" s="500" t="s">
        <v>5911</v>
      </c>
      <c r="AO998" s="500"/>
      <c r="AP998" s="496">
        <v>1</v>
      </c>
      <c r="AQ998" s="496">
        <v>0</v>
      </c>
      <c r="AR998" s="496">
        <v>0</v>
      </c>
      <c r="AS998" s="496">
        <v>0</v>
      </c>
      <c r="AT998" s="496">
        <v>0</v>
      </c>
      <c r="AU998" s="29">
        <v>0</v>
      </c>
      <c r="AV998" s="17">
        <f t="shared" si="150"/>
        <v>0</v>
      </c>
      <c r="AW998" s="29" t="str">
        <f>"{s_taskTalk,{"&amp;L998&amp;","&amp;N998&amp;"}}"</f>
        <v>{s_taskTalk,{60055,60055}}</v>
      </c>
    </row>
    <row r="999" spans="1:49" s="496" customFormat="1" ht="96.75" thickBot="1" x14ac:dyDescent="0.2">
      <c r="A999" s="519">
        <v>10107</v>
      </c>
      <c r="B999" s="520"/>
      <c r="C999" s="520" t="s">
        <v>3603</v>
      </c>
      <c r="D999" s="29">
        <v>2</v>
      </c>
      <c r="E999" s="29">
        <v>0</v>
      </c>
      <c r="F999" s="520">
        <v>3</v>
      </c>
      <c r="G999" s="120">
        <v>200</v>
      </c>
      <c r="H999" s="520">
        <v>200</v>
      </c>
      <c r="I999" s="17">
        <v>0</v>
      </c>
      <c r="J999" s="521">
        <v>10106</v>
      </c>
      <c r="K999" s="520">
        <v>0</v>
      </c>
      <c r="L999" s="520">
        <v>60055</v>
      </c>
      <c r="M999" s="520" t="s">
        <v>236</v>
      </c>
      <c r="N999" s="520">
        <v>60062</v>
      </c>
      <c r="O999" s="520" t="s">
        <v>1124</v>
      </c>
      <c r="P999" s="520"/>
      <c r="Q999" s="522"/>
      <c r="R999" s="522"/>
      <c r="S999" s="522"/>
      <c r="T999" s="522"/>
      <c r="U999" s="520">
        <v>1</v>
      </c>
      <c r="V999" s="520">
        <v>0</v>
      </c>
      <c r="W999" s="517"/>
      <c r="X999" s="520"/>
      <c r="Y999" s="520"/>
      <c r="Z999" s="523">
        <v>2400</v>
      </c>
      <c r="AA999" s="520"/>
      <c r="AB999" s="524"/>
      <c r="AC999" s="524"/>
      <c r="AD999" s="520" t="s">
        <v>3617</v>
      </c>
      <c r="AE999" s="520"/>
      <c r="AF999" s="520" t="s">
        <v>1131</v>
      </c>
      <c r="AG999" s="520" t="s">
        <v>1125</v>
      </c>
      <c r="AH999" s="520" t="s">
        <v>1126</v>
      </c>
      <c r="AI999" s="520" t="s">
        <v>1128</v>
      </c>
      <c r="AJ999" s="520" t="s">
        <v>1129</v>
      </c>
      <c r="AK999" s="520"/>
      <c r="AL999" s="521">
        <v>0</v>
      </c>
      <c r="AM999" s="520" t="s">
        <v>1455</v>
      </c>
      <c r="AN999" s="520" t="s">
        <v>5912</v>
      </c>
      <c r="AO999" s="520"/>
      <c r="AP999" s="496">
        <v>1</v>
      </c>
      <c r="AQ999" s="496">
        <v>0</v>
      </c>
      <c r="AR999" s="496">
        <v>0</v>
      </c>
      <c r="AS999" s="496">
        <v>0</v>
      </c>
      <c r="AU999" s="29">
        <v>0</v>
      </c>
      <c r="AV999" s="17">
        <f t="shared" si="150"/>
        <v>0</v>
      </c>
      <c r="AW999" s="29" t="str">
        <f>"{s_taskLevelUp,{"&amp;L999&amp;","&amp;N999&amp;","&amp;G999+5&amp;"}}"</f>
        <v>{s_taskLevelUp,{60055,60062,205}}</v>
      </c>
    </row>
    <row r="1000" spans="1:49" s="496" customFormat="1" ht="72.75" thickBot="1" x14ac:dyDescent="0.2">
      <c r="A1000" s="515">
        <v>10108</v>
      </c>
      <c r="B1000" s="500"/>
      <c r="C1000" s="500" t="s">
        <v>3604</v>
      </c>
      <c r="D1000" s="29">
        <v>2</v>
      </c>
      <c r="E1000" s="29">
        <v>0</v>
      </c>
      <c r="F1000" s="500">
        <v>4</v>
      </c>
      <c r="G1000" s="120">
        <v>200</v>
      </c>
      <c r="H1000" s="500">
        <v>200</v>
      </c>
      <c r="I1000" s="17">
        <v>0</v>
      </c>
      <c r="J1000" s="516">
        <v>10107</v>
      </c>
      <c r="K1000" s="500">
        <v>0</v>
      </c>
      <c r="L1000" s="520">
        <v>60062</v>
      </c>
      <c r="M1000" s="520" t="s">
        <v>1130</v>
      </c>
      <c r="N1000" s="520">
        <v>60062</v>
      </c>
      <c r="O1000" s="520" t="s">
        <v>5180</v>
      </c>
      <c r="P1000" s="500"/>
      <c r="Q1000" s="498"/>
      <c r="R1000" s="498"/>
      <c r="S1000" s="498"/>
      <c r="T1000" s="498"/>
      <c r="U1000" s="500">
        <v>4</v>
      </c>
      <c r="V1000" s="500">
        <v>0</v>
      </c>
      <c r="W1000" s="517"/>
      <c r="X1000" s="500"/>
      <c r="Y1000" s="500"/>
      <c r="Z1000" s="132">
        <v>4800</v>
      </c>
      <c r="AA1000" s="500"/>
      <c r="AB1000" s="499"/>
      <c r="AC1000" s="499"/>
      <c r="AD1000" s="500"/>
      <c r="AE1000" s="500"/>
      <c r="AF1000" s="500" t="s">
        <v>1138</v>
      </c>
      <c r="AG1000" s="500" t="s">
        <v>1133</v>
      </c>
      <c r="AH1000" s="500" t="s">
        <v>1134</v>
      </c>
      <c r="AI1000" s="500" t="s">
        <v>1112</v>
      </c>
      <c r="AJ1000" s="500" t="s">
        <v>1135</v>
      </c>
      <c r="AK1000" s="500"/>
      <c r="AL1000" s="516">
        <v>0</v>
      </c>
      <c r="AM1000" s="500" t="s">
        <v>1151</v>
      </c>
      <c r="AN1000" s="500" t="s">
        <v>5913</v>
      </c>
      <c r="AO1000" s="500"/>
      <c r="AP1000" s="496">
        <v>1</v>
      </c>
      <c r="AQ1000" s="496">
        <v>0</v>
      </c>
      <c r="AR1000" s="496">
        <v>0</v>
      </c>
      <c r="AS1000" s="496">
        <v>0</v>
      </c>
      <c r="AT1000" s="496">
        <v>0</v>
      </c>
      <c r="AU1000" s="29">
        <v>0</v>
      </c>
      <c r="AV1000" s="17">
        <f t="shared" si="150"/>
        <v>0</v>
      </c>
      <c r="AW1000" s="29" t="str">
        <f>"{s_taskTalk,{"&amp;L1000&amp;","&amp;N1000&amp;"}}"</f>
        <v>{s_taskTalk,{60062,60062}}</v>
      </c>
    </row>
    <row r="1001" spans="1:49" s="518" customFormat="1" ht="96.75" thickBot="1" x14ac:dyDescent="0.2">
      <c r="A1001" s="519">
        <v>10109</v>
      </c>
      <c r="B1001" s="520"/>
      <c r="C1001" s="520" t="s">
        <v>3605</v>
      </c>
      <c r="D1001" s="29">
        <v>2</v>
      </c>
      <c r="E1001" s="29">
        <v>0</v>
      </c>
      <c r="F1001" s="520">
        <v>4</v>
      </c>
      <c r="G1001" s="120">
        <v>200</v>
      </c>
      <c r="H1001" s="520">
        <v>200</v>
      </c>
      <c r="I1001" s="17">
        <v>0</v>
      </c>
      <c r="J1001" s="521">
        <v>10108</v>
      </c>
      <c r="K1001" s="520">
        <v>0</v>
      </c>
      <c r="L1001" s="520">
        <v>60062</v>
      </c>
      <c r="M1001" s="520" t="s">
        <v>1124</v>
      </c>
      <c r="N1001" s="520">
        <v>60072</v>
      </c>
      <c r="O1001" s="520" t="s">
        <v>5181</v>
      </c>
      <c r="P1001" s="520"/>
      <c r="Q1001" s="522"/>
      <c r="R1001" s="522"/>
      <c r="S1001" s="522"/>
      <c r="T1001" s="522"/>
      <c r="U1001" s="520">
        <v>1</v>
      </c>
      <c r="V1001" s="520">
        <v>0</v>
      </c>
      <c r="W1001" s="517"/>
      <c r="X1001" s="520"/>
      <c r="Y1001" s="520"/>
      <c r="Z1001" s="523">
        <v>4800</v>
      </c>
      <c r="AA1001" s="520"/>
      <c r="AB1001" s="524"/>
      <c r="AC1001" s="524"/>
      <c r="AD1001" s="520" t="s">
        <v>3618</v>
      </c>
      <c r="AE1001" s="520"/>
      <c r="AF1001" s="520" t="s">
        <v>1139</v>
      </c>
      <c r="AG1001" s="520" t="s">
        <v>4755</v>
      </c>
      <c r="AH1001" s="520" t="s">
        <v>1140</v>
      </c>
      <c r="AI1001" s="520" t="s">
        <v>1141</v>
      </c>
      <c r="AJ1001" s="520" t="s">
        <v>1150</v>
      </c>
      <c r="AK1001" s="520"/>
      <c r="AL1001" s="521">
        <v>0</v>
      </c>
      <c r="AM1001" s="520" t="s">
        <v>4324</v>
      </c>
      <c r="AN1001" s="520" t="s">
        <v>5914</v>
      </c>
      <c r="AO1001" s="520"/>
      <c r="AP1001" s="518">
        <v>1</v>
      </c>
      <c r="AQ1001" s="518">
        <v>0</v>
      </c>
      <c r="AR1001" s="518">
        <v>0</v>
      </c>
      <c r="AS1001" s="518">
        <v>0</v>
      </c>
      <c r="AU1001" s="29">
        <v>0</v>
      </c>
      <c r="AV1001" s="17">
        <f t="shared" si="150"/>
        <v>0</v>
      </c>
      <c r="AW1001" s="29" t="str">
        <f>"{s_taskLevelUp,{"&amp;L1001&amp;","&amp;N1001&amp;","&amp;G1001+5&amp;"}}"</f>
        <v>{s_taskLevelUp,{60062,60072,205}}</v>
      </c>
    </row>
    <row r="1002" spans="1:49" s="496" customFormat="1" ht="72.75" thickBot="1" x14ac:dyDescent="0.2">
      <c r="A1002" s="515">
        <v>10110</v>
      </c>
      <c r="B1002" s="500"/>
      <c r="C1002" s="500" t="s">
        <v>3606</v>
      </c>
      <c r="D1002" s="29">
        <v>2</v>
      </c>
      <c r="E1002" s="29">
        <v>0</v>
      </c>
      <c r="F1002" s="500">
        <v>3</v>
      </c>
      <c r="G1002" s="120">
        <v>200</v>
      </c>
      <c r="H1002" s="500">
        <v>200</v>
      </c>
      <c r="I1002" s="17">
        <v>0</v>
      </c>
      <c r="J1002" s="516">
        <v>10109</v>
      </c>
      <c r="K1002" s="500">
        <v>0</v>
      </c>
      <c r="L1002" s="520">
        <v>60072</v>
      </c>
      <c r="M1002" s="520" t="s">
        <v>1137</v>
      </c>
      <c r="N1002" s="520">
        <v>60072</v>
      </c>
      <c r="O1002" s="520" t="s">
        <v>5181</v>
      </c>
      <c r="P1002" s="500"/>
      <c r="Q1002" s="498"/>
      <c r="R1002" s="498"/>
      <c r="S1002" s="498"/>
      <c r="T1002" s="498"/>
      <c r="U1002" s="500">
        <v>4</v>
      </c>
      <c r="V1002" s="500">
        <v>0</v>
      </c>
      <c r="W1002" s="517"/>
      <c r="X1002" s="500"/>
      <c r="Y1002" s="500"/>
      <c r="Z1002" s="132">
        <v>9600</v>
      </c>
      <c r="AA1002" s="500"/>
      <c r="AB1002" s="499"/>
      <c r="AC1002" s="499"/>
      <c r="AD1002" s="500"/>
      <c r="AE1002" s="500"/>
      <c r="AF1002" s="500" t="s">
        <v>1143</v>
      </c>
      <c r="AG1002" s="500" t="s">
        <v>4568</v>
      </c>
      <c r="AH1002" s="500" t="s">
        <v>1144</v>
      </c>
      <c r="AI1002" s="500" t="s">
        <v>1112</v>
      </c>
      <c r="AJ1002" s="500" t="s">
        <v>1142</v>
      </c>
      <c r="AK1002" s="500"/>
      <c r="AL1002" s="516">
        <v>0</v>
      </c>
      <c r="AM1002" s="500" t="s">
        <v>1152</v>
      </c>
      <c r="AN1002" s="500" t="s">
        <v>5915</v>
      </c>
      <c r="AO1002" s="500"/>
      <c r="AP1002" s="496">
        <v>1</v>
      </c>
      <c r="AQ1002" s="496">
        <v>0</v>
      </c>
      <c r="AR1002" s="496">
        <v>0</v>
      </c>
      <c r="AS1002" s="496">
        <v>0</v>
      </c>
      <c r="AT1002" s="496">
        <v>0</v>
      </c>
      <c r="AU1002" s="29">
        <v>0</v>
      </c>
      <c r="AV1002" s="17">
        <f t="shared" si="150"/>
        <v>0</v>
      </c>
      <c r="AW1002" s="29" t="str">
        <f>"{s_taskTalk,{"&amp;L1002&amp;","&amp;N1002&amp;"}}"</f>
        <v>{s_taskTalk,{60072,60072}}</v>
      </c>
    </row>
    <row r="1003" spans="1:49" s="496" customFormat="1" ht="108.75" thickBot="1" x14ac:dyDescent="0.2">
      <c r="A1003" s="519">
        <v>10111</v>
      </c>
      <c r="B1003" s="520"/>
      <c r="C1003" s="520" t="s">
        <v>3607</v>
      </c>
      <c r="D1003" s="29">
        <v>2</v>
      </c>
      <c r="E1003" s="29">
        <v>0</v>
      </c>
      <c r="F1003" s="520">
        <v>3</v>
      </c>
      <c r="G1003" s="120">
        <v>200</v>
      </c>
      <c r="H1003" s="520">
        <v>200</v>
      </c>
      <c r="I1003" s="17">
        <v>0</v>
      </c>
      <c r="J1003" s="521">
        <v>10110</v>
      </c>
      <c r="K1003" s="520">
        <v>0</v>
      </c>
      <c r="L1003" s="520">
        <v>60072</v>
      </c>
      <c r="M1003" s="520" t="s">
        <v>1137</v>
      </c>
      <c r="N1003" s="520">
        <v>60075</v>
      </c>
      <c r="O1003" s="520" t="s">
        <v>5182</v>
      </c>
      <c r="P1003" s="520"/>
      <c r="Q1003" s="522"/>
      <c r="R1003" s="522"/>
      <c r="S1003" s="522"/>
      <c r="T1003" s="522"/>
      <c r="U1003" s="520">
        <v>1</v>
      </c>
      <c r="V1003" s="520">
        <v>0</v>
      </c>
      <c r="W1003" s="517"/>
      <c r="X1003" s="520"/>
      <c r="Y1003" s="520"/>
      <c r="Z1003" s="523">
        <v>9600</v>
      </c>
      <c r="AA1003" s="520"/>
      <c r="AB1003" s="524"/>
      <c r="AC1003" s="524"/>
      <c r="AD1003" s="520" t="s">
        <v>3619</v>
      </c>
      <c r="AE1003" s="520"/>
      <c r="AF1003" s="520" t="s">
        <v>1146</v>
      </c>
      <c r="AG1003" s="520" t="s">
        <v>1147</v>
      </c>
      <c r="AH1003" s="520" t="s">
        <v>1148</v>
      </c>
      <c r="AI1003" s="520" t="s">
        <v>1149</v>
      </c>
      <c r="AJ1003" s="520" t="s">
        <v>1161</v>
      </c>
      <c r="AK1003" s="520"/>
      <c r="AL1003" s="521">
        <v>0</v>
      </c>
      <c r="AM1003" s="520" t="s">
        <v>4325</v>
      </c>
      <c r="AN1003" s="520" t="s">
        <v>5916</v>
      </c>
      <c r="AO1003" s="520"/>
      <c r="AP1003" s="496">
        <v>1</v>
      </c>
      <c r="AQ1003" s="496">
        <v>0</v>
      </c>
      <c r="AR1003" s="496">
        <v>0</v>
      </c>
      <c r="AS1003" s="496">
        <v>0</v>
      </c>
      <c r="AT1003" s="496">
        <v>0</v>
      </c>
      <c r="AU1003" s="29">
        <v>0</v>
      </c>
      <c r="AV1003" s="17">
        <f t="shared" si="150"/>
        <v>0</v>
      </c>
      <c r="AW1003" s="29" t="str">
        <f>"{s_taskLevelUp,{"&amp;L1003&amp;","&amp;N1003&amp;","&amp;G1003+5&amp;"}}"</f>
        <v>{s_taskLevelUp,{60072,60075,205}}</v>
      </c>
    </row>
    <row r="1004" spans="1:49" s="496" customFormat="1" ht="72.75" thickBot="1" x14ac:dyDescent="0.2">
      <c r="A1004" s="515">
        <v>10112</v>
      </c>
      <c r="B1004" s="500"/>
      <c r="C1004" s="500" t="s">
        <v>3608</v>
      </c>
      <c r="D1004" s="29">
        <v>2</v>
      </c>
      <c r="E1004" s="29">
        <v>0</v>
      </c>
      <c r="F1004" s="500">
        <v>3</v>
      </c>
      <c r="G1004" s="120">
        <v>200</v>
      </c>
      <c r="H1004" s="500">
        <v>200</v>
      </c>
      <c r="I1004" s="17">
        <v>0</v>
      </c>
      <c r="J1004" s="516">
        <v>10111</v>
      </c>
      <c r="K1004" s="500">
        <v>0</v>
      </c>
      <c r="L1004" s="520">
        <v>60075</v>
      </c>
      <c r="M1004" s="520" t="s">
        <v>1145</v>
      </c>
      <c r="N1004" s="520">
        <v>60075</v>
      </c>
      <c r="O1004" s="520" t="s">
        <v>5182</v>
      </c>
      <c r="P1004" s="500"/>
      <c r="Q1004" s="498"/>
      <c r="R1004" s="498"/>
      <c r="S1004" s="498"/>
      <c r="T1004" s="498"/>
      <c r="U1004" s="500">
        <v>4</v>
      </c>
      <c r="V1004" s="500">
        <v>0</v>
      </c>
      <c r="W1004" s="517"/>
      <c r="X1004" s="500"/>
      <c r="Y1004" s="500"/>
      <c r="Z1004" s="132">
        <v>19200</v>
      </c>
      <c r="AA1004" s="500"/>
      <c r="AB1004" s="499"/>
      <c r="AC1004" s="499"/>
      <c r="AD1004" s="500"/>
      <c r="AE1004" s="500"/>
      <c r="AF1004" s="500" t="s">
        <v>1154</v>
      </c>
      <c r="AG1004" s="500" t="s">
        <v>1155</v>
      </c>
      <c r="AH1004" s="500" t="s">
        <v>1156</v>
      </c>
      <c r="AI1004" s="500" t="s">
        <v>1112</v>
      </c>
      <c r="AJ1004" s="500" t="s">
        <v>1157</v>
      </c>
      <c r="AK1004" s="500"/>
      <c r="AL1004" s="516">
        <v>0</v>
      </c>
      <c r="AM1004" s="500" t="s">
        <v>1158</v>
      </c>
      <c r="AN1004" s="500" t="s">
        <v>5917</v>
      </c>
      <c r="AO1004" s="500"/>
      <c r="AP1004" s="496">
        <v>1</v>
      </c>
      <c r="AQ1004" s="496">
        <v>0</v>
      </c>
      <c r="AR1004" s="496">
        <v>0</v>
      </c>
      <c r="AS1004" s="496">
        <v>0</v>
      </c>
      <c r="AT1004" s="496">
        <v>0</v>
      </c>
      <c r="AU1004" s="29">
        <v>0</v>
      </c>
      <c r="AV1004" s="17">
        <f t="shared" si="150"/>
        <v>0</v>
      </c>
      <c r="AW1004" s="29" t="str">
        <f>"{s_taskTalk,{"&amp;L1004&amp;","&amp;N1004&amp;"}}"</f>
        <v>{s_taskTalk,{60075,60075}}</v>
      </c>
    </row>
    <row r="1005" spans="1:49" s="496" customFormat="1" ht="108.75" thickBot="1" x14ac:dyDescent="0.2">
      <c r="A1005" s="519">
        <v>10113</v>
      </c>
      <c r="B1005" s="520"/>
      <c r="C1005" s="520" t="s">
        <v>3609</v>
      </c>
      <c r="D1005" s="29">
        <v>2</v>
      </c>
      <c r="E1005" s="29">
        <v>0</v>
      </c>
      <c r="F1005" s="520">
        <v>3</v>
      </c>
      <c r="G1005" s="120">
        <v>200</v>
      </c>
      <c r="H1005" s="520">
        <v>200</v>
      </c>
      <c r="I1005" s="17">
        <v>0</v>
      </c>
      <c r="J1005" s="521">
        <v>10112</v>
      </c>
      <c r="K1005" s="520">
        <v>0</v>
      </c>
      <c r="L1005" s="520">
        <v>60075</v>
      </c>
      <c r="M1005" s="520" t="s">
        <v>1145</v>
      </c>
      <c r="N1005" s="520">
        <v>60099</v>
      </c>
      <c r="O1005" s="520" t="s">
        <v>5183</v>
      </c>
      <c r="P1005" s="520"/>
      <c r="Q1005" s="522"/>
      <c r="R1005" s="522"/>
      <c r="S1005" s="522"/>
      <c r="T1005" s="522"/>
      <c r="U1005" s="520">
        <v>1</v>
      </c>
      <c r="V1005" s="520">
        <v>0</v>
      </c>
      <c r="W1005" s="517"/>
      <c r="X1005" s="520"/>
      <c r="Y1005" s="520"/>
      <c r="Z1005" s="523">
        <v>19200</v>
      </c>
      <c r="AA1005" s="520"/>
      <c r="AB1005" s="524"/>
      <c r="AC1005" s="524"/>
      <c r="AD1005" s="520" t="s">
        <v>3615</v>
      </c>
      <c r="AE1005" s="520"/>
      <c r="AF1005" s="520" t="s">
        <v>3189</v>
      </c>
      <c r="AG1005" s="520" t="s">
        <v>4358</v>
      </c>
      <c r="AH1005" s="520" t="s">
        <v>1159</v>
      </c>
      <c r="AI1005" s="520" t="s">
        <v>1160</v>
      </c>
      <c r="AJ1005" s="520" t="s">
        <v>3190</v>
      </c>
      <c r="AK1005" s="520"/>
      <c r="AL1005" s="521">
        <v>0</v>
      </c>
      <c r="AM1005" s="520" t="s">
        <v>4359</v>
      </c>
      <c r="AN1005" s="520" t="s">
        <v>5918</v>
      </c>
      <c r="AO1005" s="520"/>
      <c r="AP1005" s="496">
        <v>1</v>
      </c>
      <c r="AQ1005" s="496">
        <v>0</v>
      </c>
      <c r="AR1005" s="496">
        <v>0</v>
      </c>
      <c r="AS1005" s="496">
        <v>0</v>
      </c>
      <c r="AT1005" s="496">
        <v>0</v>
      </c>
      <c r="AU1005" s="29">
        <v>0</v>
      </c>
      <c r="AV1005" s="17">
        <f t="shared" si="150"/>
        <v>0</v>
      </c>
      <c r="AW1005" s="29" t="str">
        <f>"{s_taskLevelUp,{"&amp;L1005&amp;","&amp;N1005&amp;","&amp;G1005+5&amp;"}}"</f>
        <v>{s_taskLevelUp,{60075,60099,205}}</v>
      </c>
    </row>
    <row r="1006" spans="1:49" s="496" customFormat="1" ht="72.75" thickBot="1" x14ac:dyDescent="0.2">
      <c r="A1006" s="515">
        <v>10114</v>
      </c>
      <c r="B1006" s="500"/>
      <c r="C1006" s="500" t="s">
        <v>3610</v>
      </c>
      <c r="D1006" s="29">
        <v>2</v>
      </c>
      <c r="E1006" s="29">
        <v>0</v>
      </c>
      <c r="F1006" s="520">
        <v>6</v>
      </c>
      <c r="G1006" s="120">
        <v>200</v>
      </c>
      <c r="H1006" s="500">
        <v>200</v>
      </c>
      <c r="I1006" s="17">
        <v>0</v>
      </c>
      <c r="J1006" s="516">
        <v>10113</v>
      </c>
      <c r="K1006" s="500">
        <v>0</v>
      </c>
      <c r="L1006" s="520">
        <v>60099</v>
      </c>
      <c r="M1006" s="520" t="s">
        <v>673</v>
      </c>
      <c r="N1006" s="520">
        <v>60099</v>
      </c>
      <c r="O1006" s="520" t="s">
        <v>673</v>
      </c>
      <c r="P1006" s="500"/>
      <c r="Q1006" s="498"/>
      <c r="R1006" s="498"/>
      <c r="S1006" s="498"/>
      <c r="T1006" s="498"/>
      <c r="U1006" s="500">
        <v>4</v>
      </c>
      <c r="V1006" s="500">
        <v>0</v>
      </c>
      <c r="W1006" s="517"/>
      <c r="X1006" s="500"/>
      <c r="Y1006" s="500"/>
      <c r="Z1006" s="132">
        <v>25000</v>
      </c>
      <c r="AA1006" s="500"/>
      <c r="AB1006" s="499"/>
      <c r="AC1006" s="499"/>
      <c r="AD1006" s="500"/>
      <c r="AE1006" s="500"/>
      <c r="AF1006" s="500" t="s">
        <v>1162</v>
      </c>
      <c r="AG1006" s="500" t="s">
        <v>1163</v>
      </c>
      <c r="AH1006" s="500" t="s">
        <v>1164</v>
      </c>
      <c r="AI1006" s="500" t="s">
        <v>1112</v>
      </c>
      <c r="AJ1006" s="500" t="s">
        <v>1165</v>
      </c>
      <c r="AK1006" s="500"/>
      <c r="AL1006" s="516">
        <v>0</v>
      </c>
      <c r="AM1006" s="500" t="s">
        <v>1166</v>
      </c>
      <c r="AN1006" s="500" t="s">
        <v>5919</v>
      </c>
      <c r="AO1006" s="500"/>
      <c r="AP1006" s="496">
        <v>1</v>
      </c>
      <c r="AQ1006" s="496">
        <v>0</v>
      </c>
      <c r="AR1006" s="496">
        <v>0</v>
      </c>
      <c r="AS1006" s="496">
        <v>0</v>
      </c>
      <c r="AT1006" s="496">
        <v>0</v>
      </c>
      <c r="AU1006" s="29">
        <v>0</v>
      </c>
      <c r="AV1006" s="17">
        <f t="shared" si="150"/>
        <v>0</v>
      </c>
      <c r="AW1006" s="29" t="str">
        <f>"{s_taskTalk,{"&amp;L1006&amp;","&amp;N1006&amp;"}}"</f>
        <v>{s_taskTalk,{60099,60099}}</v>
      </c>
    </row>
    <row r="1007" spans="1:49" s="496" customFormat="1" ht="96.75" thickBot="1" x14ac:dyDescent="0.2">
      <c r="A1007" s="519">
        <v>10115</v>
      </c>
      <c r="B1007" s="520"/>
      <c r="C1007" s="520" t="s">
        <v>3611</v>
      </c>
      <c r="D1007" s="29">
        <v>2</v>
      </c>
      <c r="E1007" s="29">
        <v>0</v>
      </c>
      <c r="F1007" s="520">
        <v>7</v>
      </c>
      <c r="G1007" s="120">
        <v>200</v>
      </c>
      <c r="H1007" s="520">
        <v>200</v>
      </c>
      <c r="I1007" s="17">
        <v>0</v>
      </c>
      <c r="J1007" s="521">
        <v>10114</v>
      </c>
      <c r="K1007" s="520">
        <v>0</v>
      </c>
      <c r="L1007" s="520">
        <v>60099</v>
      </c>
      <c r="M1007" s="520" t="s">
        <v>673</v>
      </c>
      <c r="N1007" s="520">
        <v>165</v>
      </c>
      <c r="O1007" s="520" t="s">
        <v>1153</v>
      </c>
      <c r="P1007" s="520"/>
      <c r="Q1007" s="522"/>
      <c r="R1007" s="522"/>
      <c r="S1007" s="522"/>
      <c r="T1007" s="522"/>
      <c r="U1007" s="520">
        <v>1</v>
      </c>
      <c r="V1007" s="520">
        <v>0</v>
      </c>
      <c r="W1007" s="517"/>
      <c r="X1007" s="520"/>
      <c r="Y1007" s="520"/>
      <c r="Z1007" s="523">
        <v>25000</v>
      </c>
      <c r="AA1007" s="520"/>
      <c r="AB1007" s="524"/>
      <c r="AC1007" s="524"/>
      <c r="AD1007" s="520" t="s">
        <v>3616</v>
      </c>
      <c r="AE1007" s="520"/>
      <c r="AF1007" s="520" t="s">
        <v>1801</v>
      </c>
      <c r="AG1007" s="520" t="s">
        <v>1167</v>
      </c>
      <c r="AH1007" s="520" t="s">
        <v>1168</v>
      </c>
      <c r="AI1007" s="520" t="s">
        <v>1117</v>
      </c>
      <c r="AJ1007" s="520" t="s">
        <v>1172</v>
      </c>
      <c r="AK1007" s="520"/>
      <c r="AL1007" s="521">
        <v>0</v>
      </c>
      <c r="AM1007" s="520" t="s">
        <v>4371</v>
      </c>
      <c r="AN1007" s="520" t="s">
        <v>5920</v>
      </c>
      <c r="AO1007" s="520"/>
      <c r="AP1007" s="496">
        <v>1</v>
      </c>
      <c r="AQ1007" s="496">
        <v>0</v>
      </c>
      <c r="AR1007" s="496">
        <v>0</v>
      </c>
      <c r="AS1007" s="496">
        <v>0</v>
      </c>
      <c r="AT1007" s="496">
        <v>0</v>
      </c>
      <c r="AU1007" s="29">
        <v>0</v>
      </c>
      <c r="AV1007" s="17">
        <f t="shared" si="150"/>
        <v>0</v>
      </c>
      <c r="AW1007" s="29" t="str">
        <f>"{s_taskLevelUp,{"&amp;L1007&amp;","&amp;N1007&amp;","&amp;G1007+11&amp;"}}"</f>
        <v>{s_taskLevelUp,{60099,165,211}}</v>
      </c>
    </row>
    <row r="1008" spans="1:49" s="496" customFormat="1" ht="60.75" thickBot="1" x14ac:dyDescent="0.2">
      <c r="A1008" s="515">
        <v>10116</v>
      </c>
      <c r="B1008" s="500"/>
      <c r="C1008" s="500" t="s">
        <v>3612</v>
      </c>
      <c r="D1008" s="29">
        <v>2</v>
      </c>
      <c r="E1008" s="29">
        <v>0</v>
      </c>
      <c r="F1008" s="500">
        <v>7</v>
      </c>
      <c r="G1008" s="120">
        <v>200</v>
      </c>
      <c r="H1008" s="500">
        <v>200</v>
      </c>
      <c r="I1008" s="17">
        <v>0</v>
      </c>
      <c r="J1008" s="516">
        <v>10115</v>
      </c>
      <c r="K1008" s="500">
        <v>0</v>
      </c>
      <c r="L1008" s="520">
        <v>165</v>
      </c>
      <c r="M1008" s="520" t="s">
        <v>1153</v>
      </c>
      <c r="N1008" s="520">
        <v>165</v>
      </c>
      <c r="O1008" s="520" t="s">
        <v>5184</v>
      </c>
      <c r="P1008" s="500"/>
      <c r="Q1008" s="498"/>
      <c r="R1008" s="498"/>
      <c r="S1008" s="498"/>
      <c r="T1008" s="498"/>
      <c r="U1008" s="500">
        <v>4</v>
      </c>
      <c r="V1008" s="500">
        <v>0</v>
      </c>
      <c r="W1008" s="517"/>
      <c r="X1008" s="500"/>
      <c r="Y1008" s="500"/>
      <c r="Z1008" s="132">
        <v>30000</v>
      </c>
      <c r="AA1008" s="500"/>
      <c r="AB1008" s="499"/>
      <c r="AC1008" s="499"/>
      <c r="AD1008" s="500"/>
      <c r="AE1008" s="500"/>
      <c r="AF1008" s="500" t="s">
        <v>1802</v>
      </c>
      <c r="AG1008" s="500" t="s">
        <v>1169</v>
      </c>
      <c r="AH1008" s="500" t="s">
        <v>1170</v>
      </c>
      <c r="AI1008" s="500" t="s">
        <v>1112</v>
      </c>
      <c r="AJ1008" s="500" t="s">
        <v>1171</v>
      </c>
      <c r="AK1008" s="500"/>
      <c r="AL1008" s="516">
        <v>0</v>
      </c>
      <c r="AM1008" s="500" t="s">
        <v>1390</v>
      </c>
      <c r="AN1008" s="500" t="s">
        <v>5921</v>
      </c>
      <c r="AO1008" s="500"/>
      <c r="AP1008" s="496">
        <v>1</v>
      </c>
      <c r="AQ1008" s="496">
        <v>0</v>
      </c>
      <c r="AR1008" s="496">
        <v>0</v>
      </c>
      <c r="AS1008" s="496">
        <v>0</v>
      </c>
      <c r="AT1008" s="496">
        <v>0</v>
      </c>
      <c r="AU1008" s="29">
        <v>0</v>
      </c>
      <c r="AV1008" s="17">
        <f t="shared" si="150"/>
        <v>0</v>
      </c>
      <c r="AW1008" s="29" t="str">
        <f>"{s_taskTalk,{"&amp;L1008&amp;","&amp;N1008&amp;"}}"</f>
        <v>{s_taskTalk,{165,165}}</v>
      </c>
    </row>
    <row r="1009" spans="1:49" s="496" customFormat="1" ht="108" x14ac:dyDescent="0.15">
      <c r="A1009" s="495">
        <v>10200</v>
      </c>
      <c r="B1009" s="518"/>
      <c r="C1009" s="518" t="s">
        <v>2277</v>
      </c>
      <c r="D1009" s="29">
        <v>2</v>
      </c>
      <c r="E1009" s="29">
        <v>0</v>
      </c>
      <c r="F1009" s="518">
        <v>2</v>
      </c>
      <c r="G1009" s="120">
        <v>200</v>
      </c>
      <c r="H1009" s="518">
        <v>200</v>
      </c>
      <c r="I1009" s="17">
        <v>0</v>
      </c>
      <c r="J1009" s="525">
        <v>0</v>
      </c>
      <c r="K1009" s="518">
        <v>0</v>
      </c>
      <c r="L1009" s="518">
        <v>60066</v>
      </c>
      <c r="M1009" s="518" t="s">
        <v>1399</v>
      </c>
      <c r="N1009" s="518">
        <v>60066</v>
      </c>
      <c r="O1009" s="518" t="s">
        <v>5185</v>
      </c>
      <c r="P1009" s="518"/>
      <c r="Q1009" s="498"/>
      <c r="R1009" s="498"/>
      <c r="S1009" s="498"/>
      <c r="T1009" s="498"/>
      <c r="U1009" s="518">
        <v>1</v>
      </c>
      <c r="V1009" s="518">
        <v>0</v>
      </c>
      <c r="W1009" s="518">
        <v>10</v>
      </c>
      <c r="X1009" s="518"/>
      <c r="Y1009" s="518"/>
      <c r="Z1009" s="526">
        <v>2000</v>
      </c>
      <c r="AA1009" s="518"/>
      <c r="AB1009" s="527"/>
      <c r="AC1009" s="527"/>
      <c r="AD1009" s="518"/>
      <c r="AE1009" s="518"/>
      <c r="AF1009" s="518" t="s">
        <v>2887</v>
      </c>
      <c r="AG1009" s="518" t="s">
        <v>2888</v>
      </c>
      <c r="AH1009" s="518" t="s">
        <v>1400</v>
      </c>
      <c r="AI1009" s="518" t="s">
        <v>1412</v>
      </c>
      <c r="AJ1009" s="518" t="s">
        <v>1401</v>
      </c>
      <c r="AK1009" s="518"/>
      <c r="AL1009" s="525">
        <v>0</v>
      </c>
      <c r="AM1009" s="518" t="s">
        <v>1405</v>
      </c>
      <c r="AN1009" s="518" t="s">
        <v>5922</v>
      </c>
      <c r="AO1009" s="518"/>
      <c r="AP1009" s="496">
        <v>1</v>
      </c>
      <c r="AQ1009" s="496">
        <v>0</v>
      </c>
      <c r="AR1009" s="496">
        <v>0</v>
      </c>
      <c r="AS1009" s="496">
        <v>0</v>
      </c>
      <c r="AT1009" s="496">
        <v>0</v>
      </c>
      <c r="AU1009" s="29">
        <v>0</v>
      </c>
      <c r="AV1009" s="17">
        <f t="shared" si="150"/>
        <v>0</v>
      </c>
      <c r="AW1009" s="29" t="str">
        <f t="shared" ref="AW1009:AW1016" si="153">"{s_taskCustom,{"&amp;L1009&amp;","&amp;N1009&amp;","&amp;U1009&amp;","&amp;V1009&amp;"}}"</f>
        <v>{s_taskCustom,{60066,60066,1,0}}</v>
      </c>
    </row>
    <row r="1010" spans="1:49" s="496" customFormat="1" ht="108" x14ac:dyDescent="0.15">
      <c r="A1010" s="495">
        <v>10201</v>
      </c>
      <c r="B1010" s="518"/>
      <c r="C1010" s="518" t="s">
        <v>2278</v>
      </c>
      <c r="D1010" s="29">
        <v>2</v>
      </c>
      <c r="E1010" s="29">
        <v>0</v>
      </c>
      <c r="F1010" s="518">
        <v>3</v>
      </c>
      <c r="G1010" s="120">
        <v>200</v>
      </c>
      <c r="H1010" s="518">
        <v>200</v>
      </c>
      <c r="I1010" s="17">
        <v>0</v>
      </c>
      <c r="J1010" s="525">
        <v>10200</v>
      </c>
      <c r="K1010" s="518">
        <v>0</v>
      </c>
      <c r="L1010" s="518">
        <v>60066</v>
      </c>
      <c r="M1010" s="518" t="s">
        <v>1399</v>
      </c>
      <c r="N1010" s="518">
        <v>60066</v>
      </c>
      <c r="O1010" s="518" t="s">
        <v>5185</v>
      </c>
      <c r="P1010" s="518"/>
      <c r="Q1010" s="498"/>
      <c r="R1010" s="498"/>
      <c r="S1010" s="498"/>
      <c r="T1010" s="498"/>
      <c r="U1010" s="518">
        <v>1</v>
      </c>
      <c r="V1010" s="518">
        <v>0</v>
      </c>
      <c r="W1010" s="518">
        <v>10</v>
      </c>
      <c r="X1010" s="518"/>
      <c r="Y1010" s="518"/>
      <c r="Z1010" s="526">
        <v>4000</v>
      </c>
      <c r="AA1010" s="518"/>
      <c r="AB1010" s="527"/>
      <c r="AC1010" s="527"/>
      <c r="AD1010" s="518"/>
      <c r="AE1010" s="518"/>
      <c r="AF1010" s="518" t="s">
        <v>2889</v>
      </c>
      <c r="AG1010" s="518" t="s">
        <v>2890</v>
      </c>
      <c r="AH1010" s="518" t="s">
        <v>1400</v>
      </c>
      <c r="AI1010" s="518" t="s">
        <v>1412</v>
      </c>
      <c r="AJ1010" s="518" t="s">
        <v>1402</v>
      </c>
      <c r="AK1010" s="518"/>
      <c r="AL1010" s="525">
        <v>0</v>
      </c>
      <c r="AM1010" s="518" t="s">
        <v>1406</v>
      </c>
      <c r="AN1010" s="518" t="s">
        <v>5923</v>
      </c>
      <c r="AO1010" s="518"/>
      <c r="AP1010" s="496">
        <v>1</v>
      </c>
      <c r="AQ1010" s="496">
        <v>0</v>
      </c>
      <c r="AR1010" s="496">
        <v>0</v>
      </c>
      <c r="AS1010" s="496">
        <v>0</v>
      </c>
      <c r="AT1010" s="496">
        <v>0</v>
      </c>
      <c r="AU1010" s="29">
        <v>0</v>
      </c>
      <c r="AV1010" s="17">
        <f t="shared" si="150"/>
        <v>0</v>
      </c>
      <c r="AW1010" s="29" t="str">
        <f t="shared" si="153"/>
        <v>{s_taskCustom,{60066,60066,1,0}}</v>
      </c>
    </row>
    <row r="1011" spans="1:49" s="496" customFormat="1" ht="108" x14ac:dyDescent="0.15">
      <c r="A1011" s="495">
        <v>10202</v>
      </c>
      <c r="B1011" s="518"/>
      <c r="C1011" s="518" t="s">
        <v>2279</v>
      </c>
      <c r="D1011" s="29">
        <v>2</v>
      </c>
      <c r="E1011" s="29">
        <v>0</v>
      </c>
      <c r="F1011" s="518">
        <v>3</v>
      </c>
      <c r="G1011" s="120">
        <v>200</v>
      </c>
      <c r="H1011" s="518">
        <v>200</v>
      </c>
      <c r="I1011" s="17">
        <v>0</v>
      </c>
      <c r="J1011" s="525">
        <v>10201</v>
      </c>
      <c r="K1011" s="518">
        <v>0</v>
      </c>
      <c r="L1011" s="518">
        <v>60066</v>
      </c>
      <c r="M1011" s="518" t="s">
        <v>1399</v>
      </c>
      <c r="N1011" s="518">
        <v>60066</v>
      </c>
      <c r="O1011" s="518" t="s">
        <v>5185</v>
      </c>
      <c r="P1011" s="518"/>
      <c r="Q1011" s="498"/>
      <c r="R1011" s="498"/>
      <c r="S1011" s="498"/>
      <c r="T1011" s="498"/>
      <c r="U1011" s="518">
        <v>1</v>
      </c>
      <c r="V1011" s="518">
        <v>0</v>
      </c>
      <c r="W1011" s="518">
        <v>20</v>
      </c>
      <c r="X1011" s="518"/>
      <c r="Y1011" s="518"/>
      <c r="Z1011" s="526">
        <v>8000</v>
      </c>
      <c r="AA1011" s="518"/>
      <c r="AB1011" s="527"/>
      <c r="AC1011" s="527"/>
      <c r="AD1011" s="518"/>
      <c r="AE1011" s="518"/>
      <c r="AF1011" s="518" t="s">
        <v>2891</v>
      </c>
      <c r="AG1011" s="518" t="s">
        <v>2892</v>
      </c>
      <c r="AH1011" s="518" t="s">
        <v>1400</v>
      </c>
      <c r="AI1011" s="518" t="s">
        <v>1413</v>
      </c>
      <c r="AJ1011" s="518" t="s">
        <v>1403</v>
      </c>
      <c r="AK1011" s="518"/>
      <c r="AL1011" s="525">
        <v>0</v>
      </c>
      <c r="AM1011" s="518" t="s">
        <v>1409</v>
      </c>
      <c r="AN1011" s="518" t="s">
        <v>5924</v>
      </c>
      <c r="AO1011" s="518"/>
      <c r="AP1011" s="496">
        <v>1</v>
      </c>
      <c r="AQ1011" s="496">
        <v>0</v>
      </c>
      <c r="AR1011" s="496">
        <v>0</v>
      </c>
      <c r="AS1011" s="496">
        <v>0</v>
      </c>
      <c r="AT1011" s="496">
        <v>0</v>
      </c>
      <c r="AU1011" s="29">
        <v>0</v>
      </c>
      <c r="AV1011" s="17">
        <f t="shared" si="150"/>
        <v>0</v>
      </c>
      <c r="AW1011" s="29" t="str">
        <f t="shared" si="153"/>
        <v>{s_taskCustom,{60066,60066,1,0}}</v>
      </c>
    </row>
    <row r="1012" spans="1:49" s="496" customFormat="1" ht="108" x14ac:dyDescent="0.15">
      <c r="A1012" s="495">
        <v>10203</v>
      </c>
      <c r="B1012" s="518"/>
      <c r="C1012" s="518" t="s">
        <v>2280</v>
      </c>
      <c r="D1012" s="29">
        <v>2</v>
      </c>
      <c r="E1012" s="29">
        <v>0</v>
      </c>
      <c r="F1012" s="518">
        <v>3</v>
      </c>
      <c r="G1012" s="120">
        <v>200</v>
      </c>
      <c r="H1012" s="518">
        <v>200</v>
      </c>
      <c r="I1012" s="17">
        <v>0</v>
      </c>
      <c r="J1012" s="525">
        <v>10202</v>
      </c>
      <c r="K1012" s="518">
        <v>0</v>
      </c>
      <c r="L1012" s="518">
        <v>60066</v>
      </c>
      <c r="M1012" s="518" t="s">
        <v>1399</v>
      </c>
      <c r="N1012" s="518">
        <v>60066</v>
      </c>
      <c r="O1012" s="518" t="s">
        <v>5185</v>
      </c>
      <c r="P1012" s="518"/>
      <c r="Q1012" s="498"/>
      <c r="R1012" s="498"/>
      <c r="S1012" s="498"/>
      <c r="T1012" s="498"/>
      <c r="U1012" s="518">
        <v>1</v>
      </c>
      <c r="V1012" s="518">
        <v>0</v>
      </c>
      <c r="W1012" s="518">
        <v>25</v>
      </c>
      <c r="X1012" s="518"/>
      <c r="Y1012" s="518"/>
      <c r="Z1012" s="526">
        <v>16000</v>
      </c>
      <c r="AA1012" s="518"/>
      <c r="AB1012" s="527"/>
      <c r="AC1012" s="527"/>
      <c r="AD1012" s="518"/>
      <c r="AE1012" s="518"/>
      <c r="AF1012" s="518" t="s">
        <v>2893</v>
      </c>
      <c r="AG1012" s="518" t="s">
        <v>2894</v>
      </c>
      <c r="AH1012" s="518" t="s">
        <v>1400</v>
      </c>
      <c r="AI1012" s="518" t="s">
        <v>1413</v>
      </c>
      <c r="AJ1012" s="518" t="s">
        <v>1404</v>
      </c>
      <c r="AK1012" s="518"/>
      <c r="AL1012" s="525">
        <v>0</v>
      </c>
      <c r="AM1012" s="518" t="s">
        <v>1408</v>
      </c>
      <c r="AN1012" s="518" t="s">
        <v>5925</v>
      </c>
      <c r="AO1012" s="518"/>
      <c r="AP1012" s="496">
        <v>1</v>
      </c>
      <c r="AQ1012" s="496">
        <v>0</v>
      </c>
      <c r="AR1012" s="496">
        <v>0</v>
      </c>
      <c r="AS1012" s="496">
        <v>0</v>
      </c>
      <c r="AT1012" s="496">
        <v>0</v>
      </c>
      <c r="AU1012" s="29">
        <v>0</v>
      </c>
      <c r="AV1012" s="17">
        <f t="shared" si="150"/>
        <v>0</v>
      </c>
      <c r="AW1012" s="29" t="str">
        <f t="shared" si="153"/>
        <v>{s_taskCustom,{60066,60066,1,0}}</v>
      </c>
    </row>
    <row r="1013" spans="1:49" s="532" customFormat="1" ht="84" x14ac:dyDescent="0.15">
      <c r="A1013" s="291">
        <v>10325</v>
      </c>
      <c r="B1013" s="514"/>
      <c r="C1013" s="514" t="s">
        <v>2281</v>
      </c>
      <c r="D1013" s="435">
        <v>2</v>
      </c>
      <c r="E1013" s="435">
        <v>0</v>
      </c>
      <c r="F1013" s="514">
        <v>3</v>
      </c>
      <c r="G1013" s="120">
        <v>200</v>
      </c>
      <c r="H1013" s="514">
        <v>200</v>
      </c>
      <c r="I1013" s="17">
        <v>0</v>
      </c>
      <c r="J1013" s="528">
        <v>0</v>
      </c>
      <c r="K1013" s="514">
        <v>0</v>
      </c>
      <c r="L1013" s="514">
        <v>60061</v>
      </c>
      <c r="M1013" s="514" t="s">
        <v>240</v>
      </c>
      <c r="N1013" s="514">
        <v>60061</v>
      </c>
      <c r="O1013" s="514" t="s">
        <v>5186</v>
      </c>
      <c r="P1013" s="514"/>
      <c r="Q1013" s="529"/>
      <c r="R1013" s="529"/>
      <c r="S1013" s="529"/>
      <c r="T1013" s="529"/>
      <c r="U1013" s="514">
        <v>1</v>
      </c>
      <c r="V1013" s="514">
        <v>0</v>
      </c>
      <c r="W1013" s="514">
        <v>10</v>
      </c>
      <c r="X1013" s="514"/>
      <c r="Y1013" s="514"/>
      <c r="Z1013" s="530">
        <v>1500</v>
      </c>
      <c r="AA1013" s="514"/>
      <c r="AB1013" s="531"/>
      <c r="AC1013" s="531"/>
      <c r="AD1013" s="122" t="s">
        <v>1800</v>
      </c>
      <c r="AE1013" s="514"/>
      <c r="AF1013" s="514" t="s">
        <v>1249</v>
      </c>
      <c r="AG1013" s="514" t="s">
        <v>550</v>
      </c>
      <c r="AH1013" s="514" t="s">
        <v>551</v>
      </c>
      <c r="AI1013" s="514" t="s">
        <v>1173</v>
      </c>
      <c r="AJ1013" s="514" t="s">
        <v>6427</v>
      </c>
      <c r="AK1013" s="514"/>
      <c r="AL1013" s="528">
        <v>0</v>
      </c>
      <c r="AM1013" s="514" t="s">
        <v>601</v>
      </c>
      <c r="AN1013" s="514" t="s">
        <v>5926</v>
      </c>
      <c r="AO1013" s="514"/>
      <c r="AP1013" s="532">
        <v>1</v>
      </c>
      <c r="AQ1013" s="532">
        <v>0</v>
      </c>
      <c r="AR1013" s="532">
        <v>0</v>
      </c>
      <c r="AS1013" s="532">
        <v>0</v>
      </c>
      <c r="AT1013" s="532">
        <v>0</v>
      </c>
      <c r="AU1013" s="226">
        <v>0</v>
      </c>
      <c r="AV1013" s="17">
        <f t="shared" si="150"/>
        <v>0</v>
      </c>
      <c r="AW1013" s="356" t="str">
        <f t="shared" si="153"/>
        <v>{s_taskCustom,{60061,60061,1,0}}</v>
      </c>
    </row>
    <row r="1014" spans="1:49" s="533" customFormat="1" ht="84" x14ac:dyDescent="0.15">
      <c r="A1014" s="291">
        <v>10326</v>
      </c>
      <c r="B1014" s="514"/>
      <c r="C1014" s="514" t="s">
        <v>2282</v>
      </c>
      <c r="D1014" s="435">
        <v>2</v>
      </c>
      <c r="E1014" s="435">
        <v>0</v>
      </c>
      <c r="F1014" s="514">
        <v>3</v>
      </c>
      <c r="G1014" s="120">
        <v>200</v>
      </c>
      <c r="H1014" s="514">
        <v>200</v>
      </c>
      <c r="I1014" s="17">
        <v>0</v>
      </c>
      <c r="J1014" s="528">
        <v>10325</v>
      </c>
      <c r="K1014" s="514">
        <v>0</v>
      </c>
      <c r="L1014" s="514">
        <v>60061</v>
      </c>
      <c r="M1014" s="514" t="s">
        <v>240</v>
      </c>
      <c r="N1014" s="514">
        <v>60061</v>
      </c>
      <c r="O1014" s="514" t="s">
        <v>5186</v>
      </c>
      <c r="P1014" s="514"/>
      <c r="Q1014" s="529"/>
      <c r="R1014" s="529"/>
      <c r="S1014" s="529"/>
      <c r="T1014" s="529"/>
      <c r="U1014" s="514">
        <v>3</v>
      </c>
      <c r="V1014" s="514">
        <v>0</v>
      </c>
      <c r="W1014" s="514">
        <v>15</v>
      </c>
      <c r="X1014" s="514"/>
      <c r="Y1014" s="514"/>
      <c r="Z1014" s="530">
        <v>3000</v>
      </c>
      <c r="AA1014" s="514"/>
      <c r="AB1014" s="531"/>
      <c r="AC1014" s="531"/>
      <c r="AD1014" s="122" t="s">
        <v>1813</v>
      </c>
      <c r="AE1014" s="514"/>
      <c r="AF1014" s="514" t="s">
        <v>1759</v>
      </c>
      <c r="AG1014" s="514" t="s">
        <v>550</v>
      </c>
      <c r="AH1014" s="514" t="s">
        <v>551</v>
      </c>
      <c r="AI1014" s="514" t="s">
        <v>1246</v>
      </c>
      <c r="AJ1014" s="514" t="s">
        <v>6428</v>
      </c>
      <c r="AK1014" s="514"/>
      <c r="AL1014" s="528">
        <v>0</v>
      </c>
      <c r="AM1014" s="514" t="s">
        <v>1243</v>
      </c>
      <c r="AN1014" s="514" t="s">
        <v>5927</v>
      </c>
      <c r="AO1014" s="514"/>
      <c r="AP1014" s="532">
        <v>1</v>
      </c>
      <c r="AQ1014" s="533">
        <v>0</v>
      </c>
      <c r="AR1014" s="533">
        <v>0</v>
      </c>
      <c r="AS1014" s="533">
        <v>0</v>
      </c>
      <c r="AT1014" s="533">
        <v>0</v>
      </c>
      <c r="AU1014" s="226">
        <v>0</v>
      </c>
      <c r="AV1014" s="17">
        <f t="shared" si="150"/>
        <v>0</v>
      </c>
      <c r="AW1014" s="356" t="str">
        <f t="shared" si="153"/>
        <v>{s_taskCustom,{60061,60061,3,0}}</v>
      </c>
    </row>
    <row r="1015" spans="1:49" s="533" customFormat="1" ht="84" x14ac:dyDescent="0.15">
      <c r="A1015" s="291">
        <v>10327</v>
      </c>
      <c r="B1015" s="514"/>
      <c r="C1015" s="514" t="s">
        <v>2283</v>
      </c>
      <c r="D1015" s="435">
        <v>2</v>
      </c>
      <c r="E1015" s="435">
        <v>0</v>
      </c>
      <c r="F1015" s="514">
        <v>3</v>
      </c>
      <c r="G1015" s="120">
        <v>200</v>
      </c>
      <c r="H1015" s="514">
        <v>200</v>
      </c>
      <c r="I1015" s="17">
        <v>0</v>
      </c>
      <c r="J1015" s="528">
        <v>10326</v>
      </c>
      <c r="K1015" s="514">
        <v>0</v>
      </c>
      <c r="L1015" s="514">
        <v>60061</v>
      </c>
      <c r="M1015" s="514" t="s">
        <v>240</v>
      </c>
      <c r="N1015" s="514">
        <v>60061</v>
      </c>
      <c r="O1015" s="514" t="s">
        <v>5186</v>
      </c>
      <c r="P1015" s="514"/>
      <c r="Q1015" s="529"/>
      <c r="R1015" s="529"/>
      <c r="S1015" s="529"/>
      <c r="T1015" s="529"/>
      <c r="U1015" s="514">
        <v>5</v>
      </c>
      <c r="V1015" s="514">
        <v>0</v>
      </c>
      <c r="W1015" s="514">
        <v>20</v>
      </c>
      <c r="X1015" s="514"/>
      <c r="Y1015" s="514"/>
      <c r="Z1015" s="530">
        <v>6000</v>
      </c>
      <c r="AA1015" s="514"/>
      <c r="AB1015" s="531"/>
      <c r="AC1015" s="531"/>
      <c r="AD1015" s="122" t="s">
        <v>1814</v>
      </c>
      <c r="AE1015" s="514"/>
      <c r="AF1015" s="514" t="s">
        <v>1763</v>
      </c>
      <c r="AG1015" s="514" t="s">
        <v>550</v>
      </c>
      <c r="AH1015" s="514" t="s">
        <v>551</v>
      </c>
      <c r="AI1015" s="514" t="s">
        <v>1247</v>
      </c>
      <c r="AJ1015" s="514" t="s">
        <v>6429</v>
      </c>
      <c r="AK1015" s="514"/>
      <c r="AL1015" s="528">
        <v>0</v>
      </c>
      <c r="AM1015" s="514" t="s">
        <v>1244</v>
      </c>
      <c r="AN1015" s="514" t="s">
        <v>5928</v>
      </c>
      <c r="AO1015" s="514"/>
      <c r="AP1015" s="532">
        <v>1</v>
      </c>
      <c r="AQ1015" s="533">
        <v>0</v>
      </c>
      <c r="AR1015" s="533">
        <v>0</v>
      </c>
      <c r="AS1015" s="533">
        <v>0</v>
      </c>
      <c r="AT1015" s="533">
        <v>0</v>
      </c>
      <c r="AU1015" s="226">
        <v>0</v>
      </c>
      <c r="AV1015" s="17">
        <f t="shared" si="150"/>
        <v>0</v>
      </c>
      <c r="AW1015" s="356" t="str">
        <f t="shared" si="153"/>
        <v>{s_taskCustom,{60061,60061,5,0}}</v>
      </c>
    </row>
    <row r="1016" spans="1:49" s="533" customFormat="1" ht="84" x14ac:dyDescent="0.15">
      <c r="A1016" s="291">
        <v>10328</v>
      </c>
      <c r="B1016" s="514"/>
      <c r="C1016" s="514" t="s">
        <v>2284</v>
      </c>
      <c r="D1016" s="435">
        <v>2</v>
      </c>
      <c r="E1016" s="435">
        <v>0</v>
      </c>
      <c r="F1016" s="514">
        <v>3</v>
      </c>
      <c r="G1016" s="120">
        <v>200</v>
      </c>
      <c r="H1016" s="514">
        <v>200</v>
      </c>
      <c r="I1016" s="17">
        <v>0</v>
      </c>
      <c r="J1016" s="528">
        <v>10327</v>
      </c>
      <c r="K1016" s="514">
        <v>0</v>
      </c>
      <c r="L1016" s="514">
        <v>60061</v>
      </c>
      <c r="M1016" s="514" t="s">
        <v>240</v>
      </c>
      <c r="N1016" s="514">
        <v>60061</v>
      </c>
      <c r="O1016" s="514" t="s">
        <v>5186</v>
      </c>
      <c r="P1016" s="514"/>
      <c r="Q1016" s="529"/>
      <c r="R1016" s="529"/>
      <c r="S1016" s="529"/>
      <c r="T1016" s="529"/>
      <c r="U1016" s="514">
        <v>10</v>
      </c>
      <c r="V1016" s="514">
        <v>0</v>
      </c>
      <c r="W1016" s="514">
        <v>44</v>
      </c>
      <c r="X1016" s="514"/>
      <c r="Y1016" s="514"/>
      <c r="Z1016" s="530">
        <v>12000</v>
      </c>
      <c r="AA1016" s="514"/>
      <c r="AB1016" s="531"/>
      <c r="AC1016" s="531"/>
      <c r="AD1016" s="122" t="s">
        <v>1815</v>
      </c>
      <c r="AE1016" s="514"/>
      <c r="AF1016" s="514" t="s">
        <v>1764</v>
      </c>
      <c r="AG1016" s="514" t="s">
        <v>550</v>
      </c>
      <c r="AH1016" s="514" t="s">
        <v>551</v>
      </c>
      <c r="AI1016" s="514" t="s">
        <v>1248</v>
      </c>
      <c r="AJ1016" s="514" t="s">
        <v>6430</v>
      </c>
      <c r="AK1016" s="514"/>
      <c r="AL1016" s="528">
        <v>0</v>
      </c>
      <c r="AM1016" s="514" t="s">
        <v>1245</v>
      </c>
      <c r="AN1016" s="514" t="s">
        <v>5929</v>
      </c>
      <c r="AO1016" s="514"/>
      <c r="AP1016" s="532">
        <v>1</v>
      </c>
      <c r="AQ1016" s="533">
        <v>0</v>
      </c>
      <c r="AR1016" s="533">
        <v>0</v>
      </c>
      <c r="AS1016" s="533">
        <v>0</v>
      </c>
      <c r="AT1016" s="533">
        <v>0</v>
      </c>
      <c r="AU1016" s="226">
        <v>0</v>
      </c>
      <c r="AV1016" s="17">
        <f t="shared" si="150"/>
        <v>0</v>
      </c>
      <c r="AW1016" s="356" t="str">
        <f t="shared" si="153"/>
        <v>{s_taskCustom,{60061,60061,10,0}}</v>
      </c>
    </row>
    <row r="1017" spans="1:49" s="496" customFormat="1" ht="96" x14ac:dyDescent="0.15">
      <c r="A1017" s="495">
        <v>10731</v>
      </c>
      <c r="B1017" s="496" t="s">
        <v>10</v>
      </c>
      <c r="C1017" s="496" t="s">
        <v>2285</v>
      </c>
      <c r="D1017" s="29">
        <v>2</v>
      </c>
      <c r="E1017" s="29">
        <v>0</v>
      </c>
      <c r="F1017" s="496">
        <v>3</v>
      </c>
      <c r="G1017" s="120">
        <v>200</v>
      </c>
      <c r="H1017" s="496">
        <v>200</v>
      </c>
      <c r="I1017" s="17">
        <v>0</v>
      </c>
      <c r="J1017" s="497">
        <v>0</v>
      </c>
      <c r="K1017" s="496">
        <v>0</v>
      </c>
      <c r="L1017" s="496">
        <v>135</v>
      </c>
      <c r="M1017" s="496" t="s">
        <v>633</v>
      </c>
      <c r="N1017" s="496">
        <v>135</v>
      </c>
      <c r="O1017" s="496" t="s">
        <v>633</v>
      </c>
      <c r="Q1017" s="498">
        <v>60070</v>
      </c>
      <c r="R1017" s="498"/>
      <c r="S1017" s="498">
        <v>60070</v>
      </c>
      <c r="T1017" s="498"/>
      <c r="U1017" s="496">
        <v>1</v>
      </c>
      <c r="V1017" s="496">
        <v>0</v>
      </c>
      <c r="W1017" s="496">
        <v>10</v>
      </c>
      <c r="Z1017" s="132">
        <v>2000</v>
      </c>
      <c r="AB1017" s="499"/>
      <c r="AC1017" s="499"/>
      <c r="AF1017" s="496" t="s">
        <v>2777</v>
      </c>
      <c r="AG1017" s="496" t="s">
        <v>242</v>
      </c>
      <c r="AH1017" s="496" t="s">
        <v>11</v>
      </c>
      <c r="AI1017" s="496" t="s">
        <v>12</v>
      </c>
      <c r="AJ1017" s="496" t="s">
        <v>6431</v>
      </c>
      <c r="AL1017" s="497">
        <v>0</v>
      </c>
      <c r="AM1017" s="496" t="s">
        <v>602</v>
      </c>
      <c r="AN1017" s="496" t="s">
        <v>5930</v>
      </c>
      <c r="AP1017" s="496">
        <v>1</v>
      </c>
      <c r="AQ1017" s="496">
        <v>0</v>
      </c>
      <c r="AR1017" s="496">
        <v>0</v>
      </c>
      <c r="AS1017" s="496">
        <v>0</v>
      </c>
      <c r="AT1017" s="496">
        <v>0</v>
      </c>
      <c r="AU1017" s="29">
        <v>0</v>
      </c>
      <c r="AV1017" s="17">
        <f t="shared" ref="AV1017:AV1080" si="154">IF(D1017 = 1,1,0)</f>
        <v>0</v>
      </c>
      <c r="AW1017" s="29" t="str">
        <f>"{s_taskTalk,{"&amp;L1017&amp;","&amp;N1017&amp;"}}"</f>
        <v>{s_taskTalk,{135,135}}</v>
      </c>
    </row>
    <row r="1018" spans="1:49" s="491" customFormat="1" ht="96.75" thickBot="1" x14ac:dyDescent="0.2">
      <c r="A1018" s="491">
        <v>10732</v>
      </c>
      <c r="C1018" s="491" t="s">
        <v>2285</v>
      </c>
      <c r="D1018" s="491">
        <v>2</v>
      </c>
      <c r="E1018" s="491">
        <v>0</v>
      </c>
      <c r="F1018" s="491">
        <v>3</v>
      </c>
      <c r="G1018" s="120">
        <v>200</v>
      </c>
      <c r="H1018" s="491">
        <v>200</v>
      </c>
      <c r="I1018" s="17">
        <v>0</v>
      </c>
      <c r="J1018" s="492">
        <v>10731</v>
      </c>
      <c r="K1018" s="491">
        <v>0</v>
      </c>
      <c r="L1018" s="491">
        <v>0</v>
      </c>
      <c r="M1018" s="491" t="s">
        <v>241</v>
      </c>
      <c r="N1018" s="491">
        <v>0</v>
      </c>
      <c r="O1018" s="491" t="s">
        <v>5187</v>
      </c>
      <c r="U1018" s="491">
        <v>1</v>
      </c>
      <c r="V1018" s="491">
        <v>1</v>
      </c>
      <c r="W1018" s="491">
        <v>0</v>
      </c>
      <c r="Z1018" s="493">
        <v>2000</v>
      </c>
      <c r="AD1018" s="491" t="s">
        <v>555</v>
      </c>
      <c r="AF1018" s="491" t="s">
        <v>1419</v>
      </c>
      <c r="AG1018" s="491" t="s">
        <v>1420</v>
      </c>
      <c r="AH1018" s="491" t="s">
        <v>243</v>
      </c>
      <c r="AI1018" s="491" t="s">
        <v>12</v>
      </c>
      <c r="AJ1018" s="491" t="s">
        <v>6432</v>
      </c>
      <c r="AL1018" s="492">
        <v>0</v>
      </c>
      <c r="AM1018" s="491" t="s">
        <v>634</v>
      </c>
      <c r="AN1018" s="494" t="s">
        <v>5931</v>
      </c>
      <c r="AP1018" s="491">
        <v>1</v>
      </c>
      <c r="AQ1018" s="491">
        <v>0</v>
      </c>
      <c r="AR1018" s="491">
        <v>0</v>
      </c>
      <c r="AS1018" s="491">
        <v>0</v>
      </c>
      <c r="AT1018" s="491">
        <v>0</v>
      </c>
      <c r="AU1018" s="226">
        <v>0</v>
      </c>
      <c r="AV1018" s="17">
        <f t="shared" si="154"/>
        <v>0</v>
      </c>
      <c r="AW1018" s="491" t="str">
        <f>"{s_taskTalk,{"&amp;L1018&amp;","&amp;N1018&amp;"}}"</f>
        <v>{s_taskTalk,{0,0}}</v>
      </c>
    </row>
    <row r="1019" spans="1:49" s="540" customFormat="1" ht="132.75" thickBot="1" x14ac:dyDescent="0.2">
      <c r="A1019" s="291">
        <v>12032</v>
      </c>
      <c r="B1019" s="534"/>
      <c r="C1019" s="534" t="s">
        <v>2286</v>
      </c>
      <c r="D1019" s="435">
        <v>2</v>
      </c>
      <c r="E1019" s="435">
        <v>0</v>
      </c>
      <c r="F1019" s="534">
        <v>3</v>
      </c>
      <c r="G1019" s="120">
        <v>200</v>
      </c>
      <c r="H1019" s="534">
        <v>200</v>
      </c>
      <c r="I1019" s="17">
        <v>0</v>
      </c>
      <c r="J1019" s="535">
        <v>3981</v>
      </c>
      <c r="K1019" s="534">
        <v>0</v>
      </c>
      <c r="L1019" s="534">
        <v>122</v>
      </c>
      <c r="M1019" s="534" t="s">
        <v>1267</v>
      </c>
      <c r="N1019" s="534">
        <v>45110</v>
      </c>
      <c r="O1019" s="534" t="s">
        <v>3185</v>
      </c>
      <c r="P1019" s="534"/>
      <c r="Q1019" s="536"/>
      <c r="R1019" s="536"/>
      <c r="S1019" s="536"/>
      <c r="T1019" s="536"/>
      <c r="U1019" s="534">
        <v>1</v>
      </c>
      <c r="V1019" s="534">
        <v>1</v>
      </c>
      <c r="W1019" s="534">
        <v>15</v>
      </c>
      <c r="X1019" s="534"/>
      <c r="Y1019" s="534"/>
      <c r="Z1019" s="537">
        <v>5000</v>
      </c>
      <c r="AA1019" s="534">
        <v>5</v>
      </c>
      <c r="AB1019" s="538"/>
      <c r="AC1019" s="538"/>
      <c r="AD1019" s="534"/>
      <c r="AE1019" s="534"/>
      <c r="AF1019" s="534" t="s">
        <v>4756</v>
      </c>
      <c r="AG1019" s="534" t="s">
        <v>4757</v>
      </c>
      <c r="AH1019" s="534" t="s">
        <v>244</v>
      </c>
      <c r="AI1019" s="534" t="s">
        <v>4758</v>
      </c>
      <c r="AJ1019" s="534" t="s">
        <v>6433</v>
      </c>
      <c r="AK1019" s="534"/>
      <c r="AL1019" s="535">
        <v>0</v>
      </c>
      <c r="AM1019" s="534" t="s">
        <v>4468</v>
      </c>
      <c r="AN1019" s="534" t="s">
        <v>5932</v>
      </c>
      <c r="AO1019" s="534"/>
      <c r="AP1019" s="539">
        <v>1</v>
      </c>
      <c r="AQ1019" s="539">
        <v>0</v>
      </c>
      <c r="AR1019" s="539">
        <v>0</v>
      </c>
      <c r="AS1019" s="539">
        <v>0</v>
      </c>
      <c r="AT1019" s="539">
        <v>0</v>
      </c>
      <c r="AU1019" s="226">
        <v>0</v>
      </c>
      <c r="AV1019" s="17">
        <f t="shared" si="154"/>
        <v>0</v>
      </c>
      <c r="AW1019" s="356" t="str">
        <f>"{s_taskCustom,{"&amp;L1019&amp;","&amp;N1019&amp;","&amp;U1019&amp;","&amp;V1019&amp;"}}"</f>
        <v>{s_taskCustom,{122,45110,1,1}}</v>
      </c>
    </row>
    <row r="1020" spans="1:49" s="491" customFormat="1" ht="96" x14ac:dyDescent="0.15">
      <c r="A1020" s="491">
        <v>10502</v>
      </c>
      <c r="C1020" s="491" t="s">
        <v>2287</v>
      </c>
      <c r="D1020" s="491">
        <v>2</v>
      </c>
      <c r="E1020" s="491">
        <v>0</v>
      </c>
      <c r="F1020" s="491">
        <v>4</v>
      </c>
      <c r="G1020" s="120">
        <v>200</v>
      </c>
      <c r="H1020" s="491">
        <v>200</v>
      </c>
      <c r="I1020" s="17">
        <v>0</v>
      </c>
      <c r="J1020" s="492">
        <v>12032</v>
      </c>
      <c r="K1020" s="491">
        <v>0</v>
      </c>
      <c r="L1020" s="491">
        <v>60163</v>
      </c>
      <c r="M1020" s="491" t="s">
        <v>2778</v>
      </c>
      <c r="N1020" s="491">
        <v>60163</v>
      </c>
      <c r="O1020" s="491" t="s">
        <v>5188</v>
      </c>
      <c r="U1020" s="491">
        <v>1</v>
      </c>
      <c r="V1020" s="491">
        <v>0</v>
      </c>
      <c r="W1020" s="491">
        <v>0</v>
      </c>
      <c r="Z1020" s="493">
        <v>5000</v>
      </c>
      <c r="AA1020" s="491">
        <v>25</v>
      </c>
      <c r="AF1020" s="494" t="s">
        <v>4590</v>
      </c>
      <c r="AG1020" s="491" t="s">
        <v>4591</v>
      </c>
      <c r="AH1020" s="491" t="s">
        <v>2779</v>
      </c>
      <c r="AI1020" s="491" t="s">
        <v>2780</v>
      </c>
      <c r="AJ1020" s="491" t="s">
        <v>6434</v>
      </c>
      <c r="AL1020" s="492">
        <v>0</v>
      </c>
      <c r="AM1020" s="494" t="s">
        <v>4592</v>
      </c>
      <c r="AN1020" s="494" t="s">
        <v>5933</v>
      </c>
      <c r="AP1020" s="491">
        <v>1</v>
      </c>
      <c r="AQ1020" s="491">
        <v>0</v>
      </c>
      <c r="AR1020" s="491">
        <v>0</v>
      </c>
      <c r="AS1020" s="491">
        <v>0</v>
      </c>
      <c r="AT1020" s="491">
        <v>0</v>
      </c>
      <c r="AU1020" s="226">
        <v>0</v>
      </c>
      <c r="AV1020" s="17">
        <f t="shared" si="154"/>
        <v>0</v>
      </c>
      <c r="AW1020" s="491" t="str">
        <f>"{s_taskTalk,{"&amp;L1020&amp;","&amp;N1020&amp;"}}"</f>
        <v>{s_taskTalk,{60163,60163}}</v>
      </c>
    </row>
    <row r="1021" spans="1:49" s="541" customFormat="1" ht="96.75" thickBot="1" x14ac:dyDescent="0.2">
      <c r="A1021" s="291">
        <v>13054</v>
      </c>
      <c r="B1021" s="514"/>
      <c r="C1021" s="514" t="s">
        <v>2288</v>
      </c>
      <c r="D1021" s="435">
        <v>2</v>
      </c>
      <c r="E1021" s="435">
        <v>0</v>
      </c>
      <c r="F1021" s="514">
        <v>4</v>
      </c>
      <c r="G1021" s="120">
        <v>200</v>
      </c>
      <c r="H1021" s="514">
        <v>200</v>
      </c>
      <c r="I1021" s="17">
        <v>0</v>
      </c>
      <c r="J1021" s="528">
        <v>0</v>
      </c>
      <c r="K1021" s="514">
        <v>0</v>
      </c>
      <c r="L1021" s="514">
        <v>60165</v>
      </c>
      <c r="M1021" s="514" t="s">
        <v>209</v>
      </c>
      <c r="N1021" s="514">
        <v>60052</v>
      </c>
      <c r="O1021" s="514" t="s">
        <v>636</v>
      </c>
      <c r="P1021" s="514"/>
      <c r="Q1021" s="529"/>
      <c r="R1021" s="529">
        <v>60162</v>
      </c>
      <c r="S1021" s="529"/>
      <c r="T1021" s="529"/>
      <c r="U1021" s="514">
        <v>1</v>
      </c>
      <c r="V1021" s="514">
        <v>1</v>
      </c>
      <c r="W1021" s="514">
        <v>15</v>
      </c>
      <c r="X1021" s="514"/>
      <c r="Y1021" s="514"/>
      <c r="Z1021" s="530">
        <v>5000</v>
      </c>
      <c r="AA1021" s="514"/>
      <c r="AB1021" s="531"/>
      <c r="AC1021" s="531"/>
      <c r="AD1021" s="514"/>
      <c r="AE1021" s="514"/>
      <c r="AF1021" s="514" t="s">
        <v>1760</v>
      </c>
      <c r="AG1021" s="514" t="s">
        <v>638</v>
      </c>
      <c r="AH1021" s="514" t="s">
        <v>262</v>
      </c>
      <c r="AI1021" s="514" t="s">
        <v>263</v>
      </c>
      <c r="AJ1021" s="514" t="s">
        <v>6435</v>
      </c>
      <c r="AK1021" s="514"/>
      <c r="AL1021" s="528">
        <v>0</v>
      </c>
      <c r="AM1021" s="514" t="s">
        <v>7317</v>
      </c>
      <c r="AN1021" s="514" t="s">
        <v>7318</v>
      </c>
      <c r="AO1021" s="514"/>
      <c r="AP1021" s="484">
        <v>1</v>
      </c>
      <c r="AQ1021" s="484">
        <v>0</v>
      </c>
      <c r="AR1021" s="484">
        <v>0</v>
      </c>
      <c r="AS1021" s="484">
        <v>0</v>
      </c>
      <c r="AT1021" s="484">
        <v>0</v>
      </c>
      <c r="AU1021" s="226">
        <v>0</v>
      </c>
      <c r="AV1021" s="17">
        <f t="shared" si="154"/>
        <v>0</v>
      </c>
      <c r="AW1021" s="50" t="str">
        <f>"{s_taskGuard,{"&amp;L1021&amp;","&amp;N1021&amp;","&amp;R1021&amp;"}}"</f>
        <v>{s_taskGuard,{60165,60052,60162}}</v>
      </c>
    </row>
    <row r="1022" spans="1:49" s="547" customFormat="1" ht="120" x14ac:dyDescent="0.15">
      <c r="A1022" s="291">
        <v>10711</v>
      </c>
      <c r="B1022" s="542"/>
      <c r="C1022" s="542" t="s">
        <v>3390</v>
      </c>
      <c r="D1022" s="435">
        <v>2</v>
      </c>
      <c r="E1022" s="435">
        <v>0</v>
      </c>
      <c r="F1022" s="542">
        <v>3</v>
      </c>
      <c r="G1022" s="120">
        <v>200</v>
      </c>
      <c r="H1022" s="542">
        <v>200</v>
      </c>
      <c r="I1022" s="17">
        <v>0</v>
      </c>
      <c r="J1022" s="543">
        <v>0</v>
      </c>
      <c r="K1022" s="542">
        <v>0</v>
      </c>
      <c r="L1022" s="542">
        <v>113</v>
      </c>
      <c r="M1022" s="542" t="s">
        <v>245</v>
      </c>
      <c r="N1022" s="542">
        <v>60064</v>
      </c>
      <c r="O1022" s="542" t="s">
        <v>5189</v>
      </c>
      <c r="P1022" s="542"/>
      <c r="Q1022" s="544"/>
      <c r="R1022" s="544"/>
      <c r="S1022" s="544"/>
      <c r="T1022" s="544"/>
      <c r="U1022" s="542">
        <v>1</v>
      </c>
      <c r="V1022" s="542">
        <v>1</v>
      </c>
      <c r="W1022" s="542">
        <v>20</v>
      </c>
      <c r="X1022" s="542"/>
      <c r="Y1022" s="542"/>
      <c r="Z1022" s="545">
        <v>4000</v>
      </c>
      <c r="AA1022" s="542"/>
      <c r="AB1022" s="546"/>
      <c r="AC1022" s="546"/>
      <c r="AD1022" s="542"/>
      <c r="AE1022" s="542"/>
      <c r="AF1022" s="542" t="s">
        <v>3393</v>
      </c>
      <c r="AG1022" s="542" t="s">
        <v>1425</v>
      </c>
      <c r="AH1022" s="542" t="s">
        <v>283</v>
      </c>
      <c r="AI1022" s="542" t="s">
        <v>1810</v>
      </c>
      <c r="AJ1022" s="542" t="s">
        <v>6436</v>
      </c>
      <c r="AK1022" s="542"/>
      <c r="AL1022" s="543">
        <v>0</v>
      </c>
      <c r="AM1022" s="542" t="s">
        <v>1812</v>
      </c>
      <c r="AN1022" s="542" t="s">
        <v>1811</v>
      </c>
      <c r="AO1022" s="542"/>
      <c r="AP1022" s="481">
        <v>1</v>
      </c>
      <c r="AQ1022" s="481">
        <v>0</v>
      </c>
      <c r="AR1022" s="481">
        <v>0</v>
      </c>
      <c r="AS1022" s="481">
        <v>0</v>
      </c>
      <c r="AT1022" s="481">
        <v>0</v>
      </c>
      <c r="AU1022" s="226">
        <v>0</v>
      </c>
      <c r="AV1022" s="17">
        <f t="shared" si="154"/>
        <v>0</v>
      </c>
      <c r="AW1022" s="50" t="str">
        <f>"{s_taskTalk,{"&amp;L1022&amp;","&amp;N1022&amp;"}}"</f>
        <v>{s_taskTalk,{113,60064}}</v>
      </c>
    </row>
    <row r="1023" spans="1:49" s="541" customFormat="1" ht="72" x14ac:dyDescent="0.15">
      <c r="A1023" s="291">
        <v>10713</v>
      </c>
      <c r="B1023" s="542"/>
      <c r="C1023" s="542" t="s">
        <v>3391</v>
      </c>
      <c r="D1023" s="435">
        <v>2</v>
      </c>
      <c r="E1023" s="435">
        <v>0</v>
      </c>
      <c r="F1023" s="542">
        <v>3</v>
      </c>
      <c r="G1023" s="120">
        <v>200</v>
      </c>
      <c r="H1023" s="542">
        <v>200</v>
      </c>
      <c r="I1023" s="17">
        <v>0</v>
      </c>
      <c r="J1023" s="543">
        <v>10711</v>
      </c>
      <c r="K1023" s="542">
        <v>0</v>
      </c>
      <c r="L1023" s="542">
        <v>60064</v>
      </c>
      <c r="M1023" s="542" t="s">
        <v>1276</v>
      </c>
      <c r="N1023" s="542">
        <v>113</v>
      </c>
      <c r="O1023" s="542" t="s">
        <v>245</v>
      </c>
      <c r="P1023" s="542"/>
      <c r="Q1023" s="544"/>
      <c r="R1023" s="544"/>
      <c r="S1023" s="544"/>
      <c r="T1023" s="544"/>
      <c r="U1023" s="542">
        <v>1</v>
      </c>
      <c r="V1023" s="542">
        <v>1</v>
      </c>
      <c r="W1023" s="542">
        <v>20</v>
      </c>
      <c r="X1023" s="542"/>
      <c r="Y1023" s="542"/>
      <c r="Z1023" s="545">
        <v>4000</v>
      </c>
      <c r="AA1023" s="542"/>
      <c r="AB1023" s="546"/>
      <c r="AC1023" s="546"/>
      <c r="AD1023" s="542"/>
      <c r="AE1023" s="542"/>
      <c r="AF1023" s="542" t="s">
        <v>3394</v>
      </c>
      <c r="AG1023" s="542" t="s">
        <v>552</v>
      </c>
      <c r="AH1023" s="542" t="s">
        <v>577</v>
      </c>
      <c r="AI1023" s="542"/>
      <c r="AJ1023" s="542" t="s">
        <v>823</v>
      </c>
      <c r="AK1023" s="542"/>
      <c r="AL1023" s="543">
        <v>0</v>
      </c>
      <c r="AM1023" s="542" t="s">
        <v>1327</v>
      </c>
      <c r="AN1023" s="542" t="s">
        <v>5934</v>
      </c>
      <c r="AO1023" s="542"/>
      <c r="AP1023" s="484">
        <v>1</v>
      </c>
      <c r="AQ1023" s="484">
        <v>0</v>
      </c>
      <c r="AR1023" s="484">
        <v>0</v>
      </c>
      <c r="AS1023" s="484">
        <v>0</v>
      </c>
      <c r="AT1023" s="484">
        <v>0</v>
      </c>
      <c r="AU1023" s="226">
        <v>0</v>
      </c>
      <c r="AV1023" s="17">
        <f t="shared" si="154"/>
        <v>0</v>
      </c>
      <c r="AW1023" s="50" t="str">
        <f>"{s_taskTalk,{"&amp;L1023&amp;","&amp;N1023&amp;"}}"</f>
        <v>{s_taskTalk,{60064,113}}</v>
      </c>
    </row>
    <row r="1024" spans="1:49" s="548" customFormat="1" ht="96.75" thickBot="1" x14ac:dyDescent="0.2">
      <c r="A1024" s="291">
        <v>10712</v>
      </c>
      <c r="B1024" s="542"/>
      <c r="C1024" s="542" t="s">
        <v>3392</v>
      </c>
      <c r="D1024" s="435">
        <v>2</v>
      </c>
      <c r="E1024" s="435">
        <v>0</v>
      </c>
      <c r="F1024" s="542">
        <v>3</v>
      </c>
      <c r="G1024" s="120">
        <v>200</v>
      </c>
      <c r="H1024" s="542">
        <v>200</v>
      </c>
      <c r="I1024" s="17">
        <v>0</v>
      </c>
      <c r="J1024" s="543">
        <v>10713</v>
      </c>
      <c r="K1024" s="542">
        <v>0</v>
      </c>
      <c r="L1024" s="542">
        <v>113</v>
      </c>
      <c r="M1024" s="542" t="s">
        <v>245</v>
      </c>
      <c r="N1024" s="542">
        <v>113</v>
      </c>
      <c r="O1024" s="542" t="s">
        <v>5190</v>
      </c>
      <c r="P1024" s="542"/>
      <c r="Q1024" s="544"/>
      <c r="R1024" s="544"/>
      <c r="S1024" s="544"/>
      <c r="T1024" s="544"/>
      <c r="U1024" s="542">
        <v>1</v>
      </c>
      <c r="V1024" s="542">
        <v>0</v>
      </c>
      <c r="W1024" s="542">
        <v>20</v>
      </c>
      <c r="X1024" s="542"/>
      <c r="Y1024" s="542"/>
      <c r="Z1024" s="545">
        <v>4000</v>
      </c>
      <c r="AA1024" s="542"/>
      <c r="AB1024" s="546"/>
      <c r="AC1024" s="546"/>
      <c r="AD1024" s="542"/>
      <c r="AE1024" s="542"/>
      <c r="AF1024" s="542" t="s">
        <v>3987</v>
      </c>
      <c r="AG1024" s="542" t="s">
        <v>3986</v>
      </c>
      <c r="AH1024" s="542" t="s">
        <v>246</v>
      </c>
      <c r="AI1024" s="542"/>
      <c r="AJ1024" s="542"/>
      <c r="AK1024" s="542"/>
      <c r="AL1024" s="543">
        <v>0</v>
      </c>
      <c r="AM1024" s="542" t="s">
        <v>1328</v>
      </c>
      <c r="AN1024" s="542" t="s">
        <v>5935</v>
      </c>
      <c r="AO1024" s="542"/>
      <c r="AP1024" s="489">
        <v>1</v>
      </c>
      <c r="AQ1024" s="489">
        <v>0</v>
      </c>
      <c r="AR1024" s="489">
        <v>0</v>
      </c>
      <c r="AS1024" s="489">
        <v>0</v>
      </c>
      <c r="AT1024" s="489">
        <v>0</v>
      </c>
      <c r="AU1024" s="226">
        <v>0</v>
      </c>
      <c r="AV1024" s="17">
        <f t="shared" si="154"/>
        <v>0</v>
      </c>
      <c r="AW1024" s="50" t="str">
        <f>"{s_taskCustom,{"&amp;L1024&amp;","&amp;N1024&amp;","&amp;U1024&amp;","&amp;V1024&amp;"}}"</f>
        <v>{s_taskCustom,{113,113,1,0}}</v>
      </c>
    </row>
    <row r="1025" spans="1:49" s="547" customFormat="1" ht="108.75" thickBot="1" x14ac:dyDescent="0.2">
      <c r="A1025" s="291">
        <v>10761</v>
      </c>
      <c r="B1025" s="490"/>
      <c r="C1025" s="490" t="s">
        <v>2289</v>
      </c>
      <c r="D1025" s="435">
        <v>2</v>
      </c>
      <c r="E1025" s="435">
        <v>0</v>
      </c>
      <c r="F1025" s="490">
        <v>3</v>
      </c>
      <c r="G1025" s="120">
        <v>200</v>
      </c>
      <c r="H1025" s="490">
        <v>200</v>
      </c>
      <c r="I1025" s="17">
        <v>0</v>
      </c>
      <c r="J1025" s="549">
        <v>0</v>
      </c>
      <c r="K1025" s="490">
        <v>0</v>
      </c>
      <c r="L1025" s="490">
        <v>60076</v>
      </c>
      <c r="M1025" s="490" t="s">
        <v>247</v>
      </c>
      <c r="N1025" s="490">
        <v>60073</v>
      </c>
      <c r="O1025" s="490" t="s">
        <v>5191</v>
      </c>
      <c r="P1025" s="490"/>
      <c r="Q1025" s="550"/>
      <c r="R1025" s="550"/>
      <c r="S1025" s="550"/>
      <c r="T1025" s="550"/>
      <c r="U1025" s="490">
        <v>1</v>
      </c>
      <c r="V1025" s="490">
        <v>1</v>
      </c>
      <c r="W1025" s="490">
        <v>20</v>
      </c>
      <c r="X1025" s="490"/>
      <c r="Y1025" s="490"/>
      <c r="Z1025" s="278">
        <v>4000</v>
      </c>
      <c r="AA1025" s="490"/>
      <c r="AB1025" s="551"/>
      <c r="AC1025" s="551"/>
      <c r="AD1025" s="490"/>
      <c r="AE1025" s="490"/>
      <c r="AF1025" s="490" t="s">
        <v>4759</v>
      </c>
      <c r="AG1025" s="490" t="s">
        <v>4760</v>
      </c>
      <c r="AH1025" s="490" t="s">
        <v>647</v>
      </c>
      <c r="AI1025" s="490"/>
      <c r="AJ1025" s="490" t="s">
        <v>6437</v>
      </c>
      <c r="AK1025" s="490"/>
      <c r="AL1025" s="549">
        <v>0</v>
      </c>
      <c r="AM1025" s="490" t="s">
        <v>1329</v>
      </c>
      <c r="AN1025" s="490" t="s">
        <v>5936</v>
      </c>
      <c r="AO1025" s="490"/>
      <c r="AP1025" s="481">
        <v>1</v>
      </c>
      <c r="AQ1025" s="481">
        <v>0</v>
      </c>
      <c r="AR1025" s="481">
        <v>0</v>
      </c>
      <c r="AS1025" s="481">
        <v>0</v>
      </c>
      <c r="AT1025" s="481">
        <v>0</v>
      </c>
      <c r="AU1025" s="226">
        <v>0</v>
      </c>
      <c r="AV1025" s="17">
        <f t="shared" si="154"/>
        <v>0</v>
      </c>
      <c r="AW1025" s="50" t="str">
        <f>"{s_taskTalk,{"&amp;L1025&amp;","&amp;N1025&amp;"}}"</f>
        <v>{s_taskTalk,{60076,60073}}</v>
      </c>
    </row>
    <row r="1026" spans="1:49" s="541" customFormat="1" ht="96.75" thickBot="1" x14ac:dyDescent="0.2">
      <c r="A1026" s="291">
        <v>10762</v>
      </c>
      <c r="B1026" s="490"/>
      <c r="C1026" s="490" t="s">
        <v>2290</v>
      </c>
      <c r="D1026" s="435">
        <v>2</v>
      </c>
      <c r="E1026" s="435">
        <v>0</v>
      </c>
      <c r="F1026" s="490">
        <v>3</v>
      </c>
      <c r="G1026" s="120">
        <v>200</v>
      </c>
      <c r="H1026" s="490">
        <v>200</v>
      </c>
      <c r="I1026" s="17">
        <v>0</v>
      </c>
      <c r="J1026" s="549">
        <v>10761</v>
      </c>
      <c r="K1026" s="490">
        <v>0</v>
      </c>
      <c r="L1026" s="490">
        <v>60073</v>
      </c>
      <c r="M1026" s="490" t="s">
        <v>248</v>
      </c>
      <c r="N1026" s="490">
        <v>60076</v>
      </c>
      <c r="O1026" s="490" t="s">
        <v>5192</v>
      </c>
      <c r="P1026" s="490"/>
      <c r="Q1026" s="550"/>
      <c r="R1026" s="550"/>
      <c r="S1026" s="550">
        <v>10058</v>
      </c>
      <c r="T1026" s="550"/>
      <c r="U1026" s="490">
        <v>45</v>
      </c>
      <c r="V1026" s="490">
        <v>0</v>
      </c>
      <c r="W1026" s="490">
        <v>20</v>
      </c>
      <c r="X1026" s="490"/>
      <c r="Y1026" s="490"/>
      <c r="Z1026" s="278">
        <v>12000</v>
      </c>
      <c r="AA1026" s="490"/>
      <c r="AB1026" s="551"/>
      <c r="AC1026" s="551"/>
      <c r="AD1026" s="490"/>
      <c r="AE1026" s="490"/>
      <c r="AF1026" s="490" t="s">
        <v>1817</v>
      </c>
      <c r="AG1026" s="490" t="s">
        <v>1426</v>
      </c>
      <c r="AH1026" s="490" t="s">
        <v>1427</v>
      </c>
      <c r="AI1026" s="490" t="s">
        <v>249</v>
      </c>
      <c r="AJ1026" s="490" t="s">
        <v>6438</v>
      </c>
      <c r="AK1026" s="490"/>
      <c r="AL1026" s="549">
        <v>0</v>
      </c>
      <c r="AM1026" s="490" t="s">
        <v>6172</v>
      </c>
      <c r="AN1026" s="490" t="s">
        <v>5937</v>
      </c>
      <c r="AO1026" s="490"/>
      <c r="AP1026" s="484">
        <v>1</v>
      </c>
      <c r="AQ1026" s="484">
        <v>0</v>
      </c>
      <c r="AR1026" s="484">
        <v>0</v>
      </c>
      <c r="AS1026" s="484">
        <v>0</v>
      </c>
      <c r="AT1026" s="484">
        <v>0</v>
      </c>
      <c r="AU1026" s="226">
        <v>0</v>
      </c>
      <c r="AV1026" s="17">
        <f t="shared" si="154"/>
        <v>0</v>
      </c>
      <c r="AW1026" s="242" t="str">
        <f>"{s_taskKillNpc, {"&amp;L1026&amp;","&amp;N1026&amp;","&amp;S1026&amp;","&amp;U1026&amp;"}}"</f>
        <v>{s_taskKillNpc, {60073,60076,10058,45}}</v>
      </c>
    </row>
    <row r="1027" spans="1:49" s="548" customFormat="1" ht="120.75" thickBot="1" x14ac:dyDescent="0.2">
      <c r="A1027" s="291">
        <v>10763</v>
      </c>
      <c r="B1027" s="490"/>
      <c r="C1027" s="490" t="s">
        <v>2291</v>
      </c>
      <c r="D1027" s="435">
        <v>2</v>
      </c>
      <c r="E1027" s="435">
        <v>0</v>
      </c>
      <c r="F1027" s="490">
        <v>3</v>
      </c>
      <c r="G1027" s="120">
        <v>200</v>
      </c>
      <c r="H1027" s="490">
        <v>200</v>
      </c>
      <c r="I1027" s="17">
        <v>0</v>
      </c>
      <c r="J1027" s="549">
        <v>10762</v>
      </c>
      <c r="K1027" s="490">
        <v>0</v>
      </c>
      <c r="L1027" s="490">
        <v>60076</v>
      </c>
      <c r="M1027" s="490" t="s">
        <v>247</v>
      </c>
      <c r="N1027" s="490">
        <v>60076</v>
      </c>
      <c r="O1027" s="490" t="s">
        <v>5192</v>
      </c>
      <c r="P1027" s="490"/>
      <c r="Q1027" s="550"/>
      <c r="R1027" s="550"/>
      <c r="S1027" s="550">
        <v>10060</v>
      </c>
      <c r="T1027" s="550"/>
      <c r="U1027" s="490">
        <v>45</v>
      </c>
      <c r="V1027" s="490">
        <v>0</v>
      </c>
      <c r="W1027" s="490">
        <v>20</v>
      </c>
      <c r="X1027" s="490"/>
      <c r="Y1027" s="490"/>
      <c r="Z1027" s="278">
        <v>15000</v>
      </c>
      <c r="AA1027" s="490"/>
      <c r="AB1027" s="551"/>
      <c r="AC1027" s="551"/>
      <c r="AD1027" s="490"/>
      <c r="AE1027" s="490"/>
      <c r="AF1027" s="490" t="s">
        <v>1818</v>
      </c>
      <c r="AG1027" s="490" t="s">
        <v>1694</v>
      </c>
      <c r="AH1027" s="490" t="s">
        <v>1428</v>
      </c>
      <c r="AI1027" s="490" t="s">
        <v>250</v>
      </c>
      <c r="AJ1027" s="490" t="s">
        <v>6439</v>
      </c>
      <c r="AK1027" s="490"/>
      <c r="AL1027" s="549">
        <v>0</v>
      </c>
      <c r="AM1027" s="490" t="s">
        <v>6173</v>
      </c>
      <c r="AN1027" s="490" t="s">
        <v>5938</v>
      </c>
      <c r="AO1027" s="490"/>
      <c r="AP1027" s="489">
        <v>1</v>
      </c>
      <c r="AQ1027" s="489">
        <v>0</v>
      </c>
      <c r="AR1027" s="489">
        <v>0</v>
      </c>
      <c r="AS1027" s="489">
        <v>0</v>
      </c>
      <c r="AT1027" s="489">
        <v>0</v>
      </c>
      <c r="AU1027" s="226">
        <v>0</v>
      </c>
      <c r="AV1027" s="17">
        <f t="shared" si="154"/>
        <v>0</v>
      </c>
      <c r="AW1027" s="242" t="str">
        <f>"{s_taskKillNpc, {"&amp;L1027&amp;","&amp;N1027&amp;","&amp;S1027&amp;","&amp;U1027&amp;"}}"</f>
        <v>{s_taskKillNpc, {60076,60076,10060,45}}</v>
      </c>
    </row>
    <row r="1028" spans="1:49" s="509" customFormat="1" ht="156" x14ac:dyDescent="0.15">
      <c r="A1028" s="291">
        <v>10764</v>
      </c>
      <c r="B1028" s="490"/>
      <c r="C1028" s="490" t="s">
        <v>2292</v>
      </c>
      <c r="D1028" s="435">
        <v>2</v>
      </c>
      <c r="E1028" s="435">
        <v>0</v>
      </c>
      <c r="F1028" s="490">
        <v>3</v>
      </c>
      <c r="G1028" s="120">
        <v>200</v>
      </c>
      <c r="H1028" s="490">
        <v>200</v>
      </c>
      <c r="I1028" s="17">
        <v>0</v>
      </c>
      <c r="J1028" s="549">
        <v>10763</v>
      </c>
      <c r="K1028" s="490">
        <v>0</v>
      </c>
      <c r="L1028" s="490">
        <v>60076</v>
      </c>
      <c r="M1028" s="490" t="s">
        <v>247</v>
      </c>
      <c r="N1028" s="490">
        <v>60076</v>
      </c>
      <c r="O1028" s="490" t="s">
        <v>5192</v>
      </c>
      <c r="P1028" s="490"/>
      <c r="Q1028" s="550"/>
      <c r="R1028" s="550"/>
      <c r="S1028" s="550"/>
      <c r="T1028" s="550"/>
      <c r="U1028" s="490">
        <v>2</v>
      </c>
      <c r="V1028" s="490">
        <v>0</v>
      </c>
      <c r="W1028" s="490">
        <v>20</v>
      </c>
      <c r="X1028" s="490"/>
      <c r="Y1028" s="490"/>
      <c r="Z1028" s="278">
        <v>20000</v>
      </c>
      <c r="AA1028" s="490"/>
      <c r="AB1028" s="551"/>
      <c r="AC1028" s="551"/>
      <c r="AD1028" s="490"/>
      <c r="AE1028" s="490"/>
      <c r="AF1028" s="490" t="s">
        <v>1761</v>
      </c>
      <c r="AG1028" s="490" t="s">
        <v>1416</v>
      </c>
      <c r="AH1028" s="490" t="s">
        <v>3959</v>
      </c>
      <c r="AI1028" s="490" t="s">
        <v>251</v>
      </c>
      <c r="AJ1028" s="490" t="s">
        <v>6440</v>
      </c>
      <c r="AK1028" s="490"/>
      <c r="AL1028" s="549">
        <v>0</v>
      </c>
      <c r="AM1028" s="490" t="s">
        <v>6174</v>
      </c>
      <c r="AN1028" s="490" t="s">
        <v>4326</v>
      </c>
      <c r="AO1028" s="490" t="s">
        <v>1697</v>
      </c>
      <c r="AP1028" s="509">
        <v>1</v>
      </c>
      <c r="AQ1028" s="509">
        <v>0</v>
      </c>
      <c r="AR1028" s="509">
        <v>0</v>
      </c>
      <c r="AS1028" s="509">
        <v>0</v>
      </c>
      <c r="AU1028" s="226">
        <v>0</v>
      </c>
      <c r="AV1028" s="17">
        <f t="shared" si="154"/>
        <v>0</v>
      </c>
      <c r="AW1028" s="50" t="str">
        <f>"{s_taskTalk,{"&amp;L1028&amp;","&amp;N1028&amp;"}}"</f>
        <v>{s_taskTalk,{60076,60076}}</v>
      </c>
    </row>
    <row r="1029" spans="1:49" s="509" customFormat="1" ht="108.75" thickBot="1" x14ac:dyDescent="0.2">
      <c r="A1029" s="291">
        <v>10765</v>
      </c>
      <c r="B1029" s="490"/>
      <c r="C1029" s="490" t="s">
        <v>2293</v>
      </c>
      <c r="D1029" s="435">
        <v>2</v>
      </c>
      <c r="E1029" s="435">
        <v>0</v>
      </c>
      <c r="F1029" s="490">
        <v>3</v>
      </c>
      <c r="G1029" s="120">
        <v>200</v>
      </c>
      <c r="H1029" s="490">
        <v>200</v>
      </c>
      <c r="I1029" s="17">
        <v>0</v>
      </c>
      <c r="J1029" s="549">
        <v>10764</v>
      </c>
      <c r="K1029" s="490">
        <v>0</v>
      </c>
      <c r="L1029" s="490">
        <v>60073</v>
      </c>
      <c r="M1029" s="490" t="s">
        <v>248</v>
      </c>
      <c r="N1029" s="490">
        <v>60076</v>
      </c>
      <c r="O1029" s="490" t="s">
        <v>5192</v>
      </c>
      <c r="P1029" s="490"/>
      <c r="Q1029" s="550"/>
      <c r="R1029" s="550"/>
      <c r="S1029" s="550"/>
      <c r="T1029" s="550"/>
      <c r="U1029" s="490">
        <v>1</v>
      </c>
      <c r="V1029" s="490">
        <v>1</v>
      </c>
      <c r="W1029" s="490">
        <v>20</v>
      </c>
      <c r="X1029" s="490"/>
      <c r="Y1029" s="490"/>
      <c r="Z1029" s="278">
        <v>1600</v>
      </c>
      <c r="AA1029" s="490"/>
      <c r="AB1029" s="551"/>
      <c r="AC1029" s="551"/>
      <c r="AD1029" s="490"/>
      <c r="AE1029" s="490"/>
      <c r="AF1029" s="490" t="s">
        <v>1762</v>
      </c>
      <c r="AG1029" s="490" t="s">
        <v>252</v>
      </c>
      <c r="AH1029" s="490" t="s">
        <v>253</v>
      </c>
      <c r="AI1029" s="490"/>
      <c r="AJ1029" s="490" t="s">
        <v>6441</v>
      </c>
      <c r="AK1029" s="490"/>
      <c r="AL1029" s="549">
        <v>0</v>
      </c>
      <c r="AM1029" s="490" t="s">
        <v>254</v>
      </c>
      <c r="AN1029" s="490" t="s">
        <v>4326</v>
      </c>
      <c r="AO1029" s="490"/>
      <c r="AP1029" s="509">
        <v>1</v>
      </c>
      <c r="AQ1029" s="509">
        <v>0</v>
      </c>
      <c r="AR1029" s="509">
        <v>0</v>
      </c>
      <c r="AS1029" s="509">
        <v>0</v>
      </c>
      <c r="AU1029" s="226">
        <v>0</v>
      </c>
      <c r="AV1029" s="17">
        <f t="shared" si="154"/>
        <v>0</v>
      </c>
      <c r="AW1029" s="50" t="str">
        <f>"{s_taskTalk,{"&amp;L1029&amp;","&amp;N1029&amp;"}}"</f>
        <v>{s_taskTalk,{60073,60076}}</v>
      </c>
    </row>
    <row r="1030" spans="1:49" s="509" customFormat="1" ht="108" x14ac:dyDescent="0.15">
      <c r="A1030" s="291">
        <v>10766</v>
      </c>
      <c r="B1030" s="490"/>
      <c r="C1030" s="490" t="s">
        <v>2294</v>
      </c>
      <c r="D1030" s="435">
        <v>2</v>
      </c>
      <c r="E1030" s="435">
        <v>0</v>
      </c>
      <c r="F1030" s="490">
        <v>3</v>
      </c>
      <c r="G1030" s="120">
        <v>200</v>
      </c>
      <c r="H1030" s="490">
        <v>200</v>
      </c>
      <c r="I1030" s="17">
        <v>0</v>
      </c>
      <c r="J1030" s="549">
        <v>10765</v>
      </c>
      <c r="K1030" s="490">
        <v>0</v>
      </c>
      <c r="L1030" s="490">
        <v>60076</v>
      </c>
      <c r="M1030" s="490" t="s">
        <v>247</v>
      </c>
      <c r="N1030" s="490">
        <v>60080</v>
      </c>
      <c r="O1030" s="490" t="s">
        <v>5193</v>
      </c>
      <c r="P1030" s="490"/>
      <c r="Q1030" s="550"/>
      <c r="R1030" s="550"/>
      <c r="S1030" s="550">
        <v>10065</v>
      </c>
      <c r="T1030" s="550"/>
      <c r="U1030" s="490">
        <v>45</v>
      </c>
      <c r="V1030" s="490">
        <v>0</v>
      </c>
      <c r="W1030" s="490">
        <v>20</v>
      </c>
      <c r="X1030" s="490"/>
      <c r="Y1030" s="490"/>
      <c r="Z1030" s="278">
        <v>16000</v>
      </c>
      <c r="AA1030" s="490"/>
      <c r="AB1030" s="551"/>
      <c r="AC1030" s="551"/>
      <c r="AD1030" s="490"/>
      <c r="AE1030" s="490"/>
      <c r="AF1030" s="490" t="s">
        <v>1456</v>
      </c>
      <c r="AG1030" s="490" t="s">
        <v>1430</v>
      </c>
      <c r="AH1030" s="490" t="s">
        <v>284</v>
      </c>
      <c r="AI1030" s="490" t="s">
        <v>256</v>
      </c>
      <c r="AJ1030" s="490" t="s">
        <v>6442</v>
      </c>
      <c r="AK1030" s="490"/>
      <c r="AL1030" s="549">
        <v>0</v>
      </c>
      <c r="AM1030" s="490" t="s">
        <v>6175</v>
      </c>
      <c r="AN1030" s="490" t="s">
        <v>1429</v>
      </c>
      <c r="AO1030" s="490"/>
      <c r="AP1030" s="509">
        <v>1</v>
      </c>
      <c r="AQ1030" s="509">
        <v>0</v>
      </c>
      <c r="AR1030" s="509">
        <v>0</v>
      </c>
      <c r="AS1030" s="509">
        <v>0</v>
      </c>
      <c r="AU1030" s="226">
        <v>0</v>
      </c>
      <c r="AV1030" s="17">
        <f t="shared" si="154"/>
        <v>0</v>
      </c>
      <c r="AW1030" s="242" t="str">
        <f>"{s_taskKillNpc, {"&amp;L1030&amp;","&amp;N1030&amp;","&amp;S1030&amp;","&amp;U1030&amp;"}}"</f>
        <v>{s_taskKillNpc, {60076,60080,10065,45}}</v>
      </c>
    </row>
    <row r="1031" spans="1:49" s="541" customFormat="1" ht="72" x14ac:dyDescent="0.15">
      <c r="A1031" s="291">
        <v>10767</v>
      </c>
      <c r="B1031" s="490"/>
      <c r="C1031" s="490" t="s">
        <v>2295</v>
      </c>
      <c r="D1031" s="435">
        <v>2</v>
      </c>
      <c r="E1031" s="435">
        <v>0</v>
      </c>
      <c r="F1031" s="490">
        <v>3</v>
      </c>
      <c r="G1031" s="120">
        <v>200</v>
      </c>
      <c r="H1031" s="490">
        <v>200</v>
      </c>
      <c r="I1031" s="17">
        <v>0</v>
      </c>
      <c r="J1031" s="549">
        <v>10766</v>
      </c>
      <c r="K1031" s="490">
        <v>0</v>
      </c>
      <c r="L1031" s="490">
        <v>60080</v>
      </c>
      <c r="M1031" s="490" t="s">
        <v>255</v>
      </c>
      <c r="N1031" s="490">
        <v>60154</v>
      </c>
      <c r="O1031" s="490" t="s">
        <v>5194</v>
      </c>
      <c r="P1031" s="490"/>
      <c r="Q1031" s="550"/>
      <c r="R1031" s="550">
        <v>60081</v>
      </c>
      <c r="S1031" s="550"/>
      <c r="T1031" s="550"/>
      <c r="U1031" s="490">
        <v>1</v>
      </c>
      <c r="V1031" s="490">
        <v>1</v>
      </c>
      <c r="W1031" s="490">
        <v>20</v>
      </c>
      <c r="X1031" s="490"/>
      <c r="Y1031" s="490"/>
      <c r="Z1031" s="278">
        <v>18000</v>
      </c>
      <c r="AA1031" s="490"/>
      <c r="AB1031" s="551"/>
      <c r="AC1031" s="551"/>
      <c r="AD1031" s="490"/>
      <c r="AE1031" s="490"/>
      <c r="AF1031" s="490" t="s">
        <v>257</v>
      </c>
      <c r="AG1031" s="490" t="s">
        <v>258</v>
      </c>
      <c r="AH1031" s="490" t="s">
        <v>294</v>
      </c>
      <c r="AI1031" s="490" t="s">
        <v>259</v>
      </c>
      <c r="AJ1031" s="490" t="s">
        <v>6443</v>
      </c>
      <c r="AK1031" s="490"/>
      <c r="AL1031" s="549">
        <v>0</v>
      </c>
      <c r="AM1031" s="490" t="s">
        <v>603</v>
      </c>
      <c r="AN1031" s="490" t="s">
        <v>607</v>
      </c>
      <c r="AO1031" s="490"/>
      <c r="AP1031" s="484">
        <v>1</v>
      </c>
      <c r="AQ1031" s="484">
        <v>0</v>
      </c>
      <c r="AR1031" s="484">
        <v>0</v>
      </c>
      <c r="AS1031" s="484">
        <v>0</v>
      </c>
      <c r="AT1031" s="484">
        <v>0</v>
      </c>
      <c r="AU1031" s="226">
        <v>0</v>
      </c>
      <c r="AV1031" s="17">
        <f t="shared" si="154"/>
        <v>0</v>
      </c>
      <c r="AW1031" s="50" t="str">
        <f>"{s_taskGuard,{"&amp;L1031&amp;","&amp;N1031&amp;","&amp;R1031&amp;"}}"</f>
        <v>{s_taskGuard,{60080,60154,60081}}</v>
      </c>
    </row>
    <row r="1032" spans="1:49" s="541" customFormat="1" ht="84" x14ac:dyDescent="0.15">
      <c r="A1032" s="291">
        <v>10442</v>
      </c>
      <c r="B1032" s="532"/>
      <c r="C1032" s="532" t="s">
        <v>2296</v>
      </c>
      <c r="D1032" s="435">
        <v>2</v>
      </c>
      <c r="E1032" s="435">
        <v>0</v>
      </c>
      <c r="F1032" s="532">
        <v>4</v>
      </c>
      <c r="G1032" s="120">
        <v>200</v>
      </c>
      <c r="H1032" s="532">
        <v>200</v>
      </c>
      <c r="I1032" s="17">
        <v>0</v>
      </c>
      <c r="J1032" s="552">
        <v>0</v>
      </c>
      <c r="K1032" s="532">
        <v>0</v>
      </c>
      <c r="L1032" s="532">
        <v>60057</v>
      </c>
      <c r="M1032" s="532" t="s">
        <v>202</v>
      </c>
      <c r="N1032" s="532">
        <v>60057</v>
      </c>
      <c r="O1032" s="532" t="s">
        <v>202</v>
      </c>
      <c r="P1032" s="532"/>
      <c r="Q1032" s="553"/>
      <c r="R1032" s="553"/>
      <c r="S1032" s="553"/>
      <c r="T1032" s="553">
        <v>31071</v>
      </c>
      <c r="U1032" s="532">
        <v>2</v>
      </c>
      <c r="V1032" s="532">
        <v>0</v>
      </c>
      <c r="W1032" s="532">
        <v>15</v>
      </c>
      <c r="X1032" s="532"/>
      <c r="Y1032" s="532"/>
      <c r="Z1032" s="554">
        <v>1600</v>
      </c>
      <c r="AA1032" s="532"/>
      <c r="AB1032" s="555"/>
      <c r="AC1032" s="555"/>
      <c r="AD1032" s="532" t="s">
        <v>1369</v>
      </c>
      <c r="AE1032" s="532"/>
      <c r="AF1032" s="532" t="s">
        <v>1758</v>
      </c>
      <c r="AG1032" s="532" t="s">
        <v>1</v>
      </c>
      <c r="AH1032" s="532" t="s">
        <v>13</v>
      </c>
      <c r="AI1032" s="532" t="s">
        <v>448</v>
      </c>
      <c r="AJ1032" s="532" t="s">
        <v>6444</v>
      </c>
      <c r="AK1032" s="532"/>
      <c r="AL1032" s="552">
        <v>0</v>
      </c>
      <c r="AM1032" s="532" t="s">
        <v>1274</v>
      </c>
      <c r="AN1032" s="532" t="s">
        <v>1275</v>
      </c>
      <c r="AO1032" s="532"/>
      <c r="AP1032" s="484">
        <v>1</v>
      </c>
      <c r="AQ1032" s="484">
        <v>0</v>
      </c>
      <c r="AR1032" s="484">
        <v>0</v>
      </c>
      <c r="AS1032" s="484">
        <v>0</v>
      </c>
      <c r="AT1032" s="484">
        <v>0</v>
      </c>
      <c r="AU1032" s="226">
        <v>0</v>
      </c>
      <c r="AV1032" s="17">
        <f t="shared" si="154"/>
        <v>0</v>
      </c>
      <c r="AW1032" s="556" t="str">
        <f>"{s_taskGather,{"&amp;L1032&amp;","&amp;N1032&amp;","&amp;T1032&amp;","&amp;U1032&amp;",0,0}}"</f>
        <v>{s_taskGather,{60057,60057,31071,2,0,0}}</v>
      </c>
    </row>
    <row r="1033" spans="1:49" s="491" customFormat="1" x14ac:dyDescent="0.15">
      <c r="A1033" s="491">
        <v>10443</v>
      </c>
      <c r="C1033" s="491" t="s">
        <v>2297</v>
      </c>
      <c r="D1033" s="491">
        <v>2</v>
      </c>
      <c r="E1033" s="491">
        <v>0</v>
      </c>
      <c r="F1033" s="491">
        <v>4</v>
      </c>
      <c r="G1033" s="120">
        <v>200</v>
      </c>
      <c r="H1033" s="491">
        <v>200</v>
      </c>
      <c r="I1033" s="17">
        <v>0</v>
      </c>
      <c r="J1033" s="492">
        <v>10442</v>
      </c>
      <c r="K1033" s="491">
        <v>0</v>
      </c>
      <c r="L1033" s="491">
        <v>60057</v>
      </c>
      <c r="M1033" s="491" t="s">
        <v>2781</v>
      </c>
      <c r="N1033" s="491">
        <v>60057</v>
      </c>
      <c r="O1033" s="491" t="s">
        <v>5195</v>
      </c>
      <c r="U1033" s="491">
        <v>1</v>
      </c>
      <c r="V1033" s="491">
        <v>0</v>
      </c>
      <c r="W1033" s="491">
        <v>0</v>
      </c>
      <c r="Z1033" s="493">
        <v>1800</v>
      </c>
      <c r="AG1033" s="491" t="s">
        <v>2782</v>
      </c>
      <c r="AL1033" s="492">
        <v>0</v>
      </c>
      <c r="AP1033" s="491">
        <v>1</v>
      </c>
      <c r="AQ1033" s="491">
        <v>0</v>
      </c>
      <c r="AR1033" s="491">
        <v>0</v>
      </c>
      <c r="AS1033" s="491">
        <v>0</v>
      </c>
      <c r="AU1033" s="226">
        <v>0</v>
      </c>
      <c r="AV1033" s="17">
        <f t="shared" si="154"/>
        <v>0</v>
      </c>
      <c r="AW1033" s="491" t="str">
        <f>"{s_taskTalk,{"&amp;L1033&amp;","&amp;N1033&amp;"}}"</f>
        <v>{s_taskTalk,{60057,60057}}</v>
      </c>
    </row>
    <row r="1034" spans="1:49" s="491" customFormat="1" ht="84" x14ac:dyDescent="0.15">
      <c r="A1034" s="491">
        <v>10768</v>
      </c>
      <c r="B1034" s="491" t="s">
        <v>1206</v>
      </c>
      <c r="C1034" s="491" t="s">
        <v>2298</v>
      </c>
      <c r="D1034" s="491">
        <v>2</v>
      </c>
      <c r="E1034" s="491">
        <v>0</v>
      </c>
      <c r="F1034" s="491">
        <v>3</v>
      </c>
      <c r="G1034" s="120">
        <v>200</v>
      </c>
      <c r="H1034" s="491">
        <v>200</v>
      </c>
      <c r="I1034" s="17">
        <v>0</v>
      </c>
      <c r="J1034" s="492">
        <v>10443</v>
      </c>
      <c r="K1034" s="491">
        <v>0</v>
      </c>
      <c r="L1034" s="491">
        <v>60064</v>
      </c>
      <c r="M1034" s="491" t="s">
        <v>2783</v>
      </c>
      <c r="N1034" s="491">
        <v>60064</v>
      </c>
      <c r="O1034" s="491" t="s">
        <v>5189</v>
      </c>
      <c r="U1034" s="491">
        <v>2</v>
      </c>
      <c r="V1034" s="491">
        <v>0</v>
      </c>
      <c r="W1034" s="491">
        <v>10</v>
      </c>
      <c r="Z1034" s="493">
        <v>1500</v>
      </c>
      <c r="AF1034" s="494" t="s">
        <v>4327</v>
      </c>
      <c r="AG1034" s="491" t="s">
        <v>4328</v>
      </c>
      <c r="AH1034" s="491" t="s">
        <v>13</v>
      </c>
      <c r="AI1034" s="491" t="s">
        <v>448</v>
      </c>
      <c r="AJ1034" s="491" t="s">
        <v>6445</v>
      </c>
      <c r="AL1034" s="492">
        <v>0</v>
      </c>
      <c r="AM1034" s="491" t="s">
        <v>621</v>
      </c>
      <c r="AN1034" s="491" t="s">
        <v>608</v>
      </c>
      <c r="AP1034" s="491">
        <v>0</v>
      </c>
      <c r="AQ1034" s="491">
        <v>0</v>
      </c>
      <c r="AR1034" s="491">
        <v>0</v>
      </c>
      <c r="AS1034" s="491">
        <v>0</v>
      </c>
      <c r="AU1034" s="226">
        <v>0</v>
      </c>
      <c r="AV1034" s="17">
        <f t="shared" si="154"/>
        <v>0</v>
      </c>
      <c r="AW1034" s="491" t="str">
        <f>"{s_taskTalk,{"&amp;L1034&amp;","&amp;N1034&amp;"}}"</f>
        <v>{s_taskTalk,{60064,60064}}</v>
      </c>
    </row>
    <row r="1035" spans="1:49" s="491" customFormat="1" x14ac:dyDescent="0.15">
      <c r="A1035" s="491">
        <v>10769</v>
      </c>
      <c r="B1035" s="491" t="s">
        <v>1206</v>
      </c>
      <c r="C1035" s="491" t="s">
        <v>2299</v>
      </c>
      <c r="D1035" s="491">
        <v>2</v>
      </c>
      <c r="E1035" s="491">
        <v>0</v>
      </c>
      <c r="F1035" s="491">
        <v>3</v>
      </c>
      <c r="G1035" s="120">
        <v>200</v>
      </c>
      <c r="H1035" s="491">
        <v>200</v>
      </c>
      <c r="I1035" s="17">
        <v>0</v>
      </c>
      <c r="J1035" s="492">
        <v>10768</v>
      </c>
      <c r="K1035" s="491">
        <v>0</v>
      </c>
      <c r="L1035" s="491">
        <v>60064</v>
      </c>
      <c r="M1035" s="491" t="s">
        <v>2783</v>
      </c>
      <c r="N1035" s="491">
        <v>60064</v>
      </c>
      <c r="O1035" s="491" t="s">
        <v>5189</v>
      </c>
      <c r="U1035" s="491">
        <v>1</v>
      </c>
      <c r="V1035" s="491">
        <v>0</v>
      </c>
      <c r="W1035" s="491">
        <v>10</v>
      </c>
      <c r="Z1035" s="493"/>
      <c r="AD1035" s="491" t="s">
        <v>0</v>
      </c>
      <c r="AG1035" s="491" t="s">
        <v>2782</v>
      </c>
      <c r="AL1035" s="492">
        <v>0</v>
      </c>
      <c r="AP1035" s="491">
        <v>0</v>
      </c>
      <c r="AQ1035" s="491">
        <v>0</v>
      </c>
      <c r="AR1035" s="491">
        <v>0</v>
      </c>
      <c r="AS1035" s="491">
        <v>0</v>
      </c>
      <c r="AU1035" s="226">
        <v>0</v>
      </c>
      <c r="AV1035" s="17">
        <f t="shared" si="154"/>
        <v>0</v>
      </c>
      <c r="AW1035" s="491" t="str">
        <f>"{s_taskTalk,{"&amp;L1035&amp;","&amp;N1035&amp;"}}"</f>
        <v>{s_taskTalk,{60064,60064}}</v>
      </c>
    </row>
    <row r="1036" spans="1:49" s="491" customFormat="1" x14ac:dyDescent="0.15">
      <c r="A1036" s="491">
        <v>11971</v>
      </c>
      <c r="B1036" s="491" t="s">
        <v>1206</v>
      </c>
      <c r="C1036" s="491" t="s">
        <v>2300</v>
      </c>
      <c r="D1036" s="491">
        <v>2</v>
      </c>
      <c r="E1036" s="491">
        <v>0</v>
      </c>
      <c r="F1036" s="491">
        <v>3</v>
      </c>
      <c r="G1036" s="120">
        <v>200</v>
      </c>
      <c r="H1036" s="491">
        <v>200</v>
      </c>
      <c r="I1036" s="17">
        <v>0</v>
      </c>
      <c r="J1036" s="492">
        <v>10769</v>
      </c>
      <c r="K1036" s="491">
        <v>0</v>
      </c>
      <c r="L1036" s="491">
        <v>60064</v>
      </c>
      <c r="M1036" s="491" t="s">
        <v>2783</v>
      </c>
      <c r="N1036" s="491">
        <v>60064</v>
      </c>
      <c r="O1036" s="491" t="s">
        <v>5189</v>
      </c>
      <c r="U1036" s="491">
        <v>2</v>
      </c>
      <c r="V1036" s="491">
        <v>0</v>
      </c>
      <c r="W1036" s="491">
        <v>10</v>
      </c>
      <c r="Z1036" s="493">
        <v>10000</v>
      </c>
      <c r="AF1036" s="491" t="s">
        <v>627</v>
      </c>
      <c r="AG1036" s="491" t="s">
        <v>2784</v>
      </c>
      <c r="AH1036" s="491" t="s">
        <v>2</v>
      </c>
      <c r="AI1036" s="491" t="s">
        <v>448</v>
      </c>
      <c r="AJ1036" s="491" t="s">
        <v>6446</v>
      </c>
      <c r="AL1036" s="492">
        <v>0</v>
      </c>
      <c r="AM1036" s="491" t="s">
        <v>604</v>
      </c>
      <c r="AN1036" s="491" t="s">
        <v>609</v>
      </c>
      <c r="AP1036" s="491">
        <v>0</v>
      </c>
      <c r="AQ1036" s="491">
        <v>0</v>
      </c>
      <c r="AR1036" s="491">
        <v>0</v>
      </c>
      <c r="AS1036" s="491">
        <v>0</v>
      </c>
      <c r="AT1036" s="491">
        <v>0</v>
      </c>
      <c r="AU1036" s="226">
        <v>0</v>
      </c>
      <c r="AV1036" s="17">
        <f t="shared" si="154"/>
        <v>0</v>
      </c>
      <c r="AW1036" s="491" t="str">
        <f>"{s_taskTalk,{"&amp;L1036&amp;","&amp;N1036&amp;"}}"</f>
        <v>{s_taskTalk,{60064,60064}}</v>
      </c>
    </row>
    <row r="1037" spans="1:49" s="491" customFormat="1" ht="12.75" thickBot="1" x14ac:dyDescent="0.2">
      <c r="A1037" s="491">
        <v>11972</v>
      </c>
      <c r="B1037" s="491" t="s">
        <v>1206</v>
      </c>
      <c r="C1037" s="491" t="s">
        <v>2301</v>
      </c>
      <c r="D1037" s="491">
        <v>2</v>
      </c>
      <c r="E1037" s="491">
        <v>0</v>
      </c>
      <c r="F1037" s="491">
        <v>3</v>
      </c>
      <c r="G1037" s="120">
        <v>200</v>
      </c>
      <c r="H1037" s="491">
        <v>200</v>
      </c>
      <c r="I1037" s="17">
        <v>0</v>
      </c>
      <c r="J1037" s="492">
        <v>0</v>
      </c>
      <c r="K1037" s="491">
        <v>0</v>
      </c>
      <c r="L1037" s="491">
        <v>60064</v>
      </c>
      <c r="M1037" s="491" t="s">
        <v>2783</v>
      </c>
      <c r="N1037" s="491">
        <v>60064</v>
      </c>
      <c r="O1037" s="491" t="s">
        <v>5189</v>
      </c>
      <c r="U1037" s="491">
        <v>1</v>
      </c>
      <c r="V1037" s="491">
        <v>0</v>
      </c>
      <c r="W1037" s="491">
        <v>10</v>
      </c>
      <c r="Z1037" s="493"/>
      <c r="AD1037" s="491" t="s">
        <v>3</v>
      </c>
      <c r="AG1037" s="491" t="s">
        <v>2782</v>
      </c>
      <c r="AL1037" s="492">
        <v>0</v>
      </c>
      <c r="AP1037" s="491">
        <v>0</v>
      </c>
      <c r="AQ1037" s="491">
        <v>0</v>
      </c>
      <c r="AR1037" s="491">
        <v>0</v>
      </c>
      <c r="AS1037" s="491">
        <v>0</v>
      </c>
      <c r="AT1037" s="491">
        <v>0</v>
      </c>
      <c r="AU1037" s="226">
        <v>0</v>
      </c>
      <c r="AV1037" s="17">
        <f t="shared" si="154"/>
        <v>0</v>
      </c>
      <c r="AW1037" s="491" t="str">
        <f>"{s_taskTalk,{"&amp;L1037&amp;","&amp;N1037&amp;"}}"</f>
        <v>{s_taskTalk,{60064,60064}}</v>
      </c>
    </row>
    <row r="1038" spans="1:49" s="29" customFormat="1" ht="72.75" thickBot="1" x14ac:dyDescent="0.2">
      <c r="A1038" s="557">
        <v>11830</v>
      </c>
      <c r="B1038" s="558"/>
      <c r="C1038" s="558" t="s">
        <v>2868</v>
      </c>
      <c r="D1038" s="29">
        <v>2</v>
      </c>
      <c r="E1038" s="29">
        <v>0</v>
      </c>
      <c r="F1038" s="558">
        <v>3</v>
      </c>
      <c r="G1038" s="120">
        <v>200</v>
      </c>
      <c r="H1038" s="558">
        <v>200</v>
      </c>
      <c r="I1038" s="17">
        <v>0</v>
      </c>
      <c r="J1038" s="559">
        <v>0</v>
      </c>
      <c r="K1038" s="558">
        <v>0</v>
      </c>
      <c r="L1038" s="558">
        <v>120</v>
      </c>
      <c r="M1038" s="558" t="s">
        <v>1432</v>
      </c>
      <c r="N1038" s="558">
        <v>120</v>
      </c>
      <c r="O1038" s="558" t="s">
        <v>5196</v>
      </c>
      <c r="P1038" s="558"/>
      <c r="Q1038" s="560"/>
      <c r="R1038" s="560"/>
      <c r="S1038" s="560"/>
      <c r="T1038" s="560"/>
      <c r="U1038" s="558">
        <v>1</v>
      </c>
      <c r="V1038" s="558">
        <v>0</v>
      </c>
      <c r="W1038" s="558">
        <v>10</v>
      </c>
      <c r="X1038" s="558"/>
      <c r="Y1038" s="558"/>
      <c r="Z1038" s="561">
        <v>0</v>
      </c>
      <c r="AA1038" s="558"/>
      <c r="AB1038" s="562"/>
      <c r="AC1038" s="562"/>
      <c r="AD1038" s="496" t="s">
        <v>3166</v>
      </c>
      <c r="AE1038" s="558"/>
      <c r="AF1038" s="558" t="s">
        <v>2869</v>
      </c>
      <c r="AG1038" s="558" t="s">
        <v>2870</v>
      </c>
      <c r="AH1038" s="558" t="s">
        <v>1433</v>
      </c>
      <c r="AI1038" s="558" t="s">
        <v>1787</v>
      </c>
      <c r="AJ1038" s="558" t="s">
        <v>6447</v>
      </c>
      <c r="AK1038" s="558"/>
      <c r="AL1038" s="559">
        <v>0</v>
      </c>
      <c r="AM1038" s="558" t="s">
        <v>1434</v>
      </c>
      <c r="AN1038" s="558" t="s">
        <v>5939</v>
      </c>
      <c r="AO1038" s="558"/>
      <c r="AP1038" s="29">
        <v>1</v>
      </c>
      <c r="AQ1038" s="29">
        <v>0</v>
      </c>
      <c r="AR1038" s="29">
        <v>0</v>
      </c>
      <c r="AS1038" s="29">
        <v>0</v>
      </c>
      <c r="AU1038" s="29">
        <v>0</v>
      </c>
      <c r="AV1038" s="17">
        <f t="shared" si="154"/>
        <v>0</v>
      </c>
      <c r="AW1038" s="29" t="str">
        <f>"{s_taskLevelUp,{"&amp;L1038&amp;","&amp;N1038&amp;","&amp;G1038+1&amp;"}}"</f>
        <v>{s_taskLevelUp,{120,120,201}}</v>
      </c>
    </row>
    <row r="1039" spans="1:49" s="50" customFormat="1" ht="72.75" thickBot="1" x14ac:dyDescent="0.2">
      <c r="A1039" s="563">
        <v>11831</v>
      </c>
      <c r="B1039" s="539"/>
      <c r="C1039" s="539" t="s">
        <v>2302</v>
      </c>
      <c r="D1039" s="435">
        <v>2</v>
      </c>
      <c r="E1039" s="435">
        <v>0</v>
      </c>
      <c r="F1039" s="539">
        <v>3</v>
      </c>
      <c r="G1039" s="120">
        <v>200</v>
      </c>
      <c r="H1039" s="539">
        <v>200</v>
      </c>
      <c r="I1039" s="17">
        <v>0</v>
      </c>
      <c r="J1039" s="564">
        <v>0</v>
      </c>
      <c r="K1039" s="539">
        <v>0</v>
      </c>
      <c r="L1039" s="539">
        <v>60000</v>
      </c>
      <c r="M1039" s="539" t="s">
        <v>260</v>
      </c>
      <c r="N1039" s="539">
        <v>60000</v>
      </c>
      <c r="O1039" s="539" t="s">
        <v>5163</v>
      </c>
      <c r="P1039" s="539"/>
      <c r="Q1039" s="565"/>
      <c r="R1039" s="565"/>
      <c r="S1039" s="565"/>
      <c r="T1039" s="565"/>
      <c r="U1039" s="539">
        <v>1</v>
      </c>
      <c r="V1039" s="539">
        <v>0</v>
      </c>
      <c r="W1039" s="539">
        <v>25</v>
      </c>
      <c r="X1039" s="539"/>
      <c r="Y1039" s="539"/>
      <c r="Z1039" s="566">
        <v>15000</v>
      </c>
      <c r="AA1039" s="539"/>
      <c r="AB1039" s="567"/>
      <c r="AC1039" s="567"/>
      <c r="AD1039" s="539" t="s">
        <v>3167</v>
      </c>
      <c r="AE1039" s="539"/>
      <c r="AF1039" s="539" t="s">
        <v>3168</v>
      </c>
      <c r="AG1039" s="539" t="s">
        <v>580</v>
      </c>
      <c r="AH1039" s="539" t="s">
        <v>581</v>
      </c>
      <c r="AI1039" s="539" t="s">
        <v>582</v>
      </c>
      <c r="AJ1039" s="539" t="s">
        <v>6448</v>
      </c>
      <c r="AK1039" s="539"/>
      <c r="AL1039" s="564">
        <v>0</v>
      </c>
      <c r="AM1039" s="539" t="s">
        <v>1330</v>
      </c>
      <c r="AN1039" s="539" t="s">
        <v>5940</v>
      </c>
      <c r="AO1039" s="539"/>
      <c r="AP1039" s="50">
        <v>1</v>
      </c>
      <c r="AQ1039" s="50">
        <v>0</v>
      </c>
      <c r="AR1039" s="50">
        <v>0</v>
      </c>
      <c r="AS1039" s="50">
        <v>0</v>
      </c>
      <c r="AU1039" s="226">
        <v>0</v>
      </c>
      <c r="AV1039" s="17">
        <f t="shared" si="154"/>
        <v>0</v>
      </c>
      <c r="AW1039" s="50" t="str">
        <f>"{s_taskLevelUp,{"&amp;L1039&amp;","&amp;N1039&amp;","&amp;G1039+1&amp;"}}"</f>
        <v>{s_taskLevelUp,{60000,60000,201}}</v>
      </c>
    </row>
    <row r="1040" spans="1:49" s="50" customFormat="1" ht="108.75" thickBot="1" x14ac:dyDescent="0.2">
      <c r="A1040" s="501">
        <v>11832</v>
      </c>
      <c r="B1040" s="481"/>
      <c r="C1040" s="481" t="s">
        <v>2303</v>
      </c>
      <c r="D1040" s="435">
        <v>2</v>
      </c>
      <c r="E1040" s="435">
        <v>0</v>
      </c>
      <c r="F1040" s="481">
        <v>3</v>
      </c>
      <c r="G1040" s="120">
        <v>200</v>
      </c>
      <c r="H1040" s="481">
        <v>200</v>
      </c>
      <c r="I1040" s="17">
        <v>0</v>
      </c>
      <c r="J1040" s="568">
        <v>1495</v>
      </c>
      <c r="K1040" s="481">
        <v>0</v>
      </c>
      <c r="L1040" s="481">
        <v>135</v>
      </c>
      <c r="M1040" s="481" t="s">
        <v>633</v>
      </c>
      <c r="N1040" s="481">
        <v>135</v>
      </c>
      <c r="O1040" s="481" t="s">
        <v>633</v>
      </c>
      <c r="P1040" s="481"/>
      <c r="Q1040" s="569"/>
      <c r="R1040" s="569"/>
      <c r="S1040" s="569"/>
      <c r="T1040" s="569"/>
      <c r="U1040" s="481">
        <v>1</v>
      </c>
      <c r="V1040" s="481">
        <v>0</v>
      </c>
      <c r="W1040" s="481">
        <v>25</v>
      </c>
      <c r="X1040" s="481"/>
      <c r="Y1040" s="481"/>
      <c r="Z1040" s="570">
        <v>20000</v>
      </c>
      <c r="AA1040" s="481"/>
      <c r="AB1040" s="571"/>
      <c r="AC1040" s="571"/>
      <c r="AD1040" s="481"/>
      <c r="AE1040" s="481"/>
      <c r="AF1040" s="481" t="s">
        <v>4761</v>
      </c>
      <c r="AG1040" s="481" t="s">
        <v>4762</v>
      </c>
      <c r="AH1040" s="481" t="s">
        <v>4763</v>
      </c>
      <c r="AI1040" s="481" t="s">
        <v>4764</v>
      </c>
      <c r="AJ1040" s="481" t="s">
        <v>6449</v>
      </c>
      <c r="AK1040" s="481"/>
      <c r="AL1040" s="568">
        <v>0</v>
      </c>
      <c r="AM1040" s="481" t="s">
        <v>1331</v>
      </c>
      <c r="AN1040" s="481" t="s">
        <v>5941</v>
      </c>
      <c r="AO1040" s="481"/>
      <c r="AP1040" s="50">
        <v>1</v>
      </c>
      <c r="AQ1040" s="50">
        <v>0</v>
      </c>
      <c r="AR1040" s="50">
        <v>0</v>
      </c>
      <c r="AS1040" s="50">
        <v>0</v>
      </c>
      <c r="AU1040" s="226">
        <v>0</v>
      </c>
      <c r="AV1040" s="17">
        <f t="shared" si="154"/>
        <v>0</v>
      </c>
      <c r="AW1040" s="50" t="str">
        <f>"{s_taskCustom,{"&amp;L1040&amp;","&amp;N1040&amp;","&amp;U1040&amp;","&amp;V1040&amp;"}}"</f>
        <v>{s_taskCustom,{135,135,1,0}}</v>
      </c>
    </row>
    <row r="1041" spans="1:49" s="547" customFormat="1" ht="108.75" thickBot="1" x14ac:dyDescent="0.2">
      <c r="A1041" s="508">
        <v>11833</v>
      </c>
      <c r="B1041" s="484"/>
      <c r="C1041" s="484" t="s">
        <v>2304</v>
      </c>
      <c r="D1041" s="435">
        <v>2</v>
      </c>
      <c r="E1041" s="435">
        <v>0</v>
      </c>
      <c r="F1041" s="484">
        <v>3</v>
      </c>
      <c r="G1041" s="120">
        <v>200</v>
      </c>
      <c r="H1041" s="484">
        <v>200</v>
      </c>
      <c r="I1041" s="17">
        <v>0</v>
      </c>
      <c r="J1041" s="572">
        <v>11832</v>
      </c>
      <c r="K1041" s="484">
        <v>0</v>
      </c>
      <c r="L1041" s="484">
        <v>135</v>
      </c>
      <c r="M1041" s="484" t="s">
        <v>633</v>
      </c>
      <c r="N1041" s="484">
        <v>135</v>
      </c>
      <c r="O1041" s="484" t="s">
        <v>633</v>
      </c>
      <c r="P1041" s="484"/>
      <c r="Q1041" s="550"/>
      <c r="R1041" s="550"/>
      <c r="S1041" s="550"/>
      <c r="T1041" s="550"/>
      <c r="U1041" s="484">
        <v>1</v>
      </c>
      <c r="V1041" s="484">
        <v>0</v>
      </c>
      <c r="W1041" s="484">
        <v>97</v>
      </c>
      <c r="X1041" s="484"/>
      <c r="Y1041" s="484"/>
      <c r="Z1041" s="278">
        <v>20000</v>
      </c>
      <c r="AA1041" s="484"/>
      <c r="AB1041" s="551"/>
      <c r="AC1041" s="551"/>
      <c r="AD1041" s="484"/>
      <c r="AE1041" s="484"/>
      <c r="AF1041" s="484" t="s">
        <v>4765</v>
      </c>
      <c r="AG1041" s="484" t="s">
        <v>4766</v>
      </c>
      <c r="AH1041" s="484" t="s">
        <v>4763</v>
      </c>
      <c r="AI1041" s="484" t="s">
        <v>4767</v>
      </c>
      <c r="AJ1041" s="484" t="s">
        <v>6450</v>
      </c>
      <c r="AK1041" s="484"/>
      <c r="AL1041" s="572">
        <v>0</v>
      </c>
      <c r="AM1041" s="484" t="s">
        <v>1332</v>
      </c>
      <c r="AN1041" s="484" t="s">
        <v>5942</v>
      </c>
      <c r="AO1041" s="484"/>
      <c r="AP1041" s="481">
        <v>1</v>
      </c>
      <c r="AQ1041" s="481">
        <v>0</v>
      </c>
      <c r="AR1041" s="481">
        <v>0</v>
      </c>
      <c r="AS1041" s="481">
        <v>0</v>
      </c>
      <c r="AT1041" s="481">
        <v>0</v>
      </c>
      <c r="AU1041" s="226">
        <v>0</v>
      </c>
      <c r="AV1041" s="17">
        <f t="shared" si="154"/>
        <v>0</v>
      </c>
      <c r="AW1041" s="50" t="str">
        <f>"{s_taskCustom,{"&amp;L1041&amp;","&amp;N1041&amp;","&amp;U1041&amp;","&amp;V1041&amp;"}}"</f>
        <v>{s_taskCustom,{135,135,1,0}}</v>
      </c>
    </row>
    <row r="1042" spans="1:49" s="50" customFormat="1" ht="72.75" thickBot="1" x14ac:dyDescent="0.2">
      <c r="A1042" s="563">
        <v>11850</v>
      </c>
      <c r="B1042" s="539"/>
      <c r="C1042" s="539" t="s">
        <v>3169</v>
      </c>
      <c r="D1042" s="435">
        <v>2</v>
      </c>
      <c r="E1042" s="435">
        <v>0</v>
      </c>
      <c r="F1042" s="539">
        <v>3</v>
      </c>
      <c r="G1042" s="120">
        <v>200</v>
      </c>
      <c r="H1042" s="539">
        <v>200</v>
      </c>
      <c r="I1042" s="17">
        <v>0</v>
      </c>
      <c r="J1042" s="564">
        <v>0</v>
      </c>
      <c r="K1042" s="539">
        <v>0</v>
      </c>
      <c r="L1042" s="539">
        <v>60000</v>
      </c>
      <c r="M1042" s="539" t="s">
        <v>260</v>
      </c>
      <c r="N1042" s="539">
        <v>60000</v>
      </c>
      <c r="O1042" s="539" t="s">
        <v>5163</v>
      </c>
      <c r="P1042" s="539"/>
      <c r="Q1042" s="565"/>
      <c r="R1042" s="565"/>
      <c r="S1042" s="565"/>
      <c r="T1042" s="565"/>
      <c r="U1042" s="539">
        <v>1</v>
      </c>
      <c r="V1042" s="539">
        <v>0</v>
      </c>
      <c r="W1042" s="539">
        <v>25</v>
      </c>
      <c r="X1042" s="539"/>
      <c r="Y1042" s="539"/>
      <c r="Z1042" s="566">
        <v>15000</v>
      </c>
      <c r="AA1042" s="539"/>
      <c r="AB1042" s="567"/>
      <c r="AC1042" s="567"/>
      <c r="AD1042" s="539" t="s">
        <v>3167</v>
      </c>
      <c r="AE1042" s="539"/>
      <c r="AF1042" s="539" t="s">
        <v>3168</v>
      </c>
      <c r="AG1042" s="539" t="s">
        <v>580</v>
      </c>
      <c r="AH1042" s="539" t="s">
        <v>581</v>
      </c>
      <c r="AI1042" s="539" t="s">
        <v>582</v>
      </c>
      <c r="AJ1042" s="539" t="s">
        <v>6448</v>
      </c>
      <c r="AK1042" s="539"/>
      <c r="AL1042" s="564">
        <v>0</v>
      </c>
      <c r="AM1042" s="539" t="s">
        <v>1330</v>
      </c>
      <c r="AN1042" s="539" t="s">
        <v>5940</v>
      </c>
      <c r="AO1042" s="539"/>
      <c r="AP1042" s="50">
        <v>1</v>
      </c>
      <c r="AQ1042" s="50">
        <v>0</v>
      </c>
      <c r="AR1042" s="50">
        <v>0</v>
      </c>
      <c r="AS1042" s="50">
        <v>0</v>
      </c>
      <c r="AU1042" s="226">
        <v>0</v>
      </c>
      <c r="AV1042" s="17">
        <f t="shared" si="154"/>
        <v>0</v>
      </c>
      <c r="AW1042" s="50" t="str">
        <f>"{s_taskLevelUp,{"&amp;L1042&amp;","&amp;N1042&amp;","&amp;G1042+1&amp;"}}"</f>
        <v>{s_taskLevelUp,{60000,60000,201}}</v>
      </c>
    </row>
    <row r="1043" spans="1:49" s="50" customFormat="1" ht="72.75" thickBot="1" x14ac:dyDescent="0.2">
      <c r="A1043" s="563">
        <v>11851</v>
      </c>
      <c r="B1043" s="539"/>
      <c r="C1043" s="539" t="s">
        <v>3170</v>
      </c>
      <c r="D1043" s="435">
        <v>2</v>
      </c>
      <c r="E1043" s="435">
        <v>0</v>
      </c>
      <c r="F1043" s="539">
        <v>3</v>
      </c>
      <c r="G1043" s="120">
        <v>200</v>
      </c>
      <c r="H1043" s="539">
        <v>200</v>
      </c>
      <c r="I1043" s="17">
        <v>0</v>
      </c>
      <c r="J1043" s="564">
        <v>0</v>
      </c>
      <c r="K1043" s="539">
        <v>0</v>
      </c>
      <c r="L1043" s="539">
        <v>60000</v>
      </c>
      <c r="M1043" s="539" t="s">
        <v>260</v>
      </c>
      <c r="N1043" s="539">
        <v>60000</v>
      </c>
      <c r="O1043" s="539" t="s">
        <v>5163</v>
      </c>
      <c r="P1043" s="539"/>
      <c r="Q1043" s="565"/>
      <c r="R1043" s="565"/>
      <c r="S1043" s="565"/>
      <c r="T1043" s="565"/>
      <c r="U1043" s="539">
        <v>1</v>
      </c>
      <c r="V1043" s="539">
        <v>0</v>
      </c>
      <c r="W1043" s="539">
        <v>25</v>
      </c>
      <c r="X1043" s="539"/>
      <c r="Y1043" s="539"/>
      <c r="Z1043" s="566">
        <v>15000</v>
      </c>
      <c r="AA1043" s="539"/>
      <c r="AB1043" s="567"/>
      <c r="AC1043" s="567"/>
      <c r="AD1043" s="539" t="s">
        <v>3167</v>
      </c>
      <c r="AE1043" s="539"/>
      <c r="AF1043" s="539" t="s">
        <v>3168</v>
      </c>
      <c r="AG1043" s="539" t="s">
        <v>580</v>
      </c>
      <c r="AH1043" s="539" t="s">
        <v>581</v>
      </c>
      <c r="AI1043" s="539" t="s">
        <v>582</v>
      </c>
      <c r="AJ1043" s="539" t="s">
        <v>6448</v>
      </c>
      <c r="AK1043" s="539"/>
      <c r="AL1043" s="564">
        <v>0</v>
      </c>
      <c r="AM1043" s="539" t="s">
        <v>1330</v>
      </c>
      <c r="AN1043" s="539" t="s">
        <v>5940</v>
      </c>
      <c r="AO1043" s="539"/>
      <c r="AP1043" s="50">
        <v>1</v>
      </c>
      <c r="AQ1043" s="50">
        <v>0</v>
      </c>
      <c r="AR1043" s="50">
        <v>0</v>
      </c>
      <c r="AS1043" s="50">
        <v>0</v>
      </c>
      <c r="AU1043" s="226">
        <v>0</v>
      </c>
      <c r="AV1043" s="17">
        <f t="shared" si="154"/>
        <v>0</v>
      </c>
      <c r="AW1043" s="50" t="str">
        <f>"{s_taskLevelUp,{"&amp;L1043&amp;","&amp;N1043&amp;","&amp;G1043+1&amp;"}}"</f>
        <v>{s_taskLevelUp,{60000,60000,201}}</v>
      </c>
    </row>
    <row r="1044" spans="1:49" s="29" customFormat="1" ht="60.75" thickBot="1" x14ac:dyDescent="0.2">
      <c r="A1044" s="557">
        <v>11834</v>
      </c>
      <c r="B1044" s="558"/>
      <c r="C1044" s="558" t="s">
        <v>2873</v>
      </c>
      <c r="D1044" s="29">
        <v>2</v>
      </c>
      <c r="E1044" s="29">
        <v>0</v>
      </c>
      <c r="F1044" s="558">
        <v>3</v>
      </c>
      <c r="G1044" s="120">
        <v>200</v>
      </c>
      <c r="H1044" s="558">
        <v>200</v>
      </c>
      <c r="I1044" s="17">
        <v>0</v>
      </c>
      <c r="J1044" s="559">
        <v>0</v>
      </c>
      <c r="K1044" s="558">
        <v>0</v>
      </c>
      <c r="L1044" s="558">
        <v>120</v>
      </c>
      <c r="M1044" s="558" t="s">
        <v>1432</v>
      </c>
      <c r="N1044" s="558">
        <v>120</v>
      </c>
      <c r="O1044" s="558" t="s">
        <v>5196</v>
      </c>
      <c r="P1044" s="558"/>
      <c r="Q1044" s="560"/>
      <c r="R1044" s="560"/>
      <c r="S1044" s="560"/>
      <c r="T1044" s="560"/>
      <c r="U1044" s="558">
        <v>1</v>
      </c>
      <c r="V1044" s="558">
        <v>1</v>
      </c>
      <c r="W1044" s="558">
        <v>0</v>
      </c>
      <c r="X1044" s="558"/>
      <c r="Y1044" s="558"/>
      <c r="Z1044" s="561">
        <v>0</v>
      </c>
      <c r="AA1044" s="558"/>
      <c r="AB1044" s="562"/>
      <c r="AC1044" s="562"/>
      <c r="AD1044" s="496"/>
      <c r="AE1044" s="558"/>
      <c r="AF1044" s="558" t="s">
        <v>4506</v>
      </c>
      <c r="AG1044" s="558" t="s">
        <v>4507</v>
      </c>
      <c r="AH1044" s="558" t="s">
        <v>2874</v>
      </c>
      <c r="AI1044" s="558" t="s">
        <v>2875</v>
      </c>
      <c r="AJ1044" s="558" t="s">
        <v>6451</v>
      </c>
      <c r="AK1044" s="558"/>
      <c r="AL1044" s="559">
        <v>0</v>
      </c>
      <c r="AM1044" s="558" t="s">
        <v>2876</v>
      </c>
      <c r="AN1044" s="558" t="s">
        <v>5943</v>
      </c>
      <c r="AO1044" s="558"/>
      <c r="AP1044" s="29">
        <v>1</v>
      </c>
      <c r="AQ1044" s="29">
        <v>0</v>
      </c>
      <c r="AR1044" s="29">
        <v>0</v>
      </c>
      <c r="AS1044" s="29">
        <v>0</v>
      </c>
      <c r="AU1044" s="29">
        <v>0</v>
      </c>
      <c r="AV1044" s="17">
        <f t="shared" si="154"/>
        <v>0</v>
      </c>
      <c r="AW1044" s="29" t="str">
        <f>"{s_taskTalk,{"&amp;L1044&amp;","&amp;N1044&amp;"}}"</f>
        <v>{s_taskTalk,{120,120}}</v>
      </c>
    </row>
    <row r="1045" spans="1:49" s="541" customFormat="1" ht="96.75" thickBot="1" x14ac:dyDescent="0.2">
      <c r="A1045" s="501">
        <v>11900</v>
      </c>
      <c r="B1045" s="481"/>
      <c r="C1045" s="481" t="s">
        <v>2305</v>
      </c>
      <c r="D1045" s="573">
        <v>2</v>
      </c>
      <c r="E1045" s="573">
        <v>0</v>
      </c>
      <c r="F1045" s="481">
        <v>3</v>
      </c>
      <c r="G1045" s="120">
        <v>200</v>
      </c>
      <c r="H1045" s="481">
        <v>200</v>
      </c>
      <c r="I1045" s="17">
        <v>0</v>
      </c>
      <c r="J1045" s="568">
        <v>0</v>
      </c>
      <c r="K1045" s="481">
        <v>0</v>
      </c>
      <c r="L1045" s="481">
        <v>60049</v>
      </c>
      <c r="M1045" s="481" t="s">
        <v>1174</v>
      </c>
      <c r="N1045" s="481">
        <v>60049</v>
      </c>
      <c r="O1045" s="481" t="s">
        <v>5197</v>
      </c>
      <c r="P1045" s="481"/>
      <c r="Q1045" s="569"/>
      <c r="R1045" s="569"/>
      <c r="S1045" s="569"/>
      <c r="T1045" s="569">
        <v>27118</v>
      </c>
      <c r="U1045" s="481">
        <v>5</v>
      </c>
      <c r="V1045" s="481">
        <v>0</v>
      </c>
      <c r="W1045" s="481">
        <v>15</v>
      </c>
      <c r="X1045" s="481"/>
      <c r="Y1045" s="481"/>
      <c r="Z1045" s="570">
        <v>6000</v>
      </c>
      <c r="AA1045" s="481"/>
      <c r="AB1045" s="571"/>
      <c r="AC1045" s="571"/>
      <c r="AD1045" s="481"/>
      <c r="AE1045" s="481"/>
      <c r="AF1045" s="481" t="s">
        <v>4329</v>
      </c>
      <c r="AG1045" s="481" t="s">
        <v>1178</v>
      </c>
      <c r="AH1045" s="481" t="s">
        <v>1179</v>
      </c>
      <c r="AI1045" s="481" t="s">
        <v>1180</v>
      </c>
      <c r="AJ1045" s="481" t="s">
        <v>1175</v>
      </c>
      <c r="AK1045" s="481">
        <v>0</v>
      </c>
      <c r="AL1045" s="568"/>
      <c r="AM1045" s="484" t="s">
        <v>1333</v>
      </c>
      <c r="AN1045" s="484" t="s">
        <v>5944</v>
      </c>
      <c r="AO1045" s="481"/>
      <c r="AP1045" s="484">
        <v>1</v>
      </c>
      <c r="AQ1045" s="484">
        <v>0</v>
      </c>
      <c r="AR1045" s="484">
        <v>0</v>
      </c>
      <c r="AS1045" s="484">
        <v>0</v>
      </c>
      <c r="AT1045" s="484">
        <v>0</v>
      </c>
      <c r="AU1045" s="226">
        <v>0</v>
      </c>
      <c r="AV1045" s="17">
        <f t="shared" si="154"/>
        <v>0</v>
      </c>
      <c r="AW1045" s="556" t="str">
        <f>"{s_taskGather,{"&amp;L1045&amp;","&amp;N1045&amp;","&amp;T1045&amp;","&amp;U1045&amp;",0,0}}"</f>
        <v>{s_taskGather,{60049,60049,27118,5,0,0}}</v>
      </c>
    </row>
    <row r="1046" spans="1:49" s="541" customFormat="1" ht="96.75" thickBot="1" x14ac:dyDescent="0.2">
      <c r="A1046" s="508">
        <v>11901</v>
      </c>
      <c r="B1046" s="484"/>
      <c r="C1046" s="484" t="s">
        <v>2306</v>
      </c>
      <c r="D1046" s="574">
        <v>2</v>
      </c>
      <c r="E1046" s="574">
        <v>0</v>
      </c>
      <c r="F1046" s="484">
        <v>3</v>
      </c>
      <c r="G1046" s="120">
        <v>200</v>
      </c>
      <c r="H1046" s="484">
        <v>200</v>
      </c>
      <c r="I1046" s="17">
        <v>0</v>
      </c>
      <c r="J1046" s="572">
        <v>4181</v>
      </c>
      <c r="K1046" s="484">
        <v>0</v>
      </c>
      <c r="L1046" s="484">
        <v>60049</v>
      </c>
      <c r="M1046" s="484" t="s">
        <v>1174</v>
      </c>
      <c r="N1046" s="484">
        <v>60049</v>
      </c>
      <c r="O1046" s="484" t="s">
        <v>5197</v>
      </c>
      <c r="P1046" s="484"/>
      <c r="Q1046" s="550"/>
      <c r="R1046" s="550"/>
      <c r="S1046" s="550"/>
      <c r="T1046" s="550">
        <v>27112</v>
      </c>
      <c r="U1046" s="481">
        <v>5</v>
      </c>
      <c r="V1046" s="484">
        <v>0</v>
      </c>
      <c r="W1046" s="484">
        <v>15</v>
      </c>
      <c r="X1046" s="484"/>
      <c r="Y1046" s="484"/>
      <c r="Z1046" s="570">
        <v>6000</v>
      </c>
      <c r="AA1046" s="484"/>
      <c r="AB1046" s="551"/>
      <c r="AC1046" s="551"/>
      <c r="AD1046" s="484"/>
      <c r="AE1046" s="484"/>
      <c r="AF1046" s="481" t="s">
        <v>4330</v>
      </c>
      <c r="AG1046" s="481" t="s">
        <v>1181</v>
      </c>
      <c r="AH1046" s="481" t="s">
        <v>1190</v>
      </c>
      <c r="AI1046" s="481" t="s">
        <v>1182</v>
      </c>
      <c r="AJ1046" s="484" t="s">
        <v>1176</v>
      </c>
      <c r="AK1046" s="484">
        <v>0</v>
      </c>
      <c r="AL1046" s="572"/>
      <c r="AM1046" s="484" t="s">
        <v>1334</v>
      </c>
      <c r="AN1046" s="484" t="s">
        <v>5945</v>
      </c>
      <c r="AO1046" s="484"/>
      <c r="AP1046" s="484">
        <v>1</v>
      </c>
      <c r="AQ1046" s="484">
        <v>0</v>
      </c>
      <c r="AR1046" s="484">
        <v>0</v>
      </c>
      <c r="AS1046" s="484">
        <v>0</v>
      </c>
      <c r="AT1046" s="484">
        <v>0</v>
      </c>
      <c r="AU1046" s="226">
        <v>0</v>
      </c>
      <c r="AV1046" s="17">
        <f t="shared" si="154"/>
        <v>0</v>
      </c>
      <c r="AW1046" s="556" t="str">
        <f>"{s_taskGather,{"&amp;L1046&amp;","&amp;N1046&amp;","&amp;T1046&amp;","&amp;U1046&amp;",1,0}}"</f>
        <v>{s_taskGather,{60049,60049,27112,5,1,0}}</v>
      </c>
    </row>
    <row r="1047" spans="1:49" s="541" customFormat="1" ht="96.75" thickBot="1" x14ac:dyDescent="0.2">
      <c r="A1047" s="575">
        <v>11902</v>
      </c>
      <c r="B1047" s="489"/>
      <c r="C1047" s="489" t="s">
        <v>2307</v>
      </c>
      <c r="D1047" s="576">
        <v>2</v>
      </c>
      <c r="E1047" s="576">
        <v>0</v>
      </c>
      <c r="F1047" s="489">
        <v>3</v>
      </c>
      <c r="G1047" s="120">
        <v>200</v>
      </c>
      <c r="H1047" s="489">
        <v>200</v>
      </c>
      <c r="I1047" s="17">
        <v>0</v>
      </c>
      <c r="J1047" s="577">
        <v>11901</v>
      </c>
      <c r="K1047" s="489">
        <v>0</v>
      </c>
      <c r="L1047" s="489">
        <v>60049</v>
      </c>
      <c r="M1047" s="489" t="s">
        <v>1174</v>
      </c>
      <c r="N1047" s="489">
        <v>60049</v>
      </c>
      <c r="O1047" s="489" t="s">
        <v>5197</v>
      </c>
      <c r="P1047" s="489"/>
      <c r="Q1047" s="578"/>
      <c r="R1047" s="578"/>
      <c r="S1047" s="578"/>
      <c r="T1047" s="578">
        <v>27112</v>
      </c>
      <c r="U1047" s="481">
        <v>5</v>
      </c>
      <c r="V1047" s="489">
        <v>0</v>
      </c>
      <c r="W1047" s="489">
        <v>15</v>
      </c>
      <c r="X1047" s="489"/>
      <c r="Y1047" s="489"/>
      <c r="Z1047" s="570">
        <v>6000</v>
      </c>
      <c r="AA1047" s="489"/>
      <c r="AB1047" s="579"/>
      <c r="AC1047" s="579"/>
      <c r="AD1047" s="489"/>
      <c r="AE1047" s="489"/>
      <c r="AF1047" s="481" t="s">
        <v>4331</v>
      </c>
      <c r="AG1047" s="481" t="s">
        <v>1183</v>
      </c>
      <c r="AH1047" s="481" t="s">
        <v>1191</v>
      </c>
      <c r="AI1047" s="481" t="s">
        <v>1184</v>
      </c>
      <c r="AJ1047" s="489" t="s">
        <v>1177</v>
      </c>
      <c r="AK1047" s="489">
        <v>0</v>
      </c>
      <c r="AL1047" s="577"/>
      <c r="AM1047" s="484" t="s">
        <v>1335</v>
      </c>
      <c r="AN1047" s="484" t="s">
        <v>5946</v>
      </c>
      <c r="AO1047" s="484"/>
      <c r="AP1047" s="484">
        <v>1</v>
      </c>
      <c r="AQ1047" s="484">
        <v>0</v>
      </c>
      <c r="AR1047" s="484">
        <v>0</v>
      </c>
      <c r="AS1047" s="484">
        <v>0</v>
      </c>
      <c r="AT1047" s="484">
        <v>0</v>
      </c>
      <c r="AU1047" s="226">
        <v>0</v>
      </c>
      <c r="AV1047" s="17">
        <f t="shared" si="154"/>
        <v>0</v>
      </c>
      <c r="AW1047" s="556" t="str">
        <f>"{s_taskGather,{"&amp;L1047&amp;","&amp;N1047&amp;","&amp;T1047&amp;","&amp;U1047&amp;",2,0}}"</f>
        <v>{s_taskGather,{60049,60049,27112,5,2,0}}</v>
      </c>
    </row>
    <row r="1048" spans="1:49" s="541" customFormat="1" ht="96.75" thickBot="1" x14ac:dyDescent="0.2">
      <c r="A1048" s="501">
        <v>11950</v>
      </c>
      <c r="B1048" s="481"/>
      <c r="C1048" s="481" t="s">
        <v>2308</v>
      </c>
      <c r="D1048" s="573">
        <v>2</v>
      </c>
      <c r="E1048" s="573">
        <v>0</v>
      </c>
      <c r="F1048" s="481">
        <v>3</v>
      </c>
      <c r="G1048" s="120">
        <v>200</v>
      </c>
      <c r="H1048" s="481">
        <v>200</v>
      </c>
      <c r="I1048" s="17">
        <v>0</v>
      </c>
      <c r="J1048" s="568">
        <v>0</v>
      </c>
      <c r="K1048" s="481">
        <v>0</v>
      </c>
      <c r="L1048" s="481">
        <v>60049</v>
      </c>
      <c r="M1048" s="481" t="s">
        <v>1174</v>
      </c>
      <c r="N1048" s="481">
        <v>60049</v>
      </c>
      <c r="O1048" s="481" t="s">
        <v>5197</v>
      </c>
      <c r="P1048" s="481"/>
      <c r="Q1048" s="569"/>
      <c r="R1048" s="569"/>
      <c r="S1048" s="569"/>
      <c r="T1048" s="569">
        <v>27119</v>
      </c>
      <c r="U1048" s="481">
        <v>5</v>
      </c>
      <c r="V1048" s="481">
        <v>0</v>
      </c>
      <c r="W1048" s="481">
        <v>15</v>
      </c>
      <c r="X1048" s="481"/>
      <c r="Y1048" s="481"/>
      <c r="Z1048" s="570">
        <v>6000</v>
      </c>
      <c r="AA1048" s="481"/>
      <c r="AB1048" s="571"/>
      <c r="AC1048" s="571"/>
      <c r="AD1048" s="481"/>
      <c r="AE1048" s="481"/>
      <c r="AF1048" s="481" t="s">
        <v>4332</v>
      </c>
      <c r="AG1048" s="481" t="s">
        <v>1210</v>
      </c>
      <c r="AH1048" s="481" t="s">
        <v>1465</v>
      </c>
      <c r="AI1048" s="481" t="s">
        <v>1211</v>
      </c>
      <c r="AJ1048" s="481" t="s">
        <v>1212</v>
      </c>
      <c r="AK1048" s="481">
        <v>0</v>
      </c>
      <c r="AL1048" s="568"/>
      <c r="AM1048" s="484" t="s">
        <v>1213</v>
      </c>
      <c r="AN1048" s="484" t="s">
        <v>5947</v>
      </c>
      <c r="AO1048" s="481"/>
      <c r="AP1048" s="484">
        <v>1</v>
      </c>
      <c r="AQ1048" s="484">
        <v>0</v>
      </c>
      <c r="AR1048" s="484">
        <v>0</v>
      </c>
      <c r="AS1048" s="484">
        <v>0</v>
      </c>
      <c r="AT1048" s="484">
        <v>0</v>
      </c>
      <c r="AU1048" s="226">
        <v>0</v>
      </c>
      <c r="AV1048" s="17">
        <f t="shared" si="154"/>
        <v>0</v>
      </c>
      <c r="AW1048" s="556" t="str">
        <f>"{s_taskGather,{"&amp;L1048&amp;","&amp;N1048&amp;","&amp;T1048&amp;","&amp;U1048&amp;",0,0}}"</f>
        <v>{s_taskGather,{60049,60049,27119,5,0,0}}</v>
      </c>
    </row>
    <row r="1049" spans="1:49" s="541" customFormat="1" ht="96.75" thickBot="1" x14ac:dyDescent="0.2">
      <c r="A1049" s="508">
        <v>11951</v>
      </c>
      <c r="B1049" s="484"/>
      <c r="C1049" s="484" t="s">
        <v>2309</v>
      </c>
      <c r="D1049" s="574">
        <v>2</v>
      </c>
      <c r="E1049" s="574">
        <v>0</v>
      </c>
      <c r="F1049" s="484">
        <v>3</v>
      </c>
      <c r="G1049" s="120">
        <v>200</v>
      </c>
      <c r="H1049" s="484">
        <v>200</v>
      </c>
      <c r="I1049" s="17">
        <v>0</v>
      </c>
      <c r="J1049" s="572">
        <v>4141</v>
      </c>
      <c r="K1049" s="484">
        <v>0</v>
      </c>
      <c r="L1049" s="484">
        <v>60049</v>
      </c>
      <c r="M1049" s="484" t="s">
        <v>1174</v>
      </c>
      <c r="N1049" s="484">
        <v>60049</v>
      </c>
      <c r="O1049" s="484" t="s">
        <v>5197</v>
      </c>
      <c r="P1049" s="484"/>
      <c r="Q1049" s="550"/>
      <c r="R1049" s="550"/>
      <c r="S1049" s="550"/>
      <c r="T1049" s="550">
        <v>27113</v>
      </c>
      <c r="U1049" s="481">
        <v>5</v>
      </c>
      <c r="V1049" s="484">
        <v>0</v>
      </c>
      <c r="W1049" s="484">
        <v>15</v>
      </c>
      <c r="X1049" s="484"/>
      <c r="Y1049" s="484"/>
      <c r="Z1049" s="570">
        <v>6000</v>
      </c>
      <c r="AA1049" s="484"/>
      <c r="AB1049" s="551"/>
      <c r="AC1049" s="551"/>
      <c r="AD1049" s="484"/>
      <c r="AE1049" s="484"/>
      <c r="AF1049" s="481" t="s">
        <v>4333</v>
      </c>
      <c r="AG1049" s="481" t="s">
        <v>1188</v>
      </c>
      <c r="AH1049" s="481" t="s">
        <v>1464</v>
      </c>
      <c r="AI1049" s="481" t="s">
        <v>1193</v>
      </c>
      <c r="AJ1049" s="484" t="s">
        <v>1185</v>
      </c>
      <c r="AK1049" s="484">
        <v>0</v>
      </c>
      <c r="AL1049" s="572"/>
      <c r="AM1049" s="484" t="s">
        <v>1336</v>
      </c>
      <c r="AN1049" s="484" t="s">
        <v>5948</v>
      </c>
      <c r="AO1049" s="484"/>
      <c r="AP1049" s="484">
        <v>1</v>
      </c>
      <c r="AQ1049" s="484">
        <v>0</v>
      </c>
      <c r="AR1049" s="484">
        <v>0</v>
      </c>
      <c r="AS1049" s="484">
        <v>0</v>
      </c>
      <c r="AT1049" s="484">
        <v>0</v>
      </c>
      <c r="AU1049" s="226">
        <v>0</v>
      </c>
      <c r="AV1049" s="17">
        <f t="shared" si="154"/>
        <v>0</v>
      </c>
      <c r="AW1049" s="556" t="str">
        <f>"{s_taskGather,{"&amp;L1049&amp;","&amp;N1049&amp;","&amp;T1049&amp;","&amp;U1049&amp;",1,0}}"</f>
        <v>{s_taskGather,{60049,60049,27113,5,1,0}}</v>
      </c>
    </row>
    <row r="1050" spans="1:49" s="548" customFormat="1" ht="96.75" thickBot="1" x14ac:dyDescent="0.2">
      <c r="A1050" s="575">
        <v>11952</v>
      </c>
      <c r="B1050" s="489"/>
      <c r="C1050" s="489" t="s">
        <v>2310</v>
      </c>
      <c r="D1050" s="576">
        <v>2</v>
      </c>
      <c r="E1050" s="576">
        <v>0</v>
      </c>
      <c r="F1050" s="489">
        <v>3</v>
      </c>
      <c r="G1050" s="120">
        <v>200</v>
      </c>
      <c r="H1050" s="489">
        <v>200</v>
      </c>
      <c r="I1050" s="17">
        <v>0</v>
      </c>
      <c r="J1050" s="577">
        <v>11951</v>
      </c>
      <c r="K1050" s="489">
        <v>0</v>
      </c>
      <c r="L1050" s="489">
        <v>60049</v>
      </c>
      <c r="M1050" s="489" t="s">
        <v>1174</v>
      </c>
      <c r="N1050" s="489">
        <v>60049</v>
      </c>
      <c r="O1050" s="489" t="s">
        <v>5197</v>
      </c>
      <c r="P1050" s="489"/>
      <c r="Q1050" s="578"/>
      <c r="R1050" s="578"/>
      <c r="S1050" s="578"/>
      <c r="T1050" s="578">
        <v>27113</v>
      </c>
      <c r="U1050" s="481">
        <v>5</v>
      </c>
      <c r="V1050" s="489">
        <v>0</v>
      </c>
      <c r="W1050" s="489">
        <v>15</v>
      </c>
      <c r="X1050" s="489"/>
      <c r="Y1050" s="489"/>
      <c r="Z1050" s="570">
        <v>6000</v>
      </c>
      <c r="AA1050" s="489"/>
      <c r="AB1050" s="579"/>
      <c r="AC1050" s="579"/>
      <c r="AD1050" s="489"/>
      <c r="AE1050" s="489"/>
      <c r="AF1050" s="481" t="s">
        <v>4334</v>
      </c>
      <c r="AG1050" s="481" t="s">
        <v>1189</v>
      </c>
      <c r="AH1050" s="481" t="s">
        <v>1192</v>
      </c>
      <c r="AI1050" s="481" t="s">
        <v>1186</v>
      </c>
      <c r="AJ1050" s="489" t="s">
        <v>1187</v>
      </c>
      <c r="AK1050" s="489">
        <v>0</v>
      </c>
      <c r="AL1050" s="577"/>
      <c r="AM1050" s="484" t="s">
        <v>1337</v>
      </c>
      <c r="AN1050" s="484" t="s">
        <v>5949</v>
      </c>
      <c r="AO1050" s="489"/>
      <c r="AP1050" s="489">
        <v>1</v>
      </c>
      <c r="AQ1050" s="489">
        <v>0</v>
      </c>
      <c r="AR1050" s="489">
        <v>0</v>
      </c>
      <c r="AS1050" s="489">
        <v>0</v>
      </c>
      <c r="AT1050" s="489">
        <v>0</v>
      </c>
      <c r="AU1050" s="226">
        <v>0</v>
      </c>
      <c r="AV1050" s="17">
        <f t="shared" si="154"/>
        <v>0</v>
      </c>
      <c r="AW1050" s="556" t="str">
        <f>"{s_taskGather,{"&amp;L1050&amp;","&amp;N1050&amp;","&amp;T1050&amp;","&amp;U1050&amp;",2,0}}"</f>
        <v>{s_taskGather,{60049,60049,27113,5,2,0}}</v>
      </c>
    </row>
    <row r="1051" spans="1:49" s="541" customFormat="1" ht="96.75" thickBot="1" x14ac:dyDescent="0.2">
      <c r="A1051" s="508">
        <v>14000</v>
      </c>
      <c r="B1051" s="509"/>
      <c r="C1051" s="509" t="s">
        <v>2311</v>
      </c>
      <c r="D1051" s="435">
        <v>2</v>
      </c>
      <c r="E1051" s="435">
        <v>0</v>
      </c>
      <c r="F1051" s="509">
        <v>103</v>
      </c>
      <c r="G1051" s="120">
        <v>200</v>
      </c>
      <c r="H1051" s="509">
        <v>200</v>
      </c>
      <c r="I1051" s="17">
        <v>0</v>
      </c>
      <c r="J1051" s="510">
        <v>0</v>
      </c>
      <c r="K1051" s="509">
        <v>0</v>
      </c>
      <c r="L1051" s="580">
        <v>60049</v>
      </c>
      <c r="M1051" s="580" t="s">
        <v>1174</v>
      </c>
      <c r="N1051" s="580">
        <v>60551</v>
      </c>
      <c r="O1051" s="580" t="s">
        <v>5198</v>
      </c>
      <c r="P1051" s="484"/>
      <c r="Q1051" s="511"/>
      <c r="R1051" s="511"/>
      <c r="S1051" s="511"/>
      <c r="T1051" s="511"/>
      <c r="U1051" s="509">
        <v>1</v>
      </c>
      <c r="V1051" s="509">
        <v>1</v>
      </c>
      <c r="W1051" s="509">
        <v>20</v>
      </c>
      <c r="X1051" s="509"/>
      <c r="Y1051" s="509"/>
      <c r="Z1051" s="512">
        <v>4000</v>
      </c>
      <c r="AA1051" s="509">
        <v>10</v>
      </c>
      <c r="AB1051" s="513"/>
      <c r="AC1051" s="513"/>
      <c r="AD1051" s="509"/>
      <c r="AE1051" s="509"/>
      <c r="AF1051" s="509" t="s">
        <v>1240</v>
      </c>
      <c r="AG1051" s="509" t="s">
        <v>1870</v>
      </c>
      <c r="AH1051" s="509" t="s">
        <v>1195</v>
      </c>
      <c r="AI1051" s="509" t="s">
        <v>1196</v>
      </c>
      <c r="AJ1051" s="509" t="s">
        <v>1197</v>
      </c>
      <c r="AK1051" s="509"/>
      <c r="AL1051" s="510">
        <v>0</v>
      </c>
      <c r="AM1051" s="509" t="s">
        <v>1338</v>
      </c>
      <c r="AN1051" s="509" t="s">
        <v>5950</v>
      </c>
      <c r="AO1051" s="509"/>
      <c r="AP1051" s="484">
        <v>1</v>
      </c>
      <c r="AQ1051" s="484">
        <v>0</v>
      </c>
      <c r="AR1051" s="484">
        <v>0</v>
      </c>
      <c r="AS1051" s="484">
        <v>0</v>
      </c>
      <c r="AT1051" s="484">
        <v>0</v>
      </c>
      <c r="AU1051" s="226">
        <v>0</v>
      </c>
      <c r="AV1051" s="17">
        <f t="shared" si="154"/>
        <v>0</v>
      </c>
      <c r="AW1051" s="50" t="str">
        <f t="shared" ref="AW1051:AW1056" si="155">"{s_taskTalk,{"&amp;L1051&amp;","&amp;N1051&amp;"}}"</f>
        <v>{s_taskTalk,{60049,60551}}</v>
      </c>
    </row>
    <row r="1052" spans="1:49" s="541" customFormat="1" ht="108.75" thickBot="1" x14ac:dyDescent="0.2">
      <c r="A1052" s="508">
        <v>14001</v>
      </c>
      <c r="B1052" s="509"/>
      <c r="C1052" s="509" t="s">
        <v>2312</v>
      </c>
      <c r="D1052" s="435">
        <v>2</v>
      </c>
      <c r="E1052" s="435">
        <v>0</v>
      </c>
      <c r="F1052" s="509">
        <v>103</v>
      </c>
      <c r="G1052" s="120">
        <v>200</v>
      </c>
      <c r="H1052" s="509">
        <v>200</v>
      </c>
      <c r="I1052" s="17">
        <v>0</v>
      </c>
      <c r="J1052" s="510">
        <v>14000</v>
      </c>
      <c r="K1052" s="509">
        <v>0</v>
      </c>
      <c r="L1052" s="580">
        <v>60551</v>
      </c>
      <c r="M1052" s="580" t="s">
        <v>1194</v>
      </c>
      <c r="N1052" s="580">
        <v>60551</v>
      </c>
      <c r="O1052" s="580" t="s">
        <v>5198</v>
      </c>
      <c r="P1052" s="484"/>
      <c r="Q1052" s="511"/>
      <c r="R1052" s="511"/>
      <c r="S1052" s="511"/>
      <c r="T1052" s="511"/>
      <c r="U1052" s="509">
        <v>4</v>
      </c>
      <c r="V1052" s="509">
        <v>0</v>
      </c>
      <c r="W1052" s="509">
        <v>20</v>
      </c>
      <c r="X1052" s="509"/>
      <c r="Y1052" s="509"/>
      <c r="Z1052" s="512">
        <v>4000</v>
      </c>
      <c r="AA1052" s="509">
        <v>10</v>
      </c>
      <c r="AB1052" s="513"/>
      <c r="AC1052" s="513"/>
      <c r="AD1052" s="509"/>
      <c r="AE1052" s="509"/>
      <c r="AF1052" s="509" t="s">
        <v>3961</v>
      </c>
      <c r="AG1052" s="509" t="s">
        <v>1198</v>
      </c>
      <c r="AH1052" s="509" t="s">
        <v>1199</v>
      </c>
      <c r="AI1052" s="509" t="s">
        <v>1200</v>
      </c>
      <c r="AJ1052" s="509" t="s">
        <v>1197</v>
      </c>
      <c r="AK1052" s="509"/>
      <c r="AL1052" s="510">
        <v>0</v>
      </c>
      <c r="AM1052" s="509" t="s">
        <v>1205</v>
      </c>
      <c r="AN1052" s="509" t="s">
        <v>5951</v>
      </c>
      <c r="AO1052" s="509"/>
      <c r="AP1052" s="484">
        <v>1</v>
      </c>
      <c r="AQ1052" s="484">
        <v>0</v>
      </c>
      <c r="AR1052" s="484">
        <v>0</v>
      </c>
      <c r="AS1052" s="484">
        <v>0</v>
      </c>
      <c r="AT1052" s="484">
        <v>0</v>
      </c>
      <c r="AU1052" s="226">
        <v>0</v>
      </c>
      <c r="AV1052" s="17">
        <f t="shared" si="154"/>
        <v>0</v>
      </c>
      <c r="AW1052" s="50" t="str">
        <f t="shared" si="155"/>
        <v>{s_taskTalk,{60551,60551}}</v>
      </c>
    </row>
    <row r="1053" spans="1:49" s="50" customFormat="1" ht="60.75" thickBot="1" x14ac:dyDescent="0.2">
      <c r="A1053" s="508">
        <v>14002</v>
      </c>
      <c r="B1053" s="509"/>
      <c r="C1053" s="509" t="s">
        <v>2313</v>
      </c>
      <c r="D1053" s="435">
        <v>2</v>
      </c>
      <c r="E1053" s="435">
        <v>0</v>
      </c>
      <c r="F1053" s="509">
        <v>103</v>
      </c>
      <c r="G1053" s="120">
        <v>200</v>
      </c>
      <c r="H1053" s="509">
        <v>200</v>
      </c>
      <c r="I1053" s="17">
        <v>0</v>
      </c>
      <c r="J1053" s="510">
        <v>14001</v>
      </c>
      <c r="K1053" s="509">
        <v>0</v>
      </c>
      <c r="L1053" s="580">
        <v>60551</v>
      </c>
      <c r="M1053" s="580" t="s">
        <v>1194</v>
      </c>
      <c r="N1053" s="580">
        <v>60049</v>
      </c>
      <c r="O1053" s="580" t="s">
        <v>5197</v>
      </c>
      <c r="P1053" s="484"/>
      <c r="Q1053" s="511"/>
      <c r="R1053" s="511"/>
      <c r="S1053" s="511"/>
      <c r="T1053" s="511"/>
      <c r="U1053" s="509">
        <v>1</v>
      </c>
      <c r="V1053" s="509">
        <v>1</v>
      </c>
      <c r="W1053" s="509">
        <v>20</v>
      </c>
      <c r="X1053" s="509"/>
      <c r="Y1053" s="509"/>
      <c r="Z1053" s="512">
        <v>4000</v>
      </c>
      <c r="AA1053" s="509">
        <v>10</v>
      </c>
      <c r="AB1053" s="513"/>
      <c r="AC1053" s="513"/>
      <c r="AD1053" s="509"/>
      <c r="AE1053" s="509"/>
      <c r="AF1053" s="509" t="s">
        <v>4335</v>
      </c>
      <c r="AG1053" s="509" t="s">
        <v>1201</v>
      </c>
      <c r="AH1053" s="509" t="s">
        <v>1202</v>
      </c>
      <c r="AI1053" s="509" t="s">
        <v>1204</v>
      </c>
      <c r="AJ1053" s="509" t="s">
        <v>1203</v>
      </c>
      <c r="AK1053" s="509"/>
      <c r="AL1053" s="510">
        <v>0</v>
      </c>
      <c r="AM1053" s="509" t="s">
        <v>1339</v>
      </c>
      <c r="AN1053" s="509" t="s">
        <v>5952</v>
      </c>
      <c r="AO1053" s="509"/>
      <c r="AP1053" s="50">
        <v>1</v>
      </c>
      <c r="AQ1053" s="50">
        <v>0</v>
      </c>
      <c r="AR1053" s="50">
        <v>0</v>
      </c>
      <c r="AS1053" s="50">
        <v>0</v>
      </c>
      <c r="AU1053" s="226">
        <v>0</v>
      </c>
      <c r="AV1053" s="17">
        <f t="shared" si="154"/>
        <v>0</v>
      </c>
      <c r="AW1053" s="50" t="str">
        <f t="shared" si="155"/>
        <v>{s_taskTalk,{60551,60049}}</v>
      </c>
    </row>
    <row r="1054" spans="1:49" s="50" customFormat="1" ht="96" x14ac:dyDescent="0.15">
      <c r="A1054" s="508">
        <v>12000</v>
      </c>
      <c r="B1054" s="484"/>
      <c r="C1054" s="484" t="s">
        <v>4768</v>
      </c>
      <c r="D1054" s="435">
        <v>2</v>
      </c>
      <c r="E1054" s="435">
        <v>0</v>
      </c>
      <c r="F1054" s="484">
        <v>3</v>
      </c>
      <c r="G1054" s="120">
        <v>200</v>
      </c>
      <c r="H1054" s="484">
        <v>200</v>
      </c>
      <c r="I1054" s="17">
        <v>0</v>
      </c>
      <c r="J1054" s="572">
        <v>3981</v>
      </c>
      <c r="K1054" s="484">
        <v>0</v>
      </c>
      <c r="L1054" s="484">
        <v>122</v>
      </c>
      <c r="M1054" s="484" t="s">
        <v>1267</v>
      </c>
      <c r="N1054" s="484">
        <v>45110</v>
      </c>
      <c r="O1054" s="484" t="s">
        <v>1267</v>
      </c>
      <c r="P1054" s="484"/>
      <c r="Q1054" s="550"/>
      <c r="R1054" s="550"/>
      <c r="S1054" s="550"/>
      <c r="T1054" s="550"/>
      <c r="U1054" s="484">
        <v>1</v>
      </c>
      <c r="V1054" s="484">
        <v>1</v>
      </c>
      <c r="W1054" s="484">
        <v>10</v>
      </c>
      <c r="X1054" s="484"/>
      <c r="Y1054" s="484"/>
      <c r="Z1054" s="278">
        <v>3000</v>
      </c>
      <c r="AA1054" s="484"/>
      <c r="AB1054" s="551"/>
      <c r="AC1054" s="551"/>
      <c r="AD1054" s="484"/>
      <c r="AE1054" s="484"/>
      <c r="AF1054" s="484" t="s">
        <v>4769</v>
      </c>
      <c r="AG1054" s="484" t="s">
        <v>4620</v>
      </c>
      <c r="AH1054" s="484" t="s">
        <v>4469</v>
      </c>
      <c r="AI1054" s="484" t="s">
        <v>4621</v>
      </c>
      <c r="AJ1054" s="484" t="s">
        <v>6452</v>
      </c>
      <c r="AK1054" s="484">
        <v>0</v>
      </c>
      <c r="AL1054" s="572"/>
      <c r="AM1054" s="484" t="s">
        <v>1340</v>
      </c>
      <c r="AN1054" s="484" t="s">
        <v>5953</v>
      </c>
      <c r="AO1054" s="484"/>
      <c r="AP1054" s="50">
        <v>1</v>
      </c>
      <c r="AQ1054" s="50">
        <v>0</v>
      </c>
      <c r="AR1054" s="50">
        <v>0</v>
      </c>
      <c r="AS1054" s="50">
        <v>0</v>
      </c>
      <c r="AU1054" s="226">
        <v>0</v>
      </c>
      <c r="AV1054" s="17">
        <f t="shared" si="154"/>
        <v>0</v>
      </c>
      <c r="AW1054" s="50" t="str">
        <f t="shared" si="155"/>
        <v>{s_taskTalk,{122,45110}}</v>
      </c>
    </row>
    <row r="1055" spans="1:49" s="99" customFormat="1" ht="96" x14ac:dyDescent="0.15">
      <c r="A1055" s="581">
        <v>12010</v>
      </c>
      <c r="B1055" s="582"/>
      <c r="C1055" s="582" t="s">
        <v>4770</v>
      </c>
      <c r="D1055" s="99">
        <v>2</v>
      </c>
      <c r="E1055" s="99">
        <v>0</v>
      </c>
      <c r="F1055" s="582">
        <v>101</v>
      </c>
      <c r="G1055" s="120">
        <v>200</v>
      </c>
      <c r="H1055" s="582">
        <v>200</v>
      </c>
      <c r="I1055" s="17">
        <v>0</v>
      </c>
      <c r="J1055" s="583">
        <v>12000</v>
      </c>
      <c r="K1055" s="582">
        <v>0</v>
      </c>
      <c r="L1055" s="582">
        <v>45110</v>
      </c>
      <c r="M1055" s="582" t="s">
        <v>1267</v>
      </c>
      <c r="N1055" s="582">
        <v>45110</v>
      </c>
      <c r="O1055" s="582" t="s">
        <v>1267</v>
      </c>
      <c r="P1055" s="582"/>
      <c r="Q1055" s="584"/>
      <c r="R1055" s="584"/>
      <c r="S1055" s="584"/>
      <c r="T1055" s="584"/>
      <c r="U1055" s="582">
        <v>7</v>
      </c>
      <c r="V1055" s="582">
        <v>0</v>
      </c>
      <c r="W1055" s="582">
        <v>10</v>
      </c>
      <c r="X1055" s="582"/>
      <c r="Y1055" s="582"/>
      <c r="Z1055" s="153">
        <v>13000</v>
      </c>
      <c r="AA1055" s="582"/>
      <c r="AB1055" s="585"/>
      <c r="AC1055" s="585"/>
      <c r="AD1055" s="582" t="s">
        <v>1841</v>
      </c>
      <c r="AE1055" s="582"/>
      <c r="AF1055" s="582" t="s">
        <v>4771</v>
      </c>
      <c r="AG1055" s="582" t="s">
        <v>4772</v>
      </c>
      <c r="AH1055" s="582" t="s">
        <v>4470</v>
      </c>
      <c r="AI1055" s="582" t="s">
        <v>4471</v>
      </c>
      <c r="AJ1055" s="582" t="s">
        <v>6453</v>
      </c>
      <c r="AK1055" s="582">
        <v>0</v>
      </c>
      <c r="AL1055" s="583"/>
      <c r="AM1055" s="582"/>
      <c r="AN1055" s="582"/>
      <c r="AO1055" s="582"/>
      <c r="AP1055" s="99">
        <v>1</v>
      </c>
      <c r="AQ1055" s="99">
        <v>0</v>
      </c>
      <c r="AR1055" s="99">
        <v>0</v>
      </c>
      <c r="AS1055" s="99">
        <v>0</v>
      </c>
      <c r="AU1055" s="226">
        <v>0</v>
      </c>
      <c r="AV1055" s="17">
        <f t="shared" si="154"/>
        <v>0</v>
      </c>
      <c r="AW1055" s="99" t="str">
        <f t="shared" si="155"/>
        <v>{s_taskTalk,{45110,45110}}</v>
      </c>
    </row>
    <row r="1056" spans="1:49" s="205" customFormat="1" ht="96.75" thickBot="1" x14ac:dyDescent="0.2">
      <c r="A1056" s="508">
        <v>12020</v>
      </c>
      <c r="B1056" s="509"/>
      <c r="C1056" s="509" t="s">
        <v>4452</v>
      </c>
      <c r="D1056" s="435">
        <v>2</v>
      </c>
      <c r="E1056" s="435">
        <v>0</v>
      </c>
      <c r="F1056" s="509">
        <v>132</v>
      </c>
      <c r="G1056" s="120">
        <v>200</v>
      </c>
      <c r="H1056" s="509">
        <v>200</v>
      </c>
      <c r="I1056" s="17">
        <v>0</v>
      </c>
      <c r="J1056" s="510">
        <v>0</v>
      </c>
      <c r="K1056" s="509">
        <v>0</v>
      </c>
      <c r="L1056" s="580">
        <v>60000</v>
      </c>
      <c r="M1056" s="580" t="s">
        <v>1239</v>
      </c>
      <c r="N1056" s="580">
        <v>60552</v>
      </c>
      <c r="O1056" s="580" t="s">
        <v>5199</v>
      </c>
      <c r="P1056" s="484"/>
      <c r="Q1056" s="511"/>
      <c r="R1056" s="511"/>
      <c r="S1056" s="511"/>
      <c r="T1056" s="511"/>
      <c r="U1056" s="509">
        <v>1</v>
      </c>
      <c r="V1056" s="509">
        <v>1</v>
      </c>
      <c r="W1056" s="509">
        <v>15</v>
      </c>
      <c r="X1056" s="509"/>
      <c r="Y1056" s="509"/>
      <c r="Z1056" s="512">
        <v>4300</v>
      </c>
      <c r="AA1056" s="509"/>
      <c r="AB1056" s="513"/>
      <c r="AC1056" s="513"/>
      <c r="AD1056" s="509"/>
      <c r="AE1056" s="509"/>
      <c r="AF1056" s="509" t="s">
        <v>4454</v>
      </c>
      <c r="AG1056" s="509" t="s">
        <v>4455</v>
      </c>
      <c r="AH1056" s="509" t="s">
        <v>4456</v>
      </c>
      <c r="AI1056" s="509" t="s">
        <v>4457</v>
      </c>
      <c r="AJ1056" s="509" t="s">
        <v>4458</v>
      </c>
      <c r="AK1056" s="509"/>
      <c r="AL1056" s="510">
        <v>0</v>
      </c>
      <c r="AM1056" s="509" t="s">
        <v>1341</v>
      </c>
      <c r="AN1056" s="509" t="s">
        <v>5954</v>
      </c>
      <c r="AO1056" s="509"/>
      <c r="AP1056" s="205">
        <v>1</v>
      </c>
      <c r="AQ1056" s="205">
        <v>0</v>
      </c>
      <c r="AR1056" s="205">
        <v>0</v>
      </c>
      <c r="AS1056" s="205">
        <v>0</v>
      </c>
      <c r="AU1056" s="226">
        <v>0</v>
      </c>
      <c r="AV1056" s="17">
        <f t="shared" si="154"/>
        <v>0</v>
      </c>
      <c r="AW1056" s="50" t="str">
        <f t="shared" si="155"/>
        <v>{s_taskTalk,{60000,60552}}</v>
      </c>
    </row>
    <row r="1057" spans="1:49" s="226" customFormat="1" ht="84.75" thickBot="1" x14ac:dyDescent="0.2">
      <c r="A1057" s="508">
        <v>12022</v>
      </c>
      <c r="B1057" s="509"/>
      <c r="C1057" s="509" t="s">
        <v>2314</v>
      </c>
      <c r="D1057" s="435">
        <v>2</v>
      </c>
      <c r="E1057" s="435">
        <v>0</v>
      </c>
      <c r="F1057" s="509">
        <v>132</v>
      </c>
      <c r="G1057" s="120">
        <v>200</v>
      </c>
      <c r="H1057" s="509">
        <v>200</v>
      </c>
      <c r="I1057" s="17">
        <v>0</v>
      </c>
      <c r="J1057" s="510">
        <v>12020</v>
      </c>
      <c r="K1057" s="509">
        <v>0</v>
      </c>
      <c r="L1057" s="580">
        <v>60552</v>
      </c>
      <c r="M1057" s="580" t="s">
        <v>4453</v>
      </c>
      <c r="N1057" s="580">
        <v>60552</v>
      </c>
      <c r="O1057" s="580" t="s">
        <v>4453</v>
      </c>
      <c r="P1057" s="484"/>
      <c r="Q1057" s="511"/>
      <c r="R1057" s="511"/>
      <c r="S1057" s="511">
        <v>16008</v>
      </c>
      <c r="T1057" s="511"/>
      <c r="U1057" s="509">
        <v>50</v>
      </c>
      <c r="V1057" s="509">
        <v>0</v>
      </c>
      <c r="W1057" s="509">
        <v>15</v>
      </c>
      <c r="X1057" s="509"/>
      <c r="Y1057" s="509"/>
      <c r="Z1057" s="512">
        <v>25000</v>
      </c>
      <c r="AA1057" s="509"/>
      <c r="AB1057" s="513"/>
      <c r="AC1057" s="513"/>
      <c r="AD1057" s="509"/>
      <c r="AE1057" s="509"/>
      <c r="AF1057" s="509" t="s">
        <v>4459</v>
      </c>
      <c r="AG1057" s="509" t="s">
        <v>1370</v>
      </c>
      <c r="AH1057" s="509" t="s">
        <v>1371</v>
      </c>
      <c r="AI1057" s="509" t="s">
        <v>1372</v>
      </c>
      <c r="AJ1057" s="509" t="s">
        <v>1373</v>
      </c>
      <c r="AK1057" s="509"/>
      <c r="AL1057" s="510">
        <v>0</v>
      </c>
      <c r="AM1057" s="509" t="s">
        <v>1374</v>
      </c>
      <c r="AN1057" s="509" t="s">
        <v>5955</v>
      </c>
      <c r="AO1057" s="582"/>
      <c r="AP1057" s="226">
        <v>1</v>
      </c>
      <c r="AQ1057" s="226">
        <v>0</v>
      </c>
      <c r="AR1057" s="226">
        <v>0</v>
      </c>
      <c r="AS1057" s="226">
        <v>0</v>
      </c>
      <c r="AT1057" s="226">
        <v>0</v>
      </c>
      <c r="AU1057" s="226">
        <v>0</v>
      </c>
      <c r="AV1057" s="17">
        <f t="shared" si="154"/>
        <v>0</v>
      </c>
      <c r="AW1057" s="242" t="str">
        <f>"{s_taskKillNpc, {"&amp;L1057&amp;","&amp;N1057&amp;","&amp;S1057&amp;","&amp;U1057&amp;"}}"</f>
        <v>{s_taskKillNpc, {60552,60552,16008,50}}</v>
      </c>
    </row>
    <row r="1058" spans="1:49" s="226" customFormat="1" ht="84.75" thickBot="1" x14ac:dyDescent="0.2">
      <c r="A1058" s="508">
        <v>12021</v>
      </c>
      <c r="B1058" s="509"/>
      <c r="C1058" s="509" t="s">
        <v>2315</v>
      </c>
      <c r="D1058" s="435">
        <v>2</v>
      </c>
      <c r="E1058" s="435">
        <v>0</v>
      </c>
      <c r="F1058" s="509">
        <v>132</v>
      </c>
      <c r="G1058" s="120">
        <v>200</v>
      </c>
      <c r="H1058" s="509">
        <v>200</v>
      </c>
      <c r="I1058" s="17">
        <v>0</v>
      </c>
      <c r="J1058" s="510">
        <v>12022</v>
      </c>
      <c r="K1058" s="509">
        <v>0</v>
      </c>
      <c r="L1058" s="580">
        <v>60552</v>
      </c>
      <c r="M1058" s="580" t="s">
        <v>4453</v>
      </c>
      <c r="N1058" s="580">
        <v>60000</v>
      </c>
      <c r="O1058" s="580" t="s">
        <v>1239</v>
      </c>
      <c r="P1058" s="484"/>
      <c r="Q1058" s="511"/>
      <c r="R1058" s="511"/>
      <c r="S1058" s="511"/>
      <c r="T1058" s="511"/>
      <c r="U1058" s="509">
        <v>1</v>
      </c>
      <c r="V1058" s="509">
        <v>1</v>
      </c>
      <c r="W1058" s="509">
        <v>15</v>
      </c>
      <c r="X1058" s="509"/>
      <c r="Y1058" s="509"/>
      <c r="Z1058" s="512">
        <v>4300</v>
      </c>
      <c r="AA1058" s="509"/>
      <c r="AB1058" s="513"/>
      <c r="AC1058" s="513"/>
      <c r="AD1058" s="509"/>
      <c r="AE1058" s="509"/>
      <c r="AF1058" s="509" t="s">
        <v>4460</v>
      </c>
      <c r="AG1058" s="509" t="s">
        <v>4461</v>
      </c>
      <c r="AH1058" s="509" t="s">
        <v>1241</v>
      </c>
      <c r="AI1058" s="509" t="s">
        <v>4569</v>
      </c>
      <c r="AJ1058" s="509" t="s">
        <v>4570</v>
      </c>
      <c r="AK1058" s="509"/>
      <c r="AL1058" s="510">
        <v>0</v>
      </c>
      <c r="AM1058" s="509" t="s">
        <v>1342</v>
      </c>
      <c r="AN1058" s="509" t="s">
        <v>5956</v>
      </c>
      <c r="AO1058" s="582"/>
      <c r="AP1058" s="226">
        <v>1</v>
      </c>
      <c r="AQ1058" s="226">
        <v>0</v>
      </c>
      <c r="AR1058" s="226">
        <v>0</v>
      </c>
      <c r="AS1058" s="226">
        <v>0</v>
      </c>
      <c r="AT1058" s="226">
        <v>0</v>
      </c>
      <c r="AU1058" s="226">
        <v>0</v>
      </c>
      <c r="AV1058" s="17">
        <f t="shared" si="154"/>
        <v>0</v>
      </c>
      <c r="AW1058" s="50" t="str">
        <f>"{s_taskTalk,{"&amp;L1058&amp;","&amp;N1058&amp;"}}"</f>
        <v>{s_taskTalk,{60552,60000}}</v>
      </c>
    </row>
    <row r="1059" spans="1:49" s="226" customFormat="1" ht="132.75" thickBot="1" x14ac:dyDescent="0.2">
      <c r="A1059" s="575">
        <v>12200</v>
      </c>
      <c r="B1059" s="489"/>
      <c r="C1059" s="489" t="s">
        <v>2316</v>
      </c>
      <c r="D1059" s="435">
        <v>2</v>
      </c>
      <c r="E1059" s="435">
        <v>0</v>
      </c>
      <c r="F1059" s="489">
        <v>4</v>
      </c>
      <c r="G1059" s="120">
        <v>200</v>
      </c>
      <c r="H1059" s="489">
        <v>200</v>
      </c>
      <c r="I1059" s="17">
        <v>0</v>
      </c>
      <c r="J1059" s="577">
        <v>4331</v>
      </c>
      <c r="K1059" s="489">
        <v>0</v>
      </c>
      <c r="L1059" s="489">
        <v>60164</v>
      </c>
      <c r="M1059" s="489" t="s">
        <v>640</v>
      </c>
      <c r="N1059" s="489">
        <v>60164</v>
      </c>
      <c r="O1059" s="489" t="s">
        <v>640</v>
      </c>
      <c r="P1059" s="489"/>
      <c r="Q1059" s="578"/>
      <c r="R1059" s="578"/>
      <c r="S1059" s="578"/>
      <c r="T1059" s="578"/>
      <c r="U1059" s="489">
        <v>1</v>
      </c>
      <c r="V1059" s="489">
        <v>1</v>
      </c>
      <c r="W1059" s="489">
        <v>15</v>
      </c>
      <c r="X1059" s="489"/>
      <c r="Y1059" s="489"/>
      <c r="Z1059" s="586">
        <v>3000</v>
      </c>
      <c r="AA1059" s="489"/>
      <c r="AB1059" s="579"/>
      <c r="AC1059" s="579"/>
      <c r="AD1059" s="489"/>
      <c r="AE1059" s="489"/>
      <c r="AF1059" s="489" t="s">
        <v>4809</v>
      </c>
      <c r="AG1059" s="489" t="s">
        <v>4810</v>
      </c>
      <c r="AH1059" s="489" t="s">
        <v>562</v>
      </c>
      <c r="AI1059" s="489" t="s">
        <v>4811</v>
      </c>
      <c r="AJ1059" s="489" t="s">
        <v>6454</v>
      </c>
      <c r="AK1059" s="489"/>
      <c r="AL1059" s="577">
        <v>0</v>
      </c>
      <c r="AM1059" s="489" t="s">
        <v>4010</v>
      </c>
      <c r="AN1059" s="489" t="s">
        <v>5957</v>
      </c>
      <c r="AO1059" s="587"/>
      <c r="AP1059" s="226">
        <v>1</v>
      </c>
      <c r="AQ1059" s="226">
        <v>0</v>
      </c>
      <c r="AR1059" s="226">
        <v>0</v>
      </c>
      <c r="AS1059" s="226">
        <v>0</v>
      </c>
      <c r="AT1059" s="226">
        <v>0</v>
      </c>
      <c r="AU1059" s="226">
        <v>0</v>
      </c>
      <c r="AV1059" s="17">
        <f t="shared" si="154"/>
        <v>0</v>
      </c>
      <c r="AW1059" s="50" t="str">
        <f>"{s_taskTalk,{"&amp;L1059&amp;","&amp;N1059&amp;"}}"</f>
        <v>{s_taskTalk,{60164,60164}}</v>
      </c>
    </row>
    <row r="1060" spans="1:49" s="226" customFormat="1" ht="84.75" thickBot="1" x14ac:dyDescent="0.2">
      <c r="A1060" s="575">
        <v>12300</v>
      </c>
      <c r="B1060" s="489"/>
      <c r="C1060" s="489" t="s">
        <v>2317</v>
      </c>
      <c r="D1060" s="435">
        <v>2</v>
      </c>
      <c r="E1060" s="435">
        <v>0</v>
      </c>
      <c r="F1060" s="489">
        <v>7</v>
      </c>
      <c r="G1060" s="120">
        <v>200</v>
      </c>
      <c r="H1060" s="489">
        <v>200</v>
      </c>
      <c r="I1060" s="17">
        <v>0</v>
      </c>
      <c r="J1060" s="577">
        <v>0</v>
      </c>
      <c r="K1060" s="489">
        <v>0</v>
      </c>
      <c r="L1060" s="489">
        <v>126</v>
      </c>
      <c r="M1060" s="489" t="s">
        <v>1457</v>
      </c>
      <c r="N1060" s="489">
        <v>126</v>
      </c>
      <c r="O1060" s="489" t="s">
        <v>5200</v>
      </c>
      <c r="P1060" s="489"/>
      <c r="Q1060" s="578"/>
      <c r="R1060" s="578"/>
      <c r="S1060" s="578"/>
      <c r="T1060" s="578"/>
      <c r="U1060" s="489">
        <v>1</v>
      </c>
      <c r="V1060" s="489">
        <v>0</v>
      </c>
      <c r="W1060" s="489">
        <v>0</v>
      </c>
      <c r="X1060" s="489"/>
      <c r="Y1060" s="489"/>
      <c r="Z1060" s="586">
        <v>5000</v>
      </c>
      <c r="AA1060" s="489"/>
      <c r="AB1060" s="579"/>
      <c r="AC1060" s="579"/>
      <c r="AD1060" s="489" t="s">
        <v>1842</v>
      </c>
      <c r="AE1060" s="489"/>
      <c r="AF1060" s="489" t="s">
        <v>1461</v>
      </c>
      <c r="AG1060" s="489" t="s">
        <v>1828</v>
      </c>
      <c r="AH1060" s="489" t="s">
        <v>1460</v>
      </c>
      <c r="AI1060" s="489" t="s">
        <v>1458</v>
      </c>
      <c r="AJ1060" s="489" t="s">
        <v>6455</v>
      </c>
      <c r="AK1060" s="489"/>
      <c r="AL1060" s="577">
        <v>0</v>
      </c>
      <c r="AM1060" s="489" t="s">
        <v>1459</v>
      </c>
      <c r="AN1060" s="489" t="s">
        <v>5958</v>
      </c>
      <c r="AO1060" s="587"/>
      <c r="AP1060" s="226">
        <v>1</v>
      </c>
      <c r="AQ1060" s="226">
        <v>0</v>
      </c>
      <c r="AR1060" s="226">
        <v>0</v>
      </c>
      <c r="AS1060" s="226">
        <v>0</v>
      </c>
      <c r="AT1060" s="226">
        <v>0</v>
      </c>
      <c r="AU1060" s="226">
        <v>0</v>
      </c>
      <c r="AV1060" s="17">
        <f t="shared" si="154"/>
        <v>0</v>
      </c>
      <c r="AW1060" s="50" t="str">
        <f>"{s_taskCustom,{"&amp;L1060&amp;","&amp;N1060&amp;","&amp;U1060&amp;","&amp;V1060&amp;"}}"</f>
        <v>{s_taskCustom,{126,126,1,0}}</v>
      </c>
    </row>
    <row r="1061" spans="1:49" s="226" customFormat="1" ht="96.75" thickBot="1" x14ac:dyDescent="0.2">
      <c r="A1061" s="575">
        <v>12310</v>
      </c>
      <c r="B1061" s="489"/>
      <c r="C1061" s="489" t="s">
        <v>2318</v>
      </c>
      <c r="D1061" s="435">
        <v>2</v>
      </c>
      <c r="E1061" s="435">
        <v>0</v>
      </c>
      <c r="F1061" s="489">
        <v>7</v>
      </c>
      <c r="G1061" s="120">
        <v>200</v>
      </c>
      <c r="H1061" s="489">
        <v>200</v>
      </c>
      <c r="I1061" s="17">
        <v>0</v>
      </c>
      <c r="J1061" s="577">
        <v>12300</v>
      </c>
      <c r="K1061" s="489">
        <v>0</v>
      </c>
      <c r="L1061" s="489">
        <v>126</v>
      </c>
      <c r="M1061" s="489" t="s">
        <v>1457</v>
      </c>
      <c r="N1061" s="489">
        <v>126</v>
      </c>
      <c r="O1061" s="489" t="s">
        <v>5200</v>
      </c>
      <c r="P1061" s="489"/>
      <c r="Q1061" s="578"/>
      <c r="R1061" s="578"/>
      <c r="S1061" s="578"/>
      <c r="T1061" s="578"/>
      <c r="U1061" s="489">
        <v>1</v>
      </c>
      <c r="V1061" s="489">
        <v>1</v>
      </c>
      <c r="W1061" s="489">
        <v>0</v>
      </c>
      <c r="X1061" s="489"/>
      <c r="Y1061" s="489"/>
      <c r="Z1061" s="586">
        <v>500</v>
      </c>
      <c r="AA1061" s="489"/>
      <c r="AB1061" s="579"/>
      <c r="AC1061" s="579"/>
      <c r="AD1061" s="489"/>
      <c r="AE1061" s="489"/>
      <c r="AF1061" s="489" t="s">
        <v>1829</v>
      </c>
      <c r="AG1061" s="489" t="s">
        <v>1830</v>
      </c>
      <c r="AH1061" s="489" t="s">
        <v>1831</v>
      </c>
      <c r="AI1061" s="489" t="s">
        <v>1832</v>
      </c>
      <c r="AJ1061" s="489" t="s">
        <v>6456</v>
      </c>
      <c r="AK1061" s="489"/>
      <c r="AL1061" s="577">
        <v>0</v>
      </c>
      <c r="AM1061" s="489" t="s">
        <v>1833</v>
      </c>
      <c r="AN1061" s="489" t="s">
        <v>5959</v>
      </c>
      <c r="AO1061" s="587"/>
      <c r="AP1061" s="226">
        <v>1</v>
      </c>
      <c r="AQ1061" s="226">
        <v>0</v>
      </c>
      <c r="AR1061" s="226">
        <v>0</v>
      </c>
      <c r="AS1061" s="226">
        <v>0</v>
      </c>
      <c r="AT1061" s="226">
        <v>0</v>
      </c>
      <c r="AU1061" s="226">
        <v>0</v>
      </c>
      <c r="AV1061" s="17">
        <f t="shared" si="154"/>
        <v>0</v>
      </c>
      <c r="AW1061" s="50" t="str">
        <f>"{s_taskCustom,{"&amp;L1061&amp;","&amp;N1061&amp;","&amp;U1061&amp;","&amp;V1061&amp;"}}"</f>
        <v>{s_taskCustom,{126,126,1,1}}</v>
      </c>
    </row>
    <row r="1062" spans="1:49" s="226" customFormat="1" ht="96.75" thickBot="1" x14ac:dyDescent="0.2">
      <c r="A1062" s="575">
        <v>12320</v>
      </c>
      <c r="B1062" s="489"/>
      <c r="C1062" s="489" t="s">
        <v>2319</v>
      </c>
      <c r="D1062" s="435">
        <v>2</v>
      </c>
      <c r="E1062" s="435">
        <v>0</v>
      </c>
      <c r="F1062" s="489">
        <v>7</v>
      </c>
      <c r="G1062" s="120">
        <v>200</v>
      </c>
      <c r="H1062" s="489">
        <v>200</v>
      </c>
      <c r="I1062" s="17">
        <v>0</v>
      </c>
      <c r="J1062" s="577">
        <v>12310</v>
      </c>
      <c r="K1062" s="489">
        <v>0</v>
      </c>
      <c r="L1062" s="489">
        <v>126</v>
      </c>
      <c r="M1062" s="489" t="s">
        <v>1457</v>
      </c>
      <c r="N1062" s="489">
        <v>126</v>
      </c>
      <c r="O1062" s="489" t="s">
        <v>5200</v>
      </c>
      <c r="P1062" s="489"/>
      <c r="Q1062" s="578"/>
      <c r="R1062" s="578"/>
      <c r="S1062" s="578"/>
      <c r="T1062" s="578"/>
      <c r="U1062" s="489">
        <v>1</v>
      </c>
      <c r="V1062" s="489">
        <v>0</v>
      </c>
      <c r="W1062" s="489">
        <v>0</v>
      </c>
      <c r="X1062" s="489"/>
      <c r="Y1062" s="489"/>
      <c r="Z1062" s="586">
        <v>500</v>
      </c>
      <c r="AA1062" s="489"/>
      <c r="AB1062" s="579"/>
      <c r="AC1062" s="579"/>
      <c r="AD1062" s="489"/>
      <c r="AE1062" s="489"/>
      <c r="AF1062" s="489" t="s">
        <v>1834</v>
      </c>
      <c r="AG1062" s="489" t="s">
        <v>1835</v>
      </c>
      <c r="AH1062" s="489" t="s">
        <v>1836</v>
      </c>
      <c r="AI1062" s="489" t="s">
        <v>1837</v>
      </c>
      <c r="AJ1062" s="489" t="s">
        <v>6457</v>
      </c>
      <c r="AK1062" s="489"/>
      <c r="AL1062" s="577">
        <v>0</v>
      </c>
      <c r="AM1062" s="489" t="s">
        <v>1838</v>
      </c>
      <c r="AN1062" s="489" t="s">
        <v>5960</v>
      </c>
      <c r="AO1062" s="587"/>
      <c r="AP1062" s="226">
        <v>1</v>
      </c>
      <c r="AQ1062" s="226">
        <v>0</v>
      </c>
      <c r="AR1062" s="226">
        <v>0</v>
      </c>
      <c r="AS1062" s="226">
        <v>0</v>
      </c>
      <c r="AT1062" s="226">
        <v>0</v>
      </c>
      <c r="AU1062" s="226">
        <v>0</v>
      </c>
      <c r="AV1062" s="17">
        <f t="shared" si="154"/>
        <v>0</v>
      </c>
      <c r="AW1062" s="50" t="str">
        <f>"{s_taskCustom,{"&amp;L1062&amp;","&amp;N1062&amp;","&amp;U1062&amp;","&amp;V1062&amp;"}}"</f>
        <v>{s_taskCustom,{126,126,1,0}}</v>
      </c>
    </row>
    <row r="1063" spans="1:49" s="226" customFormat="1" ht="84.75" thickBot="1" x14ac:dyDescent="0.2">
      <c r="A1063" s="575">
        <v>12330</v>
      </c>
      <c r="B1063" s="489"/>
      <c r="C1063" s="489" t="s">
        <v>4111</v>
      </c>
      <c r="D1063" s="435">
        <v>2</v>
      </c>
      <c r="E1063" s="435">
        <v>0</v>
      </c>
      <c r="F1063" s="489">
        <v>7</v>
      </c>
      <c r="G1063" s="120">
        <v>200</v>
      </c>
      <c r="H1063" s="489">
        <v>59</v>
      </c>
      <c r="I1063" s="17">
        <v>0</v>
      </c>
      <c r="J1063" s="577">
        <v>0</v>
      </c>
      <c r="K1063" s="489">
        <v>0</v>
      </c>
      <c r="L1063" s="489">
        <v>197</v>
      </c>
      <c r="M1063" s="489" t="s">
        <v>3212</v>
      </c>
      <c r="N1063" s="489">
        <v>197</v>
      </c>
      <c r="O1063" s="489" t="s">
        <v>5201</v>
      </c>
      <c r="P1063" s="489"/>
      <c r="Q1063" s="578"/>
      <c r="R1063" s="578"/>
      <c r="S1063" s="578"/>
      <c r="T1063" s="578"/>
      <c r="U1063" s="489">
        <v>1</v>
      </c>
      <c r="V1063" s="489">
        <v>0</v>
      </c>
      <c r="W1063" s="489">
        <v>0</v>
      </c>
      <c r="X1063" s="489"/>
      <c r="Y1063" s="489"/>
      <c r="Z1063" s="586">
        <v>0</v>
      </c>
      <c r="AA1063" s="489"/>
      <c r="AB1063" s="579"/>
      <c r="AC1063" s="579"/>
      <c r="AD1063" s="489" t="s">
        <v>3214</v>
      </c>
      <c r="AE1063" s="489"/>
      <c r="AF1063" s="489" t="s">
        <v>4112</v>
      </c>
      <c r="AG1063" s="489" t="s">
        <v>4113</v>
      </c>
      <c r="AH1063" s="489" t="s">
        <v>4114</v>
      </c>
      <c r="AI1063" s="489" t="s">
        <v>4115</v>
      </c>
      <c r="AJ1063" s="489" t="s">
        <v>6458</v>
      </c>
      <c r="AK1063" s="489"/>
      <c r="AL1063" s="577">
        <v>0</v>
      </c>
      <c r="AM1063" s="489" t="s">
        <v>3213</v>
      </c>
      <c r="AN1063" s="489" t="s">
        <v>5961</v>
      </c>
      <c r="AO1063" s="587"/>
      <c r="AP1063" s="226">
        <v>1</v>
      </c>
      <c r="AQ1063" s="226">
        <v>0</v>
      </c>
      <c r="AR1063" s="226">
        <v>0</v>
      </c>
      <c r="AS1063" s="226">
        <v>0</v>
      </c>
      <c r="AT1063" s="226">
        <v>0</v>
      </c>
      <c r="AU1063" s="226">
        <v>0</v>
      </c>
      <c r="AV1063" s="17">
        <f t="shared" si="154"/>
        <v>0</v>
      </c>
      <c r="AW1063" s="50" t="str">
        <f>"{s_taskCustom,{"&amp;L1063&amp;","&amp;N1063&amp;","&amp;U1063&amp;","&amp;V1063&amp;"}}"</f>
        <v>{s_taskCustom,{197,197,1,0}}</v>
      </c>
    </row>
    <row r="1064" spans="1:49" s="226" customFormat="1" ht="84.75" thickBot="1" x14ac:dyDescent="0.2">
      <c r="A1064" s="575">
        <v>12340</v>
      </c>
      <c r="B1064" s="489"/>
      <c r="C1064" s="489" t="s">
        <v>3215</v>
      </c>
      <c r="D1064" s="435">
        <v>2</v>
      </c>
      <c r="E1064" s="435">
        <v>0</v>
      </c>
      <c r="F1064" s="489">
        <v>5</v>
      </c>
      <c r="G1064" s="120">
        <v>200</v>
      </c>
      <c r="H1064" s="489">
        <v>200</v>
      </c>
      <c r="I1064" s="17">
        <v>0</v>
      </c>
      <c r="J1064" s="577">
        <v>15220</v>
      </c>
      <c r="K1064" s="489">
        <v>0</v>
      </c>
      <c r="L1064" s="489">
        <v>60559</v>
      </c>
      <c r="M1064" s="489" t="s">
        <v>3216</v>
      </c>
      <c r="N1064" s="489">
        <v>215</v>
      </c>
      <c r="O1064" s="489" t="s">
        <v>5202</v>
      </c>
      <c r="P1064" s="489"/>
      <c r="Q1064" s="578"/>
      <c r="R1064" s="578"/>
      <c r="S1064" s="578"/>
      <c r="T1064" s="578"/>
      <c r="U1064" s="489">
        <v>1</v>
      </c>
      <c r="V1064" s="489">
        <v>1</v>
      </c>
      <c r="W1064" s="489">
        <v>0</v>
      </c>
      <c r="X1064" s="489"/>
      <c r="Y1064" s="489"/>
      <c r="Z1064" s="586">
        <v>0</v>
      </c>
      <c r="AA1064" s="489"/>
      <c r="AB1064" s="579"/>
      <c r="AC1064" s="579"/>
      <c r="AD1064" s="489" t="s">
        <v>3222</v>
      </c>
      <c r="AE1064" s="489"/>
      <c r="AF1064" s="489" t="s">
        <v>3220</v>
      </c>
      <c r="AG1064" s="489" t="s">
        <v>3217</v>
      </c>
      <c r="AH1064" s="489" t="s">
        <v>3218</v>
      </c>
      <c r="AI1064" s="489" t="s">
        <v>3219</v>
      </c>
      <c r="AJ1064" s="489" t="s">
        <v>6459</v>
      </c>
      <c r="AK1064" s="489"/>
      <c r="AL1064" s="577">
        <v>0</v>
      </c>
      <c r="AM1064" s="489" t="s">
        <v>3221</v>
      </c>
      <c r="AN1064" s="489" t="s">
        <v>5962</v>
      </c>
      <c r="AO1064" s="587"/>
      <c r="AP1064" s="226">
        <v>1</v>
      </c>
      <c r="AQ1064" s="226">
        <v>0</v>
      </c>
      <c r="AR1064" s="226">
        <v>0</v>
      </c>
      <c r="AS1064" s="226">
        <v>0</v>
      </c>
      <c r="AT1064" s="226">
        <v>0</v>
      </c>
      <c r="AU1064" s="226">
        <v>0</v>
      </c>
      <c r="AV1064" s="17">
        <f t="shared" si="154"/>
        <v>0</v>
      </c>
      <c r="AW1064" s="50" t="str">
        <f>"{s_taskTalk,{"&amp;L1064&amp;","&amp;N1064&amp;"}}"</f>
        <v>{s_taskTalk,{60559,215}}</v>
      </c>
    </row>
    <row r="1065" spans="1:49" s="73" customFormat="1" ht="120" x14ac:dyDescent="0.15">
      <c r="A1065" s="9">
        <v>12500</v>
      </c>
      <c r="B1065" s="50"/>
      <c r="C1065" s="50" t="s">
        <v>2320</v>
      </c>
      <c r="D1065" s="50">
        <v>2</v>
      </c>
      <c r="E1065" s="50">
        <v>0</v>
      </c>
      <c r="F1065" s="50">
        <v>3</v>
      </c>
      <c r="G1065" s="120">
        <v>200</v>
      </c>
      <c r="H1065" s="50">
        <v>200</v>
      </c>
      <c r="I1065" s="17">
        <v>0</v>
      </c>
      <c r="J1065" s="120">
        <v>4461</v>
      </c>
      <c r="K1065" s="50">
        <v>0</v>
      </c>
      <c r="L1065" s="50">
        <v>60000</v>
      </c>
      <c r="M1065" s="50" t="s">
        <v>1258</v>
      </c>
      <c r="N1065" s="50">
        <v>60072</v>
      </c>
      <c r="O1065" s="50" t="s">
        <v>5181</v>
      </c>
      <c r="P1065" s="50"/>
      <c r="Q1065" s="121"/>
      <c r="R1065" s="121"/>
      <c r="S1065" s="121"/>
      <c r="T1065" s="121"/>
      <c r="U1065" s="50">
        <v>1</v>
      </c>
      <c r="V1065" s="50">
        <v>1</v>
      </c>
      <c r="W1065" s="122">
        <v>15</v>
      </c>
      <c r="X1065" s="50"/>
      <c r="Y1065" s="50"/>
      <c r="Z1065" s="123">
        <v>3200</v>
      </c>
      <c r="AA1065" s="50"/>
      <c r="AB1065" s="124"/>
      <c r="AC1065" s="124"/>
      <c r="AD1065" s="50"/>
      <c r="AE1065" s="50"/>
      <c r="AF1065" s="126" t="s">
        <v>4571</v>
      </c>
      <c r="AG1065" s="126" t="s">
        <v>1254</v>
      </c>
      <c r="AH1065" s="126" t="s">
        <v>1255</v>
      </c>
      <c r="AI1065" s="126" t="s">
        <v>4336</v>
      </c>
      <c r="AJ1065" s="126" t="s">
        <v>4279</v>
      </c>
      <c r="AK1065" s="50"/>
      <c r="AL1065" s="120">
        <v>0</v>
      </c>
      <c r="AM1065" s="127" t="s">
        <v>1256</v>
      </c>
      <c r="AN1065" s="127" t="s">
        <v>1257</v>
      </c>
      <c r="AO1065" s="50"/>
      <c r="AP1065" s="73">
        <v>1</v>
      </c>
      <c r="AQ1065" s="73">
        <v>0</v>
      </c>
      <c r="AR1065" s="73">
        <v>0</v>
      </c>
      <c r="AS1065" s="73">
        <v>0</v>
      </c>
      <c r="AT1065" s="73">
        <v>0</v>
      </c>
      <c r="AU1065" s="226">
        <v>0</v>
      </c>
      <c r="AV1065" s="17">
        <f t="shared" si="154"/>
        <v>0</v>
      </c>
      <c r="AW1065" s="50" t="str">
        <f>"{s_taskTalk,{"&amp;L1065&amp;","&amp;N1065&amp;"}}"</f>
        <v>{s_taskTalk,{60000,60072}}</v>
      </c>
    </row>
    <row r="1066" spans="1:49" s="73" customFormat="1" ht="108" x14ac:dyDescent="0.15">
      <c r="A1066" s="9">
        <v>12501</v>
      </c>
      <c r="B1066" s="50"/>
      <c r="C1066" s="50" t="s">
        <v>2321</v>
      </c>
      <c r="D1066" s="50">
        <v>2</v>
      </c>
      <c r="E1066" s="50">
        <v>0</v>
      </c>
      <c r="F1066" s="50">
        <v>3</v>
      </c>
      <c r="G1066" s="120">
        <v>200</v>
      </c>
      <c r="H1066" s="50">
        <v>200</v>
      </c>
      <c r="I1066" s="17">
        <v>0</v>
      </c>
      <c r="J1066" s="120">
        <v>12500</v>
      </c>
      <c r="K1066" s="50">
        <v>0</v>
      </c>
      <c r="L1066" s="50">
        <v>60072</v>
      </c>
      <c r="M1066" s="50" t="s">
        <v>210</v>
      </c>
      <c r="N1066" s="50">
        <v>60000</v>
      </c>
      <c r="O1066" s="50" t="s">
        <v>192</v>
      </c>
      <c r="P1066" s="50"/>
      <c r="Q1066" s="121"/>
      <c r="R1066" s="121"/>
      <c r="S1066" s="121"/>
      <c r="T1066" s="121"/>
      <c r="U1066" s="50">
        <v>1</v>
      </c>
      <c r="V1066" s="50">
        <v>1</v>
      </c>
      <c r="W1066" s="122">
        <v>15</v>
      </c>
      <c r="X1066" s="50"/>
      <c r="Y1066" s="50"/>
      <c r="Z1066" s="123">
        <v>3200</v>
      </c>
      <c r="AA1066" s="50"/>
      <c r="AB1066" s="124"/>
      <c r="AC1066" s="124"/>
      <c r="AD1066" s="50"/>
      <c r="AE1066" s="50"/>
      <c r="AF1066" s="126" t="s">
        <v>1259</v>
      </c>
      <c r="AG1066" s="126" t="s">
        <v>1260</v>
      </c>
      <c r="AH1066" s="126" t="s">
        <v>1261</v>
      </c>
      <c r="AI1066" s="126" t="s">
        <v>1262</v>
      </c>
      <c r="AJ1066" s="126" t="s">
        <v>4337</v>
      </c>
      <c r="AK1066" s="50"/>
      <c r="AL1066" s="120">
        <v>0</v>
      </c>
      <c r="AM1066" s="127" t="s">
        <v>1263</v>
      </c>
      <c r="AN1066" s="127" t="s">
        <v>1263</v>
      </c>
      <c r="AO1066" s="50"/>
      <c r="AP1066" s="73">
        <v>1</v>
      </c>
      <c r="AQ1066" s="73">
        <v>0</v>
      </c>
      <c r="AR1066" s="73">
        <v>0</v>
      </c>
      <c r="AS1066" s="73">
        <v>0</v>
      </c>
      <c r="AT1066" s="73">
        <v>0</v>
      </c>
      <c r="AU1066" s="226">
        <v>0</v>
      </c>
      <c r="AV1066" s="17">
        <f t="shared" si="154"/>
        <v>0</v>
      </c>
      <c r="AW1066" s="50" t="str">
        <f>"{s_taskTalk,{"&amp;L1066&amp;","&amp;N1066&amp;"}}"</f>
        <v>{s_taskTalk,{60072,60000}}</v>
      </c>
    </row>
    <row r="1067" spans="1:49" s="73" customFormat="1" ht="96.75" thickBot="1" x14ac:dyDescent="0.2">
      <c r="A1067" s="9">
        <v>12502</v>
      </c>
      <c r="B1067" s="50"/>
      <c r="C1067" s="50" t="s">
        <v>2322</v>
      </c>
      <c r="D1067" s="50">
        <v>2</v>
      </c>
      <c r="E1067" s="50">
        <v>0</v>
      </c>
      <c r="F1067" s="50">
        <v>3</v>
      </c>
      <c r="G1067" s="120">
        <v>200</v>
      </c>
      <c r="H1067" s="50">
        <v>200</v>
      </c>
      <c r="I1067" s="17">
        <v>0</v>
      </c>
      <c r="J1067" s="120">
        <v>12501</v>
      </c>
      <c r="K1067" s="50">
        <v>0</v>
      </c>
      <c r="L1067" s="50">
        <v>60000</v>
      </c>
      <c r="M1067" s="50" t="s">
        <v>1258</v>
      </c>
      <c r="N1067" s="50">
        <v>60073</v>
      </c>
      <c r="O1067" s="50" t="s">
        <v>5191</v>
      </c>
      <c r="P1067" s="50"/>
      <c r="Q1067" s="121"/>
      <c r="R1067" s="121"/>
      <c r="S1067" s="121"/>
      <c r="T1067" s="121"/>
      <c r="U1067" s="50">
        <v>1</v>
      </c>
      <c r="V1067" s="50">
        <v>1</v>
      </c>
      <c r="W1067" s="122">
        <v>15</v>
      </c>
      <c r="X1067" s="50"/>
      <c r="Y1067" s="50"/>
      <c r="Z1067" s="123">
        <v>3200</v>
      </c>
      <c r="AA1067" s="50"/>
      <c r="AB1067" s="124"/>
      <c r="AC1067" s="124"/>
      <c r="AD1067" s="50"/>
      <c r="AE1067" s="50"/>
      <c r="AF1067" s="126" t="s">
        <v>4572</v>
      </c>
      <c r="AG1067" s="126" t="s">
        <v>1264</v>
      </c>
      <c r="AH1067" s="126" t="s">
        <v>4773</v>
      </c>
      <c r="AI1067" s="126" t="s">
        <v>1265</v>
      </c>
      <c r="AJ1067" s="126" t="s">
        <v>4338</v>
      </c>
      <c r="AK1067" s="50"/>
      <c r="AL1067" s="120">
        <v>0</v>
      </c>
      <c r="AM1067" s="127" t="s">
        <v>1266</v>
      </c>
      <c r="AN1067" s="127" t="s">
        <v>1266</v>
      </c>
      <c r="AO1067" s="50"/>
      <c r="AP1067" s="73">
        <v>1</v>
      </c>
      <c r="AQ1067" s="73">
        <v>0</v>
      </c>
      <c r="AR1067" s="73">
        <v>0</v>
      </c>
      <c r="AS1067" s="73">
        <v>0</v>
      </c>
      <c r="AT1067" s="73">
        <v>0</v>
      </c>
      <c r="AU1067" s="226">
        <v>0</v>
      </c>
      <c r="AV1067" s="17">
        <f t="shared" si="154"/>
        <v>0</v>
      </c>
      <c r="AW1067" s="50" t="str">
        <f>"{s_taskTalk,{"&amp;L1067&amp;","&amp;N1067&amp;"}}"</f>
        <v>{s_taskTalk,{60000,60073}}</v>
      </c>
    </row>
    <row r="1068" spans="1:49" s="29" customFormat="1" ht="96" x14ac:dyDescent="0.15">
      <c r="A1068" s="588">
        <v>13000</v>
      </c>
      <c r="B1068" s="517"/>
      <c r="C1068" s="517" t="s">
        <v>2323</v>
      </c>
      <c r="D1068" s="29">
        <v>2</v>
      </c>
      <c r="E1068" s="29">
        <v>0</v>
      </c>
      <c r="F1068" s="517">
        <v>2</v>
      </c>
      <c r="G1068" s="885">
        <v>200</v>
      </c>
      <c r="H1068" s="517">
        <v>200</v>
      </c>
      <c r="I1068" s="17">
        <v>0</v>
      </c>
      <c r="J1068" s="589">
        <v>0</v>
      </c>
      <c r="K1068" s="517">
        <v>0</v>
      </c>
      <c r="L1068" s="517">
        <v>60018</v>
      </c>
      <c r="M1068" s="517" t="s">
        <v>556</v>
      </c>
      <c r="N1068" s="517">
        <v>60018</v>
      </c>
      <c r="O1068" s="517" t="s">
        <v>5203</v>
      </c>
      <c r="P1068" s="517"/>
      <c r="Q1068" s="590"/>
      <c r="R1068" s="590"/>
      <c r="S1068" s="590"/>
      <c r="T1068" s="590">
        <v>23037</v>
      </c>
      <c r="U1068" s="517">
        <v>1</v>
      </c>
      <c r="V1068" s="517">
        <v>0</v>
      </c>
      <c r="W1068" s="517">
        <v>5</v>
      </c>
      <c r="X1068" s="517"/>
      <c r="Y1068" s="517"/>
      <c r="Z1068" s="591">
        <v>300</v>
      </c>
      <c r="AA1068" s="517"/>
      <c r="AB1068" s="592"/>
      <c r="AC1068" s="592"/>
      <c r="AD1068" s="517" t="s">
        <v>574</v>
      </c>
      <c r="AE1068" s="517"/>
      <c r="AF1068" s="517" t="s">
        <v>573</v>
      </c>
      <c r="AG1068" s="517" t="s">
        <v>572</v>
      </c>
      <c r="AH1068" s="517" t="s">
        <v>578</v>
      </c>
      <c r="AI1068" s="517" t="s">
        <v>557</v>
      </c>
      <c r="AJ1068" s="517" t="s">
        <v>6460</v>
      </c>
      <c r="AK1068" s="517">
        <v>0</v>
      </c>
      <c r="AL1068" s="589"/>
      <c r="AM1068" s="517" t="s">
        <v>1343</v>
      </c>
      <c r="AN1068" s="517" t="s">
        <v>5963</v>
      </c>
      <c r="AO1068" s="517" t="s">
        <v>558</v>
      </c>
      <c r="AP1068" s="29">
        <v>1</v>
      </c>
      <c r="AQ1068" s="29">
        <v>0</v>
      </c>
      <c r="AR1068" s="29">
        <v>0</v>
      </c>
      <c r="AS1068" s="29">
        <v>0</v>
      </c>
      <c r="AT1068" s="29">
        <v>0</v>
      </c>
      <c r="AU1068" s="29">
        <v>0</v>
      </c>
      <c r="AV1068" s="17">
        <f t="shared" si="154"/>
        <v>0</v>
      </c>
      <c r="AW1068" s="29" t="str">
        <f>"{s_taskGather,{"&amp;L1068&amp;","&amp;N1068&amp;","&amp;T1068&amp;","&amp;U1068&amp;",0,0}}"</f>
        <v>{s_taskGather,{60018,60018,23037,1,0,0}}</v>
      </c>
    </row>
    <row r="1069" spans="1:49" s="29" customFormat="1" ht="96" x14ac:dyDescent="0.15">
      <c r="A1069" s="515">
        <v>13010</v>
      </c>
      <c r="B1069" s="500"/>
      <c r="C1069" s="500" t="s">
        <v>2324</v>
      </c>
      <c r="D1069" s="29">
        <v>2</v>
      </c>
      <c r="E1069" s="29">
        <v>0</v>
      </c>
      <c r="F1069" s="500">
        <v>2</v>
      </c>
      <c r="G1069" s="138">
        <v>200</v>
      </c>
      <c r="H1069" s="500">
        <v>200</v>
      </c>
      <c r="I1069" s="17">
        <v>0</v>
      </c>
      <c r="J1069" s="516">
        <v>13000</v>
      </c>
      <c r="K1069" s="500">
        <v>0</v>
      </c>
      <c r="L1069" s="500">
        <v>60018</v>
      </c>
      <c r="M1069" s="500" t="s">
        <v>556</v>
      </c>
      <c r="N1069" s="500">
        <v>60018</v>
      </c>
      <c r="O1069" s="500" t="s">
        <v>5203</v>
      </c>
      <c r="P1069" s="500"/>
      <c r="Q1069" s="498"/>
      <c r="R1069" s="498"/>
      <c r="S1069" s="498"/>
      <c r="T1069" s="498">
        <v>23041</v>
      </c>
      <c r="U1069" s="500">
        <v>1</v>
      </c>
      <c r="V1069" s="500">
        <v>0</v>
      </c>
      <c r="W1069" s="500">
        <v>5</v>
      </c>
      <c r="X1069" s="500"/>
      <c r="Y1069" s="500"/>
      <c r="Z1069" s="132">
        <v>300</v>
      </c>
      <c r="AA1069" s="500"/>
      <c r="AB1069" s="499"/>
      <c r="AC1069" s="499"/>
      <c r="AD1069" s="500" t="s">
        <v>575</v>
      </c>
      <c r="AE1069" s="500"/>
      <c r="AF1069" s="500" t="s">
        <v>1250</v>
      </c>
      <c r="AG1069" s="500" t="s">
        <v>1251</v>
      </c>
      <c r="AH1069" s="500" t="s">
        <v>1252</v>
      </c>
      <c r="AI1069" s="500" t="s">
        <v>1253</v>
      </c>
      <c r="AJ1069" s="500" t="s">
        <v>6461</v>
      </c>
      <c r="AK1069" s="500">
        <v>0</v>
      </c>
      <c r="AL1069" s="516"/>
      <c r="AM1069" s="500" t="s">
        <v>1344</v>
      </c>
      <c r="AN1069" s="500" t="s">
        <v>5964</v>
      </c>
      <c r="AO1069" s="500" t="s">
        <v>559</v>
      </c>
      <c r="AP1069" s="29">
        <v>1</v>
      </c>
      <c r="AQ1069" s="29">
        <v>0</v>
      </c>
      <c r="AR1069" s="29">
        <v>0</v>
      </c>
      <c r="AS1069" s="29">
        <v>0</v>
      </c>
      <c r="AT1069" s="29">
        <v>0</v>
      </c>
      <c r="AU1069" s="29">
        <v>0</v>
      </c>
      <c r="AV1069" s="17">
        <f t="shared" si="154"/>
        <v>0</v>
      </c>
      <c r="AW1069" s="29" t="str">
        <f>"{s_taskGather,{"&amp;L1069&amp;","&amp;N1069&amp;","&amp;T1069&amp;","&amp;U1069&amp;",0,0}}"</f>
        <v>{s_taskGather,{60018,60018,23041,1,0,0}}</v>
      </c>
    </row>
    <row r="1070" spans="1:49" s="29" customFormat="1" ht="72" x14ac:dyDescent="0.15">
      <c r="A1070" s="515">
        <v>13020</v>
      </c>
      <c r="B1070" s="500"/>
      <c r="C1070" s="500" t="s">
        <v>2325</v>
      </c>
      <c r="D1070" s="29">
        <v>2</v>
      </c>
      <c r="E1070" s="29">
        <v>0</v>
      </c>
      <c r="F1070" s="500">
        <v>2</v>
      </c>
      <c r="G1070" s="138">
        <v>200</v>
      </c>
      <c r="H1070" s="500">
        <v>200</v>
      </c>
      <c r="I1070" s="17">
        <v>0</v>
      </c>
      <c r="J1070" s="516">
        <v>13010</v>
      </c>
      <c r="K1070" s="500">
        <v>0</v>
      </c>
      <c r="L1070" s="500">
        <v>60018</v>
      </c>
      <c r="M1070" s="500" t="s">
        <v>556</v>
      </c>
      <c r="N1070" s="500">
        <v>60018</v>
      </c>
      <c r="O1070" s="500" t="s">
        <v>5203</v>
      </c>
      <c r="P1070" s="500"/>
      <c r="Q1070" s="498"/>
      <c r="R1070" s="498"/>
      <c r="S1070" s="498"/>
      <c r="T1070" s="498"/>
      <c r="U1070" s="500">
        <v>1</v>
      </c>
      <c r="V1070" s="500">
        <v>1</v>
      </c>
      <c r="W1070" s="500">
        <v>5</v>
      </c>
      <c r="X1070" s="500"/>
      <c r="Y1070" s="500"/>
      <c r="Z1070" s="132">
        <v>300</v>
      </c>
      <c r="AA1070" s="500"/>
      <c r="AB1070" s="499"/>
      <c r="AC1070" s="499"/>
      <c r="AD1070" s="500"/>
      <c r="AE1070" s="500"/>
      <c r="AF1070" s="500" t="s">
        <v>561</v>
      </c>
      <c r="AG1070" s="500" t="s">
        <v>579</v>
      </c>
      <c r="AH1070" s="500" t="s">
        <v>566</v>
      </c>
      <c r="AI1070" s="500" t="s">
        <v>565</v>
      </c>
      <c r="AJ1070" s="500" t="s">
        <v>6462</v>
      </c>
      <c r="AK1070" s="500">
        <v>0</v>
      </c>
      <c r="AL1070" s="516"/>
      <c r="AM1070" s="500" t="s">
        <v>605</v>
      </c>
      <c r="AN1070" s="500" t="s">
        <v>5965</v>
      </c>
      <c r="AO1070" s="500"/>
      <c r="AP1070" s="29">
        <v>1</v>
      </c>
      <c r="AQ1070" s="29">
        <v>0</v>
      </c>
      <c r="AR1070" s="29">
        <v>0</v>
      </c>
      <c r="AS1070" s="29">
        <v>0</v>
      </c>
      <c r="AT1070" s="29">
        <v>0</v>
      </c>
      <c r="AU1070" s="29">
        <v>0</v>
      </c>
      <c r="AV1070" s="17">
        <f t="shared" si="154"/>
        <v>0</v>
      </c>
      <c r="AW1070" s="29" t="str">
        <f>"{s_taskTalk,{"&amp;L1070&amp;","&amp;N1070&amp;"}}"</f>
        <v>{s_taskTalk,{60018,60018}}</v>
      </c>
    </row>
    <row r="1071" spans="1:49" s="73" customFormat="1" ht="108.75" thickBot="1" x14ac:dyDescent="0.2">
      <c r="A1071" s="575">
        <v>13030</v>
      </c>
      <c r="B1071" s="489"/>
      <c r="C1071" s="489" t="s">
        <v>2326</v>
      </c>
      <c r="D1071" s="435">
        <v>2</v>
      </c>
      <c r="E1071" s="435">
        <v>0</v>
      </c>
      <c r="F1071" s="489">
        <v>4</v>
      </c>
      <c r="G1071" s="120">
        <v>200</v>
      </c>
      <c r="H1071" s="489">
        <v>200</v>
      </c>
      <c r="I1071" s="17">
        <v>0</v>
      </c>
      <c r="J1071" s="577">
        <v>0</v>
      </c>
      <c r="K1071" s="489">
        <v>0</v>
      </c>
      <c r="L1071" s="489">
        <v>60163</v>
      </c>
      <c r="M1071" s="489" t="s">
        <v>3856</v>
      </c>
      <c r="N1071" s="489">
        <v>60163</v>
      </c>
      <c r="O1071" s="489" t="s">
        <v>5151</v>
      </c>
      <c r="P1071" s="489"/>
      <c r="Q1071" s="578"/>
      <c r="R1071" s="578"/>
      <c r="S1071" s="578"/>
      <c r="T1071" s="578">
        <v>23038</v>
      </c>
      <c r="U1071" s="489">
        <v>1</v>
      </c>
      <c r="V1071" s="489">
        <v>0</v>
      </c>
      <c r="W1071" s="489">
        <v>15</v>
      </c>
      <c r="X1071" s="489"/>
      <c r="Y1071" s="489"/>
      <c r="Z1071" s="586">
        <v>3000</v>
      </c>
      <c r="AA1071" s="489"/>
      <c r="AB1071" s="579"/>
      <c r="AC1071" s="579"/>
      <c r="AD1071" s="489" t="s">
        <v>3857</v>
      </c>
      <c r="AE1071" s="489"/>
      <c r="AF1071" s="489" t="s">
        <v>4573</v>
      </c>
      <c r="AG1071" s="489" t="s">
        <v>3858</v>
      </c>
      <c r="AH1071" s="489" t="s">
        <v>3859</v>
      </c>
      <c r="AI1071" s="489" t="s">
        <v>4339</v>
      </c>
      <c r="AJ1071" s="489" t="s">
        <v>6463</v>
      </c>
      <c r="AK1071" s="489">
        <v>0</v>
      </c>
      <c r="AL1071" s="577"/>
      <c r="AM1071" s="489" t="s">
        <v>4014</v>
      </c>
      <c r="AN1071" s="489" t="s">
        <v>5966</v>
      </c>
      <c r="AO1071" s="489" t="s">
        <v>563</v>
      </c>
      <c r="AP1071" s="73">
        <v>1</v>
      </c>
      <c r="AQ1071" s="73">
        <v>0</v>
      </c>
      <c r="AR1071" s="73">
        <v>0</v>
      </c>
      <c r="AS1071" s="73">
        <v>0</v>
      </c>
      <c r="AT1071" s="73">
        <v>0</v>
      </c>
      <c r="AU1071" s="226">
        <v>0</v>
      </c>
      <c r="AV1071" s="17">
        <f t="shared" si="154"/>
        <v>0</v>
      </c>
      <c r="AW1071" s="50" t="str">
        <f>"{s_taskGather,{"&amp;L1071&amp;","&amp;N1071&amp;","&amp;T1071&amp;","&amp;U1071&amp;",0,0}}"</f>
        <v>{s_taskGather,{60163,60163,23038,1,0,0}}</v>
      </c>
    </row>
    <row r="1072" spans="1:49" s="73" customFormat="1" ht="96.75" thickBot="1" x14ac:dyDescent="0.2">
      <c r="A1072" s="575">
        <v>13040</v>
      </c>
      <c r="B1072" s="489"/>
      <c r="C1072" s="489" t="s">
        <v>2327</v>
      </c>
      <c r="D1072" s="435">
        <v>2</v>
      </c>
      <c r="E1072" s="435">
        <v>0</v>
      </c>
      <c r="F1072" s="489">
        <v>4</v>
      </c>
      <c r="G1072" s="120">
        <v>200</v>
      </c>
      <c r="H1072" s="489">
        <v>200</v>
      </c>
      <c r="I1072" s="17">
        <v>0</v>
      </c>
      <c r="J1072" s="577">
        <v>13030</v>
      </c>
      <c r="K1072" s="489">
        <v>0</v>
      </c>
      <c r="L1072" s="489">
        <v>60163</v>
      </c>
      <c r="M1072" s="489" t="s">
        <v>3856</v>
      </c>
      <c r="N1072" s="489">
        <v>60163</v>
      </c>
      <c r="O1072" s="489" t="s">
        <v>5151</v>
      </c>
      <c r="P1072" s="489"/>
      <c r="Q1072" s="578"/>
      <c r="R1072" s="578"/>
      <c r="S1072" s="578"/>
      <c r="T1072" s="578">
        <v>23042</v>
      </c>
      <c r="U1072" s="489">
        <v>1</v>
      </c>
      <c r="V1072" s="489">
        <v>0</v>
      </c>
      <c r="W1072" s="489">
        <v>15</v>
      </c>
      <c r="X1072" s="489"/>
      <c r="Y1072" s="489"/>
      <c r="Z1072" s="586">
        <v>3000</v>
      </c>
      <c r="AA1072" s="489"/>
      <c r="AB1072" s="579"/>
      <c r="AC1072" s="579"/>
      <c r="AD1072" s="489" t="s">
        <v>3860</v>
      </c>
      <c r="AE1072" s="489"/>
      <c r="AF1072" s="489" t="s">
        <v>4574</v>
      </c>
      <c r="AG1072" s="489" t="s">
        <v>3861</v>
      </c>
      <c r="AH1072" s="489" t="s">
        <v>3862</v>
      </c>
      <c r="AI1072" s="489" t="s">
        <v>3863</v>
      </c>
      <c r="AJ1072" s="489" t="s">
        <v>6464</v>
      </c>
      <c r="AK1072" s="489">
        <v>0</v>
      </c>
      <c r="AL1072" s="577"/>
      <c r="AM1072" s="489" t="s">
        <v>3864</v>
      </c>
      <c r="AN1072" s="489" t="s">
        <v>5967</v>
      </c>
      <c r="AO1072" s="489" t="s">
        <v>564</v>
      </c>
      <c r="AP1072" s="73">
        <v>1</v>
      </c>
      <c r="AQ1072" s="73">
        <v>0</v>
      </c>
      <c r="AR1072" s="73">
        <v>0</v>
      </c>
      <c r="AS1072" s="73">
        <v>0</v>
      </c>
      <c r="AT1072" s="73">
        <v>0</v>
      </c>
      <c r="AU1072" s="226">
        <v>0</v>
      </c>
      <c r="AV1072" s="17">
        <f t="shared" si="154"/>
        <v>0</v>
      </c>
      <c r="AW1072" s="50" t="str">
        <f>"{s_taskGather,{"&amp;L1072&amp;","&amp;N1072&amp;","&amp;T1072&amp;","&amp;U1072&amp;",0,0}}"</f>
        <v>{s_taskGather,{60163,60163,23042,1,0,0}}</v>
      </c>
    </row>
    <row r="1073" spans="1:49" s="73" customFormat="1" ht="72.75" thickBot="1" x14ac:dyDescent="0.2">
      <c r="A1073" s="575">
        <v>13050</v>
      </c>
      <c r="B1073" s="489"/>
      <c r="C1073" s="489" t="s">
        <v>2328</v>
      </c>
      <c r="D1073" s="435">
        <v>2</v>
      </c>
      <c r="E1073" s="435">
        <v>0</v>
      </c>
      <c r="F1073" s="489">
        <v>4</v>
      </c>
      <c r="G1073" s="120">
        <v>200</v>
      </c>
      <c r="H1073" s="489">
        <v>200</v>
      </c>
      <c r="I1073" s="17">
        <v>0</v>
      </c>
      <c r="J1073" s="577">
        <v>13040</v>
      </c>
      <c r="K1073" s="489">
        <v>0</v>
      </c>
      <c r="L1073" s="489">
        <v>60163</v>
      </c>
      <c r="M1073" s="489" t="s">
        <v>3856</v>
      </c>
      <c r="N1073" s="489">
        <v>60163</v>
      </c>
      <c r="O1073" s="489" t="s">
        <v>5151</v>
      </c>
      <c r="P1073" s="489"/>
      <c r="Q1073" s="578"/>
      <c r="R1073" s="578"/>
      <c r="S1073" s="578"/>
      <c r="T1073" s="578"/>
      <c r="U1073" s="489">
        <v>1</v>
      </c>
      <c r="V1073" s="489">
        <v>1</v>
      </c>
      <c r="W1073" s="489">
        <v>15</v>
      </c>
      <c r="X1073" s="489"/>
      <c r="Y1073" s="489"/>
      <c r="Z1073" s="586">
        <v>3000</v>
      </c>
      <c r="AA1073" s="489"/>
      <c r="AB1073" s="579"/>
      <c r="AC1073" s="579"/>
      <c r="AD1073" s="489"/>
      <c r="AE1073" s="489"/>
      <c r="AF1073" s="489" t="s">
        <v>4575</v>
      </c>
      <c r="AG1073" s="489" t="s">
        <v>3865</v>
      </c>
      <c r="AH1073" s="489" t="s">
        <v>3866</v>
      </c>
      <c r="AI1073" s="489" t="s">
        <v>4576</v>
      </c>
      <c r="AJ1073" s="489" t="s">
        <v>6465</v>
      </c>
      <c r="AK1073" s="489">
        <v>0</v>
      </c>
      <c r="AL1073" s="577"/>
      <c r="AM1073" s="489" t="s">
        <v>3867</v>
      </c>
      <c r="AN1073" s="489" t="s">
        <v>5968</v>
      </c>
      <c r="AO1073" s="489"/>
      <c r="AP1073" s="73">
        <v>1</v>
      </c>
      <c r="AQ1073" s="73">
        <v>0</v>
      </c>
      <c r="AR1073" s="73">
        <v>0</v>
      </c>
      <c r="AS1073" s="73">
        <v>0</v>
      </c>
      <c r="AT1073" s="73">
        <v>0</v>
      </c>
      <c r="AU1073" s="226">
        <v>0</v>
      </c>
      <c r="AV1073" s="17">
        <f t="shared" si="154"/>
        <v>0</v>
      </c>
      <c r="AW1073" s="50" t="str">
        <f t="shared" ref="AW1073:AW1078" si="156">"{s_taskTalk,{"&amp;L1073&amp;","&amp;N1073&amp;"}}"</f>
        <v>{s_taskTalk,{60163,60163}}</v>
      </c>
    </row>
    <row r="1074" spans="1:49" s="73" customFormat="1" ht="72.75" thickBot="1" x14ac:dyDescent="0.2">
      <c r="A1074" s="575">
        <v>13060</v>
      </c>
      <c r="B1074" s="489"/>
      <c r="C1074" s="489" t="s">
        <v>2329</v>
      </c>
      <c r="D1074" s="435">
        <v>2</v>
      </c>
      <c r="E1074" s="435">
        <v>0</v>
      </c>
      <c r="F1074" s="489">
        <v>3</v>
      </c>
      <c r="G1074" s="120">
        <v>200</v>
      </c>
      <c r="H1074" s="489">
        <v>200</v>
      </c>
      <c r="I1074" s="17">
        <v>0</v>
      </c>
      <c r="J1074" s="577">
        <v>0</v>
      </c>
      <c r="K1074" s="489">
        <v>0</v>
      </c>
      <c r="L1074" s="489">
        <v>60152</v>
      </c>
      <c r="M1074" s="489" t="s">
        <v>568</v>
      </c>
      <c r="N1074" s="489">
        <v>60152</v>
      </c>
      <c r="O1074" s="489" t="s">
        <v>5204</v>
      </c>
      <c r="P1074" s="489"/>
      <c r="Q1074" s="578"/>
      <c r="R1074" s="578"/>
      <c r="S1074" s="578"/>
      <c r="T1074" s="578"/>
      <c r="U1074" s="489">
        <v>1</v>
      </c>
      <c r="V1074" s="489">
        <v>1</v>
      </c>
      <c r="W1074" s="489">
        <v>20</v>
      </c>
      <c r="X1074" s="489"/>
      <c r="Y1074" s="489"/>
      <c r="Z1074" s="586">
        <v>10000</v>
      </c>
      <c r="AA1074" s="489"/>
      <c r="AB1074" s="579"/>
      <c r="AC1074" s="579"/>
      <c r="AD1074" s="489" t="s">
        <v>1407</v>
      </c>
      <c r="AE1074" s="489"/>
      <c r="AF1074" s="489" t="s">
        <v>570</v>
      </c>
      <c r="AG1074" s="489" t="s">
        <v>567</v>
      </c>
      <c r="AH1074" s="489" t="s">
        <v>576</v>
      </c>
      <c r="AI1074" s="489" t="s">
        <v>569</v>
      </c>
      <c r="AJ1074" s="489" t="s">
        <v>6466</v>
      </c>
      <c r="AK1074" s="489">
        <v>0</v>
      </c>
      <c r="AL1074" s="577"/>
      <c r="AM1074" s="489" t="s">
        <v>606</v>
      </c>
      <c r="AN1074" s="489" t="s">
        <v>5969</v>
      </c>
      <c r="AO1074" s="489"/>
      <c r="AP1074" s="73">
        <v>1</v>
      </c>
      <c r="AQ1074" s="73">
        <v>0</v>
      </c>
      <c r="AR1074" s="73">
        <v>0</v>
      </c>
      <c r="AS1074" s="73">
        <v>0</v>
      </c>
      <c r="AT1074" s="73">
        <v>0</v>
      </c>
      <c r="AU1074" s="226">
        <v>0</v>
      </c>
      <c r="AV1074" s="17">
        <f t="shared" si="154"/>
        <v>0</v>
      </c>
      <c r="AW1074" s="50" t="str">
        <f t="shared" si="156"/>
        <v>{s_taskTalk,{60152,60152}}</v>
      </c>
    </row>
    <row r="1075" spans="1:49" s="73" customFormat="1" ht="96.75" thickBot="1" x14ac:dyDescent="0.2">
      <c r="A1075" s="575">
        <v>13061</v>
      </c>
      <c r="B1075" s="489"/>
      <c r="C1075" s="489" t="s">
        <v>2330</v>
      </c>
      <c r="D1075" s="435">
        <v>2</v>
      </c>
      <c r="E1075" s="435">
        <v>0</v>
      </c>
      <c r="F1075" s="489">
        <v>3</v>
      </c>
      <c r="G1075" s="120">
        <v>200</v>
      </c>
      <c r="H1075" s="489">
        <v>200</v>
      </c>
      <c r="I1075" s="17">
        <v>0</v>
      </c>
      <c r="J1075" s="577">
        <v>0</v>
      </c>
      <c r="K1075" s="489">
        <v>0</v>
      </c>
      <c r="L1075" s="489">
        <v>60000</v>
      </c>
      <c r="M1075" s="489" t="s">
        <v>4577</v>
      </c>
      <c r="N1075" s="489">
        <v>196</v>
      </c>
      <c r="O1075" s="489" t="s">
        <v>1777</v>
      </c>
      <c r="P1075" s="489"/>
      <c r="Q1075" s="578"/>
      <c r="R1075" s="578"/>
      <c r="S1075" s="578"/>
      <c r="T1075" s="578"/>
      <c r="U1075" s="489">
        <v>1</v>
      </c>
      <c r="V1075" s="489">
        <v>1</v>
      </c>
      <c r="W1075" s="489">
        <v>20</v>
      </c>
      <c r="X1075" s="489"/>
      <c r="Y1075" s="489"/>
      <c r="Z1075" s="586">
        <v>10000</v>
      </c>
      <c r="AA1075" s="489"/>
      <c r="AB1075" s="579"/>
      <c r="AC1075" s="579"/>
      <c r="AD1075" s="489"/>
      <c r="AE1075" s="489"/>
      <c r="AF1075" s="489" t="s">
        <v>4578</v>
      </c>
      <c r="AG1075" s="489" t="s">
        <v>4372</v>
      </c>
      <c r="AH1075" s="489" t="s">
        <v>4373</v>
      </c>
      <c r="AI1075" s="489" t="s">
        <v>4374</v>
      </c>
      <c r="AJ1075" s="489" t="s">
        <v>6467</v>
      </c>
      <c r="AK1075" s="489">
        <v>0</v>
      </c>
      <c r="AL1075" s="577"/>
      <c r="AM1075" s="489" t="s">
        <v>1778</v>
      </c>
      <c r="AN1075" s="489" t="s">
        <v>1778</v>
      </c>
      <c r="AO1075" s="489"/>
      <c r="AP1075" s="73">
        <v>1</v>
      </c>
      <c r="AQ1075" s="73">
        <v>0</v>
      </c>
      <c r="AR1075" s="73">
        <v>0</v>
      </c>
      <c r="AS1075" s="73">
        <v>0</v>
      </c>
      <c r="AT1075" s="73">
        <v>0</v>
      </c>
      <c r="AU1075" s="226">
        <v>0</v>
      </c>
      <c r="AV1075" s="17">
        <f t="shared" si="154"/>
        <v>0</v>
      </c>
      <c r="AW1075" s="50" t="str">
        <f t="shared" si="156"/>
        <v>{s_taskTalk,{60000,196}}</v>
      </c>
    </row>
    <row r="1076" spans="1:49" s="73" customFormat="1" ht="60.75" thickBot="1" x14ac:dyDescent="0.2">
      <c r="A1076" s="575">
        <v>13062</v>
      </c>
      <c r="B1076" s="489"/>
      <c r="C1076" s="489" t="s">
        <v>2331</v>
      </c>
      <c r="D1076" s="435">
        <v>2</v>
      </c>
      <c r="E1076" s="435">
        <v>0</v>
      </c>
      <c r="F1076" s="489">
        <v>7</v>
      </c>
      <c r="G1076" s="120">
        <v>200</v>
      </c>
      <c r="H1076" s="489">
        <v>200</v>
      </c>
      <c r="I1076" s="17">
        <v>0</v>
      </c>
      <c r="J1076" s="577">
        <v>13061</v>
      </c>
      <c r="K1076" s="489">
        <v>0</v>
      </c>
      <c r="L1076" s="489">
        <v>196</v>
      </c>
      <c r="M1076" s="489" t="s">
        <v>1777</v>
      </c>
      <c r="N1076" s="489">
        <v>196</v>
      </c>
      <c r="O1076" s="489" t="s">
        <v>5205</v>
      </c>
      <c r="P1076" s="489"/>
      <c r="Q1076" s="578"/>
      <c r="R1076" s="578"/>
      <c r="S1076" s="578"/>
      <c r="T1076" s="578"/>
      <c r="U1076" s="489">
        <v>4</v>
      </c>
      <c r="V1076" s="489">
        <v>0</v>
      </c>
      <c r="W1076" s="489">
        <v>20</v>
      </c>
      <c r="X1076" s="489"/>
      <c r="Y1076" s="489"/>
      <c r="Z1076" s="586">
        <v>10000</v>
      </c>
      <c r="AA1076" s="489"/>
      <c r="AB1076" s="579"/>
      <c r="AC1076" s="579"/>
      <c r="AD1076" s="489"/>
      <c r="AE1076" s="489"/>
      <c r="AF1076" s="489" t="s">
        <v>1780</v>
      </c>
      <c r="AG1076" s="489" t="s">
        <v>1781</v>
      </c>
      <c r="AH1076" s="489" t="s">
        <v>1782</v>
      </c>
      <c r="AI1076" s="489" t="s">
        <v>1783</v>
      </c>
      <c r="AJ1076" s="489" t="s">
        <v>6468</v>
      </c>
      <c r="AK1076" s="489">
        <v>0</v>
      </c>
      <c r="AL1076" s="577"/>
      <c r="AM1076" s="489" t="s">
        <v>1784</v>
      </c>
      <c r="AN1076" s="489" t="s">
        <v>5970</v>
      </c>
      <c r="AO1076" s="489"/>
      <c r="AP1076" s="73">
        <v>1</v>
      </c>
      <c r="AQ1076" s="73">
        <v>0</v>
      </c>
      <c r="AR1076" s="73">
        <v>0</v>
      </c>
      <c r="AS1076" s="73">
        <v>0</v>
      </c>
      <c r="AT1076" s="73">
        <v>0</v>
      </c>
      <c r="AU1076" s="226">
        <v>0</v>
      </c>
      <c r="AV1076" s="17">
        <f t="shared" si="154"/>
        <v>0</v>
      </c>
      <c r="AW1076" s="50" t="str">
        <f t="shared" si="156"/>
        <v>{s_taskTalk,{196,196}}</v>
      </c>
    </row>
    <row r="1077" spans="1:49" s="73" customFormat="1" ht="72.75" thickBot="1" x14ac:dyDescent="0.2">
      <c r="A1077" s="575">
        <v>13070</v>
      </c>
      <c r="B1077" s="489"/>
      <c r="C1077" s="489" t="s">
        <v>2332</v>
      </c>
      <c r="D1077" s="435">
        <v>2</v>
      </c>
      <c r="E1077" s="435">
        <v>0</v>
      </c>
      <c r="F1077" s="489">
        <v>5</v>
      </c>
      <c r="G1077" s="120">
        <v>200</v>
      </c>
      <c r="H1077" s="489">
        <v>200</v>
      </c>
      <c r="I1077" s="17">
        <v>0</v>
      </c>
      <c r="J1077" s="577">
        <v>0</v>
      </c>
      <c r="K1077" s="489">
        <v>0</v>
      </c>
      <c r="L1077" s="489">
        <v>194</v>
      </c>
      <c r="M1077" s="489" t="s">
        <v>1710</v>
      </c>
      <c r="N1077" s="489">
        <v>194</v>
      </c>
      <c r="O1077" s="489" t="s">
        <v>5206</v>
      </c>
      <c r="P1077" s="489"/>
      <c r="Q1077" s="578"/>
      <c r="R1077" s="578"/>
      <c r="S1077" s="578"/>
      <c r="T1077" s="578"/>
      <c r="U1077" s="489">
        <v>4</v>
      </c>
      <c r="V1077" s="489">
        <v>0</v>
      </c>
      <c r="W1077" s="489">
        <v>20</v>
      </c>
      <c r="X1077" s="489"/>
      <c r="Y1077" s="489"/>
      <c r="Z1077" s="586">
        <v>20000</v>
      </c>
      <c r="AA1077" s="489"/>
      <c r="AB1077" s="579"/>
      <c r="AC1077" s="579"/>
      <c r="AD1077" s="489" t="s">
        <v>1718</v>
      </c>
      <c r="AE1077" s="489"/>
      <c r="AF1077" s="489" t="s">
        <v>2986</v>
      </c>
      <c r="AG1077" s="489" t="s">
        <v>1711</v>
      </c>
      <c r="AH1077" s="489" t="s">
        <v>1712</v>
      </c>
      <c r="AI1077" s="489" t="s">
        <v>1715</v>
      </c>
      <c r="AJ1077" s="489" t="s">
        <v>6469</v>
      </c>
      <c r="AK1077" s="489">
        <v>0</v>
      </c>
      <c r="AL1077" s="577"/>
      <c r="AM1077" s="489" t="s">
        <v>1717</v>
      </c>
      <c r="AN1077" s="489" t="s">
        <v>1717</v>
      </c>
      <c r="AO1077" s="489"/>
      <c r="AP1077" s="73">
        <v>1</v>
      </c>
      <c r="AQ1077" s="73">
        <v>0</v>
      </c>
      <c r="AR1077" s="73">
        <v>0</v>
      </c>
      <c r="AS1077" s="73">
        <v>0</v>
      </c>
      <c r="AT1077" s="73">
        <v>0</v>
      </c>
      <c r="AU1077" s="226">
        <v>0</v>
      </c>
      <c r="AV1077" s="17">
        <f t="shared" si="154"/>
        <v>0</v>
      </c>
      <c r="AW1077" s="50" t="str">
        <f t="shared" si="156"/>
        <v>{s_taskTalk,{194,194}}</v>
      </c>
    </row>
    <row r="1078" spans="1:49" s="73" customFormat="1" ht="72.75" thickBot="1" x14ac:dyDescent="0.2">
      <c r="A1078" s="575">
        <v>13080</v>
      </c>
      <c r="B1078" s="489"/>
      <c r="C1078" s="489" t="s">
        <v>2333</v>
      </c>
      <c r="D1078" s="435">
        <v>2</v>
      </c>
      <c r="E1078" s="435">
        <v>0</v>
      </c>
      <c r="F1078" s="489">
        <v>5</v>
      </c>
      <c r="G1078" s="120">
        <v>200</v>
      </c>
      <c r="H1078" s="489">
        <v>200</v>
      </c>
      <c r="I1078" s="17">
        <v>0</v>
      </c>
      <c r="J1078" s="577">
        <v>13070</v>
      </c>
      <c r="K1078" s="489">
        <v>0</v>
      </c>
      <c r="L1078" s="489">
        <v>194</v>
      </c>
      <c r="M1078" s="489" t="s">
        <v>1710</v>
      </c>
      <c r="N1078" s="489">
        <v>194</v>
      </c>
      <c r="O1078" s="489" t="s">
        <v>5206</v>
      </c>
      <c r="P1078" s="489"/>
      <c r="Q1078" s="578"/>
      <c r="R1078" s="578"/>
      <c r="S1078" s="578"/>
      <c r="T1078" s="578"/>
      <c r="U1078" s="489">
        <v>1</v>
      </c>
      <c r="V1078" s="489">
        <v>1</v>
      </c>
      <c r="W1078" s="489">
        <v>20</v>
      </c>
      <c r="X1078" s="489"/>
      <c r="Y1078" s="489"/>
      <c r="Z1078" s="586">
        <v>20000</v>
      </c>
      <c r="AA1078" s="489"/>
      <c r="AB1078" s="579"/>
      <c r="AC1078" s="579"/>
      <c r="AD1078" s="489" t="s">
        <v>1718</v>
      </c>
      <c r="AE1078" s="489"/>
      <c r="AF1078" s="489" t="s">
        <v>1714</v>
      </c>
      <c r="AG1078" s="489" t="s">
        <v>1711</v>
      </c>
      <c r="AH1078" s="489" t="s">
        <v>1712</v>
      </c>
      <c r="AI1078" s="489" t="s">
        <v>1713</v>
      </c>
      <c r="AJ1078" s="489" t="s">
        <v>6470</v>
      </c>
      <c r="AK1078" s="489">
        <v>0</v>
      </c>
      <c r="AL1078" s="577"/>
      <c r="AM1078" s="489" t="s">
        <v>1716</v>
      </c>
      <c r="AN1078" s="489" t="s">
        <v>1716</v>
      </c>
      <c r="AO1078" s="489"/>
      <c r="AP1078" s="73">
        <v>1</v>
      </c>
      <c r="AQ1078" s="73">
        <v>0</v>
      </c>
      <c r="AR1078" s="73">
        <v>0</v>
      </c>
      <c r="AS1078" s="73">
        <v>0</v>
      </c>
      <c r="AT1078" s="73">
        <v>0</v>
      </c>
      <c r="AU1078" s="226">
        <v>0</v>
      </c>
      <c r="AV1078" s="17">
        <f t="shared" si="154"/>
        <v>0</v>
      </c>
      <c r="AW1078" s="50" t="str">
        <f t="shared" si="156"/>
        <v>{s_taskTalk,{194,194}}</v>
      </c>
    </row>
    <row r="1079" spans="1:49" s="73" customFormat="1" ht="72.75" thickBot="1" x14ac:dyDescent="0.2">
      <c r="A1079" s="575">
        <v>13090</v>
      </c>
      <c r="B1079" s="489"/>
      <c r="C1079" s="489" t="s">
        <v>2334</v>
      </c>
      <c r="D1079" s="435">
        <v>2</v>
      </c>
      <c r="E1079" s="435">
        <v>0</v>
      </c>
      <c r="F1079" s="489">
        <v>5</v>
      </c>
      <c r="G1079" s="120">
        <v>200</v>
      </c>
      <c r="H1079" s="489">
        <v>200</v>
      </c>
      <c r="I1079" s="17">
        <v>0</v>
      </c>
      <c r="J1079" s="577">
        <v>13080</v>
      </c>
      <c r="K1079" s="489">
        <v>0</v>
      </c>
      <c r="L1079" s="489">
        <v>194</v>
      </c>
      <c r="M1079" s="489" t="s">
        <v>1710</v>
      </c>
      <c r="N1079" s="489">
        <v>194</v>
      </c>
      <c r="O1079" s="489" t="s">
        <v>5206</v>
      </c>
      <c r="P1079" s="489"/>
      <c r="Q1079" s="578"/>
      <c r="R1079" s="578"/>
      <c r="S1079" s="578"/>
      <c r="T1079" s="578">
        <v>29060</v>
      </c>
      <c r="U1079" s="489">
        <v>1</v>
      </c>
      <c r="V1079" s="489">
        <v>0</v>
      </c>
      <c r="W1079" s="489">
        <v>20</v>
      </c>
      <c r="X1079" s="489"/>
      <c r="Y1079" s="489"/>
      <c r="Z1079" s="586">
        <v>20000</v>
      </c>
      <c r="AA1079" s="489"/>
      <c r="AB1079" s="579"/>
      <c r="AC1079" s="579"/>
      <c r="AD1079" s="489" t="s">
        <v>1733</v>
      </c>
      <c r="AE1079" s="489"/>
      <c r="AF1079" s="489" t="s">
        <v>1725</v>
      </c>
      <c r="AG1079" s="489" t="s">
        <v>1726</v>
      </c>
      <c r="AH1079" s="489" t="s">
        <v>1712</v>
      </c>
      <c r="AI1079" s="489" t="s">
        <v>1727</v>
      </c>
      <c r="AJ1079" s="489" t="s">
        <v>6471</v>
      </c>
      <c r="AK1079" s="489">
        <v>0</v>
      </c>
      <c r="AL1079" s="577"/>
      <c r="AM1079" s="489" t="s">
        <v>1728</v>
      </c>
      <c r="AN1079" s="489" t="s">
        <v>5971</v>
      </c>
      <c r="AO1079" s="484"/>
      <c r="AP1079" s="73">
        <v>1</v>
      </c>
      <c r="AQ1079" s="73">
        <v>0</v>
      </c>
      <c r="AR1079" s="73">
        <v>0</v>
      </c>
      <c r="AS1079" s="73">
        <v>0</v>
      </c>
      <c r="AT1079" s="73">
        <v>0</v>
      </c>
      <c r="AU1079" s="226">
        <v>0</v>
      </c>
      <c r="AV1079" s="17">
        <f t="shared" si="154"/>
        <v>0</v>
      </c>
      <c r="AW1079" s="556" t="str">
        <f>"{s_taskGather,{"&amp;L1079&amp;","&amp;N1079&amp;","&amp;T1079&amp;","&amp;U1079&amp;",0,0}}"</f>
        <v>{s_taskGather,{194,194,29060,1,0,0}}</v>
      </c>
    </row>
    <row r="1080" spans="1:49" s="99" customFormat="1" ht="72" x14ac:dyDescent="0.15">
      <c r="A1080" s="593">
        <v>13500</v>
      </c>
      <c r="B1080" s="582"/>
      <c r="C1080" s="582" t="s">
        <v>2335</v>
      </c>
      <c r="D1080" s="99">
        <v>2</v>
      </c>
      <c r="E1080" s="99">
        <v>0</v>
      </c>
      <c r="F1080" s="582">
        <v>3</v>
      </c>
      <c r="G1080" s="120">
        <v>200</v>
      </c>
      <c r="H1080" s="582">
        <v>200</v>
      </c>
      <c r="I1080" s="17">
        <v>0</v>
      </c>
      <c r="J1080" s="583">
        <v>0</v>
      </c>
      <c r="K1080" s="582">
        <v>0</v>
      </c>
      <c r="L1080" s="582">
        <v>60073</v>
      </c>
      <c r="M1080" s="582" t="s">
        <v>589</v>
      </c>
      <c r="N1080" s="582">
        <v>60073</v>
      </c>
      <c r="O1080" s="582" t="s">
        <v>5191</v>
      </c>
      <c r="P1080" s="582"/>
      <c r="Q1080" s="584"/>
      <c r="R1080" s="584"/>
      <c r="S1080" s="584"/>
      <c r="T1080" s="584"/>
      <c r="U1080" s="582">
        <v>1</v>
      </c>
      <c r="V1080" s="582">
        <v>1</v>
      </c>
      <c r="W1080" s="582">
        <v>20</v>
      </c>
      <c r="X1080" s="582"/>
      <c r="Y1080" s="582"/>
      <c r="Z1080" s="153">
        <v>10000</v>
      </c>
      <c r="AA1080" s="582"/>
      <c r="AB1080" s="585"/>
      <c r="AC1080" s="585"/>
      <c r="AD1080" s="582"/>
      <c r="AE1080" s="582"/>
      <c r="AF1080" s="582" t="s">
        <v>4579</v>
      </c>
      <c r="AG1080" s="582" t="s">
        <v>579</v>
      </c>
      <c r="AH1080" s="582" t="s">
        <v>566</v>
      </c>
      <c r="AI1080" s="582" t="s">
        <v>4576</v>
      </c>
      <c r="AJ1080" s="582" t="s">
        <v>6465</v>
      </c>
      <c r="AK1080" s="582">
        <v>0</v>
      </c>
      <c r="AL1080" s="583"/>
      <c r="AM1080" s="582" t="s">
        <v>1079</v>
      </c>
      <c r="AN1080" s="582" t="s">
        <v>5972</v>
      </c>
      <c r="AO1080" s="582"/>
      <c r="AP1080" s="99">
        <v>1</v>
      </c>
      <c r="AQ1080" s="99">
        <v>0</v>
      </c>
      <c r="AR1080" s="99">
        <v>0</v>
      </c>
      <c r="AS1080" s="99">
        <v>0</v>
      </c>
      <c r="AT1080" s="99">
        <v>0</v>
      </c>
      <c r="AU1080" s="226">
        <v>0</v>
      </c>
      <c r="AV1080" s="17">
        <f t="shared" si="154"/>
        <v>0</v>
      </c>
      <c r="AW1080" s="99" t="str">
        <f>"{s_taskTalk,{"&amp;L1080&amp;","&amp;N1080&amp;"}}"</f>
        <v>{s_taskTalk,{60073,60073}}</v>
      </c>
    </row>
    <row r="1081" spans="1:49" s="73" customFormat="1" ht="72" x14ac:dyDescent="0.15">
      <c r="A1081" s="594">
        <v>13501</v>
      </c>
      <c r="B1081" s="484"/>
      <c r="C1081" s="484" t="s">
        <v>4089</v>
      </c>
      <c r="D1081" s="435">
        <v>2</v>
      </c>
      <c r="E1081" s="435">
        <v>0</v>
      </c>
      <c r="F1081" s="484">
        <v>3</v>
      </c>
      <c r="G1081" s="120">
        <v>200</v>
      </c>
      <c r="H1081" s="484">
        <v>200</v>
      </c>
      <c r="I1081" s="17">
        <v>0</v>
      </c>
      <c r="J1081" s="572">
        <v>0</v>
      </c>
      <c r="K1081" s="484">
        <v>0</v>
      </c>
      <c r="L1081" s="484">
        <v>60000</v>
      </c>
      <c r="M1081" s="484" t="s">
        <v>1690</v>
      </c>
      <c r="N1081" s="484">
        <v>60559</v>
      </c>
      <c r="O1081" s="484" t="s">
        <v>5172</v>
      </c>
      <c r="P1081" s="484"/>
      <c r="Q1081" s="550"/>
      <c r="R1081" s="550"/>
      <c r="S1081" s="550"/>
      <c r="T1081" s="550"/>
      <c r="U1081" s="484">
        <v>1</v>
      </c>
      <c r="V1081" s="484">
        <v>1</v>
      </c>
      <c r="W1081" s="484">
        <v>20</v>
      </c>
      <c r="X1081" s="484"/>
      <c r="Y1081" s="484"/>
      <c r="Z1081" s="278">
        <v>20000</v>
      </c>
      <c r="AA1081" s="484"/>
      <c r="AB1081" s="551"/>
      <c r="AC1081" s="551"/>
      <c r="AD1081" s="484"/>
      <c r="AE1081" s="484"/>
      <c r="AF1081" s="484" t="s">
        <v>4580</v>
      </c>
      <c r="AG1081" s="484" t="s">
        <v>4408</v>
      </c>
      <c r="AH1081" s="484" t="s">
        <v>1691</v>
      </c>
      <c r="AI1081" s="484" t="s">
        <v>4409</v>
      </c>
      <c r="AJ1081" s="484" t="s">
        <v>4410</v>
      </c>
      <c r="AK1081" s="484">
        <v>0</v>
      </c>
      <c r="AL1081" s="572"/>
      <c r="AM1081" s="484" t="s">
        <v>1692</v>
      </c>
      <c r="AN1081" s="484" t="s">
        <v>5973</v>
      </c>
      <c r="AO1081" s="484"/>
      <c r="AP1081" s="73">
        <v>1</v>
      </c>
      <c r="AQ1081" s="73">
        <v>0</v>
      </c>
      <c r="AR1081" s="73">
        <v>0</v>
      </c>
      <c r="AS1081" s="73">
        <v>0</v>
      </c>
      <c r="AT1081" s="73">
        <v>0</v>
      </c>
      <c r="AU1081" s="226">
        <v>0</v>
      </c>
      <c r="AV1081" s="17">
        <f t="shared" ref="AV1081:AV1144" si="157">IF(D1081 = 1,1,0)</f>
        <v>0</v>
      </c>
      <c r="AW1081" s="50" t="str">
        <f>"{s_taskTalk,{"&amp;L1081&amp;","&amp;N1081&amp;"}}"</f>
        <v>{s_taskTalk,{60000,60559}}</v>
      </c>
    </row>
    <row r="1082" spans="1:49" s="73" customFormat="1" ht="84" x14ac:dyDescent="0.15">
      <c r="A1082" s="594">
        <v>13502</v>
      </c>
      <c r="B1082" s="484"/>
      <c r="C1082" s="484" t="s">
        <v>4411</v>
      </c>
      <c r="D1082" s="435">
        <v>2</v>
      </c>
      <c r="E1082" s="435">
        <v>0</v>
      </c>
      <c r="F1082" s="484">
        <v>5</v>
      </c>
      <c r="G1082" s="120">
        <v>200</v>
      </c>
      <c r="H1082" s="484">
        <v>200</v>
      </c>
      <c r="I1082" s="17">
        <v>0</v>
      </c>
      <c r="J1082" s="572">
        <v>0</v>
      </c>
      <c r="K1082" s="484">
        <v>0</v>
      </c>
      <c r="L1082" s="484">
        <v>60567</v>
      </c>
      <c r="M1082" s="484" t="s">
        <v>1786</v>
      </c>
      <c r="N1082" s="484">
        <v>60567</v>
      </c>
      <c r="O1082" s="484" t="s">
        <v>1786</v>
      </c>
      <c r="P1082" s="484"/>
      <c r="Q1082" s="550"/>
      <c r="R1082" s="550"/>
      <c r="S1082" s="550"/>
      <c r="T1082" s="550"/>
      <c r="U1082" s="484">
        <v>1</v>
      </c>
      <c r="V1082" s="484">
        <v>1</v>
      </c>
      <c r="W1082" s="484">
        <v>20</v>
      </c>
      <c r="X1082" s="484"/>
      <c r="Y1082" s="484"/>
      <c r="Z1082" s="278">
        <v>20000</v>
      </c>
      <c r="AA1082" s="484"/>
      <c r="AB1082" s="551"/>
      <c r="AC1082" s="551"/>
      <c r="AD1082" s="484"/>
      <c r="AE1082" s="484"/>
      <c r="AF1082" s="484" t="s">
        <v>4412</v>
      </c>
      <c r="AG1082" s="484" t="s">
        <v>4413</v>
      </c>
      <c r="AH1082" s="484" t="s">
        <v>7319</v>
      </c>
      <c r="AI1082" s="484" t="s">
        <v>4414</v>
      </c>
      <c r="AJ1082" s="484" t="s">
        <v>6472</v>
      </c>
      <c r="AK1082" s="484">
        <v>0</v>
      </c>
      <c r="AL1082" s="572"/>
      <c r="AM1082" s="484" t="s">
        <v>7320</v>
      </c>
      <c r="AN1082" s="484" t="s">
        <v>5974</v>
      </c>
      <c r="AO1082" s="484"/>
      <c r="AP1082" s="73">
        <v>1</v>
      </c>
      <c r="AQ1082" s="73">
        <v>0</v>
      </c>
      <c r="AR1082" s="73">
        <v>0</v>
      </c>
      <c r="AS1082" s="73">
        <v>0</v>
      </c>
      <c r="AT1082" s="73">
        <v>0</v>
      </c>
      <c r="AU1082" s="226">
        <v>0</v>
      </c>
      <c r="AV1082" s="17">
        <f t="shared" si="157"/>
        <v>0</v>
      </c>
      <c r="AW1082" s="50" t="str">
        <f>"{s_taskTalk,{"&amp;L1082&amp;","&amp;N1082&amp;"}}"</f>
        <v>{s_taskTalk,{60567,60567}}</v>
      </c>
    </row>
    <row r="1083" spans="1:49" s="73" customFormat="1" ht="96" x14ac:dyDescent="0.15">
      <c r="A1083" s="594">
        <v>13503</v>
      </c>
      <c r="B1083" s="484"/>
      <c r="C1083" s="484" t="s">
        <v>2336</v>
      </c>
      <c r="D1083" s="435">
        <v>2</v>
      </c>
      <c r="E1083" s="435">
        <v>0</v>
      </c>
      <c r="F1083" s="484">
        <v>5</v>
      </c>
      <c r="G1083" s="120">
        <v>200</v>
      </c>
      <c r="H1083" s="484">
        <v>200</v>
      </c>
      <c r="I1083" s="17">
        <v>0</v>
      </c>
      <c r="J1083" s="572">
        <v>0</v>
      </c>
      <c r="K1083" s="484">
        <v>0</v>
      </c>
      <c r="L1083" s="484">
        <v>60559</v>
      </c>
      <c r="M1083" s="484" t="s">
        <v>1789</v>
      </c>
      <c r="N1083" s="484">
        <v>60583</v>
      </c>
      <c r="O1083" s="484" t="s">
        <v>5207</v>
      </c>
      <c r="P1083" s="484"/>
      <c r="Q1083" s="550"/>
      <c r="R1083" s="550"/>
      <c r="S1083" s="550"/>
      <c r="T1083" s="550"/>
      <c r="U1083" s="484">
        <v>1</v>
      </c>
      <c r="V1083" s="484">
        <v>1</v>
      </c>
      <c r="W1083" s="484">
        <v>20</v>
      </c>
      <c r="X1083" s="484"/>
      <c r="Y1083" s="484"/>
      <c r="Z1083" s="278">
        <v>50000</v>
      </c>
      <c r="AA1083" s="484"/>
      <c r="AB1083" s="551"/>
      <c r="AC1083" s="551"/>
      <c r="AD1083" s="484"/>
      <c r="AE1083" s="484"/>
      <c r="AF1083" s="484" t="s">
        <v>7321</v>
      </c>
      <c r="AG1083" s="484" t="s">
        <v>7322</v>
      </c>
      <c r="AH1083" s="484" t="s">
        <v>7323</v>
      </c>
      <c r="AI1083" s="484" t="s">
        <v>1790</v>
      </c>
      <c r="AJ1083" s="484" t="s">
        <v>6473</v>
      </c>
      <c r="AK1083" s="484">
        <v>0</v>
      </c>
      <c r="AL1083" s="572"/>
      <c r="AM1083" s="484" t="s">
        <v>7324</v>
      </c>
      <c r="AN1083" s="484" t="s">
        <v>5975</v>
      </c>
      <c r="AO1083" s="484"/>
      <c r="AP1083" s="73">
        <v>1</v>
      </c>
      <c r="AQ1083" s="73">
        <v>0</v>
      </c>
      <c r="AR1083" s="73">
        <v>0</v>
      </c>
      <c r="AS1083" s="73">
        <v>0</v>
      </c>
      <c r="AT1083" s="73">
        <v>0</v>
      </c>
      <c r="AU1083" s="226">
        <v>0</v>
      </c>
      <c r="AV1083" s="17">
        <f t="shared" si="157"/>
        <v>0</v>
      </c>
      <c r="AW1083" s="50" t="str">
        <f>"{s_taskTalk,{"&amp;L1083&amp;","&amp;N1083&amp;"}}"</f>
        <v>{s_taskTalk,{60559,60583}}</v>
      </c>
    </row>
    <row r="1084" spans="1:49" s="73" customFormat="1" ht="84.75" thickBot="1" x14ac:dyDescent="0.2">
      <c r="A1084" s="508">
        <v>15000</v>
      </c>
      <c r="B1084" s="484"/>
      <c r="C1084" s="484" t="s">
        <v>2337</v>
      </c>
      <c r="D1084" s="435">
        <v>2</v>
      </c>
      <c r="E1084" s="435">
        <v>0</v>
      </c>
      <c r="F1084" s="484">
        <v>3</v>
      </c>
      <c r="G1084" s="120">
        <v>200</v>
      </c>
      <c r="H1084" s="484">
        <v>200</v>
      </c>
      <c r="I1084" s="17">
        <v>0</v>
      </c>
      <c r="J1084" s="572">
        <v>0</v>
      </c>
      <c r="K1084" s="484">
        <v>0</v>
      </c>
      <c r="L1084" s="484">
        <v>135</v>
      </c>
      <c r="M1084" s="484" t="s">
        <v>1207</v>
      </c>
      <c r="N1084" s="484">
        <v>135</v>
      </c>
      <c r="O1084" s="484" t="s">
        <v>5208</v>
      </c>
      <c r="P1084" s="484"/>
      <c r="Q1084" s="550"/>
      <c r="R1084" s="550"/>
      <c r="S1084" s="550"/>
      <c r="T1084" s="550">
        <v>31194</v>
      </c>
      <c r="U1084" s="484">
        <v>1</v>
      </c>
      <c r="V1084" s="484">
        <v>0</v>
      </c>
      <c r="W1084" s="484">
        <v>44</v>
      </c>
      <c r="X1084" s="484"/>
      <c r="Y1084" s="484"/>
      <c r="Z1084" s="278">
        <v>20000</v>
      </c>
      <c r="AA1084" s="484"/>
      <c r="AB1084" s="551"/>
      <c r="AC1084" s="551"/>
      <c r="AD1084" s="484"/>
      <c r="AE1084" s="484"/>
      <c r="AF1084" s="484" t="s">
        <v>4340</v>
      </c>
      <c r="AG1084" s="484" t="s">
        <v>1768</v>
      </c>
      <c r="AH1084" s="484" t="s">
        <v>1767</v>
      </c>
      <c r="AI1084" s="484" t="s">
        <v>1769</v>
      </c>
      <c r="AJ1084" s="484" t="s">
        <v>1208</v>
      </c>
      <c r="AK1084" s="484">
        <v>0</v>
      </c>
      <c r="AL1084" s="572"/>
      <c r="AM1084" s="484" t="s">
        <v>1770</v>
      </c>
      <c r="AN1084" s="484" t="s">
        <v>5976</v>
      </c>
      <c r="AO1084" s="484" t="s">
        <v>1209</v>
      </c>
      <c r="AP1084" s="73">
        <v>1</v>
      </c>
      <c r="AQ1084" s="73">
        <v>0</v>
      </c>
      <c r="AR1084" s="73">
        <v>0</v>
      </c>
      <c r="AS1084" s="73">
        <v>0</v>
      </c>
      <c r="AT1084" s="73">
        <v>0</v>
      </c>
      <c r="AU1084" s="226">
        <v>0</v>
      </c>
      <c r="AV1084" s="17">
        <f t="shared" si="157"/>
        <v>0</v>
      </c>
      <c r="AW1084" s="556" t="str">
        <f>"{s_taskGather,{"&amp;L1084&amp;","&amp;N1084&amp;","&amp;T1084&amp;","&amp;U1084&amp;",0,0}}"</f>
        <v>{s_taskGather,{135,135,31194,1,0,0}}</v>
      </c>
    </row>
    <row r="1085" spans="1:49" s="73" customFormat="1" ht="84.75" thickBot="1" x14ac:dyDescent="0.2">
      <c r="A1085" s="9">
        <v>15011</v>
      </c>
      <c r="B1085" s="50"/>
      <c r="C1085" s="50" t="s">
        <v>2338</v>
      </c>
      <c r="D1085" s="50">
        <v>2</v>
      </c>
      <c r="E1085" s="50">
        <v>0</v>
      </c>
      <c r="F1085" s="50">
        <v>6</v>
      </c>
      <c r="G1085" s="120">
        <v>200</v>
      </c>
      <c r="H1085" s="50">
        <v>200</v>
      </c>
      <c r="I1085" s="17">
        <v>0</v>
      </c>
      <c r="J1085" s="120">
        <v>1671</v>
      </c>
      <c r="K1085" s="50">
        <v>0</v>
      </c>
      <c r="L1085" s="50">
        <v>60159</v>
      </c>
      <c r="M1085" s="50" t="s">
        <v>224</v>
      </c>
      <c r="N1085" s="50">
        <v>60159</v>
      </c>
      <c r="O1085" s="50" t="s">
        <v>224</v>
      </c>
      <c r="P1085" s="50"/>
      <c r="Q1085" s="121"/>
      <c r="R1085" s="121"/>
      <c r="S1085" s="121">
        <v>10079</v>
      </c>
      <c r="T1085" s="121"/>
      <c r="U1085" s="50">
        <v>200</v>
      </c>
      <c r="V1085" s="50">
        <v>0</v>
      </c>
      <c r="W1085" s="122">
        <v>0</v>
      </c>
      <c r="X1085" s="50"/>
      <c r="Y1085" s="50"/>
      <c r="Z1085" s="123"/>
      <c r="AA1085" s="50"/>
      <c r="AB1085" s="124"/>
      <c r="AC1085" s="124"/>
      <c r="AD1085" s="489" t="s">
        <v>1721</v>
      </c>
      <c r="AE1085" s="50"/>
      <c r="AF1085" s="126" t="s">
        <v>3173</v>
      </c>
      <c r="AG1085" s="126" t="s">
        <v>3179</v>
      </c>
      <c r="AH1085" s="126" t="s">
        <v>1214</v>
      </c>
      <c r="AI1085" s="126" t="s">
        <v>1215</v>
      </c>
      <c r="AJ1085" s="126" t="s">
        <v>3180</v>
      </c>
      <c r="AK1085" s="50"/>
      <c r="AL1085" s="120">
        <v>0</v>
      </c>
      <c r="AM1085" s="127" t="s">
        <v>7124</v>
      </c>
      <c r="AN1085" s="127" t="s">
        <v>5977</v>
      </c>
      <c r="AO1085" s="484"/>
      <c r="AP1085" s="73">
        <v>1</v>
      </c>
      <c r="AQ1085" s="73">
        <v>0</v>
      </c>
      <c r="AR1085" s="73">
        <v>0</v>
      </c>
      <c r="AS1085" s="73">
        <v>0</v>
      </c>
      <c r="AT1085" s="73">
        <v>0</v>
      </c>
      <c r="AU1085" s="226">
        <v>0</v>
      </c>
      <c r="AV1085" s="17">
        <f t="shared" si="157"/>
        <v>0</v>
      </c>
      <c r="AW1085" s="242" t="str">
        <f>"{s_taskKillNpc, {"&amp;L1085&amp;","&amp;N1085&amp;","&amp;S1085&amp;","&amp;U1085&amp;"}}"</f>
        <v>{s_taskKillNpc, {60159,60159,10079,200}}</v>
      </c>
    </row>
    <row r="1086" spans="1:49" s="73" customFormat="1" ht="84.75" thickBot="1" x14ac:dyDescent="0.2">
      <c r="A1086" s="9">
        <v>15012</v>
      </c>
      <c r="B1086" s="50"/>
      <c r="C1086" s="50" t="s">
        <v>2339</v>
      </c>
      <c r="D1086" s="50">
        <v>2</v>
      </c>
      <c r="E1086" s="50">
        <v>0</v>
      </c>
      <c r="F1086" s="50">
        <v>7</v>
      </c>
      <c r="G1086" s="120">
        <v>200</v>
      </c>
      <c r="H1086" s="50">
        <v>200</v>
      </c>
      <c r="I1086" s="17">
        <v>0</v>
      </c>
      <c r="J1086" s="120">
        <v>1831</v>
      </c>
      <c r="K1086" s="50">
        <v>0</v>
      </c>
      <c r="L1086" s="50">
        <v>60088</v>
      </c>
      <c r="M1086" s="50" t="s">
        <v>229</v>
      </c>
      <c r="N1086" s="50">
        <v>60088</v>
      </c>
      <c r="O1086" s="50" t="s">
        <v>229</v>
      </c>
      <c r="P1086" s="50"/>
      <c r="Q1086" s="121"/>
      <c r="R1086" s="121"/>
      <c r="S1086" s="121">
        <v>10091</v>
      </c>
      <c r="T1086" s="121"/>
      <c r="U1086" s="50">
        <v>200</v>
      </c>
      <c r="V1086" s="50">
        <v>0</v>
      </c>
      <c r="W1086" s="122">
        <v>0</v>
      </c>
      <c r="X1086" s="50"/>
      <c r="Y1086" s="50"/>
      <c r="Z1086" s="123">
        <v>20000</v>
      </c>
      <c r="AA1086" s="50"/>
      <c r="AB1086" s="124"/>
      <c r="AC1086" s="124"/>
      <c r="AD1086" s="489" t="s">
        <v>1722</v>
      </c>
      <c r="AE1086" s="50"/>
      <c r="AF1086" s="50" t="s">
        <v>3174</v>
      </c>
      <c r="AG1086" s="50" t="s">
        <v>3178</v>
      </c>
      <c r="AH1086" s="50" t="s">
        <v>1216</v>
      </c>
      <c r="AI1086" s="50" t="s">
        <v>1217</v>
      </c>
      <c r="AJ1086" s="50" t="s">
        <v>3181</v>
      </c>
      <c r="AK1086" s="50"/>
      <c r="AL1086" s="120">
        <v>0</v>
      </c>
      <c r="AM1086" s="127" t="s">
        <v>3184</v>
      </c>
      <c r="AN1086" s="127" t="s">
        <v>5978</v>
      </c>
      <c r="AO1086" s="484"/>
      <c r="AP1086" s="73">
        <v>1</v>
      </c>
      <c r="AQ1086" s="73">
        <v>0</v>
      </c>
      <c r="AR1086" s="73">
        <v>0</v>
      </c>
      <c r="AS1086" s="73">
        <v>0</v>
      </c>
      <c r="AT1086" s="73">
        <v>0</v>
      </c>
      <c r="AU1086" s="226">
        <v>0</v>
      </c>
      <c r="AV1086" s="17">
        <f t="shared" si="157"/>
        <v>0</v>
      </c>
      <c r="AW1086" s="242" t="str">
        <f>"{s_taskKillNpc, {"&amp;L1086&amp;","&amp;N1086&amp;","&amp;S1086&amp;","&amp;U1086&amp;"}}"</f>
        <v>{s_taskKillNpc, {60088,60088,10091,200}}</v>
      </c>
    </row>
    <row r="1087" spans="1:49" s="73" customFormat="1" ht="84.75" thickBot="1" x14ac:dyDescent="0.2">
      <c r="A1087" s="9">
        <v>15013</v>
      </c>
      <c r="B1087" s="50"/>
      <c r="C1087" s="50" t="s">
        <v>2340</v>
      </c>
      <c r="D1087" s="50">
        <v>2</v>
      </c>
      <c r="E1087" s="50">
        <v>0</v>
      </c>
      <c r="F1087" s="50">
        <v>7</v>
      </c>
      <c r="G1087" s="120">
        <v>200</v>
      </c>
      <c r="H1087" s="50">
        <v>200</v>
      </c>
      <c r="I1087" s="17">
        <v>0</v>
      </c>
      <c r="J1087" s="120">
        <v>1901</v>
      </c>
      <c r="K1087" s="50">
        <v>0</v>
      </c>
      <c r="L1087" s="50">
        <v>60088</v>
      </c>
      <c r="M1087" s="50" t="s">
        <v>229</v>
      </c>
      <c r="N1087" s="50">
        <v>60088</v>
      </c>
      <c r="O1087" s="50" t="s">
        <v>229</v>
      </c>
      <c r="P1087" s="50"/>
      <c r="Q1087" s="121"/>
      <c r="R1087" s="121"/>
      <c r="S1087" s="121">
        <v>10094</v>
      </c>
      <c r="T1087" s="121"/>
      <c r="U1087" s="50">
        <v>300</v>
      </c>
      <c r="V1087" s="50">
        <v>0</v>
      </c>
      <c r="W1087" s="122">
        <v>0</v>
      </c>
      <c r="X1087" s="50"/>
      <c r="Y1087" s="50"/>
      <c r="Z1087" s="123">
        <v>20000</v>
      </c>
      <c r="AA1087" s="50"/>
      <c r="AB1087" s="124"/>
      <c r="AC1087" s="124"/>
      <c r="AD1087" s="489" t="s">
        <v>1723</v>
      </c>
      <c r="AE1087" s="50"/>
      <c r="AF1087" s="50" t="s">
        <v>3175</v>
      </c>
      <c r="AG1087" s="50" t="s">
        <v>3177</v>
      </c>
      <c r="AH1087" s="50" t="s">
        <v>1216</v>
      </c>
      <c r="AI1087" s="50" t="s">
        <v>1218</v>
      </c>
      <c r="AJ1087" s="50" t="s">
        <v>3182</v>
      </c>
      <c r="AK1087" s="50"/>
      <c r="AL1087" s="120">
        <v>0</v>
      </c>
      <c r="AM1087" s="127" t="s">
        <v>6176</v>
      </c>
      <c r="AN1087" s="127" t="s">
        <v>5979</v>
      </c>
      <c r="AO1087" s="484"/>
      <c r="AP1087" s="73">
        <v>1</v>
      </c>
      <c r="AQ1087" s="73">
        <v>0</v>
      </c>
      <c r="AR1087" s="73">
        <v>0</v>
      </c>
      <c r="AS1087" s="73">
        <v>0</v>
      </c>
      <c r="AT1087" s="73">
        <v>0</v>
      </c>
      <c r="AU1087" s="226">
        <v>0</v>
      </c>
      <c r="AV1087" s="17">
        <f t="shared" si="157"/>
        <v>0</v>
      </c>
      <c r="AW1087" s="242" t="str">
        <f>"{s_taskKillNpc, {"&amp;L1087&amp;","&amp;N1087&amp;","&amp;S1087&amp;","&amp;U1087&amp;"}}"</f>
        <v>{s_taskKillNpc, {60088,60088,10094,300}}</v>
      </c>
    </row>
    <row r="1088" spans="1:49" s="73" customFormat="1" ht="84.75" thickBot="1" x14ac:dyDescent="0.2">
      <c r="A1088" s="9">
        <v>15014</v>
      </c>
      <c r="B1088" s="205"/>
      <c r="C1088" s="205" t="s">
        <v>2341</v>
      </c>
      <c r="D1088" s="205">
        <v>2</v>
      </c>
      <c r="E1088" s="205">
        <v>0</v>
      </c>
      <c r="F1088" s="205">
        <v>3</v>
      </c>
      <c r="G1088" s="120">
        <v>200</v>
      </c>
      <c r="H1088" s="205">
        <v>200</v>
      </c>
      <c r="I1088" s="17">
        <v>0</v>
      </c>
      <c r="J1088" s="136">
        <v>1586</v>
      </c>
      <c r="K1088" s="205">
        <v>0</v>
      </c>
      <c r="L1088" s="205">
        <v>60152</v>
      </c>
      <c r="M1088" s="205" t="s">
        <v>218</v>
      </c>
      <c r="N1088" s="205">
        <v>60152</v>
      </c>
      <c r="O1088" s="205" t="s">
        <v>218</v>
      </c>
      <c r="P1088" s="205"/>
      <c r="Q1088" s="121"/>
      <c r="R1088" s="121"/>
      <c r="S1088" s="121">
        <v>10065</v>
      </c>
      <c r="T1088" s="121"/>
      <c r="U1088" s="205">
        <v>100</v>
      </c>
      <c r="V1088" s="205">
        <v>0</v>
      </c>
      <c r="W1088" s="122">
        <v>0</v>
      </c>
      <c r="X1088" s="205"/>
      <c r="Y1088" s="205"/>
      <c r="Z1088" s="206">
        <v>20000</v>
      </c>
      <c r="AA1088" s="205">
        <v>40</v>
      </c>
      <c r="AB1088" s="207"/>
      <c r="AC1088" s="207"/>
      <c r="AD1088" s="489" t="s">
        <v>1724</v>
      </c>
      <c r="AE1088" s="205"/>
      <c r="AF1088" s="595" t="s">
        <v>3176</v>
      </c>
      <c r="AG1088" s="595" t="s">
        <v>1219</v>
      </c>
      <c r="AH1088" s="50" t="s">
        <v>1216</v>
      </c>
      <c r="AI1088" s="595" t="s">
        <v>1220</v>
      </c>
      <c r="AJ1088" s="595" t="s">
        <v>3183</v>
      </c>
      <c r="AK1088" s="205"/>
      <c r="AL1088" s="136">
        <v>0</v>
      </c>
      <c r="AM1088" s="204" t="s">
        <v>6177</v>
      </c>
      <c r="AN1088" s="204" t="s">
        <v>5980</v>
      </c>
      <c r="AO1088" s="484"/>
      <c r="AP1088" s="73">
        <v>1</v>
      </c>
      <c r="AQ1088" s="73">
        <v>0</v>
      </c>
      <c r="AR1088" s="73">
        <v>0</v>
      </c>
      <c r="AS1088" s="73">
        <v>0</v>
      </c>
      <c r="AT1088" s="73">
        <v>0</v>
      </c>
      <c r="AU1088" s="226">
        <v>0</v>
      </c>
      <c r="AV1088" s="17">
        <f t="shared" si="157"/>
        <v>0</v>
      </c>
      <c r="AW1088" s="242" t="str">
        <f>"{s_taskKillNpc, {"&amp;L1088&amp;","&amp;N1088&amp;","&amp;S1088&amp;","&amp;U1088&amp;"}}"</f>
        <v>{s_taskKillNpc, {60152,60152,10065,100}}</v>
      </c>
    </row>
    <row r="1089" spans="1:49" s="73" customFormat="1" ht="72" x14ac:dyDescent="0.15">
      <c r="A1089" s="9">
        <v>15051</v>
      </c>
      <c r="B1089" s="226"/>
      <c r="C1089" s="226" t="s">
        <v>2342</v>
      </c>
      <c r="D1089" s="226">
        <v>2</v>
      </c>
      <c r="E1089" s="226">
        <v>0</v>
      </c>
      <c r="F1089" s="226">
        <v>4</v>
      </c>
      <c r="G1089" s="120">
        <v>200</v>
      </c>
      <c r="H1089" s="226">
        <v>200</v>
      </c>
      <c r="I1089" s="17">
        <v>0</v>
      </c>
      <c r="J1089" s="234">
        <v>0</v>
      </c>
      <c r="K1089" s="226">
        <v>0</v>
      </c>
      <c r="L1089" s="226">
        <v>60062</v>
      </c>
      <c r="M1089" s="226"/>
      <c r="N1089" s="226">
        <v>60062</v>
      </c>
      <c r="O1089" s="226"/>
      <c r="P1089" s="226"/>
      <c r="Q1089" s="228"/>
      <c r="R1089" s="228"/>
      <c r="S1089" s="228"/>
      <c r="T1089" s="226">
        <v>31071</v>
      </c>
      <c r="U1089" s="226">
        <v>1</v>
      </c>
      <c r="V1089" s="226">
        <v>1</v>
      </c>
      <c r="W1089" s="122">
        <v>0</v>
      </c>
      <c r="X1089" s="226"/>
      <c r="Y1089" s="226"/>
      <c r="Z1089" s="230">
        <v>0</v>
      </c>
      <c r="AA1089" s="226"/>
      <c r="AB1089" s="231"/>
      <c r="AC1089" s="231"/>
      <c r="AD1089" s="226"/>
      <c r="AE1089" s="226"/>
      <c r="AF1089" s="595" t="s">
        <v>1224</v>
      </c>
      <c r="AG1089" s="595" t="s">
        <v>1223</v>
      </c>
      <c r="AH1089" s="50" t="s">
        <v>1216</v>
      </c>
      <c r="AI1089" s="595" t="s">
        <v>1220</v>
      </c>
      <c r="AJ1089" s="595" t="s">
        <v>1720</v>
      </c>
      <c r="AK1089" s="226"/>
      <c r="AL1089" s="234">
        <v>0</v>
      </c>
      <c r="AM1089" s="226" t="s">
        <v>1221</v>
      </c>
      <c r="AN1089" s="226" t="s">
        <v>1222</v>
      </c>
      <c r="AO1089" s="226"/>
      <c r="AP1089" s="73">
        <v>1</v>
      </c>
      <c r="AQ1089" s="73">
        <v>0</v>
      </c>
      <c r="AR1089" s="73">
        <v>0</v>
      </c>
      <c r="AS1089" s="73">
        <v>0</v>
      </c>
      <c r="AT1089" s="73">
        <v>0</v>
      </c>
      <c r="AU1089" s="226">
        <v>0</v>
      </c>
      <c r="AV1089" s="17">
        <f t="shared" si="157"/>
        <v>0</v>
      </c>
      <c r="AW1089" s="556" t="str">
        <f>"{s_taskGather,{"&amp;L1089&amp;","&amp;N1089&amp;","&amp;T1089&amp;","&amp;U1089&amp;",0,0}}"</f>
        <v>{s_taskGather,{60062,60062,31071,1,0,0}}</v>
      </c>
    </row>
    <row r="1090" spans="1:49" s="73" customFormat="1" ht="72" x14ac:dyDescent="0.15">
      <c r="A1090" s="9">
        <v>15052</v>
      </c>
      <c r="B1090" s="226"/>
      <c r="C1090" s="226" t="s">
        <v>2343</v>
      </c>
      <c r="D1090" s="226">
        <v>2</v>
      </c>
      <c r="E1090" s="226">
        <v>0</v>
      </c>
      <c r="F1090" s="226">
        <v>3</v>
      </c>
      <c r="G1090" s="120">
        <v>200</v>
      </c>
      <c r="H1090" s="226">
        <v>200</v>
      </c>
      <c r="I1090" s="17">
        <v>0</v>
      </c>
      <c r="J1090" s="234">
        <v>0</v>
      </c>
      <c r="K1090" s="226">
        <v>0</v>
      </c>
      <c r="L1090" s="226">
        <v>60074</v>
      </c>
      <c r="M1090" s="226"/>
      <c r="N1090" s="226">
        <v>60074</v>
      </c>
      <c r="O1090" s="226"/>
      <c r="P1090" s="226"/>
      <c r="Q1090" s="228"/>
      <c r="R1090" s="228"/>
      <c r="S1090" s="228"/>
      <c r="T1090" s="226">
        <v>31078</v>
      </c>
      <c r="U1090" s="226">
        <v>1</v>
      </c>
      <c r="V1090" s="226">
        <v>1</v>
      </c>
      <c r="W1090" s="122">
        <v>0</v>
      </c>
      <c r="X1090" s="226"/>
      <c r="Y1090" s="226"/>
      <c r="Z1090" s="230">
        <v>0</v>
      </c>
      <c r="AA1090" s="226"/>
      <c r="AB1090" s="231"/>
      <c r="AC1090" s="231"/>
      <c r="AD1090" s="226"/>
      <c r="AE1090" s="226"/>
      <c r="AF1090" s="595" t="s">
        <v>1230</v>
      </c>
      <c r="AG1090" s="595" t="s">
        <v>1225</v>
      </c>
      <c r="AH1090" s="50" t="s">
        <v>1216</v>
      </c>
      <c r="AI1090" s="595" t="s">
        <v>1220</v>
      </c>
      <c r="AJ1090" s="595" t="s">
        <v>1226</v>
      </c>
      <c r="AK1090" s="226"/>
      <c r="AL1090" s="234">
        <v>0</v>
      </c>
      <c r="AM1090" s="226" t="s">
        <v>1227</v>
      </c>
      <c r="AN1090" s="226" t="s">
        <v>1228</v>
      </c>
      <c r="AO1090" s="226"/>
      <c r="AP1090" s="73">
        <v>1</v>
      </c>
      <c r="AQ1090" s="73">
        <v>0</v>
      </c>
      <c r="AR1090" s="73">
        <v>0</v>
      </c>
      <c r="AS1090" s="73">
        <v>0</v>
      </c>
      <c r="AT1090" s="73">
        <v>0</v>
      </c>
      <c r="AU1090" s="226">
        <v>0</v>
      </c>
      <c r="AV1090" s="17">
        <f t="shared" si="157"/>
        <v>0</v>
      </c>
      <c r="AW1090" s="556" t="str">
        <f>"{s_taskGather,{"&amp;L1090&amp;","&amp;N1090&amp;","&amp;T1090&amp;","&amp;U1090&amp;",0,0}}"</f>
        <v>{s_taskGather,{60074,60074,31078,1,0,0}}</v>
      </c>
    </row>
    <row r="1091" spans="1:49" s="73" customFormat="1" ht="72" x14ac:dyDescent="0.15">
      <c r="A1091" s="9">
        <v>15053</v>
      </c>
      <c r="B1091" s="226"/>
      <c r="C1091" s="226" t="s">
        <v>2344</v>
      </c>
      <c r="D1091" s="226">
        <v>2</v>
      </c>
      <c r="E1091" s="226">
        <v>0</v>
      </c>
      <c r="F1091" s="226">
        <v>6</v>
      </c>
      <c r="G1091" s="120">
        <v>200</v>
      </c>
      <c r="H1091" s="226">
        <v>200</v>
      </c>
      <c r="I1091" s="17">
        <v>0</v>
      </c>
      <c r="J1091" s="234">
        <v>0</v>
      </c>
      <c r="K1091" s="226">
        <v>0</v>
      </c>
      <c r="L1091" s="226">
        <v>60099</v>
      </c>
      <c r="M1091" s="226"/>
      <c r="N1091" s="226">
        <v>60099</v>
      </c>
      <c r="O1091" s="226"/>
      <c r="P1091" s="226"/>
      <c r="Q1091" s="228"/>
      <c r="R1091" s="228"/>
      <c r="S1091" s="228"/>
      <c r="T1091" s="226">
        <v>31166</v>
      </c>
      <c r="U1091" s="226">
        <v>1</v>
      </c>
      <c r="V1091" s="226">
        <v>1</v>
      </c>
      <c r="W1091" s="122">
        <v>0</v>
      </c>
      <c r="X1091" s="226"/>
      <c r="Y1091" s="226"/>
      <c r="Z1091" s="230">
        <v>0</v>
      </c>
      <c r="AA1091" s="226"/>
      <c r="AB1091" s="231"/>
      <c r="AC1091" s="231"/>
      <c r="AD1091" s="226"/>
      <c r="AE1091" s="226"/>
      <c r="AF1091" s="595" t="s">
        <v>1229</v>
      </c>
      <c r="AG1091" s="595" t="s">
        <v>1231</v>
      </c>
      <c r="AH1091" s="50" t="s">
        <v>1216</v>
      </c>
      <c r="AI1091" s="595" t="s">
        <v>1220</v>
      </c>
      <c r="AJ1091" s="595" t="s">
        <v>1232</v>
      </c>
      <c r="AK1091" s="226"/>
      <c r="AL1091" s="234">
        <v>0</v>
      </c>
      <c r="AM1091" s="226" t="s">
        <v>1233</v>
      </c>
      <c r="AN1091" s="226" t="s">
        <v>1234</v>
      </c>
      <c r="AO1091" s="226"/>
      <c r="AP1091" s="73">
        <v>1</v>
      </c>
      <c r="AQ1091" s="73">
        <v>0</v>
      </c>
      <c r="AR1091" s="73">
        <v>0</v>
      </c>
      <c r="AS1091" s="73">
        <v>0</v>
      </c>
      <c r="AT1091" s="73">
        <v>0</v>
      </c>
      <c r="AU1091" s="226">
        <v>0</v>
      </c>
      <c r="AV1091" s="17">
        <f t="shared" si="157"/>
        <v>0</v>
      </c>
      <c r="AW1091" s="556" t="str">
        <f>"{s_taskGather,{"&amp;L1091&amp;","&amp;N1091&amp;","&amp;T1091&amp;","&amp;U1091&amp;",0,0}}"</f>
        <v>{s_taskGather,{60099,60099,31166,1,0,0}}</v>
      </c>
    </row>
    <row r="1092" spans="1:49" s="73" customFormat="1" ht="72" x14ac:dyDescent="0.15">
      <c r="A1092" s="9">
        <v>15054</v>
      </c>
      <c r="B1092" s="226"/>
      <c r="C1092" s="226" t="s">
        <v>2345</v>
      </c>
      <c r="D1092" s="226">
        <v>2</v>
      </c>
      <c r="E1092" s="226">
        <v>0</v>
      </c>
      <c r="F1092" s="226">
        <v>7</v>
      </c>
      <c r="G1092" s="120">
        <v>200</v>
      </c>
      <c r="H1092" s="226">
        <v>200</v>
      </c>
      <c r="I1092" s="17">
        <v>0</v>
      </c>
      <c r="J1092" s="234">
        <v>0</v>
      </c>
      <c r="K1092" s="226">
        <v>0</v>
      </c>
      <c r="L1092" s="226">
        <v>60096</v>
      </c>
      <c r="M1092" s="226"/>
      <c r="N1092" s="226">
        <v>60096</v>
      </c>
      <c r="O1092" s="226"/>
      <c r="P1092" s="226"/>
      <c r="Q1092" s="228"/>
      <c r="R1092" s="228"/>
      <c r="S1092" s="228"/>
      <c r="T1092" s="226">
        <v>31120</v>
      </c>
      <c r="U1092" s="226">
        <v>1</v>
      </c>
      <c r="V1092" s="226">
        <v>1</v>
      </c>
      <c r="W1092" s="122">
        <v>0</v>
      </c>
      <c r="X1092" s="226"/>
      <c r="Y1092" s="226"/>
      <c r="Z1092" s="230">
        <v>0</v>
      </c>
      <c r="AA1092" s="226"/>
      <c r="AB1092" s="231"/>
      <c r="AC1092" s="231"/>
      <c r="AD1092" s="226"/>
      <c r="AE1092" s="226"/>
      <c r="AF1092" s="595" t="s">
        <v>1236</v>
      </c>
      <c r="AG1092" s="595" t="s">
        <v>1677</v>
      </c>
      <c r="AH1092" s="50" t="s">
        <v>1216</v>
      </c>
      <c r="AI1092" s="595" t="s">
        <v>1220</v>
      </c>
      <c r="AJ1092" s="595" t="s">
        <v>1235</v>
      </c>
      <c r="AK1092" s="226"/>
      <c r="AL1092" s="234">
        <v>0</v>
      </c>
      <c r="AM1092" s="226" t="s">
        <v>1237</v>
      </c>
      <c r="AN1092" s="226" t="s">
        <v>1238</v>
      </c>
      <c r="AO1092" s="226"/>
      <c r="AP1092" s="73">
        <v>1</v>
      </c>
      <c r="AQ1092" s="73">
        <v>0</v>
      </c>
      <c r="AR1092" s="73">
        <v>0</v>
      </c>
      <c r="AS1092" s="73">
        <v>0</v>
      </c>
      <c r="AT1092" s="73">
        <v>0</v>
      </c>
      <c r="AU1092" s="226">
        <v>0</v>
      </c>
      <c r="AV1092" s="17">
        <f t="shared" si="157"/>
        <v>0</v>
      </c>
      <c r="AW1092" s="556" t="str">
        <f>"{s_taskGather,{"&amp;L1092&amp;","&amp;N1092&amp;","&amp;T1092&amp;","&amp;U1092&amp;",0,0}}"</f>
        <v>{s_taskGather,{60096,60096,31120,1,0,0}}</v>
      </c>
    </row>
    <row r="1093" spans="1:49" s="73" customFormat="1" ht="72.75" thickBot="1" x14ac:dyDescent="0.2">
      <c r="A1093" s="9">
        <v>15070</v>
      </c>
      <c r="B1093" s="226"/>
      <c r="C1093" s="226" t="s">
        <v>2346</v>
      </c>
      <c r="D1093" s="226">
        <v>2</v>
      </c>
      <c r="E1093" s="226">
        <v>0</v>
      </c>
      <c r="F1093" s="226">
        <v>5</v>
      </c>
      <c r="G1093" s="120">
        <v>200</v>
      </c>
      <c r="H1093" s="226">
        <v>200</v>
      </c>
      <c r="I1093" s="17">
        <v>0</v>
      </c>
      <c r="J1093" s="234">
        <v>0</v>
      </c>
      <c r="K1093" s="226">
        <v>0</v>
      </c>
      <c r="L1093" s="226">
        <v>194</v>
      </c>
      <c r="M1093" s="226" t="s">
        <v>1710</v>
      </c>
      <c r="N1093" s="226">
        <v>194</v>
      </c>
      <c r="O1093" s="226" t="s">
        <v>5206</v>
      </c>
      <c r="P1093" s="226"/>
      <c r="Q1093" s="228"/>
      <c r="R1093" s="228"/>
      <c r="S1093" s="228"/>
      <c r="T1093" s="226">
        <v>29060</v>
      </c>
      <c r="U1093" s="226">
        <v>100</v>
      </c>
      <c r="V1093" s="226">
        <v>0</v>
      </c>
      <c r="W1093" s="122">
        <v>20</v>
      </c>
      <c r="X1093" s="226"/>
      <c r="Y1093" s="226"/>
      <c r="Z1093" s="230">
        <v>0</v>
      </c>
      <c r="AA1093" s="226"/>
      <c r="AB1093" s="231"/>
      <c r="AC1093" s="231"/>
      <c r="AD1093" s="489" t="s">
        <v>1734</v>
      </c>
      <c r="AE1093" s="226"/>
      <c r="AF1093" s="595" t="s">
        <v>1729</v>
      </c>
      <c r="AG1093" s="595" t="s">
        <v>1730</v>
      </c>
      <c r="AH1093" s="50" t="s">
        <v>1719</v>
      </c>
      <c r="AI1093" s="595" t="s">
        <v>1731</v>
      </c>
      <c r="AJ1093" s="595" t="s">
        <v>6474</v>
      </c>
      <c r="AK1093" s="226">
        <v>0</v>
      </c>
      <c r="AL1093" s="234"/>
      <c r="AM1093" s="226" t="s">
        <v>1732</v>
      </c>
      <c r="AN1093" s="226" t="s">
        <v>5981</v>
      </c>
      <c r="AO1093" s="226"/>
      <c r="AP1093" s="73">
        <v>1</v>
      </c>
      <c r="AQ1093" s="73">
        <v>0</v>
      </c>
      <c r="AR1093" s="73">
        <v>0</v>
      </c>
      <c r="AS1093" s="73">
        <v>0</v>
      </c>
      <c r="AT1093" s="73">
        <v>0</v>
      </c>
      <c r="AU1093" s="226">
        <v>0</v>
      </c>
      <c r="AV1093" s="17">
        <f t="shared" si="157"/>
        <v>0</v>
      </c>
      <c r="AW1093" s="556" t="str">
        <f>"{s_taskGather,{"&amp;L1093&amp;","&amp;N1093&amp;","&amp;T1093&amp;","&amp;U1093&amp;",0,0}}"</f>
        <v>{s_taskGather,{194,194,29060,100,0,0}}</v>
      </c>
    </row>
    <row r="1094" spans="1:49" s="491" customFormat="1" ht="84" x14ac:dyDescent="0.15">
      <c r="A1094" s="491">
        <v>15055</v>
      </c>
      <c r="C1094" s="491" t="s">
        <v>2347</v>
      </c>
      <c r="D1094" s="491">
        <v>2</v>
      </c>
      <c r="E1094" s="491">
        <v>0</v>
      </c>
      <c r="F1094" s="491">
        <v>3</v>
      </c>
      <c r="G1094" s="120">
        <v>200</v>
      </c>
      <c r="H1094" s="491">
        <v>200</v>
      </c>
      <c r="I1094" s="17">
        <v>0</v>
      </c>
      <c r="J1094" s="492">
        <v>0</v>
      </c>
      <c r="K1094" s="491">
        <v>1</v>
      </c>
      <c r="L1094" s="491">
        <v>191</v>
      </c>
      <c r="M1094" s="491" t="s">
        <v>1676</v>
      </c>
      <c r="N1094" s="491">
        <v>191</v>
      </c>
      <c r="O1094" s="491" t="s">
        <v>5209</v>
      </c>
      <c r="Q1094" s="491">
        <v>0</v>
      </c>
      <c r="S1094" s="491">
        <v>0</v>
      </c>
      <c r="U1094" s="491">
        <v>1</v>
      </c>
      <c r="V1094" s="491">
        <v>1</v>
      </c>
      <c r="W1094" s="491">
        <v>0</v>
      </c>
      <c r="Z1094" s="493">
        <v>0</v>
      </c>
      <c r="AF1094" s="494" t="s">
        <v>4181</v>
      </c>
      <c r="AG1094" s="491" t="s">
        <v>4182</v>
      </c>
      <c r="AH1094" s="491" t="s">
        <v>4183</v>
      </c>
      <c r="AI1094" s="491" t="s">
        <v>1678</v>
      </c>
      <c r="AL1094" s="492">
        <v>0</v>
      </c>
      <c r="AM1094" s="491" t="s">
        <v>1679</v>
      </c>
      <c r="AN1094" s="494" t="s">
        <v>5982</v>
      </c>
      <c r="AP1094" s="491">
        <v>1</v>
      </c>
      <c r="AQ1094" s="491">
        <v>0</v>
      </c>
      <c r="AR1094" s="491">
        <v>0</v>
      </c>
      <c r="AS1094" s="491">
        <v>0</v>
      </c>
      <c r="AT1094" s="491">
        <v>0</v>
      </c>
      <c r="AU1094" s="226">
        <v>0</v>
      </c>
      <c r="AV1094" s="17">
        <f t="shared" si="157"/>
        <v>0</v>
      </c>
      <c r="AW1094" s="491" t="str">
        <f t="shared" ref="AW1094:AW1111" si="158">"{s_taskTalk,{"&amp;L1094&amp;","&amp;N1094&amp;"}}"</f>
        <v>{s_taskTalk,{191,191}}</v>
      </c>
    </row>
    <row r="1095" spans="1:49" s="491" customFormat="1" ht="96" x14ac:dyDescent="0.15">
      <c r="A1095" s="491">
        <v>15056</v>
      </c>
      <c r="C1095" s="491" t="s">
        <v>2348</v>
      </c>
      <c r="D1095" s="491">
        <v>2</v>
      </c>
      <c r="E1095" s="491">
        <v>0</v>
      </c>
      <c r="F1095" s="491">
        <v>3</v>
      </c>
      <c r="G1095" s="120">
        <v>200</v>
      </c>
      <c r="H1095" s="491">
        <v>200</v>
      </c>
      <c r="I1095" s="17">
        <v>0</v>
      </c>
      <c r="J1095" s="492">
        <v>0</v>
      </c>
      <c r="K1095" s="491">
        <v>1</v>
      </c>
      <c r="L1095" s="491">
        <v>191</v>
      </c>
      <c r="M1095" s="491" t="s">
        <v>1676</v>
      </c>
      <c r="N1095" s="491">
        <v>191</v>
      </c>
      <c r="O1095" s="491" t="s">
        <v>5209</v>
      </c>
      <c r="Q1095" s="491">
        <v>0</v>
      </c>
      <c r="S1095" s="491">
        <v>0</v>
      </c>
      <c r="U1095" s="491">
        <v>1</v>
      </c>
      <c r="V1095" s="491">
        <v>1</v>
      </c>
      <c r="W1095" s="491">
        <v>0</v>
      </c>
      <c r="Z1095" s="493">
        <v>0</v>
      </c>
      <c r="AF1095" s="494" t="s">
        <v>4184</v>
      </c>
      <c r="AG1095" s="491" t="s">
        <v>4182</v>
      </c>
      <c r="AH1095" s="491" t="s">
        <v>4185</v>
      </c>
      <c r="AI1095" s="491" t="s">
        <v>1678</v>
      </c>
      <c r="AL1095" s="492">
        <v>0</v>
      </c>
      <c r="AM1095" s="491" t="s">
        <v>1680</v>
      </c>
      <c r="AN1095" s="494" t="s">
        <v>5983</v>
      </c>
      <c r="AP1095" s="491">
        <v>1</v>
      </c>
      <c r="AQ1095" s="491">
        <v>0</v>
      </c>
      <c r="AR1095" s="491">
        <v>0</v>
      </c>
      <c r="AS1095" s="491">
        <v>0</v>
      </c>
      <c r="AT1095" s="491">
        <v>0</v>
      </c>
      <c r="AU1095" s="226">
        <v>0</v>
      </c>
      <c r="AV1095" s="17">
        <f t="shared" si="157"/>
        <v>0</v>
      </c>
      <c r="AW1095" s="491" t="str">
        <f t="shared" si="158"/>
        <v>{s_taskTalk,{191,191}}</v>
      </c>
    </row>
    <row r="1096" spans="1:49" s="491" customFormat="1" ht="96" x14ac:dyDescent="0.15">
      <c r="A1096" s="491">
        <v>15057</v>
      </c>
      <c r="C1096" s="491" t="s">
        <v>2349</v>
      </c>
      <c r="D1096" s="491">
        <v>2</v>
      </c>
      <c r="E1096" s="491">
        <v>0</v>
      </c>
      <c r="F1096" s="491">
        <v>3</v>
      </c>
      <c r="G1096" s="120">
        <v>200</v>
      </c>
      <c r="H1096" s="491">
        <v>200</v>
      </c>
      <c r="I1096" s="17">
        <v>0</v>
      </c>
      <c r="J1096" s="492">
        <v>0</v>
      </c>
      <c r="K1096" s="491">
        <v>1</v>
      </c>
      <c r="L1096" s="491">
        <v>191</v>
      </c>
      <c r="M1096" s="491" t="s">
        <v>1676</v>
      </c>
      <c r="N1096" s="491">
        <v>191</v>
      </c>
      <c r="O1096" s="491" t="s">
        <v>5209</v>
      </c>
      <c r="Q1096" s="491">
        <v>0</v>
      </c>
      <c r="S1096" s="491">
        <v>0</v>
      </c>
      <c r="U1096" s="491">
        <v>1</v>
      </c>
      <c r="V1096" s="491">
        <v>1</v>
      </c>
      <c r="W1096" s="491">
        <v>0</v>
      </c>
      <c r="Z1096" s="493">
        <v>0</v>
      </c>
      <c r="AF1096" s="494" t="s">
        <v>4186</v>
      </c>
      <c r="AG1096" s="491" t="s">
        <v>4182</v>
      </c>
      <c r="AH1096" s="491" t="s">
        <v>4187</v>
      </c>
      <c r="AI1096" s="491" t="s">
        <v>1678</v>
      </c>
      <c r="AL1096" s="492">
        <v>0</v>
      </c>
      <c r="AM1096" s="491" t="s">
        <v>1681</v>
      </c>
      <c r="AN1096" s="494" t="s">
        <v>5984</v>
      </c>
      <c r="AP1096" s="491">
        <v>1</v>
      </c>
      <c r="AQ1096" s="491">
        <v>0</v>
      </c>
      <c r="AR1096" s="491">
        <v>0</v>
      </c>
      <c r="AS1096" s="491">
        <v>0</v>
      </c>
      <c r="AT1096" s="491">
        <v>0</v>
      </c>
      <c r="AU1096" s="226">
        <v>0</v>
      </c>
      <c r="AV1096" s="17">
        <f t="shared" si="157"/>
        <v>0</v>
      </c>
      <c r="AW1096" s="491" t="str">
        <f t="shared" si="158"/>
        <v>{s_taskTalk,{191,191}}</v>
      </c>
    </row>
    <row r="1097" spans="1:49" s="491" customFormat="1" ht="84" x14ac:dyDescent="0.15">
      <c r="A1097" s="491">
        <v>15058</v>
      </c>
      <c r="C1097" s="491" t="s">
        <v>2350</v>
      </c>
      <c r="D1097" s="491">
        <v>2</v>
      </c>
      <c r="E1097" s="491">
        <v>0</v>
      </c>
      <c r="F1097" s="491">
        <v>3</v>
      </c>
      <c r="G1097" s="120">
        <v>200</v>
      </c>
      <c r="H1097" s="491">
        <v>200</v>
      </c>
      <c r="I1097" s="17">
        <v>0</v>
      </c>
      <c r="J1097" s="492">
        <v>0</v>
      </c>
      <c r="K1097" s="491">
        <v>1</v>
      </c>
      <c r="L1097" s="491">
        <v>191</v>
      </c>
      <c r="M1097" s="491" t="s">
        <v>1676</v>
      </c>
      <c r="N1097" s="491">
        <v>191</v>
      </c>
      <c r="O1097" s="491" t="s">
        <v>5209</v>
      </c>
      <c r="Q1097" s="491">
        <v>0</v>
      </c>
      <c r="S1097" s="491">
        <v>0</v>
      </c>
      <c r="U1097" s="491">
        <v>1</v>
      </c>
      <c r="V1097" s="491">
        <v>1</v>
      </c>
      <c r="W1097" s="491">
        <v>0</v>
      </c>
      <c r="Z1097" s="493">
        <v>0</v>
      </c>
      <c r="AF1097" s="494" t="s">
        <v>4188</v>
      </c>
      <c r="AG1097" s="491" t="s">
        <v>4182</v>
      </c>
      <c r="AH1097" s="491" t="s">
        <v>4189</v>
      </c>
      <c r="AI1097" s="491" t="s">
        <v>1678</v>
      </c>
      <c r="AL1097" s="492">
        <v>0</v>
      </c>
      <c r="AM1097" s="491" t="s">
        <v>1682</v>
      </c>
      <c r="AN1097" s="494" t="s">
        <v>5985</v>
      </c>
      <c r="AP1097" s="491">
        <v>1</v>
      </c>
      <c r="AQ1097" s="491">
        <v>0</v>
      </c>
      <c r="AR1097" s="491">
        <v>0</v>
      </c>
      <c r="AS1097" s="491">
        <v>0</v>
      </c>
      <c r="AT1097" s="491">
        <v>0</v>
      </c>
      <c r="AU1097" s="226">
        <v>0</v>
      </c>
      <c r="AV1097" s="17">
        <f t="shared" si="157"/>
        <v>0</v>
      </c>
      <c r="AW1097" s="491" t="str">
        <f t="shared" si="158"/>
        <v>{s_taskTalk,{191,191}}</v>
      </c>
    </row>
    <row r="1098" spans="1:49" s="491" customFormat="1" ht="84" x14ac:dyDescent="0.15">
      <c r="A1098" s="491">
        <v>15059</v>
      </c>
      <c r="C1098" s="491" t="s">
        <v>2351</v>
      </c>
      <c r="D1098" s="491">
        <v>2</v>
      </c>
      <c r="E1098" s="491">
        <v>0</v>
      </c>
      <c r="F1098" s="491">
        <v>3</v>
      </c>
      <c r="G1098" s="120">
        <v>200</v>
      </c>
      <c r="H1098" s="491">
        <v>200</v>
      </c>
      <c r="I1098" s="17">
        <v>0</v>
      </c>
      <c r="J1098" s="492">
        <v>0</v>
      </c>
      <c r="K1098" s="491">
        <v>1</v>
      </c>
      <c r="L1098" s="491">
        <v>191</v>
      </c>
      <c r="M1098" s="491" t="s">
        <v>1676</v>
      </c>
      <c r="N1098" s="491">
        <v>191</v>
      </c>
      <c r="O1098" s="491" t="s">
        <v>5209</v>
      </c>
      <c r="Q1098" s="491">
        <v>0</v>
      </c>
      <c r="S1098" s="491">
        <v>0</v>
      </c>
      <c r="U1098" s="491">
        <v>1</v>
      </c>
      <c r="V1098" s="491">
        <v>1</v>
      </c>
      <c r="W1098" s="491">
        <v>0</v>
      </c>
      <c r="Z1098" s="493">
        <v>0</v>
      </c>
      <c r="AF1098" s="494" t="s">
        <v>4190</v>
      </c>
      <c r="AG1098" s="491" t="s">
        <v>4182</v>
      </c>
      <c r="AH1098" s="491" t="s">
        <v>4191</v>
      </c>
      <c r="AI1098" s="491" t="s">
        <v>1678</v>
      </c>
      <c r="AL1098" s="492">
        <v>0</v>
      </c>
      <c r="AM1098" s="491" t="s">
        <v>1683</v>
      </c>
      <c r="AN1098" s="494" t="s">
        <v>5986</v>
      </c>
      <c r="AP1098" s="491">
        <v>1</v>
      </c>
      <c r="AQ1098" s="491">
        <v>0</v>
      </c>
      <c r="AR1098" s="491">
        <v>0</v>
      </c>
      <c r="AS1098" s="491">
        <v>0</v>
      </c>
      <c r="AT1098" s="491">
        <v>0</v>
      </c>
      <c r="AU1098" s="226">
        <v>0</v>
      </c>
      <c r="AV1098" s="17">
        <f t="shared" si="157"/>
        <v>0</v>
      </c>
      <c r="AW1098" s="491" t="str">
        <f t="shared" si="158"/>
        <v>{s_taskTalk,{191,191}}</v>
      </c>
    </row>
    <row r="1099" spans="1:49" s="491" customFormat="1" ht="96" x14ac:dyDescent="0.15">
      <c r="A1099" s="491">
        <v>15060</v>
      </c>
      <c r="C1099" s="491" t="s">
        <v>2352</v>
      </c>
      <c r="D1099" s="491">
        <v>2</v>
      </c>
      <c r="E1099" s="491">
        <v>0</v>
      </c>
      <c r="F1099" s="491">
        <v>3</v>
      </c>
      <c r="G1099" s="120">
        <v>200</v>
      </c>
      <c r="H1099" s="491">
        <v>200</v>
      </c>
      <c r="I1099" s="17">
        <v>0</v>
      </c>
      <c r="J1099" s="492">
        <v>0</v>
      </c>
      <c r="K1099" s="491">
        <v>1</v>
      </c>
      <c r="L1099" s="491">
        <v>191</v>
      </c>
      <c r="M1099" s="491" t="s">
        <v>1676</v>
      </c>
      <c r="N1099" s="491">
        <v>191</v>
      </c>
      <c r="O1099" s="491" t="s">
        <v>5209</v>
      </c>
      <c r="Q1099" s="491">
        <v>0</v>
      </c>
      <c r="S1099" s="491">
        <v>0</v>
      </c>
      <c r="U1099" s="491">
        <v>1</v>
      </c>
      <c r="V1099" s="491">
        <v>1</v>
      </c>
      <c r="W1099" s="491">
        <v>0</v>
      </c>
      <c r="Z1099" s="493">
        <v>0</v>
      </c>
      <c r="AF1099" s="494" t="s">
        <v>4192</v>
      </c>
      <c r="AG1099" s="491" t="s">
        <v>4182</v>
      </c>
      <c r="AH1099" s="491" t="s">
        <v>4193</v>
      </c>
      <c r="AI1099" s="491" t="s">
        <v>1678</v>
      </c>
      <c r="AL1099" s="492">
        <v>0</v>
      </c>
      <c r="AM1099" s="491" t="s">
        <v>1684</v>
      </c>
      <c r="AN1099" s="494" t="s">
        <v>5987</v>
      </c>
      <c r="AP1099" s="491">
        <v>1</v>
      </c>
      <c r="AQ1099" s="491">
        <v>0</v>
      </c>
      <c r="AR1099" s="491">
        <v>0</v>
      </c>
      <c r="AS1099" s="491">
        <v>0</v>
      </c>
      <c r="AT1099" s="491">
        <v>0</v>
      </c>
      <c r="AU1099" s="226">
        <v>0</v>
      </c>
      <c r="AV1099" s="17">
        <f t="shared" si="157"/>
        <v>0</v>
      </c>
      <c r="AW1099" s="491" t="str">
        <f t="shared" si="158"/>
        <v>{s_taskTalk,{191,191}}</v>
      </c>
    </row>
    <row r="1100" spans="1:49" s="491" customFormat="1" ht="96" x14ac:dyDescent="0.15">
      <c r="A1100" s="491">
        <v>15061</v>
      </c>
      <c r="C1100" s="491" t="s">
        <v>2353</v>
      </c>
      <c r="D1100" s="491">
        <v>2</v>
      </c>
      <c r="E1100" s="491">
        <v>0</v>
      </c>
      <c r="F1100" s="491">
        <v>3</v>
      </c>
      <c r="G1100" s="120">
        <v>200</v>
      </c>
      <c r="H1100" s="491">
        <v>200</v>
      </c>
      <c r="I1100" s="17">
        <v>0</v>
      </c>
      <c r="J1100" s="492">
        <v>0</v>
      </c>
      <c r="K1100" s="491">
        <v>1</v>
      </c>
      <c r="L1100" s="491">
        <v>191</v>
      </c>
      <c r="M1100" s="491" t="s">
        <v>1676</v>
      </c>
      <c r="N1100" s="491">
        <v>191</v>
      </c>
      <c r="O1100" s="491" t="s">
        <v>5209</v>
      </c>
      <c r="Q1100" s="491">
        <v>0</v>
      </c>
      <c r="S1100" s="491">
        <v>0</v>
      </c>
      <c r="U1100" s="491">
        <v>1</v>
      </c>
      <c r="V1100" s="491">
        <v>1</v>
      </c>
      <c r="W1100" s="491">
        <v>0</v>
      </c>
      <c r="Z1100" s="493">
        <v>0</v>
      </c>
      <c r="AF1100" s="494" t="s">
        <v>4194</v>
      </c>
      <c r="AG1100" s="491" t="s">
        <v>4182</v>
      </c>
      <c r="AH1100" s="491" t="s">
        <v>4195</v>
      </c>
      <c r="AI1100" s="491" t="s">
        <v>1678</v>
      </c>
      <c r="AL1100" s="492">
        <v>0</v>
      </c>
      <c r="AM1100" s="491" t="s">
        <v>1685</v>
      </c>
      <c r="AN1100" s="494" t="s">
        <v>5988</v>
      </c>
      <c r="AP1100" s="491">
        <v>1</v>
      </c>
      <c r="AQ1100" s="491">
        <v>0</v>
      </c>
      <c r="AR1100" s="491">
        <v>0</v>
      </c>
      <c r="AS1100" s="491">
        <v>0</v>
      </c>
      <c r="AT1100" s="491">
        <v>0</v>
      </c>
      <c r="AU1100" s="226">
        <v>0</v>
      </c>
      <c r="AV1100" s="17">
        <f t="shared" si="157"/>
        <v>0</v>
      </c>
      <c r="AW1100" s="491" t="str">
        <f t="shared" si="158"/>
        <v>{s_taskTalk,{191,191}}</v>
      </c>
    </row>
    <row r="1101" spans="1:49" s="491" customFormat="1" ht="84" x14ac:dyDescent="0.15">
      <c r="A1101" s="491">
        <v>15062</v>
      </c>
      <c r="C1101" s="491" t="s">
        <v>2354</v>
      </c>
      <c r="D1101" s="491">
        <v>2</v>
      </c>
      <c r="E1101" s="491">
        <v>0</v>
      </c>
      <c r="F1101" s="491">
        <v>3</v>
      </c>
      <c r="G1101" s="120">
        <v>200</v>
      </c>
      <c r="H1101" s="491">
        <v>200</v>
      </c>
      <c r="I1101" s="17">
        <v>0</v>
      </c>
      <c r="J1101" s="492">
        <v>0</v>
      </c>
      <c r="K1101" s="491">
        <v>1</v>
      </c>
      <c r="L1101" s="491">
        <v>191</v>
      </c>
      <c r="M1101" s="491" t="s">
        <v>1676</v>
      </c>
      <c r="N1101" s="491">
        <v>191</v>
      </c>
      <c r="O1101" s="491" t="s">
        <v>5209</v>
      </c>
      <c r="Q1101" s="491">
        <v>0</v>
      </c>
      <c r="S1101" s="491">
        <v>0</v>
      </c>
      <c r="U1101" s="491">
        <v>1</v>
      </c>
      <c r="V1101" s="491">
        <v>1</v>
      </c>
      <c r="W1101" s="491">
        <v>0</v>
      </c>
      <c r="Z1101" s="493">
        <v>0</v>
      </c>
      <c r="AF1101" s="494" t="s">
        <v>4196</v>
      </c>
      <c r="AG1101" s="491" t="s">
        <v>4182</v>
      </c>
      <c r="AH1101" s="491" t="s">
        <v>4197</v>
      </c>
      <c r="AI1101" s="491" t="s">
        <v>1678</v>
      </c>
      <c r="AL1101" s="492">
        <v>0</v>
      </c>
      <c r="AM1101" s="491" t="s">
        <v>1686</v>
      </c>
      <c r="AN1101" s="494" t="s">
        <v>5989</v>
      </c>
      <c r="AP1101" s="491">
        <v>1</v>
      </c>
      <c r="AQ1101" s="491">
        <v>0</v>
      </c>
      <c r="AR1101" s="491">
        <v>0</v>
      </c>
      <c r="AS1101" s="491">
        <v>0</v>
      </c>
      <c r="AT1101" s="491">
        <v>0</v>
      </c>
      <c r="AU1101" s="226">
        <v>0</v>
      </c>
      <c r="AV1101" s="17">
        <f t="shared" si="157"/>
        <v>0</v>
      </c>
      <c r="AW1101" s="491" t="str">
        <f t="shared" si="158"/>
        <v>{s_taskTalk,{191,191}}</v>
      </c>
    </row>
    <row r="1102" spans="1:49" s="491" customFormat="1" ht="96" x14ac:dyDescent="0.15">
      <c r="A1102" s="491">
        <v>15063</v>
      </c>
      <c r="C1102" s="491" t="s">
        <v>2355</v>
      </c>
      <c r="D1102" s="491">
        <v>2</v>
      </c>
      <c r="E1102" s="491">
        <v>0</v>
      </c>
      <c r="F1102" s="491">
        <v>3</v>
      </c>
      <c r="G1102" s="120">
        <v>200</v>
      </c>
      <c r="H1102" s="491">
        <v>200</v>
      </c>
      <c r="I1102" s="17">
        <v>0</v>
      </c>
      <c r="J1102" s="492">
        <v>0</v>
      </c>
      <c r="K1102" s="491">
        <v>1</v>
      </c>
      <c r="L1102" s="491">
        <v>191</v>
      </c>
      <c r="M1102" s="491" t="s">
        <v>1676</v>
      </c>
      <c r="N1102" s="491">
        <v>191</v>
      </c>
      <c r="O1102" s="491" t="s">
        <v>5209</v>
      </c>
      <c r="Q1102" s="491">
        <v>0</v>
      </c>
      <c r="S1102" s="491">
        <v>0</v>
      </c>
      <c r="U1102" s="491">
        <v>1</v>
      </c>
      <c r="V1102" s="491">
        <v>1</v>
      </c>
      <c r="W1102" s="491">
        <v>0</v>
      </c>
      <c r="Z1102" s="493">
        <v>0</v>
      </c>
      <c r="AF1102" s="494" t="s">
        <v>4198</v>
      </c>
      <c r="AG1102" s="491" t="s">
        <v>4182</v>
      </c>
      <c r="AH1102" s="491" t="s">
        <v>4199</v>
      </c>
      <c r="AI1102" s="491" t="s">
        <v>1678</v>
      </c>
      <c r="AL1102" s="492">
        <v>0</v>
      </c>
      <c r="AM1102" s="491" t="s">
        <v>1687</v>
      </c>
      <c r="AN1102" s="494" t="s">
        <v>5990</v>
      </c>
      <c r="AP1102" s="491">
        <v>1</v>
      </c>
      <c r="AQ1102" s="491">
        <v>0</v>
      </c>
      <c r="AR1102" s="491">
        <v>0</v>
      </c>
      <c r="AS1102" s="491">
        <v>0</v>
      </c>
      <c r="AT1102" s="491">
        <v>0</v>
      </c>
      <c r="AU1102" s="226">
        <v>0</v>
      </c>
      <c r="AV1102" s="17">
        <f t="shared" si="157"/>
        <v>0</v>
      </c>
      <c r="AW1102" s="491" t="str">
        <f t="shared" si="158"/>
        <v>{s_taskTalk,{191,191}}</v>
      </c>
    </row>
    <row r="1103" spans="1:49" s="491" customFormat="1" ht="96" x14ac:dyDescent="0.15">
      <c r="A1103" s="491">
        <v>15064</v>
      </c>
      <c r="C1103" s="491" t="s">
        <v>2356</v>
      </c>
      <c r="D1103" s="491">
        <v>2</v>
      </c>
      <c r="E1103" s="491">
        <v>0</v>
      </c>
      <c r="F1103" s="491">
        <v>3</v>
      </c>
      <c r="G1103" s="120">
        <v>200</v>
      </c>
      <c r="H1103" s="491">
        <v>200</v>
      </c>
      <c r="I1103" s="17">
        <v>0</v>
      </c>
      <c r="J1103" s="492">
        <v>0</v>
      </c>
      <c r="K1103" s="491">
        <v>1</v>
      </c>
      <c r="L1103" s="491">
        <v>191</v>
      </c>
      <c r="M1103" s="491" t="s">
        <v>1676</v>
      </c>
      <c r="N1103" s="491">
        <v>191</v>
      </c>
      <c r="O1103" s="491" t="s">
        <v>5209</v>
      </c>
      <c r="Q1103" s="491">
        <v>0</v>
      </c>
      <c r="S1103" s="491">
        <v>0</v>
      </c>
      <c r="U1103" s="491">
        <v>1</v>
      </c>
      <c r="V1103" s="491">
        <v>1</v>
      </c>
      <c r="W1103" s="491">
        <v>0</v>
      </c>
      <c r="Z1103" s="493">
        <v>0</v>
      </c>
      <c r="AF1103" s="494" t="s">
        <v>4200</v>
      </c>
      <c r="AG1103" s="491" t="s">
        <v>4182</v>
      </c>
      <c r="AH1103" s="491" t="s">
        <v>4201</v>
      </c>
      <c r="AI1103" s="491" t="s">
        <v>1678</v>
      </c>
      <c r="AL1103" s="492">
        <v>0</v>
      </c>
      <c r="AM1103" s="491" t="s">
        <v>1688</v>
      </c>
      <c r="AN1103" s="494" t="s">
        <v>5991</v>
      </c>
      <c r="AP1103" s="491">
        <v>1</v>
      </c>
      <c r="AQ1103" s="491">
        <v>0</v>
      </c>
      <c r="AR1103" s="491">
        <v>0</v>
      </c>
      <c r="AS1103" s="491">
        <v>0</v>
      </c>
      <c r="AT1103" s="491">
        <v>0</v>
      </c>
      <c r="AU1103" s="226">
        <v>0</v>
      </c>
      <c r="AV1103" s="17">
        <f t="shared" si="157"/>
        <v>0</v>
      </c>
      <c r="AW1103" s="491" t="str">
        <f t="shared" si="158"/>
        <v>{s_taskTalk,{191,191}}</v>
      </c>
    </row>
    <row r="1104" spans="1:49" s="491" customFormat="1" ht="168" x14ac:dyDescent="0.15">
      <c r="A1104" s="491">
        <v>15065</v>
      </c>
      <c r="C1104" s="491" t="s">
        <v>2357</v>
      </c>
      <c r="D1104" s="491">
        <v>3</v>
      </c>
      <c r="E1104" s="491">
        <v>0</v>
      </c>
      <c r="F1104" s="491">
        <v>3</v>
      </c>
      <c r="G1104" s="120">
        <v>200</v>
      </c>
      <c r="H1104" s="491">
        <v>200</v>
      </c>
      <c r="I1104" s="17">
        <v>0</v>
      </c>
      <c r="J1104" s="492">
        <v>0</v>
      </c>
      <c r="K1104" s="491">
        <v>20</v>
      </c>
      <c r="L1104" s="491">
        <v>193</v>
      </c>
      <c r="M1104" s="491" t="s">
        <v>1708</v>
      </c>
      <c r="N1104" s="491">
        <v>193</v>
      </c>
      <c r="O1104" s="491" t="s">
        <v>5210</v>
      </c>
      <c r="Q1104" s="491">
        <v>0</v>
      </c>
      <c r="S1104" s="491">
        <v>0</v>
      </c>
      <c r="U1104" s="491">
        <v>2</v>
      </c>
      <c r="V1104" s="491">
        <v>0</v>
      </c>
      <c r="W1104" s="491">
        <v>0</v>
      </c>
      <c r="Z1104" s="493">
        <v>0</v>
      </c>
      <c r="AF1104" s="494" t="s">
        <v>4202</v>
      </c>
      <c r="AG1104" s="491" t="s">
        <v>1704</v>
      </c>
      <c r="AH1104" s="491" t="s">
        <v>7325</v>
      </c>
      <c r="AI1104" s="491" t="s">
        <v>1695</v>
      </c>
      <c r="AL1104" s="492">
        <v>0</v>
      </c>
      <c r="AM1104" s="491" t="s">
        <v>1705</v>
      </c>
      <c r="AN1104" s="494" t="s">
        <v>5992</v>
      </c>
      <c r="AO1104" s="491" t="s">
        <v>1698</v>
      </c>
      <c r="AP1104" s="491">
        <v>1</v>
      </c>
      <c r="AQ1104" s="491">
        <v>0</v>
      </c>
      <c r="AR1104" s="491">
        <v>0</v>
      </c>
      <c r="AS1104" s="491">
        <v>0</v>
      </c>
      <c r="AT1104" s="491">
        <v>0</v>
      </c>
      <c r="AU1104" s="226">
        <v>0</v>
      </c>
      <c r="AV1104" s="17">
        <f t="shared" si="157"/>
        <v>0</v>
      </c>
      <c r="AW1104" s="491" t="str">
        <f t="shared" si="158"/>
        <v>{s_taskTalk,{193,193}}</v>
      </c>
    </row>
    <row r="1105" spans="1:49" s="491" customFormat="1" ht="168" x14ac:dyDescent="0.15">
      <c r="A1105" s="491">
        <v>15066</v>
      </c>
      <c r="C1105" s="491" t="s">
        <v>2358</v>
      </c>
      <c r="D1105" s="491">
        <v>3</v>
      </c>
      <c r="E1105" s="491">
        <v>0</v>
      </c>
      <c r="F1105" s="491">
        <v>3</v>
      </c>
      <c r="G1105" s="120">
        <v>200</v>
      </c>
      <c r="H1105" s="491">
        <v>200</v>
      </c>
      <c r="I1105" s="17">
        <v>0</v>
      </c>
      <c r="J1105" s="492">
        <v>0</v>
      </c>
      <c r="K1105" s="491">
        <v>20</v>
      </c>
      <c r="L1105" s="491">
        <v>193</v>
      </c>
      <c r="M1105" s="491" t="s">
        <v>1701</v>
      </c>
      <c r="N1105" s="491">
        <v>193</v>
      </c>
      <c r="O1105" s="491" t="s">
        <v>5210</v>
      </c>
      <c r="Q1105" s="491">
        <v>0</v>
      </c>
      <c r="S1105" s="491">
        <v>0</v>
      </c>
      <c r="U1105" s="491">
        <v>2</v>
      </c>
      <c r="V1105" s="491">
        <v>0</v>
      </c>
      <c r="W1105" s="491">
        <v>0</v>
      </c>
      <c r="Z1105" s="493">
        <v>0</v>
      </c>
      <c r="AF1105" s="494" t="s">
        <v>4203</v>
      </c>
      <c r="AG1105" s="491" t="s">
        <v>1703</v>
      </c>
      <c r="AH1105" s="491" t="s">
        <v>7326</v>
      </c>
      <c r="AI1105" s="491" t="s">
        <v>1696</v>
      </c>
      <c r="AL1105" s="492">
        <v>0</v>
      </c>
      <c r="AM1105" s="491" t="s">
        <v>1706</v>
      </c>
      <c r="AN1105" s="494" t="s">
        <v>5993</v>
      </c>
      <c r="AO1105" s="491" t="s">
        <v>1699</v>
      </c>
      <c r="AP1105" s="491">
        <v>1</v>
      </c>
      <c r="AQ1105" s="491">
        <v>0</v>
      </c>
      <c r="AR1105" s="491">
        <v>0</v>
      </c>
      <c r="AS1105" s="491">
        <v>0</v>
      </c>
      <c r="AT1105" s="491">
        <v>0</v>
      </c>
      <c r="AU1105" s="226">
        <v>0</v>
      </c>
      <c r="AV1105" s="17">
        <f t="shared" si="157"/>
        <v>0</v>
      </c>
      <c r="AW1105" s="491" t="str">
        <f t="shared" si="158"/>
        <v>{s_taskTalk,{193,193}}</v>
      </c>
    </row>
    <row r="1106" spans="1:49" s="491" customFormat="1" ht="228" x14ac:dyDescent="0.15">
      <c r="A1106" s="491">
        <v>15067</v>
      </c>
      <c r="C1106" s="491" t="s">
        <v>2359</v>
      </c>
      <c r="D1106" s="491">
        <v>3</v>
      </c>
      <c r="E1106" s="491">
        <v>0</v>
      </c>
      <c r="F1106" s="491">
        <v>3</v>
      </c>
      <c r="G1106" s="120">
        <v>200</v>
      </c>
      <c r="H1106" s="491">
        <v>200</v>
      </c>
      <c r="I1106" s="17">
        <v>0</v>
      </c>
      <c r="J1106" s="492">
        <v>0</v>
      </c>
      <c r="K1106" s="491">
        <v>20</v>
      </c>
      <c r="L1106" s="491">
        <v>193</v>
      </c>
      <c r="M1106" s="491" t="s">
        <v>1701</v>
      </c>
      <c r="N1106" s="491">
        <v>193</v>
      </c>
      <c r="O1106" s="491" t="s">
        <v>5210</v>
      </c>
      <c r="Q1106" s="491">
        <v>0</v>
      </c>
      <c r="S1106" s="491">
        <v>0</v>
      </c>
      <c r="U1106" s="491">
        <v>4</v>
      </c>
      <c r="V1106" s="491">
        <v>0</v>
      </c>
      <c r="W1106" s="491">
        <v>0</v>
      </c>
      <c r="Z1106" s="493">
        <v>0</v>
      </c>
      <c r="AF1106" s="494" t="s">
        <v>4204</v>
      </c>
      <c r="AG1106" s="491" t="s">
        <v>1702</v>
      </c>
      <c r="AH1106" s="491" t="s">
        <v>7327</v>
      </c>
      <c r="AI1106" s="491" t="s">
        <v>1696</v>
      </c>
      <c r="AL1106" s="492">
        <v>0</v>
      </c>
      <c r="AM1106" s="491" t="s">
        <v>1707</v>
      </c>
      <c r="AN1106" s="494" t="s">
        <v>5994</v>
      </c>
      <c r="AO1106" s="491" t="s">
        <v>1700</v>
      </c>
      <c r="AP1106" s="491">
        <v>1</v>
      </c>
      <c r="AQ1106" s="491">
        <v>0</v>
      </c>
      <c r="AR1106" s="491">
        <v>0</v>
      </c>
      <c r="AS1106" s="491">
        <v>0</v>
      </c>
      <c r="AT1106" s="491">
        <v>0</v>
      </c>
      <c r="AU1106" s="226">
        <v>0</v>
      </c>
      <c r="AV1106" s="17">
        <f t="shared" si="157"/>
        <v>0</v>
      </c>
      <c r="AW1106" s="491" t="str">
        <f t="shared" si="158"/>
        <v>{s_taskTalk,{193,193}}</v>
      </c>
    </row>
    <row r="1107" spans="1:49" s="491" customFormat="1" ht="96" x14ac:dyDescent="0.15">
      <c r="A1107" s="491">
        <v>15068</v>
      </c>
      <c r="C1107" s="491" t="s">
        <v>2360</v>
      </c>
      <c r="D1107" s="491">
        <v>3</v>
      </c>
      <c r="E1107" s="491">
        <v>0</v>
      </c>
      <c r="F1107" s="491">
        <v>3</v>
      </c>
      <c r="G1107" s="120">
        <v>200</v>
      </c>
      <c r="H1107" s="491">
        <v>200</v>
      </c>
      <c r="I1107" s="17">
        <v>0</v>
      </c>
      <c r="J1107" s="492">
        <v>0</v>
      </c>
      <c r="K1107" s="491">
        <v>1</v>
      </c>
      <c r="L1107" s="491">
        <v>206</v>
      </c>
      <c r="M1107" s="491" t="s">
        <v>1819</v>
      </c>
      <c r="N1107" s="491">
        <v>206</v>
      </c>
      <c r="O1107" s="491" t="s">
        <v>5211</v>
      </c>
      <c r="Q1107" s="491">
        <v>0</v>
      </c>
      <c r="S1107" s="491">
        <v>0</v>
      </c>
      <c r="U1107" s="491">
        <v>1</v>
      </c>
      <c r="V1107" s="491">
        <v>0</v>
      </c>
      <c r="W1107" s="491">
        <v>0</v>
      </c>
      <c r="Z1107" s="493">
        <v>0</v>
      </c>
      <c r="AF1107" s="494" t="s">
        <v>4341</v>
      </c>
      <c r="AG1107" s="491" t="s">
        <v>1820</v>
      </c>
      <c r="AH1107" s="491" t="s">
        <v>7328</v>
      </c>
      <c r="AI1107" s="491" t="s">
        <v>1821</v>
      </c>
      <c r="AL1107" s="492">
        <v>0</v>
      </c>
      <c r="AM1107" s="491" t="s">
        <v>1822</v>
      </c>
      <c r="AN1107" s="494" t="s">
        <v>5995</v>
      </c>
      <c r="AP1107" s="491">
        <v>1</v>
      </c>
      <c r="AQ1107" s="491">
        <v>0</v>
      </c>
      <c r="AR1107" s="491">
        <v>0</v>
      </c>
      <c r="AS1107" s="491">
        <v>0</v>
      </c>
      <c r="AT1107" s="491">
        <v>0</v>
      </c>
      <c r="AU1107" s="226">
        <v>0</v>
      </c>
      <c r="AV1107" s="17">
        <f t="shared" si="157"/>
        <v>0</v>
      </c>
      <c r="AW1107" s="491" t="str">
        <f t="shared" si="158"/>
        <v>{s_taskTalk,{206,206}}</v>
      </c>
    </row>
    <row r="1108" spans="1:49" s="491" customFormat="1" ht="144" x14ac:dyDescent="0.15">
      <c r="A1108" s="491">
        <v>15100</v>
      </c>
      <c r="B1108" s="491" t="s">
        <v>171</v>
      </c>
      <c r="C1108" s="491" t="s">
        <v>2361</v>
      </c>
      <c r="D1108" s="491">
        <v>2</v>
      </c>
      <c r="E1108" s="491">
        <v>0</v>
      </c>
      <c r="F1108" s="491">
        <v>1</v>
      </c>
      <c r="G1108" s="120">
        <v>200</v>
      </c>
      <c r="H1108" s="491">
        <v>200</v>
      </c>
      <c r="I1108" s="17">
        <v>0</v>
      </c>
      <c r="J1108" s="492">
        <v>0</v>
      </c>
      <c r="K1108" s="491">
        <v>0</v>
      </c>
      <c r="L1108" s="491">
        <v>60045</v>
      </c>
      <c r="M1108" s="491" t="s">
        <v>1082</v>
      </c>
      <c r="N1108" s="491">
        <v>60045</v>
      </c>
      <c r="O1108" s="491" t="s">
        <v>5127</v>
      </c>
      <c r="U1108" s="491">
        <v>1</v>
      </c>
      <c r="V1108" s="491">
        <v>0</v>
      </c>
      <c r="Z1108" s="493"/>
      <c r="AF1108" s="494" t="s">
        <v>4622</v>
      </c>
      <c r="AG1108" s="494" t="s">
        <v>4623</v>
      </c>
      <c r="AH1108" s="491" t="s">
        <v>1852</v>
      </c>
      <c r="AI1108" s="491" t="s">
        <v>1866</v>
      </c>
      <c r="AJ1108" s="491" t="s">
        <v>1853</v>
      </c>
      <c r="AK1108" s="491" t="s">
        <v>171</v>
      </c>
      <c r="AL1108" s="492">
        <v>0</v>
      </c>
      <c r="AM1108" s="494" t="s">
        <v>1867</v>
      </c>
      <c r="AN1108" s="494" t="s">
        <v>5996</v>
      </c>
      <c r="AP1108" s="491">
        <v>1</v>
      </c>
      <c r="AQ1108" s="491">
        <v>0</v>
      </c>
      <c r="AR1108" s="491">
        <v>0</v>
      </c>
      <c r="AS1108" s="491">
        <v>0</v>
      </c>
      <c r="AU1108" s="226">
        <v>0</v>
      </c>
      <c r="AV1108" s="17">
        <f t="shared" si="157"/>
        <v>0</v>
      </c>
      <c r="AW1108" s="491" t="str">
        <f t="shared" si="158"/>
        <v>{s_taskTalk,{60045,60045}}</v>
      </c>
    </row>
    <row r="1109" spans="1:49" s="491" customFormat="1" ht="60" x14ac:dyDescent="0.15">
      <c r="A1109" s="491">
        <v>15110</v>
      </c>
      <c r="B1109" s="491" t="s">
        <v>171</v>
      </c>
      <c r="C1109" s="491" t="s">
        <v>2362</v>
      </c>
      <c r="D1109" s="491">
        <v>2</v>
      </c>
      <c r="E1109" s="491">
        <v>0</v>
      </c>
      <c r="F1109" s="491">
        <v>3</v>
      </c>
      <c r="G1109" s="120">
        <v>200</v>
      </c>
      <c r="H1109" s="491">
        <v>200</v>
      </c>
      <c r="I1109" s="17">
        <v>0</v>
      </c>
      <c r="J1109" s="492">
        <v>3803</v>
      </c>
      <c r="K1109" s="491">
        <v>0</v>
      </c>
      <c r="L1109" s="491">
        <v>60000</v>
      </c>
      <c r="M1109" s="491" t="s">
        <v>1854</v>
      </c>
      <c r="N1109" s="491">
        <v>60000</v>
      </c>
      <c r="O1109" s="491" t="s">
        <v>5163</v>
      </c>
      <c r="U1109" s="491">
        <v>1</v>
      </c>
      <c r="V1109" s="491">
        <v>0</v>
      </c>
      <c r="Z1109" s="493"/>
      <c r="AF1109" s="491" t="s">
        <v>1862</v>
      </c>
      <c r="AG1109" s="491" t="s">
        <v>1861</v>
      </c>
      <c r="AH1109" s="491" t="s">
        <v>1855</v>
      </c>
      <c r="AI1109" s="491" t="s">
        <v>1865</v>
      </c>
      <c r="AJ1109" s="491" t="s">
        <v>1856</v>
      </c>
      <c r="AK1109" s="491" t="s">
        <v>171</v>
      </c>
      <c r="AL1109" s="492">
        <v>0</v>
      </c>
      <c r="AM1109" s="491" t="s">
        <v>1868</v>
      </c>
      <c r="AN1109" s="494" t="s">
        <v>5997</v>
      </c>
      <c r="AP1109" s="491">
        <v>1</v>
      </c>
      <c r="AQ1109" s="491">
        <v>0</v>
      </c>
      <c r="AR1109" s="491">
        <v>0</v>
      </c>
      <c r="AS1109" s="491">
        <v>0</v>
      </c>
      <c r="AU1109" s="226">
        <v>0</v>
      </c>
      <c r="AV1109" s="17">
        <f t="shared" si="157"/>
        <v>0</v>
      </c>
      <c r="AW1109" s="491" t="str">
        <f t="shared" si="158"/>
        <v>{s_taskTalk,{60000,60000}}</v>
      </c>
    </row>
    <row r="1110" spans="1:49" s="491" customFormat="1" ht="156" x14ac:dyDescent="0.15">
      <c r="A1110" s="491">
        <v>15120</v>
      </c>
      <c r="B1110" s="491" t="s">
        <v>171</v>
      </c>
      <c r="C1110" s="491" t="s">
        <v>2363</v>
      </c>
      <c r="D1110" s="491">
        <v>2</v>
      </c>
      <c r="E1110" s="491">
        <v>0</v>
      </c>
      <c r="F1110" s="491">
        <v>3</v>
      </c>
      <c r="G1110" s="120">
        <v>200</v>
      </c>
      <c r="H1110" s="491">
        <v>200</v>
      </c>
      <c r="I1110" s="17">
        <v>0</v>
      </c>
      <c r="J1110" s="492">
        <v>15140</v>
      </c>
      <c r="K1110" s="491">
        <v>0</v>
      </c>
      <c r="L1110" s="491">
        <v>60000</v>
      </c>
      <c r="M1110" s="491" t="s">
        <v>1854</v>
      </c>
      <c r="N1110" s="491">
        <v>60000</v>
      </c>
      <c r="O1110" s="491" t="s">
        <v>5163</v>
      </c>
      <c r="U1110" s="491">
        <v>1</v>
      </c>
      <c r="V1110" s="491">
        <v>0</v>
      </c>
      <c r="Z1110" s="493"/>
      <c r="AF1110" s="494" t="s">
        <v>4151</v>
      </c>
      <c r="AG1110" s="494" t="s">
        <v>4152</v>
      </c>
      <c r="AH1110" s="491" t="s">
        <v>1857</v>
      </c>
      <c r="AI1110" s="491" t="s">
        <v>1864</v>
      </c>
      <c r="AJ1110" s="491" t="s">
        <v>1858</v>
      </c>
      <c r="AK1110" s="491" t="s">
        <v>171</v>
      </c>
      <c r="AL1110" s="492">
        <v>0</v>
      </c>
      <c r="AM1110" s="494" t="s">
        <v>4153</v>
      </c>
      <c r="AN1110" s="494" t="s">
        <v>5998</v>
      </c>
      <c r="AP1110" s="491">
        <v>1</v>
      </c>
      <c r="AQ1110" s="491">
        <v>0</v>
      </c>
      <c r="AR1110" s="491">
        <v>0</v>
      </c>
      <c r="AS1110" s="491">
        <v>0</v>
      </c>
      <c r="AU1110" s="226">
        <v>0</v>
      </c>
      <c r="AV1110" s="17">
        <f t="shared" si="157"/>
        <v>0</v>
      </c>
      <c r="AW1110" s="491" t="str">
        <f t="shared" si="158"/>
        <v>{s_taskTalk,{60000,60000}}</v>
      </c>
    </row>
    <row r="1111" spans="1:49" s="491" customFormat="1" ht="156" x14ac:dyDescent="0.15">
      <c r="A1111" s="491">
        <v>15130</v>
      </c>
      <c r="B1111" s="491" t="s">
        <v>171</v>
      </c>
      <c r="C1111" s="491" t="s">
        <v>2364</v>
      </c>
      <c r="D1111" s="491">
        <v>2</v>
      </c>
      <c r="E1111" s="491">
        <v>0</v>
      </c>
      <c r="F1111" s="491">
        <v>3</v>
      </c>
      <c r="G1111" s="120">
        <v>200</v>
      </c>
      <c r="H1111" s="491">
        <v>200</v>
      </c>
      <c r="I1111" s="17">
        <v>0</v>
      </c>
      <c r="J1111" s="492">
        <v>15120</v>
      </c>
      <c r="K1111" s="491">
        <v>0</v>
      </c>
      <c r="L1111" s="491">
        <v>60000</v>
      </c>
      <c r="M1111" s="491" t="s">
        <v>1854</v>
      </c>
      <c r="N1111" s="491">
        <v>60000</v>
      </c>
      <c r="O1111" s="491" t="s">
        <v>5163</v>
      </c>
      <c r="U1111" s="491">
        <v>1</v>
      </c>
      <c r="V1111" s="491">
        <v>0</v>
      </c>
      <c r="Z1111" s="493"/>
      <c r="AF1111" s="494" t="s">
        <v>4140</v>
      </c>
      <c r="AG1111" s="494" t="s">
        <v>4141</v>
      </c>
      <c r="AH1111" s="491" t="s">
        <v>1859</v>
      </c>
      <c r="AI1111" s="491" t="s">
        <v>1863</v>
      </c>
      <c r="AJ1111" s="491" t="s">
        <v>1860</v>
      </c>
      <c r="AK1111" s="491" t="s">
        <v>171</v>
      </c>
      <c r="AL1111" s="492">
        <v>0</v>
      </c>
      <c r="AM1111" s="494" t="s">
        <v>4142</v>
      </c>
      <c r="AN1111" s="494" t="s">
        <v>5999</v>
      </c>
      <c r="AP1111" s="491">
        <v>1</v>
      </c>
      <c r="AQ1111" s="491">
        <v>0</v>
      </c>
      <c r="AR1111" s="491">
        <v>0</v>
      </c>
      <c r="AS1111" s="491">
        <v>0</v>
      </c>
      <c r="AU1111" s="226">
        <v>0</v>
      </c>
      <c r="AV1111" s="17">
        <f t="shared" si="157"/>
        <v>0</v>
      </c>
      <c r="AW1111" s="491" t="str">
        <f t="shared" si="158"/>
        <v>{s_taskTalk,{60000,60000}}</v>
      </c>
    </row>
    <row r="1112" spans="1:49" s="73" customFormat="1" ht="108.75" thickBot="1" x14ac:dyDescent="0.2">
      <c r="A1112" s="9">
        <v>15140</v>
      </c>
      <c r="B1112" s="226" t="s">
        <v>171</v>
      </c>
      <c r="C1112" s="226" t="s">
        <v>4043</v>
      </c>
      <c r="D1112" s="226">
        <v>2</v>
      </c>
      <c r="E1112" s="226">
        <v>0</v>
      </c>
      <c r="F1112" s="226">
        <v>3</v>
      </c>
      <c r="G1112" s="120">
        <v>200</v>
      </c>
      <c r="H1112" s="226">
        <v>200</v>
      </c>
      <c r="I1112" s="17">
        <v>0</v>
      </c>
      <c r="J1112" s="234">
        <v>3821</v>
      </c>
      <c r="K1112" s="226">
        <v>0</v>
      </c>
      <c r="L1112" s="226">
        <v>135</v>
      </c>
      <c r="M1112" s="226" t="s">
        <v>2785</v>
      </c>
      <c r="N1112" s="226">
        <v>135</v>
      </c>
      <c r="O1112" s="226" t="s">
        <v>5208</v>
      </c>
      <c r="P1112" s="226"/>
      <c r="Q1112" s="228"/>
      <c r="R1112" s="228"/>
      <c r="S1112" s="228"/>
      <c r="T1112" s="226"/>
      <c r="U1112" s="226">
        <v>1</v>
      </c>
      <c r="V1112" s="226">
        <v>0</v>
      </c>
      <c r="W1112" s="122"/>
      <c r="X1112" s="226"/>
      <c r="Y1112" s="226"/>
      <c r="Z1112" s="230"/>
      <c r="AA1112" s="226"/>
      <c r="AB1112" s="231"/>
      <c r="AC1112" s="231">
        <v>1000</v>
      </c>
      <c r="AD1112" s="489"/>
      <c r="AE1112" s="226"/>
      <c r="AF1112" s="595" t="s">
        <v>4154</v>
      </c>
      <c r="AG1112" s="595" t="s">
        <v>4155</v>
      </c>
      <c r="AH1112" s="50" t="s">
        <v>4156</v>
      </c>
      <c r="AI1112" s="595" t="s">
        <v>2786</v>
      </c>
      <c r="AJ1112" s="595" t="s">
        <v>4157</v>
      </c>
      <c r="AK1112" s="226" t="s">
        <v>171</v>
      </c>
      <c r="AL1112" s="234">
        <v>0</v>
      </c>
      <c r="AM1112" s="226" t="s">
        <v>4158</v>
      </c>
      <c r="AN1112" s="226" t="s">
        <v>6000</v>
      </c>
      <c r="AO1112" s="226"/>
      <c r="AP1112" s="73">
        <v>1</v>
      </c>
      <c r="AQ1112" s="73">
        <v>0</v>
      </c>
      <c r="AR1112" s="73">
        <v>0</v>
      </c>
      <c r="AS1112" s="73">
        <v>0</v>
      </c>
      <c r="AU1112" s="226">
        <v>0</v>
      </c>
      <c r="AV1112" s="17">
        <f t="shared" si="157"/>
        <v>0</v>
      </c>
      <c r="AW1112" s="50" t="str">
        <f>"{s_taskCustom,{"&amp;L1112&amp;","&amp;N1112&amp;","&amp;U1112&amp;","&amp;V1112&amp;"}}"</f>
        <v>{s_taskCustom,{135,135,1,0}}</v>
      </c>
    </row>
    <row r="1113" spans="1:49" s="73" customFormat="1" ht="96" x14ac:dyDescent="0.15">
      <c r="A1113" s="9">
        <v>15141</v>
      </c>
      <c r="B1113" s="226"/>
      <c r="C1113" s="226" t="s">
        <v>4044</v>
      </c>
      <c r="D1113" s="226">
        <v>2</v>
      </c>
      <c r="E1113" s="226">
        <v>0</v>
      </c>
      <c r="F1113" s="226">
        <v>3</v>
      </c>
      <c r="G1113" s="120">
        <v>200</v>
      </c>
      <c r="H1113" s="226">
        <v>200</v>
      </c>
      <c r="I1113" s="17">
        <v>0</v>
      </c>
      <c r="J1113" s="234">
        <v>0</v>
      </c>
      <c r="K1113" s="226">
        <v>0</v>
      </c>
      <c r="L1113" s="226">
        <v>195</v>
      </c>
      <c r="M1113" s="226" t="s">
        <v>4045</v>
      </c>
      <c r="N1113" s="226">
        <v>195</v>
      </c>
      <c r="O1113" s="226" t="s">
        <v>5212</v>
      </c>
      <c r="P1113" s="226"/>
      <c r="Q1113" s="596"/>
      <c r="R1113" s="596"/>
      <c r="S1113" s="596"/>
      <c r="T1113" s="226"/>
      <c r="U1113" s="226">
        <v>1</v>
      </c>
      <c r="V1113" s="226">
        <v>1</v>
      </c>
      <c r="W1113" s="122"/>
      <c r="X1113" s="226"/>
      <c r="Y1113" s="226"/>
      <c r="Z1113" s="597">
        <v>5000</v>
      </c>
      <c r="AA1113" s="226"/>
      <c r="AB1113" s="235"/>
      <c r="AC1113" s="235"/>
      <c r="AD1113" s="484"/>
      <c r="AE1113" s="226"/>
      <c r="AF1113" s="595" t="s">
        <v>4143</v>
      </c>
      <c r="AG1113" s="595" t="s">
        <v>4144</v>
      </c>
      <c r="AH1113" s="50" t="s">
        <v>4046</v>
      </c>
      <c r="AI1113" s="595"/>
      <c r="AJ1113" s="595" t="s">
        <v>4047</v>
      </c>
      <c r="AK1113" s="226"/>
      <c r="AL1113" s="234"/>
      <c r="AM1113" s="147" t="s">
        <v>4048</v>
      </c>
      <c r="AN1113" s="147" t="s">
        <v>4048</v>
      </c>
      <c r="AO1113" s="226"/>
      <c r="AP1113" s="73">
        <v>1</v>
      </c>
      <c r="AQ1113" s="73">
        <v>0</v>
      </c>
      <c r="AR1113" s="73">
        <v>0</v>
      </c>
      <c r="AS1113" s="73">
        <v>0</v>
      </c>
      <c r="AU1113" s="226"/>
      <c r="AV1113" s="17">
        <f t="shared" si="157"/>
        <v>0</v>
      </c>
      <c r="AW1113" s="50" t="str">
        <f>"{s_taskCustom,{"&amp;L1113&amp;","&amp;N1113&amp;","&amp;U1113&amp;","&amp;V1113&amp;"}}"</f>
        <v>{s_taskCustom,{195,195,1,1}}</v>
      </c>
    </row>
    <row r="1114" spans="1:49" s="491" customFormat="1" ht="60" x14ac:dyDescent="0.15">
      <c r="A1114" s="491">
        <v>15150</v>
      </c>
      <c r="B1114" s="491" t="s">
        <v>171</v>
      </c>
      <c r="C1114" s="491" t="s">
        <v>2365</v>
      </c>
      <c r="D1114" s="491">
        <v>3</v>
      </c>
      <c r="E1114" s="491">
        <v>0</v>
      </c>
      <c r="F1114" s="491">
        <v>3</v>
      </c>
      <c r="G1114" s="120">
        <v>200</v>
      </c>
      <c r="H1114" s="491">
        <v>200</v>
      </c>
      <c r="I1114" s="17">
        <v>0</v>
      </c>
      <c r="J1114" s="492">
        <v>0</v>
      </c>
      <c r="K1114" s="491">
        <v>1</v>
      </c>
      <c r="L1114" s="491">
        <v>211</v>
      </c>
      <c r="M1114" s="491" t="s">
        <v>1872</v>
      </c>
      <c r="N1114" s="491">
        <v>212</v>
      </c>
      <c r="O1114" s="491" t="s">
        <v>5213</v>
      </c>
      <c r="U1114" s="491">
        <v>9</v>
      </c>
      <c r="V1114" s="491">
        <v>0</v>
      </c>
      <c r="Z1114" s="493"/>
      <c r="AF1114" s="491" t="s">
        <v>7329</v>
      </c>
      <c r="AG1114" s="491" t="s">
        <v>2406</v>
      </c>
      <c r="AH1114" s="491" t="s">
        <v>1873</v>
      </c>
      <c r="AI1114" s="491" t="s">
        <v>1874</v>
      </c>
      <c r="AJ1114" s="491" t="s">
        <v>1878</v>
      </c>
      <c r="AL1114" s="492">
        <v>0</v>
      </c>
      <c r="AM1114" s="491" t="s">
        <v>1879</v>
      </c>
      <c r="AN1114" s="494" t="s">
        <v>6001</v>
      </c>
      <c r="AO1114" s="491" t="s">
        <v>7330</v>
      </c>
      <c r="AP1114" s="491">
        <v>0</v>
      </c>
      <c r="AQ1114" s="491">
        <v>0</v>
      </c>
      <c r="AR1114" s="491">
        <v>0</v>
      </c>
      <c r="AS1114" s="491">
        <v>0</v>
      </c>
      <c r="AU1114" s="226">
        <v>0</v>
      </c>
      <c r="AV1114" s="17">
        <f t="shared" si="157"/>
        <v>0</v>
      </c>
      <c r="AW1114" s="491" t="str">
        <f t="shared" ref="AW1114:AW1185" si="159">"{s_taskTalk,{"&amp;L1114&amp;","&amp;N1114&amp;"}}"</f>
        <v>{s_taskTalk,{211,212}}</v>
      </c>
    </row>
    <row r="1115" spans="1:49" s="491" customFormat="1" ht="60" x14ac:dyDescent="0.15">
      <c r="A1115" s="491">
        <v>15160</v>
      </c>
      <c r="B1115" s="491" t="s">
        <v>171</v>
      </c>
      <c r="C1115" s="491" t="s">
        <v>2366</v>
      </c>
      <c r="D1115" s="491">
        <v>3</v>
      </c>
      <c r="E1115" s="491">
        <v>0</v>
      </c>
      <c r="F1115" s="491">
        <v>3</v>
      </c>
      <c r="G1115" s="120">
        <v>200</v>
      </c>
      <c r="H1115" s="491">
        <v>200</v>
      </c>
      <c r="I1115" s="17">
        <v>0</v>
      </c>
      <c r="J1115" s="492">
        <v>0</v>
      </c>
      <c r="K1115" s="491">
        <v>1</v>
      </c>
      <c r="L1115" s="491">
        <v>212</v>
      </c>
      <c r="M1115" s="491" t="s">
        <v>1875</v>
      </c>
      <c r="N1115" s="491">
        <v>211</v>
      </c>
      <c r="O1115" s="491" t="s">
        <v>5214</v>
      </c>
      <c r="U1115" s="491">
        <v>9</v>
      </c>
      <c r="V1115" s="491">
        <v>0</v>
      </c>
      <c r="Z1115" s="493"/>
      <c r="AF1115" s="491" t="s">
        <v>7331</v>
      </c>
      <c r="AG1115" s="491" t="s">
        <v>2389</v>
      </c>
      <c r="AH1115" s="491" t="s">
        <v>1876</v>
      </c>
      <c r="AI1115" s="491" t="s">
        <v>1874</v>
      </c>
      <c r="AJ1115" s="491" t="s">
        <v>1877</v>
      </c>
      <c r="AL1115" s="492">
        <v>0</v>
      </c>
      <c r="AM1115" s="491" t="s">
        <v>1880</v>
      </c>
      <c r="AN1115" s="494" t="s">
        <v>6002</v>
      </c>
      <c r="AO1115" s="491" t="s">
        <v>7330</v>
      </c>
      <c r="AP1115" s="491">
        <v>0</v>
      </c>
      <c r="AQ1115" s="491">
        <v>0</v>
      </c>
      <c r="AR1115" s="491">
        <v>0</v>
      </c>
      <c r="AS1115" s="491">
        <v>0</v>
      </c>
      <c r="AU1115" s="226">
        <v>0</v>
      </c>
      <c r="AV1115" s="17">
        <f t="shared" si="157"/>
        <v>0</v>
      </c>
      <c r="AW1115" s="491" t="str">
        <f t="shared" si="159"/>
        <v>{s_taskTalk,{212,211}}</v>
      </c>
    </row>
    <row r="1116" spans="1:49" s="491" customFormat="1" ht="60" x14ac:dyDescent="0.15">
      <c r="A1116" s="491">
        <v>15170</v>
      </c>
      <c r="B1116" s="491" t="s">
        <v>171</v>
      </c>
      <c r="C1116" s="491" t="s">
        <v>2367</v>
      </c>
      <c r="D1116" s="491">
        <v>2</v>
      </c>
      <c r="E1116" s="491">
        <v>0</v>
      </c>
      <c r="F1116" s="491">
        <v>3</v>
      </c>
      <c r="G1116" s="120">
        <v>200</v>
      </c>
      <c r="H1116" s="491">
        <v>200</v>
      </c>
      <c r="I1116" s="17">
        <v>0</v>
      </c>
      <c r="J1116" s="492">
        <v>0</v>
      </c>
      <c r="K1116" s="491">
        <v>0</v>
      </c>
      <c r="L1116" s="491">
        <v>211</v>
      </c>
      <c r="M1116" s="491" t="s">
        <v>1872</v>
      </c>
      <c r="N1116" s="491">
        <v>198</v>
      </c>
      <c r="O1116" s="491" t="s">
        <v>5215</v>
      </c>
      <c r="U1116" s="491">
        <v>1</v>
      </c>
      <c r="V1116" s="491">
        <v>1</v>
      </c>
      <c r="Z1116" s="493"/>
      <c r="AD1116" s="491" t="s">
        <v>7332</v>
      </c>
      <c r="AF1116" s="491" t="s">
        <v>7333</v>
      </c>
      <c r="AG1116" s="491" t="s">
        <v>1881</v>
      </c>
      <c r="AH1116" s="491" t="s">
        <v>1882</v>
      </c>
      <c r="AI1116" s="491" t="s">
        <v>1883</v>
      </c>
      <c r="AJ1116" s="491" t="s">
        <v>1884</v>
      </c>
      <c r="AL1116" s="492">
        <v>0</v>
      </c>
      <c r="AM1116" s="491" t="s">
        <v>7334</v>
      </c>
      <c r="AN1116" s="494" t="s">
        <v>6003</v>
      </c>
      <c r="AP1116" s="491">
        <v>0</v>
      </c>
      <c r="AQ1116" s="491">
        <v>0</v>
      </c>
      <c r="AR1116" s="491">
        <v>0</v>
      </c>
      <c r="AS1116" s="491">
        <v>0</v>
      </c>
      <c r="AU1116" s="226">
        <v>0</v>
      </c>
      <c r="AV1116" s="17">
        <f t="shared" si="157"/>
        <v>0</v>
      </c>
      <c r="AW1116" s="491" t="str">
        <f t="shared" si="159"/>
        <v>{s_taskTalk,{211,198}}</v>
      </c>
    </row>
    <row r="1117" spans="1:49" s="491" customFormat="1" ht="108" x14ac:dyDescent="0.15">
      <c r="A1117" s="491">
        <v>15180</v>
      </c>
      <c r="B1117" s="491" t="s">
        <v>171</v>
      </c>
      <c r="C1117" s="491" t="s">
        <v>3191</v>
      </c>
      <c r="D1117" s="491">
        <v>2</v>
      </c>
      <c r="E1117" s="491">
        <v>0</v>
      </c>
      <c r="F1117" s="491">
        <v>3</v>
      </c>
      <c r="G1117" s="120">
        <v>200</v>
      </c>
      <c r="H1117" s="491">
        <v>200</v>
      </c>
      <c r="I1117" s="17">
        <v>0</v>
      </c>
      <c r="J1117" s="492">
        <v>0</v>
      </c>
      <c r="K1117" s="491">
        <v>0</v>
      </c>
      <c r="L1117" s="491">
        <v>211</v>
      </c>
      <c r="M1117" s="491" t="s">
        <v>1872</v>
      </c>
      <c r="N1117" s="491">
        <v>199</v>
      </c>
      <c r="O1117" s="491" t="s">
        <v>5216</v>
      </c>
      <c r="U1117" s="491">
        <v>1</v>
      </c>
      <c r="V1117" s="491">
        <v>1</v>
      </c>
      <c r="Z1117" s="493"/>
      <c r="AD1117" s="491" t="s">
        <v>7335</v>
      </c>
      <c r="AF1117" s="494" t="s">
        <v>7336</v>
      </c>
      <c r="AG1117" s="491" t="s">
        <v>1885</v>
      </c>
      <c r="AH1117" s="491" t="s">
        <v>1886</v>
      </c>
      <c r="AI1117" s="491" t="s">
        <v>1883</v>
      </c>
      <c r="AJ1117" s="491" t="s">
        <v>1887</v>
      </c>
      <c r="AL1117" s="492">
        <v>0</v>
      </c>
      <c r="AM1117" s="491" t="s">
        <v>7337</v>
      </c>
      <c r="AN1117" s="491" t="s">
        <v>7337</v>
      </c>
      <c r="AP1117" s="491">
        <v>0</v>
      </c>
      <c r="AQ1117" s="491">
        <v>0</v>
      </c>
      <c r="AR1117" s="491">
        <v>0</v>
      </c>
      <c r="AS1117" s="491">
        <v>0</v>
      </c>
      <c r="AU1117" s="226">
        <v>0</v>
      </c>
      <c r="AV1117" s="17">
        <f t="shared" si="157"/>
        <v>0</v>
      </c>
      <c r="AW1117" s="491" t="str">
        <f t="shared" si="159"/>
        <v>{s_taskTalk,{211,199}}</v>
      </c>
    </row>
    <row r="1118" spans="1:49" s="491" customFormat="1" ht="60" x14ac:dyDescent="0.15">
      <c r="A1118" s="491">
        <v>15190</v>
      </c>
      <c r="B1118" s="491" t="s">
        <v>171</v>
      </c>
      <c r="C1118" s="491" t="s">
        <v>7338</v>
      </c>
      <c r="D1118" s="491">
        <v>2</v>
      </c>
      <c r="E1118" s="491">
        <v>0</v>
      </c>
      <c r="F1118" s="491">
        <v>3</v>
      </c>
      <c r="G1118" s="120">
        <v>200</v>
      </c>
      <c r="H1118" s="491">
        <v>200</v>
      </c>
      <c r="I1118" s="17">
        <v>0</v>
      </c>
      <c r="J1118" s="492">
        <v>0</v>
      </c>
      <c r="K1118" s="491">
        <v>0</v>
      </c>
      <c r="L1118" s="491">
        <v>213</v>
      </c>
      <c r="M1118" s="491" t="s">
        <v>2432</v>
      </c>
      <c r="N1118" s="491">
        <v>214</v>
      </c>
      <c r="O1118" s="491" t="s">
        <v>5217</v>
      </c>
      <c r="U1118" s="491">
        <v>1</v>
      </c>
      <c r="V1118" s="491">
        <v>1</v>
      </c>
      <c r="Z1118" s="493"/>
      <c r="AD1118" s="491" t="s">
        <v>2434</v>
      </c>
      <c r="AE1118" s="491" t="s">
        <v>2440</v>
      </c>
      <c r="AF1118" s="491" t="s">
        <v>7339</v>
      </c>
      <c r="AG1118" s="491" t="s">
        <v>7340</v>
      </c>
      <c r="AH1118" s="491" t="s">
        <v>7341</v>
      </c>
      <c r="AI1118" s="491" t="s">
        <v>2435</v>
      </c>
      <c r="AJ1118" s="491" t="s">
        <v>2436</v>
      </c>
      <c r="AL1118" s="492">
        <v>0</v>
      </c>
      <c r="AM1118" s="491" t="s">
        <v>7342</v>
      </c>
      <c r="AN1118" s="494" t="s">
        <v>6004</v>
      </c>
      <c r="AP1118" s="491">
        <v>1</v>
      </c>
      <c r="AQ1118" s="491">
        <v>0</v>
      </c>
      <c r="AR1118" s="491">
        <v>0</v>
      </c>
      <c r="AS1118" s="491">
        <v>0</v>
      </c>
      <c r="AU1118" s="226">
        <v>0</v>
      </c>
      <c r="AV1118" s="17">
        <f t="shared" si="157"/>
        <v>0</v>
      </c>
      <c r="AW1118" s="491" t="str">
        <f t="shared" si="159"/>
        <v>{s_taskTalk,{213,214}}</v>
      </c>
    </row>
    <row r="1119" spans="1:49" s="491" customFormat="1" ht="60" x14ac:dyDescent="0.15">
      <c r="A1119" s="491">
        <v>15191</v>
      </c>
      <c r="B1119" s="491" t="s">
        <v>171</v>
      </c>
      <c r="C1119" s="491" t="s">
        <v>7343</v>
      </c>
      <c r="D1119" s="491">
        <v>2</v>
      </c>
      <c r="E1119" s="491">
        <v>0</v>
      </c>
      <c r="F1119" s="491">
        <v>3</v>
      </c>
      <c r="G1119" s="120">
        <v>200</v>
      </c>
      <c r="H1119" s="491">
        <v>200</v>
      </c>
      <c r="I1119" s="17">
        <v>0</v>
      </c>
      <c r="J1119" s="492">
        <v>15190</v>
      </c>
      <c r="K1119" s="491">
        <v>0</v>
      </c>
      <c r="L1119" s="491">
        <v>214</v>
      </c>
      <c r="M1119" s="491" t="s">
        <v>2433</v>
      </c>
      <c r="N1119" s="491">
        <v>213</v>
      </c>
      <c r="O1119" s="491" t="s">
        <v>5218</v>
      </c>
      <c r="U1119" s="491">
        <v>1</v>
      </c>
      <c r="V1119" s="491">
        <v>1</v>
      </c>
      <c r="Z1119" s="493"/>
      <c r="AD1119" s="491" t="s">
        <v>2437</v>
      </c>
      <c r="AE1119" s="491" t="s">
        <v>2441</v>
      </c>
      <c r="AF1119" s="491" t="s">
        <v>7344</v>
      </c>
      <c r="AG1119" s="491" t="s">
        <v>7345</v>
      </c>
      <c r="AH1119" s="491" t="s">
        <v>7346</v>
      </c>
      <c r="AI1119" s="491" t="s">
        <v>2438</v>
      </c>
      <c r="AJ1119" s="491" t="s">
        <v>2439</v>
      </c>
      <c r="AL1119" s="492">
        <v>0</v>
      </c>
      <c r="AM1119" s="491" t="s">
        <v>7347</v>
      </c>
      <c r="AN1119" s="494" t="s">
        <v>6005</v>
      </c>
      <c r="AP1119" s="491">
        <v>1</v>
      </c>
      <c r="AQ1119" s="491">
        <v>0</v>
      </c>
      <c r="AR1119" s="491">
        <v>0</v>
      </c>
      <c r="AS1119" s="491">
        <v>0</v>
      </c>
      <c r="AU1119" s="226">
        <v>0</v>
      </c>
      <c r="AV1119" s="17">
        <f t="shared" si="157"/>
        <v>0</v>
      </c>
      <c r="AW1119" s="491" t="str">
        <f t="shared" si="159"/>
        <v>{s_taskTalk,{214,213}}</v>
      </c>
    </row>
    <row r="1120" spans="1:49" s="598" customFormat="1" ht="60" x14ac:dyDescent="0.15">
      <c r="A1120" s="598">
        <v>15195</v>
      </c>
      <c r="B1120" s="598" t="s">
        <v>171</v>
      </c>
      <c r="C1120" s="598" t="s">
        <v>2367</v>
      </c>
      <c r="D1120" s="598">
        <v>2</v>
      </c>
      <c r="E1120" s="598">
        <v>0</v>
      </c>
      <c r="F1120" s="598">
        <v>3</v>
      </c>
      <c r="G1120" s="120">
        <v>200</v>
      </c>
      <c r="H1120" s="598">
        <v>200</v>
      </c>
      <c r="I1120" s="17">
        <v>0</v>
      </c>
      <c r="J1120" s="599">
        <v>0</v>
      </c>
      <c r="K1120" s="598">
        <v>0</v>
      </c>
      <c r="L1120" s="598">
        <v>232</v>
      </c>
      <c r="M1120" s="598" t="s">
        <v>2432</v>
      </c>
      <c r="N1120" s="598">
        <v>198</v>
      </c>
      <c r="O1120" s="598" t="s">
        <v>5215</v>
      </c>
      <c r="U1120" s="598">
        <v>1</v>
      </c>
      <c r="V1120" s="598">
        <v>1</v>
      </c>
      <c r="Z1120" s="600"/>
      <c r="AD1120" s="598" t="s">
        <v>7332</v>
      </c>
      <c r="AF1120" s="598" t="s">
        <v>7333</v>
      </c>
      <c r="AG1120" s="598" t="s">
        <v>1881</v>
      </c>
      <c r="AH1120" s="598" t="s">
        <v>1882</v>
      </c>
      <c r="AI1120" s="598" t="s">
        <v>1883</v>
      </c>
      <c r="AJ1120" s="598" t="s">
        <v>1884</v>
      </c>
      <c r="AL1120" s="599">
        <v>0</v>
      </c>
      <c r="AM1120" s="601" t="s">
        <v>3204</v>
      </c>
      <c r="AN1120" s="601" t="s">
        <v>6006</v>
      </c>
      <c r="AP1120" s="598">
        <v>0</v>
      </c>
      <c r="AQ1120" s="598">
        <v>0</v>
      </c>
      <c r="AR1120" s="598">
        <v>0</v>
      </c>
      <c r="AS1120" s="598">
        <v>0</v>
      </c>
      <c r="AU1120" s="226">
        <v>0</v>
      </c>
      <c r="AV1120" s="17">
        <f t="shared" si="157"/>
        <v>0</v>
      </c>
      <c r="AW1120" s="598" t="str">
        <f>"{s_taskTalk,{"&amp;L1120&amp;","&amp;N1120&amp;"}}"</f>
        <v>{s_taskTalk,{232,198}}</v>
      </c>
    </row>
    <row r="1121" spans="1:49" s="598" customFormat="1" ht="96" x14ac:dyDescent="0.15">
      <c r="A1121" s="598">
        <v>15196</v>
      </c>
      <c r="B1121" s="598" t="s">
        <v>171</v>
      </c>
      <c r="C1121" s="598" t="s">
        <v>3191</v>
      </c>
      <c r="D1121" s="598">
        <v>2</v>
      </c>
      <c r="E1121" s="598">
        <v>0</v>
      </c>
      <c r="F1121" s="598">
        <v>3</v>
      </c>
      <c r="G1121" s="120">
        <v>200</v>
      </c>
      <c r="H1121" s="598">
        <v>200</v>
      </c>
      <c r="I1121" s="17">
        <v>0</v>
      </c>
      <c r="J1121" s="599">
        <v>0</v>
      </c>
      <c r="K1121" s="598">
        <v>0</v>
      </c>
      <c r="L1121" s="598">
        <v>232</v>
      </c>
      <c r="M1121" s="598" t="s">
        <v>2432</v>
      </c>
      <c r="N1121" s="598">
        <v>199</v>
      </c>
      <c r="O1121" s="598" t="s">
        <v>5216</v>
      </c>
      <c r="U1121" s="598">
        <v>1</v>
      </c>
      <c r="V1121" s="598">
        <v>1</v>
      </c>
      <c r="Z1121" s="600"/>
      <c r="AD1121" s="598" t="s">
        <v>7335</v>
      </c>
      <c r="AF1121" s="598" t="s">
        <v>7336</v>
      </c>
      <c r="AG1121" s="598" t="s">
        <v>1885</v>
      </c>
      <c r="AH1121" s="598" t="s">
        <v>1886</v>
      </c>
      <c r="AI1121" s="598" t="s">
        <v>1883</v>
      </c>
      <c r="AJ1121" s="598" t="s">
        <v>1887</v>
      </c>
      <c r="AL1121" s="599">
        <v>0</v>
      </c>
      <c r="AM1121" s="601" t="s">
        <v>3205</v>
      </c>
      <c r="AN1121" s="601" t="s">
        <v>3206</v>
      </c>
      <c r="AP1121" s="598">
        <v>0</v>
      </c>
      <c r="AQ1121" s="598">
        <v>0</v>
      </c>
      <c r="AR1121" s="598">
        <v>0</v>
      </c>
      <c r="AS1121" s="598">
        <v>0</v>
      </c>
      <c r="AU1121" s="226">
        <v>0</v>
      </c>
      <c r="AV1121" s="17">
        <f t="shared" si="157"/>
        <v>0</v>
      </c>
      <c r="AW1121" s="598" t="str">
        <f>"{s_taskTalk,{"&amp;L1121&amp;","&amp;N1121&amp;"}}"</f>
        <v>{s_taskTalk,{232,199}}</v>
      </c>
    </row>
    <row r="1122" spans="1:49" s="598" customFormat="1" ht="144" x14ac:dyDescent="0.15">
      <c r="A1122" s="598">
        <v>15197</v>
      </c>
      <c r="B1122" s="598" t="s">
        <v>171</v>
      </c>
      <c r="C1122" s="598" t="s">
        <v>7338</v>
      </c>
      <c r="D1122" s="598">
        <v>2</v>
      </c>
      <c r="E1122" s="598">
        <v>0</v>
      </c>
      <c r="F1122" s="598">
        <v>3</v>
      </c>
      <c r="G1122" s="120">
        <v>200</v>
      </c>
      <c r="H1122" s="598">
        <v>200</v>
      </c>
      <c r="I1122" s="17">
        <v>0</v>
      </c>
      <c r="J1122" s="599">
        <v>0</v>
      </c>
      <c r="K1122" s="598">
        <v>0</v>
      </c>
      <c r="L1122" s="598">
        <v>232</v>
      </c>
      <c r="M1122" s="598" t="s">
        <v>2432</v>
      </c>
      <c r="N1122" s="598">
        <v>233</v>
      </c>
      <c r="O1122" s="598" t="s">
        <v>5217</v>
      </c>
      <c r="U1122" s="598">
        <v>1</v>
      </c>
      <c r="V1122" s="598">
        <v>1</v>
      </c>
      <c r="Z1122" s="600"/>
      <c r="AD1122" s="598" t="s">
        <v>2434</v>
      </c>
      <c r="AE1122" s="598" t="s">
        <v>2440</v>
      </c>
      <c r="AF1122" s="601" t="s">
        <v>3199</v>
      </c>
      <c r="AG1122" s="598" t="s">
        <v>7340</v>
      </c>
      <c r="AH1122" s="598" t="s">
        <v>7341</v>
      </c>
      <c r="AI1122" s="598" t="s">
        <v>2435</v>
      </c>
      <c r="AJ1122" s="598" t="s">
        <v>2436</v>
      </c>
      <c r="AL1122" s="599">
        <v>0</v>
      </c>
      <c r="AM1122" s="601" t="s">
        <v>3200</v>
      </c>
      <c r="AN1122" s="601" t="s">
        <v>6007</v>
      </c>
      <c r="AP1122" s="598">
        <v>1</v>
      </c>
      <c r="AQ1122" s="598">
        <v>0</v>
      </c>
      <c r="AR1122" s="598">
        <v>0</v>
      </c>
      <c r="AS1122" s="598">
        <v>0</v>
      </c>
      <c r="AU1122" s="226">
        <v>0</v>
      </c>
      <c r="AV1122" s="17">
        <f t="shared" si="157"/>
        <v>0</v>
      </c>
      <c r="AW1122" s="598" t="str">
        <f>"{s_taskTalk,{"&amp;L1122&amp;","&amp;N1122&amp;"}}"</f>
        <v>{s_taskTalk,{232,233}}</v>
      </c>
    </row>
    <row r="1123" spans="1:49" s="598" customFormat="1" ht="108" x14ac:dyDescent="0.15">
      <c r="A1123" s="598">
        <v>15198</v>
      </c>
      <c r="B1123" s="598" t="s">
        <v>171</v>
      </c>
      <c r="C1123" s="598" t="s">
        <v>7343</v>
      </c>
      <c r="D1123" s="598">
        <v>2</v>
      </c>
      <c r="E1123" s="598">
        <v>0</v>
      </c>
      <c r="F1123" s="598">
        <v>3</v>
      </c>
      <c r="G1123" s="120">
        <v>200</v>
      </c>
      <c r="H1123" s="598">
        <v>200</v>
      </c>
      <c r="I1123" s="17">
        <v>0</v>
      </c>
      <c r="J1123" s="599">
        <v>15197</v>
      </c>
      <c r="K1123" s="598">
        <v>0</v>
      </c>
      <c r="L1123" s="598">
        <v>233</v>
      </c>
      <c r="M1123" s="598" t="s">
        <v>2433</v>
      </c>
      <c r="N1123" s="598">
        <v>232</v>
      </c>
      <c r="O1123" s="598" t="s">
        <v>5218</v>
      </c>
      <c r="U1123" s="598">
        <v>1</v>
      </c>
      <c r="V1123" s="598">
        <v>1</v>
      </c>
      <c r="Z1123" s="600"/>
      <c r="AD1123" s="598" t="s">
        <v>2437</v>
      </c>
      <c r="AE1123" s="598" t="s">
        <v>2441</v>
      </c>
      <c r="AF1123" s="601" t="s">
        <v>3198</v>
      </c>
      <c r="AG1123" s="598" t="s">
        <v>7345</v>
      </c>
      <c r="AH1123" s="598" t="s">
        <v>7346</v>
      </c>
      <c r="AI1123" s="598" t="s">
        <v>2438</v>
      </c>
      <c r="AJ1123" s="598" t="s">
        <v>2439</v>
      </c>
      <c r="AL1123" s="599">
        <v>0</v>
      </c>
      <c r="AM1123" s="601" t="s">
        <v>8642</v>
      </c>
      <c r="AN1123" s="601" t="s">
        <v>6008</v>
      </c>
      <c r="AP1123" s="598">
        <v>1</v>
      </c>
      <c r="AQ1123" s="598">
        <v>0</v>
      </c>
      <c r="AR1123" s="598">
        <v>0</v>
      </c>
      <c r="AS1123" s="598">
        <v>0</v>
      </c>
      <c r="AU1123" s="226">
        <v>0</v>
      </c>
      <c r="AV1123" s="17">
        <f t="shared" si="157"/>
        <v>0</v>
      </c>
      <c r="AW1123" s="598" t="str">
        <f>"{s_taskTalk,{"&amp;L1123&amp;","&amp;N1123&amp;"}}"</f>
        <v>{s_taskTalk,{233,232}}</v>
      </c>
    </row>
    <row r="1124" spans="1:49" s="259" customFormat="1" ht="84" x14ac:dyDescent="0.15">
      <c r="A1124" s="237">
        <v>15200</v>
      </c>
      <c r="C1124" s="261" t="s">
        <v>7348</v>
      </c>
      <c r="D1124" s="127">
        <v>2</v>
      </c>
      <c r="E1124" s="127">
        <v>0</v>
      </c>
      <c r="F1124" s="127">
        <v>3</v>
      </c>
      <c r="G1124" s="120">
        <v>200</v>
      </c>
      <c r="H1124" s="259">
        <v>200</v>
      </c>
      <c r="I1124" s="17">
        <v>0</v>
      </c>
      <c r="J1124" s="238">
        <v>3491</v>
      </c>
      <c r="K1124" s="259">
        <v>0</v>
      </c>
      <c r="L1124" s="259">
        <v>112</v>
      </c>
      <c r="M1124" s="259" t="s">
        <v>2863</v>
      </c>
      <c r="N1124" s="259">
        <v>112</v>
      </c>
      <c r="O1124" s="259" t="s">
        <v>5219</v>
      </c>
      <c r="Q1124" s="220"/>
      <c r="R1124" s="220"/>
      <c r="S1124" s="220"/>
      <c r="T1124" s="220"/>
      <c r="U1124" s="259">
        <v>1</v>
      </c>
      <c r="V1124" s="259">
        <v>1</v>
      </c>
      <c r="W1124" s="122"/>
      <c r="Z1124" s="123"/>
      <c r="AB1124" s="221"/>
      <c r="AC1124" s="222">
        <v>1000</v>
      </c>
      <c r="AF1124" s="260" t="s">
        <v>2864</v>
      </c>
      <c r="AG1124" s="260" t="s">
        <v>2865</v>
      </c>
      <c r="AH1124" s="305" t="s">
        <v>739</v>
      </c>
      <c r="AI1124" s="305" t="s">
        <v>318</v>
      </c>
      <c r="AJ1124" s="305" t="s">
        <v>2866</v>
      </c>
      <c r="AL1124" s="239">
        <v>0</v>
      </c>
      <c r="AM1124" s="261" t="s">
        <v>7349</v>
      </c>
      <c r="AN1124" s="261" t="s">
        <v>6009</v>
      </c>
      <c r="AP1124" s="259">
        <v>1</v>
      </c>
      <c r="AQ1124" s="259">
        <v>0</v>
      </c>
      <c r="AR1124" s="259">
        <v>0</v>
      </c>
      <c r="AS1124" s="259">
        <v>0</v>
      </c>
      <c r="AU1124" s="226">
        <v>0</v>
      </c>
      <c r="AV1124" s="17">
        <f t="shared" si="157"/>
        <v>0</v>
      </c>
      <c r="AW1124" s="50" t="str">
        <f t="shared" si="159"/>
        <v>{s_taskTalk,{112,112}}</v>
      </c>
    </row>
    <row r="1125" spans="1:49" s="73" customFormat="1" ht="156.75" thickBot="1" x14ac:dyDescent="0.2">
      <c r="A1125" s="9">
        <v>15205</v>
      </c>
      <c r="B1125" s="226" t="s">
        <v>171</v>
      </c>
      <c r="C1125" s="226" t="s">
        <v>2945</v>
      </c>
      <c r="D1125" s="226">
        <v>2</v>
      </c>
      <c r="E1125" s="226">
        <v>0</v>
      </c>
      <c r="F1125" s="226">
        <v>3</v>
      </c>
      <c r="G1125" s="120">
        <v>200</v>
      </c>
      <c r="H1125" s="226">
        <v>200</v>
      </c>
      <c r="I1125" s="17">
        <v>0</v>
      </c>
      <c r="J1125" s="234">
        <v>15140</v>
      </c>
      <c r="K1125" s="226">
        <v>0</v>
      </c>
      <c r="L1125" s="226">
        <v>135</v>
      </c>
      <c r="M1125" s="226" t="s">
        <v>1207</v>
      </c>
      <c r="N1125" s="226">
        <v>135</v>
      </c>
      <c r="O1125" s="226" t="s">
        <v>5208</v>
      </c>
      <c r="P1125" s="226"/>
      <c r="Q1125" s="228"/>
      <c r="R1125" s="228"/>
      <c r="S1125" s="228"/>
      <c r="T1125" s="226"/>
      <c r="U1125" s="226">
        <v>1</v>
      </c>
      <c r="V1125" s="226">
        <v>0</v>
      </c>
      <c r="W1125" s="122"/>
      <c r="X1125" s="226"/>
      <c r="Y1125" s="226"/>
      <c r="Z1125" s="230"/>
      <c r="AA1125" s="226"/>
      <c r="AB1125" s="231">
        <v>200</v>
      </c>
      <c r="AC1125" s="231"/>
      <c r="AD1125" s="489"/>
      <c r="AE1125" s="226"/>
      <c r="AF1125" s="595" t="s">
        <v>4633</v>
      </c>
      <c r="AG1125" s="595" t="s">
        <v>4634</v>
      </c>
      <c r="AH1125" s="50" t="s">
        <v>4635</v>
      </c>
      <c r="AI1125" s="595" t="s">
        <v>2947</v>
      </c>
      <c r="AJ1125" s="595" t="s">
        <v>2946</v>
      </c>
      <c r="AK1125" s="226" t="s">
        <v>171</v>
      </c>
      <c r="AL1125" s="234">
        <v>0</v>
      </c>
      <c r="AM1125" s="226" t="s">
        <v>2950</v>
      </c>
      <c r="AN1125" s="226" t="s">
        <v>6010</v>
      </c>
      <c r="AO1125" s="290" t="s">
        <v>2948</v>
      </c>
      <c r="AP1125" s="73">
        <v>1</v>
      </c>
      <c r="AQ1125" s="73">
        <v>0</v>
      </c>
      <c r="AR1125" s="73">
        <v>0</v>
      </c>
      <c r="AS1125" s="73">
        <v>0</v>
      </c>
      <c r="AU1125" s="226">
        <v>0</v>
      </c>
      <c r="AV1125" s="17">
        <f t="shared" si="157"/>
        <v>0</v>
      </c>
      <c r="AW1125" s="50" t="str">
        <f t="shared" si="159"/>
        <v>{s_taskTalk,{135,135}}</v>
      </c>
    </row>
    <row r="1126" spans="1:49" s="73" customFormat="1" ht="72.75" thickBot="1" x14ac:dyDescent="0.2">
      <c r="A1126" s="9">
        <v>15206</v>
      </c>
      <c r="B1126" s="226" t="s">
        <v>171</v>
      </c>
      <c r="C1126" s="226" t="s">
        <v>3261</v>
      </c>
      <c r="D1126" s="226">
        <v>1</v>
      </c>
      <c r="E1126" s="226">
        <v>0</v>
      </c>
      <c r="F1126" s="226">
        <v>5</v>
      </c>
      <c r="G1126" s="234">
        <v>200</v>
      </c>
      <c r="H1126" s="226">
        <v>200</v>
      </c>
      <c r="I1126" s="17">
        <v>0</v>
      </c>
      <c r="J1126" s="234">
        <v>0</v>
      </c>
      <c r="K1126" s="226">
        <v>0</v>
      </c>
      <c r="L1126" s="226">
        <v>60559</v>
      </c>
      <c r="M1126" s="226" t="s">
        <v>3223</v>
      </c>
      <c r="N1126" s="226">
        <v>60823</v>
      </c>
      <c r="O1126" s="226" t="s">
        <v>5220</v>
      </c>
      <c r="P1126" s="226"/>
      <c r="Q1126" s="228"/>
      <c r="R1126" s="228"/>
      <c r="S1126" s="228"/>
      <c r="T1126" s="226"/>
      <c r="U1126" s="226">
        <v>1</v>
      </c>
      <c r="V1126" s="226">
        <v>1</v>
      </c>
      <c r="W1126" s="122"/>
      <c r="X1126" s="226"/>
      <c r="Y1126" s="226"/>
      <c r="Z1126" s="230">
        <v>15000</v>
      </c>
      <c r="AA1126" s="226"/>
      <c r="AB1126" s="231"/>
      <c r="AC1126" s="231"/>
      <c r="AD1126" s="489"/>
      <c r="AE1126" s="226"/>
      <c r="AF1126" s="226" t="str">
        <f>"title("&amp;C1126&amp;")
body(hotyellow_3(任务进程:)newline()
  请前往goto(60823,5)处了解羽翼。
)"</f>
        <v>title([61级]羽翼的召唤（一）)
body(hotyellow_3(任务进程:)newline()
  请前往goto(60823,5)处了解羽翼。
)</v>
      </c>
      <c r="AG1126" s="539" t="s">
        <v>3225</v>
      </c>
      <c r="AH1126" s="50" t="s">
        <v>3226</v>
      </c>
      <c r="AI1126" s="595" t="s">
        <v>3227</v>
      </c>
      <c r="AJ1126" s="595" t="s">
        <v>3228</v>
      </c>
      <c r="AK1126" s="226" t="s">
        <v>171</v>
      </c>
      <c r="AL1126" s="234">
        <v>0</v>
      </c>
      <c r="AM1126" s="226" t="s">
        <v>3229</v>
      </c>
      <c r="AN1126" s="226" t="s">
        <v>6011</v>
      </c>
      <c r="AO1126" s="290"/>
      <c r="AP1126" s="73">
        <v>1</v>
      </c>
      <c r="AQ1126" s="73">
        <v>0</v>
      </c>
      <c r="AR1126" s="73">
        <v>0</v>
      </c>
      <c r="AS1126" s="73">
        <v>0</v>
      </c>
      <c r="AU1126" s="226">
        <v>0</v>
      </c>
      <c r="AV1126" s="17">
        <f t="shared" si="157"/>
        <v>1</v>
      </c>
      <c r="AW1126" s="50" t="str">
        <f>"{s_taskTalk,{"&amp;L1126&amp;","&amp;N1126&amp;"}}"</f>
        <v>{s_taskTalk,{60559,60823}}</v>
      </c>
    </row>
    <row r="1127" spans="1:49" s="73" customFormat="1" ht="96.75" thickBot="1" x14ac:dyDescent="0.2">
      <c r="A1127" s="9">
        <v>15207</v>
      </c>
      <c r="B1127" s="226" t="s">
        <v>171</v>
      </c>
      <c r="C1127" s="226" t="s">
        <v>3262</v>
      </c>
      <c r="D1127" s="226">
        <v>1</v>
      </c>
      <c r="E1127" s="226">
        <v>0</v>
      </c>
      <c r="F1127" s="226">
        <v>5</v>
      </c>
      <c r="G1127" s="234">
        <v>200</v>
      </c>
      <c r="H1127" s="226">
        <v>200</v>
      </c>
      <c r="I1127" s="17">
        <v>0</v>
      </c>
      <c r="J1127" s="234">
        <v>15206</v>
      </c>
      <c r="K1127" s="226">
        <v>0</v>
      </c>
      <c r="L1127" s="226">
        <v>60823</v>
      </c>
      <c r="M1127" s="226" t="s">
        <v>3224</v>
      </c>
      <c r="N1127" s="226">
        <v>60824</v>
      </c>
      <c r="O1127" s="226" t="s">
        <v>5221</v>
      </c>
      <c r="P1127" s="226"/>
      <c r="Q1127" s="228"/>
      <c r="R1127" s="228"/>
      <c r="S1127" s="102" t="s">
        <v>2531</v>
      </c>
      <c r="T1127" s="102">
        <v>31208</v>
      </c>
      <c r="U1127" s="226">
        <v>2</v>
      </c>
      <c r="V1127" s="226">
        <v>0</v>
      </c>
      <c r="W1127" s="122"/>
      <c r="X1127" s="226"/>
      <c r="Y1127" s="226"/>
      <c r="Z1127" s="230">
        <v>15000</v>
      </c>
      <c r="AA1127" s="226"/>
      <c r="AB1127" s="231"/>
      <c r="AC1127" s="231"/>
      <c r="AD1127" s="489"/>
      <c r="AE1127" s="226"/>
      <c r="AF1127" s="226" t="str">
        <f>"title("&amp;C1127&amp;")
body(hotyellow_3(任务进程:)newline()
  寻找2个妖莲魔芋回复goto(60824,5)。
blankline()hotyellow_3(任务描述:)newline()
  我会帮助你开启羽翼的品质，但需要为它注入力量，请帮我寻找2个妖莲魔芋吧。newline()
  hot(妖莲魔芋在王城随机刷新)
)"</f>
        <v>title([61级]羽翼的召唤（二）)
body(hotyellow_3(任务进程:)newline()
  寻找2个妖莲魔芋回复goto(60824,5)。
blankline()hotyellow_3(任务描述:)newline()
  我会帮助你开启羽翼的品质，但需要为它注入力量，请帮我寻找2个妖莲魔芋吧。newline()
  hot(妖莲魔芋在王城随机刷新)
)</v>
      </c>
      <c r="AG1127" s="539" t="s">
        <v>3234</v>
      </c>
      <c r="AH1127" s="50" t="s">
        <v>3235</v>
      </c>
      <c r="AI1127" s="595" t="s">
        <v>3233</v>
      </c>
      <c r="AJ1127" s="595" t="s">
        <v>3232</v>
      </c>
      <c r="AK1127" s="226" t="s">
        <v>171</v>
      </c>
      <c r="AL1127" s="234">
        <v>0</v>
      </c>
      <c r="AM1127" s="226" t="s">
        <v>3272</v>
      </c>
      <c r="AN1127" s="226" t="s">
        <v>6012</v>
      </c>
      <c r="AO1127" s="290"/>
      <c r="AP1127" s="73">
        <v>1</v>
      </c>
      <c r="AQ1127" s="73">
        <v>0</v>
      </c>
      <c r="AR1127" s="73">
        <v>0</v>
      </c>
      <c r="AS1127" s="73">
        <v>0</v>
      </c>
      <c r="AU1127" s="226">
        <v>0</v>
      </c>
      <c r="AV1127" s="17">
        <f t="shared" si="157"/>
        <v>1</v>
      </c>
      <c r="AW1127" s="101" t="str">
        <f>"{s_taskGather,{"&amp;L1127&amp;","&amp;N1127&amp;","&amp;T1127&amp;","&amp;U1127&amp;",0,0}}"</f>
        <v>{s_taskGather,{60823,60824,31208,2,0,0}}</v>
      </c>
    </row>
    <row r="1128" spans="1:49" s="73" customFormat="1" ht="96.75" thickBot="1" x14ac:dyDescent="0.2">
      <c r="A1128" s="9">
        <v>15208</v>
      </c>
      <c r="B1128" s="226" t="s">
        <v>171</v>
      </c>
      <c r="C1128" s="226" t="s">
        <v>3263</v>
      </c>
      <c r="D1128" s="226">
        <v>1</v>
      </c>
      <c r="E1128" s="226">
        <v>0</v>
      </c>
      <c r="F1128" s="226">
        <v>5</v>
      </c>
      <c r="G1128" s="234">
        <v>200</v>
      </c>
      <c r="H1128" s="226">
        <v>200</v>
      </c>
      <c r="I1128" s="17">
        <v>0</v>
      </c>
      <c r="J1128" s="234">
        <v>15207</v>
      </c>
      <c r="K1128" s="226">
        <v>0</v>
      </c>
      <c r="L1128" s="226">
        <v>60824</v>
      </c>
      <c r="M1128" s="226" t="s">
        <v>3230</v>
      </c>
      <c r="N1128" s="226">
        <v>60825</v>
      </c>
      <c r="O1128" s="226" t="s">
        <v>5222</v>
      </c>
      <c r="P1128" s="226"/>
      <c r="Q1128" s="228"/>
      <c r="R1128" s="228"/>
      <c r="S1128" s="102">
        <v>10201</v>
      </c>
      <c r="T1128" s="102"/>
      <c r="U1128" s="226">
        <v>20</v>
      </c>
      <c r="V1128" s="226">
        <v>0</v>
      </c>
      <c r="W1128" s="122"/>
      <c r="X1128" s="226"/>
      <c r="Y1128" s="226"/>
      <c r="Z1128" s="230">
        <v>15000</v>
      </c>
      <c r="AA1128" s="226"/>
      <c r="AB1128" s="231"/>
      <c r="AC1128" s="231"/>
      <c r="AD1128" s="489"/>
      <c r="AE1128" s="226"/>
      <c r="AF1128" s="226" t="str">
        <f>"title("&amp;C1128&amp;")
body(hotyellow_3(任务进程:)newline()
  杀死20个goto(10201,5)后回复goto(60825,5)。
blankline()hotyellow_3(任务描述:)newline()
  你的羽翼已经渐渐丰满，我再为它注入灵性，使它可以与你心灵相通！麻烦你帮我杀死20个魔化狂狮，用来祭祀羽翼吧。
)"</f>
        <v>title([61级]羽翼的召唤（三）)
body(hotyellow_3(任务进程:)newline()
  杀死20个goto(10201,5)后回复goto(60825,5)。
blankline()hotyellow_3(任务描述:)newline()
  你的羽翼已经渐渐丰满，我再为它注入灵性，使它可以与你心灵相通！麻烦你帮我杀死20个魔化狂狮，用来祭祀羽翼吧。
)</v>
      </c>
      <c r="AG1128" s="539" t="s">
        <v>3236</v>
      </c>
      <c r="AH1128" s="50" t="s">
        <v>3237</v>
      </c>
      <c r="AI1128" s="595" t="s">
        <v>3238</v>
      </c>
      <c r="AJ1128" s="595" t="s">
        <v>3239</v>
      </c>
      <c r="AK1128" s="226" t="s">
        <v>171</v>
      </c>
      <c r="AL1128" s="234">
        <v>0</v>
      </c>
      <c r="AM1128" s="226" t="s">
        <v>6178</v>
      </c>
      <c r="AN1128" s="226" t="s">
        <v>6013</v>
      </c>
      <c r="AO1128" s="290"/>
      <c r="AP1128" s="73">
        <v>1</v>
      </c>
      <c r="AQ1128" s="73">
        <v>0</v>
      </c>
      <c r="AR1128" s="73">
        <v>0</v>
      </c>
      <c r="AS1128" s="73">
        <v>0</v>
      </c>
      <c r="AU1128" s="226">
        <v>0</v>
      </c>
      <c r="AV1128" s="17">
        <f t="shared" si="157"/>
        <v>1</v>
      </c>
      <c r="AW1128" s="602" t="str">
        <f>"{s_taskKillNpc, {"&amp;L1128&amp;","&amp;N1128&amp;","&amp;S1128&amp;","&amp;U1128&amp;"}}"</f>
        <v>{s_taskKillNpc, {60824,60825,10201,20}}</v>
      </c>
    </row>
    <row r="1129" spans="1:49" s="73" customFormat="1" ht="72.75" thickBot="1" x14ac:dyDescent="0.2">
      <c r="A1129" s="9">
        <v>15209</v>
      </c>
      <c r="B1129" s="226" t="s">
        <v>171</v>
      </c>
      <c r="C1129" s="226" t="s">
        <v>3264</v>
      </c>
      <c r="D1129" s="226">
        <v>1</v>
      </c>
      <c r="E1129" s="226">
        <v>0</v>
      </c>
      <c r="F1129" s="226">
        <v>5</v>
      </c>
      <c r="G1129" s="234">
        <v>200</v>
      </c>
      <c r="H1129" s="226">
        <v>200</v>
      </c>
      <c r="I1129" s="17">
        <v>0</v>
      </c>
      <c r="J1129" s="234">
        <v>15208</v>
      </c>
      <c r="K1129" s="226">
        <v>0</v>
      </c>
      <c r="L1129" s="226">
        <v>60825</v>
      </c>
      <c r="M1129" s="226" t="s">
        <v>3231</v>
      </c>
      <c r="N1129" s="226">
        <v>60826</v>
      </c>
      <c r="O1129" s="226" t="s">
        <v>5223</v>
      </c>
      <c r="P1129" s="226"/>
      <c r="Q1129" s="228"/>
      <c r="R1129" s="228"/>
      <c r="S1129" s="228"/>
      <c r="T1129" s="226"/>
      <c r="U1129" s="226">
        <v>1</v>
      </c>
      <c r="V1129" s="226">
        <v>0</v>
      </c>
      <c r="W1129" s="122"/>
      <c r="X1129" s="226"/>
      <c r="Y1129" s="226"/>
      <c r="Z1129" s="230">
        <v>15000</v>
      </c>
      <c r="AA1129" s="226"/>
      <c r="AB1129" s="231"/>
      <c r="AC1129" s="231"/>
      <c r="AD1129" s="489"/>
      <c r="AE1129" s="226"/>
      <c r="AF1129" s="226" t="str">
        <f>"title("&amp;C1129&amp;")
body(hotyellow_3(任务进程:)newline()
  回答goto(60826,5)的提问。
blankline()hotyellow_3(任务描述:)newline()
  回答我的3个问题，可以帮助你了解你羽翼的特质！
)"</f>
        <v>title([61级]羽翼的召唤（四）)
body(hotyellow_3(任务进程:)newline()
  回答goto(60826,5)的提问。
blankline()hotyellow_3(任务描述:)newline()
  回答我的3个问题，可以帮助你了解你羽翼的特质！
)</v>
      </c>
      <c r="AG1129" s="539" t="s">
        <v>3241</v>
      </c>
      <c r="AH1129" s="50" t="s">
        <v>3242</v>
      </c>
      <c r="AI1129" s="595" t="s">
        <v>3243</v>
      </c>
      <c r="AJ1129" s="595" t="s">
        <v>3248</v>
      </c>
      <c r="AK1129" s="226" t="s">
        <v>171</v>
      </c>
      <c r="AL1129" s="234">
        <v>0</v>
      </c>
      <c r="AM1129" s="226" t="s">
        <v>3244</v>
      </c>
      <c r="AN1129" s="226" t="s">
        <v>6014</v>
      </c>
      <c r="AO1129" s="290"/>
      <c r="AP1129" s="73">
        <v>1</v>
      </c>
      <c r="AQ1129" s="73">
        <v>0</v>
      </c>
      <c r="AR1129" s="73">
        <v>0</v>
      </c>
      <c r="AS1129" s="73">
        <v>0</v>
      </c>
      <c r="AU1129" s="226">
        <v>0</v>
      </c>
      <c r="AV1129" s="17">
        <f t="shared" si="157"/>
        <v>1</v>
      </c>
      <c r="AW1129" s="50" t="str">
        <f>"{s_taskTalk,{"&amp;L1129&amp;","&amp;N1129&amp;"}}"</f>
        <v>{s_taskTalk,{60825,60826}}</v>
      </c>
    </row>
    <row r="1130" spans="1:49" s="73" customFormat="1" ht="72.75" thickBot="1" x14ac:dyDescent="0.2">
      <c r="A1130" s="9">
        <v>15210</v>
      </c>
      <c r="B1130" s="226" t="s">
        <v>171</v>
      </c>
      <c r="C1130" s="226" t="s">
        <v>3265</v>
      </c>
      <c r="D1130" s="226">
        <v>1</v>
      </c>
      <c r="E1130" s="226">
        <v>0</v>
      </c>
      <c r="F1130" s="226">
        <v>5</v>
      </c>
      <c r="G1130" s="234">
        <v>200</v>
      </c>
      <c r="H1130" s="226">
        <v>200</v>
      </c>
      <c r="I1130" s="17">
        <v>0</v>
      </c>
      <c r="J1130" s="234">
        <v>15209</v>
      </c>
      <c r="K1130" s="226">
        <v>0</v>
      </c>
      <c r="L1130" s="226">
        <v>60826</v>
      </c>
      <c r="M1130" s="226" t="s">
        <v>3240</v>
      </c>
      <c r="N1130" s="226">
        <v>60827</v>
      </c>
      <c r="O1130" s="226" t="s">
        <v>5224</v>
      </c>
      <c r="P1130" s="226"/>
      <c r="Q1130" s="228"/>
      <c r="R1130" s="228"/>
      <c r="S1130" s="228"/>
      <c r="T1130" s="226"/>
      <c r="U1130" s="226">
        <v>1</v>
      </c>
      <c r="V1130" s="226">
        <v>1</v>
      </c>
      <c r="W1130" s="122"/>
      <c r="X1130" s="226"/>
      <c r="Y1130" s="226"/>
      <c r="Z1130" s="230">
        <v>15000</v>
      </c>
      <c r="AA1130" s="226"/>
      <c r="AB1130" s="231"/>
      <c r="AC1130" s="231"/>
      <c r="AD1130" s="489"/>
      <c r="AE1130" s="226"/>
      <c r="AF1130" s="226" t="str">
        <f>"title("&amp;C1130&amp;")
body(hotyellow_3(任务进程:)newline()
  回复goto(60827,5)。
blankline()hotyellow_3(任务描述:)newline()
  你的羽翼尚缺魂性，你可以向花魇寻求帮助！
)"</f>
        <v>title([61级]羽翼的召唤（五）)
body(hotyellow_3(任务进程:)newline()
  回复goto(60827,5)。
blankline()hotyellow_3(任务描述:)newline()
  你的羽翼尚缺魂性，你可以向花魇寻求帮助！
)</v>
      </c>
      <c r="AG1130" s="539" t="s">
        <v>3246</v>
      </c>
      <c r="AH1130" s="50" t="s">
        <v>3247</v>
      </c>
      <c r="AI1130" s="595" t="s">
        <v>3243</v>
      </c>
      <c r="AJ1130" s="595" t="s">
        <v>3249</v>
      </c>
      <c r="AK1130" s="226" t="s">
        <v>171</v>
      </c>
      <c r="AL1130" s="234">
        <v>0</v>
      </c>
      <c r="AM1130" s="226" t="s">
        <v>3250</v>
      </c>
      <c r="AN1130" s="226" t="s">
        <v>6015</v>
      </c>
      <c r="AO1130" s="290"/>
      <c r="AP1130" s="73">
        <v>1</v>
      </c>
      <c r="AQ1130" s="73">
        <v>0</v>
      </c>
      <c r="AR1130" s="73">
        <v>0</v>
      </c>
      <c r="AS1130" s="73">
        <v>0</v>
      </c>
      <c r="AU1130" s="226">
        <v>0</v>
      </c>
      <c r="AV1130" s="17">
        <f t="shared" si="157"/>
        <v>1</v>
      </c>
      <c r="AW1130" s="50" t="str">
        <f>"{s_taskTalk,{"&amp;L1130&amp;","&amp;N1130&amp;"}}"</f>
        <v>{s_taskTalk,{60826,60827}}</v>
      </c>
    </row>
    <row r="1131" spans="1:49" s="73" customFormat="1" ht="96.75" thickBot="1" x14ac:dyDescent="0.2">
      <c r="A1131" s="9">
        <v>15211</v>
      </c>
      <c r="B1131" s="226" t="s">
        <v>171</v>
      </c>
      <c r="C1131" s="226" t="s">
        <v>3266</v>
      </c>
      <c r="D1131" s="226">
        <v>1</v>
      </c>
      <c r="E1131" s="226">
        <v>0</v>
      </c>
      <c r="F1131" s="226">
        <v>5</v>
      </c>
      <c r="G1131" s="234">
        <v>200</v>
      </c>
      <c r="H1131" s="226">
        <v>200</v>
      </c>
      <c r="I1131" s="17">
        <v>0</v>
      </c>
      <c r="J1131" s="234">
        <v>15210</v>
      </c>
      <c r="K1131" s="226">
        <v>0</v>
      </c>
      <c r="L1131" s="226">
        <v>60827</v>
      </c>
      <c r="M1131" s="226" t="s">
        <v>3245</v>
      </c>
      <c r="N1131" s="226">
        <v>60828</v>
      </c>
      <c r="O1131" s="226" t="s">
        <v>5225</v>
      </c>
      <c r="P1131" s="226"/>
      <c r="Q1131" s="228"/>
      <c r="R1131" s="228"/>
      <c r="S1131" s="102">
        <v>60829</v>
      </c>
      <c r="T1131" s="102"/>
      <c r="U1131" s="226">
        <v>1</v>
      </c>
      <c r="V1131" s="226">
        <v>0</v>
      </c>
      <c r="W1131" s="122"/>
      <c r="X1131" s="226"/>
      <c r="Y1131" s="226"/>
      <c r="Z1131" s="230">
        <v>15000</v>
      </c>
      <c r="AA1131" s="226"/>
      <c r="AB1131" s="231"/>
      <c r="AC1131" s="231"/>
      <c r="AD1131" s="532" t="s">
        <v>3271</v>
      </c>
      <c r="AE1131" s="226"/>
      <c r="AF1131" s="226" t="str">
        <f>"title("&amp;C1131&amp;")
body(hotyellow_3(任务进程:)newline()
  杀死goto(60829,5)后回复goto(60828,5)。
blankline()hotyellow_3(任务描述:)newline()
  这是最关键的一部，你需要封印hot(贪食魔)完成羽翼的升华，这将是帮助你的羽翼可以成长到最终形态。
)"</f>
        <v>title([61级]羽翼的召唤（六）)
body(hotyellow_3(任务进程:)newline()
  杀死goto(60829,5)后回复goto(60828,5)。
blankline()hotyellow_3(任务描述:)newline()
  这是最关键的一部，你需要封印hot(贪食魔)完成羽翼的升华，这将是帮助你的羽翼可以成长到最终形态。
)</v>
      </c>
      <c r="AG1131" s="539" t="s">
        <v>3252</v>
      </c>
      <c r="AH1131" s="50" t="s">
        <v>3253</v>
      </c>
      <c r="AI1131" s="595" t="s">
        <v>3254</v>
      </c>
      <c r="AJ1131" s="595" t="s">
        <v>3255</v>
      </c>
      <c r="AK1131" s="226" t="s">
        <v>171</v>
      </c>
      <c r="AL1131" s="234">
        <v>0</v>
      </c>
      <c r="AM1131" s="226" t="s">
        <v>6179</v>
      </c>
      <c r="AN1131" s="226" t="s">
        <v>6016</v>
      </c>
      <c r="AO1131" s="290"/>
      <c r="AP1131" s="73">
        <v>1</v>
      </c>
      <c r="AQ1131" s="73">
        <v>0</v>
      </c>
      <c r="AR1131" s="73">
        <v>0</v>
      </c>
      <c r="AS1131" s="73">
        <v>0</v>
      </c>
      <c r="AU1131" s="226">
        <v>0</v>
      </c>
      <c r="AV1131" s="17">
        <f t="shared" si="157"/>
        <v>1</v>
      </c>
      <c r="AW1131" s="602" t="str">
        <f>"{s_taskKillNpc, {"&amp;L1131&amp;","&amp;N1131&amp;","&amp;S1131&amp;","&amp;U1131&amp;"}}"</f>
        <v>{s_taskKillNpc, {60827,60828,60829,1}}</v>
      </c>
    </row>
    <row r="1132" spans="1:49" s="73" customFormat="1" ht="72.75" thickBot="1" x14ac:dyDescent="0.2">
      <c r="A1132" s="9">
        <v>15212</v>
      </c>
      <c r="B1132" s="226" t="s">
        <v>171</v>
      </c>
      <c r="C1132" s="226" t="s">
        <v>3267</v>
      </c>
      <c r="D1132" s="226">
        <v>1</v>
      </c>
      <c r="E1132" s="226">
        <v>0</v>
      </c>
      <c r="F1132" s="226">
        <v>5</v>
      </c>
      <c r="G1132" s="234">
        <v>200</v>
      </c>
      <c r="H1132" s="226">
        <v>200</v>
      </c>
      <c r="I1132" s="17">
        <v>0</v>
      </c>
      <c r="J1132" s="234">
        <v>15211</v>
      </c>
      <c r="K1132" s="226">
        <v>0</v>
      </c>
      <c r="L1132" s="226">
        <v>60828</v>
      </c>
      <c r="M1132" s="226" t="s">
        <v>3251</v>
      </c>
      <c r="N1132" s="226">
        <v>60559</v>
      </c>
      <c r="O1132" s="226" t="s">
        <v>5167</v>
      </c>
      <c r="P1132" s="226"/>
      <c r="Q1132" s="228"/>
      <c r="R1132" s="228"/>
      <c r="S1132" s="228"/>
      <c r="T1132" s="226"/>
      <c r="U1132" s="226">
        <v>1</v>
      </c>
      <c r="V1132" s="226">
        <v>1</v>
      </c>
      <c r="W1132" s="122"/>
      <c r="X1132" s="226"/>
      <c r="Y1132" s="226"/>
      <c r="Z1132" s="230">
        <v>15000</v>
      </c>
      <c r="AA1132" s="226"/>
      <c r="AB1132" s="231"/>
      <c r="AC1132" s="231"/>
      <c r="AD1132" s="489"/>
      <c r="AE1132" s="226"/>
      <c r="AF1132" s="226" t="str">
        <f>"title("&amp;C1132&amp;")
body(hotyellow_3(任务进程:)newline()
  回复goto(60559,5)领取羽翼。
blankline()hotyellow_3(任务描述:)newline()
  现在还等什么，赶快找君士坦丁为羽翼选择一个形态吧！
)"</f>
        <v>title([61级]羽翼的召唤（七）)
body(hotyellow_3(任务进程:)newline()
  回复goto(60559,5)领取羽翼。
blankline()hotyellow_3(任务描述:)newline()
  现在还等什么，赶快找君士坦丁为羽翼选择一个形态吧！
)</v>
      </c>
      <c r="AG1132" s="539" t="s">
        <v>3256</v>
      </c>
      <c r="AH1132" s="50" t="s">
        <v>3257</v>
      </c>
      <c r="AI1132" s="595" t="s">
        <v>3258</v>
      </c>
      <c r="AJ1132" s="595" t="s">
        <v>3259</v>
      </c>
      <c r="AK1132" s="226" t="s">
        <v>171</v>
      </c>
      <c r="AL1132" s="234">
        <v>0</v>
      </c>
      <c r="AM1132" s="226" t="s">
        <v>3260</v>
      </c>
      <c r="AN1132" s="226" t="s">
        <v>6017</v>
      </c>
      <c r="AO1132" s="290"/>
      <c r="AP1132" s="73">
        <v>1</v>
      </c>
      <c r="AQ1132" s="73">
        <v>0</v>
      </c>
      <c r="AR1132" s="73">
        <v>0</v>
      </c>
      <c r="AS1132" s="73">
        <v>0</v>
      </c>
      <c r="AU1132" s="226">
        <v>0</v>
      </c>
      <c r="AV1132" s="17">
        <f t="shared" si="157"/>
        <v>1</v>
      </c>
      <c r="AW1132" s="50" t="str">
        <f>"{s_taskTalk,{"&amp;L1132&amp;","&amp;N1132&amp;"}}"</f>
        <v>{s_taskTalk,{60828,60559}}</v>
      </c>
    </row>
    <row r="1133" spans="1:49" s="73" customFormat="1" ht="96.75" thickBot="1" x14ac:dyDescent="0.2">
      <c r="A1133" s="9">
        <v>15213</v>
      </c>
      <c r="B1133" s="226" t="s">
        <v>171</v>
      </c>
      <c r="C1133" s="226" t="s">
        <v>3268</v>
      </c>
      <c r="D1133" s="226">
        <v>2</v>
      </c>
      <c r="E1133" s="226">
        <v>0</v>
      </c>
      <c r="F1133" s="226">
        <v>5</v>
      </c>
      <c r="G1133" s="234">
        <v>200</v>
      </c>
      <c r="H1133" s="226">
        <v>200</v>
      </c>
      <c r="I1133" s="17">
        <v>0</v>
      </c>
      <c r="J1133" s="234">
        <v>15212</v>
      </c>
      <c r="K1133" s="226">
        <v>3</v>
      </c>
      <c r="L1133" s="226">
        <v>60827</v>
      </c>
      <c r="M1133" s="226" t="s">
        <v>3245</v>
      </c>
      <c r="N1133" s="226">
        <v>60828</v>
      </c>
      <c r="O1133" s="226" t="s">
        <v>5225</v>
      </c>
      <c r="P1133" s="226"/>
      <c r="Q1133" s="228"/>
      <c r="R1133" s="228"/>
      <c r="S1133" s="102">
        <v>60829</v>
      </c>
      <c r="T1133" s="102"/>
      <c r="U1133" s="226">
        <v>1</v>
      </c>
      <c r="V1133" s="226">
        <v>0</v>
      </c>
      <c r="W1133" s="122"/>
      <c r="X1133" s="226"/>
      <c r="Y1133" s="226"/>
      <c r="Z1133" s="230"/>
      <c r="AA1133" s="226"/>
      <c r="AB1133" s="231"/>
      <c r="AC1133" s="231"/>
      <c r="AD1133" s="489"/>
      <c r="AE1133" s="226"/>
      <c r="AF1133" s="226" t="str">
        <f>"title("&amp;C1133&amp;")
body(hotyellow_3(任务进程:)newline()
  杀死goto(60829,5)后回复goto(60828,5)。
blankline()hotyellow_3(任务描述:)newline()
  你如果丢失了羽翼，可以再次封印hot(贪食魔)重新获得一个羽翼。
)"</f>
        <v>title([61级]丢失的羽翼)
body(hotyellow_3(任务进程:)newline()
  杀死goto(60829,5)后回复goto(60828,5)。
blankline()hotyellow_3(任务描述:)newline()
  你如果丢失了羽翼，可以再次封印hot(贪食魔)重新获得一个羽翼。
)</v>
      </c>
      <c r="AG1133" s="539" t="s">
        <v>3269</v>
      </c>
      <c r="AH1133" s="50" t="s">
        <v>3270</v>
      </c>
      <c r="AI1133" s="595" t="s">
        <v>3254</v>
      </c>
      <c r="AJ1133" s="595" t="s">
        <v>3255</v>
      </c>
      <c r="AK1133" s="226" t="s">
        <v>171</v>
      </c>
      <c r="AL1133" s="234">
        <v>0</v>
      </c>
      <c r="AM1133" s="226" t="s">
        <v>7123</v>
      </c>
      <c r="AN1133" s="226" t="s">
        <v>6018</v>
      </c>
      <c r="AO1133" s="290"/>
      <c r="AP1133" s="73">
        <v>1</v>
      </c>
      <c r="AQ1133" s="73">
        <v>0</v>
      </c>
      <c r="AR1133" s="73">
        <v>0</v>
      </c>
      <c r="AS1133" s="73">
        <v>0</v>
      </c>
      <c r="AU1133" s="226">
        <v>0</v>
      </c>
      <c r="AV1133" s="17">
        <f t="shared" si="157"/>
        <v>0</v>
      </c>
      <c r="AW1133" s="602" t="str">
        <f>"{s_taskKillNpc, {"&amp;L1133&amp;","&amp;N1133&amp;","&amp;S1133&amp;","&amp;U1133&amp;"}}"</f>
        <v>{s_taskKillNpc, {60827,60828,60829,1}}</v>
      </c>
    </row>
    <row r="1134" spans="1:49" s="29" customFormat="1" ht="144.75" thickBot="1" x14ac:dyDescent="0.2">
      <c r="A1134" s="28">
        <v>15215</v>
      </c>
      <c r="C1134" s="29" t="s">
        <v>3276</v>
      </c>
      <c r="D1134" s="29">
        <v>2</v>
      </c>
      <c r="E1134" s="29">
        <v>0</v>
      </c>
      <c r="F1134" s="29">
        <v>2</v>
      </c>
      <c r="G1134" s="30">
        <v>200</v>
      </c>
      <c r="H1134" s="29">
        <v>200</v>
      </c>
      <c r="I1134" s="17">
        <v>0</v>
      </c>
      <c r="J1134" s="30">
        <v>0</v>
      </c>
      <c r="K1134" s="29">
        <v>0</v>
      </c>
      <c r="L1134" s="29">
        <v>60016</v>
      </c>
      <c r="M1134" s="29" t="s">
        <v>180</v>
      </c>
      <c r="N1134" s="29">
        <v>60019</v>
      </c>
      <c r="O1134" s="29" t="s">
        <v>185</v>
      </c>
      <c r="Q1134" s="130"/>
      <c r="R1134" s="130"/>
      <c r="S1134" s="130"/>
      <c r="T1134" s="130"/>
      <c r="U1134" s="29">
        <v>1</v>
      </c>
      <c r="V1134" s="29">
        <v>1</v>
      </c>
      <c r="W1134" s="131"/>
      <c r="Z1134" s="132">
        <v>800</v>
      </c>
      <c r="AB1134" s="133"/>
      <c r="AC1134" s="134"/>
      <c r="AF1134" s="202" t="s">
        <v>3351</v>
      </c>
      <c r="AG1134" s="202" t="s">
        <v>3350</v>
      </c>
      <c r="AH1134" s="202" t="s">
        <v>3962</v>
      </c>
      <c r="AI1134" s="202" t="s">
        <v>3277</v>
      </c>
      <c r="AJ1134" s="202" t="s">
        <v>3278</v>
      </c>
      <c r="AL1134" s="30">
        <v>0</v>
      </c>
      <c r="AM1134" s="129" t="s">
        <v>3362</v>
      </c>
      <c r="AN1134" s="129" t="s">
        <v>6019</v>
      </c>
      <c r="AP1134" s="29">
        <v>1</v>
      </c>
      <c r="AQ1134" s="29">
        <v>0</v>
      </c>
      <c r="AR1134" s="29">
        <v>1</v>
      </c>
      <c r="AS1134" s="29">
        <v>1</v>
      </c>
      <c r="AU1134" s="29">
        <v>0</v>
      </c>
      <c r="AV1134" s="17">
        <f t="shared" si="157"/>
        <v>0</v>
      </c>
      <c r="AW1134" s="29" t="str">
        <f t="shared" si="159"/>
        <v>{s_taskTalk,{60016,60019}}</v>
      </c>
    </row>
    <row r="1135" spans="1:49" s="73" customFormat="1" ht="96.75" thickBot="1" x14ac:dyDescent="0.2">
      <c r="A1135" s="9">
        <v>15216</v>
      </c>
      <c r="B1135" s="226" t="s">
        <v>171</v>
      </c>
      <c r="C1135" s="226" t="s">
        <v>3346</v>
      </c>
      <c r="D1135" s="226">
        <v>1</v>
      </c>
      <c r="E1135" s="226">
        <v>0</v>
      </c>
      <c r="F1135" s="226">
        <v>5</v>
      </c>
      <c r="G1135" s="234">
        <v>200</v>
      </c>
      <c r="H1135" s="226">
        <v>200</v>
      </c>
      <c r="I1135" s="17">
        <v>0</v>
      </c>
      <c r="J1135" s="234">
        <v>0</v>
      </c>
      <c r="K1135" s="226">
        <v>0</v>
      </c>
      <c r="L1135" s="226">
        <v>60559</v>
      </c>
      <c r="M1135" s="226" t="s">
        <v>1647</v>
      </c>
      <c r="N1135" s="226">
        <v>60849</v>
      </c>
      <c r="O1135" s="226" t="s">
        <v>5226</v>
      </c>
      <c r="P1135" s="226"/>
      <c r="Q1135" s="228"/>
      <c r="R1135" s="228"/>
      <c r="S1135" s="228"/>
      <c r="T1135" s="226"/>
      <c r="U1135" s="226">
        <v>1</v>
      </c>
      <c r="V1135" s="226">
        <v>1</v>
      </c>
      <c r="W1135" s="122"/>
      <c r="X1135" s="226"/>
      <c r="Y1135" s="226"/>
      <c r="Z1135" s="230">
        <v>15000</v>
      </c>
      <c r="AA1135" s="226"/>
      <c r="AB1135" s="231"/>
      <c r="AC1135" s="231"/>
      <c r="AD1135" s="489"/>
      <c r="AE1135" s="226"/>
      <c r="AF1135" s="226" t="str">
        <f>"title("&amp;C1135&amp;")
body(hotyellow_3(任务进程:)newline()
  请前往东边寻找goto(60849,5)。
blankline()hotyellow_3(任务描述:)newline()
  亲爱的player()，我收到了一封神谕，东方既白，有你的命运之轮在等待，你将遇到一位你终生的可靠伙伴，不过路途有些艰险，一定要注意安全。
)"</f>
        <v>title([80级]奇遇苍穹狼帝（一）)
body(hotyellow_3(任务进程:)newline()
  请前往东边寻找goto(60849,5)。
blankline()hotyellow_3(任务描述:)newline()
  亲爱的player()，我收到了一封神谕，东方既白，有你的命运之轮在等待，你将遇到一位你终生的可靠伙伴，不过路途有些艰险，一定要注意安全。
)</v>
      </c>
      <c r="AG1135" s="539" t="s">
        <v>3377</v>
      </c>
      <c r="AH1135" s="50" t="s">
        <v>3349</v>
      </c>
      <c r="AI1135" s="595" t="s">
        <v>3348</v>
      </c>
      <c r="AJ1135" s="595" t="s">
        <v>3369</v>
      </c>
      <c r="AK1135" s="226" t="s">
        <v>171</v>
      </c>
      <c r="AL1135" s="234">
        <v>0</v>
      </c>
      <c r="AM1135" s="348" t="str">
        <f>"&lt;p&gt;
&lt;n&gt;  找到：&lt;/n&gt;&lt;goto id="""&amp;N1135&amp;""" mapid=""5"" flagpoint=""1"" taskid="""&amp;A1135&amp;"""/&gt;
&lt;/p&gt;"</f>
        <v>&lt;p&gt;
&lt;n&gt;  找到：&lt;/n&gt;&lt;goto id="60849" mapid="5" flagpoint="1" taskid="15216"/&gt;
&lt;/p&gt;</v>
      </c>
      <c r="AN1135" s="348" t="str">
        <f>"&lt;p&gt;
&lt;n&gt;  找到：&lt;/n&gt;&lt;goto id="""&amp;N1135&amp;""" mapid=""5"" flagpoint=""1"" taskid="""&amp;A1135&amp;"""/&gt;
&lt;/p&gt;"</f>
        <v>&lt;p&gt;
&lt;n&gt;  找到：&lt;/n&gt;&lt;goto id="60849" mapid="5" flagpoint="1" taskid="15216"/&gt;
&lt;/p&gt;</v>
      </c>
      <c r="AO1135" s="290"/>
      <c r="AP1135" s="73">
        <v>1</v>
      </c>
      <c r="AQ1135" s="73">
        <v>0</v>
      </c>
      <c r="AR1135" s="73">
        <v>0</v>
      </c>
      <c r="AS1135" s="73">
        <v>0</v>
      </c>
      <c r="AU1135" s="226">
        <v>0</v>
      </c>
      <c r="AV1135" s="17">
        <f t="shared" si="157"/>
        <v>1</v>
      </c>
      <c r="AW1135" s="50" t="str">
        <f>"{s_taskTalk,{"&amp;L1135&amp;","&amp;N1135&amp;"}}"</f>
        <v>{s_taskTalk,{60559,60849}}</v>
      </c>
    </row>
    <row r="1136" spans="1:49" s="73" customFormat="1" ht="84.75" thickBot="1" x14ac:dyDescent="0.2">
      <c r="A1136" s="9">
        <v>15217</v>
      </c>
      <c r="B1136" s="226" t="s">
        <v>171</v>
      </c>
      <c r="C1136" s="226" t="s">
        <v>3352</v>
      </c>
      <c r="D1136" s="226">
        <v>1</v>
      </c>
      <c r="E1136" s="226">
        <v>0</v>
      </c>
      <c r="F1136" s="226">
        <v>5</v>
      </c>
      <c r="G1136" s="234">
        <v>200</v>
      </c>
      <c r="H1136" s="226">
        <v>200</v>
      </c>
      <c r="I1136" s="17">
        <v>0</v>
      </c>
      <c r="J1136" s="234">
        <v>15216</v>
      </c>
      <c r="K1136" s="226">
        <v>0</v>
      </c>
      <c r="L1136" s="226">
        <v>60849</v>
      </c>
      <c r="M1136" s="226" t="s">
        <v>3347</v>
      </c>
      <c r="N1136" s="226">
        <v>60849</v>
      </c>
      <c r="O1136" s="226" t="s">
        <v>5226</v>
      </c>
      <c r="P1136" s="226"/>
      <c r="Q1136" s="228"/>
      <c r="R1136" s="228"/>
      <c r="S1136" s="228">
        <v>60846</v>
      </c>
      <c r="T1136" s="226"/>
      <c r="U1136" s="226">
        <v>1</v>
      </c>
      <c r="V1136" s="226">
        <v>0</v>
      </c>
      <c r="W1136" s="122"/>
      <c r="X1136" s="226"/>
      <c r="Y1136" s="226"/>
      <c r="Z1136" s="230">
        <v>15000</v>
      </c>
      <c r="AA1136" s="226"/>
      <c r="AB1136" s="231"/>
      <c r="AC1136" s="231"/>
      <c r="AD1136" s="489"/>
      <c r="AE1136" s="226"/>
      <c r="AF1136" s="226" t="str">
        <f>"title("&amp;C1136&amp;")
body(hotyellow_3(任务进程:)newline()
  祭奠goto(60846,5)的亡魂，并将其埋葬。
blankline()hotyellow_3(任务描述:)newline()
  好心人，我的主人在防御王城的战斗中战死了，请帮我祷告我的主人，使他的亡魂得以安息。
)"</f>
        <v>title([80级]奇遇苍穹狼帝（二）)
body(hotyellow_3(任务进程:)newline()
  祭奠goto(60846,5)的亡魂，并将其埋葬。
blankline()hotyellow_3(任务描述:)newline()
  好心人，我的主人在防御王城的战斗中战死了，请帮我祷告我的主人，使他的亡魂得以安息。
)</v>
      </c>
      <c r="AG1136" s="539" t="s">
        <v>4415</v>
      </c>
      <c r="AH1136" s="50" t="s">
        <v>3378</v>
      </c>
      <c r="AI1136" s="595" t="s">
        <v>3354</v>
      </c>
      <c r="AJ1136" s="595" t="s">
        <v>3353</v>
      </c>
      <c r="AK1136" s="226" t="s">
        <v>171</v>
      </c>
      <c r="AL1136" s="234">
        <v>0</v>
      </c>
      <c r="AM1136" s="348" t="str">
        <f>"&lt;p&gt;
&lt;n&gt;  祭奠：&lt;/n&gt;&lt;goto id="""&amp;S1136&amp;""" mapid=""5"" flagpoint=""1"" taskid="""&amp;A1136&amp;"""/&gt;
&lt;/p&gt;"</f>
        <v>&lt;p&gt;
&lt;n&gt;  祭奠：&lt;/n&gt;&lt;goto id="60846" mapid="5" flagpoint="1" taskid="15217"/&gt;
&lt;/p&gt;</v>
      </c>
      <c r="AN1136" s="348" t="str">
        <f>"&lt;p&gt;
&lt;n&gt;  交：&lt;/n&gt;&lt;goto id="""&amp;N1136&amp;""" mapid=""5"" flagpoint=""1"" taskid="""&amp;A1136&amp;"""/&gt;
&lt;/p&gt;"</f>
        <v>&lt;p&gt;
&lt;n&gt;  交：&lt;/n&gt;&lt;goto id="60849" mapid="5" flagpoint="1" taskid="15217"/&gt;
&lt;/p&gt;</v>
      </c>
      <c r="AO1136" s="290"/>
      <c r="AP1136" s="73">
        <v>1</v>
      </c>
      <c r="AQ1136" s="73">
        <v>0</v>
      </c>
      <c r="AR1136" s="73">
        <v>0</v>
      </c>
      <c r="AS1136" s="73">
        <v>0</v>
      </c>
      <c r="AU1136" s="226">
        <v>0</v>
      </c>
      <c r="AV1136" s="17">
        <f t="shared" si="157"/>
        <v>1</v>
      </c>
      <c r="AW1136" s="50" t="str">
        <f>"{s_taskTalk,{"&amp;L1136&amp;","&amp;N1136&amp;"}}"</f>
        <v>{s_taskTalk,{60849,60849}}</v>
      </c>
    </row>
    <row r="1137" spans="1:49" s="73" customFormat="1" ht="96.75" thickBot="1" x14ac:dyDescent="0.2">
      <c r="A1137" s="9">
        <v>15218</v>
      </c>
      <c r="B1137" s="226" t="s">
        <v>171</v>
      </c>
      <c r="C1137" s="226" t="s">
        <v>3355</v>
      </c>
      <c r="D1137" s="226">
        <v>1</v>
      </c>
      <c r="E1137" s="226">
        <v>0</v>
      </c>
      <c r="F1137" s="226">
        <v>5</v>
      </c>
      <c r="G1137" s="234">
        <v>200</v>
      </c>
      <c r="H1137" s="226">
        <v>200</v>
      </c>
      <c r="I1137" s="17">
        <v>0</v>
      </c>
      <c r="J1137" s="234">
        <v>15217</v>
      </c>
      <c r="K1137" s="226">
        <v>0</v>
      </c>
      <c r="L1137" s="226">
        <v>60849</v>
      </c>
      <c r="M1137" s="226" t="s">
        <v>3347</v>
      </c>
      <c r="N1137" s="226">
        <v>60847</v>
      </c>
      <c r="O1137" s="226" t="s">
        <v>5227</v>
      </c>
      <c r="P1137" s="226"/>
      <c r="Q1137" s="228"/>
      <c r="R1137" s="228">
        <v>60850</v>
      </c>
      <c r="S1137" s="228"/>
      <c r="T1137" s="226"/>
      <c r="U1137" s="226">
        <v>1</v>
      </c>
      <c r="V1137" s="226">
        <v>1</v>
      </c>
      <c r="W1137" s="122"/>
      <c r="X1137" s="226"/>
      <c r="Y1137" s="226"/>
      <c r="Z1137" s="230">
        <v>15000</v>
      </c>
      <c r="AA1137" s="226"/>
      <c r="AB1137" s="231"/>
      <c r="AC1137" s="231"/>
      <c r="AD1137" s="489"/>
      <c r="AE1137" s="226"/>
      <c r="AF1137" s="226" t="str">
        <f>"title("&amp;C1137&amp;")
body(hotyellow_3(任务进程:)newline()
  带着苍穹狼帝找到goto(60847,5)。
blankline()hotyellow_3(任务描述:)newline()
  尊敬的player()，多谢你，我的主人才得以安息，我也没有继续呆在这里的理由了，请求你带我回家吧，我的家在蛮牛之土，是我们狼帝的部落。
)"</f>
        <v>title([80级]奇遇苍穹狼帝（三）)
body(hotyellow_3(任务进程:)newline()
  带着苍穹狼帝找到goto(60847,5)。
blankline()hotyellow_3(任务描述:)newline()
  尊敬的player()，多谢你，我的主人才得以安息，我也没有继续呆在这里的理由了，请求你带我回家吧，我的家在蛮牛之土，是我们狼帝的部落。
)</v>
      </c>
      <c r="AG1137" s="539" t="s">
        <v>3359</v>
      </c>
      <c r="AH1137" s="50" t="s">
        <v>3376</v>
      </c>
      <c r="AI1137" s="595" t="s">
        <v>3358</v>
      </c>
      <c r="AJ1137" s="595" t="s">
        <v>3357</v>
      </c>
      <c r="AK1137" s="226" t="s">
        <v>171</v>
      </c>
      <c r="AL1137" s="234">
        <v>0</v>
      </c>
      <c r="AM1137" s="348" t="str">
        <f>"&lt;p&gt;
&lt;n&gt;  护送迷失的狼帝找到：&lt;/n&gt;&lt;goto id="""&amp;N1137&amp;""" mapid=""5"" flagpoint=""1"" taskid="""&amp;A1137&amp;"""/&gt;
&lt;/p&gt;"</f>
        <v>&lt;p&gt;
&lt;n&gt;  护送迷失的狼帝找到：&lt;/n&gt;&lt;goto id="60847" mapid="5" flagpoint="1" taskid="15218"/&gt;
&lt;/p&gt;</v>
      </c>
      <c r="AN1137" s="348" t="str">
        <f>"&lt;p&gt;
&lt;n&gt;   护送迷失的狼帝找到：&lt;/n&gt;&lt;goto id="""&amp;N1137&amp;""" mapid=""5"" flagpoint=""1"" taskid="""&amp;A1137&amp;"""/&gt;
&lt;/p&gt;"</f>
        <v>&lt;p&gt;
&lt;n&gt;   护送迷失的狼帝找到：&lt;/n&gt;&lt;goto id="60847" mapid="5" flagpoint="1" taskid="15218"/&gt;
&lt;/p&gt;</v>
      </c>
      <c r="AO1137" s="290"/>
      <c r="AP1137" s="73">
        <v>1</v>
      </c>
      <c r="AQ1137" s="73">
        <v>0</v>
      </c>
      <c r="AR1137" s="73">
        <v>0</v>
      </c>
      <c r="AS1137" s="73">
        <v>0</v>
      </c>
      <c r="AU1137" s="226">
        <v>0</v>
      </c>
      <c r="AV1137" s="17">
        <f t="shared" si="157"/>
        <v>1</v>
      </c>
      <c r="AW1137" s="50" t="str">
        <f>"{s_taskGuard,{"&amp;L1137&amp;","&amp;N1137&amp;","&amp;R1137&amp;",1}}"</f>
        <v>{s_taskGuard,{60849,60847,60850,1}}</v>
      </c>
    </row>
    <row r="1138" spans="1:49" s="73" customFormat="1" ht="120.75" thickBot="1" x14ac:dyDescent="0.2">
      <c r="A1138" s="9">
        <v>15219</v>
      </c>
      <c r="B1138" s="226" t="s">
        <v>171</v>
      </c>
      <c r="C1138" s="226" t="s">
        <v>3360</v>
      </c>
      <c r="D1138" s="226">
        <v>1</v>
      </c>
      <c r="E1138" s="226">
        <v>0</v>
      </c>
      <c r="F1138" s="226">
        <v>5</v>
      </c>
      <c r="G1138" s="234">
        <v>200</v>
      </c>
      <c r="H1138" s="226">
        <v>200</v>
      </c>
      <c r="I1138" s="17">
        <v>0</v>
      </c>
      <c r="J1138" s="234">
        <v>15218</v>
      </c>
      <c r="K1138" s="226">
        <v>0</v>
      </c>
      <c r="L1138" s="226">
        <v>60847</v>
      </c>
      <c r="M1138" s="226" t="s">
        <v>3356</v>
      </c>
      <c r="N1138" s="226">
        <v>60847</v>
      </c>
      <c r="O1138" s="226" t="s">
        <v>5227</v>
      </c>
      <c r="P1138" s="226"/>
      <c r="Q1138" s="228"/>
      <c r="R1138" s="228"/>
      <c r="S1138" s="228"/>
      <c r="T1138" s="226"/>
      <c r="U1138" s="226">
        <v>1</v>
      </c>
      <c r="V1138" s="226">
        <v>0</v>
      </c>
      <c r="W1138" s="122"/>
      <c r="X1138" s="226"/>
      <c r="Y1138" s="226"/>
      <c r="Z1138" s="230">
        <v>15000</v>
      </c>
      <c r="AA1138" s="226"/>
      <c r="AB1138" s="231"/>
      <c r="AC1138" s="231"/>
      <c r="AD1138" s="489"/>
      <c r="AE1138" s="226"/>
      <c r="AF1138" s="226" t="str">
        <f>"title("&amp;C1138&amp;")
body(hotyellow_3(任务进程:)newline()
  请前往hot(帝都)，通过goto(302,8)处进入骑魂谷，杀死1个地狱物龙或地狱魔龙，回复goto(60847,5)。
blankline()hotyellow_3(任务描述:)newline()
  伟大player()，感谢你带回我的孩子，但是一匹骄傲的狼，需要一个更骄傲的人才能驯服它，我们承认强者，蔑视弱者，如果你能将我们的敌人-地狱龙的头颅拿来，它就会承认你，并愿意与你并肩而战！
)"</f>
        <v>title([80级]奇遇苍穹狼帝（四）)
body(hotyellow_3(任务进程:)newline()
  请前往hot(帝都)，通过goto(302,8)处进入骑魂谷，杀死1个地狱物龙或地狱魔龙，回复goto(60847,5)。
blankline()hotyellow_3(任务描述:)newline()
  伟大player()，感谢你带回我的孩子，但是一匹骄傲的狼，需要一个更骄傲的人才能驯服它，我们承认强者，蔑视弱者，如果你能将我们的敌人-地狱龙的头颅拿来，它就会承认你，并愿意与你并肩而战！
)</v>
      </c>
      <c r="AG1138" s="539" t="s">
        <v>3363</v>
      </c>
      <c r="AH1138" s="50" t="s">
        <v>3361</v>
      </c>
      <c r="AI1138" s="595" t="s">
        <v>3381</v>
      </c>
      <c r="AJ1138" s="595" t="s">
        <v>3382</v>
      </c>
      <c r="AK1138" s="226" t="s">
        <v>171</v>
      </c>
      <c r="AL1138" s="234">
        <v>0</v>
      </c>
      <c r="AM1138" s="348" t="str">
        <f>"&lt;p&gt;&lt;n&gt;  通过帝都：&lt;/n&gt;&lt;goto id=""302"" mapid=""8"" flagpoint=""1"" taskid="""&amp;A1138&amp;"""/&gt;&lt;newline/&gt;
&lt;n&gt; 进入骑魂谷杀：1个地狱物龙或地狱魔龙，骑魂谷每周2、4、6、7的8:00-23:00开放&lt;/n&gt;
&lt;/p&gt;"</f>
        <v>&lt;p&gt;&lt;n&gt;  通过帝都：&lt;/n&gt;&lt;goto id="302" mapid="8" flagpoint="1" taskid="15219"/&gt;&lt;newline/&gt;
&lt;n&gt; 进入骑魂谷杀：1个地狱物龙或地狱魔龙，骑魂谷每周2、4、6、7的8:00-23:00开放&lt;/n&gt;
&lt;/p&gt;</v>
      </c>
      <c r="AN1138" s="348" t="str">
        <f>"&lt;p&gt;&lt;n&gt;  通过：&lt;/n&gt;&lt;goto id=""303"" mapid=""8"" flagpoint=""1"" taskid="""&amp;A1138&amp;"""/&gt;&lt;newline/&gt;
&lt;n&gt;  离开交：&lt;/n&gt;&lt;goto id="""&amp;N1138&amp;""" mapid=""5"" flagpoint=""1"" taskid="""&amp;A1138&amp;"""/&gt;
&lt;/p&gt;"</f>
        <v>&lt;p&gt;&lt;n&gt;  通过：&lt;/n&gt;&lt;goto id="303" mapid="8" flagpoint="1" taskid="15219"/&gt;&lt;newline/&gt;
&lt;n&gt;  离开交：&lt;/n&gt;&lt;goto id="60847" mapid="5" flagpoint="1" taskid="15219"/&gt;
&lt;/p&gt;</v>
      </c>
      <c r="AO1138" s="290"/>
      <c r="AP1138" s="73">
        <v>1</v>
      </c>
      <c r="AQ1138" s="73">
        <v>0</v>
      </c>
      <c r="AR1138" s="73">
        <v>0</v>
      </c>
      <c r="AS1138" s="73">
        <v>0</v>
      </c>
      <c r="AU1138" s="226">
        <v>0</v>
      </c>
      <c r="AV1138" s="17">
        <f t="shared" si="157"/>
        <v>1</v>
      </c>
      <c r="AW1138" s="50" t="str">
        <f>"{s_taskTalk,{"&amp;L1138&amp;","&amp;N1138&amp;"}}"</f>
        <v>{s_taskTalk,{60847,60847}}</v>
      </c>
    </row>
    <row r="1139" spans="1:49" s="73" customFormat="1" ht="96.75" thickBot="1" x14ac:dyDescent="0.2">
      <c r="A1139" s="9">
        <v>15220</v>
      </c>
      <c r="B1139" s="226" t="s">
        <v>171</v>
      </c>
      <c r="C1139" s="226" t="s">
        <v>3364</v>
      </c>
      <c r="D1139" s="226">
        <v>1</v>
      </c>
      <c r="E1139" s="226">
        <v>0</v>
      </c>
      <c r="F1139" s="226">
        <v>5</v>
      </c>
      <c r="G1139" s="234">
        <v>200</v>
      </c>
      <c r="H1139" s="226">
        <v>200</v>
      </c>
      <c r="I1139" s="17">
        <v>0</v>
      </c>
      <c r="J1139" s="234">
        <v>15219</v>
      </c>
      <c r="K1139" s="226">
        <v>0</v>
      </c>
      <c r="L1139" s="226">
        <v>60847</v>
      </c>
      <c r="M1139" s="226" t="s">
        <v>3356</v>
      </c>
      <c r="N1139" s="226">
        <v>60559</v>
      </c>
      <c r="O1139" s="226" t="s">
        <v>5167</v>
      </c>
      <c r="P1139" s="226"/>
      <c r="Q1139" s="228"/>
      <c r="R1139" s="228"/>
      <c r="S1139" s="228"/>
      <c r="T1139" s="226"/>
      <c r="U1139" s="226">
        <v>1</v>
      </c>
      <c r="V1139" s="226">
        <v>1</v>
      </c>
      <c r="W1139" s="122"/>
      <c r="X1139" s="226"/>
      <c r="Y1139" s="226"/>
      <c r="Z1139" s="230">
        <v>15000</v>
      </c>
      <c r="AA1139" s="226"/>
      <c r="AB1139" s="231"/>
      <c r="AC1139" s="231"/>
      <c r="AD1139" s="532" t="s">
        <v>3372</v>
      </c>
      <c r="AE1139" s="226"/>
      <c r="AF1139" s="226" t="str">
        <f>"title("&amp;C1139&amp;")
body(hotyellow_3(任务进程:)newline()
  回复goto(60559,5)。
blankline()hotyellow_3(任务描述:)newline()
  亲爱的player()，我把我的孩子托付与你，请你好好照顾它，请替我回复hot(君士坦丁),我在你身上，看到了他当年的影子。
)"</f>
        <v>title([80级]奇遇苍穹狼帝（五）)
body(hotyellow_3(任务进程:)newline()
  回复goto(60559,5)。
blankline()hotyellow_3(任务描述:)newline()
  亲爱的player()，我把我的孩子托付与你，请你好好照顾它，请替我回复hot(君士坦丁),我在你身上，看到了他当年的影子。
)</v>
      </c>
      <c r="AG1139" s="539" t="s">
        <v>3368</v>
      </c>
      <c r="AH1139" s="50" t="s">
        <v>3367</v>
      </c>
      <c r="AI1139" s="595" t="s">
        <v>3366</v>
      </c>
      <c r="AJ1139" s="595" t="s">
        <v>3365</v>
      </c>
      <c r="AK1139" s="226" t="s">
        <v>171</v>
      </c>
      <c r="AL1139" s="234">
        <v>0</v>
      </c>
      <c r="AM1139" s="348" t="str">
        <f>"&lt;p&gt;
&lt;n&gt;  回复：&lt;/n&gt;&lt;goto id="""&amp;N1139&amp;""" mapid=""5"" flagpoint=""1"" taskid="""&amp;A1139&amp;"""/&gt;
&lt;/p&gt;"</f>
        <v>&lt;p&gt;
&lt;n&gt;  回复：&lt;/n&gt;&lt;goto id="60559" mapid="5" flagpoint="1" taskid="15220"/&gt;
&lt;/p&gt;</v>
      </c>
      <c r="AN1139" s="348" t="str">
        <f>"&lt;p&gt;
&lt;n&gt;  交：&lt;/n&gt;&lt;goto id="""&amp;N1139&amp;""" mapid=""5"" flagpoint=""1"" taskid="""&amp;A1139&amp;"""/&gt;
&lt;/p&gt;"</f>
        <v>&lt;p&gt;
&lt;n&gt;  交：&lt;/n&gt;&lt;goto id="60559" mapid="5" flagpoint="1" taskid="15220"/&gt;
&lt;/p&gt;</v>
      </c>
      <c r="AO1139" s="290"/>
      <c r="AP1139" s="73">
        <v>1</v>
      </c>
      <c r="AQ1139" s="73">
        <v>0</v>
      </c>
      <c r="AR1139" s="73">
        <v>0</v>
      </c>
      <c r="AS1139" s="73">
        <v>0</v>
      </c>
      <c r="AU1139" s="226">
        <v>0</v>
      </c>
      <c r="AV1139" s="17">
        <f t="shared" si="157"/>
        <v>1</v>
      </c>
      <c r="AW1139" s="50" t="str">
        <f>"{s_taskTalk,{"&amp;L1139&amp;","&amp;N1139&amp;"}}"</f>
        <v>{s_taskTalk,{60847,60559}}</v>
      </c>
    </row>
    <row r="1140" spans="1:49" s="73" customFormat="1" ht="96.75" thickBot="1" x14ac:dyDescent="0.2">
      <c r="A1140" s="9">
        <v>15221</v>
      </c>
      <c r="B1140" s="226" t="s">
        <v>171</v>
      </c>
      <c r="C1140" s="226" t="s">
        <v>3373</v>
      </c>
      <c r="D1140" s="226">
        <v>2</v>
      </c>
      <c r="E1140" s="226">
        <v>0</v>
      </c>
      <c r="F1140" s="226">
        <v>5</v>
      </c>
      <c r="G1140" s="234">
        <v>200</v>
      </c>
      <c r="H1140" s="226">
        <v>200</v>
      </c>
      <c r="I1140" s="17">
        <v>0</v>
      </c>
      <c r="J1140" s="234">
        <v>15220</v>
      </c>
      <c r="K1140" s="226">
        <v>1</v>
      </c>
      <c r="L1140" s="226">
        <v>60847</v>
      </c>
      <c r="M1140" s="226" t="s">
        <v>3356</v>
      </c>
      <c r="N1140" s="226">
        <v>60847</v>
      </c>
      <c r="O1140" s="226" t="s">
        <v>5227</v>
      </c>
      <c r="P1140" s="226"/>
      <c r="Q1140" s="228"/>
      <c r="R1140" s="228"/>
      <c r="S1140" s="228"/>
      <c r="T1140" s="226"/>
      <c r="U1140" s="226">
        <v>5</v>
      </c>
      <c r="V1140" s="226">
        <v>0</v>
      </c>
      <c r="W1140" s="122"/>
      <c r="X1140" s="226"/>
      <c r="Y1140" s="226"/>
      <c r="Z1140" s="230">
        <v>0</v>
      </c>
      <c r="AA1140" s="226"/>
      <c r="AB1140" s="231"/>
      <c r="AC1140" s="231"/>
      <c r="AD1140" s="532" t="s">
        <v>3372</v>
      </c>
      <c r="AE1140" s="226"/>
      <c r="AF1140" s="226" t="str">
        <f>"title("&amp;C1140&amp;")
body(hotyellow_3(任务进程:)newline()
  请前往hot(帝都)，通过goto(302,8)处进入骑魂谷，杀死5个地狱物龙或地狱魔龙，回复goto(60847,5)。
blankline()hotyellow_3(任务描述:)newline()
  伟大player()，如果你的狼帝因为某种原因失去了，我可以帮助你重新找回。
)"</f>
        <v>title([80级]复活苍穹狼帝（重复）)
body(hotyellow_3(任务进程:)newline()
  请前往hot(帝都)，通过goto(302,8)处进入骑魂谷，杀死5个地狱物龙或地狱魔龙，回复goto(60847,5)。
blankline()hotyellow_3(任务描述:)newline()
  伟大player()，如果你的狼帝因为某种原因失去了，我可以帮助你重新找回。
)</v>
      </c>
      <c r="AG1140" s="539" t="s">
        <v>3374</v>
      </c>
      <c r="AH1140" s="50" t="s">
        <v>3375</v>
      </c>
      <c r="AI1140" s="595" t="s">
        <v>3379</v>
      </c>
      <c r="AJ1140" s="595" t="s">
        <v>3380</v>
      </c>
      <c r="AK1140" s="226" t="s">
        <v>171</v>
      </c>
      <c r="AL1140" s="234">
        <v>0</v>
      </c>
      <c r="AM1140" s="348" t="str">
        <f>"&lt;p&gt;&lt;n&gt;  通过帝都：&lt;/n&gt;&lt;goto id=""302"" mapid=""8"" flagpoint=""1"" taskid="""&amp;A1140&amp;"""/&gt;&lt;newline/&gt;
&lt;n&gt; 进入骑魂谷杀：5个地狱物龙或地狱魔龙，骑魂谷每周2、4、6、7的12:00-24:00开放&lt;/n&gt;
&lt;/p&gt;"</f>
        <v>&lt;p&gt;&lt;n&gt;  通过帝都：&lt;/n&gt;&lt;goto id="302" mapid="8" flagpoint="1" taskid="15221"/&gt;&lt;newline/&gt;
&lt;n&gt; 进入骑魂谷杀：5个地狱物龙或地狱魔龙，骑魂谷每周2、4、6、7的12:00-24:00开放&lt;/n&gt;
&lt;/p&gt;</v>
      </c>
      <c r="AN1140" s="348" t="str">
        <f>"&lt;p&gt;&lt;n&gt;  通过：&lt;/n&gt;&lt;goto id=""303"" mapid=""8"" flagpoint=""1"" taskid="""&amp;A1140&amp;"""/&gt;&lt;newline/&gt;
&lt;n&gt;  离开交：&lt;/n&gt;&lt;goto id="""&amp;N1140&amp;""" mapid=""5"" flagpoint=""1"" taskid="""&amp;A1140&amp;"""/&gt;
&lt;/p&gt;"</f>
        <v>&lt;p&gt;&lt;n&gt;  通过：&lt;/n&gt;&lt;goto id="303" mapid="8" flagpoint="1" taskid="15221"/&gt;&lt;newline/&gt;
&lt;n&gt;  离开交：&lt;/n&gt;&lt;goto id="60847" mapid="5" flagpoint="1" taskid="15221"/&gt;
&lt;/p&gt;</v>
      </c>
      <c r="AO1140" s="290"/>
      <c r="AP1140" s="73">
        <v>1</v>
      </c>
      <c r="AQ1140" s="73">
        <v>0</v>
      </c>
      <c r="AR1140" s="73">
        <v>0</v>
      </c>
      <c r="AS1140" s="73">
        <v>0</v>
      </c>
      <c r="AU1140" s="226">
        <v>0</v>
      </c>
      <c r="AV1140" s="17">
        <f t="shared" si="157"/>
        <v>0</v>
      </c>
      <c r="AW1140" s="50" t="str">
        <f>"{s_taskTalk,{"&amp;L1140&amp;","&amp;N1140&amp;"}}"</f>
        <v>{s_taskTalk,{60847,60847}}</v>
      </c>
    </row>
    <row r="1141" spans="1:49" s="332" customFormat="1" ht="120.75" thickBot="1" x14ac:dyDescent="0.2">
      <c r="A1141" s="341">
        <v>15222</v>
      </c>
      <c r="B1141" s="332" t="s">
        <v>3398</v>
      </c>
      <c r="C1141" s="332" t="s">
        <v>4501</v>
      </c>
      <c r="D1141" s="332">
        <v>1</v>
      </c>
      <c r="E1141" s="332">
        <v>0</v>
      </c>
      <c r="F1141" s="332">
        <v>3</v>
      </c>
      <c r="G1141" s="249">
        <v>200</v>
      </c>
      <c r="H1141" s="332">
        <v>200</v>
      </c>
      <c r="I1141" s="17">
        <v>0</v>
      </c>
      <c r="J1141" s="342">
        <v>4311</v>
      </c>
      <c r="K1141" s="332">
        <v>0</v>
      </c>
      <c r="L1141" s="332">
        <v>60000</v>
      </c>
      <c r="M1141" s="332" t="s">
        <v>206</v>
      </c>
      <c r="N1141" s="332">
        <v>60000</v>
      </c>
      <c r="O1141" s="332" t="s">
        <v>5159</v>
      </c>
      <c r="Q1141" s="343"/>
      <c r="R1141" s="343"/>
      <c r="S1141" s="343"/>
      <c r="T1141" s="343"/>
      <c r="U1141" s="332">
        <v>1</v>
      </c>
      <c r="V1141" s="332">
        <v>0</v>
      </c>
      <c r="W1141" s="344">
        <v>20</v>
      </c>
      <c r="Z1141" s="245">
        <v>7500</v>
      </c>
      <c r="AB1141" s="245"/>
      <c r="AC1141" s="245"/>
      <c r="AD1141" s="345" t="s">
        <v>3953</v>
      </c>
      <c r="AF1141" s="603" t="s">
        <v>4774</v>
      </c>
      <c r="AG1141" s="603" t="s">
        <v>4775</v>
      </c>
      <c r="AH1141" s="603" t="s">
        <v>4502</v>
      </c>
      <c r="AI1141" s="603" t="s">
        <v>4444</v>
      </c>
      <c r="AJ1141" s="603" t="s">
        <v>4445</v>
      </c>
      <c r="AL1141" s="249">
        <v>0</v>
      </c>
      <c r="AM1141" s="332" t="s">
        <v>4446</v>
      </c>
      <c r="AN1141" s="332" t="s">
        <v>6020</v>
      </c>
      <c r="AP1141" s="242">
        <v>1</v>
      </c>
      <c r="AQ1141" s="242">
        <v>0</v>
      </c>
      <c r="AR1141" s="50">
        <v>1</v>
      </c>
      <c r="AS1141" s="50">
        <v>0</v>
      </c>
      <c r="AT1141" s="332">
        <v>0</v>
      </c>
      <c r="AU1141" s="226">
        <v>0</v>
      </c>
      <c r="AV1141" s="17">
        <f t="shared" si="157"/>
        <v>1</v>
      </c>
      <c r="AW1141" s="356" t="str">
        <f>"{s_taskCustom,{"&amp;L1141&amp;","&amp;N1141&amp;","&amp;U1141&amp;","&amp;V1141&amp;"}}"</f>
        <v>{s_taskCustom,{60000,60000,1,0}}</v>
      </c>
    </row>
    <row r="1142" spans="1:49" s="332" customFormat="1" ht="96.75" thickBot="1" x14ac:dyDescent="0.2">
      <c r="A1142" s="341">
        <v>15223</v>
      </c>
      <c r="C1142" s="332" t="s">
        <v>3491</v>
      </c>
      <c r="D1142" s="332">
        <v>2</v>
      </c>
      <c r="E1142" s="332">
        <v>0</v>
      </c>
      <c r="F1142" s="332">
        <v>3</v>
      </c>
      <c r="G1142" s="249">
        <v>51</v>
      </c>
      <c r="H1142" s="332">
        <v>200</v>
      </c>
      <c r="I1142" s="17">
        <v>0</v>
      </c>
      <c r="J1142" s="342">
        <v>4312</v>
      </c>
      <c r="K1142" s="332">
        <v>0</v>
      </c>
      <c r="L1142" s="332">
        <v>60000</v>
      </c>
      <c r="M1142" s="332" t="s">
        <v>206</v>
      </c>
      <c r="N1142" s="332">
        <v>60000</v>
      </c>
      <c r="O1142" s="332" t="s">
        <v>5159</v>
      </c>
      <c r="Q1142" s="343"/>
      <c r="R1142" s="343"/>
      <c r="S1142" s="343"/>
      <c r="T1142" s="343"/>
      <c r="U1142" s="332">
        <v>1</v>
      </c>
      <c r="V1142" s="332">
        <v>0</v>
      </c>
      <c r="W1142" s="344"/>
      <c r="Z1142" s="245">
        <v>7500</v>
      </c>
      <c r="AB1142" s="245"/>
      <c r="AC1142" s="245"/>
      <c r="AD1142" s="345"/>
      <c r="AF1142" s="603" t="s">
        <v>3492</v>
      </c>
      <c r="AG1142" s="603" t="s">
        <v>3486</v>
      </c>
      <c r="AH1142" s="603" t="s">
        <v>3487</v>
      </c>
      <c r="AI1142" s="603" t="s">
        <v>3488</v>
      </c>
      <c r="AJ1142" s="603" t="s">
        <v>3489</v>
      </c>
      <c r="AL1142" s="249">
        <v>0</v>
      </c>
      <c r="AM1142" s="332" t="s">
        <v>3490</v>
      </c>
      <c r="AN1142" s="332" t="s">
        <v>6021</v>
      </c>
      <c r="AP1142" s="242">
        <v>1</v>
      </c>
      <c r="AQ1142" s="242">
        <v>0</v>
      </c>
      <c r="AR1142" s="50">
        <v>1</v>
      </c>
      <c r="AS1142" s="50">
        <v>0</v>
      </c>
      <c r="AT1142" s="332">
        <v>0</v>
      </c>
      <c r="AU1142" s="226">
        <v>0</v>
      </c>
      <c r="AV1142" s="17">
        <f t="shared" si="157"/>
        <v>0</v>
      </c>
      <c r="AW1142" s="356" t="str">
        <f>"{s_taskCustom,{"&amp;L1142&amp;","&amp;N1142&amp;","&amp;U1142&amp;","&amp;V1142&amp;"}}"</f>
        <v>{s_taskCustom,{60000,60000,1,0}}</v>
      </c>
    </row>
    <row r="1143" spans="1:49" s="73" customFormat="1" ht="96.75" thickBot="1" x14ac:dyDescent="0.2">
      <c r="A1143" s="9">
        <v>15224</v>
      </c>
      <c r="B1143" s="226" t="s">
        <v>171</v>
      </c>
      <c r="C1143" s="226" t="s">
        <v>3530</v>
      </c>
      <c r="D1143" s="226">
        <v>2</v>
      </c>
      <c r="E1143" s="226">
        <v>0</v>
      </c>
      <c r="F1143" s="226">
        <v>5</v>
      </c>
      <c r="G1143" s="234">
        <v>200</v>
      </c>
      <c r="H1143" s="226">
        <v>200</v>
      </c>
      <c r="I1143" s="17">
        <v>0</v>
      </c>
      <c r="J1143" s="234">
        <v>0</v>
      </c>
      <c r="K1143" s="226">
        <v>0</v>
      </c>
      <c r="L1143" s="226">
        <v>60789</v>
      </c>
      <c r="M1143" s="226" t="s">
        <v>3518</v>
      </c>
      <c r="N1143" s="226">
        <v>60789</v>
      </c>
      <c r="O1143" s="226" t="s">
        <v>5228</v>
      </c>
      <c r="P1143" s="226"/>
      <c r="Q1143" s="228"/>
      <c r="R1143" s="228"/>
      <c r="S1143" s="228"/>
      <c r="T1143" s="226"/>
      <c r="U1143" s="226">
        <v>1</v>
      </c>
      <c r="V1143" s="226">
        <v>1</v>
      </c>
      <c r="W1143" s="122"/>
      <c r="X1143" s="226"/>
      <c r="Y1143" s="226"/>
      <c r="Z1143" s="230">
        <v>0</v>
      </c>
      <c r="AA1143" s="226"/>
      <c r="AB1143" s="231"/>
      <c r="AC1143" s="231"/>
      <c r="AD1143" s="532" t="s">
        <v>3527</v>
      </c>
      <c r="AE1143" s="226"/>
      <c r="AF1143" s="226" t="str">
        <f>"title("&amp;C1143&amp;")
body(hotyellow_3(任务进程:)newline()
  回复goto(60789,5)接受礼物。
blankline()hotyellow_3(任务描述:)newline()
 亲爱的player()，你在奥丁大陆的成长大家有目共睹，我认为是时候指引你学习炼金之术了，使用炼金术炼制圣石，将得到强大的力量
)"</f>
        <v>title([81级]神之炼金术师（一）)
body(hotyellow_3(任务进程:)newline()
  回复goto(60789,5)接受礼物。
blankline()hotyellow_3(任务描述:)newline()
 亲爱的player()，你在奥丁大陆的成长大家有目共睹，我认为是时候指引你学习炼金之术了，使用炼金术炼制圣石，将得到强大的力量
)</v>
      </c>
      <c r="AG1143" s="539" t="s">
        <v>3534</v>
      </c>
      <c r="AH1143" s="50" t="s">
        <v>3528</v>
      </c>
      <c r="AI1143" s="595" t="s">
        <v>3523</v>
      </c>
      <c r="AJ1143" s="595" t="s">
        <v>3522</v>
      </c>
      <c r="AK1143" s="226" t="s">
        <v>171</v>
      </c>
      <c r="AL1143" s="234">
        <v>0</v>
      </c>
      <c r="AM1143" s="348" t="str">
        <f>"&lt;p&gt;&lt;n&gt;  查看&lt;/n&gt;&lt;dialog taskid="""&amp;A1143&amp;""" text=""技能界面"" hotkeyid=""5""/&gt;&lt;newline/&gt;
&lt;n&gt;  回复：&lt;/n&gt;&lt;goto id="""&amp;N1143&amp;""" mapid=""5"" flagpoint=""1"" taskid="""&amp;A1143&amp;"""/&gt;
&lt;/p&gt;"</f>
        <v>&lt;p&gt;&lt;n&gt;  查看&lt;/n&gt;&lt;dialog taskid="15224" text="技能界面" hotkeyid="5"/&gt;&lt;newline/&gt;
&lt;n&gt;  回复：&lt;/n&gt;&lt;goto id="60789" mapid="5" flagpoint="1" taskid="15224"/&gt;
&lt;/p&gt;</v>
      </c>
      <c r="AN1143" s="348" t="str">
        <f>"&lt;p&gt;&lt;n&gt;  查看&lt;/n&gt;&lt;dialog taskid="""&amp;A1143&amp;""" text=""技能界面"" hotkeyid=""5""/&gt;&lt;newline/&gt;
&lt;n&gt;  交：&lt;/n&gt;&lt;goto id="""&amp;N1143&amp;""" mapid=""5"" flagpoint=""1"" taskid="""&amp;A1143&amp;"""/&gt;
&lt;/p&gt;"</f>
        <v>&lt;p&gt;&lt;n&gt;  查看&lt;/n&gt;&lt;dialog taskid="15224" text="技能界面" hotkeyid="5"/&gt;&lt;newline/&gt;
&lt;n&gt;  交：&lt;/n&gt;&lt;goto id="60789" mapid="5" flagpoint="1" taskid="15224"/&gt;
&lt;/p&gt;</v>
      </c>
      <c r="AO1143" s="290"/>
      <c r="AP1143" s="73">
        <v>1</v>
      </c>
      <c r="AQ1143" s="73">
        <v>0</v>
      </c>
      <c r="AR1143" s="73">
        <v>0</v>
      </c>
      <c r="AS1143" s="73">
        <v>0</v>
      </c>
      <c r="AU1143" s="226">
        <v>0</v>
      </c>
      <c r="AV1143" s="17">
        <f t="shared" si="157"/>
        <v>0</v>
      </c>
      <c r="AW1143" s="50" t="str">
        <f>"{s_taskTalk,{"&amp;L1143&amp;","&amp;N1143&amp;"}}"</f>
        <v>{s_taskTalk,{60789,60789}}</v>
      </c>
    </row>
    <row r="1144" spans="1:49" s="73" customFormat="1" ht="120.75" thickBot="1" x14ac:dyDescent="0.2">
      <c r="A1144" s="9">
        <v>15225</v>
      </c>
      <c r="B1144" s="226" t="s">
        <v>171</v>
      </c>
      <c r="C1144" s="226" t="s">
        <v>3531</v>
      </c>
      <c r="D1144" s="226">
        <v>2</v>
      </c>
      <c r="E1144" s="226">
        <v>0</v>
      </c>
      <c r="F1144" s="226">
        <v>5</v>
      </c>
      <c r="G1144" s="234">
        <v>81</v>
      </c>
      <c r="H1144" s="226">
        <v>200</v>
      </c>
      <c r="I1144" s="17">
        <v>0</v>
      </c>
      <c r="J1144" s="234">
        <v>15224</v>
      </c>
      <c r="K1144" s="226">
        <v>0</v>
      </c>
      <c r="L1144" s="226">
        <v>60789</v>
      </c>
      <c r="M1144" s="226" t="s">
        <v>3518</v>
      </c>
      <c r="N1144" s="226">
        <v>60789</v>
      </c>
      <c r="O1144" s="226" t="s">
        <v>5228</v>
      </c>
      <c r="P1144" s="226"/>
      <c r="Q1144" s="228"/>
      <c r="R1144" s="228"/>
      <c r="S1144" s="228"/>
      <c r="T1144" s="226"/>
      <c r="U1144" s="226">
        <v>1</v>
      </c>
      <c r="V1144" s="226">
        <v>0</v>
      </c>
      <c r="W1144" s="122"/>
      <c r="X1144" s="226"/>
      <c r="Y1144" s="226"/>
      <c r="Z1144" s="230">
        <v>0</v>
      </c>
      <c r="AA1144" s="226"/>
      <c r="AB1144" s="231"/>
      <c r="AC1144" s="231"/>
      <c r="AD1144" s="532" t="s">
        <v>3527</v>
      </c>
      <c r="AE1144" s="226"/>
      <c r="AF1144" s="226" t="s">
        <v>3535</v>
      </c>
      <c r="AG1144" s="539" t="s">
        <v>3533</v>
      </c>
      <c r="AH1144" s="50" t="s">
        <v>3521</v>
      </c>
      <c r="AI1144" s="595" t="s">
        <v>3520</v>
      </c>
      <c r="AJ1144" s="595" t="s">
        <v>3519</v>
      </c>
      <c r="AK1144" s="226" t="s">
        <v>171</v>
      </c>
      <c r="AL1144" s="234">
        <v>0</v>
      </c>
      <c r="AM1144" s="348" t="str">
        <f>"&lt;p&gt;&lt;n&gt;  通过技能界面打开：&lt;/n&gt;&lt;dialog taskid="""&amp;A1144&amp;""" text=""炼金"" hotkeyid=""100""/&gt;&lt;newline/&gt;
&lt;n&gt; 点击魔法阵中心的炼金，并成功使用一次三级炼金术&lt;/n&gt;
&lt;/p&gt;"</f>
        <v>&lt;p&gt;&lt;n&gt;  通过技能界面打开：&lt;/n&gt;&lt;dialog taskid="15225" text="炼金" hotkeyid="100"/&gt;&lt;newline/&gt;
&lt;n&gt; 点击魔法阵中心的炼金，并成功使用一次三级炼金术&lt;/n&gt;
&lt;/p&gt;</v>
      </c>
      <c r="AN1144" s="348" t="str">
        <f>"&lt;p&gt;
&lt;n&gt;  交：&lt;/n&gt;&lt;goto id="""&amp;N1144&amp;""" mapid=""5"" flagpoint=""1"" taskid="""&amp;A1144&amp;"""/&gt;
&lt;/p&gt;"</f>
        <v>&lt;p&gt;
&lt;n&gt;  交：&lt;/n&gt;&lt;goto id="60789" mapid="5" flagpoint="1" taskid="15225"/&gt;
&lt;/p&gt;</v>
      </c>
      <c r="AO1144" s="290"/>
      <c r="AP1144" s="73">
        <v>1</v>
      </c>
      <c r="AQ1144" s="73">
        <v>0</v>
      </c>
      <c r="AR1144" s="73">
        <v>0</v>
      </c>
      <c r="AS1144" s="73">
        <v>0</v>
      </c>
      <c r="AU1144" s="226">
        <v>1</v>
      </c>
      <c r="AV1144" s="17">
        <f t="shared" si="157"/>
        <v>0</v>
      </c>
      <c r="AW1144" s="356" t="str">
        <f>"{s_taskCustom,{"&amp;L1144&amp;","&amp;N1144&amp;","&amp;U1144&amp;","&amp;V1144&amp;"}}"</f>
        <v>{s_taskCustom,{60789,60789,1,0}}</v>
      </c>
    </row>
    <row r="1145" spans="1:49" s="73" customFormat="1" ht="120.75" thickBot="1" x14ac:dyDescent="0.2">
      <c r="A1145" s="9">
        <v>15226</v>
      </c>
      <c r="B1145" s="226" t="s">
        <v>171</v>
      </c>
      <c r="C1145" s="226" t="s">
        <v>3532</v>
      </c>
      <c r="D1145" s="226">
        <v>2</v>
      </c>
      <c r="E1145" s="226">
        <v>0</v>
      </c>
      <c r="F1145" s="226">
        <v>5</v>
      </c>
      <c r="G1145" s="234">
        <v>81</v>
      </c>
      <c r="H1145" s="226">
        <v>200</v>
      </c>
      <c r="I1145" s="17">
        <v>0</v>
      </c>
      <c r="J1145" s="234">
        <v>15225</v>
      </c>
      <c r="K1145" s="226">
        <v>0</v>
      </c>
      <c r="L1145" s="226">
        <v>60789</v>
      </c>
      <c r="M1145" s="226" t="s">
        <v>3518</v>
      </c>
      <c r="N1145" s="226">
        <v>60789</v>
      </c>
      <c r="O1145" s="226" t="s">
        <v>5228</v>
      </c>
      <c r="P1145" s="226"/>
      <c r="Q1145" s="228"/>
      <c r="R1145" s="228"/>
      <c r="S1145" s="228"/>
      <c r="T1145" s="226"/>
      <c r="U1145" s="226">
        <v>1</v>
      </c>
      <c r="V1145" s="226">
        <v>0</v>
      </c>
      <c r="W1145" s="122"/>
      <c r="X1145" s="226"/>
      <c r="Y1145" s="226"/>
      <c r="Z1145" s="230">
        <v>0</v>
      </c>
      <c r="AA1145" s="226"/>
      <c r="AB1145" s="231"/>
      <c r="AC1145" s="231"/>
      <c r="AD1145" s="532" t="s">
        <v>3527</v>
      </c>
      <c r="AE1145" s="226"/>
      <c r="AF1145" s="226" t="str">
        <f>"title("&amp;C1145&amp;")
body(hotyellow_3(任务进程:)newline()
  融化任意圣石后，回复goto(60789,5)。
blankline()hotyellow_3(任务描述:)newline()
  亲爱的player()，每个圣石都含有魔法阵能量，除了对你有用的圣石外，你都可以将其它的圣石融化为魔法阵能量，使用一键融化即可将圣石融化为魔法阵能量，利用这些能量，你可以为你需要的圣石进行升级加强属性，将圣石放入圣石槽中，点击“+”号即可升级
)"</f>
        <v>title([81级]神之炼金术师（三）)
body(hotyellow_3(任务进程:)newline()
  融化任意圣石后，回复goto(60789,5)。
blankline()hotyellow_3(任务描述:)newline()
  亲爱的player()，每个圣石都含有魔法阵能量，除了对你有用的圣石外，你都可以将其它的圣石融化为魔法阵能量，使用一键融化即可将圣石融化为魔法阵能量，利用这些能量，你可以为你需要的圣石进行升级加强属性，将圣石放入圣石槽中，点击“+”号即可升级
)</v>
      </c>
      <c r="AG1145" s="539" t="s">
        <v>3529</v>
      </c>
      <c r="AH1145" s="50" t="s">
        <v>3524</v>
      </c>
      <c r="AI1145" s="595" t="s">
        <v>3525</v>
      </c>
      <c r="AJ1145" s="595" t="s">
        <v>3526</v>
      </c>
      <c r="AK1145" s="226" t="s">
        <v>171</v>
      </c>
      <c r="AL1145" s="234">
        <v>0</v>
      </c>
      <c r="AM1145" s="348" t="str">
        <f>"&lt;p&gt;&lt;n&gt;  通过技能界面打开：&lt;/n&gt;&lt;dialog taskid="""&amp;A1145&amp;""" text=""炼金"" hotkeyid=""100""/&gt;&lt;newline/&gt;
&lt;n&gt; 使用炼金包裹中的一键融化，并成功融化一个圣石&lt;/n&gt;
&lt;/p&gt;"</f>
        <v>&lt;p&gt;&lt;n&gt;  通过技能界面打开：&lt;/n&gt;&lt;dialog taskid="15226" text="炼金" hotkeyid="100"/&gt;&lt;newline/&gt;
&lt;n&gt; 使用炼金包裹中的一键融化，并成功融化一个圣石&lt;/n&gt;
&lt;/p&gt;</v>
      </c>
      <c r="AN1145" s="348" t="str">
        <f>"&lt;p&gt;
&lt;n&gt;  交：&lt;/n&gt;&lt;goto id="""&amp;N1145&amp;""" mapid=""5"" flagpoint=""1"" taskid="""&amp;A1145&amp;"""/&gt;
&lt;/p&gt;"</f>
        <v>&lt;p&gt;
&lt;n&gt;  交：&lt;/n&gt;&lt;goto id="60789" mapid="5" flagpoint="1" taskid="15226"/&gt;
&lt;/p&gt;</v>
      </c>
      <c r="AO1145" s="290"/>
      <c r="AP1145" s="73">
        <v>1</v>
      </c>
      <c r="AQ1145" s="73">
        <v>0</v>
      </c>
      <c r="AR1145" s="73">
        <v>0</v>
      </c>
      <c r="AS1145" s="73">
        <v>0</v>
      </c>
      <c r="AU1145" s="226">
        <v>1</v>
      </c>
      <c r="AV1145" s="17">
        <f t="shared" ref="AV1145:AV1209" si="160">IF(D1145 = 1,1,0)</f>
        <v>0</v>
      </c>
      <c r="AW1145" s="356" t="str">
        <f>"{s_taskCustom,{"&amp;L1145&amp;","&amp;N1145&amp;","&amp;U1145&amp;","&amp;V1145&amp;"}}"</f>
        <v>{s_taskCustom,{60789,60789,1,0}}</v>
      </c>
    </row>
    <row r="1146" spans="1:49" s="73" customFormat="1" ht="108.75" thickBot="1" x14ac:dyDescent="0.2">
      <c r="A1146" s="9">
        <v>15227</v>
      </c>
      <c r="B1146" s="226" t="s">
        <v>171</v>
      </c>
      <c r="C1146" s="226" t="s">
        <v>3669</v>
      </c>
      <c r="D1146" s="226">
        <v>2</v>
      </c>
      <c r="E1146" s="226">
        <v>0</v>
      </c>
      <c r="F1146" s="226">
        <v>5</v>
      </c>
      <c r="G1146" s="234">
        <v>200</v>
      </c>
      <c r="H1146" s="226">
        <v>200</v>
      </c>
      <c r="I1146" s="17">
        <v>0</v>
      </c>
      <c r="J1146" s="234">
        <v>0</v>
      </c>
      <c r="K1146" s="226">
        <v>0</v>
      </c>
      <c r="L1146" s="226">
        <v>112</v>
      </c>
      <c r="M1146" s="226" t="s">
        <v>3667</v>
      </c>
      <c r="N1146" s="226">
        <v>112</v>
      </c>
      <c r="O1146" s="226" t="s">
        <v>5219</v>
      </c>
      <c r="P1146" s="226"/>
      <c r="Q1146" s="228"/>
      <c r="R1146" s="228"/>
      <c r="S1146" s="228">
        <v>25025</v>
      </c>
      <c r="T1146" s="226"/>
      <c r="U1146" s="226">
        <v>1</v>
      </c>
      <c r="V1146" s="226">
        <v>0</v>
      </c>
      <c r="W1146" s="122"/>
      <c r="X1146" s="226"/>
      <c r="Y1146" s="226"/>
      <c r="Z1146" s="230">
        <v>10000</v>
      </c>
      <c r="AA1146" s="226"/>
      <c r="AB1146" s="231"/>
      <c r="AC1146" s="231"/>
      <c r="AD1146" s="532" t="s">
        <v>3677</v>
      </c>
      <c r="AE1146" s="226"/>
      <c r="AF1146" s="226" t="str">
        <f>"title("&amp;C1146&amp;")
body(hotyellow_3(任务进程:)newline()
  前往中立区hot(帝都)，通过goto(314,8)进入欢乐谷狩猎一只hot(绿野林祭司)，回复goto(112,5)接受礼物。
blankline()hotyellow_3(任务描述:)newline()
 亲爱的player()，奥丁大陆有一块神秘的欢乐谷，是宠物的乐园，你想去见识一下么？帮我狩猎一只绿野林祭司，我将赠送你一些礼物~
)"</f>
        <v>title([70级]奇妙的宠物魔法阵（一）)
body(hotyellow_3(任务进程:)newline()
  前往中立区hot(帝都)，通过goto(314,8)进入欢乐谷狩猎一只hot(绿野林祭司)，回复goto(112,5)接受礼物。
blankline()hotyellow_3(任务描述:)newline()
 亲爱的player()，奥丁大陆有一块神秘的欢乐谷，是宠物的乐园，你想去见识一下么？帮我狩猎一只绿野林祭司，我将赠送你一些礼物~
)</v>
      </c>
      <c r="AG1146" s="539" t="s">
        <v>3692</v>
      </c>
      <c r="AH1146" s="50" t="s">
        <v>3671</v>
      </c>
      <c r="AI1146" s="595" t="s">
        <v>3672</v>
      </c>
      <c r="AJ1146" s="595" t="s">
        <v>3673</v>
      </c>
      <c r="AK1146" s="226" t="s">
        <v>171</v>
      </c>
      <c r="AL1146" s="234">
        <v>0</v>
      </c>
      <c r="AM1146" s="348" t="str">
        <f>"&lt;p&gt;&lt;n&gt;  通过帝都：&lt;/n&gt;&lt;goto id=""314"" mapid=""8"" flagpoint=""1"" /&gt;&lt;newline/&gt;
&lt;n&gt; 进入欢乐谷，狩猎一只绿野林祭司&lt;/n&gt;
&lt;/p&gt;"</f>
        <v>&lt;p&gt;&lt;n&gt;  通过帝都：&lt;/n&gt;&lt;goto id="314" mapid="8" flagpoint="1" /&gt;&lt;newline/&gt;
&lt;n&gt; 进入欢乐谷，狩猎一只绿野林祭司&lt;/n&gt;
&lt;/p&gt;</v>
      </c>
      <c r="AN1146" s="348" t="str">
        <f>"&lt;p&gt;
&lt;n&gt;  交：&lt;/n&gt;&lt;goto id="""&amp;N1146&amp;""" mapid=""5"" flagpoint=""1"" taskid="""&amp;A1146&amp;"""/&gt;
&lt;/p&gt;"</f>
        <v>&lt;p&gt;
&lt;n&gt;  交：&lt;/n&gt;&lt;goto id="112" mapid="5" flagpoint="1" taskid="15227"/&gt;
&lt;/p&gt;</v>
      </c>
      <c r="AO1146" s="290"/>
      <c r="AP1146" s="73">
        <v>1</v>
      </c>
      <c r="AQ1146" s="73">
        <v>0</v>
      </c>
      <c r="AR1146" s="73">
        <v>0</v>
      </c>
      <c r="AS1146" s="73">
        <v>0</v>
      </c>
      <c r="AU1146" s="226">
        <v>0</v>
      </c>
      <c r="AV1146" s="17">
        <f t="shared" si="160"/>
        <v>0</v>
      </c>
      <c r="AW1146" s="602" t="str">
        <f>"{s_taskKillNpc, {"&amp;L1146&amp;","&amp;N1146&amp;","&amp;S1146&amp;","&amp;U1146&amp;"}}"</f>
        <v>{s_taskKillNpc, {112,112,25025,1}}</v>
      </c>
    </row>
    <row r="1147" spans="1:49" s="73" customFormat="1" ht="108.75" thickBot="1" x14ac:dyDescent="0.2">
      <c r="A1147" s="9">
        <v>15228</v>
      </c>
      <c r="B1147" s="226" t="s">
        <v>171</v>
      </c>
      <c r="C1147" s="226" t="s">
        <v>3670</v>
      </c>
      <c r="D1147" s="226">
        <v>2</v>
      </c>
      <c r="E1147" s="226">
        <v>0</v>
      </c>
      <c r="F1147" s="226">
        <v>5</v>
      </c>
      <c r="G1147" s="234">
        <v>70</v>
      </c>
      <c r="H1147" s="226">
        <v>200</v>
      </c>
      <c r="I1147" s="17">
        <v>0</v>
      </c>
      <c r="J1147" s="234">
        <v>15227</v>
      </c>
      <c r="K1147" s="226">
        <v>0</v>
      </c>
      <c r="L1147" s="226">
        <v>112</v>
      </c>
      <c r="M1147" s="226" t="s">
        <v>3667</v>
      </c>
      <c r="N1147" s="226">
        <v>112</v>
      </c>
      <c r="O1147" s="226" t="s">
        <v>5219</v>
      </c>
      <c r="P1147" s="226"/>
      <c r="Q1147" s="228"/>
      <c r="R1147" s="228"/>
      <c r="S1147" s="228"/>
      <c r="T1147" s="226"/>
      <c r="U1147" s="226">
        <v>1</v>
      </c>
      <c r="V1147" s="226">
        <v>0</v>
      </c>
      <c r="W1147" s="122"/>
      <c r="X1147" s="226"/>
      <c r="Y1147" s="226"/>
      <c r="Z1147" s="230">
        <v>10000</v>
      </c>
      <c r="AA1147" s="226"/>
      <c r="AB1147" s="231"/>
      <c r="AC1147" s="231"/>
      <c r="AD1147" s="532" t="s">
        <v>3678</v>
      </c>
      <c r="AE1147" s="226"/>
      <c r="AF1147" s="226" t="str">
        <f>"title("&amp;C1147&amp;")
body(hotyellow_3(任务进程:)newline()
  提升1次宠物魔法阵中的帮会团指挥技能等级，goto(112,5)。
blankline()hotyellow_3(任务描述:)newline()
  亲爱的player()，使用宠物指挥棒可以获得hot(指挥点)，指挥点足够，即可为魔法阵的升级，请选择hot(帮会团指挥)并提升一次等级
)"</f>
        <v>title([70级]奇妙的宠物魔法阵（二）)
body(hotyellow_3(任务进程:)newline()
  提升1次宠物魔法阵中的帮会团指挥技能等级，goto(112,5)。
blankline()hotyellow_3(任务描述:)newline()
  亲爱的player()，使用宠物指挥棒可以获得hot(指挥点)，指挥点足够，即可为魔法阵的升级，请选择hot(帮会团指挥)并提升一次等级
)</v>
      </c>
      <c r="AG1147" s="539" t="s">
        <v>4776</v>
      </c>
      <c r="AH1147" s="50" t="s">
        <v>3674</v>
      </c>
      <c r="AI1147" s="595" t="s">
        <v>4777</v>
      </c>
      <c r="AJ1147" s="595" t="s">
        <v>4778</v>
      </c>
      <c r="AK1147" s="226" t="s">
        <v>171</v>
      </c>
      <c r="AL1147" s="234">
        <v>0</v>
      </c>
      <c r="AM1147" s="348" t="str">
        <f>"&lt;p&gt;&lt;n&gt;  打开：&lt;/n&gt;&lt;dialog taskid="""&amp;A1147&amp;""" text=""宠物界面"" hotkeyid=""4""/&gt;&lt;newline/&gt;
&lt;n&gt; 点击宠物魔法阵，升级一次宠物帮会团指挥技能&lt;/n&gt;
&lt;/p&gt;"</f>
        <v>&lt;p&gt;&lt;n&gt;  打开：&lt;/n&gt;&lt;dialog taskid="15228" text="宠物界面" hotkeyid="4"/&gt;&lt;newline/&gt;
&lt;n&gt; 点击宠物魔法阵，升级一次宠物帮会团指挥技能&lt;/n&gt;
&lt;/p&gt;</v>
      </c>
      <c r="AN1147" s="348" t="str">
        <f>"&lt;p&gt;
&lt;n&gt;  交：&lt;/n&gt;&lt;goto id="""&amp;N1147&amp;""" mapid=""5"" flagpoint=""1"" taskid="""&amp;A1147&amp;"""/&gt;
&lt;/p&gt;"</f>
        <v>&lt;p&gt;
&lt;n&gt;  交：&lt;/n&gt;&lt;goto id="112" mapid="5" flagpoint="1" taskid="15228"/&gt;
&lt;/p&gt;</v>
      </c>
      <c r="AO1147" s="290"/>
      <c r="AP1147" s="73">
        <v>1</v>
      </c>
      <c r="AQ1147" s="73">
        <v>0</v>
      </c>
      <c r="AR1147" s="73">
        <v>0</v>
      </c>
      <c r="AS1147" s="73">
        <v>0</v>
      </c>
      <c r="AU1147" s="226">
        <v>1</v>
      </c>
      <c r="AV1147" s="17">
        <f t="shared" si="160"/>
        <v>0</v>
      </c>
      <c r="AW1147" s="356" t="str">
        <f>"{s_taskCustom,{"&amp;L1147&amp;","&amp;N1147&amp;","&amp;U1147&amp;","&amp;V1147&amp;"}}"</f>
        <v>{s_taskCustom,{112,112,1,0}}</v>
      </c>
    </row>
    <row r="1148" spans="1:49" s="73" customFormat="1" ht="96.75" thickBot="1" x14ac:dyDescent="0.2">
      <c r="A1148" s="9">
        <v>15229</v>
      </c>
      <c r="B1148" s="226" t="s">
        <v>171</v>
      </c>
      <c r="C1148" s="226" t="s">
        <v>3668</v>
      </c>
      <c r="D1148" s="226">
        <v>2</v>
      </c>
      <c r="E1148" s="226">
        <v>0</v>
      </c>
      <c r="F1148" s="226">
        <v>5</v>
      </c>
      <c r="G1148" s="234">
        <v>70</v>
      </c>
      <c r="H1148" s="226">
        <v>200</v>
      </c>
      <c r="I1148" s="17">
        <v>0</v>
      </c>
      <c r="J1148" s="234">
        <v>15228</v>
      </c>
      <c r="K1148" s="226">
        <v>0</v>
      </c>
      <c r="L1148" s="226">
        <v>112</v>
      </c>
      <c r="M1148" s="226" t="s">
        <v>3667</v>
      </c>
      <c r="N1148" s="226">
        <v>112</v>
      </c>
      <c r="O1148" s="226" t="s">
        <v>5219</v>
      </c>
      <c r="P1148" s="226"/>
      <c r="Q1148" s="228"/>
      <c r="R1148" s="228"/>
      <c r="S1148" s="228"/>
      <c r="T1148" s="226"/>
      <c r="U1148" s="226">
        <v>1</v>
      </c>
      <c r="V1148" s="226">
        <v>0</v>
      </c>
      <c r="W1148" s="122"/>
      <c r="X1148" s="226"/>
      <c r="Y1148" s="226"/>
      <c r="Z1148" s="230">
        <v>10000</v>
      </c>
      <c r="AA1148" s="226"/>
      <c r="AB1148" s="231"/>
      <c r="AC1148" s="231"/>
      <c r="AD1148" s="532" t="s">
        <v>3679</v>
      </c>
      <c r="AE1148" s="226"/>
      <c r="AF1148" s="226" t="str">
        <f>"title("&amp;C1148&amp;")
body(hotyellow_3(任务进程:)newline()
  将宠物栏中任意宠物移动至宠物魔法阵内，回复goto(112,5)。
blankline()hotyellow_3(任务描述:)newline()
  亲爱的player()，将任务宠物移动到宠物魔法阵，就可为魔法阵中心的当前跟随宠提供加成，赶紧试一试吧
)"</f>
        <v>title([70级]奇妙的宠物魔法阵（三）)
body(hotyellow_3(任务进程:)newline()
  将宠物栏中任意宠物移动至宠物魔法阵内，回复goto(112,5)。
blankline()hotyellow_3(任务描述:)newline()
  亲爱的player()，将任务宠物移动到宠物魔法阵，就可为魔法阵中心的当前跟随宠提供加成，赶紧试一试吧
)</v>
      </c>
      <c r="AG1148" s="539" t="s">
        <v>3680</v>
      </c>
      <c r="AH1148" s="50" t="s">
        <v>4779</v>
      </c>
      <c r="AI1148" s="595" t="s">
        <v>3675</v>
      </c>
      <c r="AJ1148" s="595" t="s">
        <v>3676</v>
      </c>
      <c r="AK1148" s="226" t="s">
        <v>171</v>
      </c>
      <c r="AL1148" s="234">
        <v>0</v>
      </c>
      <c r="AM1148" s="348" t="str">
        <f>"&lt;p&gt;&lt;n&gt;  打开：&lt;/n&gt;&lt;dialog taskid="""&amp;A1148&amp;""" text=""宠物魔法阵"" hotkeyid=""4"" tabid=""20067-1""/&gt;&lt;newline/&gt;
&lt;n&gt; 将任意宠物拖动至宠物魔法阵&lt;/n&gt;
&lt;/p&gt;"</f>
        <v>&lt;p&gt;&lt;n&gt;  打开：&lt;/n&gt;&lt;dialog taskid="15229" text="宠物魔法阵" hotkeyid="4" tabid="20067-1"/&gt;&lt;newline/&gt;
&lt;n&gt; 将任意宠物拖动至宠物魔法阵&lt;/n&gt;
&lt;/p&gt;</v>
      </c>
      <c r="AN1148" s="348" t="str">
        <f>"&lt;p&gt;
&lt;n&gt;  交：&lt;/n&gt;&lt;goto id="""&amp;N1148&amp;""" mapid=""5"" flagpoint=""1"" taskid="""&amp;A1148&amp;"""/&gt;
&lt;/p&gt;"</f>
        <v>&lt;p&gt;
&lt;n&gt;  交：&lt;/n&gt;&lt;goto id="112" mapid="5" flagpoint="1" taskid="15229"/&gt;
&lt;/p&gt;</v>
      </c>
      <c r="AO1148" s="290"/>
      <c r="AP1148" s="73">
        <v>1</v>
      </c>
      <c r="AQ1148" s="73">
        <v>0</v>
      </c>
      <c r="AR1148" s="73">
        <v>0</v>
      </c>
      <c r="AS1148" s="73">
        <v>0</v>
      </c>
      <c r="AU1148" s="226">
        <v>1</v>
      </c>
      <c r="AV1148" s="17">
        <f t="shared" si="160"/>
        <v>0</v>
      </c>
      <c r="AW1148" s="356" t="str">
        <f>"{s_taskCustom,{"&amp;L1148&amp;","&amp;N1148&amp;","&amp;U1148&amp;","&amp;V1148&amp;"}}"</f>
        <v>{s_taskCustom,{112,112,1,0}}</v>
      </c>
    </row>
    <row r="1149" spans="1:49" s="73" customFormat="1" ht="108.75" thickBot="1" x14ac:dyDescent="0.2">
      <c r="A1149" s="9">
        <v>15230</v>
      </c>
      <c r="B1149" s="226" t="s">
        <v>171</v>
      </c>
      <c r="C1149" s="226" t="s">
        <v>3693</v>
      </c>
      <c r="D1149" s="226">
        <v>2</v>
      </c>
      <c r="E1149" s="226">
        <v>0</v>
      </c>
      <c r="F1149" s="226">
        <v>5</v>
      </c>
      <c r="G1149" s="234">
        <v>200</v>
      </c>
      <c r="H1149" s="226">
        <v>200</v>
      </c>
      <c r="I1149" s="17">
        <v>0</v>
      </c>
      <c r="J1149" s="234">
        <v>0</v>
      </c>
      <c r="K1149" s="226">
        <v>0</v>
      </c>
      <c r="L1149" s="226">
        <v>112</v>
      </c>
      <c r="M1149" s="226" t="s">
        <v>3667</v>
      </c>
      <c r="N1149" s="226">
        <v>116</v>
      </c>
      <c r="O1149" s="226" t="s">
        <v>5229</v>
      </c>
      <c r="P1149" s="226"/>
      <c r="Q1149" s="228"/>
      <c r="R1149" s="228"/>
      <c r="S1149" s="228"/>
      <c r="T1149" s="226"/>
      <c r="U1149" s="226">
        <v>1</v>
      </c>
      <c r="V1149" s="226">
        <v>0</v>
      </c>
      <c r="W1149" s="122"/>
      <c r="X1149" s="226"/>
      <c r="Y1149" s="226"/>
      <c r="Z1149" s="230">
        <v>10000</v>
      </c>
      <c r="AA1149" s="226"/>
      <c r="AB1149" s="231"/>
      <c r="AC1149" s="231"/>
      <c r="AD1149" s="532"/>
      <c r="AE1149" s="226"/>
      <c r="AF1149" s="226" t="str">
        <f>"title("&amp;C1149&amp;")
body(hotyellow_3(任务进程:)newline()
  恭喜您，拥有了宠物仓库，可以将喜欢的宠物寄存在goto(116,5)。
blankline()hotyellow_3(任务描述:)newline()
  亲爱的player()，奥丁大陆里有很多珍奇的宠物吧，70级后您将拥有自己的宠物仓库，把喜欢收藏的宠物寄存在里面吧！
)"</f>
        <v>title([70级]我的宠物仓库)
body(hotyellow_3(任务进程:)newline()
  恭喜您，拥有了宠物仓库，可以将喜欢的宠物寄存在goto(116,5)。
blankline()hotyellow_3(任务描述:)newline()
  亲爱的player()，奥丁大陆里有很多珍奇的宠物吧，70级后您将拥有自己的宠物仓库，把喜欢收藏的宠物寄存在里面吧！
)</v>
      </c>
      <c r="AG1149" s="539" t="s">
        <v>3694</v>
      </c>
      <c r="AH1149" s="50" t="s">
        <v>3695</v>
      </c>
      <c r="AI1149" s="595"/>
      <c r="AJ1149" s="595" t="s">
        <v>3697</v>
      </c>
      <c r="AK1149" s="226" t="s">
        <v>171</v>
      </c>
      <c r="AL1149" s="234">
        <v>0</v>
      </c>
      <c r="AM1149" s="348" t="s">
        <v>3699</v>
      </c>
      <c r="AN1149" s="348" t="str">
        <f>"&lt;p&gt;
&lt;n&gt;  了解宠物仓库：&lt;/n&gt;&lt;goto id="""&amp;N1149&amp;""" mapid=""5"" flagpoint=""1"" taskid="""&amp;A1149&amp;"""/&gt;
&lt;/p&gt;"</f>
        <v>&lt;p&gt;
&lt;n&gt;  了解宠物仓库：&lt;/n&gt;&lt;goto id="116" mapid="5" flagpoint="1" taskid="15230"/&gt;
&lt;/p&gt;</v>
      </c>
      <c r="AO1149" s="290"/>
      <c r="AP1149" s="73">
        <v>1</v>
      </c>
      <c r="AQ1149" s="73">
        <v>0</v>
      </c>
      <c r="AR1149" s="73">
        <v>0</v>
      </c>
      <c r="AS1149" s="73">
        <v>0</v>
      </c>
      <c r="AU1149" s="226">
        <v>0</v>
      </c>
      <c r="AV1149" s="17">
        <f t="shared" si="160"/>
        <v>0</v>
      </c>
      <c r="AW1149" s="50" t="str">
        <f>"{s_taskTalk,{"&amp;L1149&amp;","&amp;N1149&amp;"}}"</f>
        <v>{s_taskTalk,{112,116}}</v>
      </c>
    </row>
    <row r="1150" spans="1:49" s="50" customFormat="1" ht="84.75" thickBot="1" x14ac:dyDescent="0.2">
      <c r="A1150" s="563">
        <v>16000</v>
      </c>
      <c r="B1150" s="539"/>
      <c r="C1150" s="539" t="s">
        <v>2843</v>
      </c>
      <c r="D1150" s="435">
        <v>2</v>
      </c>
      <c r="E1150" s="435">
        <v>0</v>
      </c>
      <c r="F1150" s="539">
        <v>3</v>
      </c>
      <c r="G1150" s="886">
        <v>150</v>
      </c>
      <c r="H1150" s="539">
        <v>200</v>
      </c>
      <c r="I1150" s="17">
        <v>0</v>
      </c>
      <c r="J1150" s="564">
        <v>0</v>
      </c>
      <c r="K1150" s="539">
        <v>0</v>
      </c>
      <c r="L1150" s="539">
        <v>119</v>
      </c>
      <c r="M1150" s="539" t="s">
        <v>1432</v>
      </c>
      <c r="N1150" s="539">
        <v>119</v>
      </c>
      <c r="O1150" s="539" t="s">
        <v>5196</v>
      </c>
      <c r="P1150" s="539"/>
      <c r="Q1150" s="565"/>
      <c r="R1150" s="565"/>
      <c r="S1150" s="565"/>
      <c r="T1150" s="565"/>
      <c r="U1150" s="539">
        <v>1</v>
      </c>
      <c r="V1150" s="539">
        <v>1</v>
      </c>
      <c r="W1150" s="539">
        <v>0</v>
      </c>
      <c r="X1150" s="539"/>
      <c r="Y1150" s="539"/>
      <c r="Z1150" s="566">
        <v>0</v>
      </c>
      <c r="AA1150" s="539"/>
      <c r="AB1150" s="567"/>
      <c r="AC1150" s="567"/>
      <c r="AD1150" s="532" t="s">
        <v>1435</v>
      </c>
      <c r="AE1150" s="539"/>
      <c r="AF1150" s="539" t="str">
        <f>"title("&amp;C1150&amp;")
body(hotyellow_3(任务进程:)newline()
   配合职业技能调整，可以在goto(119,3)处免费领取一次hot(改变职业的道具)。
blankline()   使用hot(改变职业的道具)，之前hot(学习技能的经验都会返还，)消耗的绑银不会返还。在升级技能时。)"</f>
        <v>title([补偿]职业更换)
body(hotyellow_3(任务进程:)newline()
   配合职业技能调整，可以在goto(119,3)处免费领取一次hot(改变职业的道具)。
blankline()   使用hot(改变职业的道具)，之前hot(学习技能的经验都会返还，)消耗的绑银不会返还。在升级技能时。)</v>
      </c>
      <c r="AG1150" s="539" t="s">
        <v>2949</v>
      </c>
      <c r="AH1150" s="539" t="s">
        <v>2845</v>
      </c>
      <c r="AI1150" s="539" t="s">
        <v>2844</v>
      </c>
      <c r="AJ1150" s="539" t="s">
        <v>6475</v>
      </c>
      <c r="AK1150" s="539"/>
      <c r="AL1150" s="564">
        <v>0</v>
      </c>
      <c r="AM1150" s="539" t="s">
        <v>3698</v>
      </c>
      <c r="AN1150" s="539" t="s">
        <v>6022</v>
      </c>
      <c r="AO1150" s="539"/>
      <c r="AP1150" s="50">
        <v>1</v>
      </c>
      <c r="AQ1150" s="50">
        <v>0</v>
      </c>
      <c r="AR1150" s="50">
        <v>0</v>
      </c>
      <c r="AS1150" s="50">
        <v>0</v>
      </c>
      <c r="AU1150" s="226">
        <v>0</v>
      </c>
      <c r="AV1150" s="17">
        <f t="shared" si="160"/>
        <v>0</v>
      </c>
      <c r="AW1150" s="50" t="str">
        <f t="shared" si="159"/>
        <v>{s_taskTalk,{119,119}}</v>
      </c>
    </row>
    <row r="1151" spans="1:49" s="50" customFormat="1" ht="96.75" thickBot="1" x14ac:dyDescent="0.2">
      <c r="A1151" s="563">
        <v>16001</v>
      </c>
      <c r="B1151" s="539"/>
      <c r="C1151" s="539" t="s">
        <v>2871</v>
      </c>
      <c r="D1151" s="435">
        <v>2</v>
      </c>
      <c r="E1151" s="435">
        <v>0</v>
      </c>
      <c r="F1151" s="539">
        <v>3</v>
      </c>
      <c r="G1151" s="886">
        <v>150</v>
      </c>
      <c r="H1151" s="539">
        <v>200</v>
      </c>
      <c r="I1151" s="17">
        <v>0</v>
      </c>
      <c r="J1151" s="564">
        <v>0</v>
      </c>
      <c r="K1151" s="539">
        <v>0</v>
      </c>
      <c r="L1151" s="539">
        <v>119</v>
      </c>
      <c r="M1151" s="539" t="s">
        <v>2872</v>
      </c>
      <c r="N1151" s="539">
        <v>119</v>
      </c>
      <c r="O1151" s="539" t="s">
        <v>5196</v>
      </c>
      <c r="P1151" s="539"/>
      <c r="Q1151" s="565"/>
      <c r="R1151" s="565"/>
      <c r="S1151" s="565"/>
      <c r="T1151" s="565"/>
      <c r="U1151" s="539">
        <v>1</v>
      </c>
      <c r="V1151" s="539">
        <v>1</v>
      </c>
      <c r="W1151" s="539">
        <v>0</v>
      </c>
      <c r="X1151" s="539"/>
      <c r="Y1151" s="539"/>
      <c r="Z1151" s="566">
        <v>0</v>
      </c>
      <c r="AA1151" s="539"/>
      <c r="AB1151" s="567"/>
      <c r="AC1151" s="567"/>
      <c r="AD1151" s="532" t="s">
        <v>2847</v>
      </c>
      <c r="AE1151" s="539"/>
      <c r="AF1151" s="539" t="str">
        <f>"title("&amp;C1151&amp;")
body(hotyellow_3(任务进程:)newline()
   配合近期任务机制的调整，可以在goto(119,3)处免费领取hot(1个任务补偿宝箱)。右键开启后，可获得5张hot(绿色舞会门票(中))、3张hot(绿色钓鱼卡)、5张hot(对应等级的猎命师手札)组成的补偿宝箱。
blankline()   使用绿色的舞会门票、钓鱼卡、猎命师手札，可获得丰厚的经验奖励。)"</f>
        <v>title([补偿]任务修改补偿)
body(hotyellow_3(任务进程:)newline()
   配合近期任务机制的调整，可以在goto(119,3)处免费领取hot(1个任务补偿宝箱)。右键开启后，可获得5张hot(绿色舞会门票(中))、3张hot(绿色钓鱼卡)、5张hot(对应等级的猎命师手札)组成的补偿宝箱。
blankline()   使用绿色的舞会门票、钓鱼卡、猎命师手札，可获得丰厚的经验奖励。)</v>
      </c>
      <c r="AG1151" s="539" t="s">
        <v>2848</v>
      </c>
      <c r="AH1151" s="539" t="s">
        <v>2845</v>
      </c>
      <c r="AI1151" s="539" t="s">
        <v>3696</v>
      </c>
      <c r="AJ1151" s="539" t="s">
        <v>6476</v>
      </c>
      <c r="AK1151" s="539"/>
      <c r="AL1151" s="564">
        <v>0</v>
      </c>
      <c r="AM1151" s="539" t="s">
        <v>2846</v>
      </c>
      <c r="AN1151" s="539" t="s">
        <v>6023</v>
      </c>
      <c r="AO1151" s="539"/>
      <c r="AP1151" s="50">
        <v>1</v>
      </c>
      <c r="AQ1151" s="50">
        <v>0</v>
      </c>
      <c r="AR1151" s="50">
        <v>0</v>
      </c>
      <c r="AS1151" s="50">
        <v>0</v>
      </c>
      <c r="AU1151" s="226">
        <v>0</v>
      </c>
      <c r="AV1151" s="17">
        <f t="shared" si="160"/>
        <v>0</v>
      </c>
      <c r="AW1151" s="356" t="str">
        <f>"{s_taskCustom,{"&amp;L1152&amp;","&amp;N1152&amp;","&amp;U1152&amp;","&amp;V1152&amp;"}}"</f>
        <v>{s_taskCustom,{0,5089,0,1}}</v>
      </c>
    </row>
    <row r="1152" spans="1:49" s="606" customFormat="1" ht="108.75" thickBot="1" x14ac:dyDescent="0.2">
      <c r="A1152" s="604">
        <v>16002</v>
      </c>
      <c r="B1152" s="605"/>
      <c r="C1152" s="605" t="s">
        <v>2967</v>
      </c>
      <c r="D1152" s="606">
        <v>2</v>
      </c>
      <c r="E1152" s="606">
        <v>0</v>
      </c>
      <c r="F1152" s="605">
        <v>3</v>
      </c>
      <c r="G1152" s="887">
        <v>70</v>
      </c>
      <c r="H1152" s="605">
        <v>200</v>
      </c>
      <c r="I1152" s="17">
        <v>0</v>
      </c>
      <c r="J1152" s="607">
        <v>0</v>
      </c>
      <c r="K1152" s="605">
        <v>0</v>
      </c>
      <c r="L1152" s="605">
        <v>0</v>
      </c>
      <c r="M1152" s="605" t="s">
        <v>2969</v>
      </c>
      <c r="N1152" s="605">
        <v>5089</v>
      </c>
      <c r="O1152" s="605" t="s">
        <v>5230</v>
      </c>
      <c r="P1152" s="605"/>
      <c r="Q1152" s="608"/>
      <c r="R1152" s="608"/>
      <c r="S1152" s="608"/>
      <c r="T1152" s="608"/>
      <c r="U1152" s="605">
        <v>0</v>
      </c>
      <c r="V1152" s="605">
        <v>1</v>
      </c>
      <c r="W1152" s="605">
        <v>0</v>
      </c>
      <c r="X1152" s="605"/>
      <c r="Y1152" s="605"/>
      <c r="Z1152" s="609">
        <v>0</v>
      </c>
      <c r="AA1152" s="605"/>
      <c r="AB1152" s="610"/>
      <c r="AC1152" s="610"/>
      <c r="AD1152" s="611" t="s">
        <v>2970</v>
      </c>
      <c r="AE1152" s="605"/>
      <c r="AF1152" s="605" t="str">
        <f>"title("&amp;C1152&amp;")
body(hotyellow_3(任务进程:)newline()
   你只要完成1次hot(讨伐逆贼)任务或1次hot(完成国外救援(80级之后玩家))，即可在goto(5089,5)处领取奖励。newline()
   Hot(讨伐逆贼)可在goto(60559,5)处接取。
blankline()hotyellow_3(任务描述:)newline() 
   欢迎您的回归，当您回到我们的队列中时，没有人可以阻挡我们前进的脚步。)"</f>
        <v>title([回归]里程碑（中级）)
body(hotyellow_3(任务进程:)newline()
   你只要完成1次hot(讨伐逆贼)任务或1次hot(完成国外救援(80级之后玩家))，即可在goto(5089,5)处领取奖励。newline()
   Hot(讨伐逆贼)可在goto(60559,5)处接取。
blankline()hotyellow_3(任务描述:)newline() 
   欢迎您的回归，当您回到我们的队列中时，没有人可以阻挡我们前进的脚步。)</v>
      </c>
      <c r="AG1152" s="605" t="s">
        <v>2972</v>
      </c>
      <c r="AH1152" s="605" t="s">
        <v>2973</v>
      </c>
      <c r="AI1152" s="605" t="s">
        <v>4416</v>
      </c>
      <c r="AJ1152" s="605" t="s">
        <v>6477</v>
      </c>
      <c r="AK1152" s="605"/>
      <c r="AL1152" s="607">
        <v>0</v>
      </c>
      <c r="AM1152" s="605" t="str">
        <f>"&lt;p&gt;
&lt;n&gt;  回复： &lt;/n&gt;
 &lt;n&gt; &lt;/n&gt;&lt;goto id="""&amp;N1152&amp;""" mapid=""1"" flagpoint=""1"" taskid="""&amp;A1152&amp;""" /&gt;
&lt;/p&gt;"</f>
        <v>&lt;p&gt;
&lt;n&gt;  回复： &lt;/n&gt;
 &lt;n&gt; &lt;/n&gt;&lt;goto id="5089" mapid="1" flagpoint="1" taskid="16002" /&gt;
&lt;/p&gt;</v>
      </c>
      <c r="AN1152" s="605" t="str">
        <f>"&lt;p&gt;
&lt;n&gt;  完成1次讨伐逆贼&lt;/n&gt;&lt;newline/&gt;
&lt;n&gt;  或完成1次国外救援&lt;/n&gt;&lt;newline/&gt;
&lt;n&gt;  交： &lt;/n&gt;
 &lt;n&gt; &lt;/n&gt;&lt;goto id="""&amp;N1152&amp;""" mapid=""1"" flagpoint=""1"" taskid="""&amp;A1152&amp;""" /&gt;
&lt;/p&gt;"</f>
        <v>&lt;p&gt;
&lt;n&gt;  完成1次讨伐逆贼&lt;/n&gt;&lt;newline/&gt;
&lt;n&gt;  或完成1次国外救援&lt;/n&gt;&lt;newline/&gt;
&lt;n&gt;  交： &lt;/n&gt;
 &lt;n&gt; &lt;/n&gt;&lt;goto id="5089" mapid="1" flagpoint="1" taskid="16002" /&gt;
&lt;/p&gt;</v>
      </c>
      <c r="AO1152" s="605"/>
      <c r="AP1152" s="606">
        <v>0</v>
      </c>
      <c r="AQ1152" s="606">
        <v>0</v>
      </c>
      <c r="AR1152" s="606">
        <v>0</v>
      </c>
      <c r="AS1152" s="606">
        <v>0</v>
      </c>
      <c r="AU1152" s="226">
        <v>0</v>
      </c>
      <c r="AV1152" s="17">
        <f t="shared" si="160"/>
        <v>0</v>
      </c>
      <c r="AW1152" s="606" t="str">
        <f>"{s_taskCustom,{"&amp;L1153&amp;","&amp;N1153&amp;","&amp;U1153&amp;","&amp;V1153&amp;"}}"</f>
        <v>{s_taskCustom,{0,5089,0,2}}</v>
      </c>
    </row>
    <row r="1153" spans="1:49" s="606" customFormat="1" ht="108.75" thickBot="1" x14ac:dyDescent="0.2">
      <c r="A1153" s="604">
        <v>16003</v>
      </c>
      <c r="B1153" s="605"/>
      <c r="C1153" s="605" t="s">
        <v>2968</v>
      </c>
      <c r="D1153" s="606">
        <v>2</v>
      </c>
      <c r="E1153" s="606">
        <v>0</v>
      </c>
      <c r="F1153" s="605">
        <v>3</v>
      </c>
      <c r="G1153" s="887">
        <v>80</v>
      </c>
      <c r="H1153" s="605">
        <v>200</v>
      </c>
      <c r="I1153" s="17">
        <v>0</v>
      </c>
      <c r="J1153" s="607">
        <v>0</v>
      </c>
      <c r="K1153" s="605">
        <v>0</v>
      </c>
      <c r="L1153" s="605">
        <v>0</v>
      </c>
      <c r="M1153" s="605" t="s">
        <v>2969</v>
      </c>
      <c r="N1153" s="605">
        <v>5089</v>
      </c>
      <c r="O1153" s="605" t="s">
        <v>5230</v>
      </c>
      <c r="P1153" s="605"/>
      <c r="Q1153" s="608"/>
      <c r="R1153" s="608"/>
      <c r="S1153" s="608"/>
      <c r="T1153" s="608"/>
      <c r="U1153" s="605">
        <v>0</v>
      </c>
      <c r="V1153" s="605">
        <v>2</v>
      </c>
      <c r="W1153" s="605">
        <v>0</v>
      </c>
      <c r="X1153" s="605"/>
      <c r="Y1153" s="605"/>
      <c r="Z1153" s="609">
        <v>0</v>
      </c>
      <c r="AA1153" s="605"/>
      <c r="AB1153" s="610"/>
      <c r="AC1153" s="610"/>
      <c r="AD1153" s="611" t="s">
        <v>2971</v>
      </c>
      <c r="AE1153" s="605"/>
      <c r="AF1153" s="605" t="str">
        <f>"title("&amp;C1153&amp;")
body(hotyellow_3(任务进程:)newline()
   你只要完成1次hot(运镖)及1次hot(刺探)任务，即可在goto(5089,5)处领取奖励。newline()
   Hot(运镖)可在goto(60559,5)处接取。newline()
   Hot(刺探)可在goto(165,7)处接取。
blankline()hotyellow_3(任务描述:)newline() 
   欢迎您的回归，当您回到我们的队列中时，没有人可以阻挡我们前进的脚步。)"</f>
        <v>title([回归]里程碑（高级）)
body(hotyellow_3(任务进程:)newline()
   你只要完成1次hot(运镖)及1次hot(刺探)任务，即可在goto(5089,5)处领取奖励。newline()
   Hot(运镖)可在goto(60559,5)处接取。newline()
   Hot(刺探)可在goto(165,7)处接取。
blankline()hotyellow_3(任务描述:)newline() 
   欢迎您的回归，当您回到我们的队列中时，没有人可以阻挡我们前进的脚步。)</v>
      </c>
      <c r="AG1153" s="605" t="s">
        <v>2972</v>
      </c>
      <c r="AH1153" s="605" t="s">
        <v>2973</v>
      </c>
      <c r="AI1153" s="605" t="s">
        <v>4417</v>
      </c>
      <c r="AJ1153" s="605" t="s">
        <v>6478</v>
      </c>
      <c r="AK1153" s="605"/>
      <c r="AL1153" s="607">
        <v>0</v>
      </c>
      <c r="AM1153" s="605" t="str">
        <f>"&lt;p&gt;
&lt;n&gt;  回复： &lt;/n&gt;
 &lt;n&gt; &lt;/n&gt;&lt;goto id="""&amp;N1153&amp;""" mapid=""1"" flagpoint=""1"" taskid="""&amp;A1153&amp;""" /&gt;
&lt;/p&gt;"</f>
        <v>&lt;p&gt;
&lt;n&gt;  回复： &lt;/n&gt;
 &lt;n&gt; &lt;/n&gt;&lt;goto id="5089" mapid="1" flagpoint="1" taskid="16003" /&gt;
&lt;/p&gt;</v>
      </c>
      <c r="AN1153" s="605" t="str">
        <f>"&lt;p&gt;
&lt;n&gt;  完成1次情报任务&lt;/n&gt;&lt;newline/&gt;
&lt;n&gt;  完成1次运镖&lt;/n&gt;&lt;newline/&gt;
&lt;n&gt;  交： &lt;/n&gt;
 &lt;n&gt; &lt;/n&gt;&lt;goto id="""&amp;N1153&amp;""" mapid=""1"" flagpoint=""1"" taskid="""&amp;A1153&amp;""" /&gt;
&lt;/p&gt;"</f>
        <v>&lt;p&gt;
&lt;n&gt;  完成1次情报任务&lt;/n&gt;&lt;newline/&gt;
&lt;n&gt;  完成1次运镖&lt;/n&gt;&lt;newline/&gt;
&lt;n&gt;  交： &lt;/n&gt;
 &lt;n&gt; &lt;/n&gt;&lt;goto id="5089" mapid="1" flagpoint="1" taskid="16003" /&gt;
&lt;/p&gt;</v>
      </c>
      <c r="AO1153" s="605"/>
      <c r="AP1153" s="606">
        <v>0</v>
      </c>
      <c r="AQ1153" s="606">
        <v>0</v>
      </c>
      <c r="AR1153" s="606">
        <v>0</v>
      </c>
      <c r="AS1153" s="606">
        <v>0</v>
      </c>
      <c r="AU1153" s="226">
        <v>0</v>
      </c>
      <c r="AV1153" s="17">
        <f t="shared" si="160"/>
        <v>0</v>
      </c>
      <c r="AW1153" s="606" t="str">
        <f>"{s_taskTalk,{"&amp;L1153&amp;","&amp;N1153&amp;"}}"</f>
        <v>{s_taskTalk,{0,5089}}</v>
      </c>
    </row>
    <row r="1154" spans="1:49" s="50" customFormat="1" ht="120.75" thickBot="1" x14ac:dyDescent="0.2">
      <c r="A1154" s="563">
        <v>16004</v>
      </c>
      <c r="B1154" s="539"/>
      <c r="C1154" s="539" t="s">
        <v>4136</v>
      </c>
      <c r="D1154" s="435">
        <v>2</v>
      </c>
      <c r="E1154" s="435">
        <v>0</v>
      </c>
      <c r="F1154" s="539">
        <v>4</v>
      </c>
      <c r="G1154" s="886">
        <v>31</v>
      </c>
      <c r="H1154" s="539">
        <v>200</v>
      </c>
      <c r="I1154" s="17">
        <v>0</v>
      </c>
      <c r="J1154" s="564">
        <v>4321</v>
      </c>
      <c r="K1154" s="539">
        <v>0</v>
      </c>
      <c r="L1154" s="539">
        <v>60163</v>
      </c>
      <c r="M1154" s="539" t="s">
        <v>3414</v>
      </c>
      <c r="N1154" s="539">
        <v>307</v>
      </c>
      <c r="O1154" s="539" t="s">
        <v>5231</v>
      </c>
      <c r="P1154" s="539"/>
      <c r="Q1154" s="565"/>
      <c r="R1154" s="565"/>
      <c r="S1154" s="565"/>
      <c r="T1154" s="565"/>
      <c r="U1154" s="539">
        <v>1</v>
      </c>
      <c r="V1154" s="539">
        <v>1</v>
      </c>
      <c r="W1154" s="539">
        <v>0</v>
      </c>
      <c r="X1154" s="539"/>
      <c r="Y1154" s="539"/>
      <c r="Z1154" s="566">
        <v>3200</v>
      </c>
      <c r="AA1154" s="539"/>
      <c r="AB1154" s="567"/>
      <c r="AC1154" s="567"/>
      <c r="AD1154" s="532"/>
      <c r="AE1154" s="539"/>
      <c r="AF1154" s="539" t="s">
        <v>4375</v>
      </c>
      <c r="AG1154" s="539" t="s">
        <v>4376</v>
      </c>
      <c r="AH1154" s="539" t="s">
        <v>3415</v>
      </c>
      <c r="AI1154" s="539"/>
      <c r="AJ1154" s="539" t="s">
        <v>3416</v>
      </c>
      <c r="AK1154" s="539"/>
      <c r="AL1154" s="564">
        <v>0</v>
      </c>
      <c r="AM1154" s="612" t="s">
        <v>3417</v>
      </c>
      <c r="AN1154" s="612" t="s">
        <v>3417</v>
      </c>
      <c r="AO1154" s="539"/>
      <c r="AP1154" s="50">
        <v>1</v>
      </c>
      <c r="AQ1154" s="50">
        <v>0</v>
      </c>
      <c r="AR1154" s="50">
        <v>0</v>
      </c>
      <c r="AS1154" s="50">
        <v>0</v>
      </c>
      <c r="AU1154" s="226">
        <v>0</v>
      </c>
      <c r="AV1154" s="17">
        <f t="shared" si="160"/>
        <v>0</v>
      </c>
      <c r="AW1154" s="50" t="str">
        <f t="shared" si="159"/>
        <v>{s_taskTalk,{60163,307}}</v>
      </c>
    </row>
    <row r="1155" spans="1:49" s="606" customFormat="1" ht="96.75" thickBot="1" x14ac:dyDescent="0.2">
      <c r="A1155" s="604">
        <v>16005</v>
      </c>
      <c r="B1155" s="605"/>
      <c r="C1155" s="605" t="s">
        <v>3511</v>
      </c>
      <c r="D1155" s="606">
        <v>2</v>
      </c>
      <c r="E1155" s="606">
        <v>0</v>
      </c>
      <c r="F1155" s="605">
        <v>3</v>
      </c>
      <c r="G1155" s="887">
        <v>90</v>
      </c>
      <c r="H1155" s="605">
        <v>200</v>
      </c>
      <c r="I1155" s="17">
        <v>0</v>
      </c>
      <c r="J1155" s="607">
        <v>0</v>
      </c>
      <c r="K1155" s="605">
        <v>0</v>
      </c>
      <c r="L1155" s="605">
        <v>0</v>
      </c>
      <c r="M1155" s="605" t="s">
        <v>2969</v>
      </c>
      <c r="N1155" s="605">
        <v>5089</v>
      </c>
      <c r="O1155" s="605" t="s">
        <v>5230</v>
      </c>
      <c r="P1155" s="605"/>
      <c r="Q1155" s="608"/>
      <c r="R1155" s="608"/>
      <c r="S1155" s="608"/>
      <c r="T1155" s="608"/>
      <c r="U1155" s="605">
        <v>0</v>
      </c>
      <c r="V1155" s="605">
        <v>1</v>
      </c>
      <c r="W1155" s="605">
        <v>0</v>
      </c>
      <c r="X1155" s="605"/>
      <c r="Y1155" s="605"/>
      <c r="Z1155" s="609">
        <v>0</v>
      </c>
      <c r="AA1155" s="605"/>
      <c r="AB1155" s="610"/>
      <c r="AC1155" s="610"/>
      <c r="AD1155" s="611" t="s">
        <v>3512</v>
      </c>
      <c r="AE1155" s="605"/>
      <c r="AF1155" s="605" t="str">
        <f>"title("&amp;C1155&amp;")
body(hotyellow_3(任务进程:)newline()
   你只要完成1次hot(战阵夺营)任务，即可在goto(5089,5)处领取奖励。newline()
   Hot(战阵夺营)可在goto(197,7)处接取。
blankline()hotyellow_3(任务描述:)newline() 
   欢迎您的回归，当您回到我们的队列中时，没有人可以阻挡我们前进的脚步。)"</f>
        <v>title([回归]里程碑（超级）)
body(hotyellow_3(任务进程:)newline()
   你只要完成1次hot(战阵夺营)任务，即可在goto(5089,5)处领取奖励。newline()
   Hot(战阵夺营)可在goto(197,7)处接取。
blankline()hotyellow_3(任务描述:)newline() 
   欢迎您的回归，当您回到我们的队列中时，没有人可以阻挡我们前进的脚步。)</v>
      </c>
      <c r="AG1155" s="605" t="s">
        <v>2972</v>
      </c>
      <c r="AH1155" s="605" t="s">
        <v>2973</v>
      </c>
      <c r="AI1155" s="605" t="s">
        <v>4377</v>
      </c>
      <c r="AJ1155" s="605" t="s">
        <v>6479</v>
      </c>
      <c r="AK1155" s="605"/>
      <c r="AL1155" s="607">
        <v>0</v>
      </c>
      <c r="AM1155" s="605" t="str">
        <f>"&lt;p&gt;
&lt;n&gt;  完成1次战阵夺营任务后&lt;/n&gt;&lt;newline/&gt;
&lt;n&gt;  战阵夺营接取： &lt;/n&gt;
 &lt;n&gt; &lt;/n&gt;&lt;goto id=""197"" mapid=""7"" flagpoint=""1"" taskid="""&amp;A1155&amp;""" /&gt;
&lt;/p&gt;"</f>
        <v>&lt;p&gt;
&lt;n&gt;  完成1次战阵夺营任务后&lt;/n&gt;&lt;newline/&gt;
&lt;n&gt;  战阵夺营接取： &lt;/n&gt;
 &lt;n&gt; &lt;/n&gt;&lt;goto id="197" mapid="7" flagpoint="1" taskid="16005" /&gt;
&lt;/p&gt;</v>
      </c>
      <c r="AN1155" s="605" t="str">
        <f>"&lt;p&gt;
&lt;n&gt;  交： &lt;/n&gt;
 &lt;n&gt; &lt;/n&gt;&lt;goto id="""&amp;N1155&amp;""" mapid=""1"" flagpoint=""1"" taskid="""&amp;A1155&amp;""" /&gt;
&lt;/p&gt;"</f>
        <v>&lt;p&gt;
&lt;n&gt;  交： &lt;/n&gt;
 &lt;n&gt; &lt;/n&gt;&lt;goto id="5089" mapid="1" flagpoint="1" taskid="16005" /&gt;
&lt;/p&gt;</v>
      </c>
      <c r="AO1155" s="605"/>
      <c r="AP1155" s="606">
        <v>0</v>
      </c>
      <c r="AQ1155" s="606">
        <v>0</v>
      </c>
      <c r="AR1155" s="606">
        <v>0</v>
      </c>
      <c r="AS1155" s="606">
        <v>0</v>
      </c>
      <c r="AU1155" s="226">
        <v>0</v>
      </c>
      <c r="AV1155" s="17">
        <f t="shared" si="160"/>
        <v>0</v>
      </c>
      <c r="AW1155" s="606" t="str">
        <f>"{s_taskCustom,{"&amp;L1155&amp;","&amp;N1155&amp;","&amp;U1155&amp;","&amp;V1155&amp;"}}"</f>
        <v>{s_taskCustom,{0,5089,0,1}}</v>
      </c>
    </row>
    <row r="1156" spans="1:49" s="617" customFormat="1" ht="120.75" thickBot="1" x14ac:dyDescent="0.2">
      <c r="A1156" s="291">
        <v>16006</v>
      </c>
      <c r="B1156" s="507"/>
      <c r="C1156" s="605" t="s">
        <v>3653</v>
      </c>
      <c r="D1156" s="109">
        <v>2</v>
      </c>
      <c r="E1156" s="109">
        <v>0</v>
      </c>
      <c r="F1156" s="507">
        <v>3</v>
      </c>
      <c r="G1156" s="888">
        <v>200</v>
      </c>
      <c r="H1156" s="507">
        <v>200</v>
      </c>
      <c r="I1156" s="17">
        <v>0</v>
      </c>
      <c r="J1156" s="613">
        <v>0</v>
      </c>
      <c r="K1156" s="507">
        <v>0</v>
      </c>
      <c r="L1156" s="507">
        <v>113</v>
      </c>
      <c r="M1156" s="507" t="s">
        <v>3656</v>
      </c>
      <c r="N1156" s="507">
        <v>113</v>
      </c>
      <c r="O1156" s="507" t="s">
        <v>5190</v>
      </c>
      <c r="P1156" s="507"/>
      <c r="Q1156" s="614"/>
      <c r="R1156" s="614"/>
      <c r="S1156" s="614"/>
      <c r="T1156" s="614"/>
      <c r="U1156" s="507">
        <v>1</v>
      </c>
      <c r="V1156" s="507">
        <v>0</v>
      </c>
      <c r="W1156" s="507">
        <v>0</v>
      </c>
      <c r="X1156" s="507"/>
      <c r="Y1156" s="507"/>
      <c r="Z1156" s="615">
        <v>0</v>
      </c>
      <c r="AA1156" s="507"/>
      <c r="AB1156" s="616"/>
      <c r="AC1156" s="616"/>
      <c r="AD1156" s="532" t="s">
        <v>3663</v>
      </c>
      <c r="AE1156" s="507"/>
      <c r="AF1156" s="507" t="s">
        <v>3665</v>
      </c>
      <c r="AG1156" s="507" t="s">
        <v>3666</v>
      </c>
      <c r="AH1156" s="507" t="s">
        <v>3657</v>
      </c>
      <c r="AI1156" s="507" t="s">
        <v>3658</v>
      </c>
      <c r="AJ1156" s="507" t="s">
        <v>3659</v>
      </c>
      <c r="AK1156" s="507"/>
      <c r="AL1156" s="613">
        <v>0</v>
      </c>
      <c r="AM1156" s="507" t="s">
        <v>3660</v>
      </c>
      <c r="AN1156" s="507" t="s">
        <v>6024</v>
      </c>
      <c r="AO1156" s="507"/>
      <c r="AP1156" s="490">
        <v>1</v>
      </c>
      <c r="AQ1156" s="490">
        <v>0</v>
      </c>
      <c r="AR1156" s="490">
        <v>0</v>
      </c>
      <c r="AS1156" s="490">
        <v>0</v>
      </c>
      <c r="AT1156" s="490">
        <v>0</v>
      </c>
      <c r="AU1156" s="226">
        <v>0</v>
      </c>
      <c r="AV1156" s="17">
        <f t="shared" si="160"/>
        <v>0</v>
      </c>
      <c r="AW1156" s="356" t="str">
        <f>"{s_taskCustom,{"&amp;L1156&amp;","&amp;N1156&amp;","&amp;U1156&amp;","&amp;V1156&amp;"}}"</f>
        <v>{s_taskCustom,{113,113,1,0}}</v>
      </c>
    </row>
    <row r="1157" spans="1:49" s="606" customFormat="1" ht="120.75" thickBot="1" x14ac:dyDescent="0.2">
      <c r="A1157" s="604">
        <v>16007</v>
      </c>
      <c r="B1157" s="605"/>
      <c r="C1157" s="605" t="s">
        <v>3655</v>
      </c>
      <c r="D1157" s="606">
        <v>2</v>
      </c>
      <c r="E1157" s="606">
        <v>0</v>
      </c>
      <c r="F1157" s="605">
        <v>3</v>
      </c>
      <c r="G1157" s="887">
        <v>101</v>
      </c>
      <c r="H1157" s="605">
        <v>200</v>
      </c>
      <c r="I1157" s="17">
        <v>0</v>
      </c>
      <c r="J1157" s="607">
        <v>0</v>
      </c>
      <c r="K1157" s="605">
        <v>0</v>
      </c>
      <c r="L1157" s="605">
        <v>113</v>
      </c>
      <c r="M1157" s="605" t="s">
        <v>3654</v>
      </c>
      <c r="N1157" s="605">
        <v>113</v>
      </c>
      <c r="O1157" s="605" t="s">
        <v>5155</v>
      </c>
      <c r="P1157" s="605"/>
      <c r="Q1157" s="608"/>
      <c r="R1157" s="608"/>
      <c r="S1157" s="608"/>
      <c r="T1157" s="608"/>
      <c r="U1157" s="605">
        <v>1</v>
      </c>
      <c r="V1157" s="605">
        <v>0</v>
      </c>
      <c r="W1157" s="605">
        <v>0</v>
      </c>
      <c r="X1157" s="605"/>
      <c r="Y1157" s="605"/>
      <c r="Z1157" s="609">
        <v>0</v>
      </c>
      <c r="AA1157" s="605"/>
      <c r="AB1157" s="610"/>
      <c r="AC1157" s="610"/>
      <c r="AD1157" s="532" t="s">
        <v>3664</v>
      </c>
      <c r="AE1157" s="605"/>
      <c r="AF1157" s="605" t="s">
        <v>3691</v>
      </c>
      <c r="AG1157" s="605" t="s">
        <v>4159</v>
      </c>
      <c r="AH1157" s="605" t="s">
        <v>3661</v>
      </c>
      <c r="AI1157" s="605" t="s">
        <v>3662</v>
      </c>
      <c r="AJ1157" s="605" t="s">
        <v>6480</v>
      </c>
      <c r="AK1157" s="605"/>
      <c r="AL1157" s="607">
        <v>0</v>
      </c>
      <c r="AM1157" s="605" t="s">
        <v>3700</v>
      </c>
      <c r="AN1157" s="605" t="str">
        <f>"&lt;p&gt;
&lt;n&gt;  交： &lt;/n&gt;
 &lt;n&gt; &lt;/n&gt;&lt;goto id="""&amp;N1157&amp;""" mapid=""1"" flagpoint=""1"" taskid="""&amp;A1157&amp;""" /&gt;
&lt;/p&gt;"</f>
        <v>&lt;p&gt;
&lt;n&gt;  交： &lt;/n&gt;
 &lt;n&gt; &lt;/n&gt;&lt;goto id="113" mapid="1" flagpoint="1" taskid="16007" /&gt;
&lt;/p&gt;</v>
      </c>
      <c r="AO1157" s="605"/>
      <c r="AP1157" s="606">
        <v>0</v>
      </c>
      <c r="AQ1157" s="606">
        <v>0</v>
      </c>
      <c r="AR1157" s="606">
        <v>0</v>
      </c>
      <c r="AS1157" s="606">
        <v>0</v>
      </c>
      <c r="AU1157" s="226">
        <v>0</v>
      </c>
      <c r="AV1157" s="17">
        <f t="shared" si="160"/>
        <v>0</v>
      </c>
      <c r="AW1157" s="606" t="str">
        <f>"{s_taskCustom,{"&amp;L1157&amp;","&amp;N1157&amp;","&amp;U1157&amp;","&amp;V1157&amp;"}}"</f>
        <v>{s_taskCustom,{113,113,1,0}}</v>
      </c>
    </row>
    <row r="1158" spans="1:49" s="25" customFormat="1" ht="60" x14ac:dyDescent="0.15">
      <c r="A1158" s="9">
        <v>16008</v>
      </c>
      <c r="C1158" s="25" t="s">
        <v>3687</v>
      </c>
      <c r="D1158" s="25">
        <v>2</v>
      </c>
      <c r="E1158" s="25">
        <v>0</v>
      </c>
      <c r="F1158" s="25">
        <v>5</v>
      </c>
      <c r="G1158" s="396">
        <v>200</v>
      </c>
      <c r="H1158" s="25">
        <v>200</v>
      </c>
      <c r="I1158" s="17">
        <v>0</v>
      </c>
      <c r="J1158" s="396">
        <v>0</v>
      </c>
      <c r="K1158" s="25">
        <v>0</v>
      </c>
      <c r="L1158" s="25">
        <v>60559</v>
      </c>
      <c r="M1158" s="25" t="s">
        <v>1467</v>
      </c>
      <c r="N1158" s="25">
        <v>5089</v>
      </c>
      <c r="O1158" s="25" t="s">
        <v>5230</v>
      </c>
      <c r="U1158" s="25">
        <v>1</v>
      </c>
      <c r="V1158" s="25">
        <v>1</v>
      </c>
      <c r="W1158" s="25">
        <v>58</v>
      </c>
      <c r="Z1158" s="25">
        <v>24000</v>
      </c>
      <c r="AF1158" s="25" t="s">
        <v>3688</v>
      </c>
      <c r="AG1158" s="25" t="s">
        <v>4099</v>
      </c>
      <c r="AH1158" s="25" t="s">
        <v>3689</v>
      </c>
      <c r="AJ1158" s="25" t="s">
        <v>6481</v>
      </c>
      <c r="AL1158" s="396">
        <v>0</v>
      </c>
      <c r="AM1158" s="25" t="s">
        <v>3690</v>
      </c>
      <c r="AN1158" s="25" t="s">
        <v>6025</v>
      </c>
      <c r="AP1158" s="25">
        <v>1</v>
      </c>
      <c r="AQ1158" s="25">
        <v>0</v>
      </c>
      <c r="AR1158" s="50">
        <v>0</v>
      </c>
      <c r="AS1158" s="50">
        <v>0</v>
      </c>
      <c r="AU1158" s="226">
        <v>0</v>
      </c>
      <c r="AV1158" s="17">
        <f t="shared" si="160"/>
        <v>0</v>
      </c>
      <c r="AW1158" s="50" t="str">
        <f t="shared" ref="AW1158" si="161">"{s_taskTalk,{"&amp;L1158&amp;","&amp;N1158&amp;"}}"</f>
        <v>{s_taskTalk,{60559,5089}}</v>
      </c>
    </row>
    <row r="1159" spans="1:49" s="73" customFormat="1" ht="36" x14ac:dyDescent="0.15">
      <c r="A1159" s="9">
        <v>20001</v>
      </c>
      <c r="C1159" s="73" t="s">
        <v>6367</v>
      </c>
      <c r="D1159" s="73">
        <v>4</v>
      </c>
      <c r="E1159" s="73">
        <v>0</v>
      </c>
      <c r="F1159" s="73">
        <v>101</v>
      </c>
      <c r="G1159" s="80">
        <v>21</v>
      </c>
      <c r="H1159" s="73">
        <v>200</v>
      </c>
      <c r="I1159" s="17">
        <v>0</v>
      </c>
      <c r="J1159" s="80">
        <v>0</v>
      </c>
      <c r="K1159" s="73">
        <v>10</v>
      </c>
      <c r="L1159" s="623">
        <v>576</v>
      </c>
      <c r="M1159" s="623" t="s">
        <v>9036</v>
      </c>
      <c r="N1159" s="623">
        <v>576</v>
      </c>
      <c r="O1159" s="623" t="s">
        <v>9036</v>
      </c>
      <c r="Q1159" s="140"/>
      <c r="R1159" s="140"/>
      <c r="S1159" s="140"/>
      <c r="T1159" s="140"/>
      <c r="U1159" s="73">
        <v>10</v>
      </c>
      <c r="V1159" s="73">
        <v>0</v>
      </c>
      <c r="Z1159" s="142">
        <v>0</v>
      </c>
      <c r="AB1159" s="143"/>
      <c r="AC1159" s="143"/>
      <c r="AE1159" s="73" t="s">
        <v>109</v>
      </c>
      <c r="AF1159" s="73" t="s">
        <v>109</v>
      </c>
      <c r="AG1159" s="73" t="s">
        <v>7476</v>
      </c>
      <c r="AH1159" s="73" t="s">
        <v>6368</v>
      </c>
      <c r="AI1159" s="73" t="s">
        <v>110</v>
      </c>
      <c r="AK1159" s="73" t="s">
        <v>4595</v>
      </c>
      <c r="AL1159" s="80">
        <v>2</v>
      </c>
      <c r="AM1159" s="147"/>
      <c r="AN1159" s="147"/>
      <c r="AP1159" s="226">
        <v>1</v>
      </c>
      <c r="AQ1159" s="73">
        <v>0</v>
      </c>
      <c r="AR1159" s="73">
        <v>0</v>
      </c>
      <c r="AS1159" s="73">
        <v>0</v>
      </c>
      <c r="AT1159" s="73">
        <v>0</v>
      </c>
      <c r="AU1159" s="226">
        <v>0</v>
      </c>
      <c r="AV1159" s="17">
        <f t="shared" si="160"/>
        <v>0</v>
      </c>
      <c r="AW1159" s="50" t="str">
        <f>"{s_taskTalk,{"&amp;L1159&amp;","&amp;N1159&amp;"}}"</f>
        <v>{s_taskTalk,{576,576}}</v>
      </c>
    </row>
    <row r="1160" spans="1:49" s="73" customFormat="1" ht="108" x14ac:dyDescent="0.15">
      <c r="A1160" s="9">
        <v>20002</v>
      </c>
      <c r="C1160" s="73" t="s">
        <v>1282</v>
      </c>
      <c r="D1160" s="73">
        <v>4</v>
      </c>
      <c r="E1160" s="73">
        <v>0</v>
      </c>
      <c r="F1160" s="73">
        <v>101</v>
      </c>
      <c r="G1160" s="80">
        <v>21</v>
      </c>
      <c r="H1160" s="73">
        <v>200</v>
      </c>
      <c r="I1160" s="17">
        <v>0</v>
      </c>
      <c r="J1160" s="80">
        <v>0</v>
      </c>
      <c r="K1160" s="73">
        <v>1</v>
      </c>
      <c r="L1160" s="73">
        <v>45111</v>
      </c>
      <c r="N1160" s="73">
        <v>45111</v>
      </c>
      <c r="Q1160" s="140"/>
      <c r="R1160" s="140"/>
      <c r="S1160" s="140"/>
      <c r="T1160" s="140"/>
      <c r="U1160" s="73">
        <v>10</v>
      </c>
      <c r="V1160" s="73">
        <v>0</v>
      </c>
      <c r="Z1160" s="142">
        <v>0</v>
      </c>
      <c r="AB1160" s="143"/>
      <c r="AC1160" s="143"/>
      <c r="AD1160" s="73" t="s">
        <v>109</v>
      </c>
      <c r="AE1160" s="73" t="s">
        <v>109</v>
      </c>
      <c r="AF1160" s="73" t="s">
        <v>1281</v>
      </c>
      <c r="AG1160" s="73" t="s">
        <v>6342</v>
      </c>
      <c r="AH1160" s="73" t="s">
        <v>6343</v>
      </c>
      <c r="AI1160" s="73" t="s">
        <v>110</v>
      </c>
      <c r="AK1160" s="73" t="s">
        <v>1282</v>
      </c>
      <c r="AL1160" s="80">
        <v>3</v>
      </c>
      <c r="AM1160" s="147"/>
      <c r="AN1160" s="147"/>
      <c r="AP1160" s="226">
        <v>1</v>
      </c>
      <c r="AQ1160" s="73">
        <v>0</v>
      </c>
      <c r="AR1160" s="73">
        <v>0</v>
      </c>
      <c r="AS1160" s="73">
        <v>0</v>
      </c>
      <c r="AT1160" s="73">
        <v>0</v>
      </c>
      <c r="AU1160" s="226">
        <v>0</v>
      </c>
      <c r="AV1160" s="17">
        <f t="shared" si="160"/>
        <v>0</v>
      </c>
      <c r="AW1160" s="50" t="str">
        <f t="shared" si="159"/>
        <v>{s_taskTalk,{45111,45111}}</v>
      </c>
    </row>
    <row r="1161" spans="1:49" s="73" customFormat="1" ht="168" x14ac:dyDescent="0.15">
      <c r="A1161" s="9">
        <v>20003</v>
      </c>
      <c r="C1161" s="73" t="s">
        <v>1286</v>
      </c>
      <c r="D1161" s="73">
        <v>4</v>
      </c>
      <c r="E1161" s="73">
        <v>0</v>
      </c>
      <c r="F1161" s="73">
        <v>101</v>
      </c>
      <c r="G1161" s="80">
        <v>21</v>
      </c>
      <c r="H1161" s="73">
        <v>200</v>
      </c>
      <c r="I1161" s="17">
        <v>0</v>
      </c>
      <c r="J1161" s="80">
        <v>0</v>
      </c>
      <c r="K1161" s="73">
        <v>1</v>
      </c>
      <c r="L1161" s="73">
        <v>45113</v>
      </c>
      <c r="N1161" s="73">
        <v>0</v>
      </c>
      <c r="Q1161" s="140"/>
      <c r="R1161" s="140"/>
      <c r="S1161" s="140"/>
      <c r="T1161" s="140"/>
      <c r="U1161" s="73">
        <v>1</v>
      </c>
      <c r="V1161" s="73">
        <v>1</v>
      </c>
      <c r="Z1161" s="142">
        <v>0</v>
      </c>
      <c r="AB1161" s="143"/>
      <c r="AC1161" s="143"/>
      <c r="AD1161" s="73" t="s">
        <v>109</v>
      </c>
      <c r="AE1161" s="73" t="s">
        <v>109</v>
      </c>
      <c r="AF1161" s="73" t="s">
        <v>3402</v>
      </c>
      <c r="AG1161" s="73" t="s">
        <v>6342</v>
      </c>
      <c r="AH1161" s="73" t="s">
        <v>6343</v>
      </c>
      <c r="AI1161" s="73" t="s">
        <v>110</v>
      </c>
      <c r="AJ1161" s="73" t="s">
        <v>7444</v>
      </c>
      <c r="AK1161" s="73" t="s">
        <v>1284</v>
      </c>
      <c r="AL1161" s="80">
        <v>4</v>
      </c>
      <c r="AM1161" s="147" t="s">
        <v>3401</v>
      </c>
      <c r="AN1161" s="147" t="s">
        <v>3401</v>
      </c>
      <c r="AP1161" s="226">
        <v>1</v>
      </c>
      <c r="AQ1161" s="73">
        <v>0</v>
      </c>
      <c r="AR1161" s="73">
        <v>0</v>
      </c>
      <c r="AS1161" s="73">
        <v>0</v>
      </c>
      <c r="AT1161" s="73">
        <v>0</v>
      </c>
      <c r="AU1161" s="226">
        <v>0</v>
      </c>
      <c r="AV1161" s="17">
        <f t="shared" si="160"/>
        <v>0</v>
      </c>
      <c r="AW1161" s="50" t="str">
        <f t="shared" si="159"/>
        <v>{s_taskTalk,{45113,0}}</v>
      </c>
    </row>
    <row r="1162" spans="1:49" s="73" customFormat="1" ht="72" x14ac:dyDescent="0.15">
      <c r="A1162" s="9">
        <v>20004</v>
      </c>
      <c r="C1162" s="73" t="s">
        <v>111</v>
      </c>
      <c r="D1162" s="73">
        <v>4</v>
      </c>
      <c r="E1162" s="73">
        <v>0</v>
      </c>
      <c r="F1162" s="73">
        <v>101</v>
      </c>
      <c r="G1162" s="80">
        <v>200</v>
      </c>
      <c r="H1162" s="73">
        <v>200</v>
      </c>
      <c r="I1162" s="17">
        <v>0</v>
      </c>
      <c r="J1162" s="80">
        <v>0</v>
      </c>
      <c r="K1162" s="73">
        <v>0</v>
      </c>
      <c r="L1162" s="73">
        <v>45110</v>
      </c>
      <c r="N1162" s="73">
        <v>45110</v>
      </c>
      <c r="Q1162" s="140"/>
      <c r="R1162" s="140"/>
      <c r="S1162" s="140"/>
      <c r="T1162" s="140"/>
      <c r="U1162" s="73">
        <v>10</v>
      </c>
      <c r="V1162" s="73">
        <v>0</v>
      </c>
      <c r="X1162" s="73">
        <v>1</v>
      </c>
      <c r="Z1162" s="142">
        <v>0</v>
      </c>
      <c r="AB1162" s="143"/>
      <c r="AC1162" s="143"/>
      <c r="AD1162" s="73" t="s">
        <v>109</v>
      </c>
      <c r="AE1162" s="73" t="s">
        <v>109</v>
      </c>
      <c r="AF1162" s="73" t="s">
        <v>109</v>
      </c>
      <c r="AG1162" s="73" t="s">
        <v>6342</v>
      </c>
      <c r="AH1162" s="73" t="s">
        <v>6343</v>
      </c>
      <c r="AI1162" s="73" t="s">
        <v>110</v>
      </c>
      <c r="AJ1162" s="73" t="s">
        <v>7445</v>
      </c>
      <c r="AL1162" s="80">
        <v>5</v>
      </c>
      <c r="AM1162" s="147"/>
      <c r="AN1162" s="147"/>
      <c r="AP1162" s="226">
        <v>0</v>
      </c>
      <c r="AQ1162" s="73">
        <v>0</v>
      </c>
      <c r="AR1162" s="73">
        <v>0</v>
      </c>
      <c r="AS1162" s="73">
        <v>0</v>
      </c>
      <c r="AT1162" s="73">
        <v>0</v>
      </c>
      <c r="AU1162" s="226">
        <v>0</v>
      </c>
      <c r="AV1162" s="17">
        <f t="shared" si="160"/>
        <v>0</v>
      </c>
      <c r="AW1162" s="50" t="str">
        <f t="shared" si="159"/>
        <v>{s_taskTalk,{45110,45110}}</v>
      </c>
    </row>
    <row r="1163" spans="1:49" s="73" customFormat="1" ht="36" x14ac:dyDescent="0.15">
      <c r="A1163" s="9">
        <v>20005</v>
      </c>
      <c r="C1163" s="73" t="s">
        <v>8612</v>
      </c>
      <c r="D1163" s="73">
        <v>4</v>
      </c>
      <c r="E1163" s="73">
        <v>0</v>
      </c>
      <c r="F1163" s="73">
        <v>101</v>
      </c>
      <c r="G1163" s="80">
        <v>21</v>
      </c>
      <c r="H1163" s="73">
        <v>200</v>
      </c>
      <c r="I1163" s="17">
        <v>0</v>
      </c>
      <c r="J1163" s="80">
        <v>0</v>
      </c>
      <c r="K1163" s="73">
        <v>6</v>
      </c>
      <c r="L1163" s="73">
        <v>0</v>
      </c>
      <c r="N1163" s="73">
        <v>0</v>
      </c>
      <c r="Q1163" s="140"/>
      <c r="R1163" s="140"/>
      <c r="S1163" s="140"/>
      <c r="T1163" s="140"/>
      <c r="U1163" s="73">
        <v>6</v>
      </c>
      <c r="V1163" s="73">
        <v>0</v>
      </c>
      <c r="Z1163" s="142">
        <v>0</v>
      </c>
      <c r="AB1163" s="143"/>
      <c r="AC1163" s="143"/>
      <c r="AE1163" s="73" t="s">
        <v>109</v>
      </c>
      <c r="AF1163" s="73" t="s">
        <v>109</v>
      </c>
      <c r="AG1163" s="73" t="s">
        <v>8613</v>
      </c>
      <c r="AH1163" s="73" t="s">
        <v>8614</v>
      </c>
      <c r="AI1163" s="73" t="s">
        <v>110</v>
      </c>
      <c r="AK1163" s="73" t="s">
        <v>8615</v>
      </c>
      <c r="AL1163" s="80">
        <v>2</v>
      </c>
      <c r="AM1163" s="147"/>
      <c r="AN1163" s="147"/>
      <c r="AP1163" s="226">
        <v>1</v>
      </c>
      <c r="AQ1163" s="73">
        <v>0</v>
      </c>
      <c r="AR1163" s="73">
        <v>0</v>
      </c>
      <c r="AS1163" s="73">
        <v>0</v>
      </c>
      <c r="AT1163" s="73">
        <v>0</v>
      </c>
      <c r="AU1163" s="226">
        <v>0</v>
      </c>
      <c r="AV1163" s="17">
        <f t="shared" ref="AV1163" si="162">IF(D1163 = 1,1,0)</f>
        <v>0</v>
      </c>
      <c r="AW1163" s="50" t="str">
        <f>"{s_taskTalk,{"&amp;L1163&amp;","&amp;N1163&amp;"}}"</f>
        <v>{s_taskTalk,{0,0}}</v>
      </c>
    </row>
    <row r="1164" spans="1:49" s="73" customFormat="1" ht="84" x14ac:dyDescent="0.15">
      <c r="A1164" s="9">
        <v>20100</v>
      </c>
      <c r="B1164" s="73" t="s">
        <v>112</v>
      </c>
      <c r="C1164" s="73" t="s">
        <v>1439</v>
      </c>
      <c r="D1164" s="73">
        <v>4</v>
      </c>
      <c r="E1164" s="73">
        <v>0</v>
      </c>
      <c r="F1164" s="73">
        <v>1</v>
      </c>
      <c r="G1164" s="80">
        <v>21</v>
      </c>
      <c r="H1164" s="73">
        <v>200</v>
      </c>
      <c r="I1164" s="17">
        <v>0</v>
      </c>
      <c r="J1164" s="80">
        <v>0</v>
      </c>
      <c r="K1164" s="73">
        <v>0</v>
      </c>
      <c r="L1164" s="73">
        <v>0</v>
      </c>
      <c r="N1164" s="73">
        <v>0</v>
      </c>
      <c r="Q1164" s="140"/>
      <c r="R1164" s="140"/>
      <c r="S1164" s="140"/>
      <c r="T1164" s="140"/>
      <c r="U1164" s="73">
        <v>1</v>
      </c>
      <c r="V1164" s="73">
        <v>0</v>
      </c>
      <c r="X1164" s="73">
        <v>1</v>
      </c>
      <c r="Z1164" s="142">
        <v>0</v>
      </c>
      <c r="AB1164" s="143"/>
      <c r="AC1164" s="143"/>
      <c r="AD1164" s="73" t="s">
        <v>109</v>
      </c>
      <c r="AE1164" s="73" t="s">
        <v>109</v>
      </c>
      <c r="AF1164" s="73" t="s">
        <v>4472</v>
      </c>
      <c r="AG1164" s="73" t="s">
        <v>113</v>
      </c>
      <c r="AH1164" s="73" t="s">
        <v>114</v>
      </c>
      <c r="AI1164" s="73" t="s">
        <v>110</v>
      </c>
      <c r="AJ1164" s="73" t="s">
        <v>7446</v>
      </c>
      <c r="AK1164" s="73" t="s">
        <v>115</v>
      </c>
      <c r="AL1164" s="80">
        <v>2</v>
      </c>
      <c r="AM1164" s="147"/>
      <c r="AN1164" s="147"/>
      <c r="AP1164" s="226">
        <v>1</v>
      </c>
      <c r="AQ1164" s="73">
        <v>0</v>
      </c>
      <c r="AR1164" s="73">
        <v>0</v>
      </c>
      <c r="AS1164" s="73">
        <v>0</v>
      </c>
      <c r="AT1164" s="73">
        <v>0</v>
      </c>
      <c r="AU1164" s="226">
        <v>0</v>
      </c>
      <c r="AV1164" s="17">
        <f t="shared" si="160"/>
        <v>0</v>
      </c>
      <c r="AW1164" s="50" t="str">
        <f t="shared" si="159"/>
        <v>{s_taskTalk,{0,0}}</v>
      </c>
    </row>
    <row r="1165" spans="1:49" s="73" customFormat="1" ht="84" x14ac:dyDescent="0.15">
      <c r="A1165" s="9">
        <v>20111</v>
      </c>
      <c r="B1165" s="73" t="s">
        <v>116</v>
      </c>
      <c r="C1165" s="73" t="s">
        <v>1448</v>
      </c>
      <c r="D1165" s="73">
        <v>4</v>
      </c>
      <c r="E1165" s="73">
        <v>0</v>
      </c>
      <c r="F1165" s="73">
        <v>1</v>
      </c>
      <c r="G1165" s="80">
        <v>21</v>
      </c>
      <c r="H1165" s="73">
        <v>200</v>
      </c>
      <c r="I1165" s="17">
        <v>0</v>
      </c>
      <c r="J1165" s="80">
        <v>0</v>
      </c>
      <c r="K1165" s="73">
        <v>0</v>
      </c>
      <c r="L1165" s="73">
        <v>0</v>
      </c>
      <c r="N1165" s="73">
        <v>0</v>
      </c>
      <c r="Q1165" s="140"/>
      <c r="R1165" s="140"/>
      <c r="S1165" s="140"/>
      <c r="T1165" s="140"/>
      <c r="U1165" s="73">
        <v>1</v>
      </c>
      <c r="V1165" s="73">
        <v>0</v>
      </c>
      <c r="X1165" s="73">
        <v>1</v>
      </c>
      <c r="Z1165" s="142">
        <v>0</v>
      </c>
      <c r="AB1165" s="143"/>
      <c r="AC1165" s="143"/>
      <c r="AD1165" s="73" t="s">
        <v>109</v>
      </c>
      <c r="AE1165" s="73" t="s">
        <v>109</v>
      </c>
      <c r="AF1165" s="73" t="s">
        <v>4473</v>
      </c>
      <c r="AG1165" s="73" t="s">
        <v>117</v>
      </c>
      <c r="AH1165" s="73" t="s">
        <v>4780</v>
      </c>
      <c r="AI1165" s="73" t="s">
        <v>110</v>
      </c>
      <c r="AJ1165" s="73" t="s">
        <v>7447</v>
      </c>
      <c r="AK1165" s="73" t="s">
        <v>118</v>
      </c>
      <c r="AL1165" s="80">
        <v>2</v>
      </c>
      <c r="AM1165" s="147"/>
      <c r="AN1165" s="147"/>
      <c r="AP1165" s="226">
        <v>1</v>
      </c>
      <c r="AQ1165" s="73">
        <v>0</v>
      </c>
      <c r="AR1165" s="73">
        <v>0</v>
      </c>
      <c r="AS1165" s="73">
        <v>0</v>
      </c>
      <c r="AT1165" s="73">
        <v>0</v>
      </c>
      <c r="AU1165" s="226">
        <v>0</v>
      </c>
      <c r="AV1165" s="17">
        <f t="shared" si="160"/>
        <v>0</v>
      </c>
      <c r="AW1165" s="50" t="str">
        <f t="shared" si="159"/>
        <v>{s_taskTalk,{0,0}}</v>
      </c>
    </row>
    <row r="1166" spans="1:49" s="73" customFormat="1" ht="84" x14ac:dyDescent="0.15">
      <c r="A1166" s="9">
        <v>20112</v>
      </c>
      <c r="B1166" s="73" t="s">
        <v>116</v>
      </c>
      <c r="C1166" s="73" t="s">
        <v>1449</v>
      </c>
      <c r="D1166" s="73">
        <v>4</v>
      </c>
      <c r="E1166" s="73">
        <v>0</v>
      </c>
      <c r="F1166" s="73">
        <v>1</v>
      </c>
      <c r="G1166" s="80">
        <v>21</v>
      </c>
      <c r="H1166" s="73">
        <v>200</v>
      </c>
      <c r="I1166" s="17">
        <v>0</v>
      </c>
      <c r="J1166" s="80">
        <v>0</v>
      </c>
      <c r="K1166" s="73">
        <v>0</v>
      </c>
      <c r="L1166" s="73">
        <v>0</v>
      </c>
      <c r="N1166" s="73">
        <v>0</v>
      </c>
      <c r="Q1166" s="140"/>
      <c r="R1166" s="140"/>
      <c r="S1166" s="140"/>
      <c r="T1166" s="140"/>
      <c r="U1166" s="73">
        <v>1</v>
      </c>
      <c r="V1166" s="73">
        <v>0</v>
      </c>
      <c r="X1166" s="73">
        <v>1</v>
      </c>
      <c r="Z1166" s="142">
        <v>0</v>
      </c>
      <c r="AB1166" s="143"/>
      <c r="AC1166" s="143"/>
      <c r="AD1166" s="73" t="s">
        <v>109</v>
      </c>
      <c r="AE1166" s="73" t="s">
        <v>109</v>
      </c>
      <c r="AF1166" s="73" t="s">
        <v>4473</v>
      </c>
      <c r="AG1166" s="73" t="s">
        <v>117</v>
      </c>
      <c r="AH1166" s="73" t="s">
        <v>4780</v>
      </c>
      <c r="AI1166" s="73" t="s">
        <v>110</v>
      </c>
      <c r="AJ1166" s="73" t="s">
        <v>7447</v>
      </c>
      <c r="AK1166" s="73" t="s">
        <v>118</v>
      </c>
      <c r="AL1166" s="80">
        <v>2</v>
      </c>
      <c r="AM1166" s="147"/>
      <c r="AN1166" s="147"/>
      <c r="AP1166" s="226">
        <v>1</v>
      </c>
      <c r="AQ1166" s="73">
        <v>0</v>
      </c>
      <c r="AR1166" s="73">
        <v>0</v>
      </c>
      <c r="AS1166" s="73">
        <v>0</v>
      </c>
      <c r="AT1166" s="73">
        <v>0</v>
      </c>
      <c r="AU1166" s="226">
        <v>0</v>
      </c>
      <c r="AV1166" s="17">
        <f t="shared" si="160"/>
        <v>0</v>
      </c>
      <c r="AW1166" s="50" t="str">
        <f t="shared" si="159"/>
        <v>{s_taskTalk,{0,0}}</v>
      </c>
    </row>
    <row r="1167" spans="1:49" s="73" customFormat="1" ht="96" x14ac:dyDescent="0.15">
      <c r="A1167" s="9">
        <v>20116</v>
      </c>
      <c r="B1167" s="73" t="s">
        <v>119</v>
      </c>
      <c r="C1167" s="73" t="s">
        <v>1446</v>
      </c>
      <c r="D1167" s="73">
        <v>4</v>
      </c>
      <c r="E1167" s="73">
        <v>0</v>
      </c>
      <c r="F1167" s="73">
        <v>1</v>
      </c>
      <c r="G1167" s="80">
        <v>21</v>
      </c>
      <c r="H1167" s="73">
        <v>200</v>
      </c>
      <c r="I1167" s="17">
        <v>0</v>
      </c>
      <c r="J1167" s="80">
        <v>0</v>
      </c>
      <c r="K1167" s="73">
        <v>0</v>
      </c>
      <c r="L1167" s="73">
        <v>0</v>
      </c>
      <c r="N1167" s="73">
        <v>0</v>
      </c>
      <c r="Q1167" s="140"/>
      <c r="R1167" s="140"/>
      <c r="S1167" s="140"/>
      <c r="T1167" s="140"/>
      <c r="U1167" s="73">
        <v>1</v>
      </c>
      <c r="V1167" s="73">
        <v>0</v>
      </c>
      <c r="X1167" s="73">
        <v>1</v>
      </c>
      <c r="Z1167" s="142">
        <v>0</v>
      </c>
      <c r="AB1167" s="143"/>
      <c r="AC1167" s="143"/>
      <c r="AD1167" s="73" t="s">
        <v>109</v>
      </c>
      <c r="AE1167" s="73" t="s">
        <v>109</v>
      </c>
      <c r="AF1167" s="73" t="s">
        <v>4474</v>
      </c>
      <c r="AG1167" s="73" t="s">
        <v>120</v>
      </c>
      <c r="AH1167" s="73" t="s">
        <v>4780</v>
      </c>
      <c r="AI1167" s="73" t="s">
        <v>110</v>
      </c>
      <c r="AJ1167" s="73" t="s">
        <v>7448</v>
      </c>
      <c r="AK1167" s="73" t="s">
        <v>118</v>
      </c>
      <c r="AL1167" s="80">
        <v>2</v>
      </c>
      <c r="AM1167" s="147"/>
      <c r="AN1167" s="147"/>
      <c r="AP1167" s="226">
        <v>1</v>
      </c>
      <c r="AQ1167" s="73">
        <v>0</v>
      </c>
      <c r="AR1167" s="73">
        <v>0</v>
      </c>
      <c r="AS1167" s="73">
        <v>0</v>
      </c>
      <c r="AT1167" s="73">
        <v>0</v>
      </c>
      <c r="AU1167" s="226">
        <v>0</v>
      </c>
      <c r="AV1167" s="17">
        <f t="shared" si="160"/>
        <v>0</v>
      </c>
      <c r="AW1167" s="50" t="str">
        <f t="shared" si="159"/>
        <v>{s_taskTalk,{0,0}}</v>
      </c>
    </row>
    <row r="1168" spans="1:49" s="73" customFormat="1" ht="96" x14ac:dyDescent="0.15">
      <c r="A1168" s="9">
        <v>20117</v>
      </c>
      <c r="B1168" s="73" t="s">
        <v>121</v>
      </c>
      <c r="C1168" s="73" t="s">
        <v>1447</v>
      </c>
      <c r="D1168" s="73">
        <v>4</v>
      </c>
      <c r="E1168" s="73">
        <v>0</v>
      </c>
      <c r="F1168" s="73">
        <v>1</v>
      </c>
      <c r="G1168" s="80">
        <v>21</v>
      </c>
      <c r="H1168" s="73">
        <v>200</v>
      </c>
      <c r="I1168" s="17">
        <v>0</v>
      </c>
      <c r="J1168" s="80">
        <v>0</v>
      </c>
      <c r="K1168" s="73">
        <v>0</v>
      </c>
      <c r="L1168" s="73">
        <v>0</v>
      </c>
      <c r="N1168" s="73">
        <v>0</v>
      </c>
      <c r="Q1168" s="140"/>
      <c r="R1168" s="140"/>
      <c r="S1168" s="140"/>
      <c r="T1168" s="140"/>
      <c r="U1168" s="73">
        <v>1</v>
      </c>
      <c r="V1168" s="73">
        <v>0</v>
      </c>
      <c r="X1168" s="73">
        <v>1</v>
      </c>
      <c r="Z1168" s="142">
        <v>0</v>
      </c>
      <c r="AB1168" s="143"/>
      <c r="AC1168" s="143"/>
      <c r="AD1168" s="73" t="s">
        <v>109</v>
      </c>
      <c r="AE1168" s="73" t="s">
        <v>109</v>
      </c>
      <c r="AF1168" s="73" t="s">
        <v>4475</v>
      </c>
      <c r="AG1168" s="73" t="s">
        <v>120</v>
      </c>
      <c r="AH1168" s="73" t="s">
        <v>4780</v>
      </c>
      <c r="AI1168" s="73" t="s">
        <v>110</v>
      </c>
      <c r="AJ1168" s="73" t="s">
        <v>7448</v>
      </c>
      <c r="AK1168" s="73" t="s">
        <v>118</v>
      </c>
      <c r="AL1168" s="80">
        <v>2</v>
      </c>
      <c r="AM1168" s="147"/>
      <c r="AN1168" s="147"/>
      <c r="AP1168" s="226">
        <v>1</v>
      </c>
      <c r="AQ1168" s="73">
        <v>0</v>
      </c>
      <c r="AR1168" s="73">
        <v>0</v>
      </c>
      <c r="AS1168" s="73">
        <v>0</v>
      </c>
      <c r="AT1168" s="73">
        <v>0</v>
      </c>
      <c r="AU1168" s="226">
        <v>0</v>
      </c>
      <c r="AV1168" s="17">
        <f t="shared" si="160"/>
        <v>0</v>
      </c>
      <c r="AW1168" s="50" t="str">
        <f t="shared" si="159"/>
        <v>{s_taskTalk,{0,0}}</v>
      </c>
    </row>
    <row r="1169" spans="1:49" s="73" customFormat="1" ht="96" x14ac:dyDescent="0.15">
      <c r="A1169" s="9">
        <v>20120</v>
      </c>
      <c r="B1169" s="73" t="s">
        <v>1808</v>
      </c>
      <c r="C1169" s="73" t="s">
        <v>1440</v>
      </c>
      <c r="D1169" s="73">
        <v>4</v>
      </c>
      <c r="E1169" s="73">
        <v>0</v>
      </c>
      <c r="F1169" s="73">
        <v>1</v>
      </c>
      <c r="G1169" s="80">
        <v>21</v>
      </c>
      <c r="H1169" s="73">
        <v>60</v>
      </c>
      <c r="I1169" s="17">
        <v>0</v>
      </c>
      <c r="J1169" s="80">
        <v>0</v>
      </c>
      <c r="K1169" s="73">
        <v>0</v>
      </c>
      <c r="L1169" s="73">
        <v>0</v>
      </c>
      <c r="N1169" s="73">
        <v>0</v>
      </c>
      <c r="Q1169" s="140"/>
      <c r="R1169" s="140"/>
      <c r="S1169" s="140"/>
      <c r="T1169" s="140"/>
      <c r="U1169" s="73">
        <v>1</v>
      </c>
      <c r="V1169" s="73">
        <v>0</v>
      </c>
      <c r="X1169" s="73">
        <v>1</v>
      </c>
      <c r="Z1169" s="142">
        <v>0</v>
      </c>
      <c r="AB1169" s="143"/>
      <c r="AC1169" s="143"/>
      <c r="AD1169" s="73" t="s">
        <v>109</v>
      </c>
      <c r="AE1169" s="73" t="s">
        <v>109</v>
      </c>
      <c r="AF1169" s="73" t="s">
        <v>4476</v>
      </c>
      <c r="AG1169" s="73" t="s">
        <v>1816</v>
      </c>
      <c r="AH1169" s="73" t="s">
        <v>4783</v>
      </c>
      <c r="AI1169" s="73" t="s">
        <v>110</v>
      </c>
      <c r="AJ1169" s="73" t="s">
        <v>7449</v>
      </c>
      <c r="AK1169" s="73" t="s">
        <v>118</v>
      </c>
      <c r="AL1169" s="80">
        <v>2</v>
      </c>
      <c r="AM1169" s="147"/>
      <c r="AN1169" s="147"/>
      <c r="AP1169" s="226">
        <v>1</v>
      </c>
      <c r="AQ1169" s="73">
        <v>0</v>
      </c>
      <c r="AR1169" s="73">
        <v>0</v>
      </c>
      <c r="AS1169" s="73">
        <v>0</v>
      </c>
      <c r="AT1169" s="73">
        <v>0</v>
      </c>
      <c r="AU1169" s="226">
        <v>0</v>
      </c>
      <c r="AV1169" s="17">
        <f t="shared" si="160"/>
        <v>0</v>
      </c>
      <c r="AW1169" s="50" t="str">
        <f t="shared" si="159"/>
        <v>{s_taskTalk,{0,0}}</v>
      </c>
    </row>
    <row r="1170" spans="1:49" s="73" customFormat="1" ht="96" x14ac:dyDescent="0.15">
      <c r="A1170" s="9">
        <v>20121</v>
      </c>
      <c r="B1170" s="73" t="s">
        <v>1809</v>
      </c>
      <c r="C1170" s="73" t="s">
        <v>1440</v>
      </c>
      <c r="D1170" s="73">
        <v>4</v>
      </c>
      <c r="E1170" s="73">
        <v>0</v>
      </c>
      <c r="F1170" s="73">
        <v>1</v>
      </c>
      <c r="G1170" s="80">
        <v>61</v>
      </c>
      <c r="H1170" s="73">
        <v>200</v>
      </c>
      <c r="I1170" s="17">
        <v>0</v>
      </c>
      <c r="J1170" s="80">
        <v>0</v>
      </c>
      <c r="K1170" s="73">
        <v>0</v>
      </c>
      <c r="L1170" s="73">
        <v>0</v>
      </c>
      <c r="N1170" s="73">
        <v>0</v>
      </c>
      <c r="Q1170" s="140"/>
      <c r="R1170" s="140"/>
      <c r="S1170" s="140"/>
      <c r="T1170" s="140"/>
      <c r="U1170" s="73">
        <v>1</v>
      </c>
      <c r="V1170" s="73">
        <v>0</v>
      </c>
      <c r="X1170" s="73">
        <v>1</v>
      </c>
      <c r="Z1170" s="142">
        <v>0</v>
      </c>
      <c r="AB1170" s="143"/>
      <c r="AC1170" s="143"/>
      <c r="AD1170" s="73" t="s">
        <v>109</v>
      </c>
      <c r="AE1170" s="73" t="s">
        <v>109</v>
      </c>
      <c r="AF1170" s="73" t="s">
        <v>4477</v>
      </c>
      <c r="AG1170" s="73" t="s">
        <v>122</v>
      </c>
      <c r="AH1170" s="73" t="s">
        <v>4783</v>
      </c>
      <c r="AI1170" s="73" t="s">
        <v>110</v>
      </c>
      <c r="AJ1170" s="73" t="s">
        <v>7449</v>
      </c>
      <c r="AK1170" s="73" t="s">
        <v>118</v>
      </c>
      <c r="AL1170" s="80">
        <v>2</v>
      </c>
      <c r="AM1170" s="147"/>
      <c r="AN1170" s="147"/>
      <c r="AP1170" s="226">
        <v>1</v>
      </c>
      <c r="AQ1170" s="73">
        <v>0</v>
      </c>
      <c r="AR1170" s="73">
        <v>0</v>
      </c>
      <c r="AS1170" s="73">
        <v>0</v>
      </c>
      <c r="AT1170" s="73">
        <v>0</v>
      </c>
      <c r="AU1170" s="226">
        <v>0</v>
      </c>
      <c r="AV1170" s="17">
        <f t="shared" si="160"/>
        <v>0</v>
      </c>
      <c r="AW1170" s="50" t="str">
        <f t="shared" si="159"/>
        <v>{s_taskTalk,{0,0}}</v>
      </c>
    </row>
    <row r="1171" spans="1:49" s="73" customFormat="1" ht="84" x14ac:dyDescent="0.15">
      <c r="A1171" s="9">
        <v>20130</v>
      </c>
      <c r="B1171" s="73" t="s">
        <v>123</v>
      </c>
      <c r="C1171" s="73" t="s">
        <v>1441</v>
      </c>
      <c r="D1171" s="73">
        <v>4</v>
      </c>
      <c r="E1171" s="73">
        <v>0</v>
      </c>
      <c r="F1171" s="73">
        <v>1</v>
      </c>
      <c r="G1171" s="80">
        <v>21</v>
      </c>
      <c r="H1171" s="73">
        <v>200</v>
      </c>
      <c r="I1171" s="17">
        <v>0</v>
      </c>
      <c r="J1171" s="80">
        <v>0</v>
      </c>
      <c r="K1171" s="73">
        <v>0</v>
      </c>
      <c r="L1171" s="73">
        <v>0</v>
      </c>
      <c r="N1171" s="73">
        <v>0</v>
      </c>
      <c r="Q1171" s="140"/>
      <c r="R1171" s="140"/>
      <c r="S1171" s="140"/>
      <c r="T1171" s="140"/>
      <c r="U1171" s="73">
        <v>1</v>
      </c>
      <c r="V1171" s="73">
        <v>0</v>
      </c>
      <c r="X1171" s="73">
        <v>1</v>
      </c>
      <c r="Z1171" s="142">
        <v>0</v>
      </c>
      <c r="AB1171" s="143"/>
      <c r="AC1171" s="143"/>
      <c r="AD1171" s="73" t="s">
        <v>109</v>
      </c>
      <c r="AE1171" s="73" t="s">
        <v>109</v>
      </c>
      <c r="AF1171" s="73" t="s">
        <v>4478</v>
      </c>
      <c r="AG1171" s="73" t="s">
        <v>124</v>
      </c>
      <c r="AH1171" s="73" t="s">
        <v>114</v>
      </c>
      <c r="AI1171" s="73" t="s">
        <v>110</v>
      </c>
      <c r="AJ1171" s="73" t="s">
        <v>7446</v>
      </c>
      <c r="AK1171" s="73" t="s">
        <v>115</v>
      </c>
      <c r="AL1171" s="80">
        <v>2</v>
      </c>
      <c r="AM1171" s="147"/>
      <c r="AN1171" s="147"/>
      <c r="AP1171" s="226">
        <v>1</v>
      </c>
      <c r="AQ1171" s="73">
        <v>0</v>
      </c>
      <c r="AR1171" s="73">
        <v>0</v>
      </c>
      <c r="AS1171" s="73">
        <v>0</v>
      </c>
      <c r="AT1171" s="73">
        <v>0</v>
      </c>
      <c r="AU1171" s="226">
        <v>0</v>
      </c>
      <c r="AV1171" s="17">
        <f t="shared" si="160"/>
        <v>0</v>
      </c>
      <c r="AW1171" s="50" t="str">
        <f t="shared" si="159"/>
        <v>{s_taskTalk,{0,0}}</v>
      </c>
    </row>
    <row r="1172" spans="1:49" s="73" customFormat="1" ht="84" x14ac:dyDescent="0.15">
      <c r="A1172" s="9">
        <v>20131</v>
      </c>
      <c r="B1172" s="73" t="s">
        <v>125</v>
      </c>
      <c r="C1172" s="73" t="s">
        <v>1442</v>
      </c>
      <c r="D1172" s="73">
        <v>4</v>
      </c>
      <c r="E1172" s="73">
        <v>0</v>
      </c>
      <c r="F1172" s="73">
        <v>1</v>
      </c>
      <c r="G1172" s="80">
        <v>21</v>
      </c>
      <c r="H1172" s="73">
        <v>200</v>
      </c>
      <c r="I1172" s="17">
        <v>0</v>
      </c>
      <c r="J1172" s="80">
        <v>0</v>
      </c>
      <c r="K1172" s="73">
        <v>0</v>
      </c>
      <c r="L1172" s="73">
        <v>0</v>
      </c>
      <c r="N1172" s="73">
        <v>0</v>
      </c>
      <c r="Q1172" s="140"/>
      <c r="R1172" s="140"/>
      <c r="S1172" s="140"/>
      <c r="T1172" s="140"/>
      <c r="U1172" s="73">
        <v>1</v>
      </c>
      <c r="V1172" s="73">
        <v>0</v>
      </c>
      <c r="X1172" s="73">
        <v>1</v>
      </c>
      <c r="Z1172" s="142">
        <v>0</v>
      </c>
      <c r="AB1172" s="143"/>
      <c r="AC1172" s="143"/>
      <c r="AD1172" s="73" t="s">
        <v>109</v>
      </c>
      <c r="AE1172" s="73" t="s">
        <v>109</v>
      </c>
      <c r="AF1172" s="73" t="s">
        <v>4479</v>
      </c>
      <c r="AG1172" s="73" t="s">
        <v>126</v>
      </c>
      <c r="AH1172" s="73" t="s">
        <v>114</v>
      </c>
      <c r="AI1172" s="73" t="s">
        <v>110</v>
      </c>
      <c r="AJ1172" s="73" t="s">
        <v>7446</v>
      </c>
      <c r="AK1172" s="73" t="s">
        <v>115</v>
      </c>
      <c r="AL1172" s="80">
        <v>2</v>
      </c>
      <c r="AM1172" s="147"/>
      <c r="AN1172" s="147"/>
      <c r="AP1172" s="226">
        <v>1</v>
      </c>
      <c r="AQ1172" s="73">
        <v>0</v>
      </c>
      <c r="AR1172" s="73">
        <v>0</v>
      </c>
      <c r="AS1172" s="73">
        <v>0</v>
      </c>
      <c r="AT1172" s="73">
        <v>0</v>
      </c>
      <c r="AU1172" s="226">
        <v>0</v>
      </c>
      <c r="AV1172" s="17">
        <f t="shared" si="160"/>
        <v>0</v>
      </c>
      <c r="AW1172" s="50" t="str">
        <f t="shared" si="159"/>
        <v>{s_taskTalk,{0,0}}</v>
      </c>
    </row>
    <row r="1173" spans="1:49" s="73" customFormat="1" ht="96" x14ac:dyDescent="0.15">
      <c r="A1173" s="9">
        <v>20132</v>
      </c>
      <c r="B1173" s="73" t="s">
        <v>127</v>
      </c>
      <c r="C1173" s="73" t="s">
        <v>1443</v>
      </c>
      <c r="D1173" s="73">
        <v>4</v>
      </c>
      <c r="E1173" s="73">
        <v>0</v>
      </c>
      <c r="F1173" s="73">
        <v>1</v>
      </c>
      <c r="G1173" s="80">
        <v>21</v>
      </c>
      <c r="H1173" s="73">
        <v>200</v>
      </c>
      <c r="I1173" s="17">
        <v>0</v>
      </c>
      <c r="J1173" s="80">
        <v>0</v>
      </c>
      <c r="K1173" s="73">
        <v>0</v>
      </c>
      <c r="L1173" s="73">
        <v>0</v>
      </c>
      <c r="N1173" s="73">
        <v>0</v>
      </c>
      <c r="Q1173" s="140"/>
      <c r="R1173" s="140"/>
      <c r="S1173" s="140"/>
      <c r="T1173" s="140"/>
      <c r="U1173" s="73">
        <v>1</v>
      </c>
      <c r="V1173" s="73">
        <v>0</v>
      </c>
      <c r="X1173" s="73">
        <v>1</v>
      </c>
      <c r="Z1173" s="142">
        <v>0</v>
      </c>
      <c r="AB1173" s="143"/>
      <c r="AC1173" s="143"/>
      <c r="AD1173" s="73" t="s">
        <v>109</v>
      </c>
      <c r="AE1173" s="73" t="s">
        <v>109</v>
      </c>
      <c r="AF1173" s="73" t="s">
        <v>4480</v>
      </c>
      <c r="AG1173" s="73" t="s">
        <v>128</v>
      </c>
      <c r="AH1173" s="73" t="s">
        <v>114</v>
      </c>
      <c r="AI1173" s="73" t="s">
        <v>110</v>
      </c>
      <c r="AJ1173" s="73" t="s">
        <v>7446</v>
      </c>
      <c r="AK1173" s="73" t="s">
        <v>115</v>
      </c>
      <c r="AL1173" s="80">
        <v>2</v>
      </c>
      <c r="AM1173" s="147"/>
      <c r="AN1173" s="147"/>
      <c r="AP1173" s="226">
        <v>1</v>
      </c>
      <c r="AQ1173" s="73">
        <v>0</v>
      </c>
      <c r="AR1173" s="73">
        <v>0</v>
      </c>
      <c r="AS1173" s="73">
        <v>0</v>
      </c>
      <c r="AT1173" s="73">
        <v>0</v>
      </c>
      <c r="AU1173" s="226">
        <v>0</v>
      </c>
      <c r="AV1173" s="17">
        <f t="shared" si="160"/>
        <v>0</v>
      </c>
      <c r="AW1173" s="50" t="str">
        <f t="shared" si="159"/>
        <v>{s_taskTalk,{0,0}}</v>
      </c>
    </row>
    <row r="1174" spans="1:49" s="73" customFormat="1" ht="108" x14ac:dyDescent="0.15">
      <c r="A1174" s="9">
        <v>20133</v>
      </c>
      <c r="B1174" s="73" t="s">
        <v>129</v>
      </c>
      <c r="C1174" s="73" t="s">
        <v>1444</v>
      </c>
      <c r="D1174" s="73">
        <v>4</v>
      </c>
      <c r="E1174" s="73">
        <v>0</v>
      </c>
      <c r="F1174" s="73">
        <v>1</v>
      </c>
      <c r="G1174" s="80">
        <v>21</v>
      </c>
      <c r="H1174" s="73">
        <v>200</v>
      </c>
      <c r="I1174" s="17">
        <v>0</v>
      </c>
      <c r="J1174" s="80">
        <v>0</v>
      </c>
      <c r="K1174" s="73">
        <v>0</v>
      </c>
      <c r="L1174" s="73">
        <v>0</v>
      </c>
      <c r="N1174" s="73">
        <v>0</v>
      </c>
      <c r="Q1174" s="140"/>
      <c r="R1174" s="140"/>
      <c r="S1174" s="140"/>
      <c r="T1174" s="140"/>
      <c r="U1174" s="73">
        <v>1</v>
      </c>
      <c r="V1174" s="73">
        <v>0</v>
      </c>
      <c r="X1174" s="73">
        <v>1</v>
      </c>
      <c r="Z1174" s="142">
        <v>0</v>
      </c>
      <c r="AB1174" s="143"/>
      <c r="AC1174" s="143"/>
      <c r="AD1174" s="73" t="s">
        <v>109</v>
      </c>
      <c r="AE1174" s="73" t="s">
        <v>109</v>
      </c>
      <c r="AF1174" s="73" t="s">
        <v>4481</v>
      </c>
      <c r="AG1174" s="73" t="s">
        <v>130</v>
      </c>
      <c r="AH1174" s="73" t="s">
        <v>114</v>
      </c>
      <c r="AI1174" s="73" t="s">
        <v>110</v>
      </c>
      <c r="AJ1174" s="73" t="s">
        <v>7446</v>
      </c>
      <c r="AK1174" s="73" t="s">
        <v>115</v>
      </c>
      <c r="AL1174" s="80">
        <v>2</v>
      </c>
      <c r="AM1174" s="147"/>
      <c r="AN1174" s="147"/>
      <c r="AP1174" s="226">
        <v>1</v>
      </c>
      <c r="AQ1174" s="73">
        <v>0</v>
      </c>
      <c r="AR1174" s="73">
        <v>0</v>
      </c>
      <c r="AS1174" s="73">
        <v>0</v>
      </c>
      <c r="AT1174" s="73">
        <v>0</v>
      </c>
      <c r="AU1174" s="226">
        <v>0</v>
      </c>
      <c r="AV1174" s="17">
        <f t="shared" si="160"/>
        <v>0</v>
      </c>
      <c r="AW1174" s="50" t="str">
        <f t="shared" si="159"/>
        <v>{s_taskTalk,{0,0}}</v>
      </c>
    </row>
    <row r="1175" spans="1:49" s="73" customFormat="1" ht="120" x14ac:dyDescent="0.15">
      <c r="A1175" s="9">
        <v>20150</v>
      </c>
      <c r="B1175" s="73" t="s">
        <v>131</v>
      </c>
      <c r="C1175" s="73" t="s">
        <v>1445</v>
      </c>
      <c r="D1175" s="73">
        <v>4</v>
      </c>
      <c r="E1175" s="73">
        <v>0</v>
      </c>
      <c r="F1175" s="73">
        <v>1</v>
      </c>
      <c r="G1175" s="80">
        <v>21</v>
      </c>
      <c r="H1175" s="73">
        <v>200</v>
      </c>
      <c r="I1175" s="17">
        <v>0</v>
      </c>
      <c r="J1175" s="80">
        <v>0</v>
      </c>
      <c r="K1175" s="73">
        <v>0</v>
      </c>
      <c r="L1175" s="73">
        <v>0</v>
      </c>
      <c r="N1175" s="73">
        <v>0</v>
      </c>
      <c r="Q1175" s="140"/>
      <c r="R1175" s="140"/>
      <c r="S1175" s="140"/>
      <c r="T1175" s="140"/>
      <c r="U1175" s="73">
        <v>1</v>
      </c>
      <c r="V1175" s="73">
        <v>0</v>
      </c>
      <c r="X1175" s="73">
        <v>1</v>
      </c>
      <c r="Z1175" s="142">
        <v>0</v>
      </c>
      <c r="AB1175" s="143"/>
      <c r="AC1175" s="143"/>
      <c r="AD1175" s="73" t="s">
        <v>109</v>
      </c>
      <c r="AE1175" s="73" t="s">
        <v>2826</v>
      </c>
      <c r="AF1175" s="73" t="s">
        <v>4593</v>
      </c>
      <c r="AG1175" s="73" t="s">
        <v>132</v>
      </c>
      <c r="AH1175" s="73" t="s">
        <v>4780</v>
      </c>
      <c r="AI1175" s="73" t="s">
        <v>110</v>
      </c>
      <c r="AJ1175" s="73" t="s">
        <v>7450</v>
      </c>
      <c r="AK1175" s="73" t="s">
        <v>118</v>
      </c>
      <c r="AL1175" s="80">
        <v>2</v>
      </c>
      <c r="AM1175" s="147"/>
      <c r="AN1175" s="147"/>
      <c r="AP1175" s="226">
        <v>1</v>
      </c>
      <c r="AQ1175" s="73">
        <v>0</v>
      </c>
      <c r="AR1175" s="73">
        <v>0</v>
      </c>
      <c r="AS1175" s="73">
        <v>0</v>
      </c>
      <c r="AT1175" s="73">
        <v>0</v>
      </c>
      <c r="AU1175" s="226">
        <v>0</v>
      </c>
      <c r="AV1175" s="17">
        <f t="shared" si="160"/>
        <v>0</v>
      </c>
      <c r="AW1175" s="50" t="str">
        <f t="shared" si="159"/>
        <v>{s_taskTalk,{0,0}}</v>
      </c>
    </row>
    <row r="1176" spans="1:49" s="73" customFormat="1" ht="108" x14ac:dyDescent="0.15">
      <c r="A1176" s="9">
        <v>20151</v>
      </c>
      <c r="B1176" s="73" t="s">
        <v>133</v>
      </c>
      <c r="C1176" s="73" t="s">
        <v>1462</v>
      </c>
      <c r="D1176" s="73">
        <v>4</v>
      </c>
      <c r="E1176" s="73">
        <v>0</v>
      </c>
      <c r="F1176" s="73">
        <v>1</v>
      </c>
      <c r="G1176" s="80">
        <v>21</v>
      </c>
      <c r="H1176" s="73">
        <v>200</v>
      </c>
      <c r="I1176" s="17">
        <v>0</v>
      </c>
      <c r="J1176" s="80">
        <v>0</v>
      </c>
      <c r="K1176" s="73">
        <v>0</v>
      </c>
      <c r="L1176" s="73">
        <v>0</v>
      </c>
      <c r="N1176" s="73">
        <v>0</v>
      </c>
      <c r="Q1176" s="140"/>
      <c r="R1176" s="140"/>
      <c r="S1176" s="140"/>
      <c r="T1176" s="140"/>
      <c r="U1176" s="73">
        <v>1</v>
      </c>
      <c r="V1176" s="73">
        <v>0</v>
      </c>
      <c r="X1176" s="73">
        <v>1</v>
      </c>
      <c r="Z1176" s="142">
        <v>0</v>
      </c>
      <c r="AB1176" s="143"/>
      <c r="AC1176" s="143"/>
      <c r="AD1176" s="73" t="s">
        <v>109</v>
      </c>
      <c r="AE1176" s="73" t="s">
        <v>109</v>
      </c>
      <c r="AF1176" s="73" t="s">
        <v>4482</v>
      </c>
      <c r="AG1176" s="73" t="s">
        <v>134</v>
      </c>
      <c r="AH1176" s="73" t="s">
        <v>4780</v>
      </c>
      <c r="AI1176" s="73" t="s">
        <v>110</v>
      </c>
      <c r="AJ1176" s="73" t="s">
        <v>7451</v>
      </c>
      <c r="AK1176" s="73" t="s">
        <v>118</v>
      </c>
      <c r="AL1176" s="80">
        <v>2</v>
      </c>
      <c r="AM1176" s="147"/>
      <c r="AN1176" s="147"/>
      <c r="AP1176" s="226">
        <v>1</v>
      </c>
      <c r="AQ1176" s="73">
        <v>0</v>
      </c>
      <c r="AR1176" s="73">
        <v>0</v>
      </c>
      <c r="AS1176" s="73">
        <v>0</v>
      </c>
      <c r="AT1176" s="73">
        <v>0</v>
      </c>
      <c r="AU1176" s="226">
        <v>0</v>
      </c>
      <c r="AV1176" s="17">
        <f t="shared" si="160"/>
        <v>0</v>
      </c>
      <c r="AW1176" s="50" t="str">
        <f t="shared" si="159"/>
        <v>{s_taskTalk,{0,0}}</v>
      </c>
    </row>
    <row r="1177" spans="1:49" s="141" customFormat="1" ht="108" x14ac:dyDescent="0.15">
      <c r="A1177" s="618">
        <v>20152</v>
      </c>
      <c r="B1177" s="141" t="s">
        <v>135</v>
      </c>
      <c r="C1177" s="141" t="s">
        <v>1463</v>
      </c>
      <c r="D1177" s="141">
        <v>4</v>
      </c>
      <c r="E1177" s="141">
        <v>0</v>
      </c>
      <c r="F1177" s="141">
        <v>1</v>
      </c>
      <c r="G1177" s="619">
        <v>21</v>
      </c>
      <c r="H1177" s="141">
        <v>200</v>
      </c>
      <c r="I1177" s="17">
        <v>0</v>
      </c>
      <c r="J1177" s="619">
        <v>0</v>
      </c>
      <c r="K1177" s="141">
        <v>0</v>
      </c>
      <c r="L1177" s="141">
        <v>0</v>
      </c>
      <c r="N1177" s="141">
        <v>0</v>
      </c>
      <c r="Q1177" s="140"/>
      <c r="R1177" s="140"/>
      <c r="S1177" s="140"/>
      <c r="T1177" s="140"/>
      <c r="U1177" s="141">
        <v>1</v>
      </c>
      <c r="V1177" s="141">
        <v>0</v>
      </c>
      <c r="X1177" s="141">
        <v>1</v>
      </c>
      <c r="Z1177" s="620">
        <v>0</v>
      </c>
      <c r="AB1177" s="144"/>
      <c r="AC1177" s="144"/>
      <c r="AD1177" s="141" t="s">
        <v>109</v>
      </c>
      <c r="AE1177" s="141" t="s">
        <v>109</v>
      </c>
      <c r="AF1177" s="141" t="s">
        <v>4482</v>
      </c>
      <c r="AG1177" s="141" t="s">
        <v>136</v>
      </c>
      <c r="AH1177" s="141" t="s">
        <v>4780</v>
      </c>
      <c r="AI1177" s="141" t="s">
        <v>110</v>
      </c>
      <c r="AJ1177" s="141" t="s">
        <v>7452</v>
      </c>
      <c r="AK1177" s="141" t="s">
        <v>118</v>
      </c>
      <c r="AL1177" s="619">
        <v>2</v>
      </c>
      <c r="AM1177" s="187"/>
      <c r="AN1177" s="187"/>
      <c r="AP1177" s="229">
        <v>1</v>
      </c>
      <c r="AQ1177" s="141">
        <v>0</v>
      </c>
      <c r="AR1177" s="141">
        <v>0</v>
      </c>
      <c r="AS1177" s="141">
        <v>0</v>
      </c>
      <c r="AT1177" s="141">
        <v>0</v>
      </c>
      <c r="AU1177" s="226">
        <v>0</v>
      </c>
      <c r="AV1177" s="17">
        <f t="shared" si="160"/>
        <v>0</v>
      </c>
      <c r="AW1177" s="50" t="str">
        <f t="shared" si="159"/>
        <v>{s_taskTalk,{0,0}}</v>
      </c>
    </row>
    <row r="1178" spans="1:49" s="141" customFormat="1" ht="96" x14ac:dyDescent="0.15">
      <c r="A1178" s="618">
        <v>20153</v>
      </c>
      <c r="B1178" s="141" t="s">
        <v>137</v>
      </c>
      <c r="C1178" s="141" t="s">
        <v>1450</v>
      </c>
      <c r="D1178" s="141">
        <v>4</v>
      </c>
      <c r="E1178" s="141">
        <v>0</v>
      </c>
      <c r="F1178" s="141">
        <v>1</v>
      </c>
      <c r="G1178" s="619">
        <v>21</v>
      </c>
      <c r="H1178" s="141">
        <v>200</v>
      </c>
      <c r="I1178" s="17">
        <v>0</v>
      </c>
      <c r="J1178" s="619">
        <v>0</v>
      </c>
      <c r="K1178" s="141">
        <v>0</v>
      </c>
      <c r="L1178" s="141">
        <v>0</v>
      </c>
      <c r="N1178" s="141">
        <v>0</v>
      </c>
      <c r="Q1178" s="140"/>
      <c r="R1178" s="140"/>
      <c r="S1178" s="140"/>
      <c r="T1178" s="140"/>
      <c r="U1178" s="141">
        <v>1</v>
      </c>
      <c r="V1178" s="141">
        <v>0</v>
      </c>
      <c r="X1178" s="141">
        <v>1</v>
      </c>
      <c r="Z1178" s="620">
        <v>0</v>
      </c>
      <c r="AB1178" s="144"/>
      <c r="AC1178" s="144"/>
      <c r="AD1178" s="141" t="s">
        <v>109</v>
      </c>
      <c r="AE1178" s="141" t="s">
        <v>109</v>
      </c>
      <c r="AF1178" s="141" t="s">
        <v>4483</v>
      </c>
      <c r="AG1178" s="141" t="s">
        <v>138</v>
      </c>
      <c r="AH1178" s="141" t="s">
        <v>4780</v>
      </c>
      <c r="AI1178" s="141" t="s">
        <v>110</v>
      </c>
      <c r="AJ1178" s="141" t="s">
        <v>7453</v>
      </c>
      <c r="AK1178" s="141" t="s">
        <v>118</v>
      </c>
      <c r="AL1178" s="619">
        <v>2</v>
      </c>
      <c r="AM1178" s="187"/>
      <c r="AN1178" s="187"/>
      <c r="AP1178" s="229">
        <v>1</v>
      </c>
      <c r="AQ1178" s="141">
        <v>0</v>
      </c>
      <c r="AR1178" s="141">
        <v>0</v>
      </c>
      <c r="AS1178" s="141">
        <v>0</v>
      </c>
      <c r="AT1178" s="141">
        <v>0</v>
      </c>
      <c r="AU1178" s="226">
        <v>0</v>
      </c>
      <c r="AV1178" s="17">
        <f t="shared" si="160"/>
        <v>0</v>
      </c>
      <c r="AW1178" s="50" t="str">
        <f t="shared" si="159"/>
        <v>{s_taskTalk,{0,0}}</v>
      </c>
    </row>
    <row r="1179" spans="1:49" s="141" customFormat="1" ht="96" x14ac:dyDescent="0.15">
      <c r="A1179" s="618">
        <v>20154</v>
      </c>
      <c r="B1179" s="141" t="s">
        <v>139</v>
      </c>
      <c r="C1179" s="141" t="s">
        <v>1451</v>
      </c>
      <c r="D1179" s="141">
        <v>4</v>
      </c>
      <c r="E1179" s="141">
        <v>0</v>
      </c>
      <c r="F1179" s="141">
        <v>1</v>
      </c>
      <c r="G1179" s="619">
        <v>21</v>
      </c>
      <c r="H1179" s="141">
        <v>200</v>
      </c>
      <c r="I1179" s="17">
        <v>0</v>
      </c>
      <c r="J1179" s="619">
        <v>0</v>
      </c>
      <c r="K1179" s="141">
        <v>0</v>
      </c>
      <c r="L1179" s="141">
        <v>0</v>
      </c>
      <c r="N1179" s="141">
        <v>0</v>
      </c>
      <c r="Q1179" s="140"/>
      <c r="R1179" s="140"/>
      <c r="S1179" s="140"/>
      <c r="T1179" s="140"/>
      <c r="U1179" s="141">
        <v>1</v>
      </c>
      <c r="V1179" s="141">
        <v>0</v>
      </c>
      <c r="X1179" s="141">
        <v>1</v>
      </c>
      <c r="Z1179" s="620">
        <v>0</v>
      </c>
      <c r="AB1179" s="144"/>
      <c r="AC1179" s="144"/>
      <c r="AD1179" s="141" t="s">
        <v>109</v>
      </c>
      <c r="AE1179" s="141" t="s">
        <v>109</v>
      </c>
      <c r="AF1179" s="141" t="s">
        <v>4484</v>
      </c>
      <c r="AG1179" s="141" t="s">
        <v>138</v>
      </c>
      <c r="AH1179" s="141" t="s">
        <v>4780</v>
      </c>
      <c r="AI1179" s="141" t="s">
        <v>110</v>
      </c>
      <c r="AJ1179" s="141" t="s">
        <v>7453</v>
      </c>
      <c r="AK1179" s="141" t="s">
        <v>118</v>
      </c>
      <c r="AL1179" s="619">
        <v>2</v>
      </c>
      <c r="AM1179" s="187"/>
      <c r="AN1179" s="187"/>
      <c r="AP1179" s="229">
        <v>1</v>
      </c>
      <c r="AQ1179" s="141">
        <v>0</v>
      </c>
      <c r="AR1179" s="141">
        <v>0</v>
      </c>
      <c r="AS1179" s="141">
        <v>0</v>
      </c>
      <c r="AT1179" s="141">
        <v>0</v>
      </c>
      <c r="AU1179" s="226">
        <v>0</v>
      </c>
      <c r="AV1179" s="17">
        <f t="shared" si="160"/>
        <v>0</v>
      </c>
      <c r="AW1179" s="50" t="str">
        <f t="shared" si="159"/>
        <v>{s_taskTalk,{0,0}}</v>
      </c>
    </row>
    <row r="1180" spans="1:49" s="73" customFormat="1" ht="96" x14ac:dyDescent="0.15">
      <c r="A1180" s="9">
        <v>20155</v>
      </c>
      <c r="B1180" s="73" t="s">
        <v>140</v>
      </c>
      <c r="C1180" s="73" t="s">
        <v>1452</v>
      </c>
      <c r="D1180" s="73">
        <v>4</v>
      </c>
      <c r="E1180" s="73">
        <v>0</v>
      </c>
      <c r="F1180" s="73">
        <v>1</v>
      </c>
      <c r="G1180" s="80">
        <v>21</v>
      </c>
      <c r="H1180" s="73">
        <v>200</v>
      </c>
      <c r="I1180" s="17">
        <v>0</v>
      </c>
      <c r="J1180" s="80">
        <v>0</v>
      </c>
      <c r="K1180" s="73">
        <v>0</v>
      </c>
      <c r="L1180" s="73">
        <v>0</v>
      </c>
      <c r="N1180" s="73">
        <v>0</v>
      </c>
      <c r="Q1180" s="140"/>
      <c r="R1180" s="140"/>
      <c r="S1180" s="140"/>
      <c r="T1180" s="140"/>
      <c r="U1180" s="73">
        <v>1</v>
      </c>
      <c r="V1180" s="73">
        <v>0</v>
      </c>
      <c r="X1180" s="73">
        <v>1</v>
      </c>
      <c r="Z1180" s="142">
        <v>0</v>
      </c>
      <c r="AB1180" s="143"/>
      <c r="AC1180" s="143"/>
      <c r="AD1180" s="73" t="s">
        <v>109</v>
      </c>
      <c r="AE1180" s="73" t="s">
        <v>109</v>
      </c>
      <c r="AF1180" s="73" t="s">
        <v>4485</v>
      </c>
      <c r="AG1180" s="73" t="s">
        <v>138</v>
      </c>
      <c r="AH1180" s="73" t="s">
        <v>4780</v>
      </c>
      <c r="AI1180" s="73" t="s">
        <v>110</v>
      </c>
      <c r="AJ1180" s="73" t="s">
        <v>7453</v>
      </c>
      <c r="AK1180" s="73" t="s">
        <v>118</v>
      </c>
      <c r="AL1180" s="80">
        <v>2</v>
      </c>
      <c r="AM1180" s="147"/>
      <c r="AN1180" s="147"/>
      <c r="AP1180" s="226">
        <v>1</v>
      </c>
      <c r="AQ1180" s="73">
        <v>0</v>
      </c>
      <c r="AR1180" s="73">
        <v>0</v>
      </c>
      <c r="AS1180" s="73">
        <v>0</v>
      </c>
      <c r="AT1180" s="73">
        <v>0</v>
      </c>
      <c r="AU1180" s="226">
        <v>0</v>
      </c>
      <c r="AV1180" s="17">
        <f t="shared" si="160"/>
        <v>0</v>
      </c>
      <c r="AW1180" s="50" t="str">
        <f t="shared" si="159"/>
        <v>{s_taskTalk,{0,0}}</v>
      </c>
    </row>
    <row r="1181" spans="1:49" s="73" customFormat="1" ht="96" x14ac:dyDescent="0.15">
      <c r="A1181" s="9">
        <v>20160</v>
      </c>
      <c r="B1181" s="73" t="s">
        <v>320</v>
      </c>
      <c r="C1181" s="73" t="s">
        <v>1453</v>
      </c>
      <c r="D1181" s="73">
        <v>4</v>
      </c>
      <c r="E1181" s="73">
        <v>0</v>
      </c>
      <c r="F1181" s="73">
        <v>1</v>
      </c>
      <c r="G1181" s="80">
        <v>21</v>
      </c>
      <c r="H1181" s="73">
        <v>200</v>
      </c>
      <c r="I1181" s="17">
        <v>0</v>
      </c>
      <c r="J1181" s="80">
        <v>0</v>
      </c>
      <c r="K1181" s="73">
        <v>0</v>
      </c>
      <c r="L1181" s="73">
        <v>0</v>
      </c>
      <c r="N1181" s="73">
        <v>0</v>
      </c>
      <c r="Q1181" s="140"/>
      <c r="R1181" s="140"/>
      <c r="S1181" s="140"/>
      <c r="T1181" s="140"/>
      <c r="U1181" s="73">
        <v>1</v>
      </c>
      <c r="V1181" s="73">
        <v>1</v>
      </c>
      <c r="X1181" s="73">
        <v>1</v>
      </c>
      <c r="Z1181" s="142">
        <v>0</v>
      </c>
      <c r="AB1181" s="143"/>
      <c r="AC1181" s="143"/>
      <c r="AD1181" s="73" t="s">
        <v>109</v>
      </c>
      <c r="AE1181" s="73" t="s">
        <v>109</v>
      </c>
      <c r="AF1181" s="73" t="s">
        <v>4784</v>
      </c>
      <c r="AG1181" s="73" t="s">
        <v>321</v>
      </c>
      <c r="AH1181" s="73" t="s">
        <v>4785</v>
      </c>
      <c r="AI1181" s="73" t="s">
        <v>141</v>
      </c>
      <c r="AJ1181" s="73" t="s">
        <v>7454</v>
      </c>
      <c r="AK1181" s="73" t="s">
        <v>142</v>
      </c>
      <c r="AL1181" s="80">
        <v>2</v>
      </c>
      <c r="AM1181" s="147"/>
      <c r="AN1181" s="147"/>
      <c r="AP1181" s="226">
        <v>1</v>
      </c>
      <c r="AQ1181" s="73">
        <v>0</v>
      </c>
      <c r="AR1181" s="73">
        <v>0</v>
      </c>
      <c r="AS1181" s="73">
        <v>0</v>
      </c>
      <c r="AT1181" s="73">
        <v>0</v>
      </c>
      <c r="AU1181" s="226">
        <v>0</v>
      </c>
      <c r="AV1181" s="17">
        <f t="shared" si="160"/>
        <v>0</v>
      </c>
      <c r="AW1181" s="50" t="str">
        <f t="shared" si="159"/>
        <v>{s_taskTalk,{0,0}}</v>
      </c>
    </row>
    <row r="1182" spans="1:49" s="73" customFormat="1" ht="84" x14ac:dyDescent="0.15">
      <c r="A1182" s="9">
        <v>20170</v>
      </c>
      <c r="B1182" s="73" t="s">
        <v>143</v>
      </c>
      <c r="C1182" s="73" t="s">
        <v>1454</v>
      </c>
      <c r="D1182" s="73">
        <v>4</v>
      </c>
      <c r="E1182" s="73">
        <v>0</v>
      </c>
      <c r="F1182" s="73">
        <v>1</v>
      </c>
      <c r="G1182" s="80">
        <v>21</v>
      </c>
      <c r="H1182" s="73">
        <v>200</v>
      </c>
      <c r="I1182" s="17">
        <v>0</v>
      </c>
      <c r="J1182" s="80">
        <v>0</v>
      </c>
      <c r="K1182" s="73">
        <v>0</v>
      </c>
      <c r="L1182" s="73">
        <v>0</v>
      </c>
      <c r="N1182" s="73">
        <v>0</v>
      </c>
      <c r="Q1182" s="140"/>
      <c r="R1182" s="140"/>
      <c r="S1182" s="140"/>
      <c r="T1182" s="140"/>
      <c r="U1182" s="73">
        <v>1</v>
      </c>
      <c r="V1182" s="73">
        <v>0</v>
      </c>
      <c r="X1182" s="73">
        <v>1</v>
      </c>
      <c r="Z1182" s="142">
        <v>0</v>
      </c>
      <c r="AB1182" s="143"/>
      <c r="AC1182" s="143"/>
      <c r="AD1182" s="73" t="s">
        <v>109</v>
      </c>
      <c r="AE1182" s="73" t="s">
        <v>109</v>
      </c>
      <c r="AF1182" s="73" t="s">
        <v>4786</v>
      </c>
      <c r="AG1182" s="73" t="s">
        <v>144</v>
      </c>
      <c r="AH1182" s="73" t="s">
        <v>4780</v>
      </c>
      <c r="AI1182" s="73" t="s">
        <v>141</v>
      </c>
      <c r="AJ1182" s="73" t="s">
        <v>7455</v>
      </c>
      <c r="AK1182" s="73" t="s">
        <v>142</v>
      </c>
      <c r="AL1182" s="80">
        <v>2</v>
      </c>
      <c r="AM1182" s="147"/>
      <c r="AN1182" s="147"/>
      <c r="AP1182" s="226">
        <v>1</v>
      </c>
      <c r="AQ1182" s="73">
        <v>0</v>
      </c>
      <c r="AR1182" s="73">
        <v>0</v>
      </c>
      <c r="AS1182" s="73">
        <v>0</v>
      </c>
      <c r="AT1182" s="73">
        <v>0</v>
      </c>
      <c r="AU1182" s="226">
        <v>0</v>
      </c>
      <c r="AV1182" s="17">
        <f t="shared" si="160"/>
        <v>0</v>
      </c>
      <c r="AW1182" s="50" t="str">
        <f t="shared" si="159"/>
        <v>{s_taskTalk,{0,0}}</v>
      </c>
    </row>
    <row r="1183" spans="1:49" s="73" customFormat="1" ht="144" x14ac:dyDescent="0.15">
      <c r="A1183" s="9">
        <v>20200</v>
      </c>
      <c r="B1183" s="73" t="s">
        <v>145</v>
      </c>
      <c r="C1183" s="73" t="s">
        <v>1282</v>
      </c>
      <c r="D1183" s="73">
        <v>4</v>
      </c>
      <c r="E1183" s="73">
        <v>0</v>
      </c>
      <c r="F1183" s="73">
        <v>1</v>
      </c>
      <c r="G1183" s="80">
        <v>21</v>
      </c>
      <c r="H1183" s="73">
        <v>200</v>
      </c>
      <c r="I1183" s="17">
        <v>0</v>
      </c>
      <c r="J1183" s="80">
        <v>0</v>
      </c>
      <c r="K1183" s="73">
        <v>0</v>
      </c>
      <c r="L1183" s="73">
        <v>0</v>
      </c>
      <c r="N1183" s="73">
        <v>0</v>
      </c>
      <c r="Q1183" s="140"/>
      <c r="R1183" s="140"/>
      <c r="S1183" s="140"/>
      <c r="T1183" s="140"/>
      <c r="U1183" s="73">
        <v>1</v>
      </c>
      <c r="V1183" s="73">
        <v>0</v>
      </c>
      <c r="X1183" s="73">
        <v>1</v>
      </c>
      <c r="Z1183" s="142">
        <v>0</v>
      </c>
      <c r="AB1183" s="143"/>
      <c r="AC1183" s="143"/>
      <c r="AD1183" s="73" t="s">
        <v>109</v>
      </c>
      <c r="AE1183" s="73" t="s">
        <v>2825</v>
      </c>
      <c r="AF1183" s="73" t="s">
        <v>2525</v>
      </c>
      <c r="AG1183" s="73" t="s">
        <v>4787</v>
      </c>
      <c r="AH1183" s="73" t="s">
        <v>4781</v>
      </c>
      <c r="AI1183" s="73" t="s">
        <v>110</v>
      </c>
      <c r="AJ1183" s="73" t="s">
        <v>7456</v>
      </c>
      <c r="AK1183" s="73" t="s">
        <v>118</v>
      </c>
      <c r="AL1183" s="80">
        <v>3</v>
      </c>
      <c r="AM1183" s="147" t="s">
        <v>610</v>
      </c>
      <c r="AN1183" s="147" t="s">
        <v>6026</v>
      </c>
      <c r="AP1183" s="226">
        <v>1</v>
      </c>
      <c r="AQ1183" s="73">
        <v>0</v>
      </c>
      <c r="AR1183" s="73">
        <v>0</v>
      </c>
      <c r="AS1183" s="73">
        <v>0</v>
      </c>
      <c r="AT1183" s="73">
        <v>0</v>
      </c>
      <c r="AU1183" s="226">
        <v>0</v>
      </c>
      <c r="AV1183" s="17">
        <f t="shared" si="160"/>
        <v>0</v>
      </c>
      <c r="AW1183" s="50" t="str">
        <f t="shared" si="159"/>
        <v>{s_taskTalk,{0,0}}</v>
      </c>
    </row>
    <row r="1184" spans="1:49" s="73" customFormat="1" ht="144" x14ac:dyDescent="0.15">
      <c r="A1184" s="9">
        <v>20201</v>
      </c>
      <c r="B1184" s="73" t="s">
        <v>146</v>
      </c>
      <c r="C1184" s="73" t="s">
        <v>1282</v>
      </c>
      <c r="D1184" s="73">
        <v>4</v>
      </c>
      <c r="E1184" s="73">
        <v>0</v>
      </c>
      <c r="F1184" s="73">
        <v>1</v>
      </c>
      <c r="G1184" s="80">
        <v>21</v>
      </c>
      <c r="H1184" s="73">
        <v>200</v>
      </c>
      <c r="I1184" s="17">
        <v>0</v>
      </c>
      <c r="J1184" s="80">
        <v>0</v>
      </c>
      <c r="K1184" s="73">
        <v>0</v>
      </c>
      <c r="L1184" s="73">
        <v>0</v>
      </c>
      <c r="N1184" s="73">
        <v>0</v>
      </c>
      <c r="Q1184" s="140"/>
      <c r="R1184" s="140"/>
      <c r="S1184" s="140"/>
      <c r="T1184" s="140"/>
      <c r="U1184" s="73">
        <v>1</v>
      </c>
      <c r="V1184" s="73">
        <v>0</v>
      </c>
      <c r="X1184" s="73">
        <v>1</v>
      </c>
      <c r="Z1184" s="142">
        <v>0</v>
      </c>
      <c r="AB1184" s="143"/>
      <c r="AC1184" s="143"/>
      <c r="AD1184" s="73" t="s">
        <v>449</v>
      </c>
      <c r="AE1184" s="73" t="s">
        <v>450</v>
      </c>
      <c r="AF1184" s="73" t="s">
        <v>2794</v>
      </c>
      <c r="AG1184" s="73" t="s">
        <v>147</v>
      </c>
      <c r="AH1184" s="73" t="s">
        <v>4781</v>
      </c>
      <c r="AI1184" s="73" t="s">
        <v>451</v>
      </c>
      <c r="AJ1184" s="73" t="s">
        <v>7457</v>
      </c>
      <c r="AK1184" s="73" t="s">
        <v>452</v>
      </c>
      <c r="AL1184" s="80">
        <v>3</v>
      </c>
      <c r="AM1184" s="147" t="s">
        <v>611</v>
      </c>
      <c r="AN1184" s="147" t="s">
        <v>6027</v>
      </c>
      <c r="AP1184" s="226">
        <v>1</v>
      </c>
      <c r="AQ1184" s="73">
        <v>0</v>
      </c>
      <c r="AR1184" s="73">
        <v>0</v>
      </c>
      <c r="AS1184" s="73">
        <v>0</v>
      </c>
      <c r="AT1184" s="73">
        <v>0</v>
      </c>
      <c r="AU1184" s="226">
        <v>0</v>
      </c>
      <c r="AV1184" s="17">
        <f t="shared" si="160"/>
        <v>0</v>
      </c>
      <c r="AW1184" s="50" t="str">
        <f t="shared" si="159"/>
        <v>{s_taskTalk,{0,0}}</v>
      </c>
    </row>
    <row r="1185" spans="1:49" s="73" customFormat="1" ht="144" x14ac:dyDescent="0.15">
      <c r="A1185" s="9">
        <v>20202</v>
      </c>
      <c r="B1185" s="73" t="s">
        <v>148</v>
      </c>
      <c r="C1185" s="73" t="s">
        <v>1282</v>
      </c>
      <c r="D1185" s="73">
        <v>4</v>
      </c>
      <c r="E1185" s="73">
        <v>0</v>
      </c>
      <c r="F1185" s="73">
        <v>1</v>
      </c>
      <c r="G1185" s="80">
        <v>21</v>
      </c>
      <c r="H1185" s="73">
        <v>200</v>
      </c>
      <c r="I1185" s="17">
        <v>0</v>
      </c>
      <c r="J1185" s="80">
        <v>0</v>
      </c>
      <c r="K1185" s="73">
        <v>0</v>
      </c>
      <c r="L1185" s="73">
        <v>0</v>
      </c>
      <c r="N1185" s="73">
        <v>0</v>
      </c>
      <c r="Q1185" s="140"/>
      <c r="R1185" s="140"/>
      <c r="S1185" s="140"/>
      <c r="T1185" s="140"/>
      <c r="U1185" s="73">
        <v>1</v>
      </c>
      <c r="V1185" s="73">
        <v>0</v>
      </c>
      <c r="X1185" s="73">
        <v>1</v>
      </c>
      <c r="Z1185" s="142">
        <v>0</v>
      </c>
      <c r="AB1185" s="143"/>
      <c r="AC1185" s="143"/>
      <c r="AD1185" s="73" t="s">
        <v>453</v>
      </c>
      <c r="AE1185" s="73" t="s">
        <v>454</v>
      </c>
      <c r="AF1185" s="73" t="s">
        <v>4788</v>
      </c>
      <c r="AG1185" s="73" t="s">
        <v>149</v>
      </c>
      <c r="AH1185" s="73" t="s">
        <v>4781</v>
      </c>
      <c r="AI1185" s="73" t="s">
        <v>455</v>
      </c>
      <c r="AJ1185" s="73" t="s">
        <v>7458</v>
      </c>
      <c r="AK1185" s="73" t="s">
        <v>456</v>
      </c>
      <c r="AL1185" s="80">
        <v>3</v>
      </c>
      <c r="AM1185" s="147" t="s">
        <v>612</v>
      </c>
      <c r="AN1185" s="147" t="s">
        <v>6028</v>
      </c>
      <c r="AP1185" s="226">
        <v>1</v>
      </c>
      <c r="AQ1185" s="73">
        <v>0</v>
      </c>
      <c r="AR1185" s="73">
        <v>0</v>
      </c>
      <c r="AS1185" s="73">
        <v>0</v>
      </c>
      <c r="AT1185" s="73">
        <v>0</v>
      </c>
      <c r="AU1185" s="226">
        <v>0</v>
      </c>
      <c r="AV1185" s="17">
        <f t="shared" si="160"/>
        <v>0</v>
      </c>
      <c r="AW1185" s="50" t="str">
        <f t="shared" si="159"/>
        <v>{s_taskTalk,{0,0}}</v>
      </c>
    </row>
    <row r="1186" spans="1:49" s="73" customFormat="1" ht="144" x14ac:dyDescent="0.15">
      <c r="A1186" s="9">
        <v>20203</v>
      </c>
      <c r="B1186" s="73" t="s">
        <v>150</v>
      </c>
      <c r="C1186" s="73" t="s">
        <v>1282</v>
      </c>
      <c r="D1186" s="73">
        <v>4</v>
      </c>
      <c r="E1186" s="73">
        <v>0</v>
      </c>
      <c r="F1186" s="73">
        <v>1</v>
      </c>
      <c r="G1186" s="80">
        <v>21</v>
      </c>
      <c r="H1186" s="73">
        <v>200</v>
      </c>
      <c r="I1186" s="17">
        <v>0</v>
      </c>
      <c r="J1186" s="80">
        <v>0</v>
      </c>
      <c r="K1186" s="73">
        <v>0</v>
      </c>
      <c r="L1186" s="73">
        <v>0</v>
      </c>
      <c r="N1186" s="73">
        <v>0</v>
      </c>
      <c r="Q1186" s="140"/>
      <c r="R1186" s="140"/>
      <c r="S1186" s="140"/>
      <c r="T1186" s="140"/>
      <c r="U1186" s="73">
        <v>1</v>
      </c>
      <c r="V1186" s="73">
        <v>0</v>
      </c>
      <c r="X1186" s="73">
        <v>1</v>
      </c>
      <c r="Z1186" s="142">
        <v>0</v>
      </c>
      <c r="AB1186" s="143"/>
      <c r="AC1186" s="143"/>
      <c r="AD1186" s="73" t="s">
        <v>457</v>
      </c>
      <c r="AE1186" s="73" t="s">
        <v>458</v>
      </c>
      <c r="AF1186" s="73" t="s">
        <v>2526</v>
      </c>
      <c r="AG1186" s="73" t="s">
        <v>151</v>
      </c>
      <c r="AH1186" s="73" t="s">
        <v>4781</v>
      </c>
      <c r="AI1186" s="73" t="s">
        <v>459</v>
      </c>
      <c r="AJ1186" s="73" t="s">
        <v>7459</v>
      </c>
      <c r="AK1186" s="73" t="s">
        <v>460</v>
      </c>
      <c r="AL1186" s="80">
        <v>3</v>
      </c>
      <c r="AM1186" s="147" t="s">
        <v>613</v>
      </c>
      <c r="AN1186" s="147" t="s">
        <v>6029</v>
      </c>
      <c r="AP1186" s="226">
        <v>1</v>
      </c>
      <c r="AQ1186" s="73">
        <v>0</v>
      </c>
      <c r="AR1186" s="73">
        <v>0</v>
      </c>
      <c r="AS1186" s="73">
        <v>0</v>
      </c>
      <c r="AT1186" s="73">
        <v>0</v>
      </c>
      <c r="AU1186" s="226">
        <v>0</v>
      </c>
      <c r="AV1186" s="17">
        <f t="shared" si="160"/>
        <v>0</v>
      </c>
      <c r="AW1186" s="50" t="str">
        <f t="shared" ref="AW1186:AW1217" si="163">"{s_taskTalk,{"&amp;L1186&amp;","&amp;N1186&amp;"}}"</f>
        <v>{s_taskTalk,{0,0}}</v>
      </c>
    </row>
    <row r="1187" spans="1:49" s="73" customFormat="1" ht="156" x14ac:dyDescent="0.15">
      <c r="A1187" s="9">
        <v>20211</v>
      </c>
      <c r="B1187" s="73" t="s">
        <v>461</v>
      </c>
      <c r="C1187" s="73" t="s">
        <v>1282</v>
      </c>
      <c r="D1187" s="73">
        <v>4</v>
      </c>
      <c r="E1187" s="73">
        <v>0</v>
      </c>
      <c r="F1187" s="73">
        <v>1</v>
      </c>
      <c r="G1187" s="80">
        <v>21</v>
      </c>
      <c r="H1187" s="73">
        <v>200</v>
      </c>
      <c r="I1187" s="17">
        <v>0</v>
      </c>
      <c r="J1187" s="80">
        <v>0</v>
      </c>
      <c r="K1187" s="73">
        <v>0</v>
      </c>
      <c r="L1187" s="73">
        <v>0</v>
      </c>
      <c r="N1187" s="73">
        <v>0</v>
      </c>
      <c r="Q1187" s="140"/>
      <c r="R1187" s="140"/>
      <c r="S1187" s="140"/>
      <c r="T1187" s="140"/>
      <c r="U1187" s="73">
        <v>1</v>
      </c>
      <c r="V1187" s="73">
        <v>0</v>
      </c>
      <c r="X1187" s="73">
        <v>1</v>
      </c>
      <c r="Z1187" s="142">
        <v>0</v>
      </c>
      <c r="AB1187" s="143"/>
      <c r="AC1187" s="143"/>
      <c r="AD1187" s="73" t="s">
        <v>457</v>
      </c>
      <c r="AE1187" s="73" t="s">
        <v>462</v>
      </c>
      <c r="AF1187" s="73" t="s">
        <v>4486</v>
      </c>
      <c r="AG1187" s="73" t="s">
        <v>463</v>
      </c>
      <c r="AH1187" s="73" t="s">
        <v>4781</v>
      </c>
      <c r="AI1187" s="73" t="s">
        <v>459</v>
      </c>
      <c r="AJ1187" s="73" t="s">
        <v>7460</v>
      </c>
      <c r="AK1187" s="73" t="s">
        <v>460</v>
      </c>
      <c r="AL1187" s="80">
        <v>3</v>
      </c>
      <c r="AM1187" s="147" t="s">
        <v>4624</v>
      </c>
      <c r="AN1187" s="147" t="s">
        <v>6030</v>
      </c>
      <c r="AP1187" s="226">
        <v>1</v>
      </c>
      <c r="AQ1187" s="73">
        <v>0</v>
      </c>
      <c r="AR1187" s="73">
        <v>0</v>
      </c>
      <c r="AS1187" s="73">
        <v>0</v>
      </c>
      <c r="AT1187" s="73">
        <v>0</v>
      </c>
      <c r="AU1187" s="226">
        <v>0</v>
      </c>
      <c r="AV1187" s="17">
        <f t="shared" si="160"/>
        <v>0</v>
      </c>
      <c r="AW1187" s="50" t="str">
        <f t="shared" si="163"/>
        <v>{s_taskTalk,{0,0}}</v>
      </c>
    </row>
    <row r="1188" spans="1:49" s="73" customFormat="1" ht="120" x14ac:dyDescent="0.15">
      <c r="A1188" s="9">
        <v>20400</v>
      </c>
      <c r="B1188" s="73" t="s">
        <v>464</v>
      </c>
      <c r="C1188" s="73" t="s">
        <v>111</v>
      </c>
      <c r="D1188" s="73">
        <v>4</v>
      </c>
      <c r="E1188" s="73">
        <v>0</v>
      </c>
      <c r="F1188" s="73">
        <v>1</v>
      </c>
      <c r="G1188" s="80">
        <v>21</v>
      </c>
      <c r="H1188" s="73">
        <v>200</v>
      </c>
      <c r="I1188" s="17">
        <v>0</v>
      </c>
      <c r="J1188" s="80">
        <v>0</v>
      </c>
      <c r="K1188" s="73">
        <v>0</v>
      </c>
      <c r="L1188" s="73">
        <v>0</v>
      </c>
      <c r="N1188" s="73">
        <v>0</v>
      </c>
      <c r="Q1188" s="140"/>
      <c r="R1188" s="140"/>
      <c r="S1188" s="140"/>
      <c r="T1188" s="140"/>
      <c r="U1188" s="73">
        <v>1</v>
      </c>
      <c r="V1188" s="73">
        <v>0</v>
      </c>
      <c r="X1188" s="73">
        <v>1</v>
      </c>
      <c r="Z1188" s="142">
        <v>0</v>
      </c>
      <c r="AB1188" s="143"/>
      <c r="AC1188" s="143"/>
      <c r="AD1188" s="73" t="s">
        <v>457</v>
      </c>
      <c r="AE1188" s="73" t="s">
        <v>457</v>
      </c>
      <c r="AF1188" s="73" t="s">
        <v>4160</v>
      </c>
      <c r="AG1188" s="73" t="s">
        <v>465</v>
      </c>
      <c r="AH1188" s="73" t="s">
        <v>466</v>
      </c>
      <c r="AI1188" s="73" t="s">
        <v>459</v>
      </c>
      <c r="AJ1188" s="73" t="s">
        <v>7446</v>
      </c>
      <c r="AK1188" s="73" t="s">
        <v>467</v>
      </c>
      <c r="AL1188" s="80">
        <v>5</v>
      </c>
      <c r="AM1188" s="147"/>
      <c r="AN1188" s="147"/>
      <c r="AP1188" s="226">
        <v>1</v>
      </c>
      <c r="AQ1188" s="73">
        <v>0</v>
      </c>
      <c r="AR1188" s="73">
        <v>0</v>
      </c>
      <c r="AS1188" s="73">
        <v>0</v>
      </c>
      <c r="AT1188" s="73">
        <v>0</v>
      </c>
      <c r="AU1188" s="226">
        <v>0</v>
      </c>
      <c r="AV1188" s="17">
        <f t="shared" si="160"/>
        <v>0</v>
      </c>
      <c r="AW1188" s="50" t="str">
        <f t="shared" si="163"/>
        <v>{s_taskTalk,{0,0}}</v>
      </c>
    </row>
    <row r="1189" spans="1:49" s="73" customFormat="1" ht="120" x14ac:dyDescent="0.15">
      <c r="A1189" s="9">
        <v>20411</v>
      </c>
      <c r="B1189" s="73" t="s">
        <v>468</v>
      </c>
      <c r="C1189" s="73" t="s">
        <v>111</v>
      </c>
      <c r="D1189" s="73">
        <v>4</v>
      </c>
      <c r="E1189" s="73">
        <v>0</v>
      </c>
      <c r="F1189" s="73">
        <v>1</v>
      </c>
      <c r="G1189" s="80">
        <v>21</v>
      </c>
      <c r="H1189" s="73">
        <v>200</v>
      </c>
      <c r="I1189" s="17">
        <v>0</v>
      </c>
      <c r="J1189" s="80">
        <v>0</v>
      </c>
      <c r="K1189" s="73">
        <v>0</v>
      </c>
      <c r="L1189" s="73">
        <v>0</v>
      </c>
      <c r="N1189" s="73">
        <v>0</v>
      </c>
      <c r="Q1189" s="140"/>
      <c r="R1189" s="140"/>
      <c r="S1189" s="140"/>
      <c r="T1189" s="140"/>
      <c r="U1189" s="73">
        <v>1</v>
      </c>
      <c r="V1189" s="73">
        <v>0</v>
      </c>
      <c r="X1189" s="73">
        <v>1</v>
      </c>
      <c r="Z1189" s="142">
        <v>0</v>
      </c>
      <c r="AB1189" s="143"/>
      <c r="AC1189" s="143"/>
      <c r="AD1189" s="73" t="s">
        <v>457</v>
      </c>
      <c r="AE1189" s="73" t="s">
        <v>457</v>
      </c>
      <c r="AF1189" s="73" t="s">
        <v>4161</v>
      </c>
      <c r="AG1189" s="73" t="s">
        <v>469</v>
      </c>
      <c r="AH1189" s="73" t="s">
        <v>4780</v>
      </c>
      <c r="AI1189" s="73" t="s">
        <v>459</v>
      </c>
      <c r="AJ1189" s="73" t="s">
        <v>7447</v>
      </c>
      <c r="AK1189" s="73" t="s">
        <v>460</v>
      </c>
      <c r="AL1189" s="80">
        <v>5</v>
      </c>
      <c r="AM1189" s="147"/>
      <c r="AN1189" s="147"/>
      <c r="AP1189" s="226">
        <v>1</v>
      </c>
      <c r="AQ1189" s="73">
        <v>0</v>
      </c>
      <c r="AR1189" s="73">
        <v>0</v>
      </c>
      <c r="AS1189" s="73">
        <v>0</v>
      </c>
      <c r="AT1189" s="73">
        <v>0</v>
      </c>
      <c r="AU1189" s="226">
        <v>0</v>
      </c>
      <c r="AV1189" s="17">
        <f t="shared" si="160"/>
        <v>0</v>
      </c>
      <c r="AW1189" s="50" t="str">
        <f t="shared" si="163"/>
        <v>{s_taskTalk,{0,0}}</v>
      </c>
    </row>
    <row r="1190" spans="1:49" s="73" customFormat="1" ht="132" x14ac:dyDescent="0.15">
      <c r="A1190" s="9">
        <v>20416</v>
      </c>
      <c r="B1190" s="73" t="s">
        <v>470</v>
      </c>
      <c r="C1190" s="73" t="s">
        <v>111</v>
      </c>
      <c r="D1190" s="73">
        <v>4</v>
      </c>
      <c r="E1190" s="73">
        <v>0</v>
      </c>
      <c r="F1190" s="73">
        <v>1</v>
      </c>
      <c r="G1190" s="80">
        <v>21</v>
      </c>
      <c r="H1190" s="73">
        <v>200</v>
      </c>
      <c r="I1190" s="17">
        <v>0</v>
      </c>
      <c r="J1190" s="80">
        <v>0</v>
      </c>
      <c r="K1190" s="73">
        <v>0</v>
      </c>
      <c r="L1190" s="73">
        <v>0</v>
      </c>
      <c r="N1190" s="73">
        <v>0</v>
      </c>
      <c r="Q1190" s="140"/>
      <c r="R1190" s="140"/>
      <c r="S1190" s="140"/>
      <c r="T1190" s="140"/>
      <c r="U1190" s="73">
        <v>1</v>
      </c>
      <c r="V1190" s="73">
        <v>0</v>
      </c>
      <c r="X1190" s="73">
        <v>1</v>
      </c>
      <c r="Z1190" s="142">
        <v>0</v>
      </c>
      <c r="AB1190" s="143"/>
      <c r="AC1190" s="143"/>
      <c r="AD1190" s="73" t="s">
        <v>457</v>
      </c>
      <c r="AE1190" s="73" t="s">
        <v>457</v>
      </c>
      <c r="AF1190" s="73" t="s">
        <v>4162</v>
      </c>
      <c r="AG1190" s="73" t="s">
        <v>120</v>
      </c>
      <c r="AH1190" s="73" t="s">
        <v>4780</v>
      </c>
      <c r="AI1190" s="73" t="s">
        <v>459</v>
      </c>
      <c r="AJ1190" s="73" t="s">
        <v>7448</v>
      </c>
      <c r="AK1190" s="73" t="s">
        <v>460</v>
      </c>
      <c r="AL1190" s="80">
        <v>5</v>
      </c>
      <c r="AM1190" s="147"/>
      <c r="AN1190" s="147"/>
      <c r="AP1190" s="226">
        <v>1</v>
      </c>
      <c r="AQ1190" s="73">
        <v>0</v>
      </c>
      <c r="AR1190" s="73">
        <v>0</v>
      </c>
      <c r="AS1190" s="73">
        <v>0</v>
      </c>
      <c r="AT1190" s="73">
        <v>0</v>
      </c>
      <c r="AU1190" s="226">
        <v>0</v>
      </c>
      <c r="AV1190" s="17">
        <f t="shared" si="160"/>
        <v>0</v>
      </c>
      <c r="AW1190" s="50" t="str">
        <f t="shared" si="163"/>
        <v>{s_taskTalk,{0,0}}</v>
      </c>
    </row>
    <row r="1191" spans="1:49" s="73" customFormat="1" ht="132" x14ac:dyDescent="0.15">
      <c r="A1191" s="9">
        <v>20417</v>
      </c>
      <c r="B1191" s="73" t="s">
        <v>471</v>
      </c>
      <c r="C1191" s="73" t="s">
        <v>111</v>
      </c>
      <c r="D1191" s="73">
        <v>4</v>
      </c>
      <c r="E1191" s="73">
        <v>0</v>
      </c>
      <c r="F1191" s="73">
        <v>1</v>
      </c>
      <c r="G1191" s="80">
        <v>21</v>
      </c>
      <c r="H1191" s="73">
        <v>200</v>
      </c>
      <c r="I1191" s="17">
        <v>0</v>
      </c>
      <c r="J1191" s="80">
        <v>0</v>
      </c>
      <c r="K1191" s="73">
        <v>0</v>
      </c>
      <c r="L1191" s="73">
        <v>0</v>
      </c>
      <c r="N1191" s="73">
        <v>0</v>
      </c>
      <c r="Q1191" s="140"/>
      <c r="R1191" s="140"/>
      <c r="S1191" s="140"/>
      <c r="T1191" s="140"/>
      <c r="U1191" s="73">
        <v>1</v>
      </c>
      <c r="V1191" s="73">
        <v>0</v>
      </c>
      <c r="X1191" s="73">
        <v>1</v>
      </c>
      <c r="Z1191" s="142">
        <v>0</v>
      </c>
      <c r="AB1191" s="143"/>
      <c r="AC1191" s="143"/>
      <c r="AD1191" s="73" t="s">
        <v>457</v>
      </c>
      <c r="AE1191" s="73" t="s">
        <v>457</v>
      </c>
      <c r="AF1191" s="73" t="s">
        <v>4163</v>
      </c>
      <c r="AG1191" s="73" t="s">
        <v>120</v>
      </c>
      <c r="AH1191" s="73" t="s">
        <v>4780</v>
      </c>
      <c r="AI1191" s="73" t="s">
        <v>459</v>
      </c>
      <c r="AJ1191" s="73" t="s">
        <v>7448</v>
      </c>
      <c r="AK1191" s="73" t="s">
        <v>460</v>
      </c>
      <c r="AL1191" s="80">
        <v>5</v>
      </c>
      <c r="AM1191" s="147"/>
      <c r="AN1191" s="147"/>
      <c r="AP1191" s="226">
        <v>1</v>
      </c>
      <c r="AQ1191" s="73">
        <v>0</v>
      </c>
      <c r="AR1191" s="73">
        <v>0</v>
      </c>
      <c r="AS1191" s="73">
        <v>0</v>
      </c>
      <c r="AT1191" s="73">
        <v>0</v>
      </c>
      <c r="AU1191" s="226">
        <v>0</v>
      </c>
      <c r="AV1191" s="17">
        <f t="shared" si="160"/>
        <v>0</v>
      </c>
      <c r="AW1191" s="50" t="str">
        <f t="shared" si="163"/>
        <v>{s_taskTalk,{0,0}}</v>
      </c>
    </row>
    <row r="1192" spans="1:49" s="73" customFormat="1" ht="96" x14ac:dyDescent="0.15">
      <c r="A1192" s="9">
        <v>20420</v>
      </c>
      <c r="B1192" s="73" t="s">
        <v>472</v>
      </c>
      <c r="C1192" s="73" t="s">
        <v>111</v>
      </c>
      <c r="D1192" s="73">
        <v>4</v>
      </c>
      <c r="E1192" s="73">
        <v>0</v>
      </c>
      <c r="F1192" s="73">
        <v>1</v>
      </c>
      <c r="G1192" s="80">
        <v>21</v>
      </c>
      <c r="H1192" s="73">
        <v>200</v>
      </c>
      <c r="I1192" s="17">
        <v>0</v>
      </c>
      <c r="J1192" s="80">
        <v>0</v>
      </c>
      <c r="K1192" s="73">
        <v>0</v>
      </c>
      <c r="L1192" s="73">
        <v>0</v>
      </c>
      <c r="N1192" s="73">
        <v>0</v>
      </c>
      <c r="Q1192" s="140"/>
      <c r="R1192" s="140"/>
      <c r="S1192" s="140"/>
      <c r="T1192" s="140"/>
      <c r="U1192" s="73">
        <v>1</v>
      </c>
      <c r="V1192" s="73">
        <v>0</v>
      </c>
      <c r="X1192" s="73">
        <v>1</v>
      </c>
      <c r="Z1192" s="142">
        <v>0</v>
      </c>
      <c r="AB1192" s="143"/>
      <c r="AC1192" s="143"/>
      <c r="AD1192" s="73" t="s">
        <v>457</v>
      </c>
      <c r="AE1192" s="73" t="s">
        <v>457</v>
      </c>
      <c r="AF1192" s="73" t="s">
        <v>4164</v>
      </c>
      <c r="AG1192" s="73" t="s">
        <v>473</v>
      </c>
      <c r="AH1192" s="73" t="s">
        <v>4782</v>
      </c>
      <c r="AI1192" s="73" t="s">
        <v>459</v>
      </c>
      <c r="AJ1192" s="73" t="s">
        <v>7449</v>
      </c>
      <c r="AK1192" s="73" t="s">
        <v>460</v>
      </c>
      <c r="AL1192" s="80">
        <v>5</v>
      </c>
      <c r="AM1192" s="147"/>
      <c r="AN1192" s="147"/>
      <c r="AP1192" s="226">
        <v>1</v>
      </c>
      <c r="AQ1192" s="73">
        <v>0</v>
      </c>
      <c r="AR1192" s="73">
        <v>0</v>
      </c>
      <c r="AS1192" s="73">
        <v>0</v>
      </c>
      <c r="AT1192" s="73">
        <v>0</v>
      </c>
      <c r="AU1192" s="226">
        <v>0</v>
      </c>
      <c r="AV1192" s="17">
        <f t="shared" si="160"/>
        <v>0</v>
      </c>
      <c r="AW1192" s="50" t="str">
        <f t="shared" si="163"/>
        <v>{s_taskTalk,{0,0}}</v>
      </c>
    </row>
    <row r="1193" spans="1:49" s="73" customFormat="1" ht="132" x14ac:dyDescent="0.15">
      <c r="A1193" s="9">
        <v>20421</v>
      </c>
      <c r="B1193" s="73" t="s">
        <v>472</v>
      </c>
      <c r="C1193" s="73" t="s">
        <v>111</v>
      </c>
      <c r="D1193" s="73">
        <v>4</v>
      </c>
      <c r="E1193" s="73">
        <v>0</v>
      </c>
      <c r="F1193" s="73">
        <v>1</v>
      </c>
      <c r="G1193" s="80">
        <v>21</v>
      </c>
      <c r="H1193" s="73">
        <v>200</v>
      </c>
      <c r="I1193" s="17">
        <v>0</v>
      </c>
      <c r="J1193" s="80">
        <v>0</v>
      </c>
      <c r="K1193" s="73">
        <v>0</v>
      </c>
      <c r="L1193" s="73">
        <v>0</v>
      </c>
      <c r="N1193" s="73">
        <v>0</v>
      </c>
      <c r="Q1193" s="140"/>
      <c r="R1193" s="140"/>
      <c r="S1193" s="140"/>
      <c r="T1193" s="140"/>
      <c r="U1193" s="73">
        <v>1</v>
      </c>
      <c r="V1193" s="73">
        <v>0</v>
      </c>
      <c r="X1193" s="73">
        <v>1</v>
      </c>
      <c r="Z1193" s="142">
        <v>0</v>
      </c>
      <c r="AB1193" s="143"/>
      <c r="AC1193" s="143"/>
      <c r="AD1193" s="73" t="s">
        <v>457</v>
      </c>
      <c r="AE1193" s="73" t="s">
        <v>457</v>
      </c>
      <c r="AF1193" s="73" t="s">
        <v>4342</v>
      </c>
      <c r="AG1193" s="73" t="s">
        <v>122</v>
      </c>
      <c r="AH1193" s="73" t="s">
        <v>4783</v>
      </c>
      <c r="AI1193" s="73" t="s">
        <v>459</v>
      </c>
      <c r="AJ1193" s="73" t="s">
        <v>7449</v>
      </c>
      <c r="AK1193" s="73" t="s">
        <v>460</v>
      </c>
      <c r="AL1193" s="80">
        <v>5</v>
      </c>
      <c r="AM1193" s="147"/>
      <c r="AN1193" s="147"/>
      <c r="AP1193" s="226">
        <v>1</v>
      </c>
      <c r="AQ1193" s="73">
        <v>0</v>
      </c>
      <c r="AR1193" s="73">
        <v>0</v>
      </c>
      <c r="AS1193" s="73">
        <v>0</v>
      </c>
      <c r="AT1193" s="73">
        <v>0</v>
      </c>
      <c r="AU1193" s="226">
        <v>0</v>
      </c>
      <c r="AV1193" s="17">
        <f t="shared" si="160"/>
        <v>0</v>
      </c>
      <c r="AW1193" s="50" t="str">
        <f t="shared" si="163"/>
        <v>{s_taskTalk,{0,0}}</v>
      </c>
    </row>
    <row r="1194" spans="1:49" s="73" customFormat="1" ht="144" x14ac:dyDescent="0.15">
      <c r="A1194" s="9">
        <v>20451</v>
      </c>
      <c r="B1194" s="73" t="s">
        <v>474</v>
      </c>
      <c r="C1194" s="73" t="s">
        <v>475</v>
      </c>
      <c r="D1194" s="73">
        <v>4</v>
      </c>
      <c r="E1194" s="73">
        <v>0</v>
      </c>
      <c r="F1194" s="73">
        <v>1</v>
      </c>
      <c r="G1194" s="80">
        <v>21</v>
      </c>
      <c r="H1194" s="73">
        <v>200</v>
      </c>
      <c r="I1194" s="17">
        <v>0</v>
      </c>
      <c r="J1194" s="80">
        <v>0</v>
      </c>
      <c r="K1194" s="73">
        <v>0</v>
      </c>
      <c r="L1194" s="73">
        <v>0</v>
      </c>
      <c r="N1194" s="73">
        <v>0</v>
      </c>
      <c r="Q1194" s="140"/>
      <c r="R1194" s="140"/>
      <c r="S1194" s="140"/>
      <c r="T1194" s="140"/>
      <c r="U1194" s="73">
        <v>1</v>
      </c>
      <c r="V1194" s="73">
        <v>0</v>
      </c>
      <c r="X1194" s="73">
        <v>1</v>
      </c>
      <c r="Z1194" s="142">
        <v>0</v>
      </c>
      <c r="AB1194" s="143"/>
      <c r="AC1194" s="143"/>
      <c r="AD1194" s="73" t="s">
        <v>457</v>
      </c>
      <c r="AE1194" s="73" t="s">
        <v>457</v>
      </c>
      <c r="AF1194" s="73" t="s">
        <v>4165</v>
      </c>
      <c r="AG1194" s="73" t="s">
        <v>476</v>
      </c>
      <c r="AH1194" s="73" t="s">
        <v>4780</v>
      </c>
      <c r="AI1194" s="73" t="s">
        <v>459</v>
      </c>
      <c r="AJ1194" s="73" t="s">
        <v>7452</v>
      </c>
      <c r="AK1194" s="73" t="s">
        <v>460</v>
      </c>
      <c r="AL1194" s="80">
        <v>5</v>
      </c>
      <c r="AM1194" s="147"/>
      <c r="AN1194" s="147"/>
      <c r="AP1194" s="226">
        <v>1</v>
      </c>
      <c r="AQ1194" s="73">
        <v>0</v>
      </c>
      <c r="AR1194" s="73">
        <v>0</v>
      </c>
      <c r="AS1194" s="73">
        <v>0</v>
      </c>
      <c r="AT1194" s="73">
        <v>0</v>
      </c>
      <c r="AU1194" s="226">
        <v>0</v>
      </c>
      <c r="AV1194" s="17">
        <f t="shared" si="160"/>
        <v>0</v>
      </c>
      <c r="AW1194" s="50" t="str">
        <f t="shared" si="163"/>
        <v>{s_taskTalk,{0,0}}</v>
      </c>
    </row>
    <row r="1195" spans="1:49" s="73" customFormat="1" ht="144" x14ac:dyDescent="0.15">
      <c r="A1195" s="9">
        <v>20452</v>
      </c>
      <c r="B1195" s="73" t="s">
        <v>477</v>
      </c>
      <c r="C1195" s="73" t="s">
        <v>111</v>
      </c>
      <c r="D1195" s="73">
        <v>4</v>
      </c>
      <c r="E1195" s="73">
        <v>0</v>
      </c>
      <c r="F1195" s="73">
        <v>1</v>
      </c>
      <c r="G1195" s="80">
        <v>21</v>
      </c>
      <c r="H1195" s="73">
        <v>200</v>
      </c>
      <c r="I1195" s="17">
        <v>0</v>
      </c>
      <c r="J1195" s="80">
        <v>0</v>
      </c>
      <c r="K1195" s="73">
        <v>0</v>
      </c>
      <c r="L1195" s="73">
        <v>0</v>
      </c>
      <c r="N1195" s="73">
        <v>0</v>
      </c>
      <c r="Q1195" s="140"/>
      <c r="R1195" s="140"/>
      <c r="S1195" s="140"/>
      <c r="T1195" s="140"/>
      <c r="U1195" s="73">
        <v>1</v>
      </c>
      <c r="V1195" s="73">
        <v>0</v>
      </c>
      <c r="X1195" s="73">
        <v>1</v>
      </c>
      <c r="Z1195" s="142">
        <v>0</v>
      </c>
      <c r="AB1195" s="143"/>
      <c r="AC1195" s="143"/>
      <c r="AD1195" s="73" t="s">
        <v>457</v>
      </c>
      <c r="AE1195" s="73" t="s">
        <v>457</v>
      </c>
      <c r="AF1195" s="73" t="s">
        <v>4165</v>
      </c>
      <c r="AG1195" s="73" t="s">
        <v>478</v>
      </c>
      <c r="AH1195" s="73" t="s">
        <v>4780</v>
      </c>
      <c r="AI1195" s="73" t="s">
        <v>459</v>
      </c>
      <c r="AJ1195" s="73" t="s">
        <v>7452</v>
      </c>
      <c r="AK1195" s="73" t="s">
        <v>460</v>
      </c>
      <c r="AL1195" s="80">
        <v>5</v>
      </c>
      <c r="AM1195" s="147"/>
      <c r="AN1195" s="147"/>
      <c r="AP1195" s="226">
        <v>1</v>
      </c>
      <c r="AQ1195" s="73">
        <v>0</v>
      </c>
      <c r="AR1195" s="73">
        <v>0</v>
      </c>
      <c r="AS1195" s="73">
        <v>0</v>
      </c>
      <c r="AT1195" s="73">
        <v>0</v>
      </c>
      <c r="AU1195" s="226">
        <v>0</v>
      </c>
      <c r="AV1195" s="17">
        <f t="shared" si="160"/>
        <v>0</v>
      </c>
      <c r="AW1195" s="50" t="str">
        <f t="shared" si="163"/>
        <v>{s_taskTalk,{0,0}}</v>
      </c>
    </row>
    <row r="1196" spans="1:49" s="73" customFormat="1" ht="132" x14ac:dyDescent="0.15">
      <c r="A1196" s="9">
        <v>20453</v>
      </c>
      <c r="B1196" s="73" t="s">
        <v>479</v>
      </c>
      <c r="C1196" s="73" t="s">
        <v>111</v>
      </c>
      <c r="D1196" s="73">
        <v>4</v>
      </c>
      <c r="E1196" s="73">
        <v>0</v>
      </c>
      <c r="F1196" s="73">
        <v>1</v>
      </c>
      <c r="G1196" s="80">
        <v>21</v>
      </c>
      <c r="H1196" s="73">
        <v>200</v>
      </c>
      <c r="I1196" s="17">
        <v>0</v>
      </c>
      <c r="J1196" s="80">
        <v>0</v>
      </c>
      <c r="K1196" s="73">
        <v>0</v>
      </c>
      <c r="L1196" s="73">
        <v>0</v>
      </c>
      <c r="N1196" s="73">
        <v>0</v>
      </c>
      <c r="Q1196" s="140"/>
      <c r="R1196" s="140"/>
      <c r="S1196" s="140"/>
      <c r="T1196" s="140"/>
      <c r="U1196" s="73">
        <v>1</v>
      </c>
      <c r="V1196" s="73">
        <v>0</v>
      </c>
      <c r="X1196" s="73">
        <v>1</v>
      </c>
      <c r="Z1196" s="142">
        <v>0</v>
      </c>
      <c r="AB1196" s="143"/>
      <c r="AC1196" s="143"/>
      <c r="AD1196" s="73" t="s">
        <v>457</v>
      </c>
      <c r="AE1196" s="73" t="s">
        <v>457</v>
      </c>
      <c r="AF1196" s="73" t="s">
        <v>4166</v>
      </c>
      <c r="AG1196" s="73" t="s">
        <v>480</v>
      </c>
      <c r="AH1196" s="73" t="s">
        <v>4780</v>
      </c>
      <c r="AI1196" s="73" t="s">
        <v>459</v>
      </c>
      <c r="AJ1196" s="73" t="s">
        <v>7453</v>
      </c>
      <c r="AK1196" s="73" t="s">
        <v>460</v>
      </c>
      <c r="AL1196" s="80">
        <v>5</v>
      </c>
      <c r="AM1196" s="147"/>
      <c r="AN1196" s="147"/>
      <c r="AP1196" s="226">
        <v>1</v>
      </c>
      <c r="AQ1196" s="73">
        <v>0</v>
      </c>
      <c r="AR1196" s="73">
        <v>0</v>
      </c>
      <c r="AS1196" s="73">
        <v>0</v>
      </c>
      <c r="AT1196" s="73">
        <v>0</v>
      </c>
      <c r="AU1196" s="226">
        <v>0</v>
      </c>
      <c r="AV1196" s="17">
        <f t="shared" si="160"/>
        <v>0</v>
      </c>
      <c r="AW1196" s="50" t="str">
        <f t="shared" si="163"/>
        <v>{s_taskTalk,{0,0}}</v>
      </c>
    </row>
    <row r="1197" spans="1:49" s="73" customFormat="1" ht="132" x14ac:dyDescent="0.15">
      <c r="A1197" s="9">
        <v>20454</v>
      </c>
      <c r="B1197" s="73" t="s">
        <v>481</v>
      </c>
      <c r="C1197" s="73" t="s">
        <v>111</v>
      </c>
      <c r="D1197" s="73">
        <v>4</v>
      </c>
      <c r="E1197" s="73">
        <v>0</v>
      </c>
      <c r="F1197" s="73">
        <v>1</v>
      </c>
      <c r="G1197" s="80">
        <v>21</v>
      </c>
      <c r="H1197" s="73">
        <v>200</v>
      </c>
      <c r="I1197" s="17">
        <v>0</v>
      </c>
      <c r="J1197" s="80">
        <v>0</v>
      </c>
      <c r="K1197" s="73">
        <v>0</v>
      </c>
      <c r="L1197" s="73">
        <v>0</v>
      </c>
      <c r="N1197" s="73">
        <v>0</v>
      </c>
      <c r="Q1197" s="140"/>
      <c r="R1197" s="140"/>
      <c r="S1197" s="140"/>
      <c r="T1197" s="140"/>
      <c r="U1197" s="73">
        <v>1</v>
      </c>
      <c r="V1197" s="73">
        <v>0</v>
      </c>
      <c r="X1197" s="73">
        <v>1</v>
      </c>
      <c r="Z1197" s="142">
        <v>0</v>
      </c>
      <c r="AB1197" s="143"/>
      <c r="AC1197" s="143"/>
      <c r="AD1197" s="73" t="s">
        <v>457</v>
      </c>
      <c r="AE1197" s="73" t="s">
        <v>457</v>
      </c>
      <c r="AF1197" s="73" t="s">
        <v>4167</v>
      </c>
      <c r="AG1197" s="73" t="s">
        <v>482</v>
      </c>
      <c r="AH1197" s="73" t="s">
        <v>4780</v>
      </c>
      <c r="AI1197" s="73" t="s">
        <v>459</v>
      </c>
      <c r="AJ1197" s="73" t="s">
        <v>7453</v>
      </c>
      <c r="AK1197" s="73" t="s">
        <v>460</v>
      </c>
      <c r="AL1197" s="80">
        <v>5</v>
      </c>
      <c r="AM1197" s="147"/>
      <c r="AN1197" s="147"/>
      <c r="AP1197" s="226">
        <v>1</v>
      </c>
      <c r="AQ1197" s="73">
        <v>0</v>
      </c>
      <c r="AR1197" s="73">
        <v>0</v>
      </c>
      <c r="AS1197" s="73">
        <v>0</v>
      </c>
      <c r="AT1197" s="73">
        <v>0</v>
      </c>
      <c r="AU1197" s="226">
        <v>0</v>
      </c>
      <c r="AV1197" s="17">
        <f t="shared" si="160"/>
        <v>0</v>
      </c>
      <c r="AW1197" s="50" t="str">
        <f t="shared" si="163"/>
        <v>{s_taskTalk,{0,0}}</v>
      </c>
    </row>
    <row r="1198" spans="1:49" s="73" customFormat="1" ht="132" x14ac:dyDescent="0.15">
      <c r="A1198" s="9">
        <v>20455</v>
      </c>
      <c r="B1198" s="73" t="s">
        <v>483</v>
      </c>
      <c r="C1198" s="73" t="s">
        <v>111</v>
      </c>
      <c r="D1198" s="73">
        <v>4</v>
      </c>
      <c r="E1198" s="73">
        <v>0</v>
      </c>
      <c r="F1198" s="73">
        <v>1</v>
      </c>
      <c r="G1198" s="80">
        <v>21</v>
      </c>
      <c r="H1198" s="73">
        <v>200</v>
      </c>
      <c r="I1198" s="17">
        <v>0</v>
      </c>
      <c r="J1198" s="80">
        <v>0</v>
      </c>
      <c r="K1198" s="73">
        <v>0</v>
      </c>
      <c r="L1198" s="73">
        <v>0</v>
      </c>
      <c r="N1198" s="73">
        <v>0</v>
      </c>
      <c r="Q1198" s="140"/>
      <c r="R1198" s="140"/>
      <c r="S1198" s="140"/>
      <c r="T1198" s="140"/>
      <c r="U1198" s="73">
        <v>1</v>
      </c>
      <c r="V1198" s="73">
        <v>0</v>
      </c>
      <c r="X1198" s="73">
        <v>1</v>
      </c>
      <c r="Z1198" s="142">
        <v>0</v>
      </c>
      <c r="AB1198" s="143"/>
      <c r="AC1198" s="143"/>
      <c r="AD1198" s="73" t="s">
        <v>457</v>
      </c>
      <c r="AE1198" s="73" t="s">
        <v>457</v>
      </c>
      <c r="AF1198" s="73" t="s">
        <v>4168</v>
      </c>
      <c r="AG1198" s="73" t="s">
        <v>480</v>
      </c>
      <c r="AH1198" s="73" t="s">
        <v>4780</v>
      </c>
      <c r="AI1198" s="73" t="s">
        <v>459</v>
      </c>
      <c r="AJ1198" s="73" t="s">
        <v>7453</v>
      </c>
      <c r="AK1198" s="73" t="s">
        <v>460</v>
      </c>
      <c r="AL1198" s="80">
        <v>5</v>
      </c>
      <c r="AM1198" s="147"/>
      <c r="AN1198" s="147"/>
      <c r="AP1198" s="226">
        <v>1</v>
      </c>
      <c r="AQ1198" s="73">
        <v>0</v>
      </c>
      <c r="AR1198" s="73">
        <v>0</v>
      </c>
      <c r="AS1198" s="73">
        <v>0</v>
      </c>
      <c r="AT1198" s="73">
        <v>0</v>
      </c>
      <c r="AU1198" s="226">
        <v>0</v>
      </c>
      <c r="AV1198" s="17">
        <f t="shared" si="160"/>
        <v>0</v>
      </c>
      <c r="AW1198" s="50" t="str">
        <f t="shared" si="163"/>
        <v>{s_taskTalk,{0,0}}</v>
      </c>
    </row>
    <row r="1199" spans="1:49" s="621" customFormat="1" ht="132" x14ac:dyDescent="0.15">
      <c r="A1199" s="9">
        <v>20460</v>
      </c>
      <c r="B1199" s="73" t="s">
        <v>320</v>
      </c>
      <c r="C1199" s="73" t="s">
        <v>111</v>
      </c>
      <c r="D1199" s="73">
        <v>4</v>
      </c>
      <c r="E1199" s="73">
        <v>0</v>
      </c>
      <c r="F1199" s="73">
        <v>1</v>
      </c>
      <c r="G1199" s="80">
        <v>21</v>
      </c>
      <c r="H1199" s="73">
        <v>200</v>
      </c>
      <c r="I1199" s="17">
        <v>0</v>
      </c>
      <c r="J1199" s="80">
        <v>0</v>
      </c>
      <c r="K1199" s="73">
        <v>0</v>
      </c>
      <c r="L1199" s="73">
        <v>0</v>
      </c>
      <c r="M1199" s="73"/>
      <c r="N1199" s="73">
        <v>0</v>
      </c>
      <c r="O1199" s="73"/>
      <c r="P1199" s="73"/>
      <c r="Q1199" s="140"/>
      <c r="R1199" s="140"/>
      <c r="S1199" s="140"/>
      <c r="T1199" s="140"/>
      <c r="U1199" s="73">
        <v>1</v>
      </c>
      <c r="V1199" s="73">
        <v>1</v>
      </c>
      <c r="W1199" s="73"/>
      <c r="X1199" s="73">
        <v>1</v>
      </c>
      <c r="Y1199" s="73"/>
      <c r="Z1199" s="142">
        <v>0</v>
      </c>
      <c r="AA1199" s="73"/>
      <c r="AB1199" s="143"/>
      <c r="AC1199" s="143"/>
      <c r="AD1199" s="73" t="s">
        <v>457</v>
      </c>
      <c r="AE1199" s="73" t="s">
        <v>457</v>
      </c>
      <c r="AF1199" s="73" t="s">
        <v>4789</v>
      </c>
      <c r="AG1199" s="73" t="s">
        <v>322</v>
      </c>
      <c r="AH1199" s="73" t="s">
        <v>4780</v>
      </c>
      <c r="AI1199" s="73" t="s">
        <v>484</v>
      </c>
      <c r="AJ1199" s="73" t="s">
        <v>7454</v>
      </c>
      <c r="AK1199" s="73" t="s">
        <v>485</v>
      </c>
      <c r="AL1199" s="80">
        <v>5</v>
      </c>
      <c r="AM1199" s="147"/>
      <c r="AN1199" s="147"/>
      <c r="AO1199" s="73"/>
      <c r="AP1199" s="226">
        <v>1</v>
      </c>
      <c r="AQ1199" s="621">
        <v>0</v>
      </c>
      <c r="AR1199" s="621">
        <v>0</v>
      </c>
      <c r="AS1199" s="621">
        <v>0</v>
      </c>
      <c r="AT1199" s="621">
        <v>0</v>
      </c>
      <c r="AU1199" s="226">
        <v>0</v>
      </c>
      <c r="AV1199" s="17">
        <f t="shared" si="160"/>
        <v>0</v>
      </c>
      <c r="AW1199" s="50" t="str">
        <f t="shared" si="163"/>
        <v>{s_taskTalk,{0,0}}</v>
      </c>
    </row>
    <row r="1200" spans="1:49" s="226" customFormat="1" ht="120" x14ac:dyDescent="0.15">
      <c r="A1200" s="9">
        <v>20470</v>
      </c>
      <c r="B1200" s="73" t="s">
        <v>486</v>
      </c>
      <c r="C1200" s="73" t="s">
        <v>111</v>
      </c>
      <c r="D1200" s="73">
        <v>4</v>
      </c>
      <c r="E1200" s="73">
        <v>0</v>
      </c>
      <c r="F1200" s="73">
        <v>1</v>
      </c>
      <c r="G1200" s="80">
        <v>21</v>
      </c>
      <c r="H1200" s="73">
        <v>200</v>
      </c>
      <c r="I1200" s="17">
        <v>0</v>
      </c>
      <c r="J1200" s="80">
        <v>0</v>
      </c>
      <c r="K1200" s="73">
        <v>0</v>
      </c>
      <c r="L1200" s="73">
        <v>0</v>
      </c>
      <c r="M1200" s="73"/>
      <c r="N1200" s="73">
        <v>0</v>
      </c>
      <c r="O1200" s="73"/>
      <c r="P1200" s="73"/>
      <c r="Q1200" s="140"/>
      <c r="R1200" s="140"/>
      <c r="S1200" s="140"/>
      <c r="T1200" s="140"/>
      <c r="U1200" s="73">
        <v>1</v>
      </c>
      <c r="V1200" s="73">
        <v>0</v>
      </c>
      <c r="W1200" s="73"/>
      <c r="X1200" s="73">
        <v>1</v>
      </c>
      <c r="Y1200" s="73"/>
      <c r="Z1200" s="142">
        <v>0</v>
      </c>
      <c r="AA1200" s="73"/>
      <c r="AB1200" s="143"/>
      <c r="AC1200" s="143"/>
      <c r="AD1200" s="73" t="s">
        <v>457</v>
      </c>
      <c r="AE1200" s="73" t="s">
        <v>457</v>
      </c>
      <c r="AF1200" s="73" t="s">
        <v>4790</v>
      </c>
      <c r="AG1200" s="73" t="s">
        <v>487</v>
      </c>
      <c r="AH1200" s="73" t="s">
        <v>4780</v>
      </c>
      <c r="AI1200" s="73" t="s">
        <v>484</v>
      </c>
      <c r="AJ1200" s="73" t="s">
        <v>7455</v>
      </c>
      <c r="AK1200" s="73" t="s">
        <v>485</v>
      </c>
      <c r="AL1200" s="80">
        <v>5</v>
      </c>
      <c r="AM1200" s="147"/>
      <c r="AN1200" s="147"/>
      <c r="AO1200" s="73"/>
      <c r="AP1200" s="226">
        <v>1</v>
      </c>
      <c r="AQ1200" s="226">
        <v>0</v>
      </c>
      <c r="AR1200" s="226">
        <v>0</v>
      </c>
      <c r="AS1200" s="226">
        <v>0</v>
      </c>
      <c r="AT1200" s="226">
        <v>0</v>
      </c>
      <c r="AU1200" s="226">
        <v>0</v>
      </c>
      <c r="AV1200" s="17">
        <f t="shared" si="160"/>
        <v>0</v>
      </c>
      <c r="AW1200" s="50" t="str">
        <f t="shared" si="163"/>
        <v>{s_taskTalk,{0,0}}</v>
      </c>
    </row>
    <row r="1201" spans="1:49" s="226" customFormat="1" ht="120" x14ac:dyDescent="0.15">
      <c r="A1201" s="9">
        <v>20501</v>
      </c>
      <c r="B1201" s="73" t="s">
        <v>488</v>
      </c>
      <c r="C1201" s="73" t="s">
        <v>489</v>
      </c>
      <c r="D1201" s="73">
        <v>4</v>
      </c>
      <c r="E1201" s="73">
        <v>0</v>
      </c>
      <c r="F1201" s="73">
        <v>1</v>
      </c>
      <c r="G1201" s="80">
        <v>21</v>
      </c>
      <c r="H1201" s="73">
        <v>200</v>
      </c>
      <c r="I1201" s="17">
        <v>0</v>
      </c>
      <c r="J1201" s="80">
        <v>0</v>
      </c>
      <c r="K1201" s="73">
        <v>0</v>
      </c>
      <c r="L1201" s="73">
        <v>0</v>
      </c>
      <c r="M1201" s="73"/>
      <c r="N1201" s="73">
        <v>0</v>
      </c>
      <c r="O1201" s="73"/>
      <c r="P1201" s="73"/>
      <c r="Q1201" s="140"/>
      <c r="R1201" s="140"/>
      <c r="S1201" s="140"/>
      <c r="T1201" s="140"/>
      <c r="U1201" s="73">
        <v>1</v>
      </c>
      <c r="V1201" s="73">
        <v>0</v>
      </c>
      <c r="W1201" s="73"/>
      <c r="X1201" s="73"/>
      <c r="Y1201" s="73"/>
      <c r="Z1201" s="142">
        <v>0</v>
      </c>
      <c r="AA1201" s="73"/>
      <c r="AB1201" s="143"/>
      <c r="AC1201" s="143"/>
      <c r="AD1201" s="73" t="s">
        <v>457</v>
      </c>
      <c r="AE1201" s="73" t="s">
        <v>457</v>
      </c>
      <c r="AF1201" s="73" t="s">
        <v>4618</v>
      </c>
      <c r="AG1201" s="73" t="s">
        <v>487</v>
      </c>
      <c r="AH1201" s="73" t="s">
        <v>4780</v>
      </c>
      <c r="AI1201" s="73" t="s">
        <v>484</v>
      </c>
      <c r="AJ1201" s="73" t="s">
        <v>7455</v>
      </c>
      <c r="AK1201" s="73" t="s">
        <v>485</v>
      </c>
      <c r="AL1201" s="80">
        <v>5</v>
      </c>
      <c r="AM1201" s="147" t="s">
        <v>4619</v>
      </c>
      <c r="AN1201" s="147" t="s">
        <v>4619</v>
      </c>
      <c r="AO1201" s="73"/>
      <c r="AP1201" s="226">
        <v>1</v>
      </c>
      <c r="AQ1201" s="226">
        <v>0</v>
      </c>
      <c r="AR1201" s="226">
        <v>0</v>
      </c>
      <c r="AS1201" s="226">
        <v>0</v>
      </c>
      <c r="AT1201" s="226">
        <v>0</v>
      </c>
      <c r="AU1201" s="226">
        <v>0</v>
      </c>
      <c r="AV1201" s="17">
        <f t="shared" si="160"/>
        <v>0</v>
      </c>
      <c r="AW1201" s="50" t="str">
        <f t="shared" si="163"/>
        <v>{s_taskTalk,{0,0}}</v>
      </c>
    </row>
    <row r="1202" spans="1:49" s="226" customFormat="1" ht="132" x14ac:dyDescent="0.15">
      <c r="A1202" s="9">
        <v>20502</v>
      </c>
      <c r="B1202" s="73" t="s">
        <v>488</v>
      </c>
      <c r="C1202" s="73" t="s">
        <v>490</v>
      </c>
      <c r="D1202" s="73">
        <v>4</v>
      </c>
      <c r="E1202" s="73">
        <v>0</v>
      </c>
      <c r="F1202" s="73">
        <v>1</v>
      </c>
      <c r="G1202" s="80">
        <v>21</v>
      </c>
      <c r="H1202" s="73">
        <v>200</v>
      </c>
      <c r="I1202" s="17">
        <v>0</v>
      </c>
      <c r="J1202" s="80">
        <v>0</v>
      </c>
      <c r="K1202" s="73">
        <v>0</v>
      </c>
      <c r="L1202" s="73">
        <v>0</v>
      </c>
      <c r="M1202" s="73"/>
      <c r="N1202" s="73">
        <v>0</v>
      </c>
      <c r="O1202" s="73"/>
      <c r="P1202" s="73"/>
      <c r="Q1202" s="140"/>
      <c r="R1202" s="140"/>
      <c r="S1202" s="140"/>
      <c r="T1202" s="140"/>
      <c r="U1202" s="73">
        <v>1</v>
      </c>
      <c r="V1202" s="73">
        <v>0</v>
      </c>
      <c r="W1202" s="73"/>
      <c r="X1202" s="73"/>
      <c r="Y1202" s="73"/>
      <c r="Z1202" s="142">
        <v>0</v>
      </c>
      <c r="AA1202" s="73"/>
      <c r="AB1202" s="143"/>
      <c r="AC1202" s="143"/>
      <c r="AD1202" s="73" t="s">
        <v>457</v>
      </c>
      <c r="AE1202" s="73" t="s">
        <v>457</v>
      </c>
      <c r="AF1202" s="73" t="s">
        <v>4596</v>
      </c>
      <c r="AG1202" s="73" t="s">
        <v>487</v>
      </c>
      <c r="AH1202" s="73" t="s">
        <v>4780</v>
      </c>
      <c r="AI1202" s="73" t="s">
        <v>484</v>
      </c>
      <c r="AJ1202" s="73" t="s">
        <v>7455</v>
      </c>
      <c r="AK1202" s="73" t="s">
        <v>485</v>
      </c>
      <c r="AL1202" s="80">
        <v>5</v>
      </c>
      <c r="AM1202" s="147" t="s">
        <v>4597</v>
      </c>
      <c r="AN1202" s="147" t="s">
        <v>4597</v>
      </c>
      <c r="AO1202" s="73"/>
      <c r="AP1202" s="226">
        <v>1</v>
      </c>
      <c r="AQ1202" s="226">
        <v>0</v>
      </c>
      <c r="AR1202" s="226">
        <v>0</v>
      </c>
      <c r="AS1202" s="226">
        <v>0</v>
      </c>
      <c r="AT1202" s="226">
        <v>0</v>
      </c>
      <c r="AU1202" s="226">
        <v>0</v>
      </c>
      <c r="AV1202" s="17">
        <f t="shared" si="160"/>
        <v>0</v>
      </c>
      <c r="AW1202" s="50" t="str">
        <f t="shared" si="163"/>
        <v>{s_taskTalk,{0,0}}</v>
      </c>
    </row>
    <row r="1203" spans="1:49" s="226" customFormat="1" ht="132" x14ac:dyDescent="0.15">
      <c r="A1203" s="9">
        <v>20503</v>
      </c>
      <c r="B1203" s="73" t="s">
        <v>488</v>
      </c>
      <c r="C1203" s="73" t="s">
        <v>491</v>
      </c>
      <c r="D1203" s="73">
        <v>4</v>
      </c>
      <c r="E1203" s="73">
        <v>0</v>
      </c>
      <c r="F1203" s="73">
        <v>1</v>
      </c>
      <c r="G1203" s="80">
        <v>21</v>
      </c>
      <c r="H1203" s="73">
        <v>200</v>
      </c>
      <c r="I1203" s="17">
        <v>0</v>
      </c>
      <c r="J1203" s="80">
        <v>0</v>
      </c>
      <c r="K1203" s="73">
        <v>0</v>
      </c>
      <c r="L1203" s="73">
        <v>0</v>
      </c>
      <c r="M1203" s="73"/>
      <c r="N1203" s="73">
        <v>0</v>
      </c>
      <c r="O1203" s="73"/>
      <c r="P1203" s="73"/>
      <c r="Q1203" s="140"/>
      <c r="R1203" s="140"/>
      <c r="S1203" s="140"/>
      <c r="T1203" s="140"/>
      <c r="U1203" s="73">
        <v>1</v>
      </c>
      <c r="V1203" s="73">
        <v>0</v>
      </c>
      <c r="W1203" s="73"/>
      <c r="X1203" s="73"/>
      <c r="Y1203" s="73"/>
      <c r="Z1203" s="142">
        <v>0</v>
      </c>
      <c r="AA1203" s="73"/>
      <c r="AB1203" s="143"/>
      <c r="AC1203" s="143"/>
      <c r="AD1203" s="73" t="s">
        <v>457</v>
      </c>
      <c r="AE1203" s="73" t="s">
        <v>457</v>
      </c>
      <c r="AF1203" s="73" t="s">
        <v>4604</v>
      </c>
      <c r="AG1203" s="73" t="s">
        <v>487</v>
      </c>
      <c r="AH1203" s="73" t="s">
        <v>4780</v>
      </c>
      <c r="AI1203" s="73" t="s">
        <v>484</v>
      </c>
      <c r="AJ1203" s="73" t="s">
        <v>7455</v>
      </c>
      <c r="AK1203" s="73" t="s">
        <v>485</v>
      </c>
      <c r="AL1203" s="80">
        <v>5</v>
      </c>
      <c r="AM1203" s="147" t="s">
        <v>1283</v>
      </c>
      <c r="AN1203" s="147" t="s">
        <v>1283</v>
      </c>
      <c r="AO1203" s="73"/>
      <c r="AP1203" s="226">
        <v>1</v>
      </c>
      <c r="AQ1203" s="226">
        <v>0</v>
      </c>
      <c r="AR1203" s="226">
        <v>0</v>
      </c>
      <c r="AS1203" s="226">
        <v>0</v>
      </c>
      <c r="AT1203" s="226">
        <v>0</v>
      </c>
      <c r="AU1203" s="226">
        <v>0</v>
      </c>
      <c r="AV1203" s="17">
        <f t="shared" si="160"/>
        <v>0</v>
      </c>
      <c r="AW1203" s="50" t="str">
        <f t="shared" si="163"/>
        <v>{s_taskTalk,{0,0}}</v>
      </c>
    </row>
    <row r="1204" spans="1:49" s="226" customFormat="1" ht="132" x14ac:dyDescent="0.15">
      <c r="A1204" s="9">
        <v>20504</v>
      </c>
      <c r="B1204" s="73" t="s">
        <v>488</v>
      </c>
      <c r="C1204" s="73" t="s">
        <v>492</v>
      </c>
      <c r="D1204" s="73">
        <v>4</v>
      </c>
      <c r="E1204" s="73">
        <v>0</v>
      </c>
      <c r="F1204" s="73">
        <v>1</v>
      </c>
      <c r="G1204" s="80">
        <v>21</v>
      </c>
      <c r="H1204" s="73">
        <v>200</v>
      </c>
      <c r="I1204" s="17">
        <v>0</v>
      </c>
      <c r="J1204" s="80">
        <v>0</v>
      </c>
      <c r="K1204" s="73">
        <v>0</v>
      </c>
      <c r="L1204" s="73">
        <v>0</v>
      </c>
      <c r="M1204" s="73"/>
      <c r="N1204" s="73">
        <v>0</v>
      </c>
      <c r="O1204" s="73"/>
      <c r="P1204" s="73"/>
      <c r="Q1204" s="140"/>
      <c r="R1204" s="140"/>
      <c r="S1204" s="140"/>
      <c r="T1204" s="140"/>
      <c r="U1204" s="73">
        <v>1</v>
      </c>
      <c r="V1204" s="73">
        <v>0</v>
      </c>
      <c r="W1204" s="73"/>
      <c r="X1204" s="73"/>
      <c r="Y1204" s="73"/>
      <c r="Z1204" s="142">
        <v>0</v>
      </c>
      <c r="AA1204" s="73"/>
      <c r="AB1204" s="143"/>
      <c r="AC1204" s="143"/>
      <c r="AD1204" s="73" t="s">
        <v>457</v>
      </c>
      <c r="AE1204" s="73" t="s">
        <v>457</v>
      </c>
      <c r="AF1204" s="73" t="s">
        <v>4582</v>
      </c>
      <c r="AG1204" s="73" t="s">
        <v>487</v>
      </c>
      <c r="AH1204" s="73" t="s">
        <v>4780</v>
      </c>
      <c r="AI1204" s="73" t="s">
        <v>484</v>
      </c>
      <c r="AJ1204" s="73" t="s">
        <v>7455</v>
      </c>
      <c r="AK1204" s="73" t="s">
        <v>485</v>
      </c>
      <c r="AL1204" s="80">
        <v>5</v>
      </c>
      <c r="AM1204" s="147" t="s">
        <v>493</v>
      </c>
      <c r="AN1204" s="147" t="s">
        <v>15</v>
      </c>
      <c r="AO1204" s="73"/>
      <c r="AP1204" s="226">
        <v>1</v>
      </c>
      <c r="AQ1204" s="226">
        <v>0</v>
      </c>
      <c r="AR1204" s="226">
        <v>0</v>
      </c>
      <c r="AS1204" s="226">
        <v>0</v>
      </c>
      <c r="AT1204" s="226">
        <v>0</v>
      </c>
      <c r="AU1204" s="226">
        <v>0</v>
      </c>
      <c r="AV1204" s="17">
        <f t="shared" si="160"/>
        <v>0</v>
      </c>
      <c r="AW1204" s="50" t="str">
        <f t="shared" si="163"/>
        <v>{s_taskTalk,{0,0}}</v>
      </c>
    </row>
    <row r="1205" spans="1:49" s="226" customFormat="1" ht="120" x14ac:dyDescent="0.15">
      <c r="A1205" s="9">
        <v>20505</v>
      </c>
      <c r="B1205" s="73" t="s">
        <v>488</v>
      </c>
      <c r="C1205" s="73" t="s">
        <v>494</v>
      </c>
      <c r="D1205" s="73">
        <v>4</v>
      </c>
      <c r="E1205" s="73">
        <v>0</v>
      </c>
      <c r="F1205" s="73">
        <v>1</v>
      </c>
      <c r="G1205" s="80">
        <v>21</v>
      </c>
      <c r="H1205" s="73">
        <v>200</v>
      </c>
      <c r="I1205" s="17">
        <v>0</v>
      </c>
      <c r="J1205" s="80">
        <v>0</v>
      </c>
      <c r="K1205" s="73">
        <v>0</v>
      </c>
      <c r="L1205" s="73">
        <v>0</v>
      </c>
      <c r="M1205" s="73"/>
      <c r="N1205" s="73">
        <v>0</v>
      </c>
      <c r="O1205" s="73"/>
      <c r="P1205" s="73"/>
      <c r="Q1205" s="140"/>
      <c r="R1205" s="140"/>
      <c r="S1205" s="140"/>
      <c r="T1205" s="140"/>
      <c r="U1205" s="73">
        <v>1</v>
      </c>
      <c r="V1205" s="73">
        <v>0</v>
      </c>
      <c r="W1205" s="73"/>
      <c r="X1205" s="73"/>
      <c r="Y1205" s="73"/>
      <c r="Z1205" s="142">
        <v>0</v>
      </c>
      <c r="AA1205" s="73"/>
      <c r="AB1205" s="143"/>
      <c r="AC1205" s="143"/>
      <c r="AD1205" s="73" t="s">
        <v>457</v>
      </c>
      <c r="AE1205" s="73" t="s">
        <v>457</v>
      </c>
      <c r="AF1205" s="73" t="s">
        <v>4812</v>
      </c>
      <c r="AG1205" s="73" t="s">
        <v>487</v>
      </c>
      <c r="AH1205" s="73" t="s">
        <v>4780</v>
      </c>
      <c r="AI1205" s="73" t="s">
        <v>484</v>
      </c>
      <c r="AJ1205" s="73" t="s">
        <v>7455</v>
      </c>
      <c r="AK1205" s="73" t="s">
        <v>485</v>
      </c>
      <c r="AL1205" s="80">
        <v>5</v>
      </c>
      <c r="AM1205" s="147" t="s">
        <v>4583</v>
      </c>
      <c r="AN1205" s="147" t="s">
        <v>4583</v>
      </c>
      <c r="AO1205" s="73"/>
      <c r="AP1205" s="226">
        <v>1</v>
      </c>
      <c r="AQ1205" s="226">
        <v>0</v>
      </c>
      <c r="AR1205" s="226">
        <v>0</v>
      </c>
      <c r="AS1205" s="226">
        <v>0</v>
      </c>
      <c r="AT1205" s="226">
        <v>0</v>
      </c>
      <c r="AU1205" s="226">
        <v>0</v>
      </c>
      <c r="AV1205" s="17">
        <f t="shared" si="160"/>
        <v>0</v>
      </c>
      <c r="AW1205" s="50" t="str">
        <f t="shared" si="163"/>
        <v>{s_taskTalk,{0,0}}</v>
      </c>
    </row>
    <row r="1206" spans="1:49" s="226" customFormat="1" ht="72" x14ac:dyDescent="0.15">
      <c r="A1206" s="9">
        <v>20506</v>
      </c>
      <c r="B1206" s="73" t="s">
        <v>488</v>
      </c>
      <c r="C1206" s="73" t="s">
        <v>152</v>
      </c>
      <c r="D1206" s="73">
        <v>4</v>
      </c>
      <c r="E1206" s="73">
        <v>0</v>
      </c>
      <c r="F1206" s="73">
        <v>1</v>
      </c>
      <c r="G1206" s="80">
        <v>21</v>
      </c>
      <c r="H1206" s="73">
        <v>200</v>
      </c>
      <c r="I1206" s="17">
        <v>0</v>
      </c>
      <c r="J1206" s="80">
        <v>0</v>
      </c>
      <c r="K1206" s="73">
        <v>0</v>
      </c>
      <c r="L1206" s="73">
        <v>0</v>
      </c>
      <c r="M1206" s="73"/>
      <c r="N1206" s="73">
        <v>0</v>
      </c>
      <c r="O1206" s="73"/>
      <c r="P1206" s="73"/>
      <c r="Q1206" s="140"/>
      <c r="R1206" s="140"/>
      <c r="S1206" s="140"/>
      <c r="T1206" s="140"/>
      <c r="U1206" s="73">
        <v>1</v>
      </c>
      <c r="V1206" s="73">
        <v>0</v>
      </c>
      <c r="W1206" s="73"/>
      <c r="X1206" s="73"/>
      <c r="Y1206" s="73"/>
      <c r="Z1206" s="142">
        <v>0</v>
      </c>
      <c r="AA1206" s="73"/>
      <c r="AB1206" s="143"/>
      <c r="AC1206" s="143"/>
      <c r="AD1206" s="73" t="s">
        <v>457</v>
      </c>
      <c r="AE1206" s="73" t="s">
        <v>457</v>
      </c>
      <c r="AF1206" s="73" t="s">
        <v>153</v>
      </c>
      <c r="AG1206" s="73" t="s">
        <v>487</v>
      </c>
      <c r="AH1206" s="73" t="s">
        <v>4780</v>
      </c>
      <c r="AI1206" s="73" t="s">
        <v>484</v>
      </c>
      <c r="AJ1206" s="73" t="s">
        <v>7455</v>
      </c>
      <c r="AK1206" s="73" t="s">
        <v>485</v>
      </c>
      <c r="AL1206" s="80">
        <v>5</v>
      </c>
      <c r="AM1206" s="147">
        <v>0</v>
      </c>
      <c r="AN1206" s="147">
        <v>0</v>
      </c>
      <c r="AO1206" s="73"/>
      <c r="AP1206" s="226">
        <v>1</v>
      </c>
      <c r="AQ1206" s="226">
        <v>0</v>
      </c>
      <c r="AR1206" s="226">
        <v>0</v>
      </c>
      <c r="AS1206" s="226">
        <v>0</v>
      </c>
      <c r="AT1206" s="226">
        <v>0</v>
      </c>
      <c r="AU1206" s="226">
        <v>0</v>
      </c>
      <c r="AV1206" s="17">
        <f t="shared" si="160"/>
        <v>0</v>
      </c>
      <c r="AW1206" s="50" t="str">
        <f t="shared" si="163"/>
        <v>{s_taskTalk,{0,0}}</v>
      </c>
    </row>
    <row r="1207" spans="1:49" s="226" customFormat="1" ht="72" x14ac:dyDescent="0.15">
      <c r="A1207" s="9">
        <v>20507</v>
      </c>
      <c r="B1207" s="73" t="s">
        <v>488</v>
      </c>
      <c r="C1207" s="73" t="s">
        <v>154</v>
      </c>
      <c r="D1207" s="73">
        <v>4</v>
      </c>
      <c r="E1207" s="73">
        <v>0</v>
      </c>
      <c r="F1207" s="73">
        <v>1</v>
      </c>
      <c r="G1207" s="80">
        <v>21</v>
      </c>
      <c r="H1207" s="73">
        <v>200</v>
      </c>
      <c r="I1207" s="17">
        <v>0</v>
      </c>
      <c r="J1207" s="80">
        <v>0</v>
      </c>
      <c r="K1207" s="73">
        <v>0</v>
      </c>
      <c r="L1207" s="73">
        <v>0</v>
      </c>
      <c r="M1207" s="73"/>
      <c r="N1207" s="73">
        <v>0</v>
      </c>
      <c r="O1207" s="73"/>
      <c r="P1207" s="73"/>
      <c r="Q1207" s="140"/>
      <c r="R1207" s="140"/>
      <c r="S1207" s="140"/>
      <c r="T1207" s="140"/>
      <c r="U1207" s="73">
        <v>1</v>
      </c>
      <c r="V1207" s="73">
        <v>0</v>
      </c>
      <c r="W1207" s="73"/>
      <c r="X1207" s="73"/>
      <c r="Y1207" s="73"/>
      <c r="Z1207" s="142">
        <v>0</v>
      </c>
      <c r="AA1207" s="73"/>
      <c r="AB1207" s="143"/>
      <c r="AC1207" s="143"/>
      <c r="AD1207" s="73" t="s">
        <v>457</v>
      </c>
      <c r="AE1207" s="73" t="s">
        <v>457</v>
      </c>
      <c r="AF1207" s="73" t="s">
        <v>155</v>
      </c>
      <c r="AG1207" s="73" t="s">
        <v>487</v>
      </c>
      <c r="AH1207" s="73" t="s">
        <v>4780</v>
      </c>
      <c r="AI1207" s="73" t="s">
        <v>484</v>
      </c>
      <c r="AJ1207" s="73" t="s">
        <v>7455</v>
      </c>
      <c r="AK1207" s="73" t="s">
        <v>485</v>
      </c>
      <c r="AL1207" s="80">
        <v>5</v>
      </c>
      <c r="AM1207" s="147">
        <v>0</v>
      </c>
      <c r="AN1207" s="147">
        <v>0</v>
      </c>
      <c r="AO1207" s="73"/>
      <c r="AP1207" s="226">
        <v>1</v>
      </c>
      <c r="AQ1207" s="226">
        <v>0</v>
      </c>
      <c r="AR1207" s="226">
        <v>0</v>
      </c>
      <c r="AS1207" s="226">
        <v>0</v>
      </c>
      <c r="AT1207" s="226">
        <v>0</v>
      </c>
      <c r="AU1207" s="226">
        <v>0</v>
      </c>
      <c r="AV1207" s="17">
        <f t="shared" si="160"/>
        <v>0</v>
      </c>
      <c r="AW1207" s="50" t="str">
        <f t="shared" si="163"/>
        <v>{s_taskTalk,{0,0}}</v>
      </c>
    </row>
    <row r="1208" spans="1:49" s="226" customFormat="1" ht="108" x14ac:dyDescent="0.15">
      <c r="A1208" s="9">
        <v>20508</v>
      </c>
      <c r="B1208" s="73" t="s">
        <v>488</v>
      </c>
      <c r="C1208" s="73" t="s">
        <v>495</v>
      </c>
      <c r="D1208" s="73">
        <v>4</v>
      </c>
      <c r="E1208" s="73">
        <v>0</v>
      </c>
      <c r="F1208" s="73">
        <v>1</v>
      </c>
      <c r="G1208" s="80">
        <v>21</v>
      </c>
      <c r="H1208" s="73">
        <v>200</v>
      </c>
      <c r="I1208" s="17">
        <v>0</v>
      </c>
      <c r="J1208" s="80">
        <v>0</v>
      </c>
      <c r="K1208" s="73">
        <v>0</v>
      </c>
      <c r="L1208" s="73">
        <v>0</v>
      </c>
      <c r="M1208" s="73"/>
      <c r="N1208" s="73">
        <v>0</v>
      </c>
      <c r="O1208" s="73"/>
      <c r="P1208" s="73"/>
      <c r="Q1208" s="140"/>
      <c r="R1208" s="140"/>
      <c r="S1208" s="140"/>
      <c r="T1208" s="140"/>
      <c r="U1208" s="73">
        <v>1</v>
      </c>
      <c r="V1208" s="73">
        <v>0</v>
      </c>
      <c r="W1208" s="73"/>
      <c r="X1208" s="73"/>
      <c r="Y1208" s="73"/>
      <c r="Z1208" s="142">
        <v>0</v>
      </c>
      <c r="AA1208" s="73"/>
      <c r="AB1208" s="143"/>
      <c r="AC1208" s="143"/>
      <c r="AD1208" s="73" t="s">
        <v>457</v>
      </c>
      <c r="AE1208" s="73" t="s">
        <v>457</v>
      </c>
      <c r="AF1208" s="73" t="s">
        <v>4598</v>
      </c>
      <c r="AG1208" s="73" t="s">
        <v>487</v>
      </c>
      <c r="AH1208" s="73" t="s">
        <v>4780</v>
      </c>
      <c r="AI1208" s="73" t="s">
        <v>484</v>
      </c>
      <c r="AJ1208" s="73" t="s">
        <v>7455</v>
      </c>
      <c r="AK1208" s="73" t="s">
        <v>485</v>
      </c>
      <c r="AL1208" s="80">
        <v>5</v>
      </c>
      <c r="AM1208" s="147" t="s">
        <v>496</v>
      </c>
      <c r="AN1208" s="147" t="s">
        <v>16</v>
      </c>
      <c r="AO1208" s="73"/>
      <c r="AP1208" s="226">
        <v>1</v>
      </c>
      <c r="AQ1208" s="226">
        <v>0</v>
      </c>
      <c r="AR1208" s="226">
        <v>0</v>
      </c>
      <c r="AS1208" s="226">
        <v>0</v>
      </c>
      <c r="AT1208" s="226">
        <v>0</v>
      </c>
      <c r="AU1208" s="226">
        <v>0</v>
      </c>
      <c r="AV1208" s="17">
        <f t="shared" si="160"/>
        <v>0</v>
      </c>
      <c r="AW1208" s="50" t="str">
        <f t="shared" si="163"/>
        <v>{s_taskTalk,{0,0}}</v>
      </c>
    </row>
    <row r="1209" spans="1:49" s="226" customFormat="1" ht="108" x14ac:dyDescent="0.15">
      <c r="A1209" s="9">
        <v>20509</v>
      </c>
      <c r="B1209" s="73" t="s">
        <v>488</v>
      </c>
      <c r="C1209" s="73" t="s">
        <v>497</v>
      </c>
      <c r="D1209" s="73">
        <v>4</v>
      </c>
      <c r="E1209" s="73">
        <v>0</v>
      </c>
      <c r="F1209" s="73">
        <v>1</v>
      </c>
      <c r="G1209" s="80">
        <v>21</v>
      </c>
      <c r="H1209" s="73">
        <v>200</v>
      </c>
      <c r="I1209" s="17">
        <v>0</v>
      </c>
      <c r="J1209" s="80">
        <v>0</v>
      </c>
      <c r="K1209" s="73">
        <v>0</v>
      </c>
      <c r="L1209" s="73">
        <v>0</v>
      </c>
      <c r="M1209" s="73"/>
      <c r="N1209" s="73">
        <v>0</v>
      </c>
      <c r="O1209" s="73"/>
      <c r="P1209" s="73"/>
      <c r="Q1209" s="140"/>
      <c r="R1209" s="140"/>
      <c r="S1209" s="140"/>
      <c r="T1209" s="140"/>
      <c r="U1209" s="73">
        <v>1</v>
      </c>
      <c r="V1209" s="73">
        <v>0</v>
      </c>
      <c r="W1209" s="73"/>
      <c r="X1209" s="73"/>
      <c r="Y1209" s="73"/>
      <c r="Z1209" s="142">
        <v>0</v>
      </c>
      <c r="AA1209" s="73"/>
      <c r="AB1209" s="143"/>
      <c r="AC1209" s="143"/>
      <c r="AD1209" s="73" t="s">
        <v>457</v>
      </c>
      <c r="AE1209" s="73" t="s">
        <v>457</v>
      </c>
      <c r="AF1209" s="73" t="s">
        <v>4626</v>
      </c>
      <c r="AG1209" s="73" t="s">
        <v>487</v>
      </c>
      <c r="AH1209" s="73" t="s">
        <v>4780</v>
      </c>
      <c r="AI1209" s="73" t="s">
        <v>484</v>
      </c>
      <c r="AJ1209" s="73" t="s">
        <v>7455</v>
      </c>
      <c r="AK1209" s="73" t="s">
        <v>485</v>
      </c>
      <c r="AL1209" s="80">
        <v>5</v>
      </c>
      <c r="AM1209" s="147" t="s">
        <v>498</v>
      </c>
      <c r="AN1209" s="147" t="s">
        <v>17</v>
      </c>
      <c r="AO1209" s="73"/>
      <c r="AP1209" s="226">
        <v>1</v>
      </c>
      <c r="AQ1209" s="226">
        <v>0</v>
      </c>
      <c r="AR1209" s="226">
        <v>0</v>
      </c>
      <c r="AS1209" s="226">
        <v>0</v>
      </c>
      <c r="AT1209" s="226">
        <v>0</v>
      </c>
      <c r="AU1209" s="226">
        <v>0</v>
      </c>
      <c r="AV1209" s="17">
        <f t="shared" si="160"/>
        <v>0</v>
      </c>
      <c r="AW1209" s="50" t="str">
        <f t="shared" si="163"/>
        <v>{s_taskTalk,{0,0}}</v>
      </c>
    </row>
    <row r="1210" spans="1:49" s="226" customFormat="1" ht="132" x14ac:dyDescent="0.15">
      <c r="A1210" s="9">
        <v>20510</v>
      </c>
      <c r="B1210" s="73" t="s">
        <v>488</v>
      </c>
      <c r="C1210" s="73" t="s">
        <v>4791</v>
      </c>
      <c r="D1210" s="73">
        <v>4</v>
      </c>
      <c r="E1210" s="73">
        <v>0</v>
      </c>
      <c r="F1210" s="73">
        <v>1</v>
      </c>
      <c r="G1210" s="80">
        <v>21</v>
      </c>
      <c r="H1210" s="73">
        <v>200</v>
      </c>
      <c r="I1210" s="17">
        <v>0</v>
      </c>
      <c r="J1210" s="80">
        <v>0</v>
      </c>
      <c r="K1210" s="73">
        <v>0</v>
      </c>
      <c r="L1210" s="73">
        <v>0</v>
      </c>
      <c r="M1210" s="73"/>
      <c r="N1210" s="73">
        <v>0</v>
      </c>
      <c r="O1210" s="73"/>
      <c r="P1210" s="73"/>
      <c r="Q1210" s="140"/>
      <c r="R1210" s="140"/>
      <c r="S1210" s="140"/>
      <c r="T1210" s="140"/>
      <c r="U1210" s="73">
        <v>1</v>
      </c>
      <c r="V1210" s="73">
        <v>0</v>
      </c>
      <c r="W1210" s="73"/>
      <c r="X1210" s="73"/>
      <c r="Y1210" s="73"/>
      <c r="Z1210" s="142">
        <v>0</v>
      </c>
      <c r="AA1210" s="73"/>
      <c r="AB1210" s="143"/>
      <c r="AC1210" s="143"/>
      <c r="AD1210" s="73" t="s">
        <v>457</v>
      </c>
      <c r="AE1210" s="73" t="s">
        <v>457</v>
      </c>
      <c r="AF1210" s="622" t="s">
        <v>4792</v>
      </c>
      <c r="AG1210" s="73" t="s">
        <v>487</v>
      </c>
      <c r="AH1210" s="73" t="s">
        <v>4780</v>
      </c>
      <c r="AI1210" s="73" t="s">
        <v>484</v>
      </c>
      <c r="AJ1210" s="73" t="s">
        <v>7455</v>
      </c>
      <c r="AK1210" s="73" t="s">
        <v>485</v>
      </c>
      <c r="AL1210" s="80">
        <v>5</v>
      </c>
      <c r="AM1210" s="147" t="s">
        <v>4594</v>
      </c>
      <c r="AN1210" s="147" t="s">
        <v>4594</v>
      </c>
      <c r="AO1210" s="73"/>
      <c r="AP1210" s="226">
        <v>1</v>
      </c>
      <c r="AQ1210" s="226">
        <v>0</v>
      </c>
      <c r="AR1210" s="226">
        <v>0</v>
      </c>
      <c r="AS1210" s="226">
        <v>0</v>
      </c>
      <c r="AT1210" s="226">
        <v>0</v>
      </c>
      <c r="AU1210" s="226">
        <v>0</v>
      </c>
      <c r="AV1210" s="17">
        <f t="shared" ref="AV1210:AV1273" si="164">IF(D1210 = 1,1,0)</f>
        <v>0</v>
      </c>
      <c r="AW1210" s="50" t="str">
        <f t="shared" si="163"/>
        <v>{s_taskTalk,{0,0}}</v>
      </c>
    </row>
    <row r="1211" spans="1:49" s="226" customFormat="1" ht="108" x14ac:dyDescent="0.15">
      <c r="A1211" s="9">
        <v>20511</v>
      </c>
      <c r="B1211" s="73" t="s">
        <v>488</v>
      </c>
      <c r="C1211" s="73" t="s">
        <v>156</v>
      </c>
      <c r="D1211" s="73">
        <v>4</v>
      </c>
      <c r="E1211" s="73">
        <v>0</v>
      </c>
      <c r="F1211" s="73">
        <v>1</v>
      </c>
      <c r="G1211" s="80">
        <v>21</v>
      </c>
      <c r="H1211" s="73">
        <v>200</v>
      </c>
      <c r="I1211" s="17">
        <v>0</v>
      </c>
      <c r="J1211" s="80">
        <v>0</v>
      </c>
      <c r="K1211" s="73">
        <v>0</v>
      </c>
      <c r="L1211" s="73">
        <v>0</v>
      </c>
      <c r="M1211" s="73"/>
      <c r="N1211" s="73">
        <v>0</v>
      </c>
      <c r="O1211" s="73"/>
      <c r="P1211" s="73"/>
      <c r="Q1211" s="140"/>
      <c r="R1211" s="140"/>
      <c r="S1211" s="140"/>
      <c r="T1211" s="140"/>
      <c r="U1211" s="73">
        <v>1</v>
      </c>
      <c r="V1211" s="73">
        <v>0</v>
      </c>
      <c r="W1211" s="73"/>
      <c r="X1211" s="73"/>
      <c r="Y1211" s="73"/>
      <c r="Z1211" s="142">
        <v>0</v>
      </c>
      <c r="AA1211" s="73"/>
      <c r="AB1211" s="143"/>
      <c r="AC1211" s="143"/>
      <c r="AD1211" s="73" t="s">
        <v>457</v>
      </c>
      <c r="AE1211" s="73" t="s">
        <v>457</v>
      </c>
      <c r="AF1211" s="73" t="s">
        <v>4627</v>
      </c>
      <c r="AG1211" s="73" t="s">
        <v>487</v>
      </c>
      <c r="AH1211" s="73" t="s">
        <v>4780</v>
      </c>
      <c r="AI1211" s="73" t="s">
        <v>484</v>
      </c>
      <c r="AJ1211" s="73" t="s">
        <v>7455</v>
      </c>
      <c r="AK1211" s="73" t="s">
        <v>485</v>
      </c>
      <c r="AL1211" s="80">
        <v>5</v>
      </c>
      <c r="AM1211" s="147" t="s">
        <v>295</v>
      </c>
      <c r="AN1211" s="147" t="s">
        <v>18</v>
      </c>
      <c r="AO1211" s="73"/>
      <c r="AP1211" s="226">
        <v>1</v>
      </c>
      <c r="AQ1211" s="226">
        <v>0</v>
      </c>
      <c r="AR1211" s="226">
        <v>0</v>
      </c>
      <c r="AS1211" s="226">
        <v>0</v>
      </c>
      <c r="AT1211" s="226">
        <v>0</v>
      </c>
      <c r="AU1211" s="226">
        <v>0</v>
      </c>
      <c r="AV1211" s="17">
        <f t="shared" si="164"/>
        <v>0</v>
      </c>
      <c r="AW1211" s="50" t="str">
        <f t="shared" si="163"/>
        <v>{s_taskTalk,{0,0}}</v>
      </c>
    </row>
    <row r="1212" spans="1:49" s="226" customFormat="1" ht="84" x14ac:dyDescent="0.15">
      <c r="A1212" s="9">
        <v>20512</v>
      </c>
      <c r="B1212" s="73" t="s">
        <v>488</v>
      </c>
      <c r="C1212" s="73" t="s">
        <v>157</v>
      </c>
      <c r="D1212" s="73">
        <v>4</v>
      </c>
      <c r="E1212" s="73">
        <v>0</v>
      </c>
      <c r="F1212" s="73">
        <v>1</v>
      </c>
      <c r="G1212" s="80">
        <v>21</v>
      </c>
      <c r="H1212" s="73">
        <v>200</v>
      </c>
      <c r="I1212" s="17">
        <v>0</v>
      </c>
      <c r="J1212" s="80">
        <v>0</v>
      </c>
      <c r="K1212" s="73">
        <v>0</v>
      </c>
      <c r="L1212" s="73">
        <v>0</v>
      </c>
      <c r="M1212" s="73"/>
      <c r="N1212" s="73">
        <v>0</v>
      </c>
      <c r="O1212" s="73"/>
      <c r="P1212" s="73"/>
      <c r="Q1212" s="140"/>
      <c r="R1212" s="140"/>
      <c r="S1212" s="140"/>
      <c r="T1212" s="140"/>
      <c r="U1212" s="73">
        <v>1</v>
      </c>
      <c r="V1212" s="73">
        <v>0</v>
      </c>
      <c r="W1212" s="73"/>
      <c r="X1212" s="73"/>
      <c r="Y1212" s="73"/>
      <c r="Z1212" s="142">
        <v>0</v>
      </c>
      <c r="AA1212" s="73"/>
      <c r="AB1212" s="143"/>
      <c r="AC1212" s="143"/>
      <c r="AD1212" s="73" t="s">
        <v>457</v>
      </c>
      <c r="AE1212" s="73" t="s">
        <v>457</v>
      </c>
      <c r="AF1212" s="73" t="s">
        <v>4628</v>
      </c>
      <c r="AG1212" s="73" t="s">
        <v>487</v>
      </c>
      <c r="AH1212" s="73" t="s">
        <v>4780</v>
      </c>
      <c r="AI1212" s="73" t="s">
        <v>484</v>
      </c>
      <c r="AJ1212" s="73" t="s">
        <v>7455</v>
      </c>
      <c r="AK1212" s="73" t="s">
        <v>485</v>
      </c>
      <c r="AL1212" s="80">
        <v>5</v>
      </c>
      <c r="AM1212" s="147" t="s">
        <v>499</v>
      </c>
      <c r="AN1212" s="147" t="s">
        <v>19</v>
      </c>
      <c r="AO1212" s="73"/>
      <c r="AP1212" s="226">
        <v>1</v>
      </c>
      <c r="AQ1212" s="226">
        <v>0</v>
      </c>
      <c r="AR1212" s="226">
        <v>0</v>
      </c>
      <c r="AS1212" s="226">
        <v>0</v>
      </c>
      <c r="AT1212" s="226">
        <v>0</v>
      </c>
      <c r="AU1212" s="226">
        <v>0</v>
      </c>
      <c r="AV1212" s="17">
        <f t="shared" si="164"/>
        <v>0</v>
      </c>
      <c r="AW1212" s="50" t="str">
        <f t="shared" si="163"/>
        <v>{s_taskTalk,{0,0}}</v>
      </c>
    </row>
    <row r="1213" spans="1:49" s="226" customFormat="1" ht="84" x14ac:dyDescent="0.15">
      <c r="A1213" s="9">
        <v>20513</v>
      </c>
      <c r="B1213" s="73" t="s">
        <v>488</v>
      </c>
      <c r="C1213" s="73" t="s">
        <v>158</v>
      </c>
      <c r="D1213" s="73">
        <v>4</v>
      </c>
      <c r="E1213" s="73">
        <v>0</v>
      </c>
      <c r="F1213" s="73">
        <v>1</v>
      </c>
      <c r="G1213" s="80">
        <v>21</v>
      </c>
      <c r="H1213" s="73">
        <v>200</v>
      </c>
      <c r="I1213" s="17">
        <v>0</v>
      </c>
      <c r="J1213" s="80">
        <v>0</v>
      </c>
      <c r="K1213" s="73">
        <v>0</v>
      </c>
      <c r="L1213" s="73">
        <v>0</v>
      </c>
      <c r="M1213" s="73"/>
      <c r="N1213" s="73">
        <v>0</v>
      </c>
      <c r="O1213" s="73"/>
      <c r="P1213" s="73"/>
      <c r="Q1213" s="140"/>
      <c r="R1213" s="140"/>
      <c r="S1213" s="140"/>
      <c r="T1213" s="140"/>
      <c r="U1213" s="73">
        <v>1</v>
      </c>
      <c r="V1213" s="73">
        <v>0</v>
      </c>
      <c r="W1213" s="73"/>
      <c r="X1213" s="73"/>
      <c r="Y1213" s="73"/>
      <c r="Z1213" s="142">
        <v>0</v>
      </c>
      <c r="AA1213" s="73"/>
      <c r="AB1213" s="143"/>
      <c r="AC1213" s="143"/>
      <c r="AD1213" s="73" t="s">
        <v>457</v>
      </c>
      <c r="AE1213" s="73" t="s">
        <v>457</v>
      </c>
      <c r="AF1213" s="73" t="s">
        <v>4629</v>
      </c>
      <c r="AG1213" s="73" t="s">
        <v>487</v>
      </c>
      <c r="AH1213" s="73" t="s">
        <v>4780</v>
      </c>
      <c r="AI1213" s="73" t="s">
        <v>484</v>
      </c>
      <c r="AJ1213" s="73" t="s">
        <v>7455</v>
      </c>
      <c r="AK1213" s="73" t="s">
        <v>485</v>
      </c>
      <c r="AL1213" s="80">
        <v>5</v>
      </c>
      <c r="AM1213" s="147" t="s">
        <v>500</v>
      </c>
      <c r="AN1213" s="147" t="s">
        <v>20</v>
      </c>
      <c r="AO1213" s="73"/>
      <c r="AP1213" s="226">
        <v>1</v>
      </c>
      <c r="AQ1213" s="226">
        <v>0</v>
      </c>
      <c r="AR1213" s="226">
        <v>0</v>
      </c>
      <c r="AS1213" s="226">
        <v>0</v>
      </c>
      <c r="AT1213" s="226">
        <v>0</v>
      </c>
      <c r="AU1213" s="226">
        <v>0</v>
      </c>
      <c r="AV1213" s="17">
        <f t="shared" si="164"/>
        <v>0</v>
      </c>
      <c r="AW1213" s="50" t="str">
        <f t="shared" si="163"/>
        <v>{s_taskTalk,{0,0}}</v>
      </c>
    </row>
    <row r="1214" spans="1:49" s="73" customFormat="1" ht="84" x14ac:dyDescent="0.15">
      <c r="A1214" s="9">
        <v>20514</v>
      </c>
      <c r="B1214" s="73" t="s">
        <v>488</v>
      </c>
      <c r="C1214" s="73" t="s">
        <v>159</v>
      </c>
      <c r="D1214" s="73">
        <v>4</v>
      </c>
      <c r="E1214" s="73">
        <v>0</v>
      </c>
      <c r="F1214" s="73">
        <v>1</v>
      </c>
      <c r="G1214" s="80">
        <v>21</v>
      </c>
      <c r="H1214" s="73">
        <v>200</v>
      </c>
      <c r="I1214" s="17">
        <v>0</v>
      </c>
      <c r="J1214" s="80">
        <v>0</v>
      </c>
      <c r="K1214" s="73">
        <v>0</v>
      </c>
      <c r="L1214" s="73">
        <v>0</v>
      </c>
      <c r="N1214" s="73">
        <v>0</v>
      </c>
      <c r="Q1214" s="140"/>
      <c r="R1214" s="140"/>
      <c r="S1214" s="140"/>
      <c r="T1214" s="140"/>
      <c r="U1214" s="73">
        <v>1</v>
      </c>
      <c r="V1214" s="73">
        <v>0</v>
      </c>
      <c r="Z1214" s="142">
        <v>0</v>
      </c>
      <c r="AB1214" s="143"/>
      <c r="AC1214" s="143"/>
      <c r="AD1214" s="73" t="s">
        <v>457</v>
      </c>
      <c r="AE1214" s="73" t="s">
        <v>457</v>
      </c>
      <c r="AF1214" s="73" t="s">
        <v>4630</v>
      </c>
      <c r="AG1214" s="73" t="s">
        <v>487</v>
      </c>
      <c r="AH1214" s="73" t="s">
        <v>4780</v>
      </c>
      <c r="AI1214" s="73" t="s">
        <v>484</v>
      </c>
      <c r="AJ1214" s="73" t="s">
        <v>7455</v>
      </c>
      <c r="AK1214" s="73" t="s">
        <v>485</v>
      </c>
      <c r="AL1214" s="80">
        <v>5</v>
      </c>
      <c r="AM1214" s="147" t="s">
        <v>501</v>
      </c>
      <c r="AN1214" s="147" t="s">
        <v>21</v>
      </c>
      <c r="AP1214" s="226">
        <v>1</v>
      </c>
      <c r="AQ1214" s="73">
        <v>0</v>
      </c>
      <c r="AR1214" s="73">
        <v>0</v>
      </c>
      <c r="AS1214" s="73">
        <v>0</v>
      </c>
      <c r="AT1214" s="73">
        <v>0</v>
      </c>
      <c r="AU1214" s="226">
        <v>0</v>
      </c>
      <c r="AV1214" s="17">
        <f t="shared" si="164"/>
        <v>0</v>
      </c>
      <c r="AW1214" s="50" t="str">
        <f t="shared" si="163"/>
        <v>{s_taskTalk,{0,0}}</v>
      </c>
    </row>
    <row r="1215" spans="1:49" s="226" customFormat="1" ht="84" x14ac:dyDescent="0.15">
      <c r="A1215" s="9">
        <v>20515</v>
      </c>
      <c r="B1215" s="73" t="s">
        <v>488</v>
      </c>
      <c r="C1215" s="73" t="s">
        <v>160</v>
      </c>
      <c r="D1215" s="73">
        <v>4</v>
      </c>
      <c r="E1215" s="73">
        <v>0</v>
      </c>
      <c r="F1215" s="73">
        <v>1</v>
      </c>
      <c r="G1215" s="80">
        <v>21</v>
      </c>
      <c r="H1215" s="73">
        <v>200</v>
      </c>
      <c r="I1215" s="17">
        <v>0</v>
      </c>
      <c r="J1215" s="80">
        <v>0</v>
      </c>
      <c r="K1215" s="73">
        <v>0</v>
      </c>
      <c r="L1215" s="73">
        <v>0</v>
      </c>
      <c r="M1215" s="73"/>
      <c r="N1215" s="73">
        <v>0</v>
      </c>
      <c r="O1215" s="73"/>
      <c r="P1215" s="73"/>
      <c r="Q1215" s="140"/>
      <c r="R1215" s="140"/>
      <c r="S1215" s="140"/>
      <c r="T1215" s="140"/>
      <c r="U1215" s="73">
        <v>1</v>
      </c>
      <c r="V1215" s="73">
        <v>0</v>
      </c>
      <c r="W1215" s="73"/>
      <c r="X1215" s="73"/>
      <c r="Y1215" s="73"/>
      <c r="Z1215" s="142">
        <v>0</v>
      </c>
      <c r="AA1215" s="73"/>
      <c r="AB1215" s="143"/>
      <c r="AC1215" s="143"/>
      <c r="AD1215" s="73" t="s">
        <v>457</v>
      </c>
      <c r="AE1215" s="73" t="s">
        <v>457</v>
      </c>
      <c r="AF1215" s="73" t="s">
        <v>4631</v>
      </c>
      <c r="AG1215" s="73" t="s">
        <v>487</v>
      </c>
      <c r="AH1215" s="73" t="s">
        <v>4780</v>
      </c>
      <c r="AI1215" s="73" t="s">
        <v>484</v>
      </c>
      <c r="AJ1215" s="73" t="s">
        <v>7455</v>
      </c>
      <c r="AK1215" s="73" t="s">
        <v>485</v>
      </c>
      <c r="AL1215" s="80">
        <v>5</v>
      </c>
      <c r="AM1215" s="147" t="s">
        <v>502</v>
      </c>
      <c r="AN1215" s="147" t="s">
        <v>22</v>
      </c>
      <c r="AO1215" s="73"/>
      <c r="AP1215" s="226">
        <v>1</v>
      </c>
      <c r="AQ1215" s="226">
        <v>0</v>
      </c>
      <c r="AR1215" s="226">
        <v>0</v>
      </c>
      <c r="AS1215" s="226">
        <v>0</v>
      </c>
      <c r="AT1215" s="226">
        <v>0</v>
      </c>
      <c r="AU1215" s="226">
        <v>0</v>
      </c>
      <c r="AV1215" s="17">
        <f t="shared" si="164"/>
        <v>0</v>
      </c>
      <c r="AW1215" s="50" t="str">
        <f t="shared" si="163"/>
        <v>{s_taskTalk,{0,0}}</v>
      </c>
    </row>
    <row r="1216" spans="1:49" s="226" customFormat="1" ht="84" x14ac:dyDescent="0.15">
      <c r="A1216" s="9">
        <v>20516</v>
      </c>
      <c r="B1216" s="73" t="s">
        <v>488</v>
      </c>
      <c r="C1216" s="73" t="s">
        <v>161</v>
      </c>
      <c r="D1216" s="73">
        <v>4</v>
      </c>
      <c r="E1216" s="73">
        <v>0</v>
      </c>
      <c r="F1216" s="73">
        <v>1</v>
      </c>
      <c r="G1216" s="80">
        <v>21</v>
      </c>
      <c r="H1216" s="73">
        <v>200</v>
      </c>
      <c r="I1216" s="17">
        <v>0</v>
      </c>
      <c r="J1216" s="80">
        <v>0</v>
      </c>
      <c r="K1216" s="73">
        <v>0</v>
      </c>
      <c r="L1216" s="73">
        <v>0</v>
      </c>
      <c r="M1216" s="73"/>
      <c r="N1216" s="73">
        <v>0</v>
      </c>
      <c r="O1216" s="73"/>
      <c r="P1216" s="73"/>
      <c r="Q1216" s="140"/>
      <c r="R1216" s="140"/>
      <c r="S1216" s="140"/>
      <c r="T1216" s="140"/>
      <c r="U1216" s="73">
        <v>1</v>
      </c>
      <c r="V1216" s="73">
        <v>0</v>
      </c>
      <c r="W1216" s="73"/>
      <c r="X1216" s="73"/>
      <c r="Y1216" s="73"/>
      <c r="Z1216" s="142">
        <v>0</v>
      </c>
      <c r="AA1216" s="73"/>
      <c r="AB1216" s="143"/>
      <c r="AC1216" s="143"/>
      <c r="AD1216" s="73" t="s">
        <v>457</v>
      </c>
      <c r="AE1216" s="73" t="s">
        <v>457</v>
      </c>
      <c r="AF1216" s="73" t="s">
        <v>4632</v>
      </c>
      <c r="AG1216" s="73" t="s">
        <v>487</v>
      </c>
      <c r="AH1216" s="73" t="s">
        <v>4780</v>
      </c>
      <c r="AI1216" s="73" t="s">
        <v>484</v>
      </c>
      <c r="AJ1216" s="73" t="s">
        <v>7455</v>
      </c>
      <c r="AK1216" s="73" t="s">
        <v>485</v>
      </c>
      <c r="AL1216" s="80">
        <v>5</v>
      </c>
      <c r="AM1216" s="147" t="s">
        <v>503</v>
      </c>
      <c r="AN1216" s="147" t="s">
        <v>8711</v>
      </c>
      <c r="AO1216" s="73"/>
      <c r="AP1216" s="226">
        <v>1</v>
      </c>
      <c r="AQ1216" s="226">
        <v>0</v>
      </c>
      <c r="AR1216" s="226">
        <v>0</v>
      </c>
      <c r="AS1216" s="226">
        <v>0</v>
      </c>
      <c r="AT1216" s="226">
        <v>0</v>
      </c>
      <c r="AU1216" s="226">
        <v>0</v>
      </c>
      <c r="AV1216" s="17">
        <f t="shared" si="164"/>
        <v>0</v>
      </c>
      <c r="AW1216" s="50" t="str">
        <f t="shared" si="163"/>
        <v>{s_taskTalk,{0,0}}</v>
      </c>
    </row>
    <row r="1217" spans="1:49" s="226" customFormat="1" ht="96" x14ac:dyDescent="0.15">
      <c r="A1217" s="9">
        <v>20517</v>
      </c>
      <c r="B1217" s="73" t="s">
        <v>488</v>
      </c>
      <c r="C1217" s="73" t="s">
        <v>162</v>
      </c>
      <c r="D1217" s="73">
        <v>4</v>
      </c>
      <c r="E1217" s="73">
        <v>0</v>
      </c>
      <c r="F1217" s="73">
        <v>1</v>
      </c>
      <c r="G1217" s="80">
        <v>21</v>
      </c>
      <c r="H1217" s="73">
        <v>200</v>
      </c>
      <c r="I1217" s="17">
        <v>0</v>
      </c>
      <c r="J1217" s="80">
        <v>0</v>
      </c>
      <c r="K1217" s="73">
        <v>0</v>
      </c>
      <c r="L1217" s="73">
        <v>0</v>
      </c>
      <c r="M1217" s="73"/>
      <c r="N1217" s="73">
        <v>0</v>
      </c>
      <c r="O1217" s="73"/>
      <c r="P1217" s="73"/>
      <c r="Q1217" s="140"/>
      <c r="R1217" s="140"/>
      <c r="S1217" s="140"/>
      <c r="T1217" s="140"/>
      <c r="U1217" s="73">
        <v>1</v>
      </c>
      <c r="V1217" s="73">
        <v>0</v>
      </c>
      <c r="W1217" s="73"/>
      <c r="X1217" s="73"/>
      <c r="Y1217" s="73"/>
      <c r="Z1217" s="142">
        <v>0</v>
      </c>
      <c r="AA1217" s="73"/>
      <c r="AB1217" s="143"/>
      <c r="AC1217" s="143"/>
      <c r="AD1217" s="73" t="s">
        <v>457</v>
      </c>
      <c r="AE1217" s="73" t="s">
        <v>457</v>
      </c>
      <c r="AF1217" s="73" t="s">
        <v>163</v>
      </c>
      <c r="AG1217" s="73" t="s">
        <v>487</v>
      </c>
      <c r="AH1217" s="73" t="s">
        <v>4780</v>
      </c>
      <c r="AI1217" s="73" t="s">
        <v>484</v>
      </c>
      <c r="AJ1217" s="73" t="s">
        <v>7455</v>
      </c>
      <c r="AK1217" s="73" t="s">
        <v>485</v>
      </c>
      <c r="AL1217" s="80">
        <v>5</v>
      </c>
      <c r="AM1217" s="147" t="s">
        <v>504</v>
      </c>
      <c r="AN1217" s="147" t="s">
        <v>23</v>
      </c>
      <c r="AO1217" s="73"/>
      <c r="AP1217" s="226">
        <v>1</v>
      </c>
      <c r="AQ1217" s="226">
        <v>0</v>
      </c>
      <c r="AR1217" s="226">
        <v>0</v>
      </c>
      <c r="AS1217" s="226">
        <v>0</v>
      </c>
      <c r="AT1217" s="226">
        <v>0</v>
      </c>
      <c r="AU1217" s="226">
        <v>0</v>
      </c>
      <c r="AV1217" s="17">
        <f t="shared" si="164"/>
        <v>0</v>
      </c>
      <c r="AW1217" s="50" t="str">
        <f t="shared" si="163"/>
        <v>{s_taskTalk,{0,0}}</v>
      </c>
    </row>
    <row r="1218" spans="1:49" s="226" customFormat="1" ht="84" x14ac:dyDescent="0.15">
      <c r="A1218" s="9">
        <v>20518</v>
      </c>
      <c r="B1218" s="73" t="s">
        <v>488</v>
      </c>
      <c r="C1218" s="73" t="s">
        <v>4793</v>
      </c>
      <c r="D1218" s="73">
        <v>4</v>
      </c>
      <c r="E1218" s="73">
        <v>0</v>
      </c>
      <c r="F1218" s="73">
        <v>1</v>
      </c>
      <c r="G1218" s="80">
        <v>21</v>
      </c>
      <c r="H1218" s="73">
        <v>200</v>
      </c>
      <c r="I1218" s="17">
        <v>0</v>
      </c>
      <c r="J1218" s="80">
        <v>0</v>
      </c>
      <c r="K1218" s="73">
        <v>0</v>
      </c>
      <c r="L1218" s="73">
        <v>0</v>
      </c>
      <c r="M1218" s="73"/>
      <c r="N1218" s="73">
        <v>0</v>
      </c>
      <c r="O1218" s="73"/>
      <c r="P1218" s="73"/>
      <c r="Q1218" s="140"/>
      <c r="R1218" s="140"/>
      <c r="S1218" s="140"/>
      <c r="T1218" s="140"/>
      <c r="U1218" s="73">
        <v>1</v>
      </c>
      <c r="V1218" s="73">
        <v>0</v>
      </c>
      <c r="W1218" s="73"/>
      <c r="X1218" s="73"/>
      <c r="Y1218" s="73"/>
      <c r="Z1218" s="142">
        <v>0</v>
      </c>
      <c r="AA1218" s="73"/>
      <c r="AB1218" s="143"/>
      <c r="AC1218" s="143"/>
      <c r="AD1218" s="73" t="s">
        <v>457</v>
      </c>
      <c r="AE1218" s="73" t="s">
        <v>457</v>
      </c>
      <c r="AF1218" s="73" t="s">
        <v>4794</v>
      </c>
      <c r="AG1218" s="73" t="s">
        <v>487</v>
      </c>
      <c r="AH1218" s="73" t="s">
        <v>4780</v>
      </c>
      <c r="AI1218" s="73" t="s">
        <v>484</v>
      </c>
      <c r="AJ1218" s="73" t="s">
        <v>7455</v>
      </c>
      <c r="AK1218" s="73" t="s">
        <v>485</v>
      </c>
      <c r="AL1218" s="80">
        <v>5</v>
      </c>
      <c r="AM1218" s="147" t="s">
        <v>505</v>
      </c>
      <c r="AN1218" s="147" t="s">
        <v>24</v>
      </c>
      <c r="AO1218" s="73"/>
      <c r="AP1218" s="226">
        <v>1</v>
      </c>
      <c r="AQ1218" s="226">
        <v>0</v>
      </c>
      <c r="AR1218" s="226">
        <v>0</v>
      </c>
      <c r="AS1218" s="226">
        <v>0</v>
      </c>
      <c r="AT1218" s="226">
        <v>0</v>
      </c>
      <c r="AU1218" s="226">
        <v>0</v>
      </c>
      <c r="AV1218" s="17">
        <f t="shared" si="164"/>
        <v>0</v>
      </c>
      <c r="AW1218" s="50" t="str">
        <f>"{s_taskTalk,{"&amp;L1218&amp;","&amp;N1218&amp;"}}"</f>
        <v>{s_taskTalk,{0,0}}</v>
      </c>
    </row>
    <row r="1219" spans="1:49" s="623" customFormat="1" ht="84" x14ac:dyDescent="0.15">
      <c r="A1219" s="623">
        <v>21001</v>
      </c>
      <c r="C1219" s="623" t="s">
        <v>6344</v>
      </c>
      <c r="D1219" s="623">
        <v>4</v>
      </c>
      <c r="E1219" s="623">
        <v>0</v>
      </c>
      <c r="F1219" s="623">
        <v>2</v>
      </c>
      <c r="G1219" s="624">
        <v>21</v>
      </c>
      <c r="H1219" s="623">
        <v>40</v>
      </c>
      <c r="I1219" s="17">
        <v>0</v>
      </c>
      <c r="J1219" s="624">
        <v>0</v>
      </c>
      <c r="K1219" s="623">
        <v>0</v>
      </c>
      <c r="L1219" s="623">
        <v>576</v>
      </c>
      <c r="M1219" s="623" t="s">
        <v>2510</v>
      </c>
      <c r="N1219" s="623">
        <v>0</v>
      </c>
      <c r="O1219" s="623" t="s">
        <v>5311</v>
      </c>
      <c r="P1219" s="623">
        <v>2</v>
      </c>
      <c r="U1219" s="623">
        <v>1</v>
      </c>
      <c r="V1219" s="623">
        <v>0</v>
      </c>
      <c r="W1219" s="623">
        <v>0</v>
      </c>
      <c r="X1219" s="623">
        <v>0</v>
      </c>
      <c r="Z1219" s="623">
        <v>0</v>
      </c>
      <c r="AF1219" s="623" t="str">
        <f>"title("&amp;C1219&amp;")
body(hotyellow_3(任务进程:)newline()
   听闻goto(505,2)正在hot(凤城)，去拜访他。拜访完之后,不要忘记回来向我汇报。
blankline()
   space()space()space()hot2(任务完成后,千万不要忘记向goto(576,2)汇报哦！))"</f>
        <v>title([历练]拜访)
body(hotyellow_3(任务进程:)newline()
   听闻goto(505,2)正在hot(凤城)，去拜访他。拜访完之后,不要忘记回来向我汇报。
blankline()
   space()space()space()hot2(任务完成后,千万不要忘记向goto(576,2)汇报哦！))</v>
      </c>
      <c r="AG1219" s="623" t="s">
        <v>2512</v>
      </c>
      <c r="AH1219" s="623" t="s">
        <v>6268</v>
      </c>
      <c r="AI1219" s="623" t="s">
        <v>110</v>
      </c>
      <c r="AJ1219" s="623" t="s">
        <v>7446</v>
      </c>
      <c r="AK1219" s="623" t="s">
        <v>115</v>
      </c>
      <c r="AL1219" s="624">
        <v>2</v>
      </c>
      <c r="AM1219" s="660" t="s">
        <v>8980</v>
      </c>
      <c r="AP1219" s="623">
        <v>0</v>
      </c>
      <c r="AQ1219" s="623">
        <v>0</v>
      </c>
      <c r="AR1219" s="623">
        <v>0</v>
      </c>
      <c r="AS1219" s="623">
        <v>0</v>
      </c>
      <c r="AT1219" s="623">
        <v>0</v>
      </c>
      <c r="AU1219" s="226">
        <v>0</v>
      </c>
      <c r="AV1219" s="17">
        <f t="shared" si="164"/>
        <v>0</v>
      </c>
      <c r="AW1219" s="50" t="str">
        <f>"{s_taskTalk,{"&amp;L1219&amp;","&amp;N1219&amp;"}}"</f>
        <v>{s_taskTalk,{576,0}}</v>
      </c>
    </row>
    <row r="1220" spans="1:49" s="623" customFormat="1" ht="84" x14ac:dyDescent="0.15">
      <c r="A1220" s="623">
        <v>21002</v>
      </c>
      <c r="C1220" s="623" t="s">
        <v>6344</v>
      </c>
      <c r="D1220" s="623">
        <v>4</v>
      </c>
      <c r="E1220" s="623">
        <v>0</v>
      </c>
      <c r="F1220" s="623">
        <v>2</v>
      </c>
      <c r="G1220" s="624">
        <v>21</v>
      </c>
      <c r="H1220" s="623">
        <v>40</v>
      </c>
      <c r="I1220" s="17">
        <v>0</v>
      </c>
      <c r="J1220" s="624">
        <v>0</v>
      </c>
      <c r="K1220" s="623">
        <v>0</v>
      </c>
      <c r="L1220" s="623">
        <v>576</v>
      </c>
      <c r="M1220" s="623" t="s">
        <v>2510</v>
      </c>
      <c r="N1220" s="623">
        <v>0</v>
      </c>
      <c r="O1220" s="623" t="s">
        <v>6280</v>
      </c>
      <c r="P1220" s="623">
        <v>2</v>
      </c>
      <c r="U1220" s="623">
        <v>1</v>
      </c>
      <c r="V1220" s="623">
        <v>0</v>
      </c>
      <c r="W1220" s="623">
        <v>0</v>
      </c>
      <c r="X1220" s="623">
        <v>0</v>
      </c>
      <c r="Z1220" s="623">
        <v>0</v>
      </c>
      <c r="AF1220" s="623" t="str">
        <f>"title("&amp;C1220&amp;")
body(hotyellow_3(任务进程:)newline()
   听闻goto(501,2))正在hot(凤城)，去拜访他。拜访完之后,不要忘记回来向我汇报。
blankline()
   space()space()space()hot2(任务完成后,千万不要忘记向goto(576,2)汇报哦！))"</f>
        <v>title([历练]拜访)
body(hotyellow_3(任务进程:)newline()
   听闻goto(501,2))正在hot(凤城)，去拜访他。拜访完之后,不要忘记回来向我汇报。
blankline()
   space()space()space()hot2(任务完成后,千万不要忘记向goto(576,2)汇报哦！))</v>
      </c>
      <c r="AG1220" s="623" t="s">
        <v>8637</v>
      </c>
      <c r="AH1220" s="623" t="s">
        <v>114</v>
      </c>
      <c r="AI1220" s="623" t="s">
        <v>110</v>
      </c>
      <c r="AJ1220" s="623" t="s">
        <v>7446</v>
      </c>
      <c r="AK1220" s="623" t="s">
        <v>115</v>
      </c>
      <c r="AL1220" s="624">
        <v>2</v>
      </c>
      <c r="AM1220" s="660" t="s">
        <v>8981</v>
      </c>
      <c r="AP1220" s="623">
        <v>0</v>
      </c>
      <c r="AQ1220" s="623">
        <v>0</v>
      </c>
      <c r="AR1220" s="623">
        <v>0</v>
      </c>
      <c r="AS1220" s="623">
        <v>0</v>
      </c>
      <c r="AT1220" s="623">
        <v>0</v>
      </c>
      <c r="AU1220" s="226">
        <v>0</v>
      </c>
      <c r="AV1220" s="17">
        <f t="shared" si="164"/>
        <v>0</v>
      </c>
      <c r="AW1220" s="50" t="str">
        <f>"{s_taskTalk,{"&amp;L1220&amp;","&amp;N1220&amp;"}}"</f>
        <v>{s_taskTalk,{576,0}}</v>
      </c>
    </row>
    <row r="1221" spans="1:49" s="623" customFormat="1" ht="84" x14ac:dyDescent="0.15">
      <c r="A1221" s="623">
        <v>21003</v>
      </c>
      <c r="C1221" s="623" t="s">
        <v>6344</v>
      </c>
      <c r="D1221" s="623">
        <v>4</v>
      </c>
      <c r="E1221" s="623">
        <v>0</v>
      </c>
      <c r="F1221" s="623">
        <v>2</v>
      </c>
      <c r="G1221" s="624">
        <v>21</v>
      </c>
      <c r="H1221" s="623">
        <v>40</v>
      </c>
      <c r="I1221" s="17">
        <v>0</v>
      </c>
      <c r="J1221" s="624">
        <v>0</v>
      </c>
      <c r="K1221" s="623">
        <v>0</v>
      </c>
      <c r="L1221" s="623">
        <v>576</v>
      </c>
      <c r="M1221" s="623" t="s">
        <v>2510</v>
      </c>
      <c r="N1221" s="623">
        <v>0</v>
      </c>
      <c r="O1221" s="623" t="s">
        <v>6281</v>
      </c>
      <c r="P1221" s="623">
        <v>2</v>
      </c>
      <c r="U1221" s="623">
        <v>1</v>
      </c>
      <c r="V1221" s="623">
        <v>0</v>
      </c>
      <c r="W1221" s="623">
        <v>0</v>
      </c>
      <c r="X1221" s="623">
        <v>0</v>
      </c>
      <c r="Z1221" s="623">
        <v>0</v>
      </c>
      <c r="AF1221" s="623" t="str">
        <f>"title("&amp;C1221&amp;")
body(hotyellow_3(任务进程:)newline()
   听闻goto(509,2)正在hot(凤城)，去拜访他。拜访完之后,不要忘记回来向我汇报。
blankline()
   space()space()space()hot2(任务完成后,千万不要忘记向goto(576,2)汇报哦！))"</f>
        <v>title([历练]拜访)
body(hotyellow_3(任务进程:)newline()
   听闻goto(509,2)正在hot(凤城)，去拜访他。拜访完之后,不要忘记回来向我汇报。
blankline()
   space()space()space()hot2(任务完成后,千万不要忘记向goto(576,2)汇报哦！))</v>
      </c>
      <c r="AG1221" s="623" t="s">
        <v>2512</v>
      </c>
      <c r="AH1221" s="623" t="s">
        <v>114</v>
      </c>
      <c r="AI1221" s="623" t="s">
        <v>110</v>
      </c>
      <c r="AJ1221" s="623" t="s">
        <v>7446</v>
      </c>
      <c r="AK1221" s="623" t="s">
        <v>115</v>
      </c>
      <c r="AL1221" s="624">
        <v>2</v>
      </c>
      <c r="AM1221" s="660" t="s">
        <v>8982</v>
      </c>
      <c r="AP1221" s="623">
        <v>0</v>
      </c>
      <c r="AQ1221" s="623">
        <v>0</v>
      </c>
      <c r="AR1221" s="623">
        <v>0</v>
      </c>
      <c r="AS1221" s="623">
        <v>0</v>
      </c>
      <c r="AT1221" s="623">
        <v>0</v>
      </c>
      <c r="AU1221" s="226">
        <v>0</v>
      </c>
      <c r="AV1221" s="17">
        <f t="shared" si="164"/>
        <v>0</v>
      </c>
      <c r="AW1221" s="50" t="str">
        <f t="shared" ref="AW1221:AW1237" si="165">"{s_taskTalk,{"&amp;L1221&amp;","&amp;N1221&amp;"}}"</f>
        <v>{s_taskTalk,{576,0}}</v>
      </c>
    </row>
    <row r="1222" spans="1:49" s="623" customFormat="1" ht="84" x14ac:dyDescent="0.15">
      <c r="A1222" s="623">
        <v>21004</v>
      </c>
      <c r="C1222" s="623" t="s">
        <v>6344</v>
      </c>
      <c r="D1222" s="623">
        <v>4</v>
      </c>
      <c r="E1222" s="623">
        <v>0</v>
      </c>
      <c r="F1222" s="623">
        <v>2</v>
      </c>
      <c r="G1222" s="880">
        <v>40</v>
      </c>
      <c r="H1222" s="623">
        <v>52</v>
      </c>
      <c r="I1222" s="17">
        <v>0</v>
      </c>
      <c r="J1222" s="624">
        <v>0</v>
      </c>
      <c r="K1222" s="623">
        <v>0</v>
      </c>
      <c r="L1222" s="623">
        <v>576</v>
      </c>
      <c r="M1222" s="623" t="s">
        <v>2510</v>
      </c>
      <c r="N1222" s="623">
        <v>0</v>
      </c>
      <c r="O1222" s="623" t="s">
        <v>6282</v>
      </c>
      <c r="P1222" s="623">
        <v>6</v>
      </c>
      <c r="U1222" s="623">
        <v>1</v>
      </c>
      <c r="V1222" s="623">
        <v>0</v>
      </c>
      <c r="W1222" s="623">
        <v>0</v>
      </c>
      <c r="X1222" s="623">
        <v>0</v>
      </c>
      <c r="Z1222" s="623">
        <v>0</v>
      </c>
      <c r="AF1222" s="623" t="str">
        <f>"title("&amp;C1222&amp;")
body(hotyellow_3(任务进程:)newline()
   听闻goto(512,6)正在hot(夷陵)，去拜访他。拜访完之后,不要忘记回来向我汇报。
blankline()
   space()space()space()hot2(任务完成后,千万不要忘记向goto(576,2)汇报哦！))"</f>
        <v>title([历练]拜访)
body(hotyellow_3(任务进程:)newline()
   听闻goto(512,6)正在hot(夷陵)，去拜访他。拜访完之后,不要忘记回来向我汇报。
blankline()
   space()space()space()hot2(任务完成后,千万不要忘记向goto(576,2)汇报哦！))</v>
      </c>
      <c r="AG1222" s="623" t="s">
        <v>2512</v>
      </c>
      <c r="AH1222" s="623" t="s">
        <v>114</v>
      </c>
      <c r="AI1222" s="623" t="s">
        <v>110</v>
      </c>
      <c r="AJ1222" s="623" t="s">
        <v>7446</v>
      </c>
      <c r="AK1222" s="623" t="s">
        <v>115</v>
      </c>
      <c r="AL1222" s="624">
        <v>2</v>
      </c>
      <c r="AM1222" s="660" t="s">
        <v>8983</v>
      </c>
      <c r="AP1222" s="623">
        <v>0</v>
      </c>
      <c r="AQ1222" s="623">
        <v>0</v>
      </c>
      <c r="AR1222" s="623">
        <v>0</v>
      </c>
      <c r="AS1222" s="623">
        <v>0</v>
      </c>
      <c r="AT1222" s="623">
        <v>0</v>
      </c>
      <c r="AU1222" s="226">
        <v>0</v>
      </c>
      <c r="AV1222" s="17">
        <f t="shared" si="164"/>
        <v>0</v>
      </c>
      <c r="AW1222" s="50" t="str">
        <f t="shared" si="165"/>
        <v>{s_taskTalk,{576,0}}</v>
      </c>
    </row>
    <row r="1223" spans="1:49" s="623" customFormat="1" ht="84" x14ac:dyDescent="0.15">
      <c r="A1223" s="623">
        <v>21005</v>
      </c>
      <c r="C1223" s="623" t="s">
        <v>6344</v>
      </c>
      <c r="D1223" s="623">
        <v>4</v>
      </c>
      <c r="E1223" s="623">
        <v>0</v>
      </c>
      <c r="F1223" s="623">
        <v>2</v>
      </c>
      <c r="G1223" s="880">
        <v>40</v>
      </c>
      <c r="H1223" s="623">
        <v>52</v>
      </c>
      <c r="I1223" s="17">
        <v>0</v>
      </c>
      <c r="J1223" s="624">
        <v>0</v>
      </c>
      <c r="K1223" s="623">
        <v>0</v>
      </c>
      <c r="L1223" s="623">
        <v>576</v>
      </c>
      <c r="M1223" s="623" t="s">
        <v>2510</v>
      </c>
      <c r="N1223" s="623">
        <v>0</v>
      </c>
      <c r="O1223" s="623" t="s">
        <v>6283</v>
      </c>
      <c r="P1223" s="623">
        <v>6</v>
      </c>
      <c r="U1223" s="623">
        <v>1</v>
      </c>
      <c r="V1223" s="623">
        <v>0</v>
      </c>
      <c r="W1223" s="623">
        <v>0</v>
      </c>
      <c r="X1223" s="623">
        <v>0</v>
      </c>
      <c r="Z1223" s="623">
        <v>0</v>
      </c>
      <c r="AF1223" s="623" t="str">
        <f>"title("&amp;C1223&amp;")
body(hotyellow_3(任务进程:)newline()
   听闻goto(513,6)正在hot(夷陵)，去拜访他。拜访完之后,不要忘记回来向我汇报。
blankline()
   space()space()space()hot2(任务完成后,千万不要忘记向goto(576,2)汇报哦！))"</f>
        <v>title([历练]拜访)
body(hotyellow_3(任务进程:)newline()
   听闻goto(513,6)正在hot(夷陵)，去拜访他。拜访完之后,不要忘记回来向我汇报。
blankline()
   space()space()space()hot2(任务完成后,千万不要忘记向goto(576,2)汇报哦！))</v>
      </c>
      <c r="AG1223" s="623" t="s">
        <v>2512</v>
      </c>
      <c r="AH1223" s="623" t="s">
        <v>114</v>
      </c>
      <c r="AI1223" s="623" t="s">
        <v>110</v>
      </c>
      <c r="AJ1223" s="623" t="s">
        <v>7446</v>
      </c>
      <c r="AK1223" s="623" t="s">
        <v>115</v>
      </c>
      <c r="AL1223" s="624">
        <v>2</v>
      </c>
      <c r="AM1223" s="660" t="s">
        <v>8984</v>
      </c>
      <c r="AP1223" s="623">
        <v>0</v>
      </c>
      <c r="AQ1223" s="623">
        <v>0</v>
      </c>
      <c r="AR1223" s="623">
        <v>0</v>
      </c>
      <c r="AS1223" s="623">
        <v>0</v>
      </c>
      <c r="AT1223" s="623">
        <v>0</v>
      </c>
      <c r="AU1223" s="226">
        <v>0</v>
      </c>
      <c r="AV1223" s="17">
        <f t="shared" si="164"/>
        <v>0</v>
      </c>
      <c r="AW1223" s="50" t="str">
        <f t="shared" si="165"/>
        <v>{s_taskTalk,{576,0}}</v>
      </c>
    </row>
    <row r="1224" spans="1:49" s="623" customFormat="1" ht="84" x14ac:dyDescent="0.15">
      <c r="A1224" s="623">
        <v>21006</v>
      </c>
      <c r="C1224" s="623" t="s">
        <v>6344</v>
      </c>
      <c r="D1224" s="623">
        <v>4</v>
      </c>
      <c r="E1224" s="623">
        <v>0</v>
      </c>
      <c r="F1224" s="623">
        <v>2</v>
      </c>
      <c r="G1224" s="880">
        <v>40</v>
      </c>
      <c r="H1224" s="623">
        <v>52</v>
      </c>
      <c r="I1224" s="17">
        <v>0</v>
      </c>
      <c r="J1224" s="624">
        <v>0</v>
      </c>
      <c r="K1224" s="623">
        <v>0</v>
      </c>
      <c r="L1224" s="623">
        <v>576</v>
      </c>
      <c r="M1224" s="623" t="s">
        <v>2510</v>
      </c>
      <c r="N1224" s="623">
        <v>0</v>
      </c>
      <c r="O1224" s="623" t="s">
        <v>6284</v>
      </c>
      <c r="P1224" s="623">
        <v>6</v>
      </c>
      <c r="U1224" s="623">
        <v>1</v>
      </c>
      <c r="V1224" s="623">
        <v>0</v>
      </c>
      <c r="W1224" s="623">
        <v>0</v>
      </c>
      <c r="X1224" s="623">
        <v>0</v>
      </c>
      <c r="Z1224" s="623">
        <v>0</v>
      </c>
      <c r="AF1224" s="623" t="str">
        <f>"title("&amp;C1224&amp;")
body(hotyellow_3(任务进程:)newline()
   听闻goto(511,6)正在hot(夷陵)，去拜访他。拜访完之后,不要忘记回来向我汇报。
blankline()
   space()space()space()hot2(任务完成后,千万不要忘记向goto(576,2)汇报哦！))"</f>
        <v>title([历练]拜访)
body(hotyellow_3(任务进程:)newline()
   听闻goto(511,6)正在hot(夷陵)，去拜访他。拜访完之后,不要忘记回来向我汇报。
blankline()
   space()space()space()hot2(任务完成后,千万不要忘记向goto(576,2)汇报哦！))</v>
      </c>
      <c r="AG1224" s="623" t="s">
        <v>2512</v>
      </c>
      <c r="AH1224" s="623" t="s">
        <v>114</v>
      </c>
      <c r="AI1224" s="623" t="s">
        <v>110</v>
      </c>
      <c r="AJ1224" s="623" t="s">
        <v>7446</v>
      </c>
      <c r="AK1224" s="623" t="s">
        <v>115</v>
      </c>
      <c r="AL1224" s="624">
        <v>2</v>
      </c>
      <c r="AM1224" s="660" t="s">
        <v>8985</v>
      </c>
      <c r="AP1224" s="623">
        <v>0</v>
      </c>
      <c r="AQ1224" s="623">
        <v>0</v>
      </c>
      <c r="AR1224" s="623">
        <v>0</v>
      </c>
      <c r="AS1224" s="623">
        <v>0</v>
      </c>
      <c r="AT1224" s="623">
        <v>0</v>
      </c>
      <c r="AU1224" s="226">
        <v>0</v>
      </c>
      <c r="AV1224" s="17">
        <f t="shared" si="164"/>
        <v>0</v>
      </c>
      <c r="AW1224" s="50" t="str">
        <f t="shared" si="165"/>
        <v>{s_taskTalk,{576,0}}</v>
      </c>
    </row>
    <row r="1225" spans="1:49" s="623" customFormat="1" ht="84" x14ac:dyDescent="0.15">
      <c r="A1225" s="623">
        <v>21007</v>
      </c>
      <c r="C1225" s="623" t="s">
        <v>6344</v>
      </c>
      <c r="D1225" s="623">
        <v>4</v>
      </c>
      <c r="E1225" s="623">
        <v>0</v>
      </c>
      <c r="F1225" s="623">
        <v>2</v>
      </c>
      <c r="G1225" s="881">
        <v>51</v>
      </c>
      <c r="H1225" s="623">
        <v>60</v>
      </c>
      <c r="I1225" s="17">
        <v>0</v>
      </c>
      <c r="J1225" s="624">
        <v>0</v>
      </c>
      <c r="K1225" s="623">
        <v>0</v>
      </c>
      <c r="L1225" s="623">
        <v>576</v>
      </c>
      <c r="M1225" s="623" t="s">
        <v>2510</v>
      </c>
      <c r="N1225" s="623">
        <v>0</v>
      </c>
      <c r="O1225" s="623" t="s">
        <v>6285</v>
      </c>
      <c r="P1225" s="625">
        <v>4</v>
      </c>
      <c r="U1225" s="623">
        <v>1</v>
      </c>
      <c r="V1225" s="623">
        <v>0</v>
      </c>
      <c r="W1225" s="623">
        <v>0</v>
      </c>
      <c r="X1225" s="623">
        <v>0</v>
      </c>
      <c r="Z1225" s="623">
        <v>0</v>
      </c>
      <c r="AF1225" s="623" t="str">
        <f>"title("&amp;C1225&amp;")
body(hotyellow_3(任务进程:)newline()
   听闻goto(525,4)正在hot(虎牢)，去拜访他。拜访完之后,不要忘记回来向我汇报。
blankline()
   space()space()space()hot2(任务完成后,千万不要忘记向goto(576,2)汇报哦！))"</f>
        <v>title([历练]拜访)
body(hotyellow_3(任务进程:)newline()
   听闻goto(525,4)正在hot(虎牢)，去拜访他。拜访完之后,不要忘记回来向我汇报。
blankline()
   space()space()space()hot2(任务完成后,千万不要忘记向goto(576,2)汇报哦！))</v>
      </c>
      <c r="AG1225" s="623" t="s">
        <v>2512</v>
      </c>
      <c r="AH1225" s="623" t="s">
        <v>114</v>
      </c>
      <c r="AI1225" s="623" t="s">
        <v>110</v>
      </c>
      <c r="AJ1225" s="623" t="s">
        <v>7446</v>
      </c>
      <c r="AK1225" s="623" t="s">
        <v>115</v>
      </c>
      <c r="AL1225" s="624">
        <v>2</v>
      </c>
      <c r="AM1225" s="660" t="s">
        <v>8986</v>
      </c>
      <c r="AP1225" s="623">
        <v>0</v>
      </c>
      <c r="AQ1225" s="623">
        <v>0</v>
      </c>
      <c r="AR1225" s="623">
        <v>0</v>
      </c>
      <c r="AS1225" s="623">
        <v>0</v>
      </c>
      <c r="AT1225" s="623">
        <v>0</v>
      </c>
      <c r="AU1225" s="226">
        <v>0</v>
      </c>
      <c r="AV1225" s="17">
        <f t="shared" si="164"/>
        <v>0</v>
      </c>
      <c r="AW1225" s="50" t="str">
        <f t="shared" si="165"/>
        <v>{s_taskTalk,{576,0}}</v>
      </c>
    </row>
    <row r="1226" spans="1:49" s="623" customFormat="1" ht="84" x14ac:dyDescent="0.15">
      <c r="A1226" s="623">
        <v>21008</v>
      </c>
      <c r="C1226" s="623" t="s">
        <v>6344</v>
      </c>
      <c r="D1226" s="623">
        <v>4</v>
      </c>
      <c r="E1226" s="623">
        <v>0</v>
      </c>
      <c r="F1226" s="623">
        <v>2</v>
      </c>
      <c r="G1226" s="881">
        <v>51</v>
      </c>
      <c r="H1226" s="623">
        <v>60</v>
      </c>
      <c r="I1226" s="17">
        <v>0</v>
      </c>
      <c r="J1226" s="624">
        <v>0</v>
      </c>
      <c r="K1226" s="623">
        <v>0</v>
      </c>
      <c r="L1226" s="623">
        <v>576</v>
      </c>
      <c r="M1226" s="623" t="s">
        <v>2510</v>
      </c>
      <c r="N1226" s="623">
        <v>0</v>
      </c>
      <c r="O1226" s="623" t="s">
        <v>6286</v>
      </c>
      <c r="P1226" s="625">
        <v>4</v>
      </c>
      <c r="U1226" s="623">
        <v>1</v>
      </c>
      <c r="V1226" s="623">
        <v>0</v>
      </c>
      <c r="W1226" s="623">
        <v>0</v>
      </c>
      <c r="X1226" s="623">
        <v>0</v>
      </c>
      <c r="Z1226" s="623">
        <v>0</v>
      </c>
      <c r="AF1226" s="623" t="str">
        <f>"title("&amp;C1226&amp;")
body(hotyellow_3(任务进程:)newline()
   听闻goto(526,4)正在hot(虎牢)，去拜访他。拜访完之后,不要忘记回来向我汇报。
blankline()
   space()space()space()hot2(任务完成后,千万不要忘记向goto(576,2)汇报哦！))"</f>
        <v>title([历练]拜访)
body(hotyellow_3(任务进程:)newline()
   听闻goto(526,4)正在hot(虎牢)，去拜访他。拜访完之后,不要忘记回来向我汇报。
blankline()
   space()space()space()hot2(任务完成后,千万不要忘记向goto(576,2)汇报哦！))</v>
      </c>
      <c r="AG1226" s="623" t="s">
        <v>2512</v>
      </c>
      <c r="AH1226" s="623" t="s">
        <v>114</v>
      </c>
      <c r="AI1226" s="623" t="s">
        <v>110</v>
      </c>
      <c r="AJ1226" s="623" t="s">
        <v>7446</v>
      </c>
      <c r="AK1226" s="623" t="s">
        <v>115</v>
      </c>
      <c r="AL1226" s="624">
        <v>2</v>
      </c>
      <c r="AM1226" s="660" t="s">
        <v>8987</v>
      </c>
      <c r="AP1226" s="623">
        <v>0</v>
      </c>
      <c r="AQ1226" s="623">
        <v>0</v>
      </c>
      <c r="AR1226" s="623">
        <v>0</v>
      </c>
      <c r="AS1226" s="623">
        <v>0</v>
      </c>
      <c r="AT1226" s="623">
        <v>0</v>
      </c>
      <c r="AU1226" s="226">
        <v>0</v>
      </c>
      <c r="AV1226" s="17">
        <f t="shared" si="164"/>
        <v>0</v>
      </c>
      <c r="AW1226" s="50" t="str">
        <f t="shared" si="165"/>
        <v>{s_taskTalk,{576,0}}</v>
      </c>
    </row>
    <row r="1227" spans="1:49" s="623" customFormat="1" ht="84" x14ac:dyDescent="0.15">
      <c r="A1227" s="623">
        <v>21009</v>
      </c>
      <c r="C1227" s="623" t="s">
        <v>6344</v>
      </c>
      <c r="D1227" s="623">
        <v>4</v>
      </c>
      <c r="E1227" s="623">
        <v>0</v>
      </c>
      <c r="F1227" s="623">
        <v>2</v>
      </c>
      <c r="G1227" s="881">
        <v>51</v>
      </c>
      <c r="H1227" s="623">
        <v>60</v>
      </c>
      <c r="I1227" s="17">
        <v>0</v>
      </c>
      <c r="J1227" s="624">
        <v>0</v>
      </c>
      <c r="K1227" s="623">
        <v>0</v>
      </c>
      <c r="L1227" s="623">
        <v>576</v>
      </c>
      <c r="M1227" s="623" t="s">
        <v>2510</v>
      </c>
      <c r="N1227" s="623">
        <v>0</v>
      </c>
      <c r="O1227" s="623" t="s">
        <v>6287</v>
      </c>
      <c r="P1227" s="625">
        <v>4</v>
      </c>
      <c r="U1227" s="623">
        <v>1</v>
      </c>
      <c r="V1227" s="623">
        <v>0</v>
      </c>
      <c r="W1227" s="623">
        <v>0</v>
      </c>
      <c r="X1227" s="623">
        <v>0</v>
      </c>
      <c r="Z1227" s="623">
        <v>0</v>
      </c>
      <c r="AF1227" s="623" t="str">
        <f>"title("&amp;C1227&amp;")
body(hotyellow_3(任务进程:)newline()
   听闻goto(523,4)正在hot(虎牢)，去拜访他。拜访完之后,不要忘记回来向我汇报。
blankline()
   space()space()space()hot2(任务完成后,千万不要忘记向goto(576,2)汇报哦！))"</f>
        <v>title([历练]拜访)
body(hotyellow_3(任务进程:)newline()
   听闻goto(523,4)正在hot(虎牢)，去拜访他。拜访完之后,不要忘记回来向我汇报。
blankline()
   space()space()space()hot2(任务完成后,千万不要忘记向goto(576,2)汇报哦！))</v>
      </c>
      <c r="AG1227" s="623" t="s">
        <v>2512</v>
      </c>
      <c r="AH1227" s="623" t="s">
        <v>114</v>
      </c>
      <c r="AI1227" s="623" t="s">
        <v>110</v>
      </c>
      <c r="AJ1227" s="623" t="s">
        <v>7446</v>
      </c>
      <c r="AK1227" s="623" t="s">
        <v>115</v>
      </c>
      <c r="AL1227" s="624">
        <v>2</v>
      </c>
      <c r="AM1227" s="660" t="s">
        <v>8988</v>
      </c>
      <c r="AP1227" s="623">
        <v>0</v>
      </c>
      <c r="AQ1227" s="623">
        <v>0</v>
      </c>
      <c r="AR1227" s="623">
        <v>0</v>
      </c>
      <c r="AS1227" s="623">
        <v>0</v>
      </c>
      <c r="AT1227" s="623">
        <v>0</v>
      </c>
      <c r="AU1227" s="226">
        <v>0</v>
      </c>
      <c r="AV1227" s="17">
        <f t="shared" si="164"/>
        <v>0</v>
      </c>
      <c r="AW1227" s="50" t="str">
        <f t="shared" si="165"/>
        <v>{s_taskTalk,{576,0}}</v>
      </c>
    </row>
    <row r="1228" spans="1:49" s="626" customFormat="1" ht="84" x14ac:dyDescent="0.15">
      <c r="A1228" s="626">
        <v>21010</v>
      </c>
      <c r="C1228" s="623" t="s">
        <v>6344</v>
      </c>
      <c r="D1228" s="626">
        <v>4</v>
      </c>
      <c r="E1228" s="626">
        <v>0</v>
      </c>
      <c r="F1228" s="626">
        <v>1</v>
      </c>
      <c r="G1228" s="882">
        <v>53</v>
      </c>
      <c r="H1228" s="626">
        <v>100</v>
      </c>
      <c r="I1228" s="17">
        <v>0</v>
      </c>
      <c r="J1228" s="627">
        <v>0</v>
      </c>
      <c r="K1228" s="626">
        <v>0</v>
      </c>
      <c r="L1228" s="623">
        <v>576</v>
      </c>
      <c r="M1228" s="626" t="s">
        <v>2510</v>
      </c>
      <c r="N1228" s="623">
        <v>0</v>
      </c>
      <c r="O1228" s="623" t="s">
        <v>6288</v>
      </c>
      <c r="P1228" s="626">
        <v>1</v>
      </c>
      <c r="U1228" s="626">
        <v>1</v>
      </c>
      <c r="V1228" s="626">
        <v>0</v>
      </c>
      <c r="W1228" s="626">
        <v>0</v>
      </c>
      <c r="X1228" s="623">
        <v>0</v>
      </c>
      <c r="Z1228" s="626">
        <v>0</v>
      </c>
      <c r="AF1228" s="623" t="str">
        <f>"title("&amp;C1228&amp;")
body(hotyellow_3(任务进程:)newline()
   听闻goto(60045,1)正在hot(桃源圣地)，去拜访他。拜访完之后,不要忘记回来向我汇报。
blankline()
   space()space()space()hot2(任务完成后,千万不要忘记向goto(576,2)汇报哦！))"</f>
        <v>title([历练]拜访)
body(hotyellow_3(任务进程:)newline()
   听闻goto(60045,1)正在hot(桃源圣地)，去拜访他。拜访完之后,不要忘记回来向我汇报。
blankline()
   space()space()space()hot2(任务完成后,千万不要忘记向goto(576,2)汇报哦！))</v>
      </c>
      <c r="AG1228" s="626" t="s">
        <v>2512</v>
      </c>
      <c r="AH1228" s="626" t="s">
        <v>114</v>
      </c>
      <c r="AI1228" s="626" t="s">
        <v>110</v>
      </c>
      <c r="AJ1228" s="626" t="s">
        <v>7446</v>
      </c>
      <c r="AK1228" s="626" t="s">
        <v>115</v>
      </c>
      <c r="AL1228" s="627">
        <v>2</v>
      </c>
      <c r="AM1228" s="660" t="s">
        <v>8989</v>
      </c>
      <c r="AP1228" s="626">
        <v>0</v>
      </c>
      <c r="AQ1228" s="626">
        <v>0</v>
      </c>
      <c r="AR1228" s="626">
        <v>0</v>
      </c>
      <c r="AS1228" s="626">
        <v>0</v>
      </c>
      <c r="AT1228" s="626">
        <v>0</v>
      </c>
      <c r="AU1228" s="226">
        <v>0</v>
      </c>
      <c r="AV1228" s="17">
        <f t="shared" si="164"/>
        <v>0</v>
      </c>
      <c r="AW1228" s="50" t="str">
        <f t="shared" si="165"/>
        <v>{s_taskTalk,{576,0}}</v>
      </c>
    </row>
    <row r="1229" spans="1:49" s="626" customFormat="1" ht="84" x14ac:dyDescent="0.15">
      <c r="A1229" s="626">
        <v>21011</v>
      </c>
      <c r="C1229" s="623" t="s">
        <v>6344</v>
      </c>
      <c r="D1229" s="626">
        <v>4</v>
      </c>
      <c r="E1229" s="626">
        <v>0</v>
      </c>
      <c r="F1229" s="626">
        <v>1</v>
      </c>
      <c r="G1229" s="882">
        <v>53</v>
      </c>
      <c r="H1229" s="626">
        <v>100</v>
      </c>
      <c r="I1229" s="17">
        <v>0</v>
      </c>
      <c r="J1229" s="627">
        <v>0</v>
      </c>
      <c r="K1229" s="626">
        <v>0</v>
      </c>
      <c r="L1229" s="623">
        <v>576</v>
      </c>
      <c r="M1229" s="626" t="s">
        <v>2510</v>
      </c>
      <c r="N1229" s="623">
        <v>0</v>
      </c>
      <c r="O1229" s="623" t="s">
        <v>6289</v>
      </c>
      <c r="P1229" s="626">
        <v>1</v>
      </c>
      <c r="U1229" s="626">
        <v>1</v>
      </c>
      <c r="V1229" s="626">
        <v>0</v>
      </c>
      <c r="W1229" s="626">
        <v>0</v>
      </c>
      <c r="X1229" s="623">
        <v>0</v>
      </c>
      <c r="Z1229" s="626">
        <v>0</v>
      </c>
      <c r="AF1229" s="623" t="str">
        <f>"title("&amp;C1229&amp;")
body(hotyellow_3(任务进程:)newline()
   听闻goto(60046,1)正在hot(桃源圣地)，去拜访他。拜访完之后,不要忘记回来向我汇报。
blankline()
   space()space()space()hot2(任务完成后,千万不要忘记向goto(576,2)汇报哦！))"</f>
        <v>title([历练]拜访)
body(hotyellow_3(任务进程:)newline()
   听闻goto(60046,1)正在hot(桃源圣地)，去拜访他。拜访完之后,不要忘记回来向我汇报。
blankline()
   space()space()space()hot2(任务完成后,千万不要忘记向goto(576,2)汇报哦！))</v>
      </c>
      <c r="AG1229" s="626" t="s">
        <v>2512</v>
      </c>
      <c r="AH1229" s="626" t="s">
        <v>114</v>
      </c>
      <c r="AI1229" s="626" t="s">
        <v>110</v>
      </c>
      <c r="AJ1229" s="626" t="s">
        <v>7446</v>
      </c>
      <c r="AK1229" s="626" t="s">
        <v>115</v>
      </c>
      <c r="AL1229" s="627">
        <v>2</v>
      </c>
      <c r="AM1229" s="660" t="s">
        <v>8990</v>
      </c>
      <c r="AP1229" s="626">
        <v>0</v>
      </c>
      <c r="AQ1229" s="626">
        <v>0</v>
      </c>
      <c r="AR1229" s="626">
        <v>0</v>
      </c>
      <c r="AS1229" s="626">
        <v>0</v>
      </c>
      <c r="AT1229" s="626">
        <v>0</v>
      </c>
      <c r="AU1229" s="226">
        <v>0</v>
      </c>
      <c r="AV1229" s="17">
        <f t="shared" si="164"/>
        <v>0</v>
      </c>
      <c r="AW1229" s="50" t="str">
        <f t="shared" si="165"/>
        <v>{s_taskTalk,{576,0}}</v>
      </c>
    </row>
    <row r="1230" spans="1:49" s="623" customFormat="1" ht="84" x14ac:dyDescent="0.15">
      <c r="A1230" s="623">
        <v>21012</v>
      </c>
      <c r="C1230" s="623" t="s">
        <v>6344</v>
      </c>
      <c r="D1230" s="623">
        <v>4</v>
      </c>
      <c r="E1230" s="623">
        <v>0</v>
      </c>
      <c r="F1230" s="623">
        <v>1</v>
      </c>
      <c r="G1230" s="883">
        <v>51</v>
      </c>
      <c r="H1230" s="623">
        <v>100</v>
      </c>
      <c r="I1230" s="17">
        <v>0</v>
      </c>
      <c r="J1230" s="624">
        <v>0</v>
      </c>
      <c r="K1230" s="623">
        <v>0</v>
      </c>
      <c r="L1230" s="623">
        <v>576</v>
      </c>
      <c r="M1230" s="623" t="s">
        <v>2510</v>
      </c>
      <c r="N1230" s="623">
        <v>0</v>
      </c>
      <c r="O1230" s="623" t="s">
        <v>6290</v>
      </c>
      <c r="P1230" s="623">
        <v>1</v>
      </c>
      <c r="U1230" s="623">
        <v>1</v>
      </c>
      <c r="V1230" s="623">
        <v>0</v>
      </c>
      <c r="W1230" s="623">
        <v>0</v>
      </c>
      <c r="X1230" s="623">
        <v>0</v>
      </c>
      <c r="Z1230" s="623">
        <v>0</v>
      </c>
      <c r="AF1230" s="623" t="str">
        <f>"title("&amp;C1230&amp;")
body(hotyellow_3(任务进程:)newline()
   听闻goto(60007,1)正在hot(桃源圣地)，去拜访他。拜访完之后,不要忘记回来向我汇报。
blankline()
   space()space()space()hot2(任务完成后,千万不要忘记向goto(576,2)汇报哦！))"</f>
        <v>title([历练]拜访)
body(hotyellow_3(任务进程:)newline()
   听闻goto(60007,1)正在hot(桃源圣地)，去拜访他。拜访完之后,不要忘记回来向我汇报。
blankline()
   space()space()space()hot2(任务完成后,千万不要忘记向goto(576,2)汇报哦！))</v>
      </c>
      <c r="AG1230" s="623" t="s">
        <v>2512</v>
      </c>
      <c r="AH1230" s="623" t="s">
        <v>114</v>
      </c>
      <c r="AI1230" s="623" t="s">
        <v>110</v>
      </c>
      <c r="AJ1230" s="623" t="s">
        <v>7446</v>
      </c>
      <c r="AK1230" s="623" t="s">
        <v>115</v>
      </c>
      <c r="AL1230" s="624">
        <v>2</v>
      </c>
      <c r="AM1230" s="660" t="s">
        <v>8991</v>
      </c>
      <c r="AP1230" s="623">
        <v>0</v>
      </c>
      <c r="AQ1230" s="623">
        <v>0</v>
      </c>
      <c r="AR1230" s="623">
        <v>0</v>
      </c>
      <c r="AS1230" s="623">
        <v>0</v>
      </c>
      <c r="AT1230" s="623">
        <v>0</v>
      </c>
      <c r="AU1230" s="226">
        <v>0</v>
      </c>
      <c r="AV1230" s="17">
        <f t="shared" si="164"/>
        <v>0</v>
      </c>
      <c r="AW1230" s="50" t="str">
        <f t="shared" si="165"/>
        <v>{s_taskTalk,{576,0}}</v>
      </c>
    </row>
    <row r="1231" spans="1:49" s="623" customFormat="1" ht="84" x14ac:dyDescent="0.15">
      <c r="A1231" s="623">
        <v>21013</v>
      </c>
      <c r="C1231" s="623" t="s">
        <v>6344</v>
      </c>
      <c r="D1231" s="623">
        <v>4</v>
      </c>
      <c r="E1231" s="623">
        <v>0</v>
      </c>
      <c r="F1231" s="623">
        <v>2</v>
      </c>
      <c r="G1231" s="624">
        <v>200</v>
      </c>
      <c r="H1231" s="623">
        <v>200</v>
      </c>
      <c r="I1231" s="17">
        <v>0</v>
      </c>
      <c r="J1231" s="624">
        <v>0</v>
      </c>
      <c r="K1231" s="623">
        <v>0</v>
      </c>
      <c r="L1231" s="623">
        <v>576</v>
      </c>
      <c r="M1231" s="623" t="s">
        <v>2510</v>
      </c>
      <c r="N1231" s="623">
        <v>60087</v>
      </c>
      <c r="O1231" s="623" t="s">
        <v>5233</v>
      </c>
      <c r="P1231" s="623">
        <v>7</v>
      </c>
      <c r="U1231" s="623">
        <v>1</v>
      </c>
      <c r="V1231" s="623">
        <v>0</v>
      </c>
      <c r="W1231" s="623">
        <v>0</v>
      </c>
      <c r="X1231" s="623">
        <v>0</v>
      </c>
      <c r="Z1231" s="623">
        <v>0</v>
      </c>
      <c r="AF1231" s="623" t="str">
        <f t="shared" ref="AF1231:AF1234" si="166">"title("&amp;C1231&amp;")
body(hotyellow_3(任务进程:)newline()
   听闻goto("&amp;N1231&amp;","&amp;P1231&amp;")正在hot(凤城)，去拜访他。拜访完之后,不要忘记回来向我汇报。
blankline()
   space()space()space()hot2(任务完成后,千万不要忘记向goto(576,2)汇报哦！))"</f>
        <v>title([历练]拜访)
body(hotyellow_3(任务进程:)newline()
   听闻goto(60087,7)正在hot(凤城)，去拜访他。拜访完之后,不要忘记回来向我汇报。
blankline()
   space()space()space()hot2(任务完成后,千万不要忘记向goto(576,2)汇报哦！))</v>
      </c>
      <c r="AG1231" s="623" t="s">
        <v>2512</v>
      </c>
      <c r="AH1231" s="623" t="s">
        <v>114</v>
      </c>
      <c r="AI1231" s="623" t="s">
        <v>110</v>
      </c>
      <c r="AJ1231" s="623" t="s">
        <v>7446</v>
      </c>
      <c r="AK1231" s="623" t="s">
        <v>115</v>
      </c>
      <c r="AL1231" s="624">
        <v>2</v>
      </c>
      <c r="AP1231" s="623">
        <v>0</v>
      </c>
      <c r="AQ1231" s="623">
        <v>0</v>
      </c>
      <c r="AR1231" s="623">
        <v>0</v>
      </c>
      <c r="AS1231" s="623">
        <v>0</v>
      </c>
      <c r="AT1231" s="623">
        <v>0</v>
      </c>
      <c r="AU1231" s="226">
        <v>0</v>
      </c>
      <c r="AV1231" s="17">
        <f t="shared" si="164"/>
        <v>0</v>
      </c>
      <c r="AW1231" s="50" t="str">
        <f t="shared" si="165"/>
        <v>{s_taskTalk,{576,60087}}</v>
      </c>
    </row>
    <row r="1232" spans="1:49" s="623" customFormat="1" ht="84" x14ac:dyDescent="0.15">
      <c r="A1232" s="623">
        <v>21014</v>
      </c>
      <c r="C1232" s="623" t="s">
        <v>6344</v>
      </c>
      <c r="D1232" s="623">
        <v>4</v>
      </c>
      <c r="E1232" s="623">
        <v>0</v>
      </c>
      <c r="F1232" s="623">
        <v>2</v>
      </c>
      <c r="G1232" s="624">
        <v>200</v>
      </c>
      <c r="H1232" s="623">
        <v>200</v>
      </c>
      <c r="I1232" s="17">
        <v>0</v>
      </c>
      <c r="J1232" s="624">
        <v>0</v>
      </c>
      <c r="K1232" s="623">
        <v>0</v>
      </c>
      <c r="L1232" s="623">
        <v>576</v>
      </c>
      <c r="M1232" s="623" t="s">
        <v>2510</v>
      </c>
      <c r="N1232" s="623">
        <v>60089</v>
      </c>
      <c r="O1232" s="623" t="s">
        <v>5234</v>
      </c>
      <c r="P1232" s="623">
        <v>7</v>
      </c>
      <c r="U1232" s="623">
        <v>1</v>
      </c>
      <c r="V1232" s="623">
        <v>0</v>
      </c>
      <c r="W1232" s="623">
        <v>0</v>
      </c>
      <c r="X1232" s="623">
        <v>0</v>
      </c>
      <c r="Z1232" s="623">
        <v>0</v>
      </c>
      <c r="AF1232" s="623" t="str">
        <f t="shared" si="166"/>
        <v>title([历练]拜访)
body(hotyellow_3(任务进程:)newline()
   听闻goto(60089,7)正在hot(凤城)，去拜访他。拜访完之后,不要忘记回来向我汇报。
blankline()
   space()space()space()hot2(任务完成后,千万不要忘记向goto(576,2)汇报哦！))</v>
      </c>
      <c r="AG1232" s="623" t="s">
        <v>2512</v>
      </c>
      <c r="AH1232" s="623" t="s">
        <v>114</v>
      </c>
      <c r="AI1232" s="623" t="s">
        <v>110</v>
      </c>
      <c r="AJ1232" s="623" t="s">
        <v>7446</v>
      </c>
      <c r="AK1232" s="623" t="s">
        <v>115</v>
      </c>
      <c r="AL1232" s="624">
        <v>2</v>
      </c>
      <c r="AP1232" s="623">
        <v>0</v>
      </c>
      <c r="AQ1232" s="623">
        <v>0</v>
      </c>
      <c r="AR1232" s="623">
        <v>0</v>
      </c>
      <c r="AS1232" s="623">
        <v>0</v>
      </c>
      <c r="AT1232" s="623">
        <v>0</v>
      </c>
      <c r="AU1232" s="226">
        <v>0</v>
      </c>
      <c r="AV1232" s="17">
        <f t="shared" si="164"/>
        <v>0</v>
      </c>
      <c r="AW1232" s="50" t="str">
        <f t="shared" si="165"/>
        <v>{s_taskTalk,{576,60089}}</v>
      </c>
    </row>
    <row r="1233" spans="1:49" s="623" customFormat="1" ht="84" x14ac:dyDescent="0.15">
      <c r="A1233" s="623">
        <v>21015</v>
      </c>
      <c r="C1233" s="623" t="s">
        <v>6344</v>
      </c>
      <c r="D1233" s="623">
        <v>4</v>
      </c>
      <c r="E1233" s="623">
        <v>0</v>
      </c>
      <c r="F1233" s="623">
        <v>2</v>
      </c>
      <c r="G1233" s="624">
        <v>200</v>
      </c>
      <c r="H1233" s="623">
        <v>200</v>
      </c>
      <c r="I1233" s="17">
        <v>0</v>
      </c>
      <c r="J1233" s="624">
        <v>0</v>
      </c>
      <c r="K1233" s="623">
        <v>0</v>
      </c>
      <c r="L1233" s="623">
        <v>576</v>
      </c>
      <c r="M1233" s="623" t="s">
        <v>2510</v>
      </c>
      <c r="N1233" s="623">
        <v>60085</v>
      </c>
      <c r="O1233" s="623" t="s">
        <v>5235</v>
      </c>
      <c r="P1233" s="623">
        <v>7</v>
      </c>
      <c r="U1233" s="623">
        <v>1</v>
      </c>
      <c r="V1233" s="623">
        <v>0</v>
      </c>
      <c r="W1233" s="623">
        <v>0</v>
      </c>
      <c r="X1233" s="623">
        <v>0</v>
      </c>
      <c r="Z1233" s="623">
        <v>0</v>
      </c>
      <c r="AF1233" s="623" t="str">
        <f t="shared" si="166"/>
        <v>title([历练]拜访)
body(hotyellow_3(任务进程:)newline()
   听闻goto(60085,7)正在hot(凤城)，去拜访他。拜访完之后,不要忘记回来向我汇报。
blankline()
   space()space()space()hot2(任务完成后,千万不要忘记向goto(576,2)汇报哦！))</v>
      </c>
      <c r="AG1233" s="623" t="s">
        <v>2512</v>
      </c>
      <c r="AH1233" s="623" t="s">
        <v>114</v>
      </c>
      <c r="AI1233" s="623" t="s">
        <v>110</v>
      </c>
      <c r="AJ1233" s="623" t="s">
        <v>7446</v>
      </c>
      <c r="AK1233" s="623" t="s">
        <v>115</v>
      </c>
      <c r="AL1233" s="624">
        <v>2</v>
      </c>
      <c r="AP1233" s="623">
        <v>0</v>
      </c>
      <c r="AQ1233" s="623">
        <v>0</v>
      </c>
      <c r="AR1233" s="623">
        <v>0</v>
      </c>
      <c r="AS1233" s="623">
        <v>0</v>
      </c>
      <c r="AT1233" s="623">
        <v>0</v>
      </c>
      <c r="AU1233" s="226">
        <v>0</v>
      </c>
      <c r="AV1233" s="17">
        <f t="shared" si="164"/>
        <v>0</v>
      </c>
      <c r="AW1233" s="50" t="str">
        <f t="shared" si="165"/>
        <v>{s_taskTalk,{576,60085}}</v>
      </c>
    </row>
    <row r="1234" spans="1:49" s="623" customFormat="1" ht="84" x14ac:dyDescent="0.15">
      <c r="A1234" s="623">
        <v>21016</v>
      </c>
      <c r="C1234" s="623" t="s">
        <v>6344</v>
      </c>
      <c r="D1234" s="623">
        <v>4</v>
      </c>
      <c r="E1234" s="623">
        <v>0</v>
      </c>
      <c r="F1234" s="623">
        <v>2</v>
      </c>
      <c r="G1234" s="624">
        <v>200</v>
      </c>
      <c r="H1234" s="623">
        <v>200</v>
      </c>
      <c r="I1234" s="17">
        <v>0</v>
      </c>
      <c r="J1234" s="624">
        <v>0</v>
      </c>
      <c r="K1234" s="623">
        <v>0</v>
      </c>
      <c r="L1234" s="623">
        <v>576</v>
      </c>
      <c r="M1234" s="623" t="s">
        <v>2510</v>
      </c>
      <c r="N1234" s="623">
        <v>60088</v>
      </c>
      <c r="O1234" s="623" t="s">
        <v>5236</v>
      </c>
      <c r="P1234" s="623">
        <v>7</v>
      </c>
      <c r="U1234" s="623">
        <v>1</v>
      </c>
      <c r="V1234" s="623">
        <v>0</v>
      </c>
      <c r="W1234" s="623">
        <v>0</v>
      </c>
      <c r="X1234" s="623">
        <v>0</v>
      </c>
      <c r="Z1234" s="623">
        <v>0</v>
      </c>
      <c r="AF1234" s="623" t="str">
        <f t="shared" si="166"/>
        <v>title([历练]拜访)
body(hotyellow_3(任务进程:)newline()
   听闻goto(60088,7)正在hot(凤城)，去拜访他。拜访完之后,不要忘记回来向我汇报。
blankline()
   space()space()space()hot2(任务完成后,千万不要忘记向goto(576,2)汇报哦！))</v>
      </c>
      <c r="AG1234" s="623" t="s">
        <v>2512</v>
      </c>
      <c r="AH1234" s="623" t="s">
        <v>114</v>
      </c>
      <c r="AI1234" s="623" t="s">
        <v>110</v>
      </c>
      <c r="AJ1234" s="623" t="s">
        <v>7446</v>
      </c>
      <c r="AK1234" s="623" t="s">
        <v>115</v>
      </c>
      <c r="AL1234" s="624">
        <v>2</v>
      </c>
      <c r="AP1234" s="623">
        <v>0</v>
      </c>
      <c r="AQ1234" s="623">
        <v>0</v>
      </c>
      <c r="AR1234" s="623">
        <v>0</v>
      </c>
      <c r="AS1234" s="623">
        <v>0</v>
      </c>
      <c r="AT1234" s="623">
        <v>0</v>
      </c>
      <c r="AU1234" s="226">
        <v>0</v>
      </c>
      <c r="AV1234" s="17">
        <f t="shared" si="164"/>
        <v>0</v>
      </c>
      <c r="AW1234" s="50" t="str">
        <f t="shared" si="165"/>
        <v>{s_taskTalk,{576,60088}}</v>
      </c>
    </row>
    <row r="1235" spans="1:49" s="623" customFormat="1" ht="84" x14ac:dyDescent="0.15">
      <c r="A1235" s="623">
        <v>21017</v>
      </c>
      <c r="C1235" s="623" t="s">
        <v>6344</v>
      </c>
      <c r="D1235" s="623">
        <v>4</v>
      </c>
      <c r="E1235" s="623">
        <v>0</v>
      </c>
      <c r="F1235" s="623">
        <v>2</v>
      </c>
      <c r="G1235" s="883">
        <v>61</v>
      </c>
      <c r="H1235" s="623">
        <v>200</v>
      </c>
      <c r="I1235" s="17">
        <v>0</v>
      </c>
      <c r="J1235" s="624">
        <v>0</v>
      </c>
      <c r="K1235" s="623">
        <v>0</v>
      </c>
      <c r="L1235" s="623">
        <v>576</v>
      </c>
      <c r="M1235" s="623" t="s">
        <v>2510</v>
      </c>
      <c r="N1235" s="625">
        <v>0</v>
      </c>
      <c r="O1235" s="625" t="s">
        <v>6291</v>
      </c>
      <c r="P1235" s="623">
        <v>5</v>
      </c>
      <c r="U1235" s="623">
        <v>1</v>
      </c>
      <c r="V1235" s="623">
        <v>0</v>
      </c>
      <c r="W1235" s="623">
        <v>0</v>
      </c>
      <c r="X1235" s="623">
        <v>0</v>
      </c>
      <c r="Z1235" s="623">
        <v>0</v>
      </c>
      <c r="AF1235" s="623" t="str">
        <f>"title("&amp;C1235&amp;")
body(hotyellow_3(任务进程:)newline()
   听闻goto(534,5)正在hot(王城)，去拜访他。拜访完之后,不要忘记回来向我汇报。
blankline()
   space()space()space()hot2(任务完成后,千万不要忘记向goto(576,2)汇报哦！))"</f>
        <v>title([历练]拜访)
body(hotyellow_3(任务进程:)newline()
   听闻goto(534,5)正在hot(王城)，去拜访他。拜访完之后,不要忘记回来向我汇报。
blankline()
   space()space()space()hot2(任务完成后,千万不要忘记向goto(576,2)汇报哦！))</v>
      </c>
      <c r="AG1235" s="623" t="s">
        <v>2512</v>
      </c>
      <c r="AH1235" s="623" t="s">
        <v>114</v>
      </c>
      <c r="AI1235" s="623" t="s">
        <v>110</v>
      </c>
      <c r="AJ1235" s="623" t="s">
        <v>7446</v>
      </c>
      <c r="AK1235" s="623" t="s">
        <v>115</v>
      </c>
      <c r="AL1235" s="624">
        <v>2</v>
      </c>
      <c r="AM1235" s="660" t="s">
        <v>8977</v>
      </c>
      <c r="AP1235" s="623">
        <v>0</v>
      </c>
      <c r="AQ1235" s="623">
        <v>0</v>
      </c>
      <c r="AR1235" s="623">
        <v>0</v>
      </c>
      <c r="AS1235" s="623">
        <v>0</v>
      </c>
      <c r="AT1235" s="623">
        <v>0</v>
      </c>
      <c r="AU1235" s="226">
        <v>0</v>
      </c>
      <c r="AV1235" s="17">
        <f t="shared" si="164"/>
        <v>0</v>
      </c>
      <c r="AW1235" s="50" t="str">
        <f t="shared" si="165"/>
        <v>{s_taskTalk,{576,0}}</v>
      </c>
    </row>
    <row r="1236" spans="1:49" s="623" customFormat="1" ht="84" x14ac:dyDescent="0.15">
      <c r="A1236" s="623">
        <v>21018</v>
      </c>
      <c r="C1236" s="623" t="s">
        <v>6344</v>
      </c>
      <c r="D1236" s="623">
        <v>4</v>
      </c>
      <c r="E1236" s="623">
        <v>0</v>
      </c>
      <c r="F1236" s="623">
        <v>2</v>
      </c>
      <c r="G1236" s="883">
        <v>61</v>
      </c>
      <c r="H1236" s="623">
        <v>200</v>
      </c>
      <c r="I1236" s="17">
        <v>0</v>
      </c>
      <c r="J1236" s="624">
        <v>0</v>
      </c>
      <c r="K1236" s="623">
        <v>0</v>
      </c>
      <c r="L1236" s="623">
        <v>576</v>
      </c>
      <c r="M1236" s="623" t="s">
        <v>2510</v>
      </c>
      <c r="N1236" s="625">
        <v>0</v>
      </c>
      <c r="O1236" s="625" t="s">
        <v>6292</v>
      </c>
      <c r="P1236" s="623">
        <v>5</v>
      </c>
      <c r="U1236" s="623">
        <v>1</v>
      </c>
      <c r="V1236" s="623">
        <v>0</v>
      </c>
      <c r="W1236" s="623">
        <v>0</v>
      </c>
      <c r="X1236" s="623">
        <v>0</v>
      </c>
      <c r="Z1236" s="623">
        <v>0</v>
      </c>
      <c r="AF1236" s="623" t="str">
        <f>"title("&amp;C1236&amp;")
body(hotyellow_3(任务进程:)newline()
   听闻goto(535,5)正在hot(王城)，去拜访他。拜访完之后,不要忘记回来向我汇报。
blankline()
   space()space()space()hot2(任务完成后,千万不要忘记向goto(576,2)汇报哦！))"</f>
        <v>title([历练]拜访)
body(hotyellow_3(任务进程:)newline()
   听闻goto(535,5)正在hot(王城)，去拜访他。拜访完之后,不要忘记回来向我汇报。
blankline()
   space()space()space()hot2(任务完成后,千万不要忘记向goto(576,2)汇报哦！))</v>
      </c>
      <c r="AG1236" s="623" t="s">
        <v>2512</v>
      </c>
      <c r="AH1236" s="623" t="s">
        <v>114</v>
      </c>
      <c r="AI1236" s="623" t="s">
        <v>110</v>
      </c>
      <c r="AJ1236" s="623" t="s">
        <v>7446</v>
      </c>
      <c r="AK1236" s="623" t="s">
        <v>115</v>
      </c>
      <c r="AL1236" s="624">
        <v>2</v>
      </c>
      <c r="AM1236" s="660" t="s">
        <v>8978</v>
      </c>
      <c r="AP1236" s="623">
        <v>0</v>
      </c>
      <c r="AQ1236" s="623">
        <v>0</v>
      </c>
      <c r="AR1236" s="623">
        <v>0</v>
      </c>
      <c r="AS1236" s="623">
        <v>0</v>
      </c>
      <c r="AT1236" s="623">
        <v>0</v>
      </c>
      <c r="AU1236" s="226">
        <v>0</v>
      </c>
      <c r="AV1236" s="17">
        <f t="shared" si="164"/>
        <v>0</v>
      </c>
      <c r="AW1236" s="50" t="str">
        <f t="shared" si="165"/>
        <v>{s_taskTalk,{576,0}}</v>
      </c>
    </row>
    <row r="1237" spans="1:49" s="623" customFormat="1" ht="84" x14ac:dyDescent="0.15">
      <c r="A1237" s="623">
        <v>21019</v>
      </c>
      <c r="C1237" s="623" t="s">
        <v>6344</v>
      </c>
      <c r="D1237" s="623">
        <v>4</v>
      </c>
      <c r="E1237" s="623">
        <v>0</v>
      </c>
      <c r="F1237" s="623">
        <v>2</v>
      </c>
      <c r="G1237" s="883">
        <v>61</v>
      </c>
      <c r="H1237" s="623">
        <v>200</v>
      </c>
      <c r="I1237" s="17">
        <v>0</v>
      </c>
      <c r="J1237" s="624">
        <v>0</v>
      </c>
      <c r="K1237" s="623">
        <v>0</v>
      </c>
      <c r="L1237" s="623">
        <v>576</v>
      </c>
      <c r="M1237" s="623" t="s">
        <v>2510</v>
      </c>
      <c r="N1237" s="625">
        <v>0</v>
      </c>
      <c r="O1237" s="625" t="s">
        <v>6293</v>
      </c>
      <c r="P1237" s="623">
        <v>5</v>
      </c>
      <c r="U1237" s="623">
        <v>1</v>
      </c>
      <c r="V1237" s="623">
        <v>0</v>
      </c>
      <c r="W1237" s="623">
        <v>0</v>
      </c>
      <c r="X1237" s="623">
        <v>0</v>
      </c>
      <c r="Z1237" s="623">
        <v>0</v>
      </c>
      <c r="AF1237" s="623" t="str">
        <f>"title("&amp;C1237&amp;")
body(hotyellow_3(任务进程:)newline()
   听闻goto(537,5)正在hot(王城)，去拜访他。拜访完之后,不要忘记回来向我汇报。
blankline()
   space()space()space()hot2(任务完成后,千万不要忘记向goto(576,2)汇报哦！))"</f>
        <v>title([历练]拜访)
body(hotyellow_3(任务进程:)newline()
   听闻goto(537,5)正在hot(王城)，去拜访他。拜访完之后,不要忘记回来向我汇报。
blankline()
   space()space()space()hot2(任务完成后,千万不要忘记向goto(576,2)汇报哦！))</v>
      </c>
      <c r="AG1237" s="623" t="s">
        <v>2512</v>
      </c>
      <c r="AH1237" s="623" t="s">
        <v>114</v>
      </c>
      <c r="AI1237" s="623" t="s">
        <v>110</v>
      </c>
      <c r="AJ1237" s="623" t="s">
        <v>7446</v>
      </c>
      <c r="AK1237" s="623" t="s">
        <v>115</v>
      </c>
      <c r="AL1237" s="624">
        <v>2</v>
      </c>
      <c r="AM1237" s="660" t="s">
        <v>8979</v>
      </c>
      <c r="AP1237" s="623">
        <v>0</v>
      </c>
      <c r="AQ1237" s="623">
        <v>0</v>
      </c>
      <c r="AR1237" s="623">
        <v>0</v>
      </c>
      <c r="AS1237" s="623">
        <v>0</v>
      </c>
      <c r="AT1237" s="623">
        <v>0</v>
      </c>
      <c r="AU1237" s="226">
        <v>0</v>
      </c>
      <c r="AV1237" s="17">
        <f t="shared" si="164"/>
        <v>0</v>
      </c>
      <c r="AW1237" s="50" t="str">
        <f t="shared" si="165"/>
        <v>{s_taskTalk,{576,0}}</v>
      </c>
    </row>
    <row r="1238" spans="1:49" s="636" customFormat="1" ht="84" x14ac:dyDescent="0.15">
      <c r="A1238" s="628">
        <v>21101</v>
      </c>
      <c r="B1238" s="629"/>
      <c r="C1238" s="629" t="s">
        <v>6345</v>
      </c>
      <c r="D1238" s="629">
        <v>4</v>
      </c>
      <c r="E1238" s="629">
        <v>0</v>
      </c>
      <c r="F1238" s="629">
        <v>2</v>
      </c>
      <c r="G1238" s="630">
        <v>21</v>
      </c>
      <c r="H1238" s="629">
        <f>G1238+4</f>
        <v>25</v>
      </c>
      <c r="I1238" s="17">
        <v>0</v>
      </c>
      <c r="J1238" s="630">
        <v>0</v>
      </c>
      <c r="K1238" s="629">
        <v>0</v>
      </c>
      <c r="L1238" s="623">
        <v>576</v>
      </c>
      <c r="M1238" s="629" t="s">
        <v>2510</v>
      </c>
      <c r="N1238" s="623">
        <v>0</v>
      </c>
      <c r="O1238" s="629" t="s">
        <v>5237</v>
      </c>
      <c r="P1238" s="629"/>
      <c r="Q1238" s="631"/>
      <c r="R1238" s="631"/>
      <c r="S1238" s="631"/>
      <c r="T1238" s="631"/>
      <c r="U1238" s="629">
        <v>10</v>
      </c>
      <c r="V1238" s="629">
        <v>0</v>
      </c>
      <c r="W1238" s="629">
        <v>0</v>
      </c>
      <c r="X1238" s="623">
        <v>0</v>
      </c>
      <c r="Y1238" s="629"/>
      <c r="Z1238" s="632">
        <v>0</v>
      </c>
      <c r="AA1238" s="629"/>
      <c r="AB1238" s="633"/>
      <c r="AC1238" s="633"/>
      <c r="AD1238" s="629"/>
      <c r="AE1238" s="634"/>
      <c r="AF1238" s="629" t="str">
        <f>"title("&amp;C1238&amp;")
body(hotyellow_3(任务进程:)newline()
  如今天下大乱，贼匪横行。击杀"&amp;U1238&amp;"个"&amp;G1238&amp;"至"&amp;H1238&amp;"级的怪物，以匡扶正道。
blankline()
   space()space()space()hot2(任务完成后,千万不要忘记向goto(576,2)汇报哦！))"</f>
        <v>title([历练]歼灭I)
body(hotyellow_3(任务进程:)newline()
  如今天下大乱，贼匪横行。击杀10个21至25级的怪物，以匡扶正道。
blankline()
   space()space()space()hot2(任务完成后,千万不要忘记向goto(576,2)汇报哦！))</v>
      </c>
      <c r="AG1238" s="629" t="s">
        <v>2517</v>
      </c>
      <c r="AH1238" s="629" t="s">
        <v>6295</v>
      </c>
      <c r="AI1238" s="629" t="s">
        <v>110</v>
      </c>
      <c r="AJ1238" s="629" t="s">
        <v>7447</v>
      </c>
      <c r="AK1238" s="629" t="s">
        <v>2516</v>
      </c>
      <c r="AL1238" s="630">
        <v>2</v>
      </c>
      <c r="AM1238" s="635" t="str">
        <f>"&lt;p&gt;
&lt;n effect=2&gt;  击杀："&amp;U1238&amp;"个"&amp;G1238&amp;"至"&amp;H1238&amp;"级的怪物&lt;/n&gt;
 &lt;n effect=2&gt;  推荐：&lt;/n&gt;
&lt;n&gt; &lt;/n&gt;&lt;goto quick=1 id=10115 mapid=2 flagpoint=""1"" taskid="""&amp;A1238&amp;"""/&gt;&lt;/p&gt;"</f>
        <v>&lt;p&gt;
&lt;n effect=2&gt;  击杀：10个21至25级的怪物&lt;/n&gt;
 &lt;n effect=2&gt;  推荐：&lt;/n&gt;
&lt;n&gt; &lt;/n&gt;&lt;goto quick=1 id=10115 mapid=2 flagpoint="1" taskid="21101"/&gt;&lt;/p&gt;</v>
      </c>
      <c r="AN1238" s="635" t="s">
        <v>8743</v>
      </c>
      <c r="AO1238" s="629"/>
      <c r="AP1238" s="629">
        <v>1</v>
      </c>
      <c r="AQ1238" s="629">
        <v>0</v>
      </c>
      <c r="AR1238" s="629">
        <v>1</v>
      </c>
      <c r="AS1238" s="629">
        <v>0</v>
      </c>
      <c r="AT1238" s="629">
        <v>0</v>
      </c>
      <c r="AU1238" s="226">
        <v>0</v>
      </c>
      <c r="AV1238" s="17">
        <f t="shared" si="164"/>
        <v>0</v>
      </c>
      <c r="AW1238" s="629" t="str">
        <f>"{s_taskKillNpcLevel,{"&amp;L1238&amp;","&amp;N1238&amp;","&amp;G1238&amp;","&amp;H1238&amp;","&amp;U1238&amp;"}}"</f>
        <v>{s_taskKillNpcLevel,{576,0,21,25,10}}</v>
      </c>
    </row>
    <row r="1239" spans="1:49" s="636" customFormat="1" ht="84" x14ac:dyDescent="0.15">
      <c r="A1239" s="628">
        <v>21102</v>
      </c>
      <c r="B1239" s="629"/>
      <c r="C1239" s="629" t="s">
        <v>6345</v>
      </c>
      <c r="D1239" s="629">
        <v>4</v>
      </c>
      <c r="E1239" s="629">
        <v>0</v>
      </c>
      <c r="F1239" s="629">
        <v>2</v>
      </c>
      <c r="G1239" s="630">
        <v>26</v>
      </c>
      <c r="H1239" s="629">
        <f t="shared" ref="H1239:H1266" si="167">G1239+4</f>
        <v>30</v>
      </c>
      <c r="I1239" s="17">
        <v>0</v>
      </c>
      <c r="J1239" s="630">
        <v>0</v>
      </c>
      <c r="K1239" s="629">
        <v>0</v>
      </c>
      <c r="L1239" s="623">
        <v>576</v>
      </c>
      <c r="M1239" s="629" t="s">
        <v>2510</v>
      </c>
      <c r="N1239" s="623">
        <v>0</v>
      </c>
      <c r="O1239" s="629" t="s">
        <v>5237</v>
      </c>
      <c r="P1239" s="629"/>
      <c r="Q1239" s="631"/>
      <c r="R1239" s="631"/>
      <c r="S1239" s="631"/>
      <c r="T1239" s="631"/>
      <c r="U1239" s="629">
        <v>15</v>
      </c>
      <c r="V1239" s="629">
        <v>0</v>
      </c>
      <c r="W1239" s="629">
        <v>0</v>
      </c>
      <c r="X1239" s="623">
        <v>0</v>
      </c>
      <c r="Y1239" s="629"/>
      <c r="Z1239" s="632">
        <v>0</v>
      </c>
      <c r="AA1239" s="629"/>
      <c r="AB1239" s="633"/>
      <c r="AC1239" s="633"/>
      <c r="AD1239" s="629"/>
      <c r="AE1239" s="634"/>
      <c r="AF1239" s="629" t="str">
        <f t="shared" ref="AF1239:AF1269" si="168">"title("&amp;C1239&amp;")
body(hotyellow_3(任务进程:)newline()
  如今天下大乱，贼匪横行。击杀"&amp;U1239&amp;"个"&amp;G1239&amp;"至"&amp;H1239&amp;"级的怪物，以匡扶正道。
blankline()
   space()space()space()hot2(任务完成后,千万不要忘记向goto(576,2)汇报哦！))"</f>
        <v>title([历练]歼灭I)
body(hotyellow_3(任务进程:)newline()
  如今天下大乱，贼匪横行。击杀15个26至30级的怪物，以匡扶正道。
blankline()
   space()space()space()hot2(任务完成后,千万不要忘记向goto(576,2)汇报哦！))</v>
      </c>
      <c r="AG1239" s="629" t="s">
        <v>2517</v>
      </c>
      <c r="AH1239" s="629" t="s">
        <v>6295</v>
      </c>
      <c r="AI1239" s="629" t="s">
        <v>110</v>
      </c>
      <c r="AJ1239" s="629" t="s">
        <v>7447</v>
      </c>
      <c r="AK1239" s="629" t="s">
        <v>2516</v>
      </c>
      <c r="AL1239" s="630">
        <v>2</v>
      </c>
      <c r="AM1239" s="635" t="str">
        <f>"&lt;p&gt;
&lt;n effect=2&gt;  击杀："&amp;U1239&amp;"个"&amp;G1239&amp;"至"&amp;H1239&amp;"级的怪物&lt;/n&gt;
 &lt;n effect=2&gt;  推荐：&lt;/n&gt;
&lt;n&gt; &lt;/n&gt;&lt;goto quick=1 id=10001 mapid=2 flagpoint=""1"" taskid="""&amp;A1239&amp;"""/&gt;&lt;/p&gt;"</f>
        <v>&lt;p&gt;
&lt;n effect=2&gt;  击杀：15个26至30级的怪物&lt;/n&gt;
 &lt;n effect=2&gt;  推荐：&lt;/n&gt;
&lt;n&gt; &lt;/n&gt;&lt;goto quick=1 id=10001 mapid=2 flagpoint="1" taskid="21102"/&gt;&lt;/p&gt;</v>
      </c>
      <c r="AN1239" s="635" t="s">
        <v>8712</v>
      </c>
      <c r="AO1239" s="629"/>
      <c r="AP1239" s="629">
        <v>1</v>
      </c>
      <c r="AQ1239" s="629">
        <v>0</v>
      </c>
      <c r="AR1239" s="629">
        <v>1</v>
      </c>
      <c r="AS1239" s="629">
        <v>0</v>
      </c>
      <c r="AT1239" s="629">
        <v>0</v>
      </c>
      <c r="AU1239" s="226">
        <v>0</v>
      </c>
      <c r="AV1239" s="17">
        <f t="shared" si="164"/>
        <v>0</v>
      </c>
      <c r="AW1239" s="629" t="str">
        <f>"{s_taskKillNpcLevel,{"&amp;L1239&amp;","&amp;N1239&amp;","&amp;G1239&amp;","&amp;H1239&amp;","&amp;U1239&amp;"}}"</f>
        <v>{s_taskKillNpcLevel,{576,0,26,30,15}}</v>
      </c>
    </row>
    <row r="1240" spans="1:49" s="636" customFormat="1" ht="84" x14ac:dyDescent="0.15">
      <c r="A1240" s="628">
        <v>21103</v>
      </c>
      <c r="B1240" s="629"/>
      <c r="C1240" s="629" t="s">
        <v>6345</v>
      </c>
      <c r="D1240" s="629">
        <v>4</v>
      </c>
      <c r="E1240" s="629">
        <v>0</v>
      </c>
      <c r="F1240" s="629">
        <v>2</v>
      </c>
      <c r="G1240" s="630">
        <v>31</v>
      </c>
      <c r="H1240" s="629">
        <f t="shared" si="167"/>
        <v>35</v>
      </c>
      <c r="I1240" s="17">
        <v>0</v>
      </c>
      <c r="J1240" s="630">
        <v>0</v>
      </c>
      <c r="K1240" s="629">
        <v>0</v>
      </c>
      <c r="L1240" s="623">
        <v>576</v>
      </c>
      <c r="M1240" s="629" t="s">
        <v>2510</v>
      </c>
      <c r="N1240" s="623">
        <v>0</v>
      </c>
      <c r="O1240" s="629" t="s">
        <v>5237</v>
      </c>
      <c r="P1240" s="629"/>
      <c r="Q1240" s="631"/>
      <c r="R1240" s="631"/>
      <c r="S1240" s="631"/>
      <c r="T1240" s="631"/>
      <c r="U1240" s="629">
        <v>20</v>
      </c>
      <c r="V1240" s="629">
        <v>0</v>
      </c>
      <c r="W1240" s="629">
        <v>0</v>
      </c>
      <c r="X1240" s="623">
        <v>0</v>
      </c>
      <c r="Y1240" s="629"/>
      <c r="Z1240" s="632">
        <v>0</v>
      </c>
      <c r="AA1240" s="629"/>
      <c r="AB1240" s="633"/>
      <c r="AC1240" s="633"/>
      <c r="AD1240" s="629"/>
      <c r="AE1240" s="634"/>
      <c r="AF1240" s="629" t="str">
        <f t="shared" si="168"/>
        <v>title([历练]歼灭I)
body(hotyellow_3(任务进程:)newline()
  如今天下大乱，贼匪横行。击杀20个31至35级的怪物，以匡扶正道。
blankline()
   space()space()space()hot2(任务完成后,千万不要忘记向goto(576,2)汇报哦！))</v>
      </c>
      <c r="AG1240" s="629" t="s">
        <v>2517</v>
      </c>
      <c r="AH1240" s="629" t="s">
        <v>6295</v>
      </c>
      <c r="AI1240" s="629" t="s">
        <v>110</v>
      </c>
      <c r="AJ1240" s="629" t="s">
        <v>7447</v>
      </c>
      <c r="AK1240" s="629" t="s">
        <v>2516</v>
      </c>
      <c r="AL1240" s="630">
        <v>2</v>
      </c>
      <c r="AM1240" s="635" t="str">
        <f>"&lt;p&gt;
&lt;n effect=2&gt;  击杀："&amp;U1240&amp;"个"&amp;G1240&amp;"至"&amp;H1240&amp;"级的怪物&lt;/n&gt;
 &lt;n effect=2&gt;  推荐：&lt;/n&gt;
&lt;n&gt; &lt;/n&gt;&lt;goto quick=1 id=10003 mapid=2 flagpoint=""1"" taskid="""&amp;A1240&amp;"""/&gt;&lt;/p&gt;"</f>
        <v>&lt;p&gt;
&lt;n effect=2&gt;  击杀：20个31至35级的怪物&lt;/n&gt;
 &lt;n effect=2&gt;  推荐：&lt;/n&gt;
&lt;n&gt; &lt;/n&gt;&lt;goto quick=1 id=10003 mapid=2 flagpoint="1" taskid="21103"/&gt;&lt;/p&gt;</v>
      </c>
      <c r="AN1240" s="635" t="s">
        <v>8713</v>
      </c>
      <c r="AO1240" s="629"/>
      <c r="AP1240" s="629">
        <v>1</v>
      </c>
      <c r="AQ1240" s="629">
        <v>0</v>
      </c>
      <c r="AR1240" s="629">
        <v>1</v>
      </c>
      <c r="AS1240" s="629">
        <v>0</v>
      </c>
      <c r="AT1240" s="629">
        <v>0</v>
      </c>
      <c r="AU1240" s="226">
        <v>0</v>
      </c>
      <c r="AV1240" s="17">
        <f t="shared" si="164"/>
        <v>0</v>
      </c>
      <c r="AW1240" s="629" t="str">
        <f>"{s_taskKillNpcLevel,{"&amp;L1240&amp;","&amp;N1240&amp;","&amp;G1240&amp;","&amp;H1240&amp;","&amp;U1240&amp;"}}"</f>
        <v>{s_taskKillNpcLevel,{576,0,31,35,20}}</v>
      </c>
    </row>
    <row r="1241" spans="1:49" s="636" customFormat="1" ht="84" x14ac:dyDescent="0.15">
      <c r="A1241" s="628">
        <v>21104</v>
      </c>
      <c r="B1241" s="629"/>
      <c r="C1241" s="629" t="s">
        <v>6345</v>
      </c>
      <c r="D1241" s="629">
        <v>4</v>
      </c>
      <c r="E1241" s="629">
        <v>0</v>
      </c>
      <c r="F1241" s="629">
        <v>2</v>
      </c>
      <c r="G1241" s="630">
        <v>36</v>
      </c>
      <c r="H1241" s="629">
        <f t="shared" si="167"/>
        <v>40</v>
      </c>
      <c r="I1241" s="17">
        <v>0</v>
      </c>
      <c r="J1241" s="630">
        <v>0</v>
      </c>
      <c r="K1241" s="629">
        <v>0</v>
      </c>
      <c r="L1241" s="623">
        <v>576</v>
      </c>
      <c r="M1241" s="629" t="s">
        <v>2510</v>
      </c>
      <c r="N1241" s="623">
        <v>0</v>
      </c>
      <c r="O1241" s="629" t="s">
        <v>5237</v>
      </c>
      <c r="P1241" s="629"/>
      <c r="Q1241" s="631"/>
      <c r="R1241" s="631"/>
      <c r="S1241" s="631"/>
      <c r="T1241" s="631"/>
      <c r="U1241" s="629">
        <v>20</v>
      </c>
      <c r="V1241" s="629">
        <v>0</v>
      </c>
      <c r="W1241" s="629">
        <v>0</v>
      </c>
      <c r="X1241" s="623">
        <v>0</v>
      </c>
      <c r="Y1241" s="629"/>
      <c r="Z1241" s="632">
        <v>0</v>
      </c>
      <c r="AA1241" s="629"/>
      <c r="AB1241" s="633"/>
      <c r="AC1241" s="633"/>
      <c r="AD1241" s="629"/>
      <c r="AE1241" s="634"/>
      <c r="AF1241" s="629" t="str">
        <f t="shared" si="168"/>
        <v>title([历练]歼灭I)
body(hotyellow_3(任务进程:)newline()
  如今天下大乱，贼匪横行。击杀20个36至40级的怪物，以匡扶正道。
blankline()
   space()space()space()hot2(任务完成后,千万不要忘记向goto(576,2)汇报哦！))</v>
      </c>
      <c r="AG1241" s="629" t="s">
        <v>2517</v>
      </c>
      <c r="AH1241" s="629" t="s">
        <v>6295</v>
      </c>
      <c r="AI1241" s="629" t="s">
        <v>110</v>
      </c>
      <c r="AJ1241" s="629" t="s">
        <v>7447</v>
      </c>
      <c r="AK1241" s="629" t="s">
        <v>2516</v>
      </c>
      <c r="AL1241" s="630">
        <v>2</v>
      </c>
      <c r="AM1241" s="635" t="str">
        <f>"&lt;p&gt;
&lt;n effect=2&gt;  击杀："&amp;U1241&amp;"个"&amp;G1241&amp;"至"&amp;H1241&amp;"级的怪物&lt;/n&gt;
 &lt;n effect=2&gt;  推荐：&lt;/n&gt;
&lt;n&gt; &lt;/n&gt;&lt;goto quick=1 id=10007 mapid=2 flagpoint=""1"" taskid="""&amp;A1241&amp;"""/&gt;&lt;/p&gt;"</f>
        <v>&lt;p&gt;
&lt;n effect=2&gt;  击杀：20个36至40级的怪物&lt;/n&gt;
 &lt;n effect=2&gt;  推荐：&lt;/n&gt;
&lt;n&gt; &lt;/n&gt;&lt;goto quick=1 id=10007 mapid=2 flagpoint="1" taskid="21104"/&gt;&lt;/p&gt;</v>
      </c>
      <c r="AN1241" s="635" t="s">
        <v>8714</v>
      </c>
      <c r="AO1241" s="629"/>
      <c r="AP1241" s="629">
        <v>1</v>
      </c>
      <c r="AQ1241" s="629">
        <v>0</v>
      </c>
      <c r="AR1241" s="629">
        <v>1</v>
      </c>
      <c r="AS1241" s="629">
        <v>0</v>
      </c>
      <c r="AT1241" s="629">
        <v>0</v>
      </c>
      <c r="AU1241" s="226">
        <v>0</v>
      </c>
      <c r="AV1241" s="17">
        <f t="shared" si="164"/>
        <v>0</v>
      </c>
      <c r="AW1241" s="629" t="str">
        <f>"{s_taskKillNpcLevel,{"&amp;L1241&amp;","&amp;N1241&amp;","&amp;G1241&amp;","&amp;H1241&amp;","&amp;U1241&amp;"}}"</f>
        <v>{s_taskKillNpcLevel,{576,0,36,40,20}}</v>
      </c>
    </row>
    <row r="1242" spans="1:49" s="636" customFormat="1" ht="84" x14ac:dyDescent="0.15">
      <c r="A1242" s="628">
        <v>21105</v>
      </c>
      <c r="B1242" s="629"/>
      <c r="C1242" s="629" t="s">
        <v>6345</v>
      </c>
      <c r="D1242" s="629">
        <v>4</v>
      </c>
      <c r="E1242" s="629">
        <v>0</v>
      </c>
      <c r="F1242" s="629">
        <v>2</v>
      </c>
      <c r="G1242" s="630">
        <v>41</v>
      </c>
      <c r="H1242" s="629">
        <f>G1292+4</f>
        <v>50</v>
      </c>
      <c r="I1242" s="17">
        <v>0</v>
      </c>
      <c r="J1242" s="630">
        <v>0</v>
      </c>
      <c r="K1242" s="629">
        <v>0</v>
      </c>
      <c r="L1242" s="623">
        <v>576</v>
      </c>
      <c r="M1242" s="629" t="s">
        <v>2510</v>
      </c>
      <c r="N1242" s="623">
        <v>0</v>
      </c>
      <c r="O1242" s="629" t="s">
        <v>5237</v>
      </c>
      <c r="P1242" s="629"/>
      <c r="Q1242" s="631"/>
      <c r="R1242" s="631"/>
      <c r="S1242" s="631"/>
      <c r="T1242" s="631"/>
      <c r="U1242" s="629">
        <v>25</v>
      </c>
      <c r="V1242" s="629">
        <v>0</v>
      </c>
      <c r="W1242" s="629">
        <v>0</v>
      </c>
      <c r="X1242" s="623">
        <v>0</v>
      </c>
      <c r="Y1242" s="629"/>
      <c r="Z1242" s="632">
        <v>0</v>
      </c>
      <c r="AA1242" s="629"/>
      <c r="AB1242" s="633"/>
      <c r="AC1242" s="633"/>
      <c r="AD1242" s="629"/>
      <c r="AE1242" s="634"/>
      <c r="AF1242" s="629" t="str">
        <f t="shared" si="168"/>
        <v>title([历练]歼灭I)
body(hotyellow_3(任务进程:)newline()
  如今天下大乱，贼匪横行。击杀25个41至50级的怪物，以匡扶正道。
blankline()
   space()space()space()hot2(任务完成后,千万不要忘记向goto(576,2)汇报哦！))</v>
      </c>
      <c r="AG1242" s="629" t="s">
        <v>2517</v>
      </c>
      <c r="AH1242" s="629" t="s">
        <v>6295</v>
      </c>
      <c r="AI1242" s="629" t="s">
        <v>110</v>
      </c>
      <c r="AJ1242" s="629" t="s">
        <v>7447</v>
      </c>
      <c r="AK1242" s="629" t="s">
        <v>2516</v>
      </c>
      <c r="AL1242" s="630">
        <v>2</v>
      </c>
      <c r="AM1242" s="635" t="str">
        <f>"&lt;p&gt;
&lt;n effect=2&gt;  击杀："&amp;U1242&amp;"个"&amp;G1242&amp;"至"&amp;H1242&amp;"级的怪物&lt;/n&gt;
 &lt;n effect=2&gt;  推荐：&lt;/n&gt;
&lt;n&gt; &lt;/n&gt;&lt;goto quick=1 id=10008 mapid=6 flagpoint=""1"" taskid="""&amp;A1242&amp;"""/&gt;&lt;/p&gt;"</f>
        <v>&lt;p&gt;
&lt;n effect=2&gt;  击杀：25个41至50级的怪物&lt;/n&gt;
 &lt;n effect=2&gt;  推荐：&lt;/n&gt;
&lt;n&gt; &lt;/n&gt;&lt;goto quick=1 id=10008 mapid=6 flagpoint="1" taskid="21105"/&gt;&lt;/p&gt;</v>
      </c>
      <c r="AN1242" s="635" t="s">
        <v>8715</v>
      </c>
      <c r="AO1242" s="629"/>
      <c r="AP1242" s="629">
        <v>1</v>
      </c>
      <c r="AQ1242" s="629">
        <v>0</v>
      </c>
      <c r="AR1242" s="629">
        <v>1</v>
      </c>
      <c r="AS1242" s="629">
        <v>0</v>
      </c>
      <c r="AT1242" s="629">
        <v>0</v>
      </c>
      <c r="AU1242" s="226">
        <v>0</v>
      </c>
      <c r="AV1242" s="17">
        <f t="shared" si="164"/>
        <v>0</v>
      </c>
      <c r="AW1242" s="629" t="str">
        <f>"{s_taskKillNpcLevel,{"&amp;L1242&amp;","&amp;N1242&amp;","&amp;G1242&amp;","&amp;H1242&amp;","&amp;U1242&amp;"}}"</f>
        <v>{s_taskKillNpcLevel,{576,0,41,50,25}}</v>
      </c>
    </row>
    <row r="1243" spans="1:49" s="636" customFormat="1" ht="84" x14ac:dyDescent="0.15">
      <c r="A1243" s="628">
        <v>21106</v>
      </c>
      <c r="B1243" s="629"/>
      <c r="C1243" s="629" t="s">
        <v>6345</v>
      </c>
      <c r="D1243" s="629">
        <v>4</v>
      </c>
      <c r="E1243" s="629">
        <v>0</v>
      </c>
      <c r="F1243" s="629">
        <v>2</v>
      </c>
      <c r="G1243" s="630">
        <v>46</v>
      </c>
      <c r="H1243" s="629">
        <f t="shared" si="167"/>
        <v>50</v>
      </c>
      <c r="I1243" s="17">
        <v>0</v>
      </c>
      <c r="J1243" s="630">
        <v>0</v>
      </c>
      <c r="K1243" s="629">
        <v>0</v>
      </c>
      <c r="L1243" s="623">
        <v>576</v>
      </c>
      <c r="M1243" s="629" t="s">
        <v>2510</v>
      </c>
      <c r="N1243" s="623">
        <v>0</v>
      </c>
      <c r="O1243" s="629" t="s">
        <v>5237</v>
      </c>
      <c r="P1243" s="629"/>
      <c r="Q1243" s="631"/>
      <c r="R1243" s="631"/>
      <c r="S1243" s="631"/>
      <c r="T1243" s="631"/>
      <c r="U1243" s="629">
        <v>30</v>
      </c>
      <c r="V1243" s="629">
        <v>0</v>
      </c>
      <c r="W1243" s="629">
        <v>0</v>
      </c>
      <c r="X1243" s="623">
        <v>0</v>
      </c>
      <c r="Y1243" s="629"/>
      <c r="Z1243" s="632">
        <v>0</v>
      </c>
      <c r="AA1243" s="629"/>
      <c r="AB1243" s="633"/>
      <c r="AC1243" s="633"/>
      <c r="AD1243" s="629"/>
      <c r="AE1243" s="634"/>
      <c r="AF1243" s="629" t="str">
        <f t="shared" si="168"/>
        <v>title([历练]歼灭I)
body(hotyellow_3(任务进程:)newline()
  如今天下大乱，贼匪横行。击杀30个46至50级的怪物，以匡扶正道。
blankline()
   space()space()space()hot2(任务完成后,千万不要忘记向goto(576,2)汇报哦！))</v>
      </c>
      <c r="AG1243" s="629" t="s">
        <v>2517</v>
      </c>
      <c r="AH1243" s="629" t="s">
        <v>6295</v>
      </c>
      <c r="AI1243" s="629" t="s">
        <v>110</v>
      </c>
      <c r="AJ1243" s="629" t="s">
        <v>7447</v>
      </c>
      <c r="AK1243" s="629" t="s">
        <v>2516</v>
      </c>
      <c r="AL1243" s="630">
        <v>2</v>
      </c>
      <c r="AM1243" s="635" t="str">
        <f>"&lt;p&gt;
&lt;n effect=2&gt;  击杀："&amp;U1243&amp;"个"&amp;G1243&amp;"至"&amp;H1243&amp;"级的怪物&lt;/n&gt;
 &lt;n effect=2&gt;  推荐：&lt;/n&gt;
&lt;n&gt; &lt;/n&gt;&lt;goto quick=1 id=10009 mapid=6 flagpoint=""1"" taskid="""&amp;A1243&amp;"""/&gt;&lt;/p&gt;"</f>
        <v>&lt;p&gt;
&lt;n effect=2&gt;  击杀：30个46至50级的怪物&lt;/n&gt;
 &lt;n effect=2&gt;  推荐：&lt;/n&gt;
&lt;n&gt; &lt;/n&gt;&lt;goto quick=1 id=10009 mapid=6 flagpoint="1" taskid="21106"/&gt;&lt;/p&gt;</v>
      </c>
      <c r="AN1243" s="635" t="s">
        <v>8716</v>
      </c>
      <c r="AO1243" s="629"/>
      <c r="AP1243" s="629">
        <v>1</v>
      </c>
      <c r="AQ1243" s="629">
        <v>0</v>
      </c>
      <c r="AR1243" s="629">
        <v>1</v>
      </c>
      <c r="AS1243" s="629">
        <v>0</v>
      </c>
      <c r="AT1243" s="629">
        <v>0</v>
      </c>
      <c r="AU1243" s="226">
        <v>0</v>
      </c>
      <c r="AV1243" s="17">
        <f t="shared" si="164"/>
        <v>0</v>
      </c>
      <c r="AW1243" s="629" t="str">
        <f t="shared" ref="AW1243:AW1269" si="169">"{s_taskKillNpcLevel,{"&amp;L1243&amp;","&amp;N1243&amp;","&amp;G1243&amp;","&amp;H1243&amp;","&amp;U1243&amp;"}}"</f>
        <v>{s_taskKillNpcLevel,{576,0,46,50,30}}</v>
      </c>
    </row>
    <row r="1244" spans="1:49" s="636" customFormat="1" ht="84" x14ac:dyDescent="0.15">
      <c r="A1244" s="628">
        <v>21107</v>
      </c>
      <c r="B1244" s="629"/>
      <c r="C1244" s="629" t="s">
        <v>6345</v>
      </c>
      <c r="D1244" s="629">
        <v>4</v>
      </c>
      <c r="E1244" s="629">
        <v>0</v>
      </c>
      <c r="F1244" s="629">
        <v>2</v>
      </c>
      <c r="G1244" s="630">
        <v>51</v>
      </c>
      <c r="H1244" s="629">
        <f t="shared" si="167"/>
        <v>55</v>
      </c>
      <c r="I1244" s="17">
        <v>0</v>
      </c>
      <c r="J1244" s="630">
        <v>0</v>
      </c>
      <c r="K1244" s="629">
        <v>0</v>
      </c>
      <c r="L1244" s="623">
        <v>576</v>
      </c>
      <c r="M1244" s="629" t="s">
        <v>2510</v>
      </c>
      <c r="N1244" s="623">
        <v>0</v>
      </c>
      <c r="O1244" s="629" t="s">
        <v>5237</v>
      </c>
      <c r="P1244" s="629"/>
      <c r="Q1244" s="631"/>
      <c r="R1244" s="631"/>
      <c r="S1244" s="631"/>
      <c r="T1244" s="631"/>
      <c r="U1244" s="629">
        <v>35</v>
      </c>
      <c r="V1244" s="629">
        <v>0</v>
      </c>
      <c r="W1244" s="629">
        <v>0</v>
      </c>
      <c r="X1244" s="623">
        <v>0</v>
      </c>
      <c r="Y1244" s="629"/>
      <c r="Z1244" s="632">
        <v>0</v>
      </c>
      <c r="AA1244" s="629"/>
      <c r="AB1244" s="633"/>
      <c r="AC1244" s="633"/>
      <c r="AD1244" s="629"/>
      <c r="AE1244" s="634"/>
      <c r="AF1244" s="629" t="str">
        <f t="shared" si="168"/>
        <v>title([历练]歼灭I)
body(hotyellow_3(任务进程:)newline()
  如今天下大乱，贼匪横行。击杀35个51至55级的怪物，以匡扶正道。
blankline()
   space()space()space()hot2(任务完成后,千万不要忘记向goto(576,2)汇报哦！))</v>
      </c>
      <c r="AG1244" s="629" t="s">
        <v>2517</v>
      </c>
      <c r="AH1244" s="629" t="s">
        <v>6295</v>
      </c>
      <c r="AI1244" s="629" t="s">
        <v>110</v>
      </c>
      <c r="AJ1244" s="629" t="s">
        <v>7447</v>
      </c>
      <c r="AK1244" s="629" t="s">
        <v>2516</v>
      </c>
      <c r="AL1244" s="630">
        <v>2</v>
      </c>
      <c r="AM1244" s="635" t="str">
        <f>"&lt;p&gt;
&lt;n effect=2&gt;  击杀："&amp;U1244&amp;"个"&amp;G1244&amp;"至"&amp;H1244&amp;"级的怪物&lt;/n&gt;
 &lt;n effect=2&gt;  推荐：&lt;/n&gt;
&lt;n&gt; &lt;/n&gt;&lt;goto quick=1 id=10012 mapid=4 flagpoint=""1"" taskid="""&amp;A1244&amp;"""/&gt;&lt;/p&gt;"</f>
        <v>&lt;p&gt;
&lt;n effect=2&gt;  击杀：35个51至55级的怪物&lt;/n&gt;
 &lt;n effect=2&gt;  推荐：&lt;/n&gt;
&lt;n&gt; &lt;/n&gt;&lt;goto quick=1 id=10012 mapid=4 flagpoint="1" taskid="21107"/&gt;&lt;/p&gt;</v>
      </c>
      <c r="AN1244" s="635" t="s">
        <v>8718</v>
      </c>
      <c r="AO1244" s="629"/>
      <c r="AP1244" s="629">
        <v>1</v>
      </c>
      <c r="AQ1244" s="629">
        <v>0</v>
      </c>
      <c r="AR1244" s="629">
        <v>1</v>
      </c>
      <c r="AS1244" s="629">
        <v>0</v>
      </c>
      <c r="AT1244" s="629">
        <v>0</v>
      </c>
      <c r="AU1244" s="226">
        <v>0</v>
      </c>
      <c r="AV1244" s="17">
        <f t="shared" si="164"/>
        <v>0</v>
      </c>
      <c r="AW1244" s="629" t="str">
        <f t="shared" si="169"/>
        <v>{s_taskKillNpcLevel,{576,0,51,55,35}}</v>
      </c>
    </row>
    <row r="1245" spans="1:49" s="636" customFormat="1" ht="84" x14ac:dyDescent="0.15">
      <c r="A1245" s="628">
        <v>21108</v>
      </c>
      <c r="B1245" s="629"/>
      <c r="C1245" s="629" t="s">
        <v>6345</v>
      </c>
      <c r="D1245" s="629">
        <v>4</v>
      </c>
      <c r="E1245" s="629">
        <v>0</v>
      </c>
      <c r="F1245" s="629">
        <v>2</v>
      </c>
      <c r="G1245" s="630">
        <v>56</v>
      </c>
      <c r="H1245" s="629">
        <f t="shared" si="167"/>
        <v>60</v>
      </c>
      <c r="I1245" s="17">
        <v>0</v>
      </c>
      <c r="J1245" s="630">
        <v>0</v>
      </c>
      <c r="K1245" s="629">
        <v>0</v>
      </c>
      <c r="L1245" s="623">
        <v>576</v>
      </c>
      <c r="M1245" s="629" t="s">
        <v>2510</v>
      </c>
      <c r="N1245" s="623">
        <v>0</v>
      </c>
      <c r="O1245" s="629" t="s">
        <v>5237</v>
      </c>
      <c r="P1245" s="629"/>
      <c r="Q1245" s="631"/>
      <c r="R1245" s="631"/>
      <c r="S1245" s="631"/>
      <c r="T1245" s="631"/>
      <c r="U1245" s="629">
        <v>40</v>
      </c>
      <c r="V1245" s="629">
        <v>0</v>
      </c>
      <c r="W1245" s="629">
        <v>0</v>
      </c>
      <c r="X1245" s="623">
        <v>0</v>
      </c>
      <c r="Y1245" s="629"/>
      <c r="Z1245" s="632">
        <v>0</v>
      </c>
      <c r="AA1245" s="629"/>
      <c r="AB1245" s="633"/>
      <c r="AC1245" s="633"/>
      <c r="AD1245" s="629"/>
      <c r="AE1245" s="634"/>
      <c r="AF1245" s="629" t="str">
        <f t="shared" si="168"/>
        <v>title([历练]歼灭I)
body(hotyellow_3(任务进程:)newline()
  如今天下大乱，贼匪横行。击杀40个56至60级的怪物，以匡扶正道。
blankline()
   space()space()space()hot2(任务完成后,千万不要忘记向goto(576,2)汇报哦！))</v>
      </c>
      <c r="AG1245" s="629" t="s">
        <v>2517</v>
      </c>
      <c r="AH1245" s="629" t="s">
        <v>6295</v>
      </c>
      <c r="AI1245" s="629" t="s">
        <v>110</v>
      </c>
      <c r="AJ1245" s="629" t="s">
        <v>7447</v>
      </c>
      <c r="AK1245" s="629" t="s">
        <v>2516</v>
      </c>
      <c r="AL1245" s="630">
        <v>2</v>
      </c>
      <c r="AM1245" s="635" t="str">
        <f>"&lt;p&gt;
&lt;n effect=2&gt;  击杀："&amp;U1245&amp;"个"&amp;G1245&amp;"至"&amp;H1245&amp;"级的怪物&lt;/n&gt;
 &lt;n effect=2&gt;  推荐：&lt;/n&gt;
&lt;n&gt; &lt;/n&gt;&lt;goto quick=1 id=10014 mapid=4 flagpoint=""1"" taskid="""&amp;A1245&amp;"""/&gt;&lt;/p&gt;"</f>
        <v>&lt;p&gt;
&lt;n effect=2&gt;  击杀：40个56至60级的怪物&lt;/n&gt;
 &lt;n effect=2&gt;  推荐：&lt;/n&gt;
&lt;n&gt; &lt;/n&gt;&lt;goto quick=1 id=10014 mapid=4 flagpoint="1" taskid="21108"/&gt;&lt;/p&gt;</v>
      </c>
      <c r="AN1245" s="635" t="s">
        <v>8717</v>
      </c>
      <c r="AO1245" s="629"/>
      <c r="AP1245" s="629">
        <v>1</v>
      </c>
      <c r="AQ1245" s="629">
        <v>0</v>
      </c>
      <c r="AR1245" s="629">
        <v>1</v>
      </c>
      <c r="AS1245" s="629">
        <v>0</v>
      </c>
      <c r="AT1245" s="629">
        <v>0</v>
      </c>
      <c r="AU1245" s="226">
        <v>0</v>
      </c>
      <c r="AV1245" s="17">
        <f t="shared" si="164"/>
        <v>0</v>
      </c>
      <c r="AW1245" s="629" t="str">
        <f t="shared" si="169"/>
        <v>{s_taskKillNpcLevel,{576,0,56,60,40}}</v>
      </c>
    </row>
    <row r="1246" spans="1:49" s="636" customFormat="1" ht="84" x14ac:dyDescent="0.15">
      <c r="A1246" s="628">
        <v>21109</v>
      </c>
      <c r="B1246" s="629"/>
      <c r="C1246" s="629" t="s">
        <v>6345</v>
      </c>
      <c r="D1246" s="629">
        <v>4</v>
      </c>
      <c r="E1246" s="629">
        <v>0</v>
      </c>
      <c r="F1246" s="629">
        <v>2</v>
      </c>
      <c r="G1246" s="630">
        <v>61</v>
      </c>
      <c r="H1246" s="629">
        <f t="shared" si="167"/>
        <v>65</v>
      </c>
      <c r="I1246" s="17">
        <v>0</v>
      </c>
      <c r="J1246" s="630">
        <v>0</v>
      </c>
      <c r="K1246" s="629">
        <v>0</v>
      </c>
      <c r="L1246" s="623">
        <v>576</v>
      </c>
      <c r="M1246" s="629" t="s">
        <v>2510</v>
      </c>
      <c r="N1246" s="623">
        <v>0</v>
      </c>
      <c r="O1246" s="629" t="s">
        <v>5237</v>
      </c>
      <c r="P1246" s="629"/>
      <c r="Q1246" s="631"/>
      <c r="R1246" s="631"/>
      <c r="S1246" s="631"/>
      <c r="T1246" s="631"/>
      <c r="U1246" s="629">
        <v>45</v>
      </c>
      <c r="V1246" s="629">
        <v>0</v>
      </c>
      <c r="W1246" s="629">
        <v>0</v>
      </c>
      <c r="X1246" s="623">
        <v>0</v>
      </c>
      <c r="Y1246" s="629"/>
      <c r="Z1246" s="632">
        <v>0</v>
      </c>
      <c r="AA1246" s="629"/>
      <c r="AB1246" s="633"/>
      <c r="AC1246" s="633"/>
      <c r="AD1246" s="629"/>
      <c r="AE1246" s="634"/>
      <c r="AF1246" s="629" t="str">
        <f t="shared" si="168"/>
        <v>title([历练]歼灭I)
body(hotyellow_3(任务进程:)newline()
  如今天下大乱，贼匪横行。击杀45个61至65级的怪物，以匡扶正道。
blankline()
   space()space()space()hot2(任务完成后,千万不要忘记向goto(576,2)汇报哦！))</v>
      </c>
      <c r="AG1246" s="629" t="s">
        <v>2517</v>
      </c>
      <c r="AH1246" s="629" t="s">
        <v>6295</v>
      </c>
      <c r="AI1246" s="629" t="s">
        <v>110</v>
      </c>
      <c r="AJ1246" s="629" t="s">
        <v>7447</v>
      </c>
      <c r="AK1246" s="629" t="s">
        <v>2516</v>
      </c>
      <c r="AL1246" s="630">
        <v>2</v>
      </c>
      <c r="AM1246" s="635" t="str">
        <f>"&lt;p&gt;
&lt;n effect=2&gt;  击杀："&amp;U1246&amp;"个"&amp;G1246&amp;"至"&amp;H1246&amp;"级的怪物&lt;/n&gt;
 &lt;n effect=2&gt;  推荐：&lt;/n&gt;
&lt;n&gt; &lt;/n&gt;&lt;goto quick=1 id=10016 mapid=5 flagpoint=""1"" taskid="""&amp;A1246&amp;"""/&gt;&lt;/p&gt;"</f>
        <v>&lt;p&gt;
&lt;n effect=2&gt;  击杀：45个61至65级的怪物&lt;/n&gt;
 &lt;n effect=2&gt;  推荐：&lt;/n&gt;
&lt;n&gt; &lt;/n&gt;&lt;goto quick=1 id=10016 mapid=5 flagpoint="1" taskid="21109"/&gt;&lt;/p&gt;</v>
      </c>
      <c r="AN1246" s="635" t="s">
        <v>8719</v>
      </c>
      <c r="AO1246" s="629"/>
      <c r="AP1246" s="629">
        <v>1</v>
      </c>
      <c r="AQ1246" s="629">
        <v>0</v>
      </c>
      <c r="AR1246" s="629">
        <v>1</v>
      </c>
      <c r="AS1246" s="629">
        <v>0</v>
      </c>
      <c r="AT1246" s="629">
        <v>0</v>
      </c>
      <c r="AU1246" s="226">
        <v>0</v>
      </c>
      <c r="AV1246" s="17">
        <f t="shared" si="164"/>
        <v>0</v>
      </c>
      <c r="AW1246" s="629" t="str">
        <f t="shared" si="169"/>
        <v>{s_taskKillNpcLevel,{576,0,61,65,45}}</v>
      </c>
    </row>
    <row r="1247" spans="1:49" s="636" customFormat="1" ht="84" x14ac:dyDescent="0.15">
      <c r="A1247" s="628">
        <v>21110</v>
      </c>
      <c r="B1247" s="629"/>
      <c r="C1247" s="629" t="s">
        <v>6345</v>
      </c>
      <c r="D1247" s="629">
        <v>4</v>
      </c>
      <c r="E1247" s="629">
        <v>0</v>
      </c>
      <c r="F1247" s="629">
        <v>2</v>
      </c>
      <c r="G1247" s="630">
        <v>66</v>
      </c>
      <c r="H1247" s="629">
        <f t="shared" si="167"/>
        <v>70</v>
      </c>
      <c r="I1247" s="17">
        <v>0</v>
      </c>
      <c r="J1247" s="630">
        <v>0</v>
      </c>
      <c r="K1247" s="629">
        <v>0</v>
      </c>
      <c r="L1247" s="623">
        <v>576</v>
      </c>
      <c r="M1247" s="629" t="s">
        <v>2510</v>
      </c>
      <c r="N1247" s="623">
        <v>0</v>
      </c>
      <c r="O1247" s="629" t="s">
        <v>5237</v>
      </c>
      <c r="P1247" s="629"/>
      <c r="Q1247" s="631"/>
      <c r="R1247" s="631"/>
      <c r="S1247" s="631"/>
      <c r="T1247" s="631"/>
      <c r="U1247" s="629">
        <v>50</v>
      </c>
      <c r="V1247" s="629">
        <v>0</v>
      </c>
      <c r="W1247" s="629">
        <v>0</v>
      </c>
      <c r="X1247" s="623">
        <v>0</v>
      </c>
      <c r="Y1247" s="629"/>
      <c r="Z1247" s="632">
        <v>0</v>
      </c>
      <c r="AA1247" s="629"/>
      <c r="AB1247" s="633"/>
      <c r="AC1247" s="633"/>
      <c r="AD1247" s="629"/>
      <c r="AE1247" s="634"/>
      <c r="AF1247" s="629" t="str">
        <f t="shared" si="168"/>
        <v>title([历练]歼灭I)
body(hotyellow_3(任务进程:)newline()
  如今天下大乱，贼匪横行。击杀50个66至70级的怪物，以匡扶正道。
blankline()
   space()space()space()hot2(任务完成后,千万不要忘记向goto(576,2)汇报哦！))</v>
      </c>
      <c r="AG1247" s="629" t="s">
        <v>2517</v>
      </c>
      <c r="AH1247" s="629" t="s">
        <v>6295</v>
      </c>
      <c r="AI1247" s="629" t="s">
        <v>110</v>
      </c>
      <c r="AJ1247" s="629" t="s">
        <v>7447</v>
      </c>
      <c r="AK1247" s="629" t="s">
        <v>2516</v>
      </c>
      <c r="AL1247" s="630">
        <v>2</v>
      </c>
      <c r="AM1247" s="635" t="str">
        <f>"&lt;p&gt;
&lt;n effect=2&gt;  击杀："&amp;U1247&amp;"个"&amp;G1247&amp;"至"&amp;H1247&amp;"级的怪物&lt;/n&gt;
 &lt;n effect=2&gt;  推荐：&lt;/n&gt;
&lt;n&gt; &lt;/n&gt;&lt;goto quick=1 id=10027 mapid=5 flagpoint=""1"" taskid="""&amp;A1247&amp;"""/&gt;&lt;/p&gt;"</f>
        <v>&lt;p&gt;
&lt;n effect=2&gt;  击杀：50个66至70级的怪物&lt;/n&gt;
 &lt;n effect=2&gt;  推荐：&lt;/n&gt;
&lt;n&gt; &lt;/n&gt;&lt;goto quick=1 id=10027 mapid=5 flagpoint="1" taskid="21110"/&gt;&lt;/p&gt;</v>
      </c>
      <c r="AN1247" s="635" t="s">
        <v>8720</v>
      </c>
      <c r="AO1247" s="629"/>
      <c r="AP1247" s="629">
        <v>1</v>
      </c>
      <c r="AQ1247" s="629">
        <v>0</v>
      </c>
      <c r="AR1247" s="629">
        <v>1</v>
      </c>
      <c r="AS1247" s="629">
        <v>0</v>
      </c>
      <c r="AT1247" s="629">
        <v>0</v>
      </c>
      <c r="AU1247" s="226">
        <v>0</v>
      </c>
      <c r="AV1247" s="17">
        <f t="shared" si="164"/>
        <v>0</v>
      </c>
      <c r="AW1247" s="629" t="str">
        <f t="shared" si="169"/>
        <v>{s_taskKillNpcLevel,{576,0,66,70,50}}</v>
      </c>
    </row>
    <row r="1248" spans="1:49" s="636" customFormat="1" ht="84" x14ac:dyDescent="0.15">
      <c r="A1248" s="628">
        <v>21111</v>
      </c>
      <c r="B1248" s="629"/>
      <c r="C1248" s="629" t="s">
        <v>6345</v>
      </c>
      <c r="D1248" s="629">
        <v>4</v>
      </c>
      <c r="E1248" s="629">
        <v>0</v>
      </c>
      <c r="F1248" s="629">
        <v>2</v>
      </c>
      <c r="G1248" s="630">
        <v>71</v>
      </c>
      <c r="H1248" s="629">
        <f t="shared" si="167"/>
        <v>75</v>
      </c>
      <c r="I1248" s="17">
        <v>0</v>
      </c>
      <c r="J1248" s="630">
        <v>0</v>
      </c>
      <c r="K1248" s="629">
        <v>0</v>
      </c>
      <c r="L1248" s="623">
        <v>576</v>
      </c>
      <c r="M1248" s="629" t="s">
        <v>2510</v>
      </c>
      <c r="N1248" s="623">
        <v>0</v>
      </c>
      <c r="O1248" s="629" t="s">
        <v>5237</v>
      </c>
      <c r="P1248" s="629"/>
      <c r="Q1248" s="631"/>
      <c r="R1248" s="631"/>
      <c r="S1248" s="631"/>
      <c r="T1248" s="631"/>
      <c r="U1248" s="629">
        <v>50</v>
      </c>
      <c r="V1248" s="629">
        <v>0</v>
      </c>
      <c r="W1248" s="629">
        <v>0</v>
      </c>
      <c r="X1248" s="623">
        <v>0</v>
      </c>
      <c r="Y1248" s="629"/>
      <c r="Z1248" s="632">
        <v>0</v>
      </c>
      <c r="AA1248" s="629"/>
      <c r="AB1248" s="633"/>
      <c r="AC1248" s="633"/>
      <c r="AD1248" s="629"/>
      <c r="AE1248" s="634"/>
      <c r="AF1248" s="629" t="str">
        <f t="shared" si="168"/>
        <v>title([历练]歼灭I)
body(hotyellow_3(任务进程:)newline()
  如今天下大乱，贼匪横行。击杀50个71至75级的怪物，以匡扶正道。
blankline()
   space()space()space()hot2(任务完成后,千万不要忘记向goto(576,2)汇报哦！))</v>
      </c>
      <c r="AG1248" s="629" t="s">
        <v>2517</v>
      </c>
      <c r="AH1248" s="629" t="s">
        <v>6295</v>
      </c>
      <c r="AI1248" s="629" t="s">
        <v>110</v>
      </c>
      <c r="AJ1248" s="629" t="s">
        <v>7447</v>
      </c>
      <c r="AK1248" s="629" t="s">
        <v>2516</v>
      </c>
      <c r="AL1248" s="630">
        <v>2</v>
      </c>
      <c r="AM1248" s="635" t="str">
        <f>"&lt;p&gt;
&lt;n effect=2&gt;  击杀："&amp;U1248&amp;"个"&amp;G1248&amp;"至"&amp;H1248&amp;"级的怪物&lt;/n&gt;
 &lt;n effect=2&gt;  推荐：&lt;/n&gt;
&lt;n&gt; &lt;/n&gt;&lt;goto quick=1 id=10029 mapid=3 flagpoint=""1"" taskid="""&amp;A1248&amp;"""/&gt;&lt;/p&gt;"</f>
        <v>&lt;p&gt;
&lt;n effect=2&gt;  击杀：50个71至75级的怪物&lt;/n&gt;
 &lt;n effect=2&gt;  推荐：&lt;/n&gt;
&lt;n&gt; &lt;/n&gt;&lt;goto quick=1 id=10029 mapid=3 flagpoint="1" taskid="21111"/&gt;&lt;/p&gt;</v>
      </c>
      <c r="AN1248" s="635" t="s">
        <v>8721</v>
      </c>
      <c r="AO1248" s="629"/>
      <c r="AP1248" s="629">
        <v>1</v>
      </c>
      <c r="AQ1248" s="629">
        <v>0</v>
      </c>
      <c r="AR1248" s="629">
        <v>1</v>
      </c>
      <c r="AS1248" s="629">
        <v>0</v>
      </c>
      <c r="AT1248" s="629">
        <v>0</v>
      </c>
      <c r="AU1248" s="226">
        <v>0</v>
      </c>
      <c r="AV1248" s="17">
        <f t="shared" si="164"/>
        <v>0</v>
      </c>
      <c r="AW1248" s="629" t="str">
        <f t="shared" si="169"/>
        <v>{s_taskKillNpcLevel,{576,0,71,75,50}}</v>
      </c>
    </row>
    <row r="1249" spans="1:49" s="636" customFormat="1" ht="84" x14ac:dyDescent="0.15">
      <c r="A1249" s="628">
        <v>21112</v>
      </c>
      <c r="B1249" s="629"/>
      <c r="C1249" s="629" t="s">
        <v>6345</v>
      </c>
      <c r="D1249" s="629">
        <v>4</v>
      </c>
      <c r="E1249" s="629">
        <v>0</v>
      </c>
      <c r="F1249" s="629">
        <v>2</v>
      </c>
      <c r="G1249" s="630">
        <v>76</v>
      </c>
      <c r="H1249" s="629">
        <f t="shared" si="167"/>
        <v>80</v>
      </c>
      <c r="I1249" s="17">
        <v>0</v>
      </c>
      <c r="J1249" s="630">
        <v>0</v>
      </c>
      <c r="K1249" s="629">
        <v>0</v>
      </c>
      <c r="L1249" s="623">
        <v>576</v>
      </c>
      <c r="M1249" s="629" t="s">
        <v>2510</v>
      </c>
      <c r="N1249" s="623">
        <v>0</v>
      </c>
      <c r="O1249" s="629" t="s">
        <v>5237</v>
      </c>
      <c r="P1249" s="629"/>
      <c r="Q1249" s="631"/>
      <c r="R1249" s="631"/>
      <c r="S1249" s="631"/>
      <c r="T1249" s="631"/>
      <c r="U1249" s="629">
        <v>50</v>
      </c>
      <c r="V1249" s="629">
        <v>0</v>
      </c>
      <c r="W1249" s="629">
        <v>0</v>
      </c>
      <c r="X1249" s="623">
        <v>0</v>
      </c>
      <c r="Y1249" s="629"/>
      <c r="Z1249" s="632">
        <v>0</v>
      </c>
      <c r="AA1249" s="629"/>
      <c r="AB1249" s="633"/>
      <c r="AC1249" s="633"/>
      <c r="AD1249" s="629"/>
      <c r="AE1249" s="634"/>
      <c r="AF1249" s="629" t="str">
        <f t="shared" si="168"/>
        <v>title([历练]歼灭I)
body(hotyellow_3(任务进程:)newline()
  如今天下大乱，贼匪横行。击杀50个76至80级的怪物，以匡扶正道。
blankline()
   space()space()space()hot2(任务完成后,千万不要忘记向goto(576,2)汇报哦！))</v>
      </c>
      <c r="AG1249" s="629" t="s">
        <v>2517</v>
      </c>
      <c r="AH1249" s="629" t="s">
        <v>6295</v>
      </c>
      <c r="AI1249" s="629" t="s">
        <v>110</v>
      </c>
      <c r="AJ1249" s="629" t="s">
        <v>7447</v>
      </c>
      <c r="AK1249" s="629" t="s">
        <v>2516</v>
      </c>
      <c r="AL1249" s="630">
        <v>2</v>
      </c>
      <c r="AM1249" s="635" t="str">
        <f>"&lt;p&gt;
&lt;n effect=2&gt;  击杀："&amp;U1249&amp;"个"&amp;G1249&amp;"至"&amp;H1249&amp;"级的怪物&lt;/n&gt;
 &lt;n effect=2&gt;  推荐：&lt;/n&gt;
&lt;n&gt; &lt;/n&gt;&lt;goto quick=1 id=10030 mapid=7 flagpoint=""1"" taskid="""&amp;A1249&amp;"""/&gt;&lt;/p&gt;"</f>
        <v>&lt;p&gt;
&lt;n effect=2&gt;  击杀：50个76至80级的怪物&lt;/n&gt;
 &lt;n effect=2&gt;  推荐：&lt;/n&gt;
&lt;n&gt; &lt;/n&gt;&lt;goto quick=1 id=10030 mapid=7 flagpoint="1" taskid="21112"/&gt;&lt;/p&gt;</v>
      </c>
      <c r="AN1249" s="635" t="s">
        <v>8722</v>
      </c>
      <c r="AO1249" s="629"/>
      <c r="AP1249" s="629">
        <v>1</v>
      </c>
      <c r="AQ1249" s="629">
        <v>0</v>
      </c>
      <c r="AR1249" s="629">
        <v>1</v>
      </c>
      <c r="AS1249" s="629">
        <v>0</v>
      </c>
      <c r="AT1249" s="629">
        <v>0</v>
      </c>
      <c r="AU1249" s="226">
        <v>0</v>
      </c>
      <c r="AV1249" s="17">
        <f t="shared" si="164"/>
        <v>0</v>
      </c>
      <c r="AW1249" s="629" t="str">
        <f t="shared" si="169"/>
        <v>{s_taskKillNpcLevel,{576,0,76,80,50}}</v>
      </c>
    </row>
    <row r="1250" spans="1:49" s="636" customFormat="1" ht="84" x14ac:dyDescent="0.15">
      <c r="A1250" s="628">
        <v>21113</v>
      </c>
      <c r="B1250" s="629"/>
      <c r="C1250" s="629" t="s">
        <v>6345</v>
      </c>
      <c r="D1250" s="629">
        <v>4</v>
      </c>
      <c r="E1250" s="629">
        <v>0</v>
      </c>
      <c r="F1250" s="629">
        <v>2</v>
      </c>
      <c r="G1250" s="630">
        <v>81</v>
      </c>
      <c r="H1250" s="629">
        <f t="shared" si="167"/>
        <v>85</v>
      </c>
      <c r="I1250" s="17">
        <v>0</v>
      </c>
      <c r="J1250" s="630">
        <v>0</v>
      </c>
      <c r="K1250" s="629">
        <v>0</v>
      </c>
      <c r="L1250" s="623">
        <v>576</v>
      </c>
      <c r="M1250" s="629" t="s">
        <v>2510</v>
      </c>
      <c r="N1250" s="623">
        <v>0</v>
      </c>
      <c r="O1250" s="629" t="s">
        <v>5237</v>
      </c>
      <c r="P1250" s="629"/>
      <c r="Q1250" s="631"/>
      <c r="R1250" s="631"/>
      <c r="S1250" s="631"/>
      <c r="T1250" s="631"/>
      <c r="U1250" s="629">
        <v>60</v>
      </c>
      <c r="V1250" s="629">
        <v>0</v>
      </c>
      <c r="W1250" s="629">
        <v>0</v>
      </c>
      <c r="X1250" s="623">
        <v>0</v>
      </c>
      <c r="Y1250" s="629"/>
      <c r="Z1250" s="632">
        <v>0</v>
      </c>
      <c r="AA1250" s="629"/>
      <c r="AB1250" s="633"/>
      <c r="AC1250" s="633"/>
      <c r="AD1250" s="629"/>
      <c r="AE1250" s="634"/>
      <c r="AF1250" s="629" t="str">
        <f t="shared" si="168"/>
        <v>title([历练]歼灭I)
body(hotyellow_3(任务进程:)newline()
  如今天下大乱，贼匪横行。击杀60个81至85级的怪物，以匡扶正道。
blankline()
   space()space()space()hot2(任务完成后,千万不要忘记向goto(576,2)汇报哦！))</v>
      </c>
      <c r="AG1250" s="629" t="s">
        <v>2517</v>
      </c>
      <c r="AH1250" s="629" t="s">
        <v>6295</v>
      </c>
      <c r="AI1250" s="629" t="s">
        <v>110</v>
      </c>
      <c r="AJ1250" s="629" t="s">
        <v>7447</v>
      </c>
      <c r="AK1250" s="629" t="s">
        <v>2516</v>
      </c>
      <c r="AL1250" s="630">
        <v>2</v>
      </c>
      <c r="AM1250" s="635" t="str">
        <f>"&lt;p&gt;
&lt;n effect=2&gt;  击杀："&amp;U1250&amp;"个"&amp;G1250&amp;"至"&amp;H1250&amp;"级的怪物&lt;/n&gt;
 &lt;n effect=2&gt;  推荐：&lt;/n&gt;
&lt;n&gt; &lt;/n&gt;&lt;goto quick=1 id=10032 mapid=7 flagpoint=""1"" taskid="""&amp;A1250&amp;"""/&gt;&lt;/p&gt;"</f>
        <v>&lt;p&gt;
&lt;n effect=2&gt;  击杀：60个81至85级的怪物&lt;/n&gt;
 &lt;n effect=2&gt;  推荐：&lt;/n&gt;
&lt;n&gt; &lt;/n&gt;&lt;goto quick=1 id=10032 mapid=7 flagpoint="1" taskid="21113"/&gt;&lt;/p&gt;</v>
      </c>
      <c r="AN1250" s="635" t="s">
        <v>8723</v>
      </c>
      <c r="AO1250" s="629"/>
      <c r="AP1250" s="629">
        <v>1</v>
      </c>
      <c r="AQ1250" s="629">
        <v>0</v>
      </c>
      <c r="AR1250" s="629">
        <v>1</v>
      </c>
      <c r="AS1250" s="629">
        <v>0</v>
      </c>
      <c r="AT1250" s="629">
        <v>0</v>
      </c>
      <c r="AU1250" s="226">
        <v>0</v>
      </c>
      <c r="AV1250" s="17">
        <f t="shared" si="164"/>
        <v>0</v>
      </c>
      <c r="AW1250" s="629" t="str">
        <f t="shared" si="169"/>
        <v>{s_taskKillNpcLevel,{576,0,81,85,60}}</v>
      </c>
    </row>
    <row r="1251" spans="1:49" s="636" customFormat="1" ht="84" x14ac:dyDescent="0.15">
      <c r="A1251" s="628">
        <v>21114</v>
      </c>
      <c r="B1251" s="629"/>
      <c r="C1251" s="629" t="s">
        <v>6345</v>
      </c>
      <c r="D1251" s="629">
        <v>4</v>
      </c>
      <c r="E1251" s="629">
        <v>0</v>
      </c>
      <c r="F1251" s="629">
        <v>2</v>
      </c>
      <c r="G1251" s="630">
        <v>86</v>
      </c>
      <c r="H1251" s="629">
        <f t="shared" si="167"/>
        <v>90</v>
      </c>
      <c r="I1251" s="17">
        <v>0</v>
      </c>
      <c r="J1251" s="630">
        <v>0</v>
      </c>
      <c r="K1251" s="629">
        <v>0</v>
      </c>
      <c r="L1251" s="623">
        <v>576</v>
      </c>
      <c r="M1251" s="629" t="s">
        <v>2510</v>
      </c>
      <c r="N1251" s="623">
        <v>0</v>
      </c>
      <c r="O1251" s="629" t="s">
        <v>5237</v>
      </c>
      <c r="P1251" s="629"/>
      <c r="Q1251" s="631"/>
      <c r="R1251" s="631"/>
      <c r="S1251" s="631"/>
      <c r="T1251" s="631"/>
      <c r="U1251" s="629">
        <v>70</v>
      </c>
      <c r="V1251" s="629">
        <v>0</v>
      </c>
      <c r="W1251" s="629">
        <v>0</v>
      </c>
      <c r="X1251" s="623">
        <v>0</v>
      </c>
      <c r="Y1251" s="629"/>
      <c r="Z1251" s="632">
        <v>0</v>
      </c>
      <c r="AA1251" s="629"/>
      <c r="AB1251" s="633"/>
      <c r="AC1251" s="633"/>
      <c r="AD1251" s="629"/>
      <c r="AE1251" s="634"/>
      <c r="AF1251" s="629" t="str">
        <f t="shared" si="168"/>
        <v>title([历练]歼灭I)
body(hotyellow_3(任务进程:)newline()
  如今天下大乱，贼匪横行。击杀70个86至90级的怪物，以匡扶正道。
blankline()
   space()space()space()hot2(任务完成后,千万不要忘记向goto(576,2)汇报哦！))</v>
      </c>
      <c r="AG1251" s="629" t="s">
        <v>2517</v>
      </c>
      <c r="AH1251" s="629" t="s">
        <v>6295</v>
      </c>
      <c r="AI1251" s="629" t="s">
        <v>110</v>
      </c>
      <c r="AJ1251" s="629" t="s">
        <v>7447</v>
      </c>
      <c r="AK1251" s="629" t="s">
        <v>2516</v>
      </c>
      <c r="AL1251" s="630">
        <v>2</v>
      </c>
      <c r="AM1251" s="635" t="str">
        <f>"&lt;p&gt;
&lt;n effect=2&gt;  击杀："&amp;U1251&amp;"个"&amp;G1251&amp;"至"&amp;H1251&amp;"级的怪物&lt;/n&gt;
 &lt;n effect=2&gt;  推荐：&lt;/n&gt;
&lt;n&gt; &lt;/n&gt;&lt;goto quick=1 id=10034 mapid=7 flagpoint=""1"" taskid="""&amp;A1251&amp;"""/&gt;&lt;/p&gt;"</f>
        <v>&lt;p&gt;
&lt;n effect=2&gt;  击杀：70个86至90级的怪物&lt;/n&gt;
 &lt;n effect=2&gt;  推荐：&lt;/n&gt;
&lt;n&gt; &lt;/n&gt;&lt;goto quick=1 id=10034 mapid=7 flagpoint="1" taskid="21114"/&gt;&lt;/p&gt;</v>
      </c>
      <c r="AN1251" s="635" t="s">
        <v>8724</v>
      </c>
      <c r="AO1251" s="629"/>
      <c r="AP1251" s="629">
        <v>1</v>
      </c>
      <c r="AQ1251" s="629">
        <v>0</v>
      </c>
      <c r="AR1251" s="629">
        <v>1</v>
      </c>
      <c r="AS1251" s="629">
        <v>0</v>
      </c>
      <c r="AT1251" s="629">
        <v>0</v>
      </c>
      <c r="AU1251" s="226">
        <v>0</v>
      </c>
      <c r="AV1251" s="17">
        <f t="shared" si="164"/>
        <v>0</v>
      </c>
      <c r="AW1251" s="629" t="str">
        <f t="shared" si="169"/>
        <v>{s_taskKillNpcLevel,{576,0,86,90,70}}</v>
      </c>
    </row>
    <row r="1252" spans="1:49" s="636" customFormat="1" ht="84" x14ac:dyDescent="0.15">
      <c r="A1252" s="628">
        <v>21115</v>
      </c>
      <c r="B1252" s="629"/>
      <c r="C1252" s="629" t="s">
        <v>6345</v>
      </c>
      <c r="D1252" s="629">
        <v>4</v>
      </c>
      <c r="E1252" s="629">
        <v>0</v>
      </c>
      <c r="F1252" s="629">
        <v>2</v>
      </c>
      <c r="G1252" s="630">
        <v>90</v>
      </c>
      <c r="H1252" s="629">
        <v>95</v>
      </c>
      <c r="I1252" s="17">
        <v>0</v>
      </c>
      <c r="J1252" s="630">
        <v>0</v>
      </c>
      <c r="K1252" s="629">
        <v>0</v>
      </c>
      <c r="L1252" s="623">
        <v>576</v>
      </c>
      <c r="M1252" s="629" t="s">
        <v>2510</v>
      </c>
      <c r="N1252" s="623">
        <v>0</v>
      </c>
      <c r="O1252" s="629" t="s">
        <v>5237</v>
      </c>
      <c r="P1252" s="629"/>
      <c r="Q1252" s="631"/>
      <c r="R1252" s="631"/>
      <c r="S1252" s="631"/>
      <c r="T1252" s="631"/>
      <c r="U1252" s="629">
        <v>80</v>
      </c>
      <c r="V1252" s="629">
        <v>0</v>
      </c>
      <c r="W1252" s="629">
        <v>0</v>
      </c>
      <c r="X1252" s="623">
        <v>0</v>
      </c>
      <c r="Y1252" s="629"/>
      <c r="Z1252" s="632">
        <v>0</v>
      </c>
      <c r="AA1252" s="629"/>
      <c r="AB1252" s="633"/>
      <c r="AC1252" s="633"/>
      <c r="AD1252" s="629"/>
      <c r="AE1252" s="634"/>
      <c r="AF1252" s="629" t="str">
        <f t="shared" si="168"/>
        <v>title([历练]歼灭I)
body(hotyellow_3(任务进程:)newline()
  如今天下大乱，贼匪横行。击杀80个90至95级的怪物，以匡扶正道。
blankline()
   space()space()space()hot2(任务完成后,千万不要忘记向goto(576,2)汇报哦！))</v>
      </c>
      <c r="AG1252" s="629" t="s">
        <v>2517</v>
      </c>
      <c r="AH1252" s="629" t="s">
        <v>6295</v>
      </c>
      <c r="AI1252" s="629" t="s">
        <v>110</v>
      </c>
      <c r="AJ1252" s="629" t="s">
        <v>7447</v>
      </c>
      <c r="AK1252" s="629" t="s">
        <v>2516</v>
      </c>
      <c r="AL1252" s="630">
        <v>2</v>
      </c>
      <c r="AM1252" s="635" t="str">
        <f>"&lt;p&gt;
&lt;n effect=2&gt;  击杀："&amp;U1252&amp;"个"&amp;G1252&amp;"至"&amp;H1252&amp;"级的怪物&lt;/n&gt;
 &lt;n effect=2&gt;  推荐：&lt;/n&gt;
&lt;n&gt; &lt;/n&gt;&lt;goto quick=1 id=10190 mapid=7 flagpoint=""1"" taskid="""&amp;A1252&amp;"""/&gt;&lt;/p&gt;"</f>
        <v>&lt;p&gt;
&lt;n effect=2&gt;  击杀：80个90至95级的怪物&lt;/n&gt;
 &lt;n effect=2&gt;  推荐：&lt;/n&gt;
&lt;n&gt; &lt;/n&gt;&lt;goto quick=1 id=10190 mapid=7 flagpoint="1" taskid="21115"/&gt;&lt;/p&gt;</v>
      </c>
      <c r="AN1252" s="635" t="s">
        <v>8725</v>
      </c>
      <c r="AO1252" s="629"/>
      <c r="AP1252" s="629">
        <v>1</v>
      </c>
      <c r="AQ1252" s="629">
        <v>0</v>
      </c>
      <c r="AR1252" s="629">
        <v>1</v>
      </c>
      <c r="AS1252" s="629">
        <v>0</v>
      </c>
      <c r="AT1252" s="629">
        <v>0</v>
      </c>
      <c r="AU1252" s="226">
        <v>0</v>
      </c>
      <c r="AV1252" s="17">
        <f t="shared" si="164"/>
        <v>0</v>
      </c>
      <c r="AW1252" s="629" t="str">
        <f t="shared" si="169"/>
        <v>{s_taskKillNpcLevel,{576,0,90,95,80}}</v>
      </c>
    </row>
    <row r="1253" spans="1:49" s="636" customFormat="1" ht="84" x14ac:dyDescent="0.15">
      <c r="A1253" s="628">
        <v>21116</v>
      </c>
      <c r="B1253" s="629"/>
      <c r="C1253" s="629" t="s">
        <v>6345</v>
      </c>
      <c r="D1253" s="629">
        <v>4</v>
      </c>
      <c r="E1253" s="629">
        <v>0</v>
      </c>
      <c r="F1253" s="629">
        <v>2</v>
      </c>
      <c r="G1253" s="630">
        <v>96</v>
      </c>
      <c r="H1253" s="629">
        <v>200</v>
      </c>
      <c r="I1253" s="17">
        <v>0</v>
      </c>
      <c r="J1253" s="630">
        <v>0</v>
      </c>
      <c r="K1253" s="629">
        <v>0</v>
      </c>
      <c r="L1253" s="623">
        <v>576</v>
      </c>
      <c r="M1253" s="629" t="s">
        <v>2510</v>
      </c>
      <c r="N1253" s="623">
        <v>0</v>
      </c>
      <c r="O1253" s="629" t="s">
        <v>5237</v>
      </c>
      <c r="P1253" s="629"/>
      <c r="Q1253" s="631"/>
      <c r="R1253" s="631"/>
      <c r="S1253" s="631"/>
      <c r="T1253" s="631"/>
      <c r="U1253" s="629">
        <v>90</v>
      </c>
      <c r="V1253" s="629">
        <v>0</v>
      </c>
      <c r="W1253" s="629">
        <v>0</v>
      </c>
      <c r="X1253" s="623">
        <v>0</v>
      </c>
      <c r="Y1253" s="629"/>
      <c r="Z1253" s="632">
        <v>0</v>
      </c>
      <c r="AA1253" s="629"/>
      <c r="AB1253" s="633"/>
      <c r="AC1253" s="633"/>
      <c r="AD1253" s="629"/>
      <c r="AE1253" s="634"/>
      <c r="AF1253" s="629" t="str">
        <f t="shared" si="168"/>
        <v>title([历练]歼灭I)
body(hotyellow_3(任务进程:)newline()
  如今天下大乱，贼匪横行。击杀90个96至200级的怪物，以匡扶正道。
blankline()
   space()space()space()hot2(任务完成后,千万不要忘记向goto(576,2)汇报哦！))</v>
      </c>
      <c r="AG1253" s="629" t="s">
        <v>2517</v>
      </c>
      <c r="AH1253" s="629" t="s">
        <v>6295</v>
      </c>
      <c r="AI1253" s="629" t="s">
        <v>110</v>
      </c>
      <c r="AJ1253" s="629" t="s">
        <v>7447</v>
      </c>
      <c r="AK1253" s="629" t="s">
        <v>2516</v>
      </c>
      <c r="AL1253" s="630">
        <v>2</v>
      </c>
      <c r="AM1253" s="635" t="str">
        <f>"&lt;p&gt;
&lt;n effect=2&gt;  击杀："&amp;U1253&amp;"个"&amp;G1253&amp;"至"&amp;H1253&amp;"级的怪物&lt;/n&gt;
 &lt;n effect=2&gt;  推荐：&lt;/n&gt;
&lt;n&gt; &lt;/n&gt;&lt;goto quick=1 id=10192 mapid=7 flagpoint=""1"" taskid="""&amp;A1253&amp;"""/&gt;&lt;/p&gt;"</f>
        <v>&lt;p&gt;
&lt;n effect=2&gt;  击杀：90个96至200级的怪物&lt;/n&gt;
 &lt;n effect=2&gt;  推荐：&lt;/n&gt;
&lt;n&gt; &lt;/n&gt;&lt;goto quick=1 id=10192 mapid=7 flagpoint="1" taskid="21116"/&gt;&lt;/p&gt;</v>
      </c>
      <c r="AN1253" s="635" t="s">
        <v>8726</v>
      </c>
      <c r="AO1253" s="629"/>
      <c r="AP1253" s="629">
        <v>1</v>
      </c>
      <c r="AQ1253" s="629">
        <v>0</v>
      </c>
      <c r="AR1253" s="629">
        <v>1</v>
      </c>
      <c r="AS1253" s="629">
        <v>0</v>
      </c>
      <c r="AT1253" s="629">
        <v>0</v>
      </c>
      <c r="AU1253" s="226">
        <v>0</v>
      </c>
      <c r="AV1253" s="17">
        <f t="shared" si="164"/>
        <v>0</v>
      </c>
      <c r="AW1253" s="629" t="str">
        <f t="shared" si="169"/>
        <v>{s_taskKillNpcLevel,{576,0,96,200,90}}</v>
      </c>
    </row>
    <row r="1254" spans="1:49" s="283" customFormat="1" ht="84" x14ac:dyDescent="0.15">
      <c r="A1254" s="240">
        <v>21201</v>
      </c>
      <c r="B1254" s="226"/>
      <c r="C1254" s="226" t="s">
        <v>6346</v>
      </c>
      <c r="D1254" s="226">
        <v>4</v>
      </c>
      <c r="E1254" s="226">
        <v>0</v>
      </c>
      <c r="F1254" s="629">
        <v>2</v>
      </c>
      <c r="G1254" s="234">
        <v>21</v>
      </c>
      <c r="H1254" s="226">
        <f>G1254+4</f>
        <v>25</v>
      </c>
      <c r="I1254" s="17">
        <v>0</v>
      </c>
      <c r="J1254" s="234">
        <v>0</v>
      </c>
      <c r="K1254" s="226">
        <v>0</v>
      </c>
      <c r="L1254" s="623">
        <v>576</v>
      </c>
      <c r="M1254" s="226" t="s">
        <v>2510</v>
      </c>
      <c r="N1254" s="623">
        <v>0</v>
      </c>
      <c r="O1254" s="226" t="s">
        <v>5237</v>
      </c>
      <c r="P1254" s="226">
        <v>4</v>
      </c>
      <c r="Q1254" s="228"/>
      <c r="R1254" s="228"/>
      <c r="S1254" s="228"/>
      <c r="T1254" s="228"/>
      <c r="U1254" s="226">
        <v>15</v>
      </c>
      <c r="V1254" s="226">
        <v>0</v>
      </c>
      <c r="W1254" s="226">
        <v>0</v>
      </c>
      <c r="X1254" s="623">
        <v>0</v>
      </c>
      <c r="Y1254" s="226"/>
      <c r="Z1254" s="230">
        <v>0</v>
      </c>
      <c r="AA1254" s="226"/>
      <c r="AB1254" s="231"/>
      <c r="AC1254" s="231"/>
      <c r="AD1254" s="226"/>
      <c r="AE1254" s="235"/>
      <c r="AF1254" s="629" t="str">
        <f t="shared" si="168"/>
        <v>title([历练]歼灭II)
body(hotyellow_3(任务进程:)newline()
  如今天下大乱，贼匪横行。击杀15个21至25级的怪物，以匡扶正道。
blankline()
   space()space()space()hot2(任务完成后,千万不要忘记向goto(576,2)汇报哦！))</v>
      </c>
      <c r="AG1254" s="226" t="s">
        <v>2517</v>
      </c>
      <c r="AH1254" s="629" t="s">
        <v>6295</v>
      </c>
      <c r="AI1254" s="226" t="s">
        <v>110</v>
      </c>
      <c r="AJ1254" s="226" t="s">
        <v>7447</v>
      </c>
      <c r="AK1254" s="226" t="s">
        <v>2516</v>
      </c>
      <c r="AL1254" s="234">
        <v>2</v>
      </c>
      <c r="AM1254" s="635" t="str">
        <f>"&lt;p&gt;
&lt;n effect=2&gt;  击杀："&amp;U1254&amp;"个"&amp;G1254&amp;"至"&amp;H1254&amp;"级的怪物&lt;/n&gt;
 &lt;n effect=2&gt;  推荐：&lt;/n&gt;
&lt;n&gt; &lt;/n&gt;&lt;goto quick=1 id=10001 mapid=2 flagpoint=""1"" taskid="""&amp;A1254&amp;"""/&gt;&lt;/p&gt;"</f>
        <v>&lt;p&gt;
&lt;n effect=2&gt;  击杀：15个21至25级的怪物&lt;/n&gt;
 &lt;n effect=2&gt;  推荐：&lt;/n&gt;
&lt;n&gt; &lt;/n&gt;&lt;goto quick=1 id=10001 mapid=2 flagpoint="1" taskid="21201"/&gt;&lt;/p&gt;</v>
      </c>
      <c r="AN1254" s="635" t="s">
        <v>8727</v>
      </c>
      <c r="AO1254" s="226"/>
      <c r="AP1254" s="226">
        <v>1</v>
      </c>
      <c r="AQ1254" s="226">
        <v>0</v>
      </c>
      <c r="AR1254" s="629">
        <v>1</v>
      </c>
      <c r="AS1254" s="226">
        <v>0</v>
      </c>
      <c r="AT1254" s="226">
        <v>0</v>
      </c>
      <c r="AU1254" s="226">
        <v>0</v>
      </c>
      <c r="AV1254" s="17">
        <f t="shared" si="164"/>
        <v>0</v>
      </c>
      <c r="AW1254" s="629" t="str">
        <f t="shared" si="169"/>
        <v>{s_taskKillNpcLevel,{576,0,21,25,15}}</v>
      </c>
    </row>
    <row r="1255" spans="1:49" s="283" customFormat="1" ht="84" x14ac:dyDescent="0.15">
      <c r="A1255" s="240">
        <v>21202</v>
      </c>
      <c r="B1255" s="226"/>
      <c r="C1255" s="226" t="s">
        <v>6346</v>
      </c>
      <c r="D1255" s="226">
        <v>4</v>
      </c>
      <c r="E1255" s="226">
        <v>0</v>
      </c>
      <c r="F1255" s="629">
        <v>2</v>
      </c>
      <c r="G1255" s="234">
        <v>26</v>
      </c>
      <c r="H1255" s="226">
        <f t="shared" si="167"/>
        <v>30</v>
      </c>
      <c r="I1255" s="17">
        <v>0</v>
      </c>
      <c r="J1255" s="234">
        <v>0</v>
      </c>
      <c r="K1255" s="226">
        <v>0</v>
      </c>
      <c r="L1255" s="623">
        <v>576</v>
      </c>
      <c r="M1255" s="226" t="s">
        <v>2510</v>
      </c>
      <c r="N1255" s="623">
        <v>0</v>
      </c>
      <c r="O1255" s="226" t="s">
        <v>5237</v>
      </c>
      <c r="P1255" s="226">
        <v>4</v>
      </c>
      <c r="Q1255" s="228"/>
      <c r="R1255" s="228"/>
      <c r="S1255" s="228"/>
      <c r="T1255" s="228"/>
      <c r="U1255" s="226">
        <v>20</v>
      </c>
      <c r="V1255" s="226">
        <v>0</v>
      </c>
      <c r="W1255" s="226">
        <v>0</v>
      </c>
      <c r="X1255" s="623">
        <v>0</v>
      </c>
      <c r="Y1255" s="226"/>
      <c r="Z1255" s="230">
        <v>0</v>
      </c>
      <c r="AA1255" s="226"/>
      <c r="AB1255" s="231"/>
      <c r="AC1255" s="231"/>
      <c r="AD1255" s="226"/>
      <c r="AE1255" s="235"/>
      <c r="AF1255" s="629" t="str">
        <f t="shared" si="168"/>
        <v>title([历练]歼灭II)
body(hotyellow_3(任务进程:)newline()
  如今天下大乱，贼匪横行。击杀20个26至30级的怪物，以匡扶正道。
blankline()
   space()space()space()hot2(任务完成后,千万不要忘记向goto(576,2)汇报哦！))</v>
      </c>
      <c r="AG1255" s="226" t="s">
        <v>2517</v>
      </c>
      <c r="AH1255" s="629" t="s">
        <v>6295</v>
      </c>
      <c r="AI1255" s="226" t="s">
        <v>110</v>
      </c>
      <c r="AJ1255" s="226" t="s">
        <v>7447</v>
      </c>
      <c r="AK1255" s="226" t="s">
        <v>2516</v>
      </c>
      <c r="AL1255" s="234">
        <v>2</v>
      </c>
      <c r="AM1255" s="635" t="str">
        <f>"&lt;p&gt;
&lt;n effect=2&gt;  击杀："&amp;U1255&amp;"个"&amp;G1255&amp;"至"&amp;H1255&amp;"级的怪物&lt;/n&gt;
 &lt;n effect=2&gt;  推荐：&lt;/n&gt;
&lt;n&gt; &lt;/n&gt;&lt;goto quick=1 id=10002 mapid=2 flagpoint=""1"" taskid="""&amp;A1255&amp;"""/&gt;&lt;/p&gt;"</f>
        <v>&lt;p&gt;
&lt;n effect=2&gt;  击杀：20个26至30级的怪物&lt;/n&gt;
 &lt;n effect=2&gt;  推荐：&lt;/n&gt;
&lt;n&gt; &lt;/n&gt;&lt;goto quick=1 id=10002 mapid=2 flagpoint="1" taskid="21202"/&gt;&lt;/p&gt;</v>
      </c>
      <c r="AN1255" s="635" t="s">
        <v>8728</v>
      </c>
      <c r="AO1255" s="226"/>
      <c r="AP1255" s="226">
        <v>1</v>
      </c>
      <c r="AQ1255" s="226">
        <v>0</v>
      </c>
      <c r="AR1255" s="629">
        <v>1</v>
      </c>
      <c r="AS1255" s="226">
        <v>0</v>
      </c>
      <c r="AT1255" s="226">
        <v>0</v>
      </c>
      <c r="AU1255" s="226">
        <v>0</v>
      </c>
      <c r="AV1255" s="17">
        <f t="shared" si="164"/>
        <v>0</v>
      </c>
      <c r="AW1255" s="629" t="str">
        <f t="shared" si="169"/>
        <v>{s_taskKillNpcLevel,{576,0,26,30,20}}</v>
      </c>
    </row>
    <row r="1256" spans="1:49" s="283" customFormat="1" ht="84" x14ac:dyDescent="0.15">
      <c r="A1256" s="240">
        <v>21203</v>
      </c>
      <c r="B1256" s="226"/>
      <c r="C1256" s="226" t="s">
        <v>6346</v>
      </c>
      <c r="D1256" s="226">
        <v>4</v>
      </c>
      <c r="E1256" s="226">
        <v>0</v>
      </c>
      <c r="F1256" s="629">
        <v>2</v>
      </c>
      <c r="G1256" s="234">
        <v>31</v>
      </c>
      <c r="H1256" s="226">
        <f t="shared" si="167"/>
        <v>35</v>
      </c>
      <c r="I1256" s="17">
        <v>0</v>
      </c>
      <c r="J1256" s="234">
        <v>0</v>
      </c>
      <c r="K1256" s="226">
        <v>0</v>
      </c>
      <c r="L1256" s="623">
        <v>576</v>
      </c>
      <c r="M1256" s="226" t="s">
        <v>2510</v>
      </c>
      <c r="N1256" s="623">
        <v>0</v>
      </c>
      <c r="O1256" s="226" t="s">
        <v>5237</v>
      </c>
      <c r="P1256" s="226">
        <v>4</v>
      </c>
      <c r="Q1256" s="228"/>
      <c r="R1256" s="228"/>
      <c r="S1256" s="228"/>
      <c r="T1256" s="228"/>
      <c r="U1256" s="226">
        <v>25</v>
      </c>
      <c r="V1256" s="226">
        <v>0</v>
      </c>
      <c r="W1256" s="226">
        <v>0</v>
      </c>
      <c r="X1256" s="623">
        <v>0</v>
      </c>
      <c r="Y1256" s="226"/>
      <c r="Z1256" s="230">
        <v>0</v>
      </c>
      <c r="AA1256" s="226"/>
      <c r="AB1256" s="231"/>
      <c r="AC1256" s="231"/>
      <c r="AD1256" s="226"/>
      <c r="AE1256" s="235"/>
      <c r="AF1256" s="629" t="str">
        <f t="shared" si="168"/>
        <v>title([历练]歼灭II)
body(hotyellow_3(任务进程:)newline()
  如今天下大乱，贼匪横行。击杀25个31至35级的怪物，以匡扶正道。
blankline()
   space()space()space()hot2(任务完成后,千万不要忘记向goto(576,2)汇报哦！))</v>
      </c>
      <c r="AG1256" s="226" t="s">
        <v>2517</v>
      </c>
      <c r="AH1256" s="629" t="s">
        <v>6295</v>
      </c>
      <c r="AI1256" s="226" t="s">
        <v>110</v>
      </c>
      <c r="AJ1256" s="226" t="s">
        <v>7447</v>
      </c>
      <c r="AK1256" s="226" t="s">
        <v>2516</v>
      </c>
      <c r="AL1256" s="234">
        <v>2</v>
      </c>
      <c r="AM1256" s="635" t="str">
        <f>"&lt;p&gt;
&lt;n effect=2&gt;  击杀："&amp;U1256&amp;"个"&amp;G1256&amp;"至"&amp;H1256&amp;"级的怪物&lt;/n&gt;
 &lt;n effect=2&gt;  推荐：&lt;/n&gt;
&lt;n&gt; &lt;/n&gt;&lt;goto quick=1 id=10005 mapid=2 flagpoint=""1"" taskid="""&amp;A1256&amp;"""/&gt;&lt;/p&gt;"</f>
        <v>&lt;p&gt;
&lt;n effect=2&gt;  击杀：25个31至35级的怪物&lt;/n&gt;
 &lt;n effect=2&gt;  推荐：&lt;/n&gt;
&lt;n&gt; &lt;/n&gt;&lt;goto quick=1 id=10005 mapid=2 flagpoint="1" taskid="21203"/&gt;&lt;/p&gt;</v>
      </c>
      <c r="AN1256" s="635" t="s">
        <v>8729</v>
      </c>
      <c r="AO1256" s="226"/>
      <c r="AP1256" s="226">
        <v>1</v>
      </c>
      <c r="AQ1256" s="226">
        <v>0</v>
      </c>
      <c r="AR1256" s="629">
        <v>1</v>
      </c>
      <c r="AS1256" s="226">
        <v>0</v>
      </c>
      <c r="AT1256" s="226">
        <v>0</v>
      </c>
      <c r="AU1256" s="226">
        <v>0</v>
      </c>
      <c r="AV1256" s="17">
        <f t="shared" si="164"/>
        <v>0</v>
      </c>
      <c r="AW1256" s="629" t="str">
        <f t="shared" si="169"/>
        <v>{s_taskKillNpcLevel,{576,0,31,35,25}}</v>
      </c>
    </row>
    <row r="1257" spans="1:49" s="283" customFormat="1" ht="84" x14ac:dyDescent="0.15">
      <c r="A1257" s="240">
        <v>21204</v>
      </c>
      <c r="B1257" s="226"/>
      <c r="C1257" s="226" t="s">
        <v>6346</v>
      </c>
      <c r="D1257" s="226">
        <v>4</v>
      </c>
      <c r="E1257" s="226">
        <v>0</v>
      </c>
      <c r="F1257" s="629">
        <v>2</v>
      </c>
      <c r="G1257" s="234">
        <v>36</v>
      </c>
      <c r="H1257" s="226">
        <f t="shared" si="167"/>
        <v>40</v>
      </c>
      <c r="I1257" s="17">
        <v>0</v>
      </c>
      <c r="J1257" s="234">
        <v>0</v>
      </c>
      <c r="K1257" s="226">
        <v>0</v>
      </c>
      <c r="L1257" s="623">
        <v>576</v>
      </c>
      <c r="M1257" s="226" t="s">
        <v>2510</v>
      </c>
      <c r="N1257" s="623">
        <v>0</v>
      </c>
      <c r="O1257" s="226" t="s">
        <v>5237</v>
      </c>
      <c r="P1257" s="226">
        <v>4</v>
      </c>
      <c r="Q1257" s="228"/>
      <c r="R1257" s="228"/>
      <c r="S1257" s="228"/>
      <c r="T1257" s="228"/>
      <c r="U1257" s="226">
        <v>25</v>
      </c>
      <c r="V1257" s="226">
        <v>0</v>
      </c>
      <c r="W1257" s="226">
        <v>0</v>
      </c>
      <c r="X1257" s="623">
        <v>0</v>
      </c>
      <c r="Y1257" s="226"/>
      <c r="Z1257" s="230">
        <v>0</v>
      </c>
      <c r="AA1257" s="226"/>
      <c r="AB1257" s="231"/>
      <c r="AC1257" s="231"/>
      <c r="AD1257" s="226"/>
      <c r="AE1257" s="235"/>
      <c r="AF1257" s="629" t="str">
        <f t="shared" si="168"/>
        <v>title([历练]歼灭II)
body(hotyellow_3(任务进程:)newline()
  如今天下大乱，贼匪横行。击杀25个36至40级的怪物，以匡扶正道。
blankline()
   space()space()space()hot2(任务完成后,千万不要忘记向goto(576,2)汇报哦！))</v>
      </c>
      <c r="AG1257" s="226" t="s">
        <v>2517</v>
      </c>
      <c r="AH1257" s="629" t="s">
        <v>6295</v>
      </c>
      <c r="AI1257" s="226" t="s">
        <v>110</v>
      </c>
      <c r="AJ1257" s="226" t="s">
        <v>7447</v>
      </c>
      <c r="AK1257" s="226" t="s">
        <v>2516</v>
      </c>
      <c r="AL1257" s="234">
        <v>2</v>
      </c>
      <c r="AM1257" s="635" t="str">
        <f>"&lt;p&gt;
&lt;n effect=2&gt;  击杀："&amp;U1257&amp;"个"&amp;G1257&amp;"至"&amp;H1257&amp;"级的怪物&lt;/n&gt;
 &lt;n effect=2&gt;  推荐：&lt;/n&gt;
&lt;n&gt; &lt;/n&gt;&lt;goto quick=1 id=10006 mapid=2 flagpoint=""1"" taskid="""&amp;A1257&amp;"""/&gt;&lt;/p&gt;"</f>
        <v>&lt;p&gt;
&lt;n effect=2&gt;  击杀：25个36至40级的怪物&lt;/n&gt;
 &lt;n effect=2&gt;  推荐：&lt;/n&gt;
&lt;n&gt; &lt;/n&gt;&lt;goto quick=1 id=10006 mapid=2 flagpoint="1" taskid="21204"/&gt;&lt;/p&gt;</v>
      </c>
      <c r="AN1257" s="635" t="s">
        <v>8730</v>
      </c>
      <c r="AO1257" s="226"/>
      <c r="AP1257" s="226">
        <v>1</v>
      </c>
      <c r="AQ1257" s="226">
        <v>0</v>
      </c>
      <c r="AR1257" s="629">
        <v>1</v>
      </c>
      <c r="AS1257" s="226">
        <v>0</v>
      </c>
      <c r="AT1257" s="226">
        <v>0</v>
      </c>
      <c r="AU1257" s="226">
        <v>0</v>
      </c>
      <c r="AV1257" s="17">
        <f t="shared" si="164"/>
        <v>0</v>
      </c>
      <c r="AW1257" s="629" t="str">
        <f t="shared" si="169"/>
        <v>{s_taskKillNpcLevel,{576,0,36,40,25}}</v>
      </c>
    </row>
    <row r="1258" spans="1:49" s="283" customFormat="1" ht="84" x14ac:dyDescent="0.15">
      <c r="A1258" s="240">
        <v>21205</v>
      </c>
      <c r="B1258" s="226"/>
      <c r="C1258" s="226" t="s">
        <v>6346</v>
      </c>
      <c r="D1258" s="226">
        <v>4</v>
      </c>
      <c r="E1258" s="226">
        <v>0</v>
      </c>
      <c r="F1258" s="629">
        <v>2</v>
      </c>
      <c r="G1258" s="234">
        <v>41</v>
      </c>
      <c r="H1258" s="226">
        <f t="shared" si="167"/>
        <v>45</v>
      </c>
      <c r="I1258" s="17">
        <v>0</v>
      </c>
      <c r="J1258" s="234">
        <v>0</v>
      </c>
      <c r="K1258" s="226">
        <v>0</v>
      </c>
      <c r="L1258" s="623">
        <v>576</v>
      </c>
      <c r="M1258" s="226" t="s">
        <v>2510</v>
      </c>
      <c r="N1258" s="623">
        <v>0</v>
      </c>
      <c r="O1258" s="226" t="s">
        <v>5237</v>
      </c>
      <c r="P1258" s="226">
        <v>4</v>
      </c>
      <c r="Q1258" s="228"/>
      <c r="R1258" s="228"/>
      <c r="S1258" s="228"/>
      <c r="T1258" s="228"/>
      <c r="U1258" s="226">
        <v>30</v>
      </c>
      <c r="V1258" s="226">
        <v>0</v>
      </c>
      <c r="W1258" s="226">
        <v>0</v>
      </c>
      <c r="X1258" s="623">
        <v>0</v>
      </c>
      <c r="Y1258" s="226"/>
      <c r="Z1258" s="230">
        <v>0</v>
      </c>
      <c r="AA1258" s="226"/>
      <c r="AB1258" s="231"/>
      <c r="AC1258" s="231"/>
      <c r="AD1258" s="226"/>
      <c r="AE1258" s="235"/>
      <c r="AF1258" s="629" t="str">
        <f t="shared" si="168"/>
        <v>title([历练]歼灭II)
body(hotyellow_3(任务进程:)newline()
  如今天下大乱，贼匪横行。击杀30个41至45级的怪物，以匡扶正道。
blankline()
   space()space()space()hot2(任务完成后,千万不要忘记向goto(576,2)汇报哦！))</v>
      </c>
      <c r="AG1258" s="226" t="s">
        <v>2517</v>
      </c>
      <c r="AH1258" s="629" t="s">
        <v>6295</v>
      </c>
      <c r="AI1258" s="226" t="s">
        <v>110</v>
      </c>
      <c r="AJ1258" s="226" t="s">
        <v>7447</v>
      </c>
      <c r="AK1258" s="226" t="s">
        <v>2516</v>
      </c>
      <c r="AL1258" s="234">
        <v>2</v>
      </c>
      <c r="AM1258" s="635" t="str">
        <f>"&lt;p&gt;
&lt;n effect=2&gt;  击杀："&amp;U1258&amp;"个"&amp;G1258&amp;"至"&amp;H1258&amp;"级的怪物&lt;/n&gt;
 &lt;n effect=2&gt;  推荐：&lt;/n&gt;
&lt;n&gt; &lt;/n&gt;&lt;goto quick=1 id=10132 mapid=6 flagpoint=""1"" taskid="""&amp;A1258&amp;"""/&gt;&lt;/p&gt;"</f>
        <v>&lt;p&gt;
&lt;n effect=2&gt;  击杀：30个41至45级的怪物&lt;/n&gt;
 &lt;n effect=2&gt;  推荐：&lt;/n&gt;
&lt;n&gt; &lt;/n&gt;&lt;goto quick=1 id=10132 mapid=6 flagpoint="1" taskid="21205"/&gt;&lt;/p&gt;</v>
      </c>
      <c r="AN1258" s="635" t="s">
        <v>8731</v>
      </c>
      <c r="AO1258" s="226"/>
      <c r="AP1258" s="226">
        <v>1</v>
      </c>
      <c r="AQ1258" s="226">
        <v>0</v>
      </c>
      <c r="AR1258" s="629">
        <v>1</v>
      </c>
      <c r="AS1258" s="226">
        <v>0</v>
      </c>
      <c r="AT1258" s="226">
        <v>0</v>
      </c>
      <c r="AU1258" s="226">
        <v>0</v>
      </c>
      <c r="AV1258" s="17">
        <f t="shared" si="164"/>
        <v>0</v>
      </c>
      <c r="AW1258" s="629" t="str">
        <f t="shared" si="169"/>
        <v>{s_taskKillNpcLevel,{576,0,41,45,30}}</v>
      </c>
    </row>
    <row r="1259" spans="1:49" s="283" customFormat="1" ht="84" x14ac:dyDescent="0.15">
      <c r="A1259" s="240">
        <v>21206</v>
      </c>
      <c r="B1259" s="226"/>
      <c r="C1259" s="226" t="s">
        <v>6346</v>
      </c>
      <c r="D1259" s="226">
        <v>4</v>
      </c>
      <c r="E1259" s="226">
        <v>0</v>
      </c>
      <c r="F1259" s="629">
        <v>2</v>
      </c>
      <c r="G1259" s="234">
        <v>46</v>
      </c>
      <c r="H1259" s="226">
        <f t="shared" si="167"/>
        <v>50</v>
      </c>
      <c r="I1259" s="17">
        <v>0</v>
      </c>
      <c r="J1259" s="234">
        <v>0</v>
      </c>
      <c r="K1259" s="226">
        <v>0</v>
      </c>
      <c r="L1259" s="623">
        <v>576</v>
      </c>
      <c r="M1259" s="226" t="s">
        <v>2510</v>
      </c>
      <c r="N1259" s="623">
        <v>0</v>
      </c>
      <c r="O1259" s="226" t="s">
        <v>5237</v>
      </c>
      <c r="P1259" s="226">
        <v>4</v>
      </c>
      <c r="Q1259" s="228"/>
      <c r="R1259" s="228"/>
      <c r="S1259" s="228"/>
      <c r="T1259" s="228"/>
      <c r="U1259" s="226">
        <v>35</v>
      </c>
      <c r="V1259" s="226">
        <v>0</v>
      </c>
      <c r="W1259" s="226">
        <v>0</v>
      </c>
      <c r="X1259" s="623">
        <v>0</v>
      </c>
      <c r="Y1259" s="226"/>
      <c r="Z1259" s="230">
        <v>0</v>
      </c>
      <c r="AA1259" s="226"/>
      <c r="AB1259" s="231"/>
      <c r="AC1259" s="231"/>
      <c r="AD1259" s="226"/>
      <c r="AE1259" s="235"/>
      <c r="AF1259" s="629" t="str">
        <f t="shared" si="168"/>
        <v>title([历练]歼灭II)
body(hotyellow_3(任务进程:)newline()
  如今天下大乱，贼匪横行。击杀35个46至50级的怪物，以匡扶正道。
blankline()
   space()space()space()hot2(任务完成后,千万不要忘记向goto(576,2)汇报哦！))</v>
      </c>
      <c r="AG1259" s="226" t="s">
        <v>2517</v>
      </c>
      <c r="AH1259" s="629" t="s">
        <v>6295</v>
      </c>
      <c r="AI1259" s="226" t="s">
        <v>110</v>
      </c>
      <c r="AJ1259" s="226" t="s">
        <v>7447</v>
      </c>
      <c r="AK1259" s="226" t="s">
        <v>2516</v>
      </c>
      <c r="AL1259" s="234">
        <v>2</v>
      </c>
      <c r="AM1259" s="635" t="str">
        <f>"&lt;p&gt;
&lt;n effect=2&gt;  击杀："&amp;U1259&amp;"个"&amp;G1259&amp;"至"&amp;H1259&amp;"级的怪物&lt;/n&gt;
 &lt;n effect=2&gt;  推荐：&lt;/n&gt;
&lt;n&gt; &lt;/n&gt;&lt;goto quick=1 id=10011 mapid=6 flagpoint=""1"" taskid="""&amp;A1259&amp;"""/&gt;&lt;/p&gt;"</f>
        <v>&lt;p&gt;
&lt;n effect=2&gt;  击杀：35个46至50级的怪物&lt;/n&gt;
 &lt;n effect=2&gt;  推荐：&lt;/n&gt;
&lt;n&gt; &lt;/n&gt;&lt;goto quick=1 id=10011 mapid=6 flagpoint="1" taskid="21206"/&gt;&lt;/p&gt;</v>
      </c>
      <c r="AN1259" s="635" t="s">
        <v>8732</v>
      </c>
      <c r="AO1259" s="226"/>
      <c r="AP1259" s="226">
        <v>1</v>
      </c>
      <c r="AQ1259" s="226">
        <v>0</v>
      </c>
      <c r="AR1259" s="629">
        <v>1</v>
      </c>
      <c r="AS1259" s="226">
        <v>0</v>
      </c>
      <c r="AT1259" s="226">
        <v>0</v>
      </c>
      <c r="AU1259" s="226">
        <v>0</v>
      </c>
      <c r="AV1259" s="17">
        <f t="shared" si="164"/>
        <v>0</v>
      </c>
      <c r="AW1259" s="629" t="str">
        <f t="shared" si="169"/>
        <v>{s_taskKillNpcLevel,{576,0,46,50,35}}</v>
      </c>
    </row>
    <row r="1260" spans="1:49" s="283" customFormat="1" ht="84" x14ac:dyDescent="0.15">
      <c r="A1260" s="240">
        <v>21207</v>
      </c>
      <c r="B1260" s="226"/>
      <c r="C1260" s="226" t="s">
        <v>6346</v>
      </c>
      <c r="D1260" s="226">
        <v>4</v>
      </c>
      <c r="E1260" s="226">
        <v>0</v>
      </c>
      <c r="F1260" s="629">
        <v>2</v>
      </c>
      <c r="G1260" s="234">
        <v>51</v>
      </c>
      <c r="H1260" s="226">
        <f t="shared" si="167"/>
        <v>55</v>
      </c>
      <c r="I1260" s="17">
        <v>0</v>
      </c>
      <c r="J1260" s="234">
        <v>0</v>
      </c>
      <c r="K1260" s="226">
        <v>0</v>
      </c>
      <c r="L1260" s="623">
        <v>576</v>
      </c>
      <c r="M1260" s="226" t="s">
        <v>2510</v>
      </c>
      <c r="N1260" s="623">
        <v>0</v>
      </c>
      <c r="O1260" s="226" t="s">
        <v>5237</v>
      </c>
      <c r="P1260" s="226">
        <v>4</v>
      </c>
      <c r="Q1260" s="228"/>
      <c r="R1260" s="228"/>
      <c r="S1260" s="228"/>
      <c r="T1260" s="228"/>
      <c r="U1260" s="226">
        <v>40</v>
      </c>
      <c r="V1260" s="226">
        <v>0</v>
      </c>
      <c r="W1260" s="226">
        <v>0</v>
      </c>
      <c r="X1260" s="623">
        <v>0</v>
      </c>
      <c r="Y1260" s="226"/>
      <c r="Z1260" s="230">
        <v>0</v>
      </c>
      <c r="AA1260" s="226"/>
      <c r="AB1260" s="231"/>
      <c r="AC1260" s="231"/>
      <c r="AD1260" s="226"/>
      <c r="AE1260" s="235"/>
      <c r="AF1260" s="629" t="str">
        <f t="shared" si="168"/>
        <v>title([历练]歼灭II)
body(hotyellow_3(任务进程:)newline()
  如今天下大乱，贼匪横行。击杀40个51至55级的怪物，以匡扶正道。
blankline()
   space()space()space()hot2(任务完成后,千万不要忘记向goto(576,2)汇报哦！))</v>
      </c>
      <c r="AG1260" s="226" t="s">
        <v>2517</v>
      </c>
      <c r="AH1260" s="629" t="s">
        <v>6295</v>
      </c>
      <c r="AI1260" s="226" t="s">
        <v>110</v>
      </c>
      <c r="AJ1260" s="226" t="s">
        <v>7447</v>
      </c>
      <c r="AK1260" s="226" t="s">
        <v>2516</v>
      </c>
      <c r="AL1260" s="234">
        <v>2</v>
      </c>
      <c r="AM1260" s="635" t="str">
        <f>"&lt;p&gt;
&lt;n effect=2&gt;  击杀："&amp;U1260&amp;"个"&amp;G1260&amp;"至"&amp;H1260&amp;"级的怪物&lt;/n&gt;
 &lt;n effect=2&gt;  推荐：&lt;/n&gt;
&lt;n&gt; &lt;/n&gt;&lt;goto quick=1 id=10013 mapid=4 flagpoint=""1"" taskid="""&amp;A1260&amp;"""/&gt;&lt;/p&gt;"</f>
        <v>&lt;p&gt;
&lt;n effect=2&gt;  击杀：40个51至55级的怪物&lt;/n&gt;
 &lt;n effect=2&gt;  推荐：&lt;/n&gt;
&lt;n&gt; &lt;/n&gt;&lt;goto quick=1 id=10013 mapid=4 flagpoint="1" taskid="21207"/&gt;&lt;/p&gt;</v>
      </c>
      <c r="AN1260" s="635" t="s">
        <v>8733</v>
      </c>
      <c r="AO1260" s="226"/>
      <c r="AP1260" s="226">
        <v>1</v>
      </c>
      <c r="AQ1260" s="226">
        <v>0</v>
      </c>
      <c r="AR1260" s="629">
        <v>1</v>
      </c>
      <c r="AS1260" s="226">
        <v>0</v>
      </c>
      <c r="AT1260" s="226">
        <v>0</v>
      </c>
      <c r="AU1260" s="226">
        <v>0</v>
      </c>
      <c r="AV1260" s="17">
        <f t="shared" si="164"/>
        <v>0</v>
      </c>
      <c r="AW1260" s="629" t="str">
        <f t="shared" si="169"/>
        <v>{s_taskKillNpcLevel,{576,0,51,55,40}}</v>
      </c>
    </row>
    <row r="1261" spans="1:49" s="283" customFormat="1" ht="84" x14ac:dyDescent="0.15">
      <c r="A1261" s="240">
        <v>21208</v>
      </c>
      <c r="B1261" s="226"/>
      <c r="C1261" s="226" t="s">
        <v>6346</v>
      </c>
      <c r="D1261" s="226">
        <v>4</v>
      </c>
      <c r="E1261" s="226">
        <v>0</v>
      </c>
      <c r="F1261" s="629">
        <v>2</v>
      </c>
      <c r="G1261" s="234">
        <v>56</v>
      </c>
      <c r="H1261" s="226">
        <f t="shared" si="167"/>
        <v>60</v>
      </c>
      <c r="I1261" s="17">
        <v>0</v>
      </c>
      <c r="J1261" s="234">
        <v>0</v>
      </c>
      <c r="K1261" s="226">
        <v>0</v>
      </c>
      <c r="L1261" s="623">
        <v>576</v>
      </c>
      <c r="M1261" s="226" t="s">
        <v>2510</v>
      </c>
      <c r="N1261" s="623">
        <v>0</v>
      </c>
      <c r="O1261" s="226" t="s">
        <v>5237</v>
      </c>
      <c r="P1261" s="226">
        <v>4</v>
      </c>
      <c r="Q1261" s="228"/>
      <c r="R1261" s="228"/>
      <c r="S1261" s="228"/>
      <c r="T1261" s="228"/>
      <c r="U1261" s="226">
        <v>45</v>
      </c>
      <c r="V1261" s="226">
        <v>0</v>
      </c>
      <c r="W1261" s="226">
        <v>0</v>
      </c>
      <c r="X1261" s="623">
        <v>0</v>
      </c>
      <c r="Y1261" s="226"/>
      <c r="Z1261" s="230">
        <v>0</v>
      </c>
      <c r="AA1261" s="226"/>
      <c r="AB1261" s="231"/>
      <c r="AC1261" s="231"/>
      <c r="AD1261" s="226"/>
      <c r="AE1261" s="235"/>
      <c r="AF1261" s="629" t="str">
        <f t="shared" si="168"/>
        <v>title([历练]歼灭II)
body(hotyellow_3(任务进程:)newline()
  如今天下大乱，贼匪横行。击杀45个56至60级的怪物，以匡扶正道。
blankline()
   space()space()space()hot2(任务完成后,千万不要忘记向goto(576,2)汇报哦！))</v>
      </c>
      <c r="AG1261" s="226" t="s">
        <v>2517</v>
      </c>
      <c r="AH1261" s="629" t="s">
        <v>6295</v>
      </c>
      <c r="AI1261" s="226" t="s">
        <v>110</v>
      </c>
      <c r="AJ1261" s="226" t="s">
        <v>7447</v>
      </c>
      <c r="AK1261" s="226" t="s">
        <v>2516</v>
      </c>
      <c r="AL1261" s="234">
        <v>2</v>
      </c>
      <c r="AM1261" s="635" t="str">
        <f>"&lt;p&gt;
&lt;n effect=2&gt;  击杀："&amp;U1261&amp;"个"&amp;G1261&amp;"至"&amp;H1261&amp;"级的怪物&lt;/n&gt;
 &lt;n effect=2&gt;  推荐：&lt;/n&gt;
&lt;n&gt; &lt;/n&gt;&lt;goto quick=1 id=10014 mapid=4 flagpoint=""1"" taskid="""&amp;A1261&amp;"""/&gt;&lt;/p&gt;"</f>
        <v>&lt;p&gt;
&lt;n effect=2&gt;  击杀：45个56至60级的怪物&lt;/n&gt;
 &lt;n effect=2&gt;  推荐：&lt;/n&gt;
&lt;n&gt; &lt;/n&gt;&lt;goto quick=1 id=10014 mapid=4 flagpoint="1" taskid="21208"/&gt;&lt;/p&gt;</v>
      </c>
      <c r="AN1261" s="635" t="s">
        <v>8734</v>
      </c>
      <c r="AO1261" s="226"/>
      <c r="AP1261" s="226">
        <v>1</v>
      </c>
      <c r="AQ1261" s="226">
        <v>0</v>
      </c>
      <c r="AR1261" s="629">
        <v>1</v>
      </c>
      <c r="AS1261" s="226">
        <v>0</v>
      </c>
      <c r="AT1261" s="226">
        <v>0</v>
      </c>
      <c r="AU1261" s="226">
        <v>0</v>
      </c>
      <c r="AV1261" s="17">
        <f t="shared" si="164"/>
        <v>0</v>
      </c>
      <c r="AW1261" s="629" t="str">
        <f t="shared" si="169"/>
        <v>{s_taskKillNpcLevel,{576,0,56,60,45}}</v>
      </c>
    </row>
    <row r="1262" spans="1:49" s="283" customFormat="1" ht="84" x14ac:dyDescent="0.15">
      <c r="A1262" s="240">
        <v>21209</v>
      </c>
      <c r="B1262" s="226"/>
      <c r="C1262" s="226" t="s">
        <v>6346</v>
      </c>
      <c r="D1262" s="226">
        <v>4</v>
      </c>
      <c r="E1262" s="226">
        <v>0</v>
      </c>
      <c r="F1262" s="629">
        <v>2</v>
      </c>
      <c r="G1262" s="234">
        <v>61</v>
      </c>
      <c r="H1262" s="226">
        <f t="shared" si="167"/>
        <v>65</v>
      </c>
      <c r="I1262" s="17">
        <v>0</v>
      </c>
      <c r="J1262" s="234">
        <v>0</v>
      </c>
      <c r="K1262" s="226">
        <v>0</v>
      </c>
      <c r="L1262" s="623">
        <v>576</v>
      </c>
      <c r="M1262" s="226" t="s">
        <v>2510</v>
      </c>
      <c r="N1262" s="623">
        <v>0</v>
      </c>
      <c r="O1262" s="226" t="s">
        <v>5237</v>
      </c>
      <c r="P1262" s="226">
        <v>4</v>
      </c>
      <c r="Q1262" s="228"/>
      <c r="R1262" s="228"/>
      <c r="S1262" s="228"/>
      <c r="T1262" s="228"/>
      <c r="U1262" s="226">
        <v>50</v>
      </c>
      <c r="V1262" s="226">
        <v>0</v>
      </c>
      <c r="W1262" s="226">
        <v>0</v>
      </c>
      <c r="X1262" s="623">
        <v>0</v>
      </c>
      <c r="Y1262" s="226"/>
      <c r="Z1262" s="230">
        <v>0</v>
      </c>
      <c r="AA1262" s="226"/>
      <c r="AB1262" s="231"/>
      <c r="AC1262" s="231"/>
      <c r="AD1262" s="226"/>
      <c r="AE1262" s="235"/>
      <c r="AF1262" s="629" t="str">
        <f t="shared" si="168"/>
        <v>title([历练]歼灭II)
body(hotyellow_3(任务进程:)newline()
  如今天下大乱，贼匪横行。击杀50个61至65级的怪物，以匡扶正道。
blankline()
   space()space()space()hot2(任务完成后,千万不要忘记向goto(576,2)汇报哦！))</v>
      </c>
      <c r="AG1262" s="226" t="s">
        <v>2517</v>
      </c>
      <c r="AH1262" s="629" t="s">
        <v>6295</v>
      </c>
      <c r="AI1262" s="226" t="s">
        <v>110</v>
      </c>
      <c r="AJ1262" s="226" t="s">
        <v>7447</v>
      </c>
      <c r="AK1262" s="226" t="s">
        <v>2516</v>
      </c>
      <c r="AL1262" s="234">
        <v>2</v>
      </c>
      <c r="AM1262" s="635" t="str">
        <f>"&lt;p&gt;
&lt;n effect=2&gt;  击杀："&amp;U1262&amp;"个"&amp;G1262&amp;"至"&amp;H1262&amp;"级的怪物&lt;/n&gt;
 &lt;n effect=2&gt;  推荐：&lt;/n&gt;
&lt;n&gt; &lt;/n&gt;&lt;goto quick=1 id=10015 mapid=5 flagpoint=""1"" taskid="""&amp;A1262&amp;"""/&gt;&lt;/p&gt;"</f>
        <v>&lt;p&gt;
&lt;n effect=2&gt;  击杀：50个61至65级的怪物&lt;/n&gt;
 &lt;n effect=2&gt;  推荐：&lt;/n&gt;
&lt;n&gt; &lt;/n&gt;&lt;goto quick=1 id=10015 mapid=5 flagpoint="1" taskid="21209"/&gt;&lt;/p&gt;</v>
      </c>
      <c r="AN1262" s="635" t="s">
        <v>8735</v>
      </c>
      <c r="AO1262" s="226"/>
      <c r="AP1262" s="226">
        <v>1</v>
      </c>
      <c r="AQ1262" s="226">
        <v>0</v>
      </c>
      <c r="AR1262" s="629">
        <v>1</v>
      </c>
      <c r="AS1262" s="226">
        <v>0</v>
      </c>
      <c r="AT1262" s="226">
        <v>0</v>
      </c>
      <c r="AU1262" s="226">
        <v>0</v>
      </c>
      <c r="AV1262" s="17">
        <f t="shared" si="164"/>
        <v>0</v>
      </c>
      <c r="AW1262" s="629" t="str">
        <f t="shared" si="169"/>
        <v>{s_taskKillNpcLevel,{576,0,61,65,50}}</v>
      </c>
    </row>
    <row r="1263" spans="1:49" s="283" customFormat="1" ht="84" x14ac:dyDescent="0.15">
      <c r="A1263" s="240">
        <v>21210</v>
      </c>
      <c r="B1263" s="226"/>
      <c r="C1263" s="226" t="s">
        <v>6346</v>
      </c>
      <c r="D1263" s="226">
        <v>4</v>
      </c>
      <c r="E1263" s="226">
        <v>0</v>
      </c>
      <c r="F1263" s="629">
        <v>2</v>
      </c>
      <c r="G1263" s="234">
        <v>66</v>
      </c>
      <c r="H1263" s="226">
        <f t="shared" si="167"/>
        <v>70</v>
      </c>
      <c r="I1263" s="17">
        <v>0</v>
      </c>
      <c r="J1263" s="234">
        <v>0</v>
      </c>
      <c r="K1263" s="226">
        <v>0</v>
      </c>
      <c r="L1263" s="623">
        <v>576</v>
      </c>
      <c r="M1263" s="226" t="s">
        <v>2510</v>
      </c>
      <c r="N1263" s="623">
        <v>0</v>
      </c>
      <c r="O1263" s="226" t="s">
        <v>5237</v>
      </c>
      <c r="P1263" s="226">
        <v>4</v>
      </c>
      <c r="Q1263" s="228"/>
      <c r="R1263" s="228"/>
      <c r="S1263" s="228"/>
      <c r="T1263" s="228"/>
      <c r="U1263" s="226">
        <v>50</v>
      </c>
      <c r="V1263" s="226">
        <v>0</v>
      </c>
      <c r="W1263" s="226">
        <v>0</v>
      </c>
      <c r="X1263" s="623">
        <v>0</v>
      </c>
      <c r="Y1263" s="226"/>
      <c r="Z1263" s="230">
        <v>0</v>
      </c>
      <c r="AA1263" s="226"/>
      <c r="AB1263" s="231"/>
      <c r="AC1263" s="231"/>
      <c r="AD1263" s="226"/>
      <c r="AE1263" s="235"/>
      <c r="AF1263" s="629" t="str">
        <f t="shared" si="168"/>
        <v>title([历练]歼灭II)
body(hotyellow_3(任务进程:)newline()
  如今天下大乱，贼匪横行。击杀50个66至70级的怪物，以匡扶正道。
blankline()
   space()space()space()hot2(任务完成后,千万不要忘记向goto(576,2)汇报哦！))</v>
      </c>
      <c r="AG1263" s="226" t="s">
        <v>2517</v>
      </c>
      <c r="AH1263" s="629" t="s">
        <v>6295</v>
      </c>
      <c r="AI1263" s="226" t="s">
        <v>110</v>
      </c>
      <c r="AJ1263" s="226" t="s">
        <v>7447</v>
      </c>
      <c r="AK1263" s="226" t="s">
        <v>2516</v>
      </c>
      <c r="AL1263" s="234">
        <v>2</v>
      </c>
      <c r="AM1263" s="635" t="str">
        <f>"&lt;p&gt;
&lt;n effect=2&gt;  击杀："&amp;U1263&amp;"个"&amp;G1263&amp;"至"&amp;H1263&amp;"级的怪物&lt;/n&gt;
 &lt;n effect=2&gt;  推荐：&lt;/n&gt;
&lt;n&gt; &lt;/n&gt;&lt;goto quick=1 id=10027 mapid=5 flagpoint=""1"" taskid="""&amp;A1263&amp;"""/&gt;&lt;/p&gt;"</f>
        <v>&lt;p&gt;
&lt;n effect=2&gt;  击杀：50个66至70级的怪物&lt;/n&gt;
 &lt;n effect=2&gt;  推荐：&lt;/n&gt;
&lt;n&gt; &lt;/n&gt;&lt;goto quick=1 id=10027 mapid=5 flagpoint="1" taskid="21210"/&gt;&lt;/p&gt;</v>
      </c>
      <c r="AN1263" s="635" t="s">
        <v>8736</v>
      </c>
      <c r="AO1263" s="226"/>
      <c r="AP1263" s="226">
        <v>1</v>
      </c>
      <c r="AQ1263" s="226">
        <v>0</v>
      </c>
      <c r="AR1263" s="629">
        <v>1</v>
      </c>
      <c r="AS1263" s="226">
        <v>0</v>
      </c>
      <c r="AT1263" s="226">
        <v>0</v>
      </c>
      <c r="AU1263" s="226">
        <v>0</v>
      </c>
      <c r="AV1263" s="17">
        <f t="shared" si="164"/>
        <v>0</v>
      </c>
      <c r="AW1263" s="629" t="str">
        <f t="shared" si="169"/>
        <v>{s_taskKillNpcLevel,{576,0,66,70,50}}</v>
      </c>
    </row>
    <row r="1264" spans="1:49" s="283" customFormat="1" ht="84" x14ac:dyDescent="0.15">
      <c r="A1264" s="240">
        <v>21211</v>
      </c>
      <c r="B1264" s="226"/>
      <c r="C1264" s="226" t="s">
        <v>6346</v>
      </c>
      <c r="D1264" s="226">
        <v>4</v>
      </c>
      <c r="E1264" s="226">
        <v>0</v>
      </c>
      <c r="F1264" s="629">
        <v>2</v>
      </c>
      <c r="G1264" s="234">
        <v>71</v>
      </c>
      <c r="H1264" s="226">
        <f t="shared" si="167"/>
        <v>75</v>
      </c>
      <c r="I1264" s="17">
        <v>0</v>
      </c>
      <c r="J1264" s="234">
        <v>0</v>
      </c>
      <c r="K1264" s="226">
        <v>0</v>
      </c>
      <c r="L1264" s="623">
        <v>576</v>
      </c>
      <c r="M1264" s="226" t="s">
        <v>2510</v>
      </c>
      <c r="N1264" s="623">
        <v>0</v>
      </c>
      <c r="O1264" s="226" t="s">
        <v>5237</v>
      </c>
      <c r="P1264" s="226">
        <v>4</v>
      </c>
      <c r="Q1264" s="228"/>
      <c r="R1264" s="228"/>
      <c r="S1264" s="228"/>
      <c r="T1264" s="228"/>
      <c r="U1264" s="226">
        <v>50</v>
      </c>
      <c r="V1264" s="226">
        <v>0</v>
      </c>
      <c r="W1264" s="226">
        <v>0</v>
      </c>
      <c r="X1264" s="623">
        <v>0</v>
      </c>
      <c r="Y1264" s="226"/>
      <c r="Z1264" s="230">
        <v>0</v>
      </c>
      <c r="AA1264" s="226"/>
      <c r="AB1264" s="231"/>
      <c r="AC1264" s="231"/>
      <c r="AD1264" s="226"/>
      <c r="AE1264" s="235"/>
      <c r="AF1264" s="629" t="str">
        <f t="shared" si="168"/>
        <v>title([历练]歼灭II)
body(hotyellow_3(任务进程:)newline()
  如今天下大乱，贼匪横行。击杀50个71至75级的怪物，以匡扶正道。
blankline()
   space()space()space()hot2(任务完成后,千万不要忘记向goto(576,2)汇报哦！))</v>
      </c>
      <c r="AG1264" s="226" t="s">
        <v>2517</v>
      </c>
      <c r="AH1264" s="629" t="s">
        <v>6295</v>
      </c>
      <c r="AI1264" s="226" t="s">
        <v>110</v>
      </c>
      <c r="AJ1264" s="226" t="s">
        <v>7447</v>
      </c>
      <c r="AK1264" s="226" t="s">
        <v>2516</v>
      </c>
      <c r="AL1264" s="234">
        <v>2</v>
      </c>
      <c r="AM1264" s="635" t="str">
        <f>"&lt;p&gt;
&lt;n effect=2&gt;  击杀："&amp;U1264&amp;"个"&amp;G1264&amp;"至"&amp;H1264&amp;"级的怪物&lt;/n&gt;
 &lt;n effect=2&gt;  推荐：&lt;/n&gt;
&lt;n&gt; &lt;/n&gt;&lt;goto quick=1 id=10029 mapid=3 flagpoint=""1"" taskid="""&amp;A1264&amp;"""/&gt;&lt;/p&gt;"</f>
        <v>&lt;p&gt;
&lt;n effect=2&gt;  击杀：50个71至75级的怪物&lt;/n&gt;
 &lt;n effect=2&gt;  推荐：&lt;/n&gt;
&lt;n&gt; &lt;/n&gt;&lt;goto quick=1 id=10029 mapid=3 flagpoint="1" taskid="21211"/&gt;&lt;/p&gt;</v>
      </c>
      <c r="AN1264" s="635" t="s">
        <v>8737</v>
      </c>
      <c r="AO1264" s="226"/>
      <c r="AP1264" s="226">
        <v>1</v>
      </c>
      <c r="AQ1264" s="226">
        <v>0</v>
      </c>
      <c r="AR1264" s="629">
        <v>1</v>
      </c>
      <c r="AS1264" s="226">
        <v>0</v>
      </c>
      <c r="AT1264" s="226">
        <v>0</v>
      </c>
      <c r="AU1264" s="226">
        <v>0</v>
      </c>
      <c r="AV1264" s="17">
        <f t="shared" si="164"/>
        <v>0</v>
      </c>
      <c r="AW1264" s="629" t="str">
        <f t="shared" si="169"/>
        <v>{s_taskKillNpcLevel,{576,0,71,75,50}}</v>
      </c>
    </row>
    <row r="1265" spans="1:49" s="283" customFormat="1" ht="84" x14ac:dyDescent="0.15">
      <c r="A1265" s="240">
        <v>21212</v>
      </c>
      <c r="B1265" s="226"/>
      <c r="C1265" s="226" t="s">
        <v>6346</v>
      </c>
      <c r="D1265" s="226">
        <v>4</v>
      </c>
      <c r="E1265" s="226">
        <v>0</v>
      </c>
      <c r="F1265" s="629">
        <v>2</v>
      </c>
      <c r="G1265" s="234">
        <v>76</v>
      </c>
      <c r="H1265" s="226">
        <f t="shared" si="167"/>
        <v>80</v>
      </c>
      <c r="I1265" s="17">
        <v>0</v>
      </c>
      <c r="J1265" s="234">
        <v>0</v>
      </c>
      <c r="K1265" s="226">
        <v>0</v>
      </c>
      <c r="L1265" s="623">
        <v>576</v>
      </c>
      <c r="M1265" s="226" t="s">
        <v>2510</v>
      </c>
      <c r="N1265" s="623">
        <v>0</v>
      </c>
      <c r="O1265" s="226" t="s">
        <v>5237</v>
      </c>
      <c r="P1265" s="226">
        <v>4</v>
      </c>
      <c r="Q1265" s="228"/>
      <c r="R1265" s="228"/>
      <c r="S1265" s="228"/>
      <c r="T1265" s="228"/>
      <c r="U1265" s="226">
        <v>55</v>
      </c>
      <c r="V1265" s="226">
        <v>0</v>
      </c>
      <c r="W1265" s="226">
        <v>0</v>
      </c>
      <c r="X1265" s="623">
        <v>0</v>
      </c>
      <c r="Y1265" s="226"/>
      <c r="Z1265" s="230">
        <v>0</v>
      </c>
      <c r="AA1265" s="226"/>
      <c r="AB1265" s="231"/>
      <c r="AC1265" s="231"/>
      <c r="AD1265" s="226"/>
      <c r="AE1265" s="235"/>
      <c r="AF1265" s="629" t="str">
        <f t="shared" si="168"/>
        <v>title([历练]歼灭II)
body(hotyellow_3(任务进程:)newline()
  如今天下大乱，贼匪横行。击杀55个76至80级的怪物，以匡扶正道。
blankline()
   space()space()space()hot2(任务完成后,千万不要忘记向goto(576,2)汇报哦！))</v>
      </c>
      <c r="AG1265" s="226" t="s">
        <v>2517</v>
      </c>
      <c r="AH1265" s="629" t="s">
        <v>6295</v>
      </c>
      <c r="AI1265" s="226" t="s">
        <v>110</v>
      </c>
      <c r="AJ1265" s="226" t="s">
        <v>7447</v>
      </c>
      <c r="AK1265" s="226" t="s">
        <v>2516</v>
      </c>
      <c r="AL1265" s="234">
        <v>2</v>
      </c>
      <c r="AM1265" s="635" t="str">
        <f>"&lt;p&gt;
&lt;n effect=2&gt;  击杀："&amp;U1265&amp;"个"&amp;G1265&amp;"至"&amp;H1265&amp;"级的怪物&lt;/n&gt;
 &lt;n effect=2&gt;  推荐：&lt;/n&gt;
&lt;n&gt; &lt;/n&gt;&lt;goto quick=1 id=10030 mapid=7 flagpoint=""1"" taskid="""&amp;A1265&amp;"""/&gt;&lt;/p&gt;"</f>
        <v>&lt;p&gt;
&lt;n effect=2&gt;  击杀：55个76至80级的怪物&lt;/n&gt;
 &lt;n effect=2&gt;  推荐：&lt;/n&gt;
&lt;n&gt; &lt;/n&gt;&lt;goto quick=1 id=10030 mapid=7 flagpoint="1" taskid="21212"/&gt;&lt;/p&gt;</v>
      </c>
      <c r="AN1265" s="635" t="s">
        <v>8738</v>
      </c>
      <c r="AO1265" s="226"/>
      <c r="AP1265" s="226">
        <v>1</v>
      </c>
      <c r="AQ1265" s="226">
        <v>0</v>
      </c>
      <c r="AR1265" s="629">
        <v>1</v>
      </c>
      <c r="AS1265" s="226">
        <v>0</v>
      </c>
      <c r="AT1265" s="226">
        <v>0</v>
      </c>
      <c r="AU1265" s="226">
        <v>0</v>
      </c>
      <c r="AV1265" s="17">
        <f t="shared" si="164"/>
        <v>0</v>
      </c>
      <c r="AW1265" s="629" t="str">
        <f t="shared" si="169"/>
        <v>{s_taskKillNpcLevel,{576,0,76,80,55}}</v>
      </c>
    </row>
    <row r="1266" spans="1:49" s="283" customFormat="1" ht="84" x14ac:dyDescent="0.15">
      <c r="A1266" s="240">
        <v>21213</v>
      </c>
      <c r="B1266" s="226"/>
      <c r="C1266" s="226" t="s">
        <v>6346</v>
      </c>
      <c r="D1266" s="226">
        <v>4</v>
      </c>
      <c r="E1266" s="226">
        <v>0</v>
      </c>
      <c r="F1266" s="629">
        <v>2</v>
      </c>
      <c r="G1266" s="234">
        <v>81</v>
      </c>
      <c r="H1266" s="226">
        <f t="shared" si="167"/>
        <v>85</v>
      </c>
      <c r="I1266" s="17">
        <v>0</v>
      </c>
      <c r="J1266" s="234">
        <v>0</v>
      </c>
      <c r="K1266" s="226">
        <v>0</v>
      </c>
      <c r="L1266" s="623">
        <v>576</v>
      </c>
      <c r="M1266" s="226" t="s">
        <v>2510</v>
      </c>
      <c r="N1266" s="623">
        <v>0</v>
      </c>
      <c r="O1266" s="226" t="s">
        <v>5237</v>
      </c>
      <c r="P1266" s="226">
        <v>4</v>
      </c>
      <c r="Q1266" s="228"/>
      <c r="R1266" s="228"/>
      <c r="S1266" s="228"/>
      <c r="T1266" s="228"/>
      <c r="U1266" s="226">
        <v>70</v>
      </c>
      <c r="V1266" s="226">
        <v>0</v>
      </c>
      <c r="W1266" s="226">
        <v>0</v>
      </c>
      <c r="X1266" s="623">
        <v>0</v>
      </c>
      <c r="Y1266" s="226"/>
      <c r="Z1266" s="230">
        <v>0</v>
      </c>
      <c r="AA1266" s="226"/>
      <c r="AB1266" s="231"/>
      <c r="AC1266" s="231"/>
      <c r="AD1266" s="226"/>
      <c r="AE1266" s="235"/>
      <c r="AF1266" s="629" t="str">
        <f t="shared" si="168"/>
        <v>title([历练]歼灭II)
body(hotyellow_3(任务进程:)newline()
  如今天下大乱，贼匪横行。击杀70个81至85级的怪物，以匡扶正道。
blankline()
   space()space()space()hot2(任务完成后,千万不要忘记向goto(576,2)汇报哦！))</v>
      </c>
      <c r="AG1266" s="226" t="s">
        <v>2517</v>
      </c>
      <c r="AH1266" s="629" t="s">
        <v>6295</v>
      </c>
      <c r="AI1266" s="226" t="s">
        <v>110</v>
      </c>
      <c r="AJ1266" s="226" t="s">
        <v>7447</v>
      </c>
      <c r="AK1266" s="226" t="s">
        <v>2516</v>
      </c>
      <c r="AL1266" s="234">
        <v>2</v>
      </c>
      <c r="AM1266" s="635" t="str">
        <f>"&lt;p&gt;
&lt;n effect=2&gt;  击杀："&amp;U1266&amp;"个"&amp;G1266&amp;"至"&amp;H1266&amp;"级的怪物&lt;/n&gt;
 &lt;n effect=2&gt;  推荐：&lt;/n&gt;
&lt;n&gt; &lt;/n&gt;&lt;goto quick=1 id=10033 mapid=7 flagpoint=""1"" taskid="""&amp;A1266&amp;"""/&gt;&lt;/p&gt;"</f>
        <v>&lt;p&gt;
&lt;n effect=2&gt;  击杀：70个81至85级的怪物&lt;/n&gt;
 &lt;n effect=2&gt;  推荐：&lt;/n&gt;
&lt;n&gt; &lt;/n&gt;&lt;goto quick=1 id=10033 mapid=7 flagpoint="1" taskid="21213"/&gt;&lt;/p&gt;</v>
      </c>
      <c r="AN1266" s="635" t="s">
        <v>8739</v>
      </c>
      <c r="AO1266" s="226"/>
      <c r="AP1266" s="226">
        <v>1</v>
      </c>
      <c r="AQ1266" s="226">
        <v>0</v>
      </c>
      <c r="AR1266" s="629">
        <v>1</v>
      </c>
      <c r="AS1266" s="226">
        <v>0</v>
      </c>
      <c r="AT1266" s="226">
        <v>0</v>
      </c>
      <c r="AU1266" s="226">
        <v>0</v>
      </c>
      <c r="AV1266" s="17">
        <f t="shared" si="164"/>
        <v>0</v>
      </c>
      <c r="AW1266" s="629" t="str">
        <f t="shared" si="169"/>
        <v>{s_taskKillNpcLevel,{576,0,81,85,70}}</v>
      </c>
    </row>
    <row r="1267" spans="1:49" s="283" customFormat="1" ht="84" x14ac:dyDescent="0.15">
      <c r="A1267" s="240">
        <v>21214</v>
      </c>
      <c r="B1267" s="226"/>
      <c r="C1267" s="226" t="s">
        <v>6346</v>
      </c>
      <c r="D1267" s="226">
        <v>4</v>
      </c>
      <c r="E1267" s="226">
        <v>0</v>
      </c>
      <c r="F1267" s="629">
        <v>2</v>
      </c>
      <c r="G1267" s="234">
        <v>86</v>
      </c>
      <c r="H1267" s="226">
        <v>90</v>
      </c>
      <c r="I1267" s="17">
        <v>0</v>
      </c>
      <c r="J1267" s="234">
        <v>0</v>
      </c>
      <c r="K1267" s="226">
        <v>0</v>
      </c>
      <c r="L1267" s="623">
        <v>576</v>
      </c>
      <c r="M1267" s="226" t="s">
        <v>2510</v>
      </c>
      <c r="N1267" s="623">
        <v>0</v>
      </c>
      <c r="O1267" s="226" t="s">
        <v>5237</v>
      </c>
      <c r="P1267" s="226">
        <v>4</v>
      </c>
      <c r="Q1267" s="228"/>
      <c r="R1267" s="228"/>
      <c r="S1267" s="228"/>
      <c r="T1267" s="228"/>
      <c r="U1267" s="226">
        <v>80</v>
      </c>
      <c r="V1267" s="226">
        <v>0</v>
      </c>
      <c r="W1267" s="226">
        <v>0</v>
      </c>
      <c r="X1267" s="623">
        <v>0</v>
      </c>
      <c r="Y1267" s="226"/>
      <c r="Z1267" s="230">
        <v>0</v>
      </c>
      <c r="AA1267" s="226"/>
      <c r="AB1267" s="231"/>
      <c r="AC1267" s="231"/>
      <c r="AD1267" s="226"/>
      <c r="AE1267" s="235"/>
      <c r="AF1267" s="629" t="str">
        <f t="shared" si="168"/>
        <v>title([历练]歼灭II)
body(hotyellow_3(任务进程:)newline()
  如今天下大乱，贼匪横行。击杀80个86至90级的怪物，以匡扶正道。
blankline()
   space()space()space()hot2(任务完成后,千万不要忘记向goto(576,2)汇报哦！))</v>
      </c>
      <c r="AG1267" s="226" t="s">
        <v>2517</v>
      </c>
      <c r="AH1267" s="629" t="s">
        <v>6295</v>
      </c>
      <c r="AI1267" s="226" t="s">
        <v>110</v>
      </c>
      <c r="AJ1267" s="226" t="s">
        <v>7447</v>
      </c>
      <c r="AK1267" s="226" t="s">
        <v>2516</v>
      </c>
      <c r="AL1267" s="234">
        <v>2</v>
      </c>
      <c r="AM1267" s="635" t="str">
        <f>"&lt;p&gt;
&lt;n effect=2&gt;  击杀："&amp;U1267&amp;"个"&amp;G1267&amp;"至"&amp;H1267&amp;"级的怪物&lt;/n&gt;
 &lt;n effect=2&gt;  推荐：&lt;/n&gt;
&lt;n&gt; &lt;/n&gt;&lt;goto quick=1 id=10034 mapid=7 flagpoint=""1"" taskid="""&amp;A1267&amp;"""/&gt;&lt;/p&gt;"</f>
        <v>&lt;p&gt;
&lt;n effect=2&gt;  击杀：80个86至90级的怪物&lt;/n&gt;
 &lt;n effect=2&gt;  推荐：&lt;/n&gt;
&lt;n&gt; &lt;/n&gt;&lt;goto quick=1 id=10034 mapid=7 flagpoint="1" taskid="21214"/&gt;&lt;/p&gt;</v>
      </c>
      <c r="AN1267" s="635" t="s">
        <v>8740</v>
      </c>
      <c r="AO1267" s="226"/>
      <c r="AP1267" s="226">
        <v>1</v>
      </c>
      <c r="AQ1267" s="226">
        <v>0</v>
      </c>
      <c r="AR1267" s="629">
        <v>1</v>
      </c>
      <c r="AS1267" s="226">
        <v>0</v>
      </c>
      <c r="AT1267" s="226">
        <v>0</v>
      </c>
      <c r="AU1267" s="226">
        <v>0</v>
      </c>
      <c r="AV1267" s="17">
        <f t="shared" si="164"/>
        <v>0</v>
      </c>
      <c r="AW1267" s="629" t="str">
        <f t="shared" si="169"/>
        <v>{s_taskKillNpcLevel,{576,0,86,90,80}}</v>
      </c>
    </row>
    <row r="1268" spans="1:49" s="283" customFormat="1" ht="84" x14ac:dyDescent="0.15">
      <c r="A1268" s="240">
        <v>21215</v>
      </c>
      <c r="B1268" s="226"/>
      <c r="C1268" s="226" t="s">
        <v>6346</v>
      </c>
      <c r="D1268" s="226">
        <v>4</v>
      </c>
      <c r="E1268" s="226">
        <v>0</v>
      </c>
      <c r="F1268" s="629">
        <v>2</v>
      </c>
      <c r="G1268" s="234">
        <v>90</v>
      </c>
      <c r="H1268" s="226">
        <v>95</v>
      </c>
      <c r="I1268" s="17">
        <v>0</v>
      </c>
      <c r="J1268" s="234">
        <v>0</v>
      </c>
      <c r="K1268" s="226">
        <v>0</v>
      </c>
      <c r="L1268" s="623">
        <v>576</v>
      </c>
      <c r="M1268" s="226" t="s">
        <v>2510</v>
      </c>
      <c r="N1268" s="623">
        <v>0</v>
      </c>
      <c r="O1268" s="226" t="s">
        <v>5237</v>
      </c>
      <c r="P1268" s="226">
        <v>4</v>
      </c>
      <c r="Q1268" s="228"/>
      <c r="R1268" s="228"/>
      <c r="S1268" s="228"/>
      <c r="T1268" s="228"/>
      <c r="U1268" s="226">
        <v>90</v>
      </c>
      <c r="V1268" s="226">
        <v>0</v>
      </c>
      <c r="W1268" s="226">
        <v>0</v>
      </c>
      <c r="X1268" s="623">
        <v>0</v>
      </c>
      <c r="Y1268" s="226"/>
      <c r="Z1268" s="230">
        <v>0</v>
      </c>
      <c r="AA1268" s="226"/>
      <c r="AB1268" s="231"/>
      <c r="AC1268" s="231"/>
      <c r="AD1268" s="226"/>
      <c r="AE1268" s="235"/>
      <c r="AF1268" s="629" t="str">
        <f t="shared" si="168"/>
        <v>title([历练]歼灭II)
body(hotyellow_3(任务进程:)newline()
  如今天下大乱，贼匪横行。击杀90个90至95级的怪物，以匡扶正道。
blankline()
   space()space()space()hot2(任务完成后,千万不要忘记向goto(576,2)汇报哦！))</v>
      </c>
      <c r="AG1268" s="226" t="s">
        <v>2517</v>
      </c>
      <c r="AH1268" s="629" t="s">
        <v>6295</v>
      </c>
      <c r="AI1268" s="226" t="s">
        <v>110</v>
      </c>
      <c r="AJ1268" s="226" t="s">
        <v>7447</v>
      </c>
      <c r="AK1268" s="226" t="s">
        <v>2516</v>
      </c>
      <c r="AL1268" s="234">
        <v>2</v>
      </c>
      <c r="AM1268" s="635" t="str">
        <f>"&lt;p&gt;
&lt;n effect=2&gt;  击杀："&amp;U1268&amp;"个"&amp;G1268&amp;"至"&amp;H1268&amp;"级的怪物&lt;/n&gt;
 &lt;n effect=2&gt;  推荐：&lt;/n&gt;
&lt;n&gt; &lt;/n&gt;&lt;goto quick=1 id=10190 mapid=7 flagpoint=""1"" taskid="""&amp;A1268&amp;"""/&gt;&lt;/p&gt;"</f>
        <v>&lt;p&gt;
&lt;n effect=2&gt;  击杀：90个90至95级的怪物&lt;/n&gt;
 &lt;n effect=2&gt;  推荐：&lt;/n&gt;
&lt;n&gt; &lt;/n&gt;&lt;goto quick=1 id=10190 mapid=7 flagpoint="1" taskid="21215"/&gt;&lt;/p&gt;</v>
      </c>
      <c r="AN1268" s="635" t="s">
        <v>8741</v>
      </c>
      <c r="AO1268" s="226"/>
      <c r="AP1268" s="226">
        <v>1</v>
      </c>
      <c r="AQ1268" s="226">
        <v>0</v>
      </c>
      <c r="AR1268" s="629">
        <v>1</v>
      </c>
      <c r="AS1268" s="226">
        <v>0</v>
      </c>
      <c r="AT1268" s="226">
        <v>0</v>
      </c>
      <c r="AU1268" s="226">
        <v>0</v>
      </c>
      <c r="AV1268" s="17">
        <f t="shared" si="164"/>
        <v>0</v>
      </c>
      <c r="AW1268" s="629" t="str">
        <f t="shared" si="169"/>
        <v>{s_taskKillNpcLevel,{576,0,90,95,90}}</v>
      </c>
    </row>
    <row r="1269" spans="1:49" s="283" customFormat="1" ht="84" x14ac:dyDescent="0.15">
      <c r="A1269" s="240">
        <v>21216</v>
      </c>
      <c r="B1269" s="226"/>
      <c r="C1269" s="226" t="s">
        <v>6346</v>
      </c>
      <c r="D1269" s="226">
        <v>4</v>
      </c>
      <c r="E1269" s="226">
        <v>0</v>
      </c>
      <c r="F1269" s="629">
        <v>2</v>
      </c>
      <c r="G1269" s="234">
        <v>96</v>
      </c>
      <c r="H1269" s="226">
        <v>200</v>
      </c>
      <c r="I1269" s="17">
        <v>0</v>
      </c>
      <c r="J1269" s="234">
        <v>0</v>
      </c>
      <c r="K1269" s="226">
        <v>0</v>
      </c>
      <c r="L1269" s="623">
        <v>576</v>
      </c>
      <c r="M1269" s="226" t="s">
        <v>2510</v>
      </c>
      <c r="N1269" s="623">
        <v>0</v>
      </c>
      <c r="O1269" s="226" t="s">
        <v>5237</v>
      </c>
      <c r="P1269" s="226">
        <v>4</v>
      </c>
      <c r="Q1269" s="228"/>
      <c r="R1269" s="228"/>
      <c r="S1269" s="228"/>
      <c r="T1269" s="228"/>
      <c r="U1269" s="226">
        <v>100</v>
      </c>
      <c r="V1269" s="226">
        <v>0</v>
      </c>
      <c r="W1269" s="226">
        <v>0</v>
      </c>
      <c r="X1269" s="623">
        <v>0</v>
      </c>
      <c r="Y1269" s="226"/>
      <c r="Z1269" s="230">
        <v>0</v>
      </c>
      <c r="AA1269" s="226"/>
      <c r="AB1269" s="231"/>
      <c r="AC1269" s="231"/>
      <c r="AD1269" s="226"/>
      <c r="AE1269" s="235"/>
      <c r="AF1269" s="629" t="str">
        <f t="shared" si="168"/>
        <v>title([历练]歼灭II)
body(hotyellow_3(任务进程:)newline()
  如今天下大乱，贼匪横行。击杀100个96至200级的怪物，以匡扶正道。
blankline()
   space()space()space()hot2(任务完成后,千万不要忘记向goto(576,2)汇报哦！))</v>
      </c>
      <c r="AG1269" s="226" t="s">
        <v>2517</v>
      </c>
      <c r="AH1269" s="629" t="s">
        <v>6295</v>
      </c>
      <c r="AI1269" s="226" t="s">
        <v>110</v>
      </c>
      <c r="AJ1269" s="226" t="s">
        <v>7447</v>
      </c>
      <c r="AK1269" s="226" t="s">
        <v>2516</v>
      </c>
      <c r="AL1269" s="234">
        <v>2</v>
      </c>
      <c r="AM1269" s="635" t="str">
        <f>"&lt;p&gt;
&lt;n effect=2&gt;  击杀："&amp;U1269&amp;"个"&amp;G1269&amp;"至"&amp;H1269&amp;"级的怪物&lt;/n&gt;
 &lt;n effect=2&gt;  推荐：&lt;/n&gt;
&lt;n&gt; &lt;/n&gt;&lt;goto quick=1 id=10192 mapid=7 flagpoint=""1"" taskid="""&amp;A1269&amp;"""/&gt;&lt;/p&gt;"</f>
        <v>&lt;p&gt;
&lt;n effect=2&gt;  击杀：100个96至200级的怪物&lt;/n&gt;
 &lt;n effect=2&gt;  推荐：&lt;/n&gt;
&lt;n&gt; &lt;/n&gt;&lt;goto quick=1 id=10192 mapid=7 flagpoint="1" taskid="21216"/&gt;&lt;/p&gt;</v>
      </c>
      <c r="AN1269" s="635" t="s">
        <v>8742</v>
      </c>
      <c r="AO1269" s="226"/>
      <c r="AP1269" s="226">
        <v>1</v>
      </c>
      <c r="AQ1269" s="226">
        <v>0</v>
      </c>
      <c r="AR1269" s="629">
        <v>1</v>
      </c>
      <c r="AS1269" s="226">
        <v>0</v>
      </c>
      <c r="AT1269" s="226">
        <v>0</v>
      </c>
      <c r="AU1269" s="226">
        <v>0</v>
      </c>
      <c r="AV1269" s="17">
        <f t="shared" si="164"/>
        <v>0</v>
      </c>
      <c r="AW1269" s="629" t="str">
        <f t="shared" si="169"/>
        <v>{s_taskKillNpcLevel,{576,0,96,200,100}}</v>
      </c>
    </row>
    <row r="1270" spans="1:49" s="638" customFormat="1" ht="120" x14ac:dyDescent="0.15">
      <c r="A1270" s="436">
        <v>21301</v>
      </c>
      <c r="B1270" s="437"/>
      <c r="C1270" s="437" t="s">
        <v>6347</v>
      </c>
      <c r="D1270" s="437">
        <v>4</v>
      </c>
      <c r="E1270" s="437">
        <v>0</v>
      </c>
      <c r="F1270" s="629">
        <v>2</v>
      </c>
      <c r="G1270" s="438">
        <v>21</v>
      </c>
      <c r="H1270" s="437">
        <v>40</v>
      </c>
      <c r="I1270" s="17">
        <v>0</v>
      </c>
      <c r="J1270" s="438">
        <v>0</v>
      </c>
      <c r="K1270" s="437">
        <v>0</v>
      </c>
      <c r="L1270" s="623">
        <v>576</v>
      </c>
      <c r="M1270" s="437" t="s">
        <v>2510</v>
      </c>
      <c r="N1270" s="623">
        <v>576</v>
      </c>
      <c r="O1270" s="437" t="s">
        <v>5237</v>
      </c>
      <c r="P1270" s="437">
        <v>4</v>
      </c>
      <c r="Q1270" s="440"/>
      <c r="R1270" s="440"/>
      <c r="S1270" s="440"/>
      <c r="T1270" s="440"/>
      <c r="U1270" s="437">
        <v>1</v>
      </c>
      <c r="V1270" s="437">
        <v>0</v>
      </c>
      <c r="W1270" s="437">
        <v>0</v>
      </c>
      <c r="X1270" s="623">
        <v>0</v>
      </c>
      <c r="Y1270" s="437"/>
      <c r="Z1270" s="441">
        <v>0</v>
      </c>
      <c r="AA1270" s="437"/>
      <c r="AB1270" s="442"/>
      <c r="AC1270" s="442"/>
      <c r="AD1270" s="532"/>
      <c r="AE1270" s="443"/>
      <c r="AF1270" s="437" t="str">
        <f>"title("&amp;C1270&amp;")
body(hotyellow_3(任务进程:)newline()
   最近团的战斗比较激烈，需要1件hot("&amp;G1270&amp;"级至"&amp;H1270&amp;"级段的白色品质装备)进行研究。收集到符合条件的装备后，交给goto("&amp;N1270&amp;","&amp;P1270&amp;")。
   hot(护甲、头盔、鞋子、护腕、衬衣和腰带都符合要求。)
blankline()
   space()space()space()hot2(任务完成后,千万不要忘记向家族府邸的goto(45112,101)汇报哦！))"</f>
        <v>title([历练]收集装备)
body(hotyellow_3(任务进程:)newline()
   最近团的战斗比较激烈，需要1件hot(21级至40级段的白色品质装备)进行研究。收集到符合条件的装备后，交给goto(576,4)。
   hot(护甲、头盔、鞋子、护腕、衬衣和腰带都符合要求。)
blankline()
   space()space()space()hot2(任务完成后,千万不要忘记向家族府邸的goto(45112,101)汇报哦！))</v>
      </c>
      <c r="AG1270" s="437" t="str">
        <f>"body(   收集1件hot("&amp;G1270&amp;"级至"&amp;H1270&amp;"级段的白色品质装备)给我吧！hot(护甲、头盔、鞋子、护腕、衬衣和腰带都符合要求。))"</f>
        <v>body(   收集1件hot(21级至40级段的白色品质装备)给我吧！hot(护甲、头盔、鞋子、护腕、衬衣和腰带都符合要求。))</v>
      </c>
      <c r="AH1270" s="437" t="s">
        <v>114</v>
      </c>
      <c r="AI1270" s="437" t="s">
        <v>110</v>
      </c>
      <c r="AJ1270" s="437" t="s">
        <v>7461</v>
      </c>
      <c r="AK1270" s="437" t="s">
        <v>2795</v>
      </c>
      <c r="AL1270" s="438">
        <v>2</v>
      </c>
      <c r="AM1270" s="637" t="str">
        <f>"&lt;p&gt;
&lt;n&gt;  收集"&amp;U1270&amp;"个"&amp;G1270&amp;"至"&amp;H1270&amp;"级的白色防御防御装备&lt;/n&gt;
&lt;n&gt;  回复：&lt;/n&gt;
 &lt;n&gt; &lt;/n&gt;&lt;goto id="""&amp;N1270&amp;""" mapid=""3"" flagpoint=""1"" taskid="""&amp;A1270&amp;"""/&gt;
&lt;/p&gt;"</f>
        <v>&lt;p&gt;
&lt;n&gt;  收集1个21至40级的白色防御防御装备&lt;/n&gt;
&lt;n&gt;  回复：&lt;/n&gt;
 &lt;n&gt; &lt;/n&gt;&lt;goto id="576" mapid="3" flagpoint="1" taskid="21301"/&gt;
&lt;/p&gt;</v>
      </c>
      <c r="AN1270" s="635" t="str">
        <f t="shared" ref="AN1270:AN1285" si="170">"&lt;p&gt;
&lt;n&gt;  交：&lt;/n&gt;
 &lt;n&gt; &lt;/n&gt;&lt;goto quick=1 id="""&amp;N1270&amp;""" mapid="""&amp;F1270&amp;""" flagpoint=""1"" taskid="""&amp;A1270&amp;"""/&gt;&lt;/p&gt;"</f>
        <v>&lt;p&gt;
&lt;n&gt;  交：&lt;/n&gt;
 &lt;n&gt; &lt;/n&gt;&lt;goto quick=1 id="576" mapid="2" flagpoint="1" taskid="21301"/&gt;&lt;/p&gt;</v>
      </c>
      <c r="AO1270" s="437"/>
      <c r="AP1270" s="437">
        <v>0</v>
      </c>
      <c r="AQ1270" s="437">
        <v>0</v>
      </c>
      <c r="AR1270" s="437">
        <v>0</v>
      </c>
      <c r="AS1270" s="437">
        <v>0</v>
      </c>
      <c r="AT1270" s="437">
        <v>0</v>
      </c>
      <c r="AU1270" s="226">
        <v>0</v>
      </c>
      <c r="AV1270" s="17">
        <f t="shared" si="164"/>
        <v>0</v>
      </c>
      <c r="AW1270" s="437" t="str">
        <f t="shared" ref="AW1270:AW1333" si="171">"{s_taskTalk,{"&amp;L1270&amp;","&amp;N1270&amp;"}}"</f>
        <v>{s_taskTalk,{576,576}}</v>
      </c>
    </row>
    <row r="1271" spans="1:49" s="638" customFormat="1" ht="120" x14ac:dyDescent="0.15">
      <c r="A1271" s="436">
        <v>21302</v>
      </c>
      <c r="B1271" s="437"/>
      <c r="C1271" s="437" t="s">
        <v>6347</v>
      </c>
      <c r="D1271" s="437">
        <v>4</v>
      </c>
      <c r="E1271" s="437">
        <v>0</v>
      </c>
      <c r="F1271" s="629">
        <v>2</v>
      </c>
      <c r="G1271" s="438">
        <v>41</v>
      </c>
      <c r="H1271" s="437">
        <v>60</v>
      </c>
      <c r="I1271" s="17">
        <v>0</v>
      </c>
      <c r="J1271" s="438">
        <v>0</v>
      </c>
      <c r="K1271" s="437">
        <v>0</v>
      </c>
      <c r="L1271" s="623">
        <v>576</v>
      </c>
      <c r="M1271" s="437" t="s">
        <v>2510</v>
      </c>
      <c r="N1271" s="623">
        <v>576</v>
      </c>
      <c r="O1271" s="437" t="s">
        <v>5237</v>
      </c>
      <c r="P1271" s="437">
        <v>4</v>
      </c>
      <c r="Q1271" s="440"/>
      <c r="R1271" s="440"/>
      <c r="S1271" s="440"/>
      <c r="T1271" s="440"/>
      <c r="U1271" s="437">
        <v>1</v>
      </c>
      <c r="V1271" s="437">
        <v>0</v>
      </c>
      <c r="W1271" s="437">
        <v>0</v>
      </c>
      <c r="X1271" s="623">
        <v>0</v>
      </c>
      <c r="Y1271" s="437"/>
      <c r="Z1271" s="441">
        <v>0</v>
      </c>
      <c r="AA1271" s="437"/>
      <c r="AB1271" s="442"/>
      <c r="AC1271" s="442"/>
      <c r="AD1271" s="532"/>
      <c r="AE1271" s="443"/>
      <c r="AF1271" s="437" t="str">
        <f>"title("&amp;C1271&amp;")
body(hotyellow_3(任务进程:)newline()
   最近团的战斗比较激烈，需要1件hot("&amp;G1271&amp;"级至"&amp;H1271&amp;"级段的白色品质装备)进行研究。收集到符合条件的装备后，交给goto("&amp;N1271&amp;","&amp;P1271&amp;")。
   hot(护甲、头盔、鞋子、护腕、衬衣和腰带都符合要求。)
blankline()
   space()space()space()hot2(任务完成后,千万不要忘记向家族府邸的goto(45112,101)汇报哦！))"</f>
        <v>title([历练]收集装备)
body(hotyellow_3(任务进程:)newline()
   最近团的战斗比较激烈，需要1件hot(41级至60级段的白色品质装备)进行研究。收集到符合条件的装备后，交给goto(576,4)。
   hot(护甲、头盔、鞋子、护腕、衬衣和腰带都符合要求。)
blankline()
   space()space()space()hot2(任务完成后,千万不要忘记向家族府邸的goto(45112,101)汇报哦！))</v>
      </c>
      <c r="AG1271" s="437" t="str">
        <f>"body(   收集1件hot("&amp;G1271&amp;"级至"&amp;H1271&amp;"级段的白色品质装备)给我吧！hot(护甲、头盔、鞋子、护腕、衬衣和腰带都符合要求。))"</f>
        <v>body(   收集1件hot(41级至60级段的白色品质装备)给我吧！hot(护甲、头盔、鞋子、护腕、衬衣和腰带都符合要求。))</v>
      </c>
      <c r="AH1271" s="437" t="s">
        <v>114</v>
      </c>
      <c r="AI1271" s="437" t="s">
        <v>110</v>
      </c>
      <c r="AJ1271" s="437" t="s">
        <v>7461</v>
      </c>
      <c r="AK1271" s="437" t="s">
        <v>2795</v>
      </c>
      <c r="AL1271" s="438">
        <v>2</v>
      </c>
      <c r="AM1271" s="637" t="str">
        <f>"&lt;p&gt;
&lt;n&gt;  收集"&amp;U1271&amp;"个"&amp;G1271&amp;"至"&amp;H1271&amp;"级的白色防御装备&lt;/n&gt;
&lt;n&gt;  回复：&lt;/n&gt;
 &lt;n&gt; &lt;/n&gt;&lt;goto id="""&amp;N1271&amp;""" mapid=""3"" flagpoint=""1"" taskid="""&amp;A1271&amp;"""/&gt;
&lt;/p&gt;"</f>
        <v>&lt;p&gt;
&lt;n&gt;  收集1个41至60级的白色防御装备&lt;/n&gt;
&lt;n&gt;  回复：&lt;/n&gt;
 &lt;n&gt; &lt;/n&gt;&lt;goto id="576" mapid="3" flagpoint="1" taskid="21302"/&gt;
&lt;/p&gt;</v>
      </c>
      <c r="AN1271" s="635" t="str">
        <f t="shared" si="170"/>
        <v>&lt;p&gt;
&lt;n&gt;  交：&lt;/n&gt;
 &lt;n&gt; &lt;/n&gt;&lt;goto quick=1 id="576" mapid="2" flagpoint="1" taskid="21302"/&gt;&lt;/p&gt;</v>
      </c>
      <c r="AO1271" s="437"/>
      <c r="AP1271" s="437">
        <v>0</v>
      </c>
      <c r="AQ1271" s="437">
        <v>0</v>
      </c>
      <c r="AR1271" s="437">
        <v>0</v>
      </c>
      <c r="AS1271" s="437">
        <v>0</v>
      </c>
      <c r="AT1271" s="437">
        <v>0</v>
      </c>
      <c r="AU1271" s="226">
        <v>0</v>
      </c>
      <c r="AV1271" s="17">
        <f t="shared" si="164"/>
        <v>0</v>
      </c>
      <c r="AW1271" s="437" t="str">
        <f t="shared" si="171"/>
        <v>{s_taskTalk,{576,576}}</v>
      </c>
    </row>
    <row r="1272" spans="1:49" s="638" customFormat="1" ht="120" x14ac:dyDescent="0.15">
      <c r="A1272" s="436">
        <v>21303</v>
      </c>
      <c r="B1272" s="437"/>
      <c r="C1272" s="437" t="s">
        <v>6347</v>
      </c>
      <c r="D1272" s="437">
        <v>4</v>
      </c>
      <c r="E1272" s="437">
        <v>0</v>
      </c>
      <c r="F1272" s="629">
        <v>2</v>
      </c>
      <c r="G1272" s="438">
        <v>61</v>
      </c>
      <c r="H1272" s="437">
        <v>80</v>
      </c>
      <c r="I1272" s="17">
        <v>0</v>
      </c>
      <c r="J1272" s="438">
        <v>0</v>
      </c>
      <c r="K1272" s="437">
        <v>0</v>
      </c>
      <c r="L1272" s="623">
        <v>576</v>
      </c>
      <c r="M1272" s="437" t="s">
        <v>2510</v>
      </c>
      <c r="N1272" s="623">
        <v>576</v>
      </c>
      <c r="O1272" s="437" t="s">
        <v>5237</v>
      </c>
      <c r="P1272" s="437">
        <v>4</v>
      </c>
      <c r="Q1272" s="440"/>
      <c r="R1272" s="440"/>
      <c r="S1272" s="440"/>
      <c r="T1272" s="440"/>
      <c r="U1272" s="437">
        <v>1</v>
      </c>
      <c r="V1272" s="437">
        <v>0</v>
      </c>
      <c r="W1272" s="437">
        <v>0</v>
      </c>
      <c r="X1272" s="623">
        <v>0</v>
      </c>
      <c r="Y1272" s="437"/>
      <c r="Z1272" s="441">
        <v>0</v>
      </c>
      <c r="AA1272" s="437"/>
      <c r="AB1272" s="442"/>
      <c r="AC1272" s="442"/>
      <c r="AD1272" s="532"/>
      <c r="AE1272" s="443"/>
      <c r="AF1272" s="437" t="str">
        <f>"title("&amp;C1272&amp;")
body(hotyellow_3(任务进程:)newline()
   最近团的战斗比较激烈，需要1件hot("&amp;G1272&amp;"级至"&amp;H1272&amp;"级段的白色品质装备)进行研究。收集到符合条件的装备后，交给goto("&amp;N1272&amp;","&amp;P1272&amp;")。
   hot(护甲、头盔、鞋子、护腕、衬衣和腰带都符合要求。)
blankline()
   space()space()space()hot2(任务完成后,千万不要忘记向家族府邸的goto(45112,101)汇报哦！))"</f>
        <v>title([历练]收集装备)
body(hotyellow_3(任务进程:)newline()
   最近团的战斗比较激烈，需要1件hot(61级至80级段的白色品质装备)进行研究。收集到符合条件的装备后，交给goto(576,4)。
   hot(护甲、头盔、鞋子、护腕、衬衣和腰带都符合要求。)
blankline()
   space()space()space()hot2(任务完成后,千万不要忘记向家族府邸的goto(45112,101)汇报哦！))</v>
      </c>
      <c r="AG1272" s="437" t="str">
        <f>"body(   收集1件hot("&amp;G1272&amp;"级至"&amp;H1272&amp;"级段的白色品质装备)给我吧！hot(护甲、头盔、鞋子、护腕、衬衣和腰带都符合要求。))"</f>
        <v>body(   收集1件hot(61级至80级段的白色品质装备)给我吧！hot(护甲、头盔、鞋子、护腕、衬衣和腰带都符合要求。))</v>
      </c>
      <c r="AH1272" s="437" t="s">
        <v>114</v>
      </c>
      <c r="AI1272" s="437" t="s">
        <v>110</v>
      </c>
      <c r="AJ1272" s="437" t="s">
        <v>7461</v>
      </c>
      <c r="AK1272" s="437" t="s">
        <v>2795</v>
      </c>
      <c r="AL1272" s="438">
        <v>2</v>
      </c>
      <c r="AM1272" s="637" t="str">
        <f>"&lt;p&gt;
&lt;n&gt;  收集"&amp;U1272&amp;"个"&amp;G1272&amp;"至"&amp;H1272&amp;"级的白色防御装备&lt;/n&gt;&lt;newline/&gt;
&lt;n&gt;  回复：&lt;/n&gt;
 &lt;n&gt; &lt;/n&gt;&lt;goto id="""&amp;N1272&amp;""" mapid="""&amp;F1272&amp;""" flagpoint=""1"" taskid="""&amp;A1272&amp;"""/&gt;
&lt;/p&gt;"</f>
        <v>&lt;p&gt;
&lt;n&gt;  收集1个61至80级的白色防御装备&lt;/n&gt;&lt;newline/&gt;
&lt;n&gt;  回复：&lt;/n&gt;
 &lt;n&gt; &lt;/n&gt;&lt;goto id="576" mapid="2" flagpoint="1" taskid="21303"/&gt;
&lt;/p&gt;</v>
      </c>
      <c r="AN1272" s="635" t="str">
        <f t="shared" si="170"/>
        <v>&lt;p&gt;
&lt;n&gt;  交：&lt;/n&gt;
 &lt;n&gt; &lt;/n&gt;&lt;goto quick=1 id="576" mapid="2" flagpoint="1" taskid="21303"/&gt;&lt;/p&gt;</v>
      </c>
      <c r="AO1272" s="437"/>
      <c r="AP1272" s="437">
        <v>0</v>
      </c>
      <c r="AQ1272" s="437">
        <v>0</v>
      </c>
      <c r="AR1272" s="437">
        <v>0</v>
      </c>
      <c r="AS1272" s="437">
        <v>0</v>
      </c>
      <c r="AT1272" s="437">
        <v>0</v>
      </c>
      <c r="AU1272" s="226">
        <v>0</v>
      </c>
      <c r="AV1272" s="17">
        <f t="shared" si="164"/>
        <v>0</v>
      </c>
      <c r="AW1272" s="437" t="str">
        <f t="shared" si="171"/>
        <v>{s_taskTalk,{576,576}}</v>
      </c>
    </row>
    <row r="1273" spans="1:49" s="638" customFormat="1" ht="120" x14ac:dyDescent="0.15">
      <c r="A1273" s="436">
        <v>21304</v>
      </c>
      <c r="B1273" s="437"/>
      <c r="C1273" s="437" t="s">
        <v>6347</v>
      </c>
      <c r="D1273" s="437">
        <v>4</v>
      </c>
      <c r="E1273" s="437">
        <v>0</v>
      </c>
      <c r="F1273" s="629">
        <v>2</v>
      </c>
      <c r="G1273" s="438">
        <v>81</v>
      </c>
      <c r="H1273" s="437">
        <v>100</v>
      </c>
      <c r="I1273" s="17">
        <v>0</v>
      </c>
      <c r="J1273" s="438">
        <v>0</v>
      </c>
      <c r="K1273" s="437">
        <v>0</v>
      </c>
      <c r="L1273" s="623">
        <v>576</v>
      </c>
      <c r="M1273" s="437" t="s">
        <v>2510</v>
      </c>
      <c r="N1273" s="623">
        <v>576</v>
      </c>
      <c r="O1273" s="437" t="s">
        <v>5237</v>
      </c>
      <c r="P1273" s="437">
        <v>4</v>
      </c>
      <c r="Q1273" s="440"/>
      <c r="R1273" s="440"/>
      <c r="S1273" s="440"/>
      <c r="T1273" s="440"/>
      <c r="U1273" s="437">
        <v>1</v>
      </c>
      <c r="V1273" s="437">
        <v>0</v>
      </c>
      <c r="W1273" s="437">
        <v>0</v>
      </c>
      <c r="X1273" s="623">
        <v>0</v>
      </c>
      <c r="Y1273" s="437"/>
      <c r="Z1273" s="441">
        <v>0</v>
      </c>
      <c r="AA1273" s="437"/>
      <c r="AB1273" s="442"/>
      <c r="AC1273" s="442"/>
      <c r="AD1273" s="532"/>
      <c r="AE1273" s="443"/>
      <c r="AF1273" s="437" t="str">
        <f>"title("&amp;C1273&amp;")
body(hotyellow_3(任务进程:)newline()
   最近团的战斗比较激烈，需要1件hot("&amp;G1273&amp;"级至"&amp;H1273&amp;"级段的白色品质装备)进行研究。收集到符合条件的装备后，交给goto("&amp;N1273&amp;","&amp;P1273&amp;")。
   hot(护甲、头盔、鞋子、护腕、衬衣和腰带都符合要求。)
blankline()
   space()space()space()hot2(任务完成后,千万不要忘记向家族府邸的goto(45112,101)汇报哦！))"</f>
        <v>title([历练]收集装备)
body(hotyellow_3(任务进程:)newline()
   最近团的战斗比较激烈，需要1件hot(81级至100级段的白色品质装备)进行研究。收集到符合条件的装备后，交给goto(576,4)。
   hot(护甲、头盔、鞋子、护腕、衬衣和腰带都符合要求。)
blankline()
   space()space()space()hot2(任务完成后,千万不要忘记向家族府邸的goto(45112,101)汇报哦！))</v>
      </c>
      <c r="AG1273" s="437" t="str">
        <f>"body(   收集1件hot("&amp;G1273&amp;"级至"&amp;H1273&amp;"级段的白色品质装备)给我吧！hot(护甲、头盔、鞋子、护腕、衬衣和腰带都符合要求。))"</f>
        <v>body(   收集1件hot(81级至100级段的白色品质装备)给我吧！hot(护甲、头盔、鞋子、护腕、衬衣和腰带都符合要求。))</v>
      </c>
      <c r="AH1273" s="437" t="s">
        <v>114</v>
      </c>
      <c r="AI1273" s="437" t="s">
        <v>110</v>
      </c>
      <c r="AJ1273" s="437" t="s">
        <v>7461</v>
      </c>
      <c r="AK1273" s="437" t="s">
        <v>2795</v>
      </c>
      <c r="AL1273" s="438">
        <v>2</v>
      </c>
      <c r="AM1273" s="637" t="str">
        <f>"&lt;p&gt;
&lt;n&gt;  收集"&amp;U1273&amp;"个"&amp;G1273&amp;"至"&amp;H1273&amp;"级的白色防御装备&lt;/n&gt;&lt;newline/&gt;
&lt;n&gt;  回复：&lt;/n&gt;
 &lt;n&gt; &lt;/n&gt;&lt;goto id="""&amp;N1273&amp;""" mapid="""&amp;F1273&amp;""" flagpoint=""1"" taskid="""&amp;A1273&amp;"""/&gt;
&lt;/p&gt;"</f>
        <v>&lt;p&gt;
&lt;n&gt;  收集1个81至100级的白色防御装备&lt;/n&gt;&lt;newline/&gt;
&lt;n&gt;  回复：&lt;/n&gt;
 &lt;n&gt; &lt;/n&gt;&lt;goto id="576" mapid="2" flagpoint="1" taskid="21304"/&gt;
&lt;/p&gt;</v>
      </c>
      <c r="AN1273" s="635" t="str">
        <f t="shared" si="170"/>
        <v>&lt;p&gt;
&lt;n&gt;  交：&lt;/n&gt;
 &lt;n&gt; &lt;/n&gt;&lt;goto quick=1 id="576" mapid="2" flagpoint="1" taskid="21304"/&gt;&lt;/p&gt;</v>
      </c>
      <c r="AO1273" s="437"/>
      <c r="AP1273" s="437">
        <v>0</v>
      </c>
      <c r="AQ1273" s="437">
        <v>0</v>
      </c>
      <c r="AR1273" s="437">
        <v>0</v>
      </c>
      <c r="AS1273" s="437">
        <v>0</v>
      </c>
      <c r="AT1273" s="437">
        <v>0</v>
      </c>
      <c r="AU1273" s="226">
        <v>0</v>
      </c>
      <c r="AV1273" s="17">
        <f t="shared" si="164"/>
        <v>0</v>
      </c>
      <c r="AW1273" s="437" t="str">
        <f>"{s_taskTalk,{"&amp;L1273&amp;","&amp;N1273&amp;"}}"</f>
        <v>{s_taskTalk,{576,576}}</v>
      </c>
    </row>
    <row r="1274" spans="1:49" s="638" customFormat="1" ht="120" x14ac:dyDescent="0.15">
      <c r="A1274" s="436">
        <v>21305</v>
      </c>
      <c r="B1274" s="437"/>
      <c r="C1274" s="437" t="s">
        <v>6347</v>
      </c>
      <c r="D1274" s="437">
        <v>4</v>
      </c>
      <c r="E1274" s="437">
        <v>0</v>
      </c>
      <c r="F1274" s="629">
        <v>2</v>
      </c>
      <c r="G1274" s="438">
        <v>101</v>
      </c>
      <c r="H1274" s="437">
        <v>120</v>
      </c>
      <c r="I1274" s="17">
        <v>0</v>
      </c>
      <c r="J1274" s="438">
        <v>0</v>
      </c>
      <c r="K1274" s="437">
        <v>0</v>
      </c>
      <c r="L1274" s="623">
        <v>576</v>
      </c>
      <c r="M1274" s="437" t="s">
        <v>2510</v>
      </c>
      <c r="N1274" s="623">
        <v>576</v>
      </c>
      <c r="O1274" s="437" t="s">
        <v>5237</v>
      </c>
      <c r="P1274" s="437">
        <v>4</v>
      </c>
      <c r="Q1274" s="440"/>
      <c r="R1274" s="440"/>
      <c r="S1274" s="440"/>
      <c r="T1274" s="440"/>
      <c r="U1274" s="437">
        <v>1</v>
      </c>
      <c r="V1274" s="437">
        <v>0</v>
      </c>
      <c r="W1274" s="437">
        <v>0</v>
      </c>
      <c r="X1274" s="623">
        <v>0</v>
      </c>
      <c r="Y1274" s="437"/>
      <c r="Z1274" s="441">
        <v>0</v>
      </c>
      <c r="AA1274" s="437"/>
      <c r="AB1274" s="442"/>
      <c r="AC1274" s="442"/>
      <c r="AD1274" s="532"/>
      <c r="AE1274" s="443"/>
      <c r="AF1274" s="437" t="str">
        <f>"title("&amp;C1274&amp;")
body(hotyellow_3(任务进程:)newline()
   最近团的战斗比较激烈，需要1件hot("&amp;G1274&amp;"级至"&amp;H1274&amp;"级段的白色品质装备)进行研究。收集到符合条件的装备后，交给goto("&amp;N1274&amp;","&amp;P1274&amp;")。
   hot(护甲、头盔、鞋子、护腕、衬衣和腰带都符合要求。)
blankline()
   space()space()space()hot2(任务完成后,千万不要忘记向家族府邸的goto(45112,101)汇报哦！))"</f>
        <v>title([历练]收集装备)
body(hotyellow_3(任务进程:)newline()
   最近团的战斗比较激烈，需要1件hot(101级至120级段的白色品质装备)进行研究。收集到符合条件的装备后，交给goto(576,4)。
   hot(护甲、头盔、鞋子、护腕、衬衣和腰带都符合要求。)
blankline()
   space()space()space()hot2(任务完成后,千万不要忘记向家族府邸的goto(45112,101)汇报哦！))</v>
      </c>
      <c r="AG1274" s="437" t="str">
        <f>"body(   收集1件hot("&amp;G1274&amp;"级至"&amp;H1274&amp;"级段的白色品质装备)给我吧！hot(护甲、头盔、鞋子、护腕、衬衣和腰带都符合要求。))"</f>
        <v>body(   收集1件hot(101级至120级段的白色品质装备)给我吧！hot(护甲、头盔、鞋子、护腕、衬衣和腰带都符合要求。))</v>
      </c>
      <c r="AH1274" s="437" t="s">
        <v>114</v>
      </c>
      <c r="AI1274" s="437" t="s">
        <v>110</v>
      </c>
      <c r="AJ1274" s="437" t="s">
        <v>7461</v>
      </c>
      <c r="AK1274" s="437" t="s">
        <v>2795</v>
      </c>
      <c r="AL1274" s="438">
        <v>2</v>
      </c>
      <c r="AM1274" s="637" t="str">
        <f>"&lt;p&gt;
&lt;n&gt;  收集"&amp;U1274&amp;"个"&amp;G1274&amp;"至"&amp;H1274&amp;"级的白色防御装备&lt;/n&gt;&lt;newline/&gt;
&lt;n&gt;  回复：&lt;/n&gt;
 &lt;n&gt; &lt;/n&gt;&lt;goto id="""&amp;N1274&amp;""" mapid="""&amp;F1274&amp;""" flagpoint=""1"" taskid="""&amp;A1274&amp;"""/&gt;
&lt;/p&gt;"</f>
        <v>&lt;p&gt;
&lt;n&gt;  收集1个101至120级的白色防御装备&lt;/n&gt;&lt;newline/&gt;
&lt;n&gt;  回复：&lt;/n&gt;
 &lt;n&gt; &lt;/n&gt;&lt;goto id="576" mapid="2" flagpoint="1" taskid="21305"/&gt;
&lt;/p&gt;</v>
      </c>
      <c r="AN1274" s="635" t="str">
        <f t="shared" si="170"/>
        <v>&lt;p&gt;
&lt;n&gt;  交：&lt;/n&gt;
 &lt;n&gt; &lt;/n&gt;&lt;goto quick=1 id="576" mapid="2" flagpoint="1" taskid="21305"/&gt;&lt;/p&gt;</v>
      </c>
      <c r="AO1274" s="437"/>
      <c r="AP1274" s="437">
        <v>0</v>
      </c>
      <c r="AQ1274" s="437">
        <v>0</v>
      </c>
      <c r="AR1274" s="437">
        <v>0</v>
      </c>
      <c r="AS1274" s="437">
        <v>0</v>
      </c>
      <c r="AT1274" s="437">
        <v>0</v>
      </c>
      <c r="AU1274" s="226">
        <v>0</v>
      </c>
      <c r="AV1274" s="17">
        <f t="shared" ref="AV1274:AV1337" si="172">IF(D1274 = 1,1,0)</f>
        <v>0</v>
      </c>
      <c r="AW1274" s="437" t="str">
        <f t="shared" si="171"/>
        <v>{s_taskTalk,{576,576}}</v>
      </c>
    </row>
    <row r="1275" spans="1:49" s="643" customFormat="1" ht="120" x14ac:dyDescent="0.15">
      <c r="A1275" s="639">
        <v>21306</v>
      </c>
      <c r="B1275" s="639"/>
      <c r="C1275" s="639" t="s">
        <v>6347</v>
      </c>
      <c r="D1275" s="639">
        <v>4</v>
      </c>
      <c r="E1275" s="639">
        <v>0</v>
      </c>
      <c r="F1275" s="629">
        <v>2</v>
      </c>
      <c r="G1275" s="640">
        <v>61</v>
      </c>
      <c r="H1275" s="639">
        <v>80</v>
      </c>
      <c r="I1275" s="17">
        <v>0</v>
      </c>
      <c r="J1275" s="640">
        <v>0</v>
      </c>
      <c r="K1275" s="639">
        <v>0</v>
      </c>
      <c r="L1275" s="623">
        <v>576</v>
      </c>
      <c r="M1275" s="639" t="s">
        <v>2510</v>
      </c>
      <c r="N1275" s="623">
        <v>576</v>
      </c>
      <c r="O1275" s="639" t="s">
        <v>5237</v>
      </c>
      <c r="P1275" s="639">
        <v>4</v>
      </c>
      <c r="Q1275" s="440"/>
      <c r="R1275" s="440"/>
      <c r="S1275" s="440"/>
      <c r="T1275" s="440"/>
      <c r="U1275" s="639">
        <v>1</v>
      </c>
      <c r="V1275" s="639">
        <v>0</v>
      </c>
      <c r="W1275" s="639">
        <v>0</v>
      </c>
      <c r="X1275" s="623">
        <v>0</v>
      </c>
      <c r="Y1275" s="639"/>
      <c r="Z1275" s="641">
        <v>0</v>
      </c>
      <c r="AA1275" s="639"/>
      <c r="AB1275" s="642"/>
      <c r="AC1275" s="642"/>
      <c r="AD1275" s="532"/>
      <c r="AE1275" s="637"/>
      <c r="AF1275" s="639" t="str">
        <f>"title("&amp;C1275&amp;")
body(hotyellow_3(任务进程:)newline()
   最近团的战斗比较激烈，需要1件hot("&amp;G1275&amp;"级至"&amp;H1275&amp;"级段的蓝色品质装备)进行研究。收集到符合条件的装备后，交给goto("&amp;N1275&amp;","&amp;P1275&amp;")。
   hot(护甲、头盔、鞋子、护腕、衬衣和腰带都符合要求。)
blankline()
   space()space()space()hot2(任务完成后,千万不要忘记向家族府邸的goto(45112,101)汇报哦！))"</f>
        <v>title([历练]收集装备)
body(hotyellow_3(任务进程:)newline()
   最近团的战斗比较激烈，需要1件hot(61级至80级段的蓝色品质装备)进行研究。收集到符合条件的装备后，交给goto(576,4)。
   hot(护甲、头盔、鞋子、护腕、衬衣和腰带都符合要求。)
blankline()
   space()space()space()hot2(任务完成后,千万不要忘记向家族府邸的goto(45112,101)汇报哦！))</v>
      </c>
      <c r="AG1275" s="639" t="str">
        <f>"body(   收集1件hot("&amp;G1275&amp;"级至"&amp;H1275&amp;"级段的蓝色品质装备)给我吧！hot(护甲、头盔、鞋子、护腕、衬衣和腰带都符合要求。))"</f>
        <v>body(   收集1件hot(61级至80级段的蓝色品质装备)给我吧！hot(护甲、头盔、鞋子、护腕、衬衣和腰带都符合要求。))</v>
      </c>
      <c r="AH1275" s="639" t="s">
        <v>114</v>
      </c>
      <c r="AI1275" s="639" t="s">
        <v>110</v>
      </c>
      <c r="AJ1275" s="639" t="s">
        <v>7461</v>
      </c>
      <c r="AK1275" s="437" t="s">
        <v>2795</v>
      </c>
      <c r="AL1275" s="640">
        <v>2</v>
      </c>
      <c r="AM1275" s="637" t="str">
        <f>"&lt;p&gt;
&lt;n&gt;  收集"&amp;U1275&amp;"个"&amp;G1275&amp;"至"&amp;H1275&amp;"级的蓝色防御装备&lt;/n&gt;
&lt;n&gt;  回复：&lt;/n&gt;
 &lt;n&gt; &lt;/n&gt;&lt;goto id="""&amp;N1275&amp;""" mapid="""&amp;F1275&amp;""" flagpoint=""1"" taskid="""&amp;A1275&amp;"""/&gt;
&lt;/p&gt;"</f>
        <v>&lt;p&gt;
&lt;n&gt;  收集1个61至80级的蓝色防御装备&lt;/n&gt;
&lt;n&gt;  回复：&lt;/n&gt;
 &lt;n&gt; &lt;/n&gt;&lt;goto id="576" mapid="2" flagpoint="1" taskid="21306"/&gt;
&lt;/p&gt;</v>
      </c>
      <c r="AN1275" s="635" t="str">
        <f t="shared" si="170"/>
        <v>&lt;p&gt;
&lt;n&gt;  交：&lt;/n&gt;
 &lt;n&gt; &lt;/n&gt;&lt;goto quick=1 id="576" mapid="2" flagpoint="1" taskid="21306"/&gt;&lt;/p&gt;</v>
      </c>
      <c r="AO1275" s="639"/>
      <c r="AP1275" s="639">
        <v>0</v>
      </c>
      <c r="AQ1275" s="639">
        <v>0</v>
      </c>
      <c r="AR1275" s="639">
        <v>0</v>
      </c>
      <c r="AS1275" s="639">
        <v>0</v>
      </c>
      <c r="AT1275" s="639">
        <v>0</v>
      </c>
      <c r="AU1275" s="226">
        <v>0</v>
      </c>
      <c r="AV1275" s="17">
        <f t="shared" si="172"/>
        <v>0</v>
      </c>
      <c r="AW1275" s="639" t="str">
        <f t="shared" si="171"/>
        <v>{s_taskTalk,{576,576}}</v>
      </c>
    </row>
    <row r="1276" spans="1:49" s="643" customFormat="1" ht="120" x14ac:dyDescent="0.15">
      <c r="A1276" s="639">
        <v>21307</v>
      </c>
      <c r="B1276" s="639"/>
      <c r="C1276" s="639" t="s">
        <v>6347</v>
      </c>
      <c r="D1276" s="639">
        <v>4</v>
      </c>
      <c r="E1276" s="639">
        <v>0</v>
      </c>
      <c r="F1276" s="629">
        <v>2</v>
      </c>
      <c r="G1276" s="640">
        <v>81</v>
      </c>
      <c r="H1276" s="639">
        <v>100</v>
      </c>
      <c r="I1276" s="17">
        <v>0</v>
      </c>
      <c r="J1276" s="640">
        <v>0</v>
      </c>
      <c r="K1276" s="639">
        <v>0</v>
      </c>
      <c r="L1276" s="623">
        <v>576</v>
      </c>
      <c r="M1276" s="639" t="s">
        <v>2510</v>
      </c>
      <c r="N1276" s="623">
        <v>576</v>
      </c>
      <c r="O1276" s="639" t="s">
        <v>5237</v>
      </c>
      <c r="P1276" s="639">
        <v>4</v>
      </c>
      <c r="Q1276" s="440"/>
      <c r="R1276" s="440"/>
      <c r="S1276" s="440"/>
      <c r="T1276" s="440"/>
      <c r="U1276" s="639">
        <v>1</v>
      </c>
      <c r="V1276" s="639">
        <v>0</v>
      </c>
      <c r="W1276" s="639">
        <v>0</v>
      </c>
      <c r="X1276" s="623">
        <v>0</v>
      </c>
      <c r="Y1276" s="639"/>
      <c r="Z1276" s="641">
        <v>0</v>
      </c>
      <c r="AA1276" s="639"/>
      <c r="AB1276" s="642"/>
      <c r="AC1276" s="642"/>
      <c r="AD1276" s="532"/>
      <c r="AE1276" s="637"/>
      <c r="AF1276" s="639" t="str">
        <f>"title("&amp;C1276&amp;")
body(hotyellow_3(任务进程:)newline()
   最近团的战斗比较激烈，需要1件hot("&amp;G1276&amp;"级至"&amp;H1276&amp;"级段的蓝色品质装备)进行研究。收集到符合条件的装备后，交给goto("&amp;N1276&amp;","&amp;P1276&amp;")。
   hot(护甲、头盔、鞋子、护腕、衬衣和腰带都符合要求。)
blankline()
   space()space()space()hot2(任务完成后,千万不要忘记向家族府邸的goto(45112,101)汇报哦！))"</f>
        <v>title([历练]收集装备)
body(hotyellow_3(任务进程:)newline()
   最近团的战斗比较激烈，需要1件hot(81级至100级段的蓝色品质装备)进行研究。收集到符合条件的装备后，交给goto(576,4)。
   hot(护甲、头盔、鞋子、护腕、衬衣和腰带都符合要求。)
blankline()
   space()space()space()hot2(任务完成后,千万不要忘记向家族府邸的goto(45112,101)汇报哦！))</v>
      </c>
      <c r="AG1276" s="639" t="str">
        <f>"body(   收集1件hot("&amp;G1276&amp;"级至"&amp;H1276&amp;"级段的蓝色品质装备)给我吧！hot(护甲、头盔、鞋子、护腕、衬衣和腰带都符合要求。))"</f>
        <v>body(   收集1件hot(81级至100级段的蓝色品质装备)给我吧！hot(护甲、头盔、鞋子、护腕、衬衣和腰带都符合要求。))</v>
      </c>
      <c r="AH1276" s="639" t="s">
        <v>114</v>
      </c>
      <c r="AI1276" s="639" t="s">
        <v>110</v>
      </c>
      <c r="AJ1276" s="639" t="s">
        <v>7461</v>
      </c>
      <c r="AK1276" s="437" t="s">
        <v>2795</v>
      </c>
      <c r="AL1276" s="640">
        <v>2</v>
      </c>
      <c r="AM1276" s="637" t="str">
        <f>"&lt;p&gt;
&lt;n&gt;  收集"&amp;U1276&amp;"个"&amp;G1276&amp;"至"&amp;H1276&amp;"级的蓝色防御装备&lt;/n&gt;
&lt;n&gt;  回复：&lt;/n&gt;
 &lt;n&gt; &lt;/n&gt;&lt;goto id="""&amp;N1276&amp;""" mapid="""&amp;F1276&amp;""" flagpoint=""1"" taskid="""&amp;A1276&amp;"""/&gt;
&lt;/p&gt;"</f>
        <v>&lt;p&gt;
&lt;n&gt;  收集1个81至100级的蓝色防御装备&lt;/n&gt;
&lt;n&gt;  回复：&lt;/n&gt;
 &lt;n&gt; &lt;/n&gt;&lt;goto id="576" mapid="2" flagpoint="1" taskid="21307"/&gt;
&lt;/p&gt;</v>
      </c>
      <c r="AN1276" s="635" t="str">
        <f t="shared" si="170"/>
        <v>&lt;p&gt;
&lt;n&gt;  交：&lt;/n&gt;
 &lt;n&gt; &lt;/n&gt;&lt;goto quick=1 id="576" mapid="2" flagpoint="1" taskid="21307"/&gt;&lt;/p&gt;</v>
      </c>
      <c r="AO1276" s="639"/>
      <c r="AP1276" s="639">
        <v>0</v>
      </c>
      <c r="AQ1276" s="639">
        <v>0</v>
      </c>
      <c r="AR1276" s="639">
        <v>0</v>
      </c>
      <c r="AS1276" s="639">
        <v>0</v>
      </c>
      <c r="AT1276" s="639">
        <v>0</v>
      </c>
      <c r="AU1276" s="226">
        <v>0</v>
      </c>
      <c r="AV1276" s="17">
        <f t="shared" si="172"/>
        <v>0</v>
      </c>
      <c r="AW1276" s="639" t="str">
        <f t="shared" si="171"/>
        <v>{s_taskTalk,{576,576}}</v>
      </c>
    </row>
    <row r="1277" spans="1:49" s="643" customFormat="1" ht="120" x14ac:dyDescent="0.15">
      <c r="A1277" s="639">
        <v>21308</v>
      </c>
      <c r="B1277" s="639"/>
      <c r="C1277" s="639" t="s">
        <v>6347</v>
      </c>
      <c r="D1277" s="639">
        <v>4</v>
      </c>
      <c r="E1277" s="639">
        <v>0</v>
      </c>
      <c r="F1277" s="629">
        <v>2</v>
      </c>
      <c r="G1277" s="640">
        <v>101</v>
      </c>
      <c r="H1277" s="639">
        <v>120</v>
      </c>
      <c r="I1277" s="17">
        <v>0</v>
      </c>
      <c r="J1277" s="640">
        <v>0</v>
      </c>
      <c r="K1277" s="639">
        <v>0</v>
      </c>
      <c r="L1277" s="623">
        <v>576</v>
      </c>
      <c r="M1277" s="639" t="s">
        <v>2510</v>
      </c>
      <c r="N1277" s="623">
        <v>576</v>
      </c>
      <c r="O1277" s="639" t="s">
        <v>5237</v>
      </c>
      <c r="P1277" s="639">
        <v>4</v>
      </c>
      <c r="Q1277" s="440"/>
      <c r="R1277" s="440"/>
      <c r="S1277" s="440"/>
      <c r="T1277" s="440"/>
      <c r="U1277" s="639">
        <v>1</v>
      </c>
      <c r="V1277" s="639">
        <v>0</v>
      </c>
      <c r="W1277" s="639">
        <v>0</v>
      </c>
      <c r="X1277" s="623">
        <v>0</v>
      </c>
      <c r="Y1277" s="639"/>
      <c r="Z1277" s="641">
        <v>0</v>
      </c>
      <c r="AA1277" s="639"/>
      <c r="AB1277" s="642"/>
      <c r="AC1277" s="642"/>
      <c r="AD1277" s="532"/>
      <c r="AE1277" s="637"/>
      <c r="AF1277" s="639" t="str">
        <f>"title("&amp;C1277&amp;")
body(hotyellow_3(任务进程:)newline()
   最近团的战斗比较激烈，需要1件hot("&amp;G1277&amp;"级至"&amp;H1277&amp;"级段的蓝色品质装备)进行研究。收集到符合条件的装备后，交给goto("&amp;N1277&amp;","&amp;P1277&amp;")。
   hot(护甲、头盔、鞋子、护腕、衬衣和腰带都符合要求。)
blankline()
   space()space()space()hot2(任务完成后,千万不要忘记向家族府邸的goto(45112,101)汇报哦！))"</f>
        <v>title([历练]收集装备)
body(hotyellow_3(任务进程:)newline()
   最近团的战斗比较激烈，需要1件hot(101级至120级段的蓝色品质装备)进行研究。收集到符合条件的装备后，交给goto(576,4)。
   hot(护甲、头盔、鞋子、护腕、衬衣和腰带都符合要求。)
blankline()
   space()space()space()hot2(任务完成后,千万不要忘记向家族府邸的goto(45112,101)汇报哦！))</v>
      </c>
      <c r="AG1277" s="639" t="str">
        <f>"body(   收集1件hot("&amp;G1277&amp;"级至"&amp;H1277&amp;"级段的蓝色品质装备)给我吧！hot(护甲、头盔、鞋子、护腕、衬衣和腰带都符合要求。))"</f>
        <v>body(   收集1件hot(101级至120级段的蓝色品质装备)给我吧！hot(护甲、头盔、鞋子、护腕、衬衣和腰带都符合要求。))</v>
      </c>
      <c r="AH1277" s="639" t="s">
        <v>114</v>
      </c>
      <c r="AI1277" s="639" t="s">
        <v>110</v>
      </c>
      <c r="AJ1277" s="639" t="s">
        <v>7461</v>
      </c>
      <c r="AK1277" s="437" t="s">
        <v>2795</v>
      </c>
      <c r="AL1277" s="640">
        <v>2</v>
      </c>
      <c r="AM1277" s="637" t="str">
        <f>"&lt;p&gt;
&lt;n&gt;  收集"&amp;U1277&amp;"个"&amp;G1277&amp;"至"&amp;H1277&amp;"级的蓝色防御装备&lt;/n&gt;
&lt;n&gt;  回复：&lt;/n&gt;
 &lt;n&gt; &lt;/n&gt;&lt;goto id="""&amp;N1277&amp;""" mapid="""&amp;F1277&amp;""" flagpoint=""1"" taskid="""&amp;A1277&amp;"""/&gt;
&lt;/p&gt;"</f>
        <v>&lt;p&gt;
&lt;n&gt;  收集1个101至120级的蓝色防御装备&lt;/n&gt;
&lt;n&gt;  回复：&lt;/n&gt;
 &lt;n&gt; &lt;/n&gt;&lt;goto id="576" mapid="2" flagpoint="1" taskid="21308"/&gt;
&lt;/p&gt;</v>
      </c>
      <c r="AN1277" s="635" t="str">
        <f t="shared" si="170"/>
        <v>&lt;p&gt;
&lt;n&gt;  交：&lt;/n&gt;
 &lt;n&gt; &lt;/n&gt;&lt;goto quick=1 id="576" mapid="2" flagpoint="1" taskid="21308"/&gt;&lt;/p&gt;</v>
      </c>
      <c r="AO1277" s="639"/>
      <c r="AP1277" s="639">
        <v>0</v>
      </c>
      <c r="AQ1277" s="639">
        <v>0</v>
      </c>
      <c r="AR1277" s="639">
        <v>0</v>
      </c>
      <c r="AS1277" s="639">
        <v>0</v>
      </c>
      <c r="AT1277" s="639">
        <v>0</v>
      </c>
      <c r="AU1277" s="226">
        <v>0</v>
      </c>
      <c r="AV1277" s="17">
        <f t="shared" si="172"/>
        <v>0</v>
      </c>
      <c r="AW1277" s="639" t="str">
        <f t="shared" si="171"/>
        <v>{s_taskTalk,{576,576}}</v>
      </c>
    </row>
    <row r="1278" spans="1:49" s="646" customFormat="1" ht="108" x14ac:dyDescent="0.15">
      <c r="A1278" s="31">
        <v>21401</v>
      </c>
      <c r="B1278" s="32"/>
      <c r="C1278" s="32" t="s">
        <v>6348</v>
      </c>
      <c r="D1278" s="32">
        <v>4</v>
      </c>
      <c r="E1278" s="32">
        <v>0</v>
      </c>
      <c r="F1278" s="629">
        <v>2</v>
      </c>
      <c r="G1278" s="33">
        <v>21</v>
      </c>
      <c r="H1278" s="32">
        <v>40</v>
      </c>
      <c r="I1278" s="17">
        <v>0</v>
      </c>
      <c r="J1278" s="33">
        <v>0</v>
      </c>
      <c r="K1278" s="32">
        <v>0</v>
      </c>
      <c r="L1278" s="623">
        <v>576</v>
      </c>
      <c r="M1278" s="32" t="s">
        <v>2510</v>
      </c>
      <c r="N1278" s="623">
        <v>576</v>
      </c>
      <c r="O1278" s="32" t="s">
        <v>5237</v>
      </c>
      <c r="P1278" s="32">
        <v>4</v>
      </c>
      <c r="Q1278" s="34"/>
      <c r="R1278" s="34"/>
      <c r="S1278" s="34"/>
      <c r="T1278" s="34"/>
      <c r="U1278" s="32">
        <v>1</v>
      </c>
      <c r="V1278" s="32">
        <v>0</v>
      </c>
      <c r="W1278" s="32">
        <v>0</v>
      </c>
      <c r="X1278" s="623">
        <v>0</v>
      </c>
      <c r="Y1278" s="32"/>
      <c r="Z1278" s="429">
        <v>0</v>
      </c>
      <c r="AA1278" s="32"/>
      <c r="AB1278" s="36"/>
      <c r="AC1278" s="36"/>
      <c r="AD1278" s="32"/>
      <c r="AE1278" s="644"/>
      <c r="AF1278" s="32" t="str">
        <f>"title("&amp;C1278&amp;")
body(hotyellow_3(任务进程:)newline()
   最近团的战斗比较激烈，需要1件hot("&amp;G1278&amp;"级至"&amp;H1278&amp;"级段的白色武器)进行研究。收集到符合条件的武器后，交给goto("&amp;N1278&amp;","&amp;P1278&amp;")。
   hot(所有职业符合等级的武器都符合要求。)
blankline()
   space()space()space()hot2(任务完成后,千万不要忘记向家族府邸的goto(45112,101)汇报哦！))"</f>
        <v>title([历练]收集武器)
body(hotyellow_3(任务进程:)newline()
   最近团的战斗比较激烈，需要1件hot(21级至40级段的白色武器)进行研究。收集到符合条件的武器后，交给goto(576,4)。
   hot(所有职业符合等级的武器都符合要求。)
blankline()
   space()space()space()hot2(任务完成后,千万不要忘记向家族府邸的goto(45112,101)汇报哦！))</v>
      </c>
      <c r="AG1278" s="32" t="str">
        <f>"body(   收集1件hot("&amp;G1278&amp;"级至"&amp;H1278&amp;"级段的白色武器)交给我。)"</f>
        <v>body(   收集1件hot(21级至40级段的白色武器)交给我。)</v>
      </c>
      <c r="AH1278" s="32" t="s">
        <v>114</v>
      </c>
      <c r="AI1278" s="32" t="s">
        <v>110</v>
      </c>
      <c r="AJ1278" s="32" t="s">
        <v>7462</v>
      </c>
      <c r="AK1278" s="437" t="s">
        <v>2796</v>
      </c>
      <c r="AL1278" s="33">
        <v>2</v>
      </c>
      <c r="AM1278" s="645" t="str">
        <f>"&lt;p&gt;
&lt;n&gt;  收集"&amp;U1278&amp;"个"&amp;G1278&amp;"至"&amp;H1278&amp;"级的白色武器&lt;/n&gt;
&lt;n&gt;  回复：&lt;/n&gt;&lt;newline/&gt;
 &lt;n&gt; &lt;/n&gt;&lt;goto id="""&amp;N1278&amp;""" mapid="""&amp;F1278&amp;""" flagpoint=""1"" taskid="""&amp;A1278&amp;"""/&gt;
&lt;/p&gt;"</f>
        <v>&lt;p&gt;
&lt;n&gt;  收集1个21至40级的白色武器&lt;/n&gt;
&lt;n&gt;  回复：&lt;/n&gt;&lt;newline/&gt;
 &lt;n&gt; &lt;/n&gt;&lt;goto id="576" mapid="2" flagpoint="1" taskid="21401"/&gt;
&lt;/p&gt;</v>
      </c>
      <c r="AN1278" s="635" t="str">
        <f t="shared" si="170"/>
        <v>&lt;p&gt;
&lt;n&gt;  交：&lt;/n&gt;
 &lt;n&gt; &lt;/n&gt;&lt;goto quick=1 id="576" mapid="2" flagpoint="1" taskid="21401"/&gt;&lt;/p&gt;</v>
      </c>
      <c r="AO1278" s="32"/>
      <c r="AP1278" s="32">
        <v>0</v>
      </c>
      <c r="AQ1278" s="32">
        <v>0</v>
      </c>
      <c r="AR1278" s="32">
        <v>0</v>
      </c>
      <c r="AS1278" s="32">
        <v>0</v>
      </c>
      <c r="AT1278" s="32">
        <v>0</v>
      </c>
      <c r="AU1278" s="226">
        <v>0</v>
      </c>
      <c r="AV1278" s="17">
        <f t="shared" si="172"/>
        <v>0</v>
      </c>
      <c r="AW1278" s="32" t="str">
        <f t="shared" si="171"/>
        <v>{s_taskTalk,{576,576}}</v>
      </c>
    </row>
    <row r="1279" spans="1:49" s="646" customFormat="1" ht="108" x14ac:dyDescent="0.15">
      <c r="A1279" s="31">
        <v>21402</v>
      </c>
      <c r="B1279" s="32"/>
      <c r="C1279" s="32" t="s">
        <v>6348</v>
      </c>
      <c r="D1279" s="32">
        <v>4</v>
      </c>
      <c r="E1279" s="32">
        <v>0</v>
      </c>
      <c r="F1279" s="629">
        <v>2</v>
      </c>
      <c r="G1279" s="33">
        <v>41</v>
      </c>
      <c r="H1279" s="32">
        <v>60</v>
      </c>
      <c r="I1279" s="17">
        <v>0</v>
      </c>
      <c r="J1279" s="33">
        <v>0</v>
      </c>
      <c r="K1279" s="32">
        <v>0</v>
      </c>
      <c r="L1279" s="623">
        <v>576</v>
      </c>
      <c r="M1279" s="32" t="s">
        <v>2510</v>
      </c>
      <c r="N1279" s="623">
        <v>576</v>
      </c>
      <c r="O1279" s="32" t="s">
        <v>5237</v>
      </c>
      <c r="P1279" s="32">
        <v>4</v>
      </c>
      <c r="Q1279" s="34"/>
      <c r="R1279" s="34"/>
      <c r="S1279" s="34"/>
      <c r="T1279" s="34"/>
      <c r="U1279" s="32">
        <v>1</v>
      </c>
      <c r="V1279" s="32">
        <v>0</v>
      </c>
      <c r="W1279" s="32">
        <v>0</v>
      </c>
      <c r="X1279" s="623">
        <v>0</v>
      </c>
      <c r="Y1279" s="32"/>
      <c r="Z1279" s="429">
        <v>0</v>
      </c>
      <c r="AA1279" s="32"/>
      <c r="AB1279" s="36"/>
      <c r="AC1279" s="36"/>
      <c r="AD1279" s="32"/>
      <c r="AE1279" s="644"/>
      <c r="AF1279" s="32" t="str">
        <f>"title("&amp;C1279&amp;")
body(hotyellow_3(任务进程:)newline()
   最近团的战斗比较激烈，需要1件hot("&amp;G1279&amp;"级至"&amp;H1279&amp;"级段的白色武器)进行研究。收集到符合条件的武器后，交给goto("&amp;N1279&amp;","&amp;P1279&amp;")。
   hot(所有职业符合等级的武器都符合要求。)
blankline()
   space()space()space()hot2(任务完成后,千万不要忘记向家族府邸的goto(45112,101)汇报哦！))"</f>
        <v>title([历练]收集武器)
body(hotyellow_3(任务进程:)newline()
   最近团的战斗比较激烈，需要1件hot(41级至60级段的白色武器)进行研究。收集到符合条件的武器后，交给goto(576,4)。
   hot(所有职业符合等级的武器都符合要求。)
blankline()
   space()space()space()hot2(任务完成后,千万不要忘记向家族府邸的goto(45112,101)汇报哦！))</v>
      </c>
      <c r="AG1279" s="32" t="str">
        <f>"body(   收集1件hot("&amp;G1279&amp;"级至"&amp;H1279&amp;"级段的白色武器)交给我。)"</f>
        <v>body(   收集1件hot(41级至60级段的白色武器)交给我。)</v>
      </c>
      <c r="AH1279" s="32" t="s">
        <v>114</v>
      </c>
      <c r="AI1279" s="32" t="s">
        <v>110</v>
      </c>
      <c r="AJ1279" s="32" t="s">
        <v>7462</v>
      </c>
      <c r="AK1279" s="437" t="s">
        <v>2796</v>
      </c>
      <c r="AL1279" s="33">
        <v>2</v>
      </c>
      <c r="AM1279" s="645" t="str">
        <f>"&lt;p&gt;
&lt;n&gt;  收集"&amp;U1279&amp;"个"&amp;G1279&amp;"至"&amp;H1279&amp;"级的白色武器&lt;/n&gt;
&lt;n&gt;  回复：&lt;/n&gt;&lt;newline/&gt;
 &lt;n&gt; &lt;/n&gt;&lt;goto id="""&amp;N1279&amp;""" mapid="""&amp;F1279&amp;""" flagpoint=""1"" taskid="""&amp;A1279&amp;"""/&gt;
&lt;/p&gt;"</f>
        <v>&lt;p&gt;
&lt;n&gt;  收集1个41至60级的白色武器&lt;/n&gt;
&lt;n&gt;  回复：&lt;/n&gt;&lt;newline/&gt;
 &lt;n&gt; &lt;/n&gt;&lt;goto id="576" mapid="2" flagpoint="1" taskid="21402"/&gt;
&lt;/p&gt;</v>
      </c>
      <c r="AN1279" s="635" t="str">
        <f t="shared" si="170"/>
        <v>&lt;p&gt;
&lt;n&gt;  交：&lt;/n&gt;
 &lt;n&gt; &lt;/n&gt;&lt;goto quick=1 id="576" mapid="2" flagpoint="1" taskid="21402"/&gt;&lt;/p&gt;</v>
      </c>
      <c r="AO1279" s="32"/>
      <c r="AP1279" s="32">
        <v>0</v>
      </c>
      <c r="AQ1279" s="32">
        <v>0</v>
      </c>
      <c r="AR1279" s="32">
        <v>0</v>
      </c>
      <c r="AS1279" s="32">
        <v>0</v>
      </c>
      <c r="AT1279" s="32">
        <v>0</v>
      </c>
      <c r="AU1279" s="226">
        <v>0</v>
      </c>
      <c r="AV1279" s="17">
        <f t="shared" si="172"/>
        <v>0</v>
      </c>
      <c r="AW1279" s="32" t="str">
        <f t="shared" si="171"/>
        <v>{s_taskTalk,{576,576}}</v>
      </c>
    </row>
    <row r="1280" spans="1:49" s="646" customFormat="1" ht="108" x14ac:dyDescent="0.15">
      <c r="A1280" s="31">
        <v>21403</v>
      </c>
      <c r="B1280" s="32"/>
      <c r="C1280" s="32" t="s">
        <v>6348</v>
      </c>
      <c r="D1280" s="32">
        <v>4</v>
      </c>
      <c r="E1280" s="32">
        <v>0</v>
      </c>
      <c r="F1280" s="629">
        <v>2</v>
      </c>
      <c r="G1280" s="33">
        <v>61</v>
      </c>
      <c r="H1280" s="32">
        <v>80</v>
      </c>
      <c r="I1280" s="17">
        <v>0</v>
      </c>
      <c r="J1280" s="33">
        <v>0</v>
      </c>
      <c r="K1280" s="32">
        <v>0</v>
      </c>
      <c r="L1280" s="623">
        <v>576</v>
      </c>
      <c r="M1280" s="32" t="s">
        <v>2510</v>
      </c>
      <c r="N1280" s="623">
        <v>576</v>
      </c>
      <c r="O1280" s="32" t="s">
        <v>5237</v>
      </c>
      <c r="P1280" s="32">
        <v>4</v>
      </c>
      <c r="Q1280" s="34"/>
      <c r="R1280" s="34"/>
      <c r="S1280" s="34"/>
      <c r="T1280" s="34"/>
      <c r="U1280" s="32">
        <v>1</v>
      </c>
      <c r="V1280" s="32">
        <v>0</v>
      </c>
      <c r="W1280" s="32">
        <v>0</v>
      </c>
      <c r="X1280" s="623">
        <v>0</v>
      </c>
      <c r="Y1280" s="32"/>
      <c r="Z1280" s="429">
        <v>0</v>
      </c>
      <c r="AA1280" s="32"/>
      <c r="AB1280" s="36"/>
      <c r="AC1280" s="36"/>
      <c r="AD1280" s="32"/>
      <c r="AE1280" s="644"/>
      <c r="AF1280" s="32" t="str">
        <f>"title("&amp;C1280&amp;")
body(hotyellow_3(任务进程:)newline()
   最近团的战斗比较激烈，需要1件hot("&amp;G1280&amp;"级至"&amp;H1280&amp;"级段的白色武器)进行研究。收集到符合条件的武器后，交给goto("&amp;N1280&amp;","&amp;P1280&amp;")。
   hot(所有职业符合等级的武器都符合要求。)
blankline()
   space()space()space()hot2(任务完成后,千万不要忘记向家族府邸的goto(45112,101)汇报哦！))"</f>
        <v>title([历练]收集武器)
body(hotyellow_3(任务进程:)newline()
   最近团的战斗比较激烈，需要1件hot(61级至80级段的白色武器)进行研究。收集到符合条件的武器后，交给goto(576,4)。
   hot(所有职业符合等级的武器都符合要求。)
blankline()
   space()space()space()hot2(任务完成后,千万不要忘记向家族府邸的goto(45112,101)汇报哦！))</v>
      </c>
      <c r="AG1280" s="32" t="str">
        <f>"body(   收集1件hot("&amp;G1280&amp;"级至"&amp;H1280&amp;"级段的白色武器)交给我。)"</f>
        <v>body(   收集1件hot(61级至80级段的白色武器)交给我。)</v>
      </c>
      <c r="AH1280" s="32" t="s">
        <v>114</v>
      </c>
      <c r="AI1280" s="32" t="s">
        <v>110</v>
      </c>
      <c r="AJ1280" s="32" t="s">
        <v>7462</v>
      </c>
      <c r="AK1280" s="437" t="s">
        <v>2796</v>
      </c>
      <c r="AL1280" s="33">
        <v>2</v>
      </c>
      <c r="AM1280" s="645" t="str">
        <f>"&lt;p&gt;
&lt;n&gt;  收集"&amp;U1280&amp;"个"&amp;G1280&amp;"至"&amp;H1280&amp;"级的白色武器&lt;/n&gt;
&lt;n&gt;  回复：&lt;/n&gt;&lt;newline/&gt;
 &lt;n&gt; &lt;/n&gt;&lt;goto id="""&amp;N1280&amp;""" mapid="""&amp;F1280&amp;""" flagpoint=""1"" taskid="""&amp;A1280&amp;"""/&gt;
&lt;/p&gt;"</f>
        <v>&lt;p&gt;
&lt;n&gt;  收集1个61至80级的白色武器&lt;/n&gt;
&lt;n&gt;  回复：&lt;/n&gt;&lt;newline/&gt;
 &lt;n&gt; &lt;/n&gt;&lt;goto id="576" mapid="2" flagpoint="1" taskid="21403"/&gt;
&lt;/p&gt;</v>
      </c>
      <c r="AN1280" s="635" t="str">
        <f t="shared" si="170"/>
        <v>&lt;p&gt;
&lt;n&gt;  交：&lt;/n&gt;
 &lt;n&gt; &lt;/n&gt;&lt;goto quick=1 id="576" mapid="2" flagpoint="1" taskid="21403"/&gt;&lt;/p&gt;</v>
      </c>
      <c r="AO1280" s="32"/>
      <c r="AP1280" s="32">
        <v>0</v>
      </c>
      <c r="AQ1280" s="32">
        <v>0</v>
      </c>
      <c r="AR1280" s="32">
        <v>0</v>
      </c>
      <c r="AS1280" s="32">
        <v>0</v>
      </c>
      <c r="AT1280" s="32">
        <v>0</v>
      </c>
      <c r="AU1280" s="226">
        <v>0</v>
      </c>
      <c r="AV1280" s="17">
        <f t="shared" si="172"/>
        <v>0</v>
      </c>
      <c r="AW1280" s="32" t="str">
        <f t="shared" si="171"/>
        <v>{s_taskTalk,{576,576}}</v>
      </c>
    </row>
    <row r="1281" spans="1:49" s="646" customFormat="1" ht="108" x14ac:dyDescent="0.15">
      <c r="A1281" s="31">
        <v>21404</v>
      </c>
      <c r="B1281" s="32"/>
      <c r="C1281" s="32" t="s">
        <v>6348</v>
      </c>
      <c r="D1281" s="32">
        <v>4</v>
      </c>
      <c r="E1281" s="32">
        <v>0</v>
      </c>
      <c r="F1281" s="629">
        <v>2</v>
      </c>
      <c r="G1281" s="33">
        <v>81</v>
      </c>
      <c r="H1281" s="32">
        <v>100</v>
      </c>
      <c r="I1281" s="17">
        <v>0</v>
      </c>
      <c r="J1281" s="33">
        <v>0</v>
      </c>
      <c r="K1281" s="32">
        <v>0</v>
      </c>
      <c r="L1281" s="623">
        <v>576</v>
      </c>
      <c r="M1281" s="32" t="s">
        <v>2510</v>
      </c>
      <c r="N1281" s="623">
        <v>576</v>
      </c>
      <c r="O1281" s="32" t="s">
        <v>5237</v>
      </c>
      <c r="P1281" s="32">
        <v>4</v>
      </c>
      <c r="Q1281" s="34"/>
      <c r="R1281" s="34"/>
      <c r="S1281" s="34"/>
      <c r="T1281" s="34"/>
      <c r="U1281" s="32">
        <v>1</v>
      </c>
      <c r="V1281" s="32">
        <v>0</v>
      </c>
      <c r="W1281" s="32">
        <v>0</v>
      </c>
      <c r="X1281" s="623">
        <v>0</v>
      </c>
      <c r="Y1281" s="32"/>
      <c r="Z1281" s="429">
        <v>0</v>
      </c>
      <c r="AA1281" s="32"/>
      <c r="AB1281" s="36"/>
      <c r="AC1281" s="36"/>
      <c r="AD1281" s="32"/>
      <c r="AE1281" s="644"/>
      <c r="AF1281" s="32" t="str">
        <f>"title("&amp;C1281&amp;")
body(hotyellow_3(任务进程:)newline()
   最近团的战斗比较激烈，需要1件hot("&amp;G1281&amp;"级至"&amp;H1281&amp;"级段的白色武器)进行研究。收集到符合条件的武器后，交给goto("&amp;N1281&amp;","&amp;P1281&amp;")。
   hot(所有职业符合等级的武器都符合要求。)
blankline()
   space()space()space()hot2(任务完成后,千万不要忘记向家族府邸的goto(45112,101)汇报哦！))"</f>
        <v>title([历练]收集武器)
body(hotyellow_3(任务进程:)newline()
   最近团的战斗比较激烈，需要1件hot(81级至100级段的白色武器)进行研究。收集到符合条件的武器后，交给goto(576,4)。
   hot(所有职业符合等级的武器都符合要求。)
blankline()
   space()space()space()hot2(任务完成后,千万不要忘记向家族府邸的goto(45112,101)汇报哦！))</v>
      </c>
      <c r="AG1281" s="32" t="str">
        <f>"body(   收集1件hot("&amp;G1281&amp;"级至"&amp;H1281&amp;"级段的白色武器)交给我。)"</f>
        <v>body(   收集1件hot(81级至100级段的白色武器)交给我。)</v>
      </c>
      <c r="AH1281" s="32" t="s">
        <v>114</v>
      </c>
      <c r="AI1281" s="32" t="s">
        <v>110</v>
      </c>
      <c r="AJ1281" s="32" t="s">
        <v>7462</v>
      </c>
      <c r="AK1281" s="437" t="s">
        <v>2796</v>
      </c>
      <c r="AL1281" s="33">
        <v>2</v>
      </c>
      <c r="AM1281" s="645" t="str">
        <f>"&lt;p&gt;
&lt;n&gt;  收集"&amp;U1281&amp;"个"&amp;G1281&amp;"至"&amp;H1281&amp;"级的白色武器&lt;/n&gt;
&lt;n&gt;  回复：&lt;/n&gt;&lt;newline/&gt;
 &lt;n&gt; &lt;/n&gt;&lt;goto id="""&amp;N1281&amp;""" mapid="""&amp;F1281&amp;""" flagpoint=""1"" taskid="""&amp;A1281&amp;"""/&gt;
&lt;/p&gt;"</f>
        <v>&lt;p&gt;
&lt;n&gt;  收集1个81至100级的白色武器&lt;/n&gt;
&lt;n&gt;  回复：&lt;/n&gt;&lt;newline/&gt;
 &lt;n&gt; &lt;/n&gt;&lt;goto id="576" mapid="2" flagpoint="1" taskid="21404"/&gt;
&lt;/p&gt;</v>
      </c>
      <c r="AN1281" s="635" t="str">
        <f t="shared" si="170"/>
        <v>&lt;p&gt;
&lt;n&gt;  交：&lt;/n&gt;
 &lt;n&gt; &lt;/n&gt;&lt;goto quick=1 id="576" mapid="2" flagpoint="1" taskid="21404"/&gt;&lt;/p&gt;</v>
      </c>
      <c r="AO1281" s="32"/>
      <c r="AP1281" s="32">
        <v>0</v>
      </c>
      <c r="AQ1281" s="32">
        <v>0</v>
      </c>
      <c r="AR1281" s="32">
        <v>0</v>
      </c>
      <c r="AS1281" s="32">
        <v>0</v>
      </c>
      <c r="AT1281" s="32">
        <v>0</v>
      </c>
      <c r="AU1281" s="226">
        <v>0</v>
      </c>
      <c r="AV1281" s="17">
        <f t="shared" si="172"/>
        <v>0</v>
      </c>
      <c r="AW1281" s="32" t="str">
        <f t="shared" si="171"/>
        <v>{s_taskTalk,{576,576}}</v>
      </c>
    </row>
    <row r="1282" spans="1:49" s="646" customFormat="1" ht="108" x14ac:dyDescent="0.15">
      <c r="A1282" s="31">
        <v>21405</v>
      </c>
      <c r="B1282" s="32"/>
      <c r="C1282" s="32" t="s">
        <v>6348</v>
      </c>
      <c r="D1282" s="32">
        <v>4</v>
      </c>
      <c r="E1282" s="32">
        <v>0</v>
      </c>
      <c r="F1282" s="629">
        <v>2</v>
      </c>
      <c r="G1282" s="33">
        <v>101</v>
      </c>
      <c r="H1282" s="32">
        <v>120</v>
      </c>
      <c r="I1282" s="17">
        <v>0</v>
      </c>
      <c r="J1282" s="33">
        <v>0</v>
      </c>
      <c r="K1282" s="32">
        <v>0</v>
      </c>
      <c r="L1282" s="623">
        <v>576</v>
      </c>
      <c r="M1282" s="32" t="s">
        <v>2510</v>
      </c>
      <c r="N1282" s="623">
        <v>576</v>
      </c>
      <c r="O1282" s="32" t="s">
        <v>5237</v>
      </c>
      <c r="P1282" s="32">
        <v>4</v>
      </c>
      <c r="Q1282" s="34"/>
      <c r="R1282" s="34"/>
      <c r="S1282" s="34"/>
      <c r="T1282" s="34"/>
      <c r="U1282" s="32">
        <v>1</v>
      </c>
      <c r="V1282" s="32">
        <v>0</v>
      </c>
      <c r="W1282" s="32">
        <v>0</v>
      </c>
      <c r="X1282" s="623">
        <v>0</v>
      </c>
      <c r="Y1282" s="32"/>
      <c r="Z1282" s="429">
        <v>0</v>
      </c>
      <c r="AA1282" s="32"/>
      <c r="AB1282" s="36"/>
      <c r="AC1282" s="36"/>
      <c r="AD1282" s="32"/>
      <c r="AE1282" s="644"/>
      <c r="AF1282" s="32" t="str">
        <f>"title("&amp;C1282&amp;")
body(hotyellow_3(任务进程:)newline()
   最近团的战斗比较激烈，需要1件hot("&amp;G1282&amp;"级至"&amp;H1282&amp;"级段的白色武器)进行研究。收集到符合条件的武器后，交给goto("&amp;N1282&amp;","&amp;P1282&amp;")。
   hot(所有职业符合等级的武器都符合要求。)
blankline()
   space()space()space()hot2(任务完成后,千万不要忘记向家族府邸的goto(45112,101)汇报哦！))"</f>
        <v>title([历练]收集武器)
body(hotyellow_3(任务进程:)newline()
   最近团的战斗比较激烈，需要1件hot(101级至120级段的白色武器)进行研究。收集到符合条件的武器后，交给goto(576,4)。
   hot(所有职业符合等级的武器都符合要求。)
blankline()
   space()space()space()hot2(任务完成后,千万不要忘记向家族府邸的goto(45112,101)汇报哦！))</v>
      </c>
      <c r="AG1282" s="32" t="str">
        <f>"body(   收集1件hot("&amp;G1282&amp;"级至"&amp;H1282&amp;"级段的白色武器)交给我。)"</f>
        <v>body(   收集1件hot(101级至120级段的白色武器)交给我。)</v>
      </c>
      <c r="AH1282" s="32" t="s">
        <v>114</v>
      </c>
      <c r="AI1282" s="32" t="s">
        <v>110</v>
      </c>
      <c r="AJ1282" s="32" t="s">
        <v>7462</v>
      </c>
      <c r="AK1282" s="437" t="s">
        <v>2796</v>
      </c>
      <c r="AL1282" s="33">
        <v>2</v>
      </c>
      <c r="AM1282" s="645" t="str">
        <f>"&lt;p&gt;
&lt;n&gt;  收集"&amp;U1282&amp;"个"&amp;G1282&amp;"至"&amp;H1282&amp;"级的白色武器&lt;/n&gt;
&lt;n&gt;  回复：&lt;/n&gt;&lt;newline/&gt;
 &lt;n&gt; &lt;/n&gt;&lt;goto id="""&amp;N1282&amp;""" mapid="""&amp;F1282&amp;""" flagpoint=""1"" taskid="""&amp;A1282&amp;"""/&gt;
&lt;/p&gt;"</f>
        <v>&lt;p&gt;
&lt;n&gt;  收集1个101至120级的白色武器&lt;/n&gt;
&lt;n&gt;  回复：&lt;/n&gt;&lt;newline/&gt;
 &lt;n&gt; &lt;/n&gt;&lt;goto id="576" mapid="2" flagpoint="1" taskid="21405"/&gt;
&lt;/p&gt;</v>
      </c>
      <c r="AN1282" s="635" t="str">
        <f t="shared" si="170"/>
        <v>&lt;p&gt;
&lt;n&gt;  交：&lt;/n&gt;
 &lt;n&gt; &lt;/n&gt;&lt;goto quick=1 id="576" mapid="2" flagpoint="1" taskid="21405"/&gt;&lt;/p&gt;</v>
      </c>
      <c r="AO1282" s="32"/>
      <c r="AP1282" s="32">
        <v>0</v>
      </c>
      <c r="AQ1282" s="32">
        <v>0</v>
      </c>
      <c r="AR1282" s="32">
        <v>0</v>
      </c>
      <c r="AS1282" s="32">
        <v>0</v>
      </c>
      <c r="AT1282" s="32">
        <v>0</v>
      </c>
      <c r="AU1282" s="226">
        <v>0</v>
      </c>
      <c r="AV1282" s="17">
        <f t="shared" si="172"/>
        <v>0</v>
      </c>
      <c r="AW1282" s="32" t="str">
        <f t="shared" si="171"/>
        <v>{s_taskTalk,{576,576}}</v>
      </c>
    </row>
    <row r="1283" spans="1:49" s="651" customFormat="1" ht="108" x14ac:dyDescent="0.15">
      <c r="A1283" s="647">
        <v>21406</v>
      </c>
      <c r="B1283" s="647"/>
      <c r="C1283" s="647" t="s">
        <v>6348</v>
      </c>
      <c r="D1283" s="647">
        <v>4</v>
      </c>
      <c r="E1283" s="647">
        <v>0</v>
      </c>
      <c r="F1283" s="629">
        <v>2</v>
      </c>
      <c r="G1283" s="648">
        <v>61</v>
      </c>
      <c r="H1283" s="647">
        <v>80</v>
      </c>
      <c r="I1283" s="17">
        <v>0</v>
      </c>
      <c r="J1283" s="648">
        <v>0</v>
      </c>
      <c r="K1283" s="647">
        <v>0</v>
      </c>
      <c r="L1283" s="623">
        <v>576</v>
      </c>
      <c r="M1283" s="647" t="s">
        <v>2510</v>
      </c>
      <c r="N1283" s="623">
        <v>576</v>
      </c>
      <c r="O1283" s="647" t="s">
        <v>5237</v>
      </c>
      <c r="P1283" s="647">
        <v>4</v>
      </c>
      <c r="Q1283" s="34"/>
      <c r="R1283" s="34"/>
      <c r="S1283" s="34"/>
      <c r="T1283" s="34"/>
      <c r="U1283" s="647">
        <v>1</v>
      </c>
      <c r="V1283" s="647">
        <v>0</v>
      </c>
      <c r="W1283" s="647">
        <v>0</v>
      </c>
      <c r="X1283" s="623">
        <v>0</v>
      </c>
      <c r="Y1283" s="647"/>
      <c r="Z1283" s="649">
        <v>0</v>
      </c>
      <c r="AA1283" s="647"/>
      <c r="AB1283" s="650"/>
      <c r="AC1283" s="650"/>
      <c r="AD1283" s="647"/>
      <c r="AE1283" s="645"/>
      <c r="AF1283" s="647" t="str">
        <f>"title("&amp;C1283&amp;")
body(hotyellow_3(任务进程:)newline()
   最近团的战斗比较激烈，需要1件hot("&amp;G1283&amp;"级至"&amp;H1283&amp;"级段的蓝色武器)进行研究。收集到符合条件的武器后，交给goto("&amp;N1283&amp;","&amp;P1283&amp;")。
   hot(所有职业符合等级的武器都符合要求。)
blankline()
   space()space()space()hot2(任务完成后,千万不要忘记向家族府邸的goto(45112,101)汇报哦！))"</f>
        <v>title([历练]收集武器)
body(hotyellow_3(任务进程:)newline()
   最近团的战斗比较激烈，需要1件hot(61级至80级段的蓝色武器)进行研究。收集到符合条件的武器后，交给goto(576,4)。
   hot(所有职业符合等级的武器都符合要求。)
blankline()
   space()space()space()hot2(任务完成后,千万不要忘记向家族府邸的goto(45112,101)汇报哦！))</v>
      </c>
      <c r="AG1283" s="647" t="str">
        <f>"body(   收集1件hot("&amp;G1283&amp;"级至"&amp;H1283&amp;"级段的蓝色武器)交给我。)"</f>
        <v>body(   收集1件hot(61级至80级段的蓝色武器)交给我。)</v>
      </c>
      <c r="AH1283" s="647" t="s">
        <v>114</v>
      </c>
      <c r="AI1283" s="647" t="s">
        <v>110</v>
      </c>
      <c r="AJ1283" s="647" t="s">
        <v>7462</v>
      </c>
      <c r="AK1283" s="437" t="s">
        <v>2797</v>
      </c>
      <c r="AL1283" s="648">
        <v>2</v>
      </c>
      <c r="AM1283" s="645" t="str">
        <f>"&lt;p&gt;
&lt;n&gt;  收集"&amp;U1283&amp;"个"&amp;G1283&amp;"至"&amp;H1283&amp;"级的蓝色武器&lt;/n&gt;
&lt;n&gt;  回复：&lt;/n&gt;
 &lt;n&gt; &lt;/n&gt;&lt;goto id="""&amp;N1283&amp;""" mapid="""&amp;F1283&amp;""" flagpoint=""1"" taskid="""&amp;A1283&amp;"""/&gt;
&lt;/p&gt;"</f>
        <v>&lt;p&gt;
&lt;n&gt;  收集1个61至80级的蓝色武器&lt;/n&gt;
&lt;n&gt;  回复：&lt;/n&gt;
 &lt;n&gt; &lt;/n&gt;&lt;goto id="576" mapid="2" flagpoint="1" taskid="21406"/&gt;
&lt;/p&gt;</v>
      </c>
      <c r="AN1283" s="635" t="str">
        <f t="shared" si="170"/>
        <v>&lt;p&gt;
&lt;n&gt;  交：&lt;/n&gt;
 &lt;n&gt; &lt;/n&gt;&lt;goto quick=1 id="576" mapid="2" flagpoint="1" taskid="21406"/&gt;&lt;/p&gt;</v>
      </c>
      <c r="AO1283" s="647"/>
      <c r="AP1283" s="647">
        <v>0</v>
      </c>
      <c r="AQ1283" s="647">
        <v>0</v>
      </c>
      <c r="AR1283" s="647">
        <v>0</v>
      </c>
      <c r="AS1283" s="647">
        <v>0</v>
      </c>
      <c r="AT1283" s="647">
        <v>0</v>
      </c>
      <c r="AU1283" s="226">
        <v>0</v>
      </c>
      <c r="AV1283" s="17">
        <f t="shared" si="172"/>
        <v>0</v>
      </c>
      <c r="AW1283" s="647" t="str">
        <f t="shared" si="171"/>
        <v>{s_taskTalk,{576,576}}</v>
      </c>
    </row>
    <row r="1284" spans="1:49" s="651" customFormat="1" ht="108" x14ac:dyDescent="0.15">
      <c r="A1284" s="647">
        <v>21407</v>
      </c>
      <c r="B1284" s="647"/>
      <c r="C1284" s="647" t="s">
        <v>6348</v>
      </c>
      <c r="D1284" s="647">
        <v>4</v>
      </c>
      <c r="E1284" s="647">
        <v>0</v>
      </c>
      <c r="F1284" s="629">
        <v>2</v>
      </c>
      <c r="G1284" s="648">
        <v>81</v>
      </c>
      <c r="H1284" s="647">
        <v>100</v>
      </c>
      <c r="I1284" s="17">
        <v>0</v>
      </c>
      <c r="J1284" s="648">
        <v>0</v>
      </c>
      <c r="K1284" s="647">
        <v>0</v>
      </c>
      <c r="L1284" s="623">
        <v>576</v>
      </c>
      <c r="M1284" s="647" t="s">
        <v>2510</v>
      </c>
      <c r="N1284" s="623">
        <v>576</v>
      </c>
      <c r="O1284" s="647" t="s">
        <v>5237</v>
      </c>
      <c r="P1284" s="647">
        <v>4</v>
      </c>
      <c r="Q1284" s="34"/>
      <c r="R1284" s="34"/>
      <c r="S1284" s="34"/>
      <c r="T1284" s="34"/>
      <c r="U1284" s="647">
        <v>1</v>
      </c>
      <c r="V1284" s="647">
        <v>0</v>
      </c>
      <c r="W1284" s="647">
        <v>0</v>
      </c>
      <c r="X1284" s="623">
        <v>0</v>
      </c>
      <c r="Y1284" s="647"/>
      <c r="Z1284" s="649">
        <v>0</v>
      </c>
      <c r="AA1284" s="647"/>
      <c r="AB1284" s="650"/>
      <c r="AC1284" s="650"/>
      <c r="AD1284" s="647"/>
      <c r="AE1284" s="645"/>
      <c r="AF1284" s="647" t="str">
        <f>"title("&amp;C1284&amp;")
body(hotyellow_3(任务进程:)newline()
   最近团的战斗比较激烈，需要1件hot("&amp;G1284&amp;"级至"&amp;H1284&amp;"级段的蓝色武器)进行研究。收集到符合条件的武器后，交给goto("&amp;N1284&amp;","&amp;P1284&amp;")。
   hot(所有职业符合等级的武器都符合要求。)
blankline()
   space()space()space()hot2(任务完成后,千万不要忘记向家族府邸的goto(45112,101)汇报哦！))"</f>
        <v>title([历练]收集武器)
body(hotyellow_3(任务进程:)newline()
   最近团的战斗比较激烈，需要1件hot(81级至100级段的蓝色武器)进行研究。收集到符合条件的武器后，交给goto(576,4)。
   hot(所有职业符合等级的武器都符合要求。)
blankline()
   space()space()space()hot2(任务完成后,千万不要忘记向家族府邸的goto(45112,101)汇报哦！))</v>
      </c>
      <c r="AG1284" s="647" t="str">
        <f>"body(   收集1件hot("&amp;G1284&amp;"级至"&amp;H1284&amp;"级段的蓝色武器)交给我。)"</f>
        <v>body(   收集1件hot(81级至100级段的蓝色武器)交给我。)</v>
      </c>
      <c r="AH1284" s="647" t="s">
        <v>114</v>
      </c>
      <c r="AI1284" s="647" t="s">
        <v>110</v>
      </c>
      <c r="AJ1284" s="647" t="s">
        <v>7462</v>
      </c>
      <c r="AK1284" s="437" t="s">
        <v>2797</v>
      </c>
      <c r="AL1284" s="648">
        <v>2</v>
      </c>
      <c r="AM1284" s="645" t="str">
        <f>"&lt;p&gt;
&lt;n&gt;  收集"&amp;U1284&amp;"个"&amp;G1284&amp;"至"&amp;H1284&amp;"级的蓝色武器&lt;/n&gt;
&lt;n&gt;  回复：&lt;/n&gt;
 &lt;n&gt; &lt;/n&gt;&lt;goto id="""&amp;N1284&amp;""" mapid="""&amp;F1284&amp;""" flagpoint=""1"" taskid="""&amp;A1284&amp;"""/&gt;
&lt;/p&gt;"</f>
        <v>&lt;p&gt;
&lt;n&gt;  收集1个81至100级的蓝色武器&lt;/n&gt;
&lt;n&gt;  回复：&lt;/n&gt;
 &lt;n&gt; &lt;/n&gt;&lt;goto id="576" mapid="2" flagpoint="1" taskid="21407"/&gt;
&lt;/p&gt;</v>
      </c>
      <c r="AN1284" s="635" t="str">
        <f t="shared" si="170"/>
        <v>&lt;p&gt;
&lt;n&gt;  交：&lt;/n&gt;
 &lt;n&gt; &lt;/n&gt;&lt;goto quick=1 id="576" mapid="2" flagpoint="1" taskid="21407"/&gt;&lt;/p&gt;</v>
      </c>
      <c r="AO1284" s="647"/>
      <c r="AP1284" s="647">
        <v>0</v>
      </c>
      <c r="AQ1284" s="647">
        <v>0</v>
      </c>
      <c r="AR1284" s="647">
        <v>0</v>
      </c>
      <c r="AS1284" s="647">
        <v>0</v>
      </c>
      <c r="AT1284" s="647">
        <v>0</v>
      </c>
      <c r="AU1284" s="226">
        <v>0</v>
      </c>
      <c r="AV1284" s="17">
        <f t="shared" si="172"/>
        <v>0</v>
      </c>
      <c r="AW1284" s="647" t="str">
        <f t="shared" si="171"/>
        <v>{s_taskTalk,{576,576}}</v>
      </c>
    </row>
    <row r="1285" spans="1:49" s="651" customFormat="1" ht="108" x14ac:dyDescent="0.15">
      <c r="A1285" s="647">
        <v>21408</v>
      </c>
      <c r="B1285" s="647"/>
      <c r="C1285" s="647" t="s">
        <v>6348</v>
      </c>
      <c r="D1285" s="647">
        <v>4</v>
      </c>
      <c r="E1285" s="647">
        <v>0</v>
      </c>
      <c r="F1285" s="629">
        <v>2</v>
      </c>
      <c r="G1285" s="648">
        <v>101</v>
      </c>
      <c r="H1285" s="647">
        <v>120</v>
      </c>
      <c r="I1285" s="17">
        <v>0</v>
      </c>
      <c r="J1285" s="648">
        <v>0</v>
      </c>
      <c r="K1285" s="647">
        <v>0</v>
      </c>
      <c r="L1285" s="623">
        <v>576</v>
      </c>
      <c r="M1285" s="647" t="s">
        <v>2510</v>
      </c>
      <c r="N1285" s="623">
        <v>576</v>
      </c>
      <c r="O1285" s="647" t="s">
        <v>5237</v>
      </c>
      <c r="P1285" s="647">
        <v>4</v>
      </c>
      <c r="Q1285" s="34"/>
      <c r="R1285" s="34"/>
      <c r="S1285" s="34"/>
      <c r="T1285" s="34"/>
      <c r="U1285" s="647">
        <v>1</v>
      </c>
      <c r="V1285" s="647">
        <v>0</v>
      </c>
      <c r="W1285" s="647">
        <v>0</v>
      </c>
      <c r="X1285" s="623">
        <v>0</v>
      </c>
      <c r="Y1285" s="647"/>
      <c r="Z1285" s="649">
        <v>0</v>
      </c>
      <c r="AA1285" s="647"/>
      <c r="AB1285" s="650"/>
      <c r="AC1285" s="650"/>
      <c r="AD1285" s="647"/>
      <c r="AE1285" s="645"/>
      <c r="AF1285" s="647" t="str">
        <f>"title("&amp;C1285&amp;")
body(hotyellow_3(任务进程:)newline()
   最近团的战斗比较激烈，需要1件hot("&amp;G1285&amp;"级至"&amp;H1285&amp;"级段的蓝色武器)进行研究。收集到符合条件的武器后，交给goto("&amp;N1285&amp;","&amp;P1285&amp;")。
   hot(所有职业符合等级的武器都符合要求。)
blankline()
   space()space()space()hot2(任务完成后,千万不要忘记向家族府邸的goto(45112,101)汇报哦！))"</f>
        <v>title([历练]收集武器)
body(hotyellow_3(任务进程:)newline()
   最近团的战斗比较激烈，需要1件hot(101级至120级段的蓝色武器)进行研究。收集到符合条件的武器后，交给goto(576,4)。
   hot(所有职业符合等级的武器都符合要求。)
blankline()
   space()space()space()hot2(任务完成后,千万不要忘记向家族府邸的goto(45112,101)汇报哦！))</v>
      </c>
      <c r="AG1285" s="647" t="str">
        <f>"body(   收集1件hot("&amp;G1285&amp;"级至"&amp;H1285&amp;"级段的蓝色武器)交给我。)"</f>
        <v>body(   收集1件hot(101级至120级段的蓝色武器)交给我。)</v>
      </c>
      <c r="AH1285" s="647" t="s">
        <v>114</v>
      </c>
      <c r="AI1285" s="647" t="s">
        <v>110</v>
      </c>
      <c r="AJ1285" s="647" t="s">
        <v>7462</v>
      </c>
      <c r="AK1285" s="437" t="s">
        <v>2797</v>
      </c>
      <c r="AL1285" s="648">
        <v>2</v>
      </c>
      <c r="AM1285" s="645" t="str">
        <f>"&lt;p&gt;
&lt;n&gt;  收集"&amp;U1285&amp;"个"&amp;G1285&amp;"至"&amp;H1285&amp;"级的蓝色武器&lt;/n&gt;
&lt;n&gt;  回复：&lt;/n&gt;
 &lt;n&gt; &lt;/n&gt;&lt;goto id="""&amp;N1285&amp;""" mapid="""&amp;F1285&amp;""" flagpoint=""1"" taskid="""&amp;A1285&amp;"""/&gt;
&lt;/p&gt;"</f>
        <v>&lt;p&gt;
&lt;n&gt;  收集1个101至120级的蓝色武器&lt;/n&gt;
&lt;n&gt;  回复：&lt;/n&gt;
 &lt;n&gt; &lt;/n&gt;&lt;goto id="576" mapid="2" flagpoint="1" taskid="21408"/&gt;
&lt;/p&gt;</v>
      </c>
      <c r="AN1285" s="635" t="str">
        <f t="shared" si="170"/>
        <v>&lt;p&gt;
&lt;n&gt;  交：&lt;/n&gt;
 &lt;n&gt; &lt;/n&gt;&lt;goto quick=1 id="576" mapid="2" flagpoint="1" taskid="21408"/&gt;&lt;/p&gt;</v>
      </c>
      <c r="AO1285" s="647"/>
      <c r="AP1285" s="647">
        <v>0</v>
      </c>
      <c r="AQ1285" s="647">
        <v>0</v>
      </c>
      <c r="AR1285" s="647">
        <v>0</v>
      </c>
      <c r="AS1285" s="647">
        <v>0</v>
      </c>
      <c r="AT1285" s="647">
        <v>0</v>
      </c>
      <c r="AU1285" s="226">
        <v>0</v>
      </c>
      <c r="AV1285" s="17">
        <f t="shared" si="172"/>
        <v>0</v>
      </c>
      <c r="AW1285" s="647" t="str">
        <f t="shared" si="171"/>
        <v>{s_taskTalk,{576,576}}</v>
      </c>
    </row>
    <row r="1286" spans="1:49" s="658" customFormat="1" ht="96" x14ac:dyDescent="0.15">
      <c r="A1286" s="652">
        <v>21501</v>
      </c>
      <c r="B1286" s="653"/>
      <c r="C1286" s="653" t="s">
        <v>6349</v>
      </c>
      <c r="D1286" s="653">
        <v>4</v>
      </c>
      <c r="E1286" s="653">
        <v>0</v>
      </c>
      <c r="F1286" s="629">
        <v>2</v>
      </c>
      <c r="G1286" s="654">
        <v>21</v>
      </c>
      <c r="H1286" s="653">
        <v>25</v>
      </c>
      <c r="I1286" s="17">
        <v>0</v>
      </c>
      <c r="J1286" s="654">
        <v>0</v>
      </c>
      <c r="K1286" s="653">
        <v>0</v>
      </c>
      <c r="L1286" s="623">
        <v>576</v>
      </c>
      <c r="M1286" s="653" t="s">
        <v>2510</v>
      </c>
      <c r="N1286" s="623">
        <v>576</v>
      </c>
      <c r="O1286" s="653" t="s">
        <v>5237</v>
      </c>
      <c r="P1286" s="653">
        <v>3</v>
      </c>
      <c r="Q1286" s="655"/>
      <c r="R1286" s="655">
        <v>60073</v>
      </c>
      <c r="S1286" s="655"/>
      <c r="T1286" s="655"/>
      <c r="U1286" s="653">
        <v>1</v>
      </c>
      <c r="V1286" s="653">
        <v>0</v>
      </c>
      <c r="W1286" s="653">
        <v>0</v>
      </c>
      <c r="X1286" s="623">
        <v>0</v>
      </c>
      <c r="Y1286" s="653"/>
      <c r="Z1286" s="512">
        <v>0</v>
      </c>
      <c r="AA1286" s="653"/>
      <c r="AB1286" s="656"/>
      <c r="AC1286" s="656"/>
      <c r="AD1286" s="532"/>
      <c r="AE1286" s="657"/>
      <c r="AF1286" s="653" t="str">
        <f t="shared" ref="AF1286:AF1294" si="173">"title("&amp;C1286&amp;")
body(hotyellow_3(任务进程:)newline()
   现在光明女祭司有一件重要的使命委托给我们，麻烦你去goto(135,3)处，帮我将hot(凤城特使)护送到goto("&amp;R1286&amp;","&amp;P1286&amp;")处,这件事情事关重大,请务必小心行事。
blankline()
   space()space()space()hot2(任务完成后,千万不要忘记向家族府邸的goto(45112,101)汇报哦！))"</f>
        <v>title([历练]护送)
body(hotyellow_3(任务进程:)newline()
   现在光明女祭司有一件重要的使命委托给我们，麻烦你去goto(135,3)处，帮我将hot(凤城特使)护送到goto(60073,3)处,这件事情事关重大,请务必小心行事。
blankline()
   space()space()space()hot2(任务完成后,千万不要忘记向家族府邸的goto(45112,101)汇报哦！))</v>
      </c>
      <c r="AG1286" s="653" t="s">
        <v>2518</v>
      </c>
      <c r="AH1286" s="653" t="s">
        <v>114</v>
      </c>
      <c r="AI1286" s="653" t="s">
        <v>110</v>
      </c>
      <c r="AJ1286" s="653" t="s">
        <v>7463</v>
      </c>
      <c r="AK1286" s="653" t="s">
        <v>2521</v>
      </c>
      <c r="AL1286" s="654">
        <v>2</v>
      </c>
      <c r="AM1286" s="657"/>
      <c r="AN1286" s="657"/>
      <c r="AO1286" s="653"/>
      <c r="AP1286" s="653">
        <v>0</v>
      </c>
      <c r="AQ1286" s="653">
        <v>0</v>
      </c>
      <c r="AR1286" s="653"/>
      <c r="AS1286" s="653">
        <v>0</v>
      </c>
      <c r="AT1286" s="653">
        <v>0</v>
      </c>
      <c r="AU1286" s="226">
        <v>0</v>
      </c>
      <c r="AV1286" s="17">
        <f t="shared" si="172"/>
        <v>0</v>
      </c>
      <c r="AW1286" s="653" t="str">
        <f t="shared" si="171"/>
        <v>{s_taskTalk,{576,576}}</v>
      </c>
    </row>
    <row r="1287" spans="1:49" s="658" customFormat="1" ht="96" x14ac:dyDescent="0.15">
      <c r="A1287" s="652">
        <v>21502</v>
      </c>
      <c r="B1287" s="653"/>
      <c r="C1287" s="653" t="s">
        <v>6349</v>
      </c>
      <c r="D1287" s="653">
        <v>4</v>
      </c>
      <c r="E1287" s="653">
        <v>0</v>
      </c>
      <c r="F1287" s="629">
        <v>2</v>
      </c>
      <c r="G1287" s="654">
        <v>21</v>
      </c>
      <c r="H1287" s="653">
        <v>25</v>
      </c>
      <c r="I1287" s="17">
        <v>0</v>
      </c>
      <c r="J1287" s="654">
        <v>0</v>
      </c>
      <c r="K1287" s="653">
        <v>0</v>
      </c>
      <c r="L1287" s="623">
        <v>576</v>
      </c>
      <c r="M1287" s="653" t="s">
        <v>2510</v>
      </c>
      <c r="N1287" s="623">
        <v>576</v>
      </c>
      <c r="O1287" s="653" t="s">
        <v>5237</v>
      </c>
      <c r="P1287" s="653">
        <v>3</v>
      </c>
      <c r="Q1287" s="655"/>
      <c r="R1287" s="655">
        <v>60074</v>
      </c>
      <c r="S1287" s="655"/>
      <c r="T1287" s="655"/>
      <c r="U1287" s="653">
        <v>1</v>
      </c>
      <c r="V1287" s="653">
        <v>0</v>
      </c>
      <c r="W1287" s="653">
        <v>0</v>
      </c>
      <c r="X1287" s="623">
        <v>0</v>
      </c>
      <c r="Y1287" s="653"/>
      <c r="Z1287" s="512">
        <v>0</v>
      </c>
      <c r="AA1287" s="653"/>
      <c r="AB1287" s="656"/>
      <c r="AC1287" s="656"/>
      <c r="AD1287" s="532"/>
      <c r="AE1287" s="657"/>
      <c r="AF1287" s="653" t="str">
        <f t="shared" si="173"/>
        <v>title([历练]护送)
body(hotyellow_3(任务进程:)newline()
   现在光明女祭司有一件重要的使命委托给我们，麻烦你去goto(135,3)处，帮我将hot(凤城特使)护送到goto(60074,3)处,这件事情事关重大,请务必小心行事。
blankline()
   space()space()space()hot2(任务完成后,千万不要忘记向家族府邸的goto(45112,101)汇报哦！))</v>
      </c>
      <c r="AG1287" s="653" t="s">
        <v>2518</v>
      </c>
      <c r="AH1287" s="653" t="s">
        <v>114</v>
      </c>
      <c r="AI1287" s="653" t="s">
        <v>110</v>
      </c>
      <c r="AJ1287" s="653" t="s">
        <v>7463</v>
      </c>
      <c r="AK1287" s="653" t="s">
        <v>2521</v>
      </c>
      <c r="AL1287" s="654">
        <v>2</v>
      </c>
      <c r="AM1287" s="657"/>
      <c r="AN1287" s="657"/>
      <c r="AO1287" s="653"/>
      <c r="AP1287" s="653">
        <v>0</v>
      </c>
      <c r="AQ1287" s="653">
        <v>0</v>
      </c>
      <c r="AR1287" s="653">
        <v>0</v>
      </c>
      <c r="AS1287" s="653">
        <v>0</v>
      </c>
      <c r="AT1287" s="653">
        <v>0</v>
      </c>
      <c r="AU1287" s="226">
        <v>0</v>
      </c>
      <c r="AV1287" s="17">
        <f t="shared" si="172"/>
        <v>0</v>
      </c>
      <c r="AW1287" s="653" t="str">
        <f t="shared" si="171"/>
        <v>{s_taskTalk,{576,576}}</v>
      </c>
    </row>
    <row r="1288" spans="1:49" s="658" customFormat="1" ht="96" x14ac:dyDescent="0.15">
      <c r="A1288" s="652">
        <v>21503</v>
      </c>
      <c r="B1288" s="653"/>
      <c r="C1288" s="653" t="s">
        <v>6349</v>
      </c>
      <c r="D1288" s="653">
        <v>4</v>
      </c>
      <c r="E1288" s="653">
        <v>0</v>
      </c>
      <c r="F1288" s="629">
        <v>2</v>
      </c>
      <c r="G1288" s="654">
        <v>26</v>
      </c>
      <c r="H1288" s="653">
        <v>35</v>
      </c>
      <c r="I1288" s="17">
        <v>0</v>
      </c>
      <c r="J1288" s="654">
        <v>0</v>
      </c>
      <c r="K1288" s="653">
        <v>0</v>
      </c>
      <c r="L1288" s="623">
        <v>576</v>
      </c>
      <c r="M1288" s="653" t="s">
        <v>2510</v>
      </c>
      <c r="N1288" s="623">
        <v>576</v>
      </c>
      <c r="O1288" s="653" t="s">
        <v>5237</v>
      </c>
      <c r="P1288" s="653">
        <v>4</v>
      </c>
      <c r="Q1288" s="655"/>
      <c r="R1288" s="655">
        <v>60052</v>
      </c>
      <c r="S1288" s="655"/>
      <c r="T1288" s="655"/>
      <c r="U1288" s="653">
        <v>1</v>
      </c>
      <c r="V1288" s="653">
        <v>0</v>
      </c>
      <c r="W1288" s="653">
        <v>0</v>
      </c>
      <c r="X1288" s="623">
        <v>0</v>
      </c>
      <c r="Y1288" s="653"/>
      <c r="Z1288" s="512">
        <v>0</v>
      </c>
      <c r="AA1288" s="653"/>
      <c r="AB1288" s="656"/>
      <c r="AC1288" s="656"/>
      <c r="AD1288" s="532"/>
      <c r="AE1288" s="657"/>
      <c r="AF1288" s="653" t="str">
        <f t="shared" si="173"/>
        <v>title([历练]护送)
body(hotyellow_3(任务进程:)newline()
   现在光明女祭司有一件重要的使命委托给我们，麻烦你去goto(135,3)处，帮我将hot(凤城特使)护送到goto(60052,4)处,这件事情事关重大,请务必小心行事。
blankline()
   space()space()space()hot2(任务完成后,千万不要忘记向家族府邸的goto(45112,101)汇报哦！))</v>
      </c>
      <c r="AG1288" s="653" t="s">
        <v>2518</v>
      </c>
      <c r="AH1288" s="653" t="s">
        <v>114</v>
      </c>
      <c r="AI1288" s="653" t="s">
        <v>110</v>
      </c>
      <c r="AJ1288" s="653" t="s">
        <v>7463</v>
      </c>
      <c r="AK1288" s="653" t="s">
        <v>2521</v>
      </c>
      <c r="AL1288" s="654">
        <v>2</v>
      </c>
      <c r="AM1288" s="657"/>
      <c r="AN1288" s="657"/>
      <c r="AO1288" s="653"/>
      <c r="AP1288" s="653">
        <v>0</v>
      </c>
      <c r="AQ1288" s="653">
        <v>0</v>
      </c>
      <c r="AR1288" s="653">
        <v>0</v>
      </c>
      <c r="AS1288" s="653">
        <v>0</v>
      </c>
      <c r="AT1288" s="653">
        <v>0</v>
      </c>
      <c r="AU1288" s="226">
        <v>0</v>
      </c>
      <c r="AV1288" s="17">
        <f t="shared" si="172"/>
        <v>0</v>
      </c>
      <c r="AW1288" s="653" t="str">
        <f t="shared" si="171"/>
        <v>{s_taskTalk,{576,576}}</v>
      </c>
    </row>
    <row r="1289" spans="1:49" s="658" customFormat="1" ht="96" x14ac:dyDescent="0.15">
      <c r="A1289" s="652">
        <v>21504</v>
      </c>
      <c r="B1289" s="653"/>
      <c r="C1289" s="653" t="s">
        <v>6349</v>
      </c>
      <c r="D1289" s="653">
        <v>4</v>
      </c>
      <c r="E1289" s="653">
        <v>0</v>
      </c>
      <c r="F1289" s="629">
        <v>2</v>
      </c>
      <c r="G1289" s="654">
        <v>26</v>
      </c>
      <c r="H1289" s="653">
        <v>35</v>
      </c>
      <c r="I1289" s="17">
        <v>0</v>
      </c>
      <c r="J1289" s="654">
        <v>0</v>
      </c>
      <c r="K1289" s="653">
        <v>0</v>
      </c>
      <c r="L1289" s="623">
        <v>576</v>
      </c>
      <c r="M1289" s="653" t="s">
        <v>2510</v>
      </c>
      <c r="N1289" s="623">
        <v>576</v>
      </c>
      <c r="O1289" s="653" t="s">
        <v>5237</v>
      </c>
      <c r="P1289" s="653">
        <v>4</v>
      </c>
      <c r="Q1289" s="655"/>
      <c r="R1289" s="655">
        <v>60036</v>
      </c>
      <c r="S1289" s="655"/>
      <c r="T1289" s="655"/>
      <c r="U1289" s="653">
        <v>1</v>
      </c>
      <c r="V1289" s="653">
        <v>0</v>
      </c>
      <c r="W1289" s="653">
        <v>0</v>
      </c>
      <c r="X1289" s="623">
        <v>0</v>
      </c>
      <c r="Y1289" s="653"/>
      <c r="Z1289" s="512">
        <v>0</v>
      </c>
      <c r="AA1289" s="653"/>
      <c r="AB1289" s="656"/>
      <c r="AC1289" s="656"/>
      <c r="AD1289" s="532"/>
      <c r="AE1289" s="657"/>
      <c r="AF1289" s="653" t="str">
        <f t="shared" si="173"/>
        <v>title([历练]护送)
body(hotyellow_3(任务进程:)newline()
   现在光明女祭司有一件重要的使命委托给我们，麻烦你去goto(135,3)处，帮我将hot(凤城特使)护送到goto(60036,4)处,这件事情事关重大,请务必小心行事。
blankline()
   space()space()space()hot2(任务完成后,千万不要忘记向家族府邸的goto(45112,101)汇报哦！))</v>
      </c>
      <c r="AG1289" s="653" t="s">
        <v>2518</v>
      </c>
      <c r="AH1289" s="653" t="s">
        <v>114</v>
      </c>
      <c r="AI1289" s="653" t="s">
        <v>110</v>
      </c>
      <c r="AJ1289" s="653" t="s">
        <v>7463</v>
      </c>
      <c r="AK1289" s="653" t="s">
        <v>2521</v>
      </c>
      <c r="AL1289" s="654">
        <v>2</v>
      </c>
      <c r="AM1289" s="657"/>
      <c r="AN1289" s="657"/>
      <c r="AO1289" s="653"/>
      <c r="AP1289" s="653">
        <v>0</v>
      </c>
      <c r="AQ1289" s="653">
        <v>0</v>
      </c>
      <c r="AR1289" s="653">
        <v>0</v>
      </c>
      <c r="AS1289" s="653">
        <v>0</v>
      </c>
      <c r="AT1289" s="653">
        <v>0</v>
      </c>
      <c r="AU1289" s="226">
        <v>0</v>
      </c>
      <c r="AV1289" s="17">
        <f t="shared" si="172"/>
        <v>0</v>
      </c>
      <c r="AW1289" s="653" t="str">
        <f t="shared" si="171"/>
        <v>{s_taskTalk,{576,576}}</v>
      </c>
    </row>
    <row r="1290" spans="1:49" s="658" customFormat="1" ht="96" x14ac:dyDescent="0.15">
      <c r="A1290" s="652">
        <v>21505</v>
      </c>
      <c r="B1290" s="653"/>
      <c r="C1290" s="653" t="s">
        <v>6349</v>
      </c>
      <c r="D1290" s="653">
        <v>4</v>
      </c>
      <c r="E1290" s="653">
        <v>0</v>
      </c>
      <c r="F1290" s="629">
        <v>2</v>
      </c>
      <c r="G1290" s="654">
        <v>36</v>
      </c>
      <c r="H1290" s="653">
        <v>45</v>
      </c>
      <c r="I1290" s="17">
        <v>0</v>
      </c>
      <c r="J1290" s="654">
        <v>0</v>
      </c>
      <c r="K1290" s="653">
        <v>0</v>
      </c>
      <c r="L1290" s="623">
        <v>576</v>
      </c>
      <c r="M1290" s="653" t="s">
        <v>2510</v>
      </c>
      <c r="N1290" s="623">
        <v>576</v>
      </c>
      <c r="O1290" s="653" t="s">
        <v>5237</v>
      </c>
      <c r="P1290" s="653">
        <v>6</v>
      </c>
      <c r="Q1290" s="655"/>
      <c r="R1290" s="655">
        <v>60098</v>
      </c>
      <c r="S1290" s="655"/>
      <c r="T1290" s="655"/>
      <c r="U1290" s="653">
        <v>1</v>
      </c>
      <c r="V1290" s="653">
        <v>0</v>
      </c>
      <c r="W1290" s="653">
        <v>0</v>
      </c>
      <c r="X1290" s="623">
        <v>0</v>
      </c>
      <c r="Y1290" s="653"/>
      <c r="Z1290" s="512">
        <v>0</v>
      </c>
      <c r="AA1290" s="653"/>
      <c r="AB1290" s="656"/>
      <c r="AC1290" s="656"/>
      <c r="AD1290" s="532"/>
      <c r="AE1290" s="657"/>
      <c r="AF1290" s="653" t="str">
        <f t="shared" si="173"/>
        <v>title([历练]护送)
body(hotyellow_3(任务进程:)newline()
   现在光明女祭司有一件重要的使命委托给我们，麻烦你去goto(135,3)处，帮我将hot(凤城特使)护送到goto(60098,6)处,这件事情事关重大,请务必小心行事。
blankline()
   space()space()space()hot2(任务完成后,千万不要忘记向家族府邸的goto(45112,101)汇报哦！))</v>
      </c>
      <c r="AG1290" s="653" t="s">
        <v>2518</v>
      </c>
      <c r="AH1290" s="653" t="s">
        <v>114</v>
      </c>
      <c r="AI1290" s="653" t="s">
        <v>110</v>
      </c>
      <c r="AJ1290" s="653" t="s">
        <v>7463</v>
      </c>
      <c r="AK1290" s="653" t="s">
        <v>2521</v>
      </c>
      <c r="AL1290" s="654">
        <v>2</v>
      </c>
      <c r="AM1290" s="657"/>
      <c r="AN1290" s="657"/>
      <c r="AO1290" s="653"/>
      <c r="AP1290" s="653">
        <v>0</v>
      </c>
      <c r="AQ1290" s="653">
        <v>0</v>
      </c>
      <c r="AR1290" s="653">
        <v>0</v>
      </c>
      <c r="AS1290" s="653">
        <v>0</v>
      </c>
      <c r="AT1290" s="653">
        <v>0</v>
      </c>
      <c r="AU1290" s="226">
        <v>0</v>
      </c>
      <c r="AV1290" s="17">
        <f t="shared" si="172"/>
        <v>0</v>
      </c>
      <c r="AW1290" s="653" t="str">
        <f t="shared" si="171"/>
        <v>{s_taskTalk,{576,576}}</v>
      </c>
    </row>
    <row r="1291" spans="1:49" s="658" customFormat="1" ht="96" x14ac:dyDescent="0.15">
      <c r="A1291" s="652">
        <v>21506</v>
      </c>
      <c r="B1291" s="653"/>
      <c r="C1291" s="653" t="s">
        <v>6349</v>
      </c>
      <c r="D1291" s="653">
        <v>4</v>
      </c>
      <c r="E1291" s="653">
        <v>0</v>
      </c>
      <c r="F1291" s="629">
        <v>2</v>
      </c>
      <c r="G1291" s="654">
        <v>36</v>
      </c>
      <c r="H1291" s="653">
        <v>45</v>
      </c>
      <c r="I1291" s="17">
        <v>0</v>
      </c>
      <c r="J1291" s="654">
        <v>0</v>
      </c>
      <c r="K1291" s="653">
        <v>0</v>
      </c>
      <c r="L1291" s="623">
        <v>576</v>
      </c>
      <c r="M1291" s="653" t="s">
        <v>2510</v>
      </c>
      <c r="N1291" s="623">
        <v>576</v>
      </c>
      <c r="O1291" s="653" t="s">
        <v>5237</v>
      </c>
      <c r="P1291" s="653">
        <v>6</v>
      </c>
      <c r="Q1291" s="655"/>
      <c r="R1291" s="655">
        <v>60093</v>
      </c>
      <c r="S1291" s="655"/>
      <c r="T1291" s="655"/>
      <c r="U1291" s="653">
        <v>1</v>
      </c>
      <c r="V1291" s="653">
        <v>0</v>
      </c>
      <c r="W1291" s="653">
        <v>0</v>
      </c>
      <c r="X1291" s="623">
        <v>0</v>
      </c>
      <c r="Y1291" s="653"/>
      <c r="Z1291" s="512">
        <v>0</v>
      </c>
      <c r="AA1291" s="653"/>
      <c r="AB1291" s="656"/>
      <c r="AC1291" s="656"/>
      <c r="AD1291" s="532"/>
      <c r="AE1291" s="657"/>
      <c r="AF1291" s="653" t="str">
        <f t="shared" si="173"/>
        <v>title([历练]护送)
body(hotyellow_3(任务进程:)newline()
   现在光明女祭司有一件重要的使命委托给我们，麻烦你去goto(135,3)处，帮我将hot(凤城特使)护送到goto(60093,6)处,这件事情事关重大,请务必小心行事。
blankline()
   space()space()space()hot2(任务完成后,千万不要忘记向家族府邸的goto(45112,101)汇报哦！))</v>
      </c>
      <c r="AG1291" s="653" t="s">
        <v>2518</v>
      </c>
      <c r="AH1291" s="653" t="s">
        <v>114</v>
      </c>
      <c r="AI1291" s="653" t="s">
        <v>110</v>
      </c>
      <c r="AJ1291" s="653" t="s">
        <v>7463</v>
      </c>
      <c r="AK1291" s="653" t="s">
        <v>2521</v>
      </c>
      <c r="AL1291" s="654">
        <v>2</v>
      </c>
      <c r="AM1291" s="657"/>
      <c r="AN1291" s="657"/>
      <c r="AO1291" s="653"/>
      <c r="AP1291" s="653">
        <v>0</v>
      </c>
      <c r="AQ1291" s="653">
        <v>0</v>
      </c>
      <c r="AR1291" s="653">
        <v>0</v>
      </c>
      <c r="AS1291" s="653">
        <v>0</v>
      </c>
      <c r="AT1291" s="653">
        <v>0</v>
      </c>
      <c r="AU1291" s="226">
        <v>0</v>
      </c>
      <c r="AV1291" s="17">
        <f t="shared" si="172"/>
        <v>0</v>
      </c>
      <c r="AW1291" s="653" t="str">
        <f t="shared" si="171"/>
        <v>{s_taskTalk,{576,576}}</v>
      </c>
    </row>
    <row r="1292" spans="1:49" s="658" customFormat="1" ht="96" x14ac:dyDescent="0.15">
      <c r="A1292" s="652">
        <v>21507</v>
      </c>
      <c r="B1292" s="653"/>
      <c r="C1292" s="653" t="s">
        <v>6349</v>
      </c>
      <c r="D1292" s="653">
        <v>4</v>
      </c>
      <c r="E1292" s="653">
        <v>0</v>
      </c>
      <c r="F1292" s="629">
        <v>2</v>
      </c>
      <c r="G1292" s="654">
        <v>46</v>
      </c>
      <c r="H1292" s="653">
        <v>50</v>
      </c>
      <c r="I1292" s="17">
        <v>0</v>
      </c>
      <c r="J1292" s="654">
        <v>0</v>
      </c>
      <c r="K1292" s="653">
        <v>0</v>
      </c>
      <c r="L1292" s="623">
        <v>576</v>
      </c>
      <c r="M1292" s="653" t="s">
        <v>2510</v>
      </c>
      <c r="N1292" s="623">
        <v>576</v>
      </c>
      <c r="O1292" s="653" t="s">
        <v>5237</v>
      </c>
      <c r="P1292" s="653">
        <v>6</v>
      </c>
      <c r="Q1292" s="655"/>
      <c r="R1292" s="655">
        <v>60157</v>
      </c>
      <c r="S1292" s="655"/>
      <c r="T1292" s="655"/>
      <c r="U1292" s="653">
        <v>1</v>
      </c>
      <c r="V1292" s="653">
        <v>0</v>
      </c>
      <c r="W1292" s="653">
        <v>0</v>
      </c>
      <c r="X1292" s="623">
        <v>0</v>
      </c>
      <c r="Y1292" s="653"/>
      <c r="Z1292" s="512">
        <v>0</v>
      </c>
      <c r="AA1292" s="653"/>
      <c r="AB1292" s="656"/>
      <c r="AC1292" s="656"/>
      <c r="AD1292" s="532"/>
      <c r="AE1292" s="657"/>
      <c r="AF1292" s="653" t="str">
        <f t="shared" si="173"/>
        <v>title([历练]护送)
body(hotyellow_3(任务进程:)newline()
   现在光明女祭司有一件重要的使命委托给我们，麻烦你去goto(135,3)处，帮我将hot(凤城特使)护送到goto(60157,6)处,这件事情事关重大,请务必小心行事。
blankline()
   space()space()space()hot2(任务完成后,千万不要忘记向家族府邸的goto(45112,101)汇报哦！))</v>
      </c>
      <c r="AG1292" s="653" t="s">
        <v>2518</v>
      </c>
      <c r="AH1292" s="653" t="s">
        <v>114</v>
      </c>
      <c r="AI1292" s="653" t="s">
        <v>110</v>
      </c>
      <c r="AJ1292" s="653" t="s">
        <v>7463</v>
      </c>
      <c r="AK1292" s="653" t="s">
        <v>2521</v>
      </c>
      <c r="AL1292" s="654">
        <v>2</v>
      </c>
      <c r="AM1292" s="657"/>
      <c r="AN1292" s="657"/>
      <c r="AO1292" s="653"/>
      <c r="AP1292" s="653">
        <v>0</v>
      </c>
      <c r="AQ1292" s="653">
        <v>0</v>
      </c>
      <c r="AR1292" s="653">
        <v>0</v>
      </c>
      <c r="AS1292" s="653">
        <v>0</v>
      </c>
      <c r="AT1292" s="653">
        <v>0</v>
      </c>
      <c r="AU1292" s="226">
        <v>0</v>
      </c>
      <c r="AV1292" s="17">
        <f t="shared" si="172"/>
        <v>0</v>
      </c>
      <c r="AW1292" s="653" t="str">
        <f t="shared" si="171"/>
        <v>{s_taskTalk,{576,576}}</v>
      </c>
    </row>
    <row r="1293" spans="1:49" s="658" customFormat="1" ht="96" x14ac:dyDescent="0.15">
      <c r="A1293" s="652">
        <v>21508</v>
      </c>
      <c r="B1293" s="653"/>
      <c r="C1293" s="653" t="s">
        <v>6349</v>
      </c>
      <c r="D1293" s="653">
        <v>4</v>
      </c>
      <c r="E1293" s="653">
        <v>0</v>
      </c>
      <c r="F1293" s="629">
        <v>2</v>
      </c>
      <c r="G1293" s="654">
        <v>46</v>
      </c>
      <c r="H1293" s="653">
        <v>50</v>
      </c>
      <c r="I1293" s="17">
        <v>0</v>
      </c>
      <c r="J1293" s="654">
        <v>0</v>
      </c>
      <c r="K1293" s="653">
        <v>0</v>
      </c>
      <c r="L1293" s="623">
        <v>576</v>
      </c>
      <c r="M1293" s="653" t="s">
        <v>2510</v>
      </c>
      <c r="N1293" s="623">
        <v>576</v>
      </c>
      <c r="O1293" s="653" t="s">
        <v>5237</v>
      </c>
      <c r="P1293" s="653">
        <v>6</v>
      </c>
      <c r="Q1293" s="655"/>
      <c r="R1293" s="655">
        <v>167</v>
      </c>
      <c r="S1293" s="655"/>
      <c r="T1293" s="655"/>
      <c r="U1293" s="653">
        <v>1</v>
      </c>
      <c r="V1293" s="653">
        <v>0</v>
      </c>
      <c r="W1293" s="653">
        <v>0</v>
      </c>
      <c r="X1293" s="623">
        <v>0</v>
      </c>
      <c r="Y1293" s="653"/>
      <c r="Z1293" s="512">
        <v>0</v>
      </c>
      <c r="AA1293" s="653"/>
      <c r="AB1293" s="656"/>
      <c r="AC1293" s="656"/>
      <c r="AD1293" s="532"/>
      <c r="AE1293" s="657"/>
      <c r="AF1293" s="653" t="str">
        <f t="shared" si="173"/>
        <v>title([历练]护送)
body(hotyellow_3(任务进程:)newline()
   现在光明女祭司有一件重要的使命委托给我们，麻烦你去goto(135,3)处，帮我将hot(凤城特使)护送到goto(167,6)处,这件事情事关重大,请务必小心行事。
blankline()
   space()space()space()hot2(任务完成后,千万不要忘记向家族府邸的goto(45112,101)汇报哦！))</v>
      </c>
      <c r="AG1293" s="653" t="s">
        <v>2518</v>
      </c>
      <c r="AH1293" s="653" t="s">
        <v>114</v>
      </c>
      <c r="AI1293" s="653" t="s">
        <v>110</v>
      </c>
      <c r="AJ1293" s="653" t="s">
        <v>7463</v>
      </c>
      <c r="AK1293" s="653" t="s">
        <v>2521</v>
      </c>
      <c r="AL1293" s="654">
        <v>2</v>
      </c>
      <c r="AM1293" s="657"/>
      <c r="AN1293" s="657"/>
      <c r="AO1293" s="653"/>
      <c r="AP1293" s="653">
        <v>0</v>
      </c>
      <c r="AQ1293" s="653">
        <v>0</v>
      </c>
      <c r="AR1293" s="653">
        <v>0</v>
      </c>
      <c r="AS1293" s="653">
        <v>0</v>
      </c>
      <c r="AT1293" s="653">
        <v>0</v>
      </c>
      <c r="AU1293" s="226">
        <v>0</v>
      </c>
      <c r="AV1293" s="17">
        <f t="shared" si="172"/>
        <v>0</v>
      </c>
      <c r="AW1293" s="653" t="str">
        <f t="shared" si="171"/>
        <v>{s_taskTalk,{576,576}}</v>
      </c>
    </row>
    <row r="1294" spans="1:49" s="658" customFormat="1" ht="96" x14ac:dyDescent="0.15">
      <c r="A1294" s="652">
        <v>21509</v>
      </c>
      <c r="B1294" s="653"/>
      <c r="C1294" s="653" t="s">
        <v>6349</v>
      </c>
      <c r="D1294" s="653">
        <v>4</v>
      </c>
      <c r="E1294" s="653">
        <v>0</v>
      </c>
      <c r="F1294" s="629">
        <v>2</v>
      </c>
      <c r="G1294" s="654">
        <v>51</v>
      </c>
      <c r="H1294" s="653">
        <v>100</v>
      </c>
      <c r="I1294" s="17">
        <v>0</v>
      </c>
      <c r="J1294" s="654">
        <v>0</v>
      </c>
      <c r="K1294" s="653">
        <v>0</v>
      </c>
      <c r="L1294" s="623">
        <v>576</v>
      </c>
      <c r="M1294" s="653" t="s">
        <v>2510</v>
      </c>
      <c r="N1294" s="623">
        <v>576</v>
      </c>
      <c r="O1294" s="653" t="s">
        <v>5237</v>
      </c>
      <c r="P1294" s="653">
        <v>7</v>
      </c>
      <c r="Q1294" s="655"/>
      <c r="R1294" s="655">
        <v>60086</v>
      </c>
      <c r="S1294" s="655"/>
      <c r="T1294" s="655"/>
      <c r="U1294" s="653">
        <v>1</v>
      </c>
      <c r="V1294" s="653">
        <v>0</v>
      </c>
      <c r="W1294" s="653">
        <v>0</v>
      </c>
      <c r="X1294" s="623">
        <v>0</v>
      </c>
      <c r="Y1294" s="653"/>
      <c r="Z1294" s="512">
        <v>0</v>
      </c>
      <c r="AA1294" s="653"/>
      <c r="AB1294" s="656"/>
      <c r="AC1294" s="656"/>
      <c r="AD1294" s="532"/>
      <c r="AE1294" s="657"/>
      <c r="AF1294" s="653" t="str">
        <f t="shared" si="173"/>
        <v>title([历练]护送)
body(hotyellow_3(任务进程:)newline()
   现在光明女祭司有一件重要的使命委托给我们，麻烦你去goto(135,3)处，帮我将hot(凤城特使)护送到goto(60086,7)处,这件事情事关重大,请务必小心行事。
blankline()
   space()space()space()hot2(任务完成后,千万不要忘记向家族府邸的goto(45112,101)汇报哦！))</v>
      </c>
      <c r="AG1294" s="653" t="s">
        <v>2518</v>
      </c>
      <c r="AH1294" s="653" t="s">
        <v>114</v>
      </c>
      <c r="AI1294" s="653" t="s">
        <v>110</v>
      </c>
      <c r="AJ1294" s="653" t="s">
        <v>7463</v>
      </c>
      <c r="AK1294" s="653" t="s">
        <v>2521</v>
      </c>
      <c r="AL1294" s="654">
        <v>2</v>
      </c>
      <c r="AM1294" s="657"/>
      <c r="AN1294" s="657"/>
      <c r="AO1294" s="653"/>
      <c r="AP1294" s="653">
        <v>0</v>
      </c>
      <c r="AQ1294" s="653">
        <v>0</v>
      </c>
      <c r="AR1294" s="653">
        <v>0</v>
      </c>
      <c r="AS1294" s="653">
        <v>0</v>
      </c>
      <c r="AT1294" s="653">
        <v>0</v>
      </c>
      <c r="AU1294" s="226">
        <v>0</v>
      </c>
      <c r="AV1294" s="17">
        <f t="shared" si="172"/>
        <v>0</v>
      </c>
      <c r="AW1294" s="653" t="str">
        <f t="shared" si="171"/>
        <v>{s_taskTalk,{576,576}}</v>
      </c>
    </row>
    <row r="1295" spans="1:49" s="658" customFormat="1" ht="96" x14ac:dyDescent="0.15">
      <c r="A1295" s="652">
        <v>21510</v>
      </c>
      <c r="B1295" s="653"/>
      <c r="C1295" s="653" t="s">
        <v>6349</v>
      </c>
      <c r="D1295" s="653">
        <v>4</v>
      </c>
      <c r="E1295" s="653">
        <v>0</v>
      </c>
      <c r="F1295" s="629">
        <v>2</v>
      </c>
      <c r="G1295" s="654">
        <v>61</v>
      </c>
      <c r="H1295" s="653">
        <v>100</v>
      </c>
      <c r="I1295" s="17">
        <v>0</v>
      </c>
      <c r="J1295" s="654">
        <v>0</v>
      </c>
      <c r="K1295" s="653">
        <v>0</v>
      </c>
      <c r="L1295" s="623">
        <v>576</v>
      </c>
      <c r="M1295" s="653" t="s">
        <v>2510</v>
      </c>
      <c r="N1295" s="623">
        <v>576</v>
      </c>
      <c r="O1295" s="653" t="s">
        <v>5237</v>
      </c>
      <c r="P1295" s="653">
        <v>7</v>
      </c>
      <c r="Q1295" s="655"/>
      <c r="R1295" s="655">
        <v>60087</v>
      </c>
      <c r="S1295" s="655"/>
      <c r="T1295" s="655"/>
      <c r="U1295" s="653">
        <v>1</v>
      </c>
      <c r="V1295" s="653">
        <v>0</v>
      </c>
      <c r="W1295" s="653">
        <v>0</v>
      </c>
      <c r="X1295" s="623">
        <v>0</v>
      </c>
      <c r="Y1295" s="653"/>
      <c r="Z1295" s="512">
        <v>0</v>
      </c>
      <c r="AA1295" s="653"/>
      <c r="AB1295" s="656"/>
      <c r="AC1295" s="656"/>
      <c r="AD1295" s="532"/>
      <c r="AE1295" s="657"/>
      <c r="AF1295" s="653" t="str">
        <f>"title("&amp;C1295&amp;")
body(hotyellow_3(任务进程:)newline()
   现在大议长君士坦丁有一件重要的使命委托给我们，麻烦你去goto(60559,5)处，帮我将hot(王城城特使)护送到goto("&amp;R1295&amp;","&amp;P1295&amp;")处,这件事情事关重大,请务必小心行事。
blankline()
   space()space()space()hot2(任务完成后,千万不要忘记向家族府邸的goto(45112,101)汇报哦！))"</f>
        <v>title([历练]护送)
body(hotyellow_3(任务进程:)newline()
   现在大议长君士坦丁有一件重要的使命委托给我们，麻烦你去goto(60559,5)处，帮我将hot(王城城特使)护送到goto(60087,7)处,这件事情事关重大,请务必小心行事。
blankline()
   space()space()space()hot2(任务完成后,千万不要忘记向家族府邸的goto(45112,101)汇报哦！))</v>
      </c>
      <c r="AG1295" s="653" t="s">
        <v>2518</v>
      </c>
      <c r="AH1295" s="653" t="s">
        <v>114</v>
      </c>
      <c r="AI1295" s="653" t="s">
        <v>110</v>
      </c>
      <c r="AJ1295" s="653" t="s">
        <v>7463</v>
      </c>
      <c r="AK1295" s="653" t="s">
        <v>2521</v>
      </c>
      <c r="AL1295" s="654">
        <v>2</v>
      </c>
      <c r="AM1295" s="657"/>
      <c r="AN1295" s="657"/>
      <c r="AO1295" s="653"/>
      <c r="AP1295" s="653">
        <v>0</v>
      </c>
      <c r="AQ1295" s="653">
        <v>0</v>
      </c>
      <c r="AR1295" s="653">
        <v>0</v>
      </c>
      <c r="AS1295" s="653">
        <v>0</v>
      </c>
      <c r="AT1295" s="653">
        <v>0</v>
      </c>
      <c r="AU1295" s="226">
        <v>0</v>
      </c>
      <c r="AV1295" s="17">
        <f t="shared" si="172"/>
        <v>0</v>
      </c>
      <c r="AW1295" s="653" t="str">
        <f t="shared" si="171"/>
        <v>{s_taskTalk,{576,576}}</v>
      </c>
    </row>
    <row r="1296" spans="1:49" s="658" customFormat="1" ht="96" x14ac:dyDescent="0.15">
      <c r="A1296" s="652">
        <v>21511</v>
      </c>
      <c r="B1296" s="653"/>
      <c r="C1296" s="653" t="s">
        <v>6349</v>
      </c>
      <c r="D1296" s="653">
        <v>4</v>
      </c>
      <c r="E1296" s="653">
        <v>0</v>
      </c>
      <c r="F1296" s="629">
        <v>2</v>
      </c>
      <c r="G1296" s="654">
        <v>61</v>
      </c>
      <c r="H1296" s="653">
        <v>100</v>
      </c>
      <c r="I1296" s="17">
        <v>0</v>
      </c>
      <c r="J1296" s="654">
        <v>0</v>
      </c>
      <c r="K1296" s="653">
        <v>0</v>
      </c>
      <c r="L1296" s="623">
        <v>576</v>
      </c>
      <c r="M1296" s="653" t="s">
        <v>2510</v>
      </c>
      <c r="N1296" s="623">
        <v>576</v>
      </c>
      <c r="O1296" s="653" t="s">
        <v>5237</v>
      </c>
      <c r="P1296" s="653">
        <v>7</v>
      </c>
      <c r="Q1296" s="655"/>
      <c r="R1296" s="655">
        <v>60087</v>
      </c>
      <c r="S1296" s="655"/>
      <c r="T1296" s="655"/>
      <c r="U1296" s="653">
        <v>1</v>
      </c>
      <c r="V1296" s="653">
        <v>0</v>
      </c>
      <c r="W1296" s="653">
        <v>0</v>
      </c>
      <c r="X1296" s="623">
        <v>0</v>
      </c>
      <c r="Y1296" s="653"/>
      <c r="Z1296" s="512">
        <v>0</v>
      </c>
      <c r="AA1296" s="653"/>
      <c r="AB1296" s="656"/>
      <c r="AC1296" s="656"/>
      <c r="AD1296" s="532"/>
      <c r="AE1296" s="657"/>
      <c r="AF1296" s="653" t="str">
        <f>"title("&amp;C1296&amp;")
body(hotyellow_3(任务进程:)newline()
   现在光明女祭司处有一件重要的使命委托给我们，麻烦你去goto(135,3)处，帮我将hot(凤城特使)护送到goto("&amp;R1296&amp;","&amp;P1296&amp;")处,这件事情事关重大,请务必小心行事。
blankline()
   space()space()space()hot2(任务完成后,千万不要忘记向家族府邸的goto(45112,101)汇报哦！))"</f>
        <v>title([历练]护送)
body(hotyellow_3(任务进程:)newline()
   现在光明女祭司处有一件重要的使命委托给我们，麻烦你去goto(135,3)处，帮我将hot(凤城特使)护送到goto(60087,7)处,这件事情事关重大,请务必小心行事。
blankline()
   space()space()space()hot2(任务完成后,千万不要忘记向家族府邸的goto(45112,101)汇报哦！))</v>
      </c>
      <c r="AG1296" s="653" t="s">
        <v>2518</v>
      </c>
      <c r="AH1296" s="653" t="s">
        <v>114</v>
      </c>
      <c r="AI1296" s="653" t="s">
        <v>110</v>
      </c>
      <c r="AJ1296" s="653" t="s">
        <v>7463</v>
      </c>
      <c r="AK1296" s="653" t="s">
        <v>2521</v>
      </c>
      <c r="AL1296" s="654">
        <v>2</v>
      </c>
      <c r="AM1296" s="657"/>
      <c r="AN1296" s="657"/>
      <c r="AO1296" s="653"/>
      <c r="AP1296" s="653">
        <v>0</v>
      </c>
      <c r="AQ1296" s="653">
        <v>0</v>
      </c>
      <c r="AR1296" s="653">
        <v>0</v>
      </c>
      <c r="AS1296" s="653">
        <v>0</v>
      </c>
      <c r="AT1296" s="653">
        <v>0</v>
      </c>
      <c r="AU1296" s="226">
        <v>0</v>
      </c>
      <c r="AV1296" s="17">
        <f t="shared" si="172"/>
        <v>0</v>
      </c>
      <c r="AW1296" s="653" t="str">
        <f t="shared" si="171"/>
        <v>{s_taskTalk,{576,576}}</v>
      </c>
    </row>
    <row r="1297" spans="1:49" s="658" customFormat="1" ht="96" x14ac:dyDescent="0.15">
      <c r="A1297" s="652">
        <v>21512</v>
      </c>
      <c r="B1297" s="653"/>
      <c r="C1297" s="653" t="s">
        <v>6349</v>
      </c>
      <c r="D1297" s="653">
        <v>4</v>
      </c>
      <c r="E1297" s="653">
        <v>0</v>
      </c>
      <c r="F1297" s="629">
        <v>2</v>
      </c>
      <c r="G1297" s="654">
        <v>56</v>
      </c>
      <c r="H1297" s="653">
        <v>60</v>
      </c>
      <c r="I1297" s="17">
        <v>0</v>
      </c>
      <c r="J1297" s="654">
        <v>0</v>
      </c>
      <c r="K1297" s="653">
        <v>0</v>
      </c>
      <c r="L1297" s="623">
        <v>576</v>
      </c>
      <c r="M1297" s="653" t="s">
        <v>2510</v>
      </c>
      <c r="N1297" s="623">
        <v>576</v>
      </c>
      <c r="O1297" s="653" t="s">
        <v>5237</v>
      </c>
      <c r="P1297" s="653">
        <v>7</v>
      </c>
      <c r="Q1297" s="655"/>
      <c r="R1297" s="655">
        <v>60088</v>
      </c>
      <c r="S1297" s="655"/>
      <c r="T1297" s="655"/>
      <c r="U1297" s="653">
        <v>1</v>
      </c>
      <c r="V1297" s="653">
        <v>0</v>
      </c>
      <c r="W1297" s="653">
        <v>0</v>
      </c>
      <c r="X1297" s="623">
        <v>0</v>
      </c>
      <c r="Y1297" s="653"/>
      <c r="Z1297" s="512">
        <v>0</v>
      </c>
      <c r="AA1297" s="653"/>
      <c r="AB1297" s="656"/>
      <c r="AC1297" s="656"/>
      <c r="AD1297" s="532"/>
      <c r="AE1297" s="657"/>
      <c r="AF1297" s="653" t="str">
        <f>"title("&amp;C1297&amp;")
body(hotyellow_3(任务进程:)newline()
   现在光明女祭司有一件重要的使命委托给我们，麻烦你去goto(135,3)处，帮我将hot(凤城特使)护送到goto("&amp;R1297&amp;","&amp;P1297&amp;")处,这件事情事关重大,请务必小心行事。
blankline()
   space()space()space()hot2(任务完成后,千万不要忘记向家族府邸的goto(45112,101)汇报哦！))"</f>
        <v>title([历练]护送)
body(hotyellow_3(任务进程:)newline()
   现在光明女祭司有一件重要的使命委托给我们，麻烦你去goto(135,3)处，帮我将hot(凤城特使)护送到goto(60088,7)处,这件事情事关重大,请务必小心行事。
blankline()
   space()space()space()hot2(任务完成后,千万不要忘记向家族府邸的goto(45112,101)汇报哦！))</v>
      </c>
      <c r="AG1297" s="653" t="s">
        <v>2518</v>
      </c>
      <c r="AH1297" s="653" t="s">
        <v>114</v>
      </c>
      <c r="AI1297" s="653" t="s">
        <v>110</v>
      </c>
      <c r="AJ1297" s="653" t="s">
        <v>7463</v>
      </c>
      <c r="AK1297" s="653" t="s">
        <v>2521</v>
      </c>
      <c r="AL1297" s="654">
        <v>2</v>
      </c>
      <c r="AM1297" s="657"/>
      <c r="AN1297" s="657"/>
      <c r="AO1297" s="653"/>
      <c r="AP1297" s="653">
        <v>0</v>
      </c>
      <c r="AQ1297" s="653">
        <v>0</v>
      </c>
      <c r="AR1297" s="653">
        <v>0</v>
      </c>
      <c r="AS1297" s="653">
        <v>0</v>
      </c>
      <c r="AT1297" s="653">
        <v>0</v>
      </c>
      <c r="AU1297" s="226">
        <v>0</v>
      </c>
      <c r="AV1297" s="17">
        <f t="shared" si="172"/>
        <v>0</v>
      </c>
      <c r="AW1297" s="653" t="str">
        <f t="shared" si="171"/>
        <v>{s_taskTalk,{576,576}}</v>
      </c>
    </row>
    <row r="1298" spans="1:49" s="658" customFormat="1" ht="96" x14ac:dyDescent="0.15">
      <c r="A1298" s="652">
        <v>21513</v>
      </c>
      <c r="B1298" s="653"/>
      <c r="C1298" s="653" t="s">
        <v>6349</v>
      </c>
      <c r="D1298" s="653">
        <v>4</v>
      </c>
      <c r="E1298" s="653">
        <v>0</v>
      </c>
      <c r="F1298" s="629">
        <v>2</v>
      </c>
      <c r="G1298" s="654">
        <v>61</v>
      </c>
      <c r="H1298" s="653">
        <v>200</v>
      </c>
      <c r="I1298" s="17">
        <v>0</v>
      </c>
      <c r="J1298" s="654">
        <v>0</v>
      </c>
      <c r="K1298" s="653">
        <v>0</v>
      </c>
      <c r="L1298" s="623">
        <v>576</v>
      </c>
      <c r="M1298" s="653" t="s">
        <v>2510</v>
      </c>
      <c r="N1298" s="623">
        <v>576</v>
      </c>
      <c r="O1298" s="653" t="s">
        <v>5237</v>
      </c>
      <c r="P1298" s="653">
        <v>7</v>
      </c>
      <c r="Q1298" s="655"/>
      <c r="R1298" s="655">
        <v>60086</v>
      </c>
      <c r="S1298" s="655"/>
      <c r="T1298" s="655"/>
      <c r="U1298" s="653">
        <v>1</v>
      </c>
      <c r="V1298" s="653">
        <v>0</v>
      </c>
      <c r="W1298" s="653">
        <v>0</v>
      </c>
      <c r="X1298" s="623">
        <v>0</v>
      </c>
      <c r="Y1298" s="653"/>
      <c r="Z1298" s="512">
        <v>0</v>
      </c>
      <c r="AA1298" s="653"/>
      <c r="AB1298" s="656"/>
      <c r="AC1298" s="656"/>
      <c r="AD1298" s="532"/>
      <c r="AE1298" s="657"/>
      <c r="AF1298" s="653" t="str">
        <f>"title("&amp;C1298&amp;")
body(hotyellow_3(任务进程:)newline()
   现在大议长君士坦丁处有一件重要的使命委托给我们，麻烦你去goto(60559,5)处，帮我将hot(凤城特使)护送到goto("&amp;R1298&amp;","&amp;P1298&amp;")处,这件事情事关重大,请务必小心行事。
blankline()
   space()space()space()hot2(任务完成后,千万不要忘记向家族府邸的goto(45112,101)汇报哦！))"</f>
        <v>title([历练]护送)
body(hotyellow_3(任务进程:)newline()
   现在大议长君士坦丁处有一件重要的使命委托给我们，麻烦你去goto(60559,5)处，帮我将hot(凤城特使)护送到goto(60086,7)处,这件事情事关重大,请务必小心行事。
blankline()
   space()space()space()hot2(任务完成后,千万不要忘记向家族府邸的goto(45112,101)汇报哦！))</v>
      </c>
      <c r="AG1298" s="653" t="s">
        <v>2518</v>
      </c>
      <c r="AH1298" s="653" t="s">
        <v>114</v>
      </c>
      <c r="AI1298" s="653" t="s">
        <v>110</v>
      </c>
      <c r="AJ1298" s="653" t="s">
        <v>7463</v>
      </c>
      <c r="AK1298" s="653" t="s">
        <v>2521</v>
      </c>
      <c r="AL1298" s="654">
        <v>2</v>
      </c>
      <c r="AM1298" s="657"/>
      <c r="AN1298" s="657"/>
      <c r="AO1298" s="653"/>
      <c r="AP1298" s="653">
        <v>0</v>
      </c>
      <c r="AQ1298" s="653">
        <v>0</v>
      </c>
      <c r="AR1298" s="653">
        <v>0</v>
      </c>
      <c r="AS1298" s="653">
        <v>0</v>
      </c>
      <c r="AT1298" s="653">
        <v>0</v>
      </c>
      <c r="AU1298" s="226">
        <v>0</v>
      </c>
      <c r="AV1298" s="17">
        <f t="shared" si="172"/>
        <v>0</v>
      </c>
      <c r="AW1298" s="653" t="str">
        <f t="shared" si="171"/>
        <v>{s_taskTalk,{576,576}}</v>
      </c>
    </row>
    <row r="1299" spans="1:49" s="292" customFormat="1" ht="84" x14ac:dyDescent="0.15">
      <c r="A1299" s="659">
        <v>21601</v>
      </c>
      <c r="B1299" s="50"/>
      <c r="C1299" s="50" t="s">
        <v>6350</v>
      </c>
      <c r="D1299" s="50">
        <v>4</v>
      </c>
      <c r="E1299" s="50">
        <v>0</v>
      </c>
      <c r="F1299" s="629">
        <v>2</v>
      </c>
      <c r="G1299" s="120">
        <v>21</v>
      </c>
      <c r="H1299" s="26">
        <v>40</v>
      </c>
      <c r="I1299" s="17">
        <v>0</v>
      </c>
      <c r="J1299" s="120">
        <v>0</v>
      </c>
      <c r="K1299" s="50">
        <v>0</v>
      </c>
      <c r="L1299" s="623">
        <v>576</v>
      </c>
      <c r="M1299" s="50" t="s">
        <v>2510</v>
      </c>
      <c r="N1299" s="50">
        <v>0</v>
      </c>
      <c r="O1299" s="50" t="s">
        <v>6297</v>
      </c>
      <c r="P1299" s="50">
        <v>2</v>
      </c>
      <c r="Q1299" s="121"/>
      <c r="R1299" s="121"/>
      <c r="S1299" s="121"/>
      <c r="T1299" s="121"/>
      <c r="U1299" s="50">
        <v>1</v>
      </c>
      <c r="V1299" s="50">
        <v>0</v>
      </c>
      <c r="W1299" s="50">
        <v>0</v>
      </c>
      <c r="X1299" s="623">
        <v>0</v>
      </c>
      <c r="Y1299" s="50"/>
      <c r="Z1299" s="123">
        <v>0</v>
      </c>
      <c r="AA1299" s="50"/>
      <c r="AB1299" s="124"/>
      <c r="AC1299" s="124"/>
      <c r="AD1299" s="50"/>
      <c r="AE1299" s="127" t="s">
        <v>7350</v>
      </c>
      <c r="AF1299" s="50" t="str">
        <f>"title("&amp;C1299&amp;")
body(hotyellow_3(任务进程:)newline()
   这里有一封信需要交给hot(凤城)的goto(502,2)。将信送到后，不要忘记回来向我汇报。
blankline()
   space()space()space()hot2(任务完成后,千万不要忘记向goto(576,2)汇报哦！))"</f>
        <v>title([历练]送信)
body(hotyellow_3(任务进程:)newline()
   这里有一封信需要交给hot(凤城)的goto(502,2)。将信送到后，不要忘记回来向我汇报。
blankline()
   space()space()space()hot2(任务完成后,千万不要忘记向goto(576,2)汇报哦！))</v>
      </c>
      <c r="AG1299" s="50" t="s">
        <v>6312</v>
      </c>
      <c r="AH1299" s="50" t="s">
        <v>114</v>
      </c>
      <c r="AI1299" s="50" t="s">
        <v>110</v>
      </c>
      <c r="AJ1299" s="50" t="s">
        <v>7464</v>
      </c>
      <c r="AK1299" s="50" t="s">
        <v>2513</v>
      </c>
      <c r="AL1299" s="120">
        <v>2</v>
      </c>
      <c r="AM1299" s="660" t="s">
        <v>8976</v>
      </c>
      <c r="AN1299" s="127"/>
      <c r="AO1299" s="50"/>
      <c r="AP1299" s="50">
        <v>0</v>
      </c>
      <c r="AQ1299" s="50">
        <v>0</v>
      </c>
      <c r="AR1299" s="50">
        <v>1</v>
      </c>
      <c r="AS1299" s="50">
        <v>0</v>
      </c>
      <c r="AT1299" s="50">
        <v>0</v>
      </c>
      <c r="AU1299" s="226">
        <v>0</v>
      </c>
      <c r="AV1299" s="17">
        <f t="shared" si="172"/>
        <v>0</v>
      </c>
      <c r="AW1299" s="653" t="str">
        <f t="shared" si="171"/>
        <v>{s_taskTalk,{576,0}}</v>
      </c>
    </row>
    <row r="1300" spans="1:49" s="292" customFormat="1" ht="84" x14ac:dyDescent="0.15">
      <c r="A1300" s="659">
        <v>21602</v>
      </c>
      <c r="B1300" s="50"/>
      <c r="C1300" s="50" t="s">
        <v>6350</v>
      </c>
      <c r="D1300" s="50">
        <v>4</v>
      </c>
      <c r="E1300" s="50">
        <v>0</v>
      </c>
      <c r="F1300" s="629">
        <v>2</v>
      </c>
      <c r="G1300" s="120">
        <v>21</v>
      </c>
      <c r="H1300" s="26">
        <v>40</v>
      </c>
      <c r="I1300" s="17">
        <v>0</v>
      </c>
      <c r="J1300" s="120">
        <v>0</v>
      </c>
      <c r="K1300" s="50">
        <v>0</v>
      </c>
      <c r="L1300" s="623">
        <v>576</v>
      </c>
      <c r="M1300" s="50" t="s">
        <v>2510</v>
      </c>
      <c r="N1300" s="50">
        <v>0</v>
      </c>
      <c r="O1300" s="50" t="s">
        <v>6298</v>
      </c>
      <c r="P1300" s="50">
        <v>2</v>
      </c>
      <c r="Q1300" s="121"/>
      <c r="R1300" s="121"/>
      <c r="S1300" s="121"/>
      <c r="T1300" s="121"/>
      <c r="U1300" s="50">
        <v>1</v>
      </c>
      <c r="V1300" s="50">
        <v>0</v>
      </c>
      <c r="W1300" s="50">
        <v>0</v>
      </c>
      <c r="X1300" s="623">
        <v>0</v>
      </c>
      <c r="Y1300" s="50"/>
      <c r="Z1300" s="123">
        <v>0</v>
      </c>
      <c r="AA1300" s="50"/>
      <c r="AB1300" s="124"/>
      <c r="AC1300" s="124"/>
      <c r="AD1300" s="50"/>
      <c r="AE1300" s="127" t="s">
        <v>7350</v>
      </c>
      <c r="AF1300" s="50" t="str">
        <f>"title("&amp;C1300&amp;")
body(hotyellow_3(任务进程:)newline()
   这里有一封信需要交给hot(凤城)的goto(503,"&amp;P1300&amp;")。将信送到后，不要忘记回来向我汇报。
blankline()
   space()space()space()hot2(任务完成后,千万不要忘记向goto(576,2)汇报哦！))"</f>
        <v>title([历练]送信)
body(hotyellow_3(任务进程:)newline()
   这里有一封信需要交给hot(凤城)的goto(503,2)。将信送到后，不要忘记回来向我汇报。
blankline()
   space()space()space()hot2(任务完成后,千万不要忘记向goto(576,2)汇报哦！))</v>
      </c>
      <c r="AG1300" s="50" t="s">
        <v>6312</v>
      </c>
      <c r="AH1300" s="50" t="s">
        <v>114</v>
      </c>
      <c r="AI1300" s="50" t="s">
        <v>110</v>
      </c>
      <c r="AJ1300" s="50" t="s">
        <v>7464</v>
      </c>
      <c r="AK1300" s="50" t="s">
        <v>2513</v>
      </c>
      <c r="AL1300" s="120">
        <v>2</v>
      </c>
      <c r="AM1300" s="660" t="s">
        <v>8975</v>
      </c>
      <c r="AN1300" s="127"/>
      <c r="AO1300" s="50"/>
      <c r="AP1300" s="50">
        <v>0</v>
      </c>
      <c r="AQ1300" s="50">
        <v>0</v>
      </c>
      <c r="AR1300" s="50">
        <v>1</v>
      </c>
      <c r="AS1300" s="50">
        <v>0</v>
      </c>
      <c r="AT1300" s="50">
        <v>0</v>
      </c>
      <c r="AU1300" s="226">
        <v>0</v>
      </c>
      <c r="AV1300" s="17">
        <f t="shared" si="172"/>
        <v>0</v>
      </c>
      <c r="AW1300" s="653" t="str">
        <f t="shared" si="171"/>
        <v>{s_taskTalk,{576,0}}</v>
      </c>
    </row>
    <row r="1301" spans="1:49" s="292" customFormat="1" ht="84" x14ac:dyDescent="0.15">
      <c r="A1301" s="659">
        <v>21603</v>
      </c>
      <c r="B1301" s="50"/>
      <c r="C1301" s="50" t="s">
        <v>6350</v>
      </c>
      <c r="D1301" s="50">
        <v>4</v>
      </c>
      <c r="E1301" s="50">
        <v>0</v>
      </c>
      <c r="F1301" s="629">
        <v>2</v>
      </c>
      <c r="G1301" s="120">
        <v>21</v>
      </c>
      <c r="H1301" s="26">
        <v>40</v>
      </c>
      <c r="I1301" s="17">
        <v>0</v>
      </c>
      <c r="J1301" s="120">
        <v>0</v>
      </c>
      <c r="K1301" s="50">
        <v>0</v>
      </c>
      <c r="L1301" s="623">
        <v>576</v>
      </c>
      <c r="M1301" s="50" t="s">
        <v>2510</v>
      </c>
      <c r="N1301" s="50">
        <v>0</v>
      </c>
      <c r="O1301" s="50" t="s">
        <v>6299</v>
      </c>
      <c r="P1301" s="50">
        <v>2</v>
      </c>
      <c r="Q1301" s="121"/>
      <c r="R1301" s="121"/>
      <c r="S1301" s="121"/>
      <c r="T1301" s="121"/>
      <c r="U1301" s="50">
        <v>1</v>
      </c>
      <c r="V1301" s="50">
        <v>0</v>
      </c>
      <c r="W1301" s="50">
        <v>0</v>
      </c>
      <c r="X1301" s="623">
        <v>0</v>
      </c>
      <c r="Y1301" s="50"/>
      <c r="Z1301" s="123">
        <v>0</v>
      </c>
      <c r="AA1301" s="50"/>
      <c r="AB1301" s="124"/>
      <c r="AC1301" s="124"/>
      <c r="AD1301" s="50"/>
      <c r="AE1301" s="127" t="s">
        <v>7350</v>
      </c>
      <c r="AF1301" s="50" t="str">
        <f>"title("&amp;C1301&amp;")
body(hotyellow_3(任务进程:)newline()
   这里有一封信需要交给hot(凤城)的goto(506,"&amp;P1301&amp;")。将信送到后，不要忘记回来向我汇报。
blankline()
   space()space()space()hot2(任务完成后,千万不要忘记向goto(576,2)汇报哦！))"</f>
        <v>title([历练]送信)
body(hotyellow_3(任务进程:)newline()
   这里有一封信需要交给hot(凤城)的goto(506,2)。将信送到后，不要忘记回来向我汇报。
blankline()
   space()space()space()hot2(任务完成后,千万不要忘记向goto(576,2)汇报哦！))</v>
      </c>
      <c r="AG1301" s="50" t="s">
        <v>6312</v>
      </c>
      <c r="AH1301" s="50" t="s">
        <v>114</v>
      </c>
      <c r="AI1301" s="50" t="s">
        <v>110</v>
      </c>
      <c r="AJ1301" s="50" t="s">
        <v>7464</v>
      </c>
      <c r="AK1301" s="50" t="s">
        <v>2513</v>
      </c>
      <c r="AL1301" s="120">
        <v>2</v>
      </c>
      <c r="AM1301" s="660" t="s">
        <v>8974</v>
      </c>
      <c r="AN1301" s="127"/>
      <c r="AO1301" s="50"/>
      <c r="AP1301" s="50">
        <v>0</v>
      </c>
      <c r="AQ1301" s="50">
        <v>0</v>
      </c>
      <c r="AR1301" s="50">
        <v>1</v>
      </c>
      <c r="AS1301" s="50">
        <v>0</v>
      </c>
      <c r="AT1301" s="50">
        <v>0</v>
      </c>
      <c r="AU1301" s="226">
        <v>0</v>
      </c>
      <c r="AV1301" s="17">
        <f t="shared" si="172"/>
        <v>0</v>
      </c>
      <c r="AW1301" s="653" t="str">
        <f t="shared" si="171"/>
        <v>{s_taskTalk,{576,0}}</v>
      </c>
    </row>
    <row r="1302" spans="1:49" s="292" customFormat="1" ht="84" x14ac:dyDescent="0.15">
      <c r="A1302" s="659">
        <v>21604</v>
      </c>
      <c r="B1302" s="50"/>
      <c r="C1302" s="50" t="s">
        <v>6350</v>
      </c>
      <c r="D1302" s="50">
        <v>4</v>
      </c>
      <c r="E1302" s="50">
        <v>0</v>
      </c>
      <c r="F1302" s="629">
        <v>2</v>
      </c>
      <c r="G1302" s="663">
        <v>40</v>
      </c>
      <c r="H1302" s="58">
        <v>50</v>
      </c>
      <c r="I1302" s="17">
        <v>0</v>
      </c>
      <c r="J1302" s="120">
        <v>0</v>
      </c>
      <c r="K1302" s="50">
        <v>0</v>
      </c>
      <c r="L1302" s="623">
        <v>576</v>
      </c>
      <c r="M1302" s="50" t="s">
        <v>2510</v>
      </c>
      <c r="N1302" s="50">
        <v>0</v>
      </c>
      <c r="O1302" s="50" t="s">
        <v>6854</v>
      </c>
      <c r="P1302" s="50">
        <v>6</v>
      </c>
      <c r="Q1302" s="121"/>
      <c r="R1302" s="121"/>
      <c r="S1302" s="121"/>
      <c r="T1302" s="121"/>
      <c r="U1302" s="50">
        <v>1</v>
      </c>
      <c r="V1302" s="50">
        <v>0</v>
      </c>
      <c r="W1302" s="50">
        <v>0</v>
      </c>
      <c r="X1302" s="623">
        <v>0</v>
      </c>
      <c r="Y1302" s="50"/>
      <c r="Z1302" s="123">
        <v>0</v>
      </c>
      <c r="AA1302" s="50"/>
      <c r="AB1302" s="124"/>
      <c r="AC1302" s="124"/>
      <c r="AD1302" s="50"/>
      <c r="AE1302" s="127" t="s">
        <v>7350</v>
      </c>
      <c r="AF1302" s="50" t="str">
        <f>"title("&amp;C1302&amp;")
body(hotyellow_3(任务进程:)newline()
   这里有一封信需要交给hot(夷陵)的goto(514,"&amp;P1302&amp;")。将信送到后，不要忘记回来向我汇报。
blankline()
   space()space()space()hot2(任务完成后,千万不要忘记向goto(576,2)汇报哦！))"</f>
        <v>title([历练]送信)
body(hotyellow_3(任务进程:)newline()
   这里有一封信需要交给hot(夷陵)的goto(514,6)。将信送到后，不要忘记回来向我汇报。
blankline()
   space()space()space()hot2(任务完成后,千万不要忘记向goto(576,2)汇报哦！))</v>
      </c>
      <c r="AG1302" s="50" t="s">
        <v>6312</v>
      </c>
      <c r="AH1302" s="50" t="s">
        <v>114</v>
      </c>
      <c r="AI1302" s="50" t="s">
        <v>110</v>
      </c>
      <c r="AJ1302" s="50" t="s">
        <v>7464</v>
      </c>
      <c r="AK1302" s="50" t="s">
        <v>2513</v>
      </c>
      <c r="AL1302" s="120">
        <v>2</v>
      </c>
      <c r="AM1302" s="660" t="s">
        <v>8973</v>
      </c>
      <c r="AN1302" s="127"/>
      <c r="AO1302" s="50"/>
      <c r="AP1302" s="50">
        <v>0</v>
      </c>
      <c r="AQ1302" s="50">
        <v>0</v>
      </c>
      <c r="AR1302" s="50">
        <v>1</v>
      </c>
      <c r="AS1302" s="50">
        <v>0</v>
      </c>
      <c r="AT1302" s="50">
        <v>0</v>
      </c>
      <c r="AU1302" s="226">
        <v>0</v>
      </c>
      <c r="AV1302" s="17">
        <f t="shared" si="172"/>
        <v>0</v>
      </c>
      <c r="AW1302" s="653" t="str">
        <f t="shared" si="171"/>
        <v>{s_taskTalk,{576,0}}</v>
      </c>
    </row>
    <row r="1303" spans="1:49" s="292" customFormat="1" ht="84" x14ac:dyDescent="0.15">
      <c r="A1303" s="659">
        <v>21605</v>
      </c>
      <c r="B1303" s="50"/>
      <c r="C1303" s="50" t="s">
        <v>6350</v>
      </c>
      <c r="D1303" s="50">
        <v>4</v>
      </c>
      <c r="E1303" s="50">
        <v>0</v>
      </c>
      <c r="F1303" s="629">
        <v>2</v>
      </c>
      <c r="G1303" s="663">
        <v>40</v>
      </c>
      <c r="H1303" s="58">
        <v>50</v>
      </c>
      <c r="I1303" s="17">
        <v>0</v>
      </c>
      <c r="J1303" s="120">
        <v>0</v>
      </c>
      <c r="K1303" s="50">
        <v>0</v>
      </c>
      <c r="L1303" s="623">
        <v>576</v>
      </c>
      <c r="M1303" s="50" t="s">
        <v>2510</v>
      </c>
      <c r="N1303" s="50">
        <v>0</v>
      </c>
      <c r="O1303" s="50" t="s">
        <v>6300</v>
      </c>
      <c r="P1303" s="50">
        <v>6</v>
      </c>
      <c r="Q1303" s="121"/>
      <c r="R1303" s="121"/>
      <c r="S1303" s="121"/>
      <c r="T1303" s="121"/>
      <c r="U1303" s="50">
        <v>1</v>
      </c>
      <c r="V1303" s="50">
        <v>0</v>
      </c>
      <c r="W1303" s="50">
        <v>0</v>
      </c>
      <c r="X1303" s="623">
        <v>0</v>
      </c>
      <c r="Y1303" s="50"/>
      <c r="Z1303" s="123">
        <v>0</v>
      </c>
      <c r="AA1303" s="50"/>
      <c r="AB1303" s="124"/>
      <c r="AC1303" s="124"/>
      <c r="AD1303" s="50"/>
      <c r="AE1303" s="127" t="s">
        <v>7350</v>
      </c>
      <c r="AF1303" s="50" t="str">
        <f>"title("&amp;C1303&amp;")
body(hotyellow_3(任务进程:)newline()
   这里有一封信需要交给hot(夷陵)的goto(516,"&amp;P1303&amp;")。将信送到后，不要忘记回来向我汇报。
blankline()
   space()space()space()hot2(任务完成后,千万不要忘记向goto(576,2)汇报哦！))"</f>
        <v>title([历练]送信)
body(hotyellow_3(任务进程:)newline()
   这里有一封信需要交给hot(夷陵)的goto(516,6)。将信送到后，不要忘记回来向我汇报。
blankline()
   space()space()space()hot2(任务完成后,千万不要忘记向goto(576,2)汇报哦！))</v>
      </c>
      <c r="AG1303" s="50" t="s">
        <v>6312</v>
      </c>
      <c r="AH1303" s="50" t="s">
        <v>114</v>
      </c>
      <c r="AI1303" s="50" t="s">
        <v>110</v>
      </c>
      <c r="AJ1303" s="50" t="s">
        <v>7464</v>
      </c>
      <c r="AK1303" s="50" t="s">
        <v>2513</v>
      </c>
      <c r="AL1303" s="120">
        <v>2</v>
      </c>
      <c r="AM1303" s="660" t="s">
        <v>8972</v>
      </c>
      <c r="AN1303" s="127"/>
      <c r="AO1303" s="50"/>
      <c r="AP1303" s="50">
        <v>0</v>
      </c>
      <c r="AQ1303" s="50">
        <v>0</v>
      </c>
      <c r="AR1303" s="50">
        <v>1</v>
      </c>
      <c r="AS1303" s="50">
        <v>0</v>
      </c>
      <c r="AT1303" s="50">
        <v>0</v>
      </c>
      <c r="AU1303" s="226">
        <v>0</v>
      </c>
      <c r="AV1303" s="17">
        <f t="shared" si="172"/>
        <v>0</v>
      </c>
      <c r="AW1303" s="653" t="str">
        <f t="shared" si="171"/>
        <v>{s_taskTalk,{576,0}}</v>
      </c>
    </row>
    <row r="1304" spans="1:49" s="292" customFormat="1" ht="84" x14ac:dyDescent="0.15">
      <c r="A1304" s="659">
        <v>21606</v>
      </c>
      <c r="B1304" s="50"/>
      <c r="C1304" s="50" t="s">
        <v>6350</v>
      </c>
      <c r="D1304" s="50">
        <v>4</v>
      </c>
      <c r="E1304" s="50">
        <v>0</v>
      </c>
      <c r="F1304" s="629">
        <v>2</v>
      </c>
      <c r="G1304" s="663">
        <v>40</v>
      </c>
      <c r="H1304" s="58">
        <v>50</v>
      </c>
      <c r="I1304" s="17">
        <v>0</v>
      </c>
      <c r="J1304" s="120">
        <v>0</v>
      </c>
      <c r="K1304" s="50">
        <v>0</v>
      </c>
      <c r="L1304" s="623">
        <v>576</v>
      </c>
      <c r="M1304" s="50" t="s">
        <v>2510</v>
      </c>
      <c r="N1304" s="50">
        <v>0</v>
      </c>
      <c r="O1304" s="50" t="s">
        <v>6301</v>
      </c>
      <c r="P1304" s="50">
        <v>6</v>
      </c>
      <c r="Q1304" s="121"/>
      <c r="R1304" s="121"/>
      <c r="S1304" s="121"/>
      <c r="T1304" s="121"/>
      <c r="U1304" s="50">
        <v>1</v>
      </c>
      <c r="V1304" s="50">
        <v>0</v>
      </c>
      <c r="W1304" s="50">
        <v>0</v>
      </c>
      <c r="X1304" s="623">
        <v>0</v>
      </c>
      <c r="Y1304" s="50"/>
      <c r="Z1304" s="123">
        <v>0</v>
      </c>
      <c r="AA1304" s="50"/>
      <c r="AB1304" s="124"/>
      <c r="AC1304" s="124"/>
      <c r="AD1304" s="50"/>
      <c r="AE1304" s="127" t="s">
        <v>7350</v>
      </c>
      <c r="AF1304" s="50" t="str">
        <f>"title("&amp;C1304&amp;")
body(hotyellow_3(任务进程:)newline()
   这里有一封信需要交给hot(夷陵)的goto(512,"&amp;P1304&amp;")。将信送到后，不要忘记回来向我汇报。
blankline()
   space()space()space()hot2(任务完成后,千万不要忘记向goto(576,2)汇报哦！))"</f>
        <v>title([历练]送信)
body(hotyellow_3(任务进程:)newline()
   这里有一封信需要交给hot(夷陵)的goto(512,6)。将信送到后，不要忘记回来向我汇报。
blankline()
   space()space()space()hot2(任务完成后,千万不要忘记向goto(576,2)汇报哦！))</v>
      </c>
      <c r="AG1304" s="50" t="s">
        <v>6312</v>
      </c>
      <c r="AH1304" s="50" t="s">
        <v>114</v>
      </c>
      <c r="AI1304" s="50" t="s">
        <v>110</v>
      </c>
      <c r="AJ1304" s="50" t="s">
        <v>7464</v>
      </c>
      <c r="AK1304" s="50" t="s">
        <v>2513</v>
      </c>
      <c r="AL1304" s="120">
        <v>2</v>
      </c>
      <c r="AM1304" s="660" t="s">
        <v>8971</v>
      </c>
      <c r="AN1304" s="127"/>
      <c r="AO1304" s="50"/>
      <c r="AP1304" s="50">
        <v>0</v>
      </c>
      <c r="AQ1304" s="50">
        <v>0</v>
      </c>
      <c r="AR1304" s="50">
        <v>1</v>
      </c>
      <c r="AS1304" s="50">
        <v>0</v>
      </c>
      <c r="AT1304" s="50">
        <v>0</v>
      </c>
      <c r="AU1304" s="226">
        <v>0</v>
      </c>
      <c r="AV1304" s="17">
        <f t="shared" si="172"/>
        <v>0</v>
      </c>
      <c r="AW1304" s="653" t="str">
        <f t="shared" si="171"/>
        <v>{s_taskTalk,{576,0}}</v>
      </c>
    </row>
    <row r="1305" spans="1:49" s="292" customFormat="1" ht="84" x14ac:dyDescent="0.15">
      <c r="A1305" s="659">
        <v>21607</v>
      </c>
      <c r="B1305" s="50"/>
      <c r="C1305" s="50" t="s">
        <v>6350</v>
      </c>
      <c r="D1305" s="50">
        <v>4</v>
      </c>
      <c r="E1305" s="50">
        <v>0</v>
      </c>
      <c r="F1305" s="629">
        <v>2</v>
      </c>
      <c r="G1305" s="108">
        <v>51</v>
      </c>
      <c r="H1305" s="101">
        <v>60</v>
      </c>
      <c r="I1305" s="17">
        <v>0</v>
      </c>
      <c r="J1305" s="120">
        <v>0</v>
      </c>
      <c r="K1305" s="50">
        <v>0</v>
      </c>
      <c r="L1305" s="623">
        <v>576</v>
      </c>
      <c r="M1305" s="50" t="s">
        <v>2510</v>
      </c>
      <c r="N1305" s="50">
        <v>0</v>
      </c>
      <c r="O1305" s="50" t="s">
        <v>6302</v>
      </c>
      <c r="P1305" s="50">
        <v>4</v>
      </c>
      <c r="Q1305" s="121"/>
      <c r="R1305" s="121"/>
      <c r="S1305" s="121"/>
      <c r="T1305" s="121"/>
      <c r="U1305" s="50">
        <v>1</v>
      </c>
      <c r="V1305" s="50">
        <v>0</v>
      </c>
      <c r="W1305" s="50">
        <v>0</v>
      </c>
      <c r="X1305" s="623">
        <v>0</v>
      </c>
      <c r="Y1305" s="50"/>
      <c r="Z1305" s="123">
        <v>0</v>
      </c>
      <c r="AA1305" s="50"/>
      <c r="AB1305" s="124"/>
      <c r="AC1305" s="124"/>
      <c r="AD1305" s="50"/>
      <c r="AE1305" s="127" t="s">
        <v>7350</v>
      </c>
      <c r="AF1305" s="50" t="str">
        <f>"title("&amp;C1305&amp;")
body(hotyellow_3(任务进程:)newline()
   这里有一封信需要交给hot(虎牢)的goto(521,"&amp;P1305&amp;")。将信送到后，不要忘记回来向我汇报。
blankline()
   space()space()space()hot2(任务完成后,千万不要忘记向goto(576,2)汇报哦！))"</f>
        <v>title([历练]送信)
body(hotyellow_3(任务进程:)newline()
   这里有一封信需要交给hot(虎牢)的goto(521,4)。将信送到后，不要忘记回来向我汇报。
blankline()
   space()space()space()hot2(任务完成后,千万不要忘记向goto(576,2)汇报哦！))</v>
      </c>
      <c r="AG1305" s="50" t="s">
        <v>6312</v>
      </c>
      <c r="AH1305" s="50" t="s">
        <v>114</v>
      </c>
      <c r="AI1305" s="50" t="s">
        <v>110</v>
      </c>
      <c r="AJ1305" s="50" t="s">
        <v>7464</v>
      </c>
      <c r="AK1305" s="50" t="s">
        <v>2513</v>
      </c>
      <c r="AL1305" s="120">
        <v>2</v>
      </c>
      <c r="AM1305" s="660" t="s">
        <v>8970</v>
      </c>
      <c r="AN1305" s="127"/>
      <c r="AO1305" s="50"/>
      <c r="AP1305" s="50">
        <v>0</v>
      </c>
      <c r="AQ1305" s="50">
        <v>0</v>
      </c>
      <c r="AR1305" s="50">
        <v>1</v>
      </c>
      <c r="AS1305" s="50">
        <v>0</v>
      </c>
      <c r="AT1305" s="50">
        <v>0</v>
      </c>
      <c r="AU1305" s="226">
        <v>0</v>
      </c>
      <c r="AV1305" s="17">
        <f t="shared" si="172"/>
        <v>0</v>
      </c>
      <c r="AW1305" s="653" t="str">
        <f t="shared" si="171"/>
        <v>{s_taskTalk,{576,0}}</v>
      </c>
    </row>
    <row r="1306" spans="1:49" s="292" customFormat="1" ht="84" x14ac:dyDescent="0.15">
      <c r="A1306" s="659">
        <v>21608</v>
      </c>
      <c r="B1306" s="50"/>
      <c r="C1306" s="50" t="s">
        <v>6350</v>
      </c>
      <c r="D1306" s="50">
        <v>4</v>
      </c>
      <c r="E1306" s="50">
        <v>0</v>
      </c>
      <c r="F1306" s="629">
        <v>2</v>
      </c>
      <c r="G1306" s="108">
        <v>51</v>
      </c>
      <c r="H1306" s="101">
        <v>60</v>
      </c>
      <c r="I1306" s="17">
        <v>0</v>
      </c>
      <c r="J1306" s="120">
        <v>0</v>
      </c>
      <c r="K1306" s="50">
        <v>0</v>
      </c>
      <c r="L1306" s="623">
        <v>576</v>
      </c>
      <c r="M1306" s="50" t="s">
        <v>2510</v>
      </c>
      <c r="N1306" s="50">
        <v>0</v>
      </c>
      <c r="O1306" s="50" t="s">
        <v>6303</v>
      </c>
      <c r="P1306" s="50">
        <v>4</v>
      </c>
      <c r="Q1306" s="121"/>
      <c r="R1306" s="121"/>
      <c r="S1306" s="121"/>
      <c r="T1306" s="121"/>
      <c r="U1306" s="50">
        <v>1</v>
      </c>
      <c r="V1306" s="50">
        <v>0</v>
      </c>
      <c r="W1306" s="50">
        <v>0</v>
      </c>
      <c r="X1306" s="623">
        <v>0</v>
      </c>
      <c r="Y1306" s="50"/>
      <c r="Z1306" s="123">
        <v>0</v>
      </c>
      <c r="AA1306" s="50"/>
      <c r="AB1306" s="124"/>
      <c r="AC1306" s="124"/>
      <c r="AD1306" s="50"/>
      <c r="AE1306" s="127" t="s">
        <v>7350</v>
      </c>
      <c r="AF1306" s="50" t="str">
        <f>"title("&amp;C1306&amp;")
body(hotyellow_3(任务进程:)newline()
   这里有一封信需要交给hot(虎牢)的goto(530,"&amp;P1306&amp;")。将信送到后，不要忘记回来向我汇报。
blankline()
   space()space()space()hot2(任务完成后,千万不要忘记向goto(576,2)汇报哦！))"</f>
        <v>title([历练]送信)
body(hotyellow_3(任务进程:)newline()
   这里有一封信需要交给hot(虎牢)的goto(530,4)。将信送到后，不要忘记回来向我汇报。
blankline()
   space()space()space()hot2(任务完成后,千万不要忘记向goto(576,2)汇报哦！))</v>
      </c>
      <c r="AG1306" s="50" t="s">
        <v>6312</v>
      </c>
      <c r="AH1306" s="50" t="s">
        <v>114</v>
      </c>
      <c r="AI1306" s="50" t="s">
        <v>110</v>
      </c>
      <c r="AJ1306" s="50" t="s">
        <v>7464</v>
      </c>
      <c r="AK1306" s="50" t="s">
        <v>2513</v>
      </c>
      <c r="AL1306" s="120">
        <v>2</v>
      </c>
      <c r="AM1306" s="660" t="s">
        <v>8969</v>
      </c>
      <c r="AN1306" s="127"/>
      <c r="AO1306" s="50"/>
      <c r="AP1306" s="50">
        <v>0</v>
      </c>
      <c r="AQ1306" s="50">
        <v>0</v>
      </c>
      <c r="AR1306" s="50">
        <v>1</v>
      </c>
      <c r="AS1306" s="50">
        <v>0</v>
      </c>
      <c r="AT1306" s="50">
        <v>0</v>
      </c>
      <c r="AU1306" s="226">
        <v>0</v>
      </c>
      <c r="AV1306" s="17">
        <f t="shared" si="172"/>
        <v>0</v>
      </c>
      <c r="AW1306" s="653" t="str">
        <f t="shared" si="171"/>
        <v>{s_taskTalk,{576,0}}</v>
      </c>
    </row>
    <row r="1307" spans="1:49" s="292" customFormat="1" ht="84" x14ac:dyDescent="0.15">
      <c r="A1307" s="659">
        <v>21609</v>
      </c>
      <c r="B1307" s="50"/>
      <c r="C1307" s="50" t="s">
        <v>6350</v>
      </c>
      <c r="D1307" s="50">
        <v>4</v>
      </c>
      <c r="E1307" s="50">
        <v>0</v>
      </c>
      <c r="F1307" s="629">
        <v>2</v>
      </c>
      <c r="G1307" s="108">
        <v>51</v>
      </c>
      <c r="H1307" s="101">
        <v>60</v>
      </c>
      <c r="I1307" s="17">
        <v>0</v>
      </c>
      <c r="J1307" s="120">
        <v>0</v>
      </c>
      <c r="K1307" s="50">
        <v>0</v>
      </c>
      <c r="L1307" s="623">
        <v>576</v>
      </c>
      <c r="M1307" s="50" t="s">
        <v>2510</v>
      </c>
      <c r="N1307" s="50">
        <v>0</v>
      </c>
      <c r="O1307" s="50" t="s">
        <v>6304</v>
      </c>
      <c r="P1307" s="50">
        <v>4</v>
      </c>
      <c r="Q1307" s="121"/>
      <c r="R1307" s="121"/>
      <c r="S1307" s="121"/>
      <c r="T1307" s="121"/>
      <c r="U1307" s="50">
        <v>1</v>
      </c>
      <c r="V1307" s="50">
        <v>0</v>
      </c>
      <c r="W1307" s="50">
        <v>0</v>
      </c>
      <c r="X1307" s="623">
        <v>0</v>
      </c>
      <c r="Y1307" s="50"/>
      <c r="Z1307" s="123">
        <v>0</v>
      </c>
      <c r="AA1307" s="50"/>
      <c r="AB1307" s="124"/>
      <c r="AC1307" s="124"/>
      <c r="AD1307" s="50"/>
      <c r="AE1307" s="127" t="s">
        <v>7350</v>
      </c>
      <c r="AF1307" s="50" t="str">
        <f>"title("&amp;C1307&amp;")
body(hotyellow_3(任务进程:)newline()
   这里有一封信需要交给hot(虎牢)的goto(525,"&amp;P1307&amp;")。将信送到后，不要忘记回来向我汇报。
blankline()
   space()space()space()hot2(任务完成后,千万不要忘记向goto(576,2)汇报哦！))"</f>
        <v>title([历练]送信)
body(hotyellow_3(任务进程:)newline()
   这里有一封信需要交给hot(虎牢)的goto(525,4)。将信送到后，不要忘记回来向我汇报。
blankline()
   space()space()space()hot2(任务完成后,千万不要忘记向goto(576,2)汇报哦！))</v>
      </c>
      <c r="AG1307" s="50" t="s">
        <v>6312</v>
      </c>
      <c r="AH1307" s="50" t="s">
        <v>114</v>
      </c>
      <c r="AI1307" s="50" t="s">
        <v>110</v>
      </c>
      <c r="AJ1307" s="50" t="s">
        <v>7464</v>
      </c>
      <c r="AK1307" s="50" t="s">
        <v>2513</v>
      </c>
      <c r="AL1307" s="120">
        <v>2</v>
      </c>
      <c r="AM1307" s="660" t="s">
        <v>8968</v>
      </c>
      <c r="AN1307" s="127"/>
      <c r="AO1307" s="50"/>
      <c r="AP1307" s="50">
        <v>0</v>
      </c>
      <c r="AQ1307" s="50">
        <v>0</v>
      </c>
      <c r="AR1307" s="50">
        <v>1</v>
      </c>
      <c r="AS1307" s="50">
        <v>0</v>
      </c>
      <c r="AT1307" s="50">
        <v>0</v>
      </c>
      <c r="AU1307" s="226">
        <v>0</v>
      </c>
      <c r="AV1307" s="17">
        <f t="shared" si="172"/>
        <v>0</v>
      </c>
      <c r="AW1307" s="653" t="str">
        <f t="shared" si="171"/>
        <v>{s_taskTalk,{576,0}}</v>
      </c>
    </row>
    <row r="1308" spans="1:49" s="292" customFormat="1" ht="84" x14ac:dyDescent="0.15">
      <c r="A1308" s="659">
        <v>21610</v>
      </c>
      <c r="B1308" s="50"/>
      <c r="C1308" s="50" t="s">
        <v>6350</v>
      </c>
      <c r="D1308" s="50">
        <v>4</v>
      </c>
      <c r="E1308" s="50">
        <v>0</v>
      </c>
      <c r="F1308" s="629">
        <v>2</v>
      </c>
      <c r="G1308" s="347">
        <v>51</v>
      </c>
      <c r="H1308" s="50">
        <v>200</v>
      </c>
      <c r="I1308" s="17">
        <v>0</v>
      </c>
      <c r="J1308" s="120">
        <v>0</v>
      </c>
      <c r="K1308" s="50">
        <v>0</v>
      </c>
      <c r="L1308" s="623">
        <v>576</v>
      </c>
      <c r="M1308" s="50" t="s">
        <v>2510</v>
      </c>
      <c r="N1308" s="50">
        <v>0</v>
      </c>
      <c r="O1308" s="50" t="s">
        <v>6305</v>
      </c>
      <c r="P1308" s="50">
        <v>1</v>
      </c>
      <c r="Q1308" s="121"/>
      <c r="R1308" s="121"/>
      <c r="S1308" s="121"/>
      <c r="T1308" s="121"/>
      <c r="U1308" s="50">
        <v>1</v>
      </c>
      <c r="V1308" s="50">
        <v>0</v>
      </c>
      <c r="W1308" s="50">
        <v>0</v>
      </c>
      <c r="X1308" s="623">
        <v>0</v>
      </c>
      <c r="Y1308" s="50"/>
      <c r="Z1308" s="123">
        <v>0</v>
      </c>
      <c r="AA1308" s="50"/>
      <c r="AB1308" s="124"/>
      <c r="AC1308" s="124"/>
      <c r="AD1308" s="50"/>
      <c r="AE1308" s="127" t="s">
        <v>7350</v>
      </c>
      <c r="AF1308" s="50" t="str">
        <f>"title("&amp;C1308&amp;")
body(hotyellow_3(任务进程:)newline()
   这里有一封信需要交给hot(桃源圣地)的goto(60045,"&amp;P1308&amp;")。将信送到后，不要忘记回来向我汇报。
blankline()
   space()space()space()hot2(任务完成后,千万不要忘记向goto(576,2)汇报哦！))"</f>
        <v>title([历练]送信)
body(hotyellow_3(任务进程:)newline()
   这里有一封信需要交给hot(桃源圣地)的goto(60045,1)。将信送到后，不要忘记回来向我汇报。
blankline()
   space()space()space()hot2(任务完成后,千万不要忘记向goto(576,2)汇报哦！))</v>
      </c>
      <c r="AG1308" s="50" t="s">
        <v>6312</v>
      </c>
      <c r="AH1308" s="50" t="s">
        <v>114</v>
      </c>
      <c r="AI1308" s="50" t="s">
        <v>110</v>
      </c>
      <c r="AJ1308" s="50" t="s">
        <v>7464</v>
      </c>
      <c r="AK1308" s="50" t="s">
        <v>2513</v>
      </c>
      <c r="AL1308" s="120">
        <v>2</v>
      </c>
      <c r="AM1308" s="660" t="s">
        <v>8967</v>
      </c>
      <c r="AN1308" s="127"/>
      <c r="AO1308" s="50"/>
      <c r="AP1308" s="50">
        <v>0</v>
      </c>
      <c r="AQ1308" s="50">
        <v>0</v>
      </c>
      <c r="AR1308" s="50">
        <v>1</v>
      </c>
      <c r="AS1308" s="50">
        <v>0</v>
      </c>
      <c r="AT1308" s="50">
        <v>0</v>
      </c>
      <c r="AU1308" s="226">
        <v>0</v>
      </c>
      <c r="AV1308" s="17">
        <f t="shared" si="172"/>
        <v>0</v>
      </c>
      <c r="AW1308" s="653" t="str">
        <f t="shared" si="171"/>
        <v>{s_taskTalk,{576,0}}</v>
      </c>
    </row>
    <row r="1309" spans="1:49" s="292" customFormat="1" ht="84" x14ac:dyDescent="0.15">
      <c r="A1309" s="659">
        <v>21611</v>
      </c>
      <c r="B1309" s="50"/>
      <c r="C1309" s="50" t="s">
        <v>6350</v>
      </c>
      <c r="D1309" s="50">
        <v>4</v>
      </c>
      <c r="E1309" s="50">
        <v>0</v>
      </c>
      <c r="F1309" s="629">
        <v>2</v>
      </c>
      <c r="G1309" s="347">
        <v>51</v>
      </c>
      <c r="H1309" s="50">
        <v>200</v>
      </c>
      <c r="I1309" s="17">
        <v>0</v>
      </c>
      <c r="J1309" s="120">
        <v>0</v>
      </c>
      <c r="K1309" s="50">
        <v>0</v>
      </c>
      <c r="L1309" s="623">
        <v>576</v>
      </c>
      <c r="M1309" s="50" t="s">
        <v>2510</v>
      </c>
      <c r="N1309" s="50">
        <v>0</v>
      </c>
      <c r="O1309" s="50" t="s">
        <v>6306</v>
      </c>
      <c r="P1309" s="50">
        <v>1</v>
      </c>
      <c r="Q1309" s="121"/>
      <c r="R1309" s="121"/>
      <c r="S1309" s="121"/>
      <c r="T1309" s="121"/>
      <c r="U1309" s="50">
        <v>1</v>
      </c>
      <c r="V1309" s="50">
        <v>0</v>
      </c>
      <c r="W1309" s="50">
        <v>0</v>
      </c>
      <c r="X1309" s="623">
        <v>0</v>
      </c>
      <c r="Y1309" s="50"/>
      <c r="Z1309" s="123">
        <v>0</v>
      </c>
      <c r="AA1309" s="50"/>
      <c r="AB1309" s="124"/>
      <c r="AC1309" s="124"/>
      <c r="AD1309" s="50"/>
      <c r="AE1309" s="127" t="s">
        <v>7350</v>
      </c>
      <c r="AF1309" s="50" t="str">
        <f>"title("&amp;C1309&amp;")
body(hotyellow_3(任务进程:)newline()
   这里有一封信需要交给hot(桃源圣地)的goto(60046,"&amp;P1309&amp;")。将信送到后，不要忘记回来向我汇报。
blankline()
   space()space()space()hot2(任务完成后,千万不要忘记向goto(576,2)汇报哦！))"</f>
        <v>title([历练]送信)
body(hotyellow_3(任务进程:)newline()
   这里有一封信需要交给hot(桃源圣地)的goto(60046,1)。将信送到后，不要忘记回来向我汇报。
blankline()
   space()space()space()hot2(任务完成后,千万不要忘记向goto(576,2)汇报哦！))</v>
      </c>
      <c r="AG1309" s="50" t="s">
        <v>6312</v>
      </c>
      <c r="AH1309" s="50" t="s">
        <v>114</v>
      </c>
      <c r="AI1309" s="50" t="s">
        <v>110</v>
      </c>
      <c r="AJ1309" s="50" t="s">
        <v>7464</v>
      </c>
      <c r="AK1309" s="50" t="s">
        <v>2513</v>
      </c>
      <c r="AL1309" s="120">
        <v>2</v>
      </c>
      <c r="AM1309" s="660" t="s">
        <v>8966</v>
      </c>
      <c r="AN1309" s="127"/>
      <c r="AO1309" s="50"/>
      <c r="AP1309" s="50">
        <v>0</v>
      </c>
      <c r="AQ1309" s="50">
        <v>0</v>
      </c>
      <c r="AR1309" s="50">
        <v>1</v>
      </c>
      <c r="AS1309" s="50">
        <v>0</v>
      </c>
      <c r="AT1309" s="50">
        <v>0</v>
      </c>
      <c r="AU1309" s="226">
        <v>0</v>
      </c>
      <c r="AV1309" s="17">
        <f t="shared" si="172"/>
        <v>0</v>
      </c>
      <c r="AW1309" s="653" t="str">
        <f t="shared" si="171"/>
        <v>{s_taskTalk,{576,0}}</v>
      </c>
    </row>
    <row r="1310" spans="1:49" s="292" customFormat="1" ht="84" x14ac:dyDescent="0.15">
      <c r="A1310" s="659">
        <v>21612</v>
      </c>
      <c r="B1310" s="50"/>
      <c r="C1310" s="50" t="s">
        <v>6350</v>
      </c>
      <c r="D1310" s="50">
        <v>4</v>
      </c>
      <c r="E1310" s="50">
        <v>0</v>
      </c>
      <c r="F1310" s="629">
        <v>2</v>
      </c>
      <c r="G1310" s="347">
        <v>51</v>
      </c>
      <c r="H1310" s="50">
        <v>65</v>
      </c>
      <c r="I1310" s="17">
        <v>0</v>
      </c>
      <c r="J1310" s="120">
        <v>0</v>
      </c>
      <c r="K1310" s="50">
        <v>0</v>
      </c>
      <c r="L1310" s="623">
        <v>576</v>
      </c>
      <c r="M1310" s="50" t="s">
        <v>2510</v>
      </c>
      <c r="N1310" s="50">
        <v>0</v>
      </c>
      <c r="O1310" s="50" t="s">
        <v>6307</v>
      </c>
      <c r="P1310" s="50">
        <v>1</v>
      </c>
      <c r="Q1310" s="121"/>
      <c r="R1310" s="121"/>
      <c r="S1310" s="121"/>
      <c r="T1310" s="121"/>
      <c r="U1310" s="50">
        <v>1</v>
      </c>
      <c r="V1310" s="50">
        <v>0</v>
      </c>
      <c r="W1310" s="50">
        <v>0</v>
      </c>
      <c r="X1310" s="623">
        <v>0</v>
      </c>
      <c r="Y1310" s="50"/>
      <c r="Z1310" s="123">
        <v>0</v>
      </c>
      <c r="AA1310" s="50"/>
      <c r="AB1310" s="124"/>
      <c r="AC1310" s="124"/>
      <c r="AD1310" s="50"/>
      <c r="AE1310" s="127" t="s">
        <v>7350</v>
      </c>
      <c r="AF1310" s="50" t="str">
        <f>"title("&amp;C1310&amp;")
body(hotyellow_3(任务进程:)newline()
   这里有一封信需要交给hot(桃源圣地)的goto(60007,"&amp;P1310&amp;")。将信送到后，不要忘记回来向我汇报。
blankline()
   space()space()space()hot2(任务完成后,千万不要忘记向goto(576,2)汇报哦！))"</f>
        <v>title([历练]送信)
body(hotyellow_3(任务进程:)newline()
   这里有一封信需要交给hot(桃源圣地)的goto(60007,1)。将信送到后，不要忘记回来向我汇报。
blankline()
   space()space()space()hot2(任务完成后,千万不要忘记向goto(576,2)汇报哦！))</v>
      </c>
      <c r="AG1310" s="50" t="s">
        <v>6312</v>
      </c>
      <c r="AH1310" s="50" t="s">
        <v>114</v>
      </c>
      <c r="AI1310" s="50" t="s">
        <v>110</v>
      </c>
      <c r="AJ1310" s="50" t="s">
        <v>7464</v>
      </c>
      <c r="AK1310" s="50" t="s">
        <v>2513</v>
      </c>
      <c r="AL1310" s="120">
        <v>2</v>
      </c>
      <c r="AM1310" s="660" t="s">
        <v>8965</v>
      </c>
      <c r="AN1310" s="127"/>
      <c r="AO1310" s="50"/>
      <c r="AP1310" s="50">
        <v>0</v>
      </c>
      <c r="AQ1310" s="50">
        <v>0</v>
      </c>
      <c r="AR1310" s="50">
        <v>1</v>
      </c>
      <c r="AS1310" s="50">
        <v>0</v>
      </c>
      <c r="AT1310" s="50">
        <v>0</v>
      </c>
      <c r="AU1310" s="226">
        <v>0</v>
      </c>
      <c r="AV1310" s="17">
        <f t="shared" si="172"/>
        <v>0</v>
      </c>
      <c r="AW1310" s="653" t="str">
        <f t="shared" si="171"/>
        <v>{s_taskTalk,{576,0}}</v>
      </c>
    </row>
    <row r="1311" spans="1:49" s="292" customFormat="1" ht="84" x14ac:dyDescent="0.15">
      <c r="A1311" s="659">
        <v>21613</v>
      </c>
      <c r="B1311" s="50"/>
      <c r="C1311" s="50" t="s">
        <v>6350</v>
      </c>
      <c r="D1311" s="50">
        <v>4</v>
      </c>
      <c r="E1311" s="50">
        <v>0</v>
      </c>
      <c r="F1311" s="629">
        <v>2</v>
      </c>
      <c r="G1311" s="347">
        <v>51</v>
      </c>
      <c r="H1311" s="50">
        <v>55</v>
      </c>
      <c r="I1311" s="17">
        <v>0</v>
      </c>
      <c r="J1311" s="120">
        <v>0</v>
      </c>
      <c r="K1311" s="50">
        <v>0</v>
      </c>
      <c r="L1311" s="623">
        <v>576</v>
      </c>
      <c r="M1311" s="50" t="s">
        <v>2510</v>
      </c>
      <c r="N1311" s="50">
        <v>0</v>
      </c>
      <c r="O1311" s="50" t="s">
        <v>6308</v>
      </c>
      <c r="P1311" s="50">
        <v>1</v>
      </c>
      <c r="Q1311" s="121"/>
      <c r="R1311" s="121"/>
      <c r="S1311" s="121"/>
      <c r="T1311" s="121"/>
      <c r="U1311" s="50">
        <v>1</v>
      </c>
      <c r="V1311" s="50">
        <v>0</v>
      </c>
      <c r="W1311" s="50">
        <v>0</v>
      </c>
      <c r="X1311" s="623">
        <v>0</v>
      </c>
      <c r="Y1311" s="50"/>
      <c r="Z1311" s="123">
        <v>0</v>
      </c>
      <c r="AA1311" s="50"/>
      <c r="AB1311" s="124"/>
      <c r="AC1311" s="124"/>
      <c r="AD1311" s="50"/>
      <c r="AE1311" s="127" t="s">
        <v>7350</v>
      </c>
      <c r="AF1311" s="50" t="str">
        <f>"title("&amp;C1311&amp;")
body(hotyellow_3(任务进程:)newline()
   这里有一封信需要交给hot(桃源圣地)的goto(60031,"&amp;P1311&amp;")。将信送到后，不要忘记回来向我汇报。
blankline()
   space()space()space()hot2(任务完成后,千万不要忘记向goto(576,2)汇报哦！))"</f>
        <v>title([历练]送信)
body(hotyellow_3(任务进程:)newline()
   这里有一封信需要交给hot(桃源圣地)的goto(60031,1)。将信送到后，不要忘记回来向我汇报。
blankline()
   space()space()space()hot2(任务完成后,千万不要忘记向goto(576,2)汇报哦！))</v>
      </c>
      <c r="AG1311" s="50" t="s">
        <v>6312</v>
      </c>
      <c r="AH1311" s="50" t="s">
        <v>114</v>
      </c>
      <c r="AI1311" s="50" t="s">
        <v>110</v>
      </c>
      <c r="AJ1311" s="50" t="s">
        <v>7464</v>
      </c>
      <c r="AK1311" s="50" t="s">
        <v>2513</v>
      </c>
      <c r="AL1311" s="120">
        <v>2</v>
      </c>
      <c r="AM1311" s="660" t="s">
        <v>8964</v>
      </c>
      <c r="AN1311" s="127"/>
      <c r="AO1311" s="50"/>
      <c r="AP1311" s="50">
        <v>0</v>
      </c>
      <c r="AQ1311" s="50">
        <v>0</v>
      </c>
      <c r="AR1311" s="50">
        <v>1</v>
      </c>
      <c r="AS1311" s="50">
        <v>0</v>
      </c>
      <c r="AT1311" s="50">
        <v>0</v>
      </c>
      <c r="AU1311" s="226">
        <v>0</v>
      </c>
      <c r="AV1311" s="17">
        <f t="shared" si="172"/>
        <v>0</v>
      </c>
      <c r="AW1311" s="653" t="str">
        <f t="shared" si="171"/>
        <v>{s_taskTalk,{576,0}}</v>
      </c>
    </row>
    <row r="1312" spans="1:49" s="292" customFormat="1" ht="84" x14ac:dyDescent="0.15">
      <c r="A1312" s="659">
        <v>21614</v>
      </c>
      <c r="B1312" s="50"/>
      <c r="C1312" s="50" t="s">
        <v>6350</v>
      </c>
      <c r="D1312" s="50">
        <v>4</v>
      </c>
      <c r="E1312" s="50">
        <v>0</v>
      </c>
      <c r="F1312" s="629">
        <v>2</v>
      </c>
      <c r="G1312" s="120">
        <v>200</v>
      </c>
      <c r="H1312" s="50">
        <v>200</v>
      </c>
      <c r="I1312" s="17">
        <v>0</v>
      </c>
      <c r="J1312" s="120">
        <v>0</v>
      </c>
      <c r="K1312" s="50">
        <v>0</v>
      </c>
      <c r="L1312" s="623">
        <v>576</v>
      </c>
      <c r="M1312" s="50" t="s">
        <v>2510</v>
      </c>
      <c r="N1312" s="50">
        <v>60089</v>
      </c>
      <c r="O1312" s="50" t="s">
        <v>5234</v>
      </c>
      <c r="P1312" s="50">
        <v>7</v>
      </c>
      <c r="Q1312" s="121"/>
      <c r="R1312" s="121"/>
      <c r="S1312" s="121"/>
      <c r="T1312" s="121"/>
      <c r="U1312" s="50">
        <v>1</v>
      </c>
      <c r="V1312" s="50">
        <v>0</v>
      </c>
      <c r="W1312" s="50">
        <v>0</v>
      </c>
      <c r="X1312" s="623">
        <v>0</v>
      </c>
      <c r="Y1312" s="50"/>
      <c r="Z1312" s="123">
        <v>0</v>
      </c>
      <c r="AA1312" s="50"/>
      <c r="AB1312" s="124"/>
      <c r="AC1312" s="124"/>
      <c r="AD1312" s="50"/>
      <c r="AE1312" s="127" t="s">
        <v>7350</v>
      </c>
      <c r="AF1312" s="50" t="str">
        <f>"title("&amp;C1312&amp;")
body(hotyellow_3(任务进程:)newline()
   这里有一封信需要交给hot(凤城)的goto(60559,"&amp;P1312&amp;")。将信送到后，不要忘记回来向我汇报。
blankline()
   space()space()space()hot2(任务完成后,千万不要忘记向goto(576,2)汇报哦！))"</f>
        <v>title([历练]送信)
body(hotyellow_3(任务进程:)newline()
   这里有一封信需要交给hot(凤城)的goto(60559,7)。将信送到后，不要忘记回来向我汇报。
blankline()
   space()space()space()hot2(任务完成后,千万不要忘记向goto(576,2)汇报哦！))</v>
      </c>
      <c r="AG1312" s="50" t="s">
        <v>6312</v>
      </c>
      <c r="AH1312" s="50" t="s">
        <v>114</v>
      </c>
      <c r="AI1312" s="50" t="s">
        <v>110</v>
      </c>
      <c r="AJ1312" s="50" t="s">
        <v>7464</v>
      </c>
      <c r="AK1312" s="50" t="s">
        <v>2513</v>
      </c>
      <c r="AL1312" s="120">
        <v>2</v>
      </c>
      <c r="AM1312" s="127"/>
      <c r="AN1312" s="127"/>
      <c r="AO1312" s="50"/>
      <c r="AP1312" s="50">
        <v>0</v>
      </c>
      <c r="AQ1312" s="50">
        <v>0</v>
      </c>
      <c r="AR1312" s="50">
        <v>1</v>
      </c>
      <c r="AS1312" s="50">
        <v>0</v>
      </c>
      <c r="AT1312" s="50">
        <v>0</v>
      </c>
      <c r="AU1312" s="226">
        <v>0</v>
      </c>
      <c r="AV1312" s="17">
        <f t="shared" si="172"/>
        <v>0</v>
      </c>
      <c r="AW1312" s="653" t="str">
        <f t="shared" si="171"/>
        <v>{s_taskTalk,{576,60089}}</v>
      </c>
    </row>
    <row r="1313" spans="1:49" s="292" customFormat="1" ht="84" x14ac:dyDescent="0.15">
      <c r="A1313" s="659">
        <v>21615</v>
      </c>
      <c r="B1313" s="50"/>
      <c r="C1313" s="50" t="s">
        <v>6350</v>
      </c>
      <c r="D1313" s="50">
        <v>4</v>
      </c>
      <c r="E1313" s="50">
        <v>0</v>
      </c>
      <c r="F1313" s="629">
        <v>2</v>
      </c>
      <c r="G1313" s="120">
        <v>200</v>
      </c>
      <c r="H1313" s="50">
        <v>200</v>
      </c>
      <c r="I1313" s="17">
        <v>0</v>
      </c>
      <c r="J1313" s="120">
        <v>0</v>
      </c>
      <c r="K1313" s="50">
        <v>0</v>
      </c>
      <c r="L1313" s="623">
        <v>576</v>
      </c>
      <c r="M1313" s="50" t="s">
        <v>2510</v>
      </c>
      <c r="N1313" s="50">
        <v>60085</v>
      </c>
      <c r="O1313" s="50" t="s">
        <v>5235</v>
      </c>
      <c r="P1313" s="50">
        <v>7</v>
      </c>
      <c r="Q1313" s="121"/>
      <c r="R1313" s="121"/>
      <c r="S1313" s="121"/>
      <c r="T1313" s="121"/>
      <c r="U1313" s="50">
        <v>1</v>
      </c>
      <c r="V1313" s="50">
        <v>0</v>
      </c>
      <c r="W1313" s="50">
        <v>0</v>
      </c>
      <c r="X1313" s="623">
        <v>0</v>
      </c>
      <c r="Y1313" s="50"/>
      <c r="Z1313" s="123">
        <v>0</v>
      </c>
      <c r="AA1313" s="50"/>
      <c r="AB1313" s="124"/>
      <c r="AC1313" s="124"/>
      <c r="AD1313" s="50"/>
      <c r="AE1313" s="127" t="s">
        <v>7350</v>
      </c>
      <c r="AF1313" s="50" t="str">
        <f t="shared" ref="AF1313:AF1314" si="174">"title("&amp;C1313&amp;")
body(hotyellow_3(任务进程:)newline()
   这里有一封信需要交给hot(凤城)的goto("&amp;N1313&amp;","&amp;P1313&amp;")。将信送到后，不要忘记回来向我汇报。
blankline()
   space()space()space()hot2(任务完成后,千万不要忘记向goto(576,2)汇报哦！))"</f>
        <v>title([历练]送信)
body(hotyellow_3(任务进程:)newline()
   这里有一封信需要交给hot(凤城)的goto(60085,7)。将信送到后，不要忘记回来向我汇报。
blankline()
   space()space()space()hot2(任务完成后,千万不要忘记向goto(576,2)汇报哦！))</v>
      </c>
      <c r="AG1313" s="50" t="s">
        <v>6312</v>
      </c>
      <c r="AH1313" s="50" t="s">
        <v>114</v>
      </c>
      <c r="AI1313" s="50" t="s">
        <v>110</v>
      </c>
      <c r="AJ1313" s="50" t="s">
        <v>7464</v>
      </c>
      <c r="AK1313" s="50" t="s">
        <v>2513</v>
      </c>
      <c r="AL1313" s="120">
        <v>2</v>
      </c>
      <c r="AM1313" s="127"/>
      <c r="AN1313" s="127"/>
      <c r="AO1313" s="50"/>
      <c r="AP1313" s="50">
        <v>0</v>
      </c>
      <c r="AQ1313" s="50">
        <v>0</v>
      </c>
      <c r="AR1313" s="50">
        <v>1</v>
      </c>
      <c r="AS1313" s="50">
        <v>0</v>
      </c>
      <c r="AT1313" s="50">
        <v>0</v>
      </c>
      <c r="AU1313" s="226">
        <v>0</v>
      </c>
      <c r="AV1313" s="17">
        <f t="shared" si="172"/>
        <v>0</v>
      </c>
      <c r="AW1313" s="653" t="str">
        <f t="shared" si="171"/>
        <v>{s_taskTalk,{576,60085}}</v>
      </c>
    </row>
    <row r="1314" spans="1:49" s="292" customFormat="1" ht="84" x14ac:dyDescent="0.15">
      <c r="A1314" s="659">
        <v>21616</v>
      </c>
      <c r="B1314" s="50"/>
      <c r="C1314" s="50" t="s">
        <v>6350</v>
      </c>
      <c r="D1314" s="50">
        <v>4</v>
      </c>
      <c r="E1314" s="50">
        <v>0</v>
      </c>
      <c r="F1314" s="629">
        <v>2</v>
      </c>
      <c r="G1314" s="120">
        <v>200</v>
      </c>
      <c r="H1314" s="50">
        <v>200</v>
      </c>
      <c r="I1314" s="17">
        <v>0</v>
      </c>
      <c r="J1314" s="120">
        <v>0</v>
      </c>
      <c r="K1314" s="50">
        <v>0</v>
      </c>
      <c r="L1314" s="623">
        <v>576</v>
      </c>
      <c r="M1314" s="50" t="s">
        <v>2510</v>
      </c>
      <c r="N1314" s="50">
        <v>60088</v>
      </c>
      <c r="O1314" s="50" t="s">
        <v>5236</v>
      </c>
      <c r="P1314" s="50">
        <v>7</v>
      </c>
      <c r="Q1314" s="121"/>
      <c r="R1314" s="121"/>
      <c r="S1314" s="121"/>
      <c r="T1314" s="121"/>
      <c r="U1314" s="50">
        <v>1</v>
      </c>
      <c r="V1314" s="50">
        <v>0</v>
      </c>
      <c r="W1314" s="50">
        <v>0</v>
      </c>
      <c r="X1314" s="623">
        <v>0</v>
      </c>
      <c r="Y1314" s="50"/>
      <c r="Z1314" s="123">
        <v>0</v>
      </c>
      <c r="AA1314" s="50"/>
      <c r="AB1314" s="124"/>
      <c r="AC1314" s="124"/>
      <c r="AD1314" s="50"/>
      <c r="AE1314" s="127" t="s">
        <v>7350</v>
      </c>
      <c r="AF1314" s="50" t="str">
        <f t="shared" si="174"/>
        <v>title([历练]送信)
body(hotyellow_3(任务进程:)newline()
   这里有一封信需要交给hot(凤城)的goto(60088,7)。将信送到后，不要忘记回来向我汇报。
blankline()
   space()space()space()hot2(任务完成后,千万不要忘记向goto(576,2)汇报哦！))</v>
      </c>
      <c r="AG1314" s="50" t="s">
        <v>6312</v>
      </c>
      <c r="AH1314" s="50" t="s">
        <v>114</v>
      </c>
      <c r="AI1314" s="50" t="s">
        <v>110</v>
      </c>
      <c r="AJ1314" s="50" t="s">
        <v>7464</v>
      </c>
      <c r="AK1314" s="50" t="s">
        <v>2513</v>
      </c>
      <c r="AL1314" s="120">
        <v>2</v>
      </c>
      <c r="AM1314" s="127"/>
      <c r="AN1314" s="127"/>
      <c r="AO1314" s="50"/>
      <c r="AP1314" s="50">
        <v>0</v>
      </c>
      <c r="AQ1314" s="50">
        <v>0</v>
      </c>
      <c r="AR1314" s="50">
        <v>1</v>
      </c>
      <c r="AS1314" s="50">
        <v>0</v>
      </c>
      <c r="AT1314" s="50">
        <v>0</v>
      </c>
      <c r="AU1314" s="226">
        <v>0</v>
      </c>
      <c r="AV1314" s="17">
        <f t="shared" si="172"/>
        <v>0</v>
      </c>
      <c r="AW1314" s="653" t="str">
        <f t="shared" si="171"/>
        <v>{s_taskTalk,{576,60088}}</v>
      </c>
    </row>
    <row r="1315" spans="1:49" s="292" customFormat="1" ht="84" x14ac:dyDescent="0.15">
      <c r="A1315" s="659">
        <v>21617</v>
      </c>
      <c r="B1315" s="50"/>
      <c r="C1315" s="50" t="s">
        <v>6350</v>
      </c>
      <c r="D1315" s="50">
        <v>4</v>
      </c>
      <c r="E1315" s="50">
        <v>0</v>
      </c>
      <c r="F1315" s="629">
        <v>2</v>
      </c>
      <c r="G1315" s="347">
        <v>61</v>
      </c>
      <c r="H1315" s="50">
        <v>200</v>
      </c>
      <c r="I1315" s="17">
        <v>0</v>
      </c>
      <c r="J1315" s="120">
        <v>0</v>
      </c>
      <c r="K1315" s="50">
        <v>0</v>
      </c>
      <c r="L1315" s="623">
        <v>576</v>
      </c>
      <c r="M1315" s="50" t="s">
        <v>2510</v>
      </c>
      <c r="N1315" s="50">
        <v>0</v>
      </c>
      <c r="O1315" s="50" t="s">
        <v>6309</v>
      </c>
      <c r="P1315" s="50">
        <v>5</v>
      </c>
      <c r="Q1315" s="121"/>
      <c r="R1315" s="121"/>
      <c r="S1315" s="121"/>
      <c r="T1315" s="121"/>
      <c r="U1315" s="50">
        <v>1</v>
      </c>
      <c r="V1315" s="50">
        <v>0</v>
      </c>
      <c r="W1315" s="50">
        <v>0</v>
      </c>
      <c r="X1315" s="623">
        <v>0</v>
      </c>
      <c r="Y1315" s="50"/>
      <c r="Z1315" s="123">
        <v>0</v>
      </c>
      <c r="AA1315" s="50"/>
      <c r="AB1315" s="124"/>
      <c r="AC1315" s="124"/>
      <c r="AD1315" s="50"/>
      <c r="AE1315" s="127" t="s">
        <v>7350</v>
      </c>
      <c r="AF1315" s="50" t="str">
        <f>"title("&amp;C1315&amp;")
body(hotyellow_3(任务进程:)newline()
   这里有一封信需要交给hot(王城)的goto(60559,"&amp;P1315&amp;")。将信送到后，不要忘记回来向我汇报。
blankline()
   space()space()space()hot2(任务完成后,千万不要忘记向goto(576,2)汇报哦！))"</f>
        <v>title([历练]送信)
body(hotyellow_3(任务进程:)newline()
   这里有一封信需要交给hot(王城)的goto(60559,5)。将信送到后，不要忘记回来向我汇报。
blankline()
   space()space()space()hot2(任务完成后,千万不要忘记向goto(576,2)汇报哦！))</v>
      </c>
      <c r="AG1315" s="50" t="s">
        <v>6312</v>
      </c>
      <c r="AH1315" s="50" t="s">
        <v>114</v>
      </c>
      <c r="AI1315" s="50" t="s">
        <v>110</v>
      </c>
      <c r="AJ1315" s="50" t="s">
        <v>7464</v>
      </c>
      <c r="AK1315" s="50" t="s">
        <v>2513</v>
      </c>
      <c r="AL1315" s="120">
        <v>2</v>
      </c>
      <c r="AM1315" s="660" t="s">
        <v>8963</v>
      </c>
      <c r="AN1315" s="127"/>
      <c r="AO1315" s="50"/>
      <c r="AP1315" s="50">
        <v>0</v>
      </c>
      <c r="AQ1315" s="50">
        <v>0</v>
      </c>
      <c r="AR1315" s="50">
        <v>1</v>
      </c>
      <c r="AS1315" s="50">
        <v>0</v>
      </c>
      <c r="AT1315" s="50">
        <v>0</v>
      </c>
      <c r="AU1315" s="226">
        <v>0</v>
      </c>
      <c r="AV1315" s="17">
        <f t="shared" si="172"/>
        <v>0</v>
      </c>
      <c r="AW1315" s="653" t="str">
        <f t="shared" si="171"/>
        <v>{s_taskTalk,{576,0}}</v>
      </c>
    </row>
    <row r="1316" spans="1:49" s="292" customFormat="1" ht="84" x14ac:dyDescent="0.15">
      <c r="A1316" s="659">
        <v>21618</v>
      </c>
      <c r="B1316" s="50"/>
      <c r="C1316" s="50" t="s">
        <v>6350</v>
      </c>
      <c r="D1316" s="50">
        <v>4</v>
      </c>
      <c r="E1316" s="50">
        <v>0</v>
      </c>
      <c r="F1316" s="629">
        <v>2</v>
      </c>
      <c r="G1316" s="347">
        <v>61</v>
      </c>
      <c r="H1316" s="50">
        <v>200</v>
      </c>
      <c r="I1316" s="17">
        <v>0</v>
      </c>
      <c r="J1316" s="120">
        <v>0</v>
      </c>
      <c r="K1316" s="50">
        <v>0</v>
      </c>
      <c r="L1316" s="623">
        <v>576</v>
      </c>
      <c r="M1316" s="50" t="s">
        <v>2510</v>
      </c>
      <c r="N1316" s="50">
        <v>0</v>
      </c>
      <c r="O1316" s="50" t="s">
        <v>6310</v>
      </c>
      <c r="P1316" s="50">
        <v>5</v>
      </c>
      <c r="Q1316" s="121"/>
      <c r="R1316" s="121"/>
      <c r="S1316" s="121"/>
      <c r="T1316" s="121"/>
      <c r="U1316" s="50">
        <v>1</v>
      </c>
      <c r="V1316" s="50">
        <v>0</v>
      </c>
      <c r="W1316" s="50">
        <v>0</v>
      </c>
      <c r="X1316" s="623">
        <v>0</v>
      </c>
      <c r="Y1316" s="50"/>
      <c r="Z1316" s="123">
        <v>0</v>
      </c>
      <c r="AA1316" s="50"/>
      <c r="AB1316" s="124"/>
      <c r="AC1316" s="124"/>
      <c r="AD1316" s="50"/>
      <c r="AE1316" s="127" t="s">
        <v>7350</v>
      </c>
      <c r="AF1316" s="50" t="str">
        <f>"title("&amp;C1316&amp;")
body(hotyellow_3(任务进程:)newline()
   这里有一封信需要交给hot(王城)的goto(536,"&amp;P1316&amp;")。将信送到后，不要忘记回来向我汇报。
blankline()
   space()space()space()hot2(任务完成后,千万不要忘记向goto(576,2)汇报哦！))"</f>
        <v>title([历练]送信)
body(hotyellow_3(任务进程:)newline()
   这里有一封信需要交给hot(王城)的goto(536,5)。将信送到后，不要忘记回来向我汇报。
blankline()
   space()space()space()hot2(任务完成后,千万不要忘记向goto(576,2)汇报哦！))</v>
      </c>
      <c r="AG1316" s="50" t="s">
        <v>6312</v>
      </c>
      <c r="AH1316" s="50" t="s">
        <v>114</v>
      </c>
      <c r="AI1316" s="50" t="s">
        <v>110</v>
      </c>
      <c r="AJ1316" s="50" t="s">
        <v>7464</v>
      </c>
      <c r="AK1316" s="50" t="s">
        <v>2513</v>
      </c>
      <c r="AL1316" s="120">
        <v>2</v>
      </c>
      <c r="AM1316" s="660" t="s">
        <v>8962</v>
      </c>
      <c r="AN1316" s="127"/>
      <c r="AO1316" s="50"/>
      <c r="AP1316" s="50">
        <v>0</v>
      </c>
      <c r="AQ1316" s="50">
        <v>0</v>
      </c>
      <c r="AR1316" s="50">
        <v>1</v>
      </c>
      <c r="AS1316" s="50">
        <v>0</v>
      </c>
      <c r="AT1316" s="50">
        <v>0</v>
      </c>
      <c r="AU1316" s="226">
        <v>0</v>
      </c>
      <c r="AV1316" s="17">
        <f t="shared" si="172"/>
        <v>0</v>
      </c>
      <c r="AW1316" s="653" t="str">
        <f t="shared" si="171"/>
        <v>{s_taskTalk,{576,0}}</v>
      </c>
    </row>
    <row r="1317" spans="1:49" s="292" customFormat="1" ht="84" x14ac:dyDescent="0.15">
      <c r="A1317" s="659">
        <v>21619</v>
      </c>
      <c r="B1317" s="50"/>
      <c r="C1317" s="50" t="s">
        <v>6350</v>
      </c>
      <c r="D1317" s="50">
        <v>4</v>
      </c>
      <c r="E1317" s="50">
        <v>0</v>
      </c>
      <c r="F1317" s="629">
        <v>2</v>
      </c>
      <c r="G1317" s="347">
        <v>61</v>
      </c>
      <c r="H1317" s="50">
        <v>200</v>
      </c>
      <c r="I1317" s="17">
        <v>0</v>
      </c>
      <c r="J1317" s="120">
        <v>0</v>
      </c>
      <c r="K1317" s="50">
        <v>0</v>
      </c>
      <c r="L1317" s="623">
        <v>576</v>
      </c>
      <c r="M1317" s="50" t="s">
        <v>2510</v>
      </c>
      <c r="N1317" s="50">
        <v>0</v>
      </c>
      <c r="O1317" s="50" t="s">
        <v>6311</v>
      </c>
      <c r="P1317" s="50">
        <v>5</v>
      </c>
      <c r="Q1317" s="121"/>
      <c r="R1317" s="121"/>
      <c r="S1317" s="121"/>
      <c r="T1317" s="121"/>
      <c r="U1317" s="50">
        <v>1</v>
      </c>
      <c r="V1317" s="50">
        <v>0</v>
      </c>
      <c r="W1317" s="50">
        <v>0</v>
      </c>
      <c r="X1317" s="623">
        <v>0</v>
      </c>
      <c r="Y1317" s="50"/>
      <c r="Z1317" s="123">
        <v>0</v>
      </c>
      <c r="AA1317" s="50"/>
      <c r="AB1317" s="124"/>
      <c r="AC1317" s="124"/>
      <c r="AD1317" s="50"/>
      <c r="AE1317" s="127" t="s">
        <v>7350</v>
      </c>
      <c r="AF1317" s="50" t="str">
        <f>"title("&amp;C1317&amp;")
body(hotyellow_3(任务进程:)newline()
   这里有一封信需要交给hot(王城)的goto(541,"&amp;P1317&amp;")。将信送到后，不要忘记回来向我汇报。
blankline()
   space()space()space()hot2(任务完成后,千万不要忘记向goto(576,2)汇报哦！))"</f>
        <v>title([历练]送信)
body(hotyellow_3(任务进程:)newline()
   这里有一封信需要交给hot(王城)的goto(541,5)。将信送到后，不要忘记回来向我汇报。
blankline()
   space()space()space()hot2(任务完成后,千万不要忘记向goto(576,2)汇报哦！))</v>
      </c>
      <c r="AG1317" s="50" t="s">
        <v>6312</v>
      </c>
      <c r="AH1317" s="50" t="s">
        <v>114</v>
      </c>
      <c r="AI1317" s="50" t="s">
        <v>110</v>
      </c>
      <c r="AJ1317" s="50" t="s">
        <v>7464</v>
      </c>
      <c r="AK1317" s="50" t="s">
        <v>2513</v>
      </c>
      <c r="AL1317" s="120">
        <v>2</v>
      </c>
      <c r="AM1317" s="660" t="s">
        <v>8961</v>
      </c>
      <c r="AN1317" s="127"/>
      <c r="AO1317" s="50"/>
      <c r="AP1317" s="50">
        <v>0</v>
      </c>
      <c r="AQ1317" s="50">
        <v>0</v>
      </c>
      <c r="AR1317" s="50">
        <v>1</v>
      </c>
      <c r="AS1317" s="50">
        <v>0</v>
      </c>
      <c r="AT1317" s="50">
        <v>0</v>
      </c>
      <c r="AU1317" s="226">
        <v>0</v>
      </c>
      <c r="AV1317" s="17">
        <f t="shared" si="172"/>
        <v>0</v>
      </c>
      <c r="AW1317" s="653" t="str">
        <f t="shared" si="171"/>
        <v>{s_taskTalk,{576,0}}</v>
      </c>
    </row>
    <row r="1318" spans="1:49" s="660" customFormat="1" ht="84" x14ac:dyDescent="0.15">
      <c r="A1318" s="660">
        <v>21701</v>
      </c>
      <c r="C1318" s="660" t="s">
        <v>6351</v>
      </c>
      <c r="D1318" s="660">
        <v>4</v>
      </c>
      <c r="E1318" s="660">
        <v>0</v>
      </c>
      <c r="F1318" s="629">
        <v>2</v>
      </c>
      <c r="G1318" s="661">
        <v>21</v>
      </c>
      <c r="H1318" s="660">
        <v>40</v>
      </c>
      <c r="I1318" s="17">
        <v>0</v>
      </c>
      <c r="J1318" s="661">
        <v>0</v>
      </c>
      <c r="K1318" s="660">
        <v>0</v>
      </c>
      <c r="L1318" s="623">
        <v>576</v>
      </c>
      <c r="M1318" s="660" t="s">
        <v>2510</v>
      </c>
      <c r="N1318" s="601">
        <v>0</v>
      </c>
      <c r="O1318" s="601" t="s">
        <v>6313</v>
      </c>
      <c r="P1318" s="660">
        <v>2</v>
      </c>
      <c r="U1318" s="660">
        <v>1</v>
      </c>
      <c r="V1318" s="660">
        <v>0</v>
      </c>
      <c r="W1318" s="660">
        <v>0</v>
      </c>
      <c r="X1318" s="623">
        <v>0</v>
      </c>
      <c r="Z1318" s="660">
        <v>0</v>
      </c>
      <c r="AF1318" s="660" t="str">
        <f>"title("&amp;C1318&amp;")
body(hotyellow_3(任务进程:)newline()
   有一份很重要的物品在hot(凤城)的goto(505,"&amp;P1318&amp;")那里。请去把物品带来给我吧！
blankline()
   space()space()space()hot2(任务完成后,千万不要忘记向goto(576,2)汇报哦！))"</f>
        <v>title([历练]取物)
body(hotyellow_3(任务进程:)newline()
   有一份很重要的物品在hot(凤城)的goto(505,2)那里。请去把物品带来给我吧！
blankline()
   space()space()space()hot2(任务完成后,千万不要忘记向goto(576,2)汇报哦！))</v>
      </c>
      <c r="AG1318" s="660" t="s">
        <v>2514</v>
      </c>
      <c r="AH1318" s="660" t="s">
        <v>114</v>
      </c>
      <c r="AI1318" s="660" t="s">
        <v>110</v>
      </c>
      <c r="AJ1318" s="660" t="s">
        <v>7465</v>
      </c>
      <c r="AK1318" s="660" t="s">
        <v>2522</v>
      </c>
      <c r="AL1318" s="661">
        <v>2</v>
      </c>
      <c r="AM1318" s="660" t="s">
        <v>8960</v>
      </c>
      <c r="AP1318" s="660">
        <v>0</v>
      </c>
      <c r="AQ1318" s="660">
        <v>0</v>
      </c>
      <c r="AR1318" s="50">
        <v>1</v>
      </c>
      <c r="AS1318" s="660">
        <v>0</v>
      </c>
      <c r="AT1318" s="660">
        <v>0</v>
      </c>
      <c r="AU1318" s="226">
        <v>0</v>
      </c>
      <c r="AV1318" s="17">
        <f t="shared" si="172"/>
        <v>0</v>
      </c>
      <c r="AW1318" s="653" t="str">
        <f t="shared" si="171"/>
        <v>{s_taskTalk,{576,0}}</v>
      </c>
    </row>
    <row r="1319" spans="1:49" s="660" customFormat="1" ht="84" x14ac:dyDescent="0.15">
      <c r="A1319" s="660">
        <v>21702</v>
      </c>
      <c r="C1319" s="660" t="s">
        <v>6351</v>
      </c>
      <c r="D1319" s="660">
        <v>4</v>
      </c>
      <c r="E1319" s="660">
        <v>0</v>
      </c>
      <c r="F1319" s="629">
        <v>2</v>
      </c>
      <c r="G1319" s="661">
        <v>21</v>
      </c>
      <c r="H1319" s="660">
        <v>40</v>
      </c>
      <c r="I1319" s="17">
        <v>0</v>
      </c>
      <c r="J1319" s="661">
        <v>0</v>
      </c>
      <c r="K1319" s="660">
        <v>0</v>
      </c>
      <c r="L1319" s="623">
        <v>576</v>
      </c>
      <c r="M1319" s="660" t="s">
        <v>2510</v>
      </c>
      <c r="N1319" s="601">
        <v>0</v>
      </c>
      <c r="O1319" s="601" t="s">
        <v>6314</v>
      </c>
      <c r="P1319" s="660">
        <v>2</v>
      </c>
      <c r="U1319" s="660">
        <v>1</v>
      </c>
      <c r="V1319" s="660">
        <v>0</v>
      </c>
      <c r="W1319" s="660">
        <v>0</v>
      </c>
      <c r="X1319" s="623">
        <v>0</v>
      </c>
      <c r="Z1319" s="660">
        <v>0</v>
      </c>
      <c r="AF1319" s="660" t="str">
        <f>"title("&amp;C1319&amp;")
body(hotyellow_3(任务进程:)newline()
   有一份很重要的物品在hot(凤城)的goto(506,"&amp;P1319&amp;")那里。请去把物品带来给我吧！
blankline()
   space()space()space()hot2(任务完成后,千万不要忘记向goto(576,2)汇报哦！))"</f>
        <v>title([历练]取物)
body(hotyellow_3(任务进程:)newline()
   有一份很重要的物品在hot(凤城)的goto(506,2)那里。请去把物品带来给我吧！
blankline()
   space()space()space()hot2(任务完成后,千万不要忘记向goto(576,2)汇报哦！))</v>
      </c>
      <c r="AG1319" s="660" t="s">
        <v>2514</v>
      </c>
      <c r="AH1319" s="660" t="s">
        <v>114</v>
      </c>
      <c r="AI1319" s="660" t="s">
        <v>110</v>
      </c>
      <c r="AJ1319" s="660" t="s">
        <v>7465</v>
      </c>
      <c r="AK1319" s="660" t="s">
        <v>2515</v>
      </c>
      <c r="AL1319" s="661">
        <v>2</v>
      </c>
      <c r="AM1319" s="660" t="s">
        <v>8959</v>
      </c>
      <c r="AP1319" s="660">
        <v>0</v>
      </c>
      <c r="AQ1319" s="660">
        <v>0</v>
      </c>
      <c r="AR1319" s="50">
        <v>1</v>
      </c>
      <c r="AS1319" s="660">
        <v>0</v>
      </c>
      <c r="AT1319" s="660">
        <v>0</v>
      </c>
      <c r="AU1319" s="226">
        <v>0</v>
      </c>
      <c r="AV1319" s="17">
        <f t="shared" si="172"/>
        <v>0</v>
      </c>
      <c r="AW1319" s="653" t="str">
        <f t="shared" si="171"/>
        <v>{s_taskTalk,{576,0}}</v>
      </c>
    </row>
    <row r="1320" spans="1:49" s="660" customFormat="1" ht="84" x14ac:dyDescent="0.15">
      <c r="A1320" s="660">
        <v>21703</v>
      </c>
      <c r="C1320" s="660" t="s">
        <v>6351</v>
      </c>
      <c r="D1320" s="660">
        <v>4</v>
      </c>
      <c r="E1320" s="660">
        <v>0</v>
      </c>
      <c r="F1320" s="629">
        <v>2</v>
      </c>
      <c r="G1320" s="661">
        <v>21</v>
      </c>
      <c r="H1320" s="660">
        <v>40</v>
      </c>
      <c r="I1320" s="17">
        <v>0</v>
      </c>
      <c r="J1320" s="661">
        <v>0</v>
      </c>
      <c r="K1320" s="660">
        <v>0</v>
      </c>
      <c r="L1320" s="623">
        <v>576</v>
      </c>
      <c r="M1320" s="660" t="s">
        <v>2510</v>
      </c>
      <c r="N1320" s="601">
        <v>0</v>
      </c>
      <c r="O1320" s="601" t="s">
        <v>6315</v>
      </c>
      <c r="P1320" s="660">
        <v>2</v>
      </c>
      <c r="U1320" s="660">
        <v>1</v>
      </c>
      <c r="V1320" s="660">
        <v>0</v>
      </c>
      <c r="W1320" s="660">
        <v>0</v>
      </c>
      <c r="X1320" s="623">
        <v>0</v>
      </c>
      <c r="Z1320" s="660">
        <v>0</v>
      </c>
      <c r="AF1320" s="660" t="str">
        <f>"title("&amp;C1320&amp;")
body(hotyellow_3(任务进程:)newline()
   有一份很重要的物品在hot(凤城)的goto(507,"&amp;P1320&amp;")那里。请去把物品带来给我吧！
blankline()
   space()space()space()hot2(任务完成后,千万不要忘记向goto(576,2)汇报哦！))"</f>
        <v>title([历练]取物)
body(hotyellow_3(任务进程:)newline()
   有一份很重要的物品在hot(凤城)的goto(507,2)那里。请去把物品带来给我吧！
blankline()
   space()space()space()hot2(任务完成后,千万不要忘记向goto(576,2)汇报哦！))</v>
      </c>
      <c r="AG1320" s="660" t="s">
        <v>2514</v>
      </c>
      <c r="AH1320" s="660" t="s">
        <v>114</v>
      </c>
      <c r="AI1320" s="660" t="s">
        <v>110</v>
      </c>
      <c r="AJ1320" s="660" t="s">
        <v>7465</v>
      </c>
      <c r="AK1320" s="660" t="s">
        <v>2515</v>
      </c>
      <c r="AL1320" s="661">
        <v>2</v>
      </c>
      <c r="AM1320" s="660" t="s">
        <v>8958</v>
      </c>
      <c r="AP1320" s="660">
        <v>0</v>
      </c>
      <c r="AQ1320" s="660">
        <v>0</v>
      </c>
      <c r="AR1320" s="50">
        <v>1</v>
      </c>
      <c r="AS1320" s="660">
        <v>0</v>
      </c>
      <c r="AT1320" s="660">
        <v>0</v>
      </c>
      <c r="AU1320" s="226">
        <v>0</v>
      </c>
      <c r="AV1320" s="17">
        <f t="shared" si="172"/>
        <v>0</v>
      </c>
      <c r="AW1320" s="653" t="str">
        <f t="shared" si="171"/>
        <v>{s_taskTalk,{576,0}}</v>
      </c>
    </row>
    <row r="1321" spans="1:49" s="660" customFormat="1" ht="84" x14ac:dyDescent="0.15">
      <c r="A1321" s="660">
        <v>21704</v>
      </c>
      <c r="C1321" s="660" t="s">
        <v>6351</v>
      </c>
      <c r="D1321" s="660">
        <v>4</v>
      </c>
      <c r="E1321" s="660">
        <v>0</v>
      </c>
      <c r="F1321" s="629">
        <v>2</v>
      </c>
      <c r="G1321" s="661">
        <v>40</v>
      </c>
      <c r="H1321" s="660">
        <v>50</v>
      </c>
      <c r="I1321" s="17">
        <v>0</v>
      </c>
      <c r="J1321" s="661">
        <v>0</v>
      </c>
      <c r="K1321" s="660">
        <v>0</v>
      </c>
      <c r="L1321" s="623">
        <v>576</v>
      </c>
      <c r="M1321" s="660" t="s">
        <v>2510</v>
      </c>
      <c r="N1321" s="601">
        <v>0</v>
      </c>
      <c r="O1321" s="660" t="s">
        <v>6316</v>
      </c>
      <c r="P1321" s="660">
        <v>6</v>
      </c>
      <c r="U1321" s="660">
        <v>1</v>
      </c>
      <c r="V1321" s="660">
        <v>0</v>
      </c>
      <c r="W1321" s="660">
        <v>0</v>
      </c>
      <c r="X1321" s="623">
        <v>0</v>
      </c>
      <c r="Z1321" s="660">
        <v>0</v>
      </c>
      <c r="AF1321" s="660" t="str">
        <f>"title("&amp;C1321&amp;")
body(hotyellow_3(任务进程:)newline()
   有一份很重要的物品在hot(夷陵)的goto(511,"&amp;P1321&amp;")那里。请去把物品带来给我吧！
blankline()
   space()space()space()hot2(任务完成后,千万不要忘记向goto(576,2)汇报哦！))"</f>
        <v>title([历练]取物)
body(hotyellow_3(任务进程:)newline()
   有一份很重要的物品在hot(夷陵)的goto(511,6)那里。请去把物品带来给我吧！
blankline()
   space()space()space()hot2(任务完成后,千万不要忘记向goto(576,2)汇报哦！))</v>
      </c>
      <c r="AG1321" s="660" t="s">
        <v>2514</v>
      </c>
      <c r="AH1321" s="660" t="s">
        <v>114</v>
      </c>
      <c r="AI1321" s="660" t="s">
        <v>110</v>
      </c>
      <c r="AJ1321" s="660" t="s">
        <v>7465</v>
      </c>
      <c r="AK1321" s="660" t="s">
        <v>2515</v>
      </c>
      <c r="AL1321" s="661">
        <v>2</v>
      </c>
      <c r="AM1321" s="660" t="s">
        <v>8957</v>
      </c>
      <c r="AP1321" s="660">
        <v>0</v>
      </c>
      <c r="AQ1321" s="660">
        <v>0</v>
      </c>
      <c r="AR1321" s="50">
        <v>1</v>
      </c>
      <c r="AS1321" s="660">
        <v>0</v>
      </c>
      <c r="AT1321" s="660">
        <v>0</v>
      </c>
      <c r="AU1321" s="226">
        <v>0</v>
      </c>
      <c r="AV1321" s="17">
        <f t="shared" si="172"/>
        <v>0</v>
      </c>
      <c r="AW1321" s="653" t="str">
        <f t="shared" si="171"/>
        <v>{s_taskTalk,{576,0}}</v>
      </c>
    </row>
    <row r="1322" spans="1:49" s="660" customFormat="1" ht="84" x14ac:dyDescent="0.15">
      <c r="A1322" s="660">
        <v>21705</v>
      </c>
      <c r="C1322" s="660" t="s">
        <v>6351</v>
      </c>
      <c r="D1322" s="660">
        <v>4</v>
      </c>
      <c r="E1322" s="660">
        <v>0</v>
      </c>
      <c r="F1322" s="629">
        <v>2</v>
      </c>
      <c r="G1322" s="661">
        <v>40</v>
      </c>
      <c r="H1322" s="660">
        <v>50</v>
      </c>
      <c r="I1322" s="17">
        <v>0</v>
      </c>
      <c r="J1322" s="661">
        <v>0</v>
      </c>
      <c r="K1322" s="660">
        <v>0</v>
      </c>
      <c r="L1322" s="623">
        <v>576</v>
      </c>
      <c r="M1322" s="660" t="s">
        <v>2510</v>
      </c>
      <c r="N1322" s="601">
        <v>0</v>
      </c>
      <c r="O1322" s="660" t="s">
        <v>6317</v>
      </c>
      <c r="P1322" s="660">
        <v>6</v>
      </c>
      <c r="U1322" s="660">
        <v>1</v>
      </c>
      <c r="V1322" s="660">
        <v>0</v>
      </c>
      <c r="W1322" s="660">
        <v>0</v>
      </c>
      <c r="X1322" s="623">
        <v>0</v>
      </c>
      <c r="Z1322" s="660">
        <v>0</v>
      </c>
      <c r="AF1322" s="660" t="str">
        <f>"title("&amp;C1322&amp;")
body(hotyellow_3(任务进程:)newline()
   有一份很重要的物品在hot(夷陵)的goto(512,"&amp;P1322&amp;")那里。请去把物品带来给我吧！
blankline()
   space()space()space()hot2(任务完成后,千万不要忘记向goto(576,2)汇报哦！))"</f>
        <v>title([历练]取物)
body(hotyellow_3(任务进程:)newline()
   有一份很重要的物品在hot(夷陵)的goto(512,6)那里。请去把物品带来给我吧！
blankline()
   space()space()space()hot2(任务完成后,千万不要忘记向goto(576,2)汇报哦！))</v>
      </c>
      <c r="AG1322" s="660" t="s">
        <v>2514</v>
      </c>
      <c r="AH1322" s="660" t="s">
        <v>114</v>
      </c>
      <c r="AI1322" s="660" t="s">
        <v>110</v>
      </c>
      <c r="AJ1322" s="660" t="s">
        <v>7465</v>
      </c>
      <c r="AK1322" s="660" t="s">
        <v>2515</v>
      </c>
      <c r="AL1322" s="661">
        <v>2</v>
      </c>
      <c r="AM1322" s="660" t="s">
        <v>8956</v>
      </c>
      <c r="AP1322" s="660">
        <v>0</v>
      </c>
      <c r="AQ1322" s="660">
        <v>0</v>
      </c>
      <c r="AR1322" s="50">
        <v>1</v>
      </c>
      <c r="AS1322" s="660">
        <v>0</v>
      </c>
      <c r="AT1322" s="660">
        <v>0</v>
      </c>
      <c r="AU1322" s="226">
        <v>0</v>
      </c>
      <c r="AV1322" s="17">
        <f t="shared" si="172"/>
        <v>0</v>
      </c>
      <c r="AW1322" s="653" t="str">
        <f t="shared" si="171"/>
        <v>{s_taskTalk,{576,0}}</v>
      </c>
    </row>
    <row r="1323" spans="1:49" s="660" customFormat="1" ht="84" x14ac:dyDescent="0.15">
      <c r="A1323" s="660">
        <v>21706</v>
      </c>
      <c r="C1323" s="660" t="s">
        <v>6351</v>
      </c>
      <c r="D1323" s="660">
        <v>4</v>
      </c>
      <c r="E1323" s="660">
        <v>0</v>
      </c>
      <c r="F1323" s="629">
        <v>2</v>
      </c>
      <c r="G1323" s="661">
        <v>40</v>
      </c>
      <c r="H1323" s="660">
        <v>50</v>
      </c>
      <c r="I1323" s="17">
        <v>0</v>
      </c>
      <c r="J1323" s="661">
        <v>0</v>
      </c>
      <c r="K1323" s="660">
        <v>0</v>
      </c>
      <c r="L1323" s="623">
        <v>576</v>
      </c>
      <c r="M1323" s="660" t="s">
        <v>2510</v>
      </c>
      <c r="N1323" s="601">
        <v>0</v>
      </c>
      <c r="O1323" s="660" t="s">
        <v>6318</v>
      </c>
      <c r="P1323" s="660">
        <v>6</v>
      </c>
      <c r="U1323" s="660">
        <v>1</v>
      </c>
      <c r="V1323" s="660">
        <v>0</v>
      </c>
      <c r="W1323" s="660">
        <v>0</v>
      </c>
      <c r="X1323" s="623">
        <v>0</v>
      </c>
      <c r="Z1323" s="660">
        <v>0</v>
      </c>
      <c r="AF1323" s="660" t="str">
        <f>"title("&amp;C1323&amp;")
body(hotyellow_3(任务进程:)newline()
   有一份很重要的物品在hot(夷陵)的goto(513,"&amp;P1323&amp;")那里。请去把物品带来给我吧！
blankline()
   space()space()space()hot2(任务完成后,千万不要忘记向goto(576,2)汇报哦！))"</f>
        <v>title([历练]取物)
body(hotyellow_3(任务进程:)newline()
   有一份很重要的物品在hot(夷陵)的goto(513,6)那里。请去把物品带来给我吧！
blankline()
   space()space()space()hot2(任务完成后,千万不要忘记向goto(576,2)汇报哦！))</v>
      </c>
      <c r="AG1323" s="660" t="s">
        <v>2514</v>
      </c>
      <c r="AH1323" s="660" t="s">
        <v>114</v>
      </c>
      <c r="AI1323" s="660" t="s">
        <v>110</v>
      </c>
      <c r="AJ1323" s="660" t="s">
        <v>7465</v>
      </c>
      <c r="AK1323" s="660" t="s">
        <v>2515</v>
      </c>
      <c r="AL1323" s="661">
        <v>2</v>
      </c>
      <c r="AM1323" s="660" t="s">
        <v>8955</v>
      </c>
      <c r="AP1323" s="660">
        <v>0</v>
      </c>
      <c r="AQ1323" s="660">
        <v>0</v>
      </c>
      <c r="AR1323" s="50">
        <v>1</v>
      </c>
      <c r="AS1323" s="660">
        <v>0</v>
      </c>
      <c r="AT1323" s="660">
        <v>0</v>
      </c>
      <c r="AU1323" s="226">
        <v>0</v>
      </c>
      <c r="AV1323" s="17">
        <f t="shared" si="172"/>
        <v>0</v>
      </c>
      <c r="AW1323" s="653" t="str">
        <f t="shared" si="171"/>
        <v>{s_taskTalk,{576,0}}</v>
      </c>
    </row>
    <row r="1324" spans="1:49" s="660" customFormat="1" ht="84" x14ac:dyDescent="0.15">
      <c r="A1324" s="660">
        <v>21707</v>
      </c>
      <c r="C1324" s="660" t="s">
        <v>6351</v>
      </c>
      <c r="D1324" s="660">
        <v>4</v>
      </c>
      <c r="E1324" s="660">
        <v>0</v>
      </c>
      <c r="F1324" s="629">
        <v>2</v>
      </c>
      <c r="G1324" s="661">
        <v>51</v>
      </c>
      <c r="H1324" s="660">
        <v>60</v>
      </c>
      <c r="I1324" s="17">
        <v>0</v>
      </c>
      <c r="J1324" s="661">
        <v>0</v>
      </c>
      <c r="K1324" s="660">
        <v>0</v>
      </c>
      <c r="L1324" s="623">
        <v>576</v>
      </c>
      <c r="M1324" s="660" t="s">
        <v>2510</v>
      </c>
      <c r="N1324" s="601">
        <v>0</v>
      </c>
      <c r="O1324" s="601" t="s">
        <v>6319</v>
      </c>
      <c r="P1324" s="660">
        <v>4</v>
      </c>
      <c r="U1324" s="660">
        <v>1</v>
      </c>
      <c r="V1324" s="660">
        <v>0</v>
      </c>
      <c r="W1324" s="660">
        <v>0</v>
      </c>
      <c r="X1324" s="623">
        <v>0</v>
      </c>
      <c r="Z1324" s="660">
        <v>0</v>
      </c>
      <c r="AF1324" s="660" t="str">
        <f>"title("&amp;C1324&amp;")
body(hotyellow_3(任务进程:)newline()
   有一份很重要的物品在hot(虎牢)的goto(522,"&amp;P1324&amp;")那里。请去把物品带来给我吧！
blankline()
   space()space()space()hot2(任务完成后,千万不要忘记向goto(576,2)汇报哦！))"</f>
        <v>title([历练]取物)
body(hotyellow_3(任务进程:)newline()
   有一份很重要的物品在hot(虎牢)的goto(522,4)那里。请去把物品带来给我吧！
blankline()
   space()space()space()hot2(任务完成后,千万不要忘记向goto(576,2)汇报哦！))</v>
      </c>
      <c r="AG1324" s="660" t="s">
        <v>2514</v>
      </c>
      <c r="AH1324" s="660" t="s">
        <v>114</v>
      </c>
      <c r="AI1324" s="660" t="s">
        <v>110</v>
      </c>
      <c r="AJ1324" s="660" t="s">
        <v>7465</v>
      </c>
      <c r="AK1324" s="660" t="s">
        <v>2515</v>
      </c>
      <c r="AL1324" s="661">
        <v>2</v>
      </c>
      <c r="AM1324" s="660" t="s">
        <v>8954</v>
      </c>
      <c r="AP1324" s="660">
        <v>0</v>
      </c>
      <c r="AQ1324" s="660">
        <v>0</v>
      </c>
      <c r="AR1324" s="50">
        <v>1</v>
      </c>
      <c r="AS1324" s="660">
        <v>0</v>
      </c>
      <c r="AT1324" s="660">
        <v>0</v>
      </c>
      <c r="AU1324" s="226">
        <v>0</v>
      </c>
      <c r="AV1324" s="17">
        <f t="shared" si="172"/>
        <v>0</v>
      </c>
      <c r="AW1324" s="653" t="str">
        <f t="shared" si="171"/>
        <v>{s_taskTalk,{576,0}}</v>
      </c>
    </row>
    <row r="1325" spans="1:49" s="660" customFormat="1" ht="84" x14ac:dyDescent="0.15">
      <c r="A1325" s="660">
        <v>21708</v>
      </c>
      <c r="C1325" s="660" t="s">
        <v>6351</v>
      </c>
      <c r="D1325" s="660">
        <v>4</v>
      </c>
      <c r="E1325" s="660">
        <v>0</v>
      </c>
      <c r="F1325" s="629">
        <v>2</v>
      </c>
      <c r="G1325" s="661">
        <v>51</v>
      </c>
      <c r="H1325" s="660">
        <v>60</v>
      </c>
      <c r="I1325" s="17">
        <v>0</v>
      </c>
      <c r="J1325" s="661">
        <v>0</v>
      </c>
      <c r="K1325" s="660">
        <v>0</v>
      </c>
      <c r="L1325" s="623">
        <v>576</v>
      </c>
      <c r="M1325" s="660" t="s">
        <v>2510</v>
      </c>
      <c r="N1325" s="601">
        <v>0</v>
      </c>
      <c r="O1325" s="601" t="s">
        <v>6320</v>
      </c>
      <c r="P1325" s="660">
        <v>4</v>
      </c>
      <c r="U1325" s="660">
        <v>1</v>
      </c>
      <c r="V1325" s="660">
        <v>0</v>
      </c>
      <c r="W1325" s="660">
        <v>0</v>
      </c>
      <c r="X1325" s="623">
        <v>0</v>
      </c>
      <c r="Z1325" s="660">
        <v>0</v>
      </c>
      <c r="AF1325" s="660" t="str">
        <f>"title("&amp;C1325&amp;")
body(hotyellow_3(任务进程:)newline()
   有一份很重要的物品在hot(虎牢)的goto(523,"&amp;P1325&amp;")那里。请去把物品带来给我吧！
blankline()
   space()space()space()hot2(任务完成后,千万不要忘记向goto(576,2)汇报哦！))"</f>
        <v>title([历练]取物)
body(hotyellow_3(任务进程:)newline()
   有一份很重要的物品在hot(虎牢)的goto(523,4)那里。请去把物品带来给我吧！
blankline()
   space()space()space()hot2(任务完成后,千万不要忘记向goto(576,2)汇报哦！))</v>
      </c>
      <c r="AG1325" s="660" t="s">
        <v>2514</v>
      </c>
      <c r="AH1325" s="660" t="s">
        <v>114</v>
      </c>
      <c r="AI1325" s="660" t="s">
        <v>110</v>
      </c>
      <c r="AJ1325" s="660" t="s">
        <v>7465</v>
      </c>
      <c r="AK1325" s="660" t="s">
        <v>2515</v>
      </c>
      <c r="AL1325" s="661">
        <v>2</v>
      </c>
      <c r="AM1325" s="660" t="s">
        <v>8953</v>
      </c>
      <c r="AP1325" s="660">
        <v>0</v>
      </c>
      <c r="AQ1325" s="660">
        <v>0</v>
      </c>
      <c r="AR1325" s="50">
        <v>1</v>
      </c>
      <c r="AS1325" s="660">
        <v>0</v>
      </c>
      <c r="AT1325" s="660">
        <v>0</v>
      </c>
      <c r="AU1325" s="226">
        <v>0</v>
      </c>
      <c r="AV1325" s="17">
        <f t="shared" si="172"/>
        <v>0</v>
      </c>
      <c r="AW1325" s="653" t="str">
        <f t="shared" si="171"/>
        <v>{s_taskTalk,{576,0}}</v>
      </c>
    </row>
    <row r="1326" spans="1:49" s="660" customFormat="1" ht="84" x14ac:dyDescent="0.15">
      <c r="A1326" s="660">
        <v>21709</v>
      </c>
      <c r="C1326" s="660" t="s">
        <v>6351</v>
      </c>
      <c r="D1326" s="660">
        <v>4</v>
      </c>
      <c r="E1326" s="660">
        <v>0</v>
      </c>
      <c r="F1326" s="629">
        <v>2</v>
      </c>
      <c r="G1326" s="661">
        <v>51</v>
      </c>
      <c r="H1326" s="660">
        <v>60</v>
      </c>
      <c r="I1326" s="17">
        <v>0</v>
      </c>
      <c r="J1326" s="661">
        <v>0</v>
      </c>
      <c r="K1326" s="660">
        <v>0</v>
      </c>
      <c r="L1326" s="623">
        <v>576</v>
      </c>
      <c r="M1326" s="660" t="s">
        <v>2510</v>
      </c>
      <c r="N1326" s="601">
        <v>0</v>
      </c>
      <c r="O1326" s="601" t="s">
        <v>6296</v>
      </c>
      <c r="P1326" s="660">
        <v>4</v>
      </c>
      <c r="U1326" s="660">
        <v>1</v>
      </c>
      <c r="V1326" s="660">
        <v>0</v>
      </c>
      <c r="W1326" s="660">
        <v>0</v>
      </c>
      <c r="X1326" s="623">
        <v>0</v>
      </c>
      <c r="Z1326" s="660">
        <v>0</v>
      </c>
      <c r="AF1326" s="660" t="str">
        <f>"title("&amp;C1326&amp;")
body(hotyellow_3(任务进程:)newline()
   有一份很重要的物品在hot(虎牢)的goto(525,"&amp;P1326&amp;")那里。请去把物品带来给我吧！
blankline()
   space()space()space()hot2(任务完成后,千万不要忘记向goto(576,2)汇报哦！))"</f>
        <v>title([历练]取物)
body(hotyellow_3(任务进程:)newline()
   有一份很重要的物品在hot(虎牢)的goto(525,4)那里。请去把物品带来给我吧！
blankline()
   space()space()space()hot2(任务完成后,千万不要忘记向goto(576,2)汇报哦！))</v>
      </c>
      <c r="AG1326" s="660" t="s">
        <v>2514</v>
      </c>
      <c r="AH1326" s="660" t="s">
        <v>114</v>
      </c>
      <c r="AI1326" s="660" t="s">
        <v>110</v>
      </c>
      <c r="AJ1326" s="660" t="s">
        <v>7465</v>
      </c>
      <c r="AK1326" s="660" t="s">
        <v>2515</v>
      </c>
      <c r="AL1326" s="661">
        <v>2</v>
      </c>
      <c r="AM1326" s="660" t="s">
        <v>8952</v>
      </c>
      <c r="AP1326" s="660">
        <v>0</v>
      </c>
      <c r="AQ1326" s="660">
        <v>0</v>
      </c>
      <c r="AR1326" s="50">
        <v>1</v>
      </c>
      <c r="AS1326" s="660">
        <v>0</v>
      </c>
      <c r="AT1326" s="660">
        <v>0</v>
      </c>
      <c r="AU1326" s="226">
        <v>0</v>
      </c>
      <c r="AV1326" s="17">
        <f t="shared" si="172"/>
        <v>0</v>
      </c>
      <c r="AW1326" s="653" t="str">
        <f t="shared" si="171"/>
        <v>{s_taskTalk,{576,0}}</v>
      </c>
    </row>
    <row r="1327" spans="1:49" s="660" customFormat="1" ht="84" x14ac:dyDescent="0.15">
      <c r="A1327" s="660">
        <v>21710</v>
      </c>
      <c r="C1327" s="660" t="s">
        <v>6351</v>
      </c>
      <c r="D1327" s="660">
        <v>4</v>
      </c>
      <c r="E1327" s="660">
        <v>0</v>
      </c>
      <c r="F1327" s="629">
        <v>2</v>
      </c>
      <c r="G1327" s="661">
        <v>51</v>
      </c>
      <c r="H1327" s="660">
        <v>100</v>
      </c>
      <c r="I1327" s="17">
        <v>0</v>
      </c>
      <c r="J1327" s="661">
        <v>0</v>
      </c>
      <c r="K1327" s="660">
        <v>0</v>
      </c>
      <c r="L1327" s="623">
        <v>576</v>
      </c>
      <c r="M1327" s="660" t="s">
        <v>2510</v>
      </c>
      <c r="N1327" s="601">
        <v>0</v>
      </c>
      <c r="O1327" s="660" t="s">
        <v>6321</v>
      </c>
      <c r="P1327" s="660">
        <v>1</v>
      </c>
      <c r="U1327" s="660">
        <v>1</v>
      </c>
      <c r="V1327" s="660">
        <v>0</v>
      </c>
      <c r="W1327" s="660">
        <v>0</v>
      </c>
      <c r="X1327" s="623">
        <v>0</v>
      </c>
      <c r="Z1327" s="660">
        <v>0</v>
      </c>
      <c r="AF1327" s="660" t="str">
        <f>"title("&amp;C1327&amp;")
body(hotyellow_3(任务进程:)newline()
   有一份很重要的物品在hot(桃源圣地)的goto(60045,"&amp;P1327&amp;")那里。请去把物品带来给我吧！
blankline()
   space()space()space()hot2(任务完成后,千万不要忘记向goto(576,2)汇报哦！))"</f>
        <v>title([历练]取物)
body(hotyellow_3(任务进程:)newline()
   有一份很重要的物品在hot(桃源圣地)的goto(60045,1)那里。请去把物品带来给我吧！
blankline()
   space()space()space()hot2(任务完成后,千万不要忘记向goto(576,2)汇报哦！))</v>
      </c>
      <c r="AG1327" s="660" t="s">
        <v>2514</v>
      </c>
      <c r="AH1327" s="660" t="s">
        <v>114</v>
      </c>
      <c r="AI1327" s="660" t="s">
        <v>110</v>
      </c>
      <c r="AJ1327" s="660" t="s">
        <v>7465</v>
      </c>
      <c r="AK1327" s="660" t="s">
        <v>2515</v>
      </c>
      <c r="AL1327" s="661">
        <v>2</v>
      </c>
      <c r="AM1327" s="660" t="s">
        <v>8951</v>
      </c>
      <c r="AP1327" s="660">
        <v>0</v>
      </c>
      <c r="AQ1327" s="660">
        <v>0</v>
      </c>
      <c r="AR1327" s="50">
        <v>1</v>
      </c>
      <c r="AS1327" s="660">
        <v>0</v>
      </c>
      <c r="AT1327" s="660">
        <v>0</v>
      </c>
      <c r="AU1327" s="226">
        <v>0</v>
      </c>
      <c r="AV1327" s="17">
        <f t="shared" si="172"/>
        <v>0</v>
      </c>
      <c r="AW1327" s="653" t="str">
        <f t="shared" si="171"/>
        <v>{s_taskTalk,{576,0}}</v>
      </c>
    </row>
    <row r="1328" spans="1:49" s="660" customFormat="1" ht="84" x14ac:dyDescent="0.15">
      <c r="A1328" s="660">
        <v>21711</v>
      </c>
      <c r="C1328" s="660" t="s">
        <v>6351</v>
      </c>
      <c r="D1328" s="660">
        <v>4</v>
      </c>
      <c r="E1328" s="660">
        <v>0</v>
      </c>
      <c r="F1328" s="629">
        <v>2</v>
      </c>
      <c r="G1328" s="661">
        <v>51</v>
      </c>
      <c r="H1328" s="660">
        <v>200</v>
      </c>
      <c r="I1328" s="17">
        <v>0</v>
      </c>
      <c r="J1328" s="661">
        <v>0</v>
      </c>
      <c r="K1328" s="660">
        <v>0</v>
      </c>
      <c r="L1328" s="623">
        <v>576</v>
      </c>
      <c r="M1328" s="601" t="s">
        <v>2510</v>
      </c>
      <c r="N1328" s="601">
        <v>0</v>
      </c>
      <c r="O1328" s="601" t="s">
        <v>6322</v>
      </c>
      <c r="P1328" s="660">
        <v>1</v>
      </c>
      <c r="U1328" s="660">
        <v>1</v>
      </c>
      <c r="V1328" s="660">
        <v>0</v>
      </c>
      <c r="W1328" s="660">
        <v>0</v>
      </c>
      <c r="X1328" s="623">
        <v>0</v>
      </c>
      <c r="Z1328" s="660">
        <v>0</v>
      </c>
      <c r="AF1328" s="660" t="str">
        <f>"title("&amp;C1328&amp;")
body(hotyellow_3(任务进程:)newline()
   有一份很重要的物品在hot(桃源圣地)的goto(60046,"&amp;P1328&amp;")那里。请去把物品带来给我吧！
blankline()
   space()space()space()hot2(任务完成后,千万不要忘记向goto(576,2)汇报哦！))"</f>
        <v>title([历练]取物)
body(hotyellow_3(任务进程:)newline()
   有一份很重要的物品在hot(桃源圣地)的goto(60046,1)那里。请去把物品带来给我吧！
blankline()
   space()space()space()hot2(任务完成后,千万不要忘记向goto(576,2)汇报哦！))</v>
      </c>
      <c r="AG1328" s="660" t="s">
        <v>2514</v>
      </c>
      <c r="AH1328" s="660" t="s">
        <v>114</v>
      </c>
      <c r="AI1328" s="660" t="s">
        <v>110</v>
      </c>
      <c r="AJ1328" s="660" t="s">
        <v>7465</v>
      </c>
      <c r="AK1328" s="660" t="s">
        <v>2515</v>
      </c>
      <c r="AL1328" s="661">
        <v>2</v>
      </c>
      <c r="AM1328" s="660" t="s">
        <v>8950</v>
      </c>
      <c r="AP1328" s="660">
        <v>0</v>
      </c>
      <c r="AQ1328" s="660">
        <v>0</v>
      </c>
      <c r="AR1328" s="50">
        <v>1</v>
      </c>
      <c r="AS1328" s="660">
        <v>0</v>
      </c>
      <c r="AT1328" s="660">
        <v>0</v>
      </c>
      <c r="AU1328" s="226">
        <v>0</v>
      </c>
      <c r="AV1328" s="17">
        <f t="shared" si="172"/>
        <v>0</v>
      </c>
      <c r="AW1328" s="653" t="str">
        <f t="shared" si="171"/>
        <v>{s_taskTalk,{576,0}}</v>
      </c>
    </row>
    <row r="1329" spans="1:49" s="660" customFormat="1" ht="84" x14ac:dyDescent="0.15">
      <c r="A1329" s="660">
        <v>21712</v>
      </c>
      <c r="C1329" s="660" t="s">
        <v>6351</v>
      </c>
      <c r="D1329" s="660">
        <v>4</v>
      </c>
      <c r="E1329" s="660">
        <v>0</v>
      </c>
      <c r="F1329" s="629">
        <v>2</v>
      </c>
      <c r="G1329" s="661">
        <v>200</v>
      </c>
      <c r="H1329" s="660">
        <v>200</v>
      </c>
      <c r="I1329" s="17">
        <v>0</v>
      </c>
      <c r="J1329" s="661">
        <v>0</v>
      </c>
      <c r="K1329" s="660">
        <v>0</v>
      </c>
      <c r="L1329" s="623">
        <v>576</v>
      </c>
      <c r="M1329" s="660" t="s">
        <v>2510</v>
      </c>
      <c r="N1329" s="601">
        <v>0</v>
      </c>
      <c r="O1329" s="660" t="s">
        <v>5232</v>
      </c>
      <c r="P1329" s="660">
        <v>7</v>
      </c>
      <c r="U1329" s="660">
        <v>1</v>
      </c>
      <c r="V1329" s="660">
        <v>0</v>
      </c>
      <c r="W1329" s="660">
        <v>0</v>
      </c>
      <c r="X1329" s="623">
        <v>0</v>
      </c>
      <c r="Z1329" s="660">
        <v>0</v>
      </c>
      <c r="AF1329" s="660" t="str">
        <f>"title("&amp;C1329&amp;")
body(hotyellow_3(任务进程:)newline()
   有一份很重要的物品在hot(凤城)的goto("&amp;N1329&amp;","&amp;P1329&amp;")那里。请去把物品带来给我吧！
blankline()
   space()space()space()hot2(任务完成后,千万不要忘记向goto(576,2)汇报哦！))"</f>
        <v>title([历练]取物)
body(hotyellow_3(任务进程:)newline()
   有一份很重要的物品在hot(凤城)的goto(0,7)那里。请去把物品带来给我吧！
blankline()
   space()space()space()hot2(任务完成后,千万不要忘记向goto(576,2)汇报哦！))</v>
      </c>
      <c r="AG1329" s="660" t="s">
        <v>2514</v>
      </c>
      <c r="AH1329" s="660" t="s">
        <v>114</v>
      </c>
      <c r="AI1329" s="660" t="s">
        <v>110</v>
      </c>
      <c r="AJ1329" s="660" t="s">
        <v>7465</v>
      </c>
      <c r="AK1329" s="660" t="s">
        <v>2515</v>
      </c>
      <c r="AL1329" s="661">
        <v>2</v>
      </c>
      <c r="AP1329" s="660">
        <v>0</v>
      </c>
      <c r="AQ1329" s="660">
        <v>0</v>
      </c>
      <c r="AR1329" s="50">
        <v>1</v>
      </c>
      <c r="AS1329" s="660">
        <v>0</v>
      </c>
      <c r="AT1329" s="660">
        <v>0</v>
      </c>
      <c r="AU1329" s="226">
        <v>0</v>
      </c>
      <c r="AV1329" s="17">
        <f t="shared" si="172"/>
        <v>0</v>
      </c>
      <c r="AW1329" s="653" t="str">
        <f t="shared" si="171"/>
        <v>{s_taskTalk,{576,0}}</v>
      </c>
    </row>
    <row r="1330" spans="1:49" s="660" customFormat="1" ht="84" x14ac:dyDescent="0.15">
      <c r="A1330" s="660">
        <v>21713</v>
      </c>
      <c r="C1330" s="660" t="s">
        <v>6351</v>
      </c>
      <c r="D1330" s="660">
        <v>4</v>
      </c>
      <c r="E1330" s="660">
        <v>0</v>
      </c>
      <c r="F1330" s="629">
        <v>2</v>
      </c>
      <c r="G1330" s="661">
        <v>200</v>
      </c>
      <c r="H1330" s="660">
        <v>200</v>
      </c>
      <c r="I1330" s="17">
        <v>0</v>
      </c>
      <c r="J1330" s="661">
        <v>0</v>
      </c>
      <c r="K1330" s="660">
        <v>0</v>
      </c>
      <c r="L1330" s="623">
        <v>576</v>
      </c>
      <c r="M1330" s="660" t="s">
        <v>2510</v>
      </c>
      <c r="N1330" s="601">
        <v>0</v>
      </c>
      <c r="O1330" s="660" t="s">
        <v>5233</v>
      </c>
      <c r="P1330" s="660">
        <v>7</v>
      </c>
      <c r="U1330" s="660">
        <v>1</v>
      </c>
      <c r="V1330" s="660">
        <v>0</v>
      </c>
      <c r="W1330" s="660">
        <v>0</v>
      </c>
      <c r="X1330" s="623">
        <v>0</v>
      </c>
      <c r="Z1330" s="660">
        <v>0</v>
      </c>
      <c r="AF1330" s="660" t="str">
        <f t="shared" ref="AF1330:AF1333" si="175">"title("&amp;C1330&amp;")
body(hotyellow_3(任务进程:)newline()
   有一份很重要的物品在hot(凤城)的goto("&amp;N1330&amp;","&amp;P1330&amp;")那里。请去把物品带来给我吧！
blankline()
   space()space()space()hot2(任务完成后,千万不要忘记向goto(576,2)汇报哦！))"</f>
        <v>title([历练]取物)
body(hotyellow_3(任务进程:)newline()
   有一份很重要的物品在hot(凤城)的goto(0,7)那里。请去把物品带来给我吧！
blankline()
   space()space()space()hot2(任务完成后,千万不要忘记向goto(576,2)汇报哦！))</v>
      </c>
      <c r="AG1330" s="660" t="s">
        <v>2514</v>
      </c>
      <c r="AH1330" s="660" t="s">
        <v>114</v>
      </c>
      <c r="AI1330" s="660" t="s">
        <v>110</v>
      </c>
      <c r="AJ1330" s="660" t="s">
        <v>7465</v>
      </c>
      <c r="AK1330" s="660" t="s">
        <v>2515</v>
      </c>
      <c r="AL1330" s="661">
        <v>2</v>
      </c>
      <c r="AP1330" s="660">
        <v>0</v>
      </c>
      <c r="AQ1330" s="660">
        <v>0</v>
      </c>
      <c r="AR1330" s="50">
        <v>1</v>
      </c>
      <c r="AS1330" s="660">
        <v>0</v>
      </c>
      <c r="AT1330" s="660">
        <v>0</v>
      </c>
      <c r="AU1330" s="226">
        <v>0</v>
      </c>
      <c r="AV1330" s="17">
        <f t="shared" si="172"/>
        <v>0</v>
      </c>
      <c r="AW1330" s="653" t="str">
        <f t="shared" si="171"/>
        <v>{s_taskTalk,{576,0}}</v>
      </c>
    </row>
    <row r="1331" spans="1:49" s="660" customFormat="1" ht="84" x14ac:dyDescent="0.15">
      <c r="A1331" s="660">
        <v>21714</v>
      </c>
      <c r="C1331" s="660" t="s">
        <v>6351</v>
      </c>
      <c r="D1331" s="660">
        <v>4</v>
      </c>
      <c r="E1331" s="660">
        <v>0</v>
      </c>
      <c r="F1331" s="629">
        <v>2</v>
      </c>
      <c r="G1331" s="661">
        <v>200</v>
      </c>
      <c r="H1331" s="660">
        <v>200</v>
      </c>
      <c r="I1331" s="17">
        <v>0</v>
      </c>
      <c r="J1331" s="661">
        <v>0</v>
      </c>
      <c r="K1331" s="660">
        <v>0</v>
      </c>
      <c r="L1331" s="623">
        <v>576</v>
      </c>
      <c r="M1331" s="660" t="s">
        <v>2510</v>
      </c>
      <c r="N1331" s="601">
        <v>0</v>
      </c>
      <c r="O1331" s="660" t="s">
        <v>5234</v>
      </c>
      <c r="P1331" s="660">
        <v>7</v>
      </c>
      <c r="U1331" s="660">
        <v>1</v>
      </c>
      <c r="V1331" s="660">
        <v>0</v>
      </c>
      <c r="W1331" s="660">
        <v>0</v>
      </c>
      <c r="X1331" s="623">
        <v>0</v>
      </c>
      <c r="Z1331" s="660">
        <v>0</v>
      </c>
      <c r="AF1331" s="660" t="str">
        <f t="shared" si="175"/>
        <v>title([历练]取物)
body(hotyellow_3(任务进程:)newline()
   有一份很重要的物品在hot(凤城)的goto(0,7)那里。请去把物品带来给我吧！
blankline()
   space()space()space()hot2(任务完成后,千万不要忘记向goto(576,2)汇报哦！))</v>
      </c>
      <c r="AG1331" s="660" t="s">
        <v>2514</v>
      </c>
      <c r="AH1331" s="660" t="s">
        <v>114</v>
      </c>
      <c r="AI1331" s="660" t="s">
        <v>110</v>
      </c>
      <c r="AJ1331" s="660" t="s">
        <v>7465</v>
      </c>
      <c r="AK1331" s="660" t="s">
        <v>2515</v>
      </c>
      <c r="AL1331" s="661">
        <v>2</v>
      </c>
      <c r="AP1331" s="660">
        <v>0</v>
      </c>
      <c r="AQ1331" s="660">
        <v>0</v>
      </c>
      <c r="AR1331" s="50">
        <v>1</v>
      </c>
      <c r="AS1331" s="660">
        <v>0</v>
      </c>
      <c r="AT1331" s="660">
        <v>0</v>
      </c>
      <c r="AU1331" s="226">
        <v>0</v>
      </c>
      <c r="AV1331" s="17">
        <f t="shared" si="172"/>
        <v>0</v>
      </c>
      <c r="AW1331" s="653" t="str">
        <f t="shared" si="171"/>
        <v>{s_taskTalk,{576,0}}</v>
      </c>
    </row>
    <row r="1332" spans="1:49" s="660" customFormat="1" ht="84" x14ac:dyDescent="0.15">
      <c r="A1332" s="660">
        <v>21715</v>
      </c>
      <c r="C1332" s="660" t="s">
        <v>6351</v>
      </c>
      <c r="D1332" s="660">
        <v>4</v>
      </c>
      <c r="E1332" s="660">
        <v>0</v>
      </c>
      <c r="F1332" s="629">
        <v>2</v>
      </c>
      <c r="G1332" s="661">
        <v>200</v>
      </c>
      <c r="H1332" s="660">
        <v>200</v>
      </c>
      <c r="I1332" s="17">
        <v>0</v>
      </c>
      <c r="J1332" s="661">
        <v>0</v>
      </c>
      <c r="K1332" s="660">
        <v>0</v>
      </c>
      <c r="L1332" s="623">
        <v>576</v>
      </c>
      <c r="M1332" s="660" t="s">
        <v>2510</v>
      </c>
      <c r="N1332" s="601">
        <v>0</v>
      </c>
      <c r="O1332" s="660" t="s">
        <v>5235</v>
      </c>
      <c r="P1332" s="660">
        <v>7</v>
      </c>
      <c r="U1332" s="660">
        <v>1</v>
      </c>
      <c r="V1332" s="660">
        <v>0</v>
      </c>
      <c r="W1332" s="660">
        <v>0</v>
      </c>
      <c r="X1332" s="623">
        <v>0</v>
      </c>
      <c r="Z1332" s="660">
        <v>0</v>
      </c>
      <c r="AF1332" s="660" t="str">
        <f t="shared" si="175"/>
        <v>title([历练]取物)
body(hotyellow_3(任务进程:)newline()
   有一份很重要的物品在hot(凤城)的goto(0,7)那里。请去把物品带来给我吧！
blankline()
   space()space()space()hot2(任务完成后,千万不要忘记向goto(576,2)汇报哦！))</v>
      </c>
      <c r="AG1332" s="660" t="s">
        <v>2514</v>
      </c>
      <c r="AH1332" s="660" t="s">
        <v>114</v>
      </c>
      <c r="AI1332" s="660" t="s">
        <v>110</v>
      </c>
      <c r="AJ1332" s="660" t="s">
        <v>7465</v>
      </c>
      <c r="AK1332" s="660" t="s">
        <v>2515</v>
      </c>
      <c r="AL1332" s="661">
        <v>2</v>
      </c>
      <c r="AP1332" s="660">
        <v>0</v>
      </c>
      <c r="AQ1332" s="660">
        <v>0</v>
      </c>
      <c r="AR1332" s="50">
        <v>1</v>
      </c>
      <c r="AS1332" s="660">
        <v>0</v>
      </c>
      <c r="AT1332" s="660">
        <v>0</v>
      </c>
      <c r="AU1332" s="226">
        <v>0</v>
      </c>
      <c r="AV1332" s="17">
        <f t="shared" si="172"/>
        <v>0</v>
      </c>
      <c r="AW1332" s="653" t="str">
        <f t="shared" si="171"/>
        <v>{s_taskTalk,{576,0}}</v>
      </c>
    </row>
    <row r="1333" spans="1:49" s="660" customFormat="1" ht="84" x14ac:dyDescent="0.15">
      <c r="A1333" s="660">
        <v>21716</v>
      </c>
      <c r="C1333" s="660" t="s">
        <v>6351</v>
      </c>
      <c r="D1333" s="660">
        <v>4</v>
      </c>
      <c r="E1333" s="660">
        <v>0</v>
      </c>
      <c r="F1333" s="629">
        <v>2</v>
      </c>
      <c r="G1333" s="661">
        <v>200</v>
      </c>
      <c r="H1333" s="660">
        <v>200</v>
      </c>
      <c r="I1333" s="17">
        <v>0</v>
      </c>
      <c r="J1333" s="661">
        <v>0</v>
      </c>
      <c r="K1333" s="660">
        <v>0</v>
      </c>
      <c r="L1333" s="623">
        <v>576</v>
      </c>
      <c r="M1333" s="660" t="s">
        <v>2510</v>
      </c>
      <c r="N1333" s="601">
        <v>0</v>
      </c>
      <c r="O1333" s="660" t="s">
        <v>5236</v>
      </c>
      <c r="P1333" s="660">
        <v>7</v>
      </c>
      <c r="U1333" s="660">
        <v>1</v>
      </c>
      <c r="V1333" s="660">
        <v>0</v>
      </c>
      <c r="W1333" s="660">
        <v>0</v>
      </c>
      <c r="X1333" s="623">
        <v>0</v>
      </c>
      <c r="Z1333" s="660">
        <v>0</v>
      </c>
      <c r="AF1333" s="660" t="str">
        <f t="shared" si="175"/>
        <v>title([历练]取物)
body(hotyellow_3(任务进程:)newline()
   有一份很重要的物品在hot(凤城)的goto(0,7)那里。请去把物品带来给我吧！
blankline()
   space()space()space()hot2(任务完成后,千万不要忘记向goto(576,2)汇报哦！))</v>
      </c>
      <c r="AG1333" s="660" t="s">
        <v>2514</v>
      </c>
      <c r="AH1333" s="660" t="s">
        <v>114</v>
      </c>
      <c r="AI1333" s="660" t="s">
        <v>110</v>
      </c>
      <c r="AJ1333" s="660" t="s">
        <v>7465</v>
      </c>
      <c r="AK1333" s="660" t="s">
        <v>2515</v>
      </c>
      <c r="AL1333" s="661">
        <v>2</v>
      </c>
      <c r="AP1333" s="660">
        <v>0</v>
      </c>
      <c r="AQ1333" s="660">
        <v>0</v>
      </c>
      <c r="AR1333" s="50">
        <v>1</v>
      </c>
      <c r="AS1333" s="660">
        <v>0</v>
      </c>
      <c r="AT1333" s="660">
        <v>0</v>
      </c>
      <c r="AU1333" s="226">
        <v>0</v>
      </c>
      <c r="AV1333" s="17">
        <f t="shared" si="172"/>
        <v>0</v>
      </c>
      <c r="AW1333" s="653" t="str">
        <f t="shared" si="171"/>
        <v>{s_taskTalk,{576,0}}</v>
      </c>
    </row>
    <row r="1334" spans="1:49" s="660" customFormat="1" ht="84" x14ac:dyDescent="0.15">
      <c r="A1334" s="660">
        <v>21717</v>
      </c>
      <c r="C1334" s="660" t="s">
        <v>6351</v>
      </c>
      <c r="D1334" s="660">
        <v>4</v>
      </c>
      <c r="E1334" s="660">
        <v>0</v>
      </c>
      <c r="F1334" s="629">
        <v>2</v>
      </c>
      <c r="G1334" s="661">
        <v>61</v>
      </c>
      <c r="H1334" s="660">
        <v>200</v>
      </c>
      <c r="I1334" s="17">
        <v>0</v>
      </c>
      <c r="J1334" s="661">
        <v>0</v>
      </c>
      <c r="K1334" s="660">
        <v>0</v>
      </c>
      <c r="L1334" s="623">
        <v>576</v>
      </c>
      <c r="M1334" s="660" t="s">
        <v>2510</v>
      </c>
      <c r="N1334" s="601">
        <v>0</v>
      </c>
      <c r="O1334" s="601" t="s">
        <v>6323</v>
      </c>
      <c r="P1334" s="660">
        <v>5</v>
      </c>
      <c r="U1334" s="660">
        <v>1</v>
      </c>
      <c r="V1334" s="660">
        <v>0</v>
      </c>
      <c r="W1334" s="660">
        <v>0</v>
      </c>
      <c r="X1334" s="623">
        <v>0</v>
      </c>
      <c r="Z1334" s="660">
        <v>0</v>
      </c>
      <c r="AF1334" s="660" t="str">
        <f>"title("&amp;C1334&amp;")
body(hotyellow_3(任务进程:)newline()
   有一份很重要的物品在hot(王城)的goto(540,"&amp;P1334&amp;")那里。请去把物品带来给我吧！
blankline()
   space()space()space()hot2(任务完成后,千万不要忘记向goto(576,2)汇报哦！))"</f>
        <v>title([历练]取物)
body(hotyellow_3(任务进程:)newline()
   有一份很重要的物品在hot(王城)的goto(540,5)那里。请去把物品带来给我吧！
blankline()
   space()space()space()hot2(任务完成后,千万不要忘记向goto(576,2)汇报哦！))</v>
      </c>
      <c r="AG1334" s="660" t="s">
        <v>2514</v>
      </c>
      <c r="AH1334" s="660" t="s">
        <v>114</v>
      </c>
      <c r="AI1334" s="660" t="s">
        <v>110</v>
      </c>
      <c r="AJ1334" s="660" t="s">
        <v>7465</v>
      </c>
      <c r="AK1334" s="660" t="s">
        <v>2515</v>
      </c>
      <c r="AL1334" s="661">
        <v>2</v>
      </c>
      <c r="AM1334" s="660" t="s">
        <v>8949</v>
      </c>
      <c r="AP1334" s="660">
        <v>0</v>
      </c>
      <c r="AQ1334" s="660">
        <v>0</v>
      </c>
      <c r="AR1334" s="50">
        <v>1</v>
      </c>
      <c r="AS1334" s="660">
        <v>0</v>
      </c>
      <c r="AT1334" s="660">
        <v>0</v>
      </c>
      <c r="AU1334" s="226">
        <v>0</v>
      </c>
      <c r="AV1334" s="17">
        <f t="shared" si="172"/>
        <v>0</v>
      </c>
      <c r="AW1334" s="653" t="str">
        <f t="shared" ref="AW1334:AW1336" si="176">"{s_taskTalk,{"&amp;L1334&amp;","&amp;N1334&amp;"}}"</f>
        <v>{s_taskTalk,{576,0}}</v>
      </c>
    </row>
    <row r="1335" spans="1:49" s="660" customFormat="1" ht="84" x14ac:dyDescent="0.15">
      <c r="A1335" s="660">
        <v>21718</v>
      </c>
      <c r="C1335" s="660" t="s">
        <v>6351</v>
      </c>
      <c r="D1335" s="660">
        <v>4</v>
      </c>
      <c r="E1335" s="660">
        <v>0</v>
      </c>
      <c r="F1335" s="629">
        <v>2</v>
      </c>
      <c r="G1335" s="661">
        <v>61</v>
      </c>
      <c r="H1335" s="660">
        <v>200</v>
      </c>
      <c r="I1335" s="17">
        <v>0</v>
      </c>
      <c r="J1335" s="661">
        <v>0</v>
      </c>
      <c r="K1335" s="660">
        <v>0</v>
      </c>
      <c r="L1335" s="623">
        <v>576</v>
      </c>
      <c r="M1335" s="660" t="s">
        <v>2510</v>
      </c>
      <c r="N1335" s="601">
        <v>0</v>
      </c>
      <c r="O1335" s="601" t="s">
        <v>6324</v>
      </c>
      <c r="P1335" s="660">
        <v>5</v>
      </c>
      <c r="U1335" s="660">
        <v>1</v>
      </c>
      <c r="V1335" s="660">
        <v>0</v>
      </c>
      <c r="W1335" s="660">
        <v>0</v>
      </c>
      <c r="X1335" s="623">
        <v>0</v>
      </c>
      <c r="Z1335" s="660">
        <v>0</v>
      </c>
      <c r="AF1335" s="660" t="str">
        <f>"title("&amp;C1335&amp;")
body(hotyellow_3(任务进程:)newline()
   有一份很重要的物品在hot(王城)的goto(531,"&amp;P1335&amp;")那里。请去把物品带来给我吧！
blankline()
   space()space()space()hot2(任务完成后,千万不要忘记向goto(576,2)汇报哦！))"</f>
        <v>title([历练]取物)
body(hotyellow_3(任务进程:)newline()
   有一份很重要的物品在hot(王城)的goto(531,5)那里。请去把物品带来给我吧！
blankline()
   space()space()space()hot2(任务完成后,千万不要忘记向goto(576,2)汇报哦！))</v>
      </c>
      <c r="AG1335" s="660" t="s">
        <v>2514</v>
      </c>
      <c r="AH1335" s="660" t="s">
        <v>114</v>
      </c>
      <c r="AI1335" s="660" t="s">
        <v>110</v>
      </c>
      <c r="AJ1335" s="660" t="s">
        <v>7465</v>
      </c>
      <c r="AK1335" s="660" t="s">
        <v>2515</v>
      </c>
      <c r="AL1335" s="661">
        <v>2</v>
      </c>
      <c r="AM1335" s="660" t="s">
        <v>8948</v>
      </c>
      <c r="AP1335" s="660">
        <v>0</v>
      </c>
      <c r="AQ1335" s="660">
        <v>0</v>
      </c>
      <c r="AR1335" s="50">
        <v>1</v>
      </c>
      <c r="AS1335" s="660">
        <v>0</v>
      </c>
      <c r="AT1335" s="660">
        <v>0</v>
      </c>
      <c r="AU1335" s="226">
        <v>0</v>
      </c>
      <c r="AV1335" s="17">
        <f t="shared" si="172"/>
        <v>0</v>
      </c>
      <c r="AW1335" s="653" t="str">
        <f t="shared" si="176"/>
        <v>{s_taskTalk,{576,0}}</v>
      </c>
    </row>
    <row r="1336" spans="1:49" s="660" customFormat="1" ht="84" x14ac:dyDescent="0.15">
      <c r="A1336" s="660">
        <v>21719</v>
      </c>
      <c r="C1336" s="660" t="s">
        <v>6351</v>
      </c>
      <c r="D1336" s="660">
        <v>4</v>
      </c>
      <c r="E1336" s="660">
        <v>0</v>
      </c>
      <c r="F1336" s="629">
        <v>2</v>
      </c>
      <c r="G1336" s="661">
        <v>61</v>
      </c>
      <c r="H1336" s="660">
        <v>200</v>
      </c>
      <c r="I1336" s="17">
        <v>0</v>
      </c>
      <c r="J1336" s="661">
        <v>0</v>
      </c>
      <c r="K1336" s="660">
        <v>0</v>
      </c>
      <c r="L1336" s="623">
        <v>576</v>
      </c>
      <c r="M1336" s="660" t="s">
        <v>2510</v>
      </c>
      <c r="N1336" s="601">
        <v>0</v>
      </c>
      <c r="O1336" s="601" t="s">
        <v>6325</v>
      </c>
      <c r="P1336" s="660">
        <v>5</v>
      </c>
      <c r="U1336" s="660">
        <v>1</v>
      </c>
      <c r="V1336" s="660">
        <v>0</v>
      </c>
      <c r="W1336" s="660">
        <v>0</v>
      </c>
      <c r="X1336" s="623">
        <v>0</v>
      </c>
      <c r="Z1336" s="660">
        <v>0</v>
      </c>
      <c r="AF1336" s="660" t="str">
        <f>"title("&amp;C1336&amp;")
body(hotyellow_3(任务进程:)newline()
   有一份很重要的物品在hot(王城)的goto(539,"&amp;P1336&amp;")那里。请去把物品带来给我吧！
blankline()
   space()space()space()hot2(任务完成后,千万不要忘记向goto(576,2)汇报哦！))"</f>
        <v>title([历练]取物)
body(hotyellow_3(任务进程:)newline()
   有一份很重要的物品在hot(王城)的goto(539,5)那里。请去把物品带来给我吧！
blankline()
   space()space()space()hot2(任务完成后,千万不要忘记向goto(576,2)汇报哦！))</v>
      </c>
      <c r="AG1336" s="660" t="s">
        <v>2514</v>
      </c>
      <c r="AH1336" s="660" t="s">
        <v>114</v>
      </c>
      <c r="AI1336" s="660" t="s">
        <v>110</v>
      </c>
      <c r="AJ1336" s="660" t="s">
        <v>7465</v>
      </c>
      <c r="AK1336" s="660" t="s">
        <v>2515</v>
      </c>
      <c r="AL1336" s="661">
        <v>2</v>
      </c>
      <c r="AM1336" s="660" t="s">
        <v>8947</v>
      </c>
      <c r="AP1336" s="660">
        <v>0</v>
      </c>
      <c r="AQ1336" s="660">
        <v>0</v>
      </c>
      <c r="AR1336" s="50">
        <v>1</v>
      </c>
      <c r="AS1336" s="660">
        <v>0</v>
      </c>
      <c r="AT1336" s="660">
        <v>0</v>
      </c>
      <c r="AU1336" s="226">
        <v>0</v>
      </c>
      <c r="AV1336" s="17">
        <f t="shared" si="172"/>
        <v>0</v>
      </c>
      <c r="AW1336" s="653" t="str">
        <f t="shared" si="176"/>
        <v>{s_taskTalk,{576,0}}</v>
      </c>
    </row>
    <row r="1337" spans="1:49" s="668" customFormat="1" ht="96" x14ac:dyDescent="0.15">
      <c r="A1337" s="662">
        <v>21801</v>
      </c>
      <c r="B1337" s="58"/>
      <c r="C1337" s="58" t="s">
        <v>6352</v>
      </c>
      <c r="D1337" s="58">
        <v>4</v>
      </c>
      <c r="E1337" s="58">
        <v>0</v>
      </c>
      <c r="F1337" s="629">
        <v>2</v>
      </c>
      <c r="G1337" s="663">
        <v>21</v>
      </c>
      <c r="H1337" s="58">
        <v>35</v>
      </c>
      <c r="I1337" s="17">
        <v>0</v>
      </c>
      <c r="J1337" s="663">
        <v>0</v>
      </c>
      <c r="K1337" s="58">
        <v>0</v>
      </c>
      <c r="L1337" s="623">
        <v>576</v>
      </c>
      <c r="M1337" s="58" t="s">
        <v>2510</v>
      </c>
      <c r="N1337" s="623">
        <v>576</v>
      </c>
      <c r="O1337" s="58" t="s">
        <v>5237</v>
      </c>
      <c r="P1337" s="58">
        <v>2</v>
      </c>
      <c r="Q1337" s="58">
        <v>2016</v>
      </c>
      <c r="R1337" s="664"/>
      <c r="S1337" s="664"/>
      <c r="T1337" s="664"/>
      <c r="U1337" s="58">
        <v>1</v>
      </c>
      <c r="V1337" s="58">
        <v>0</v>
      </c>
      <c r="W1337" s="58">
        <v>0</v>
      </c>
      <c r="X1337" s="623">
        <v>0</v>
      </c>
      <c r="Y1337" s="58"/>
      <c r="Z1337" s="665">
        <v>0</v>
      </c>
      <c r="AA1337" s="58"/>
      <c r="AB1337" s="666"/>
      <c r="AC1337" s="666"/>
      <c r="AD1337" s="58"/>
      <c r="AE1337" s="667"/>
      <c r="AF1337" s="58" t="str">
        <f>"title("&amp;C1337&amp;")
body(hotyellow_3(任务进程:)newline()
   我这里有一批未开锋的刀具，你到hot(凤城)的goto("&amp;Q1337&amp;","&amp;P1337&amp;")，把他们打磨锋利。完成之后，告知goto("&amp;N1337&amp;","&amp;P1337&amp;")。
blankline()
   space()space()space()hot2(任务完成后,千万不要忘记向goto(576,2)汇报哦！))"</f>
        <v>title([历练]开锋)
body(hotyellow_3(任务进程:)newline()
   我这里有一批未开锋的刀具，你到hot(凤城)的goto(2016,2)，把他们打磨锋利。完成之后，告知goto(576,2)。
blankline()
   space()space()space()hot2(任务完成后,千万不要忘记向goto(576,2)汇报哦！))</v>
      </c>
      <c r="AG1337" s="58" t="s">
        <v>6326</v>
      </c>
      <c r="AH1337" s="58" t="s">
        <v>114</v>
      </c>
      <c r="AI1337" s="58" t="s">
        <v>110</v>
      </c>
      <c r="AJ1337" s="58" t="s">
        <v>7466</v>
      </c>
      <c r="AK1337" s="58" t="s">
        <v>6330</v>
      </c>
      <c r="AL1337" s="663">
        <v>2</v>
      </c>
      <c r="AM1337" s="667" t="str">
        <f>"&lt;p&gt;
&lt;n&gt;  使用：&lt;/n&gt;&lt;n&gt;&lt;/n&gt;&lt;goto id="""&amp;Q1337&amp;""" mapid="""&amp;P1337&amp;""" flagpoint=""1"" taskid="""&amp;A1337&amp;"""/&gt;
&lt;/p&gt;"</f>
        <v>&lt;p&gt;
&lt;n&gt;  使用：&lt;/n&gt;&lt;n&gt;&lt;/n&gt;&lt;goto id="2016" mapid="2" flagpoint="1" taskid="21801"/&gt;
&lt;/p&gt;</v>
      </c>
      <c r="AN1337" s="635" t="str">
        <f t="shared" ref="AN1337:AN1368" si="177">"&lt;n&gt;  交：&lt;/n&gt;
 &lt;n&gt; &lt;/n&gt;&lt;goto quick=1 id="""&amp;N1337&amp;""" mapid="""&amp;F1337&amp;""" flagpoint=""1"" taskid="""&amp;A1337&amp;"""/&gt;&lt;/p&gt;"</f>
        <v>&lt;n&gt;  交：&lt;/n&gt;
 &lt;n&gt; &lt;/n&gt;&lt;goto quick=1 id="576" mapid="2" flagpoint="1" taskid="21801"/&gt;&lt;/p&gt;</v>
      </c>
      <c r="AO1337" s="58"/>
      <c r="AP1337" s="58">
        <v>0</v>
      </c>
      <c r="AQ1337" s="58">
        <v>0</v>
      </c>
      <c r="AR1337" s="50">
        <v>1</v>
      </c>
      <c r="AS1337" s="58">
        <v>0</v>
      </c>
      <c r="AT1337" s="58">
        <v>0</v>
      </c>
      <c r="AU1337" s="226">
        <v>0</v>
      </c>
      <c r="AV1337" s="17">
        <f t="shared" si="172"/>
        <v>0</v>
      </c>
      <c r="AW1337" s="58" t="str">
        <f t="shared" ref="AW1337:AW1365" si="178">"{s_taskTalk,{"&amp;L1337&amp;","&amp;N1337&amp;"}}"</f>
        <v>{s_taskTalk,{576,576}}</v>
      </c>
    </row>
    <row r="1338" spans="1:49" s="668" customFormat="1" ht="84" x14ac:dyDescent="0.15">
      <c r="A1338" s="662">
        <v>21802</v>
      </c>
      <c r="B1338" s="58"/>
      <c r="C1338" s="58" t="s">
        <v>6353</v>
      </c>
      <c r="D1338" s="58">
        <v>4</v>
      </c>
      <c r="E1338" s="58">
        <v>0</v>
      </c>
      <c r="F1338" s="629">
        <v>2</v>
      </c>
      <c r="G1338" s="663">
        <v>40</v>
      </c>
      <c r="H1338" s="58">
        <v>50</v>
      </c>
      <c r="I1338" s="17">
        <v>0</v>
      </c>
      <c r="J1338" s="663">
        <v>0</v>
      </c>
      <c r="K1338" s="58">
        <v>0</v>
      </c>
      <c r="L1338" s="623">
        <v>576</v>
      </c>
      <c r="M1338" s="58" t="s">
        <v>2510</v>
      </c>
      <c r="N1338" s="623">
        <v>576</v>
      </c>
      <c r="O1338" s="58" t="s">
        <v>5237</v>
      </c>
      <c r="P1338" s="58">
        <v>6</v>
      </c>
      <c r="Q1338" s="58">
        <v>2027</v>
      </c>
      <c r="R1338" s="664"/>
      <c r="S1338" s="664"/>
      <c r="T1338" s="664"/>
      <c r="U1338" s="58">
        <v>1</v>
      </c>
      <c r="V1338" s="58">
        <v>0</v>
      </c>
      <c r="W1338" s="58">
        <v>0</v>
      </c>
      <c r="X1338" s="623">
        <v>0</v>
      </c>
      <c r="Y1338" s="58"/>
      <c r="Z1338" s="665">
        <v>0</v>
      </c>
      <c r="AA1338" s="58"/>
      <c r="AB1338" s="666"/>
      <c r="AC1338" s="666"/>
      <c r="AD1338" s="58"/>
      <c r="AE1338" s="667"/>
      <c r="AF1338" s="58" t="str">
        <f>"title("&amp;C1338&amp;")
body(hotyellow_3(任务进程:)newline()
   我这里有一批未开锋的刀具，请用它们砍伐hot(夷陵)的goto("&amp;Q1338&amp;","&amp;P1338&amp;")。完成之后，告知goto("&amp;N1338&amp;","&amp;P1338&amp;")。
blankline()
   space()space()space()hot2(任务完成后,千万不要忘记向goto(576,2)汇报哦！))"</f>
        <v>title([历练]砍柴)
body(hotyellow_3(任务进程:)newline()
   我这里有一批未开锋的刀具，请用它们砍伐hot(夷陵)的goto(2027,6)。完成之后，告知goto(576,6)。
blankline()
   space()space()space()hot2(任务完成后,千万不要忘记向goto(576,2)汇报哦！))</v>
      </c>
      <c r="AG1338" s="58" t="s">
        <v>6327</v>
      </c>
      <c r="AH1338" s="58" t="s">
        <v>114</v>
      </c>
      <c r="AI1338" s="58" t="s">
        <v>110</v>
      </c>
      <c r="AJ1338" s="58" t="s">
        <v>7467</v>
      </c>
      <c r="AK1338" s="58" t="s">
        <v>6331</v>
      </c>
      <c r="AL1338" s="663">
        <v>2</v>
      </c>
      <c r="AM1338" s="667" t="str">
        <f>"&lt;p&gt;
&lt;n&gt;  砍伐：&lt;/n&gt;&lt;n&gt;&lt;/n&gt;&lt;goto id="""&amp;Q1338&amp;""" mapid="""&amp;P1338&amp;""" flagpoint=""1"" taskid="""&amp;A1338&amp;"""/&gt;
&lt;/p&gt;"</f>
        <v>&lt;p&gt;
&lt;n&gt;  砍伐：&lt;/n&gt;&lt;n&gt;&lt;/n&gt;&lt;goto id="2027" mapid="6" flagpoint="1" taskid="21802"/&gt;
&lt;/p&gt;</v>
      </c>
      <c r="AN1338" s="635" t="str">
        <f t="shared" si="177"/>
        <v>&lt;n&gt;  交：&lt;/n&gt;
 &lt;n&gt; &lt;/n&gt;&lt;goto quick=1 id="576" mapid="2" flagpoint="1" taskid="21802"/&gt;&lt;/p&gt;</v>
      </c>
      <c r="AO1338" s="58"/>
      <c r="AP1338" s="58">
        <v>0</v>
      </c>
      <c r="AQ1338" s="58">
        <v>0</v>
      </c>
      <c r="AR1338" s="50">
        <v>1</v>
      </c>
      <c r="AS1338" s="58">
        <v>0</v>
      </c>
      <c r="AT1338" s="58">
        <v>0</v>
      </c>
      <c r="AU1338" s="226">
        <v>0</v>
      </c>
      <c r="AV1338" s="17">
        <f t="shared" ref="AV1338:AV1401" si="179">IF(D1338 = 1,1,0)</f>
        <v>0</v>
      </c>
      <c r="AW1338" s="58" t="str">
        <f t="shared" si="178"/>
        <v>{s_taskTalk,{576,576}}</v>
      </c>
    </row>
    <row r="1339" spans="1:49" s="668" customFormat="1" ht="84" x14ac:dyDescent="0.15">
      <c r="A1339" s="662">
        <v>21803</v>
      </c>
      <c r="B1339" s="58"/>
      <c r="C1339" s="58" t="s">
        <v>6354</v>
      </c>
      <c r="D1339" s="58">
        <v>4</v>
      </c>
      <c r="E1339" s="58">
        <v>0</v>
      </c>
      <c r="F1339" s="629">
        <v>2</v>
      </c>
      <c r="G1339" s="663">
        <v>51</v>
      </c>
      <c r="H1339" s="58">
        <v>60</v>
      </c>
      <c r="I1339" s="17">
        <v>0</v>
      </c>
      <c r="J1339" s="663">
        <v>0</v>
      </c>
      <c r="K1339" s="58">
        <v>0</v>
      </c>
      <c r="L1339" s="623">
        <v>576</v>
      </c>
      <c r="M1339" s="58" t="s">
        <v>2510</v>
      </c>
      <c r="N1339" s="623">
        <v>576</v>
      </c>
      <c r="O1339" s="58" t="s">
        <v>5237</v>
      </c>
      <c r="P1339" s="58">
        <v>4</v>
      </c>
      <c r="Q1339" s="58">
        <v>2036</v>
      </c>
      <c r="R1339" s="664"/>
      <c r="S1339" s="664"/>
      <c r="T1339" s="664"/>
      <c r="U1339" s="58">
        <v>1</v>
      </c>
      <c r="V1339" s="58">
        <v>0</v>
      </c>
      <c r="W1339" s="58">
        <v>0</v>
      </c>
      <c r="X1339" s="623">
        <v>0</v>
      </c>
      <c r="Y1339" s="58"/>
      <c r="Z1339" s="665">
        <v>0</v>
      </c>
      <c r="AA1339" s="58"/>
      <c r="AB1339" s="666"/>
      <c r="AC1339" s="666"/>
      <c r="AD1339" s="58"/>
      <c r="AE1339" s="667"/>
      <c r="AF1339" s="58" t="str">
        <f>"title("&amp;C1339&amp;")
body(hotyellow_3(任务进程:)newline()
   拿着这些防身器具，到hot(虎牢)的goto("&amp;Q1339&amp;","&amp;P1339&amp;")查看，并做标志。完成之后，告知goto("&amp;N1339&amp;","&amp;P1339&amp;")。
blankline()
   space()space()space()hot2(任务完成后,千万不要忘记向goto(576,2)汇报哦！))"</f>
        <v>title([历练]标志)
body(hotyellow_3(任务进程:)newline()
   拿着这些防身器具，到hot(虎牢)的goto(2036,4)查看，并做标志。完成之后，告知goto(576,4)。
blankline()
   space()space()space()hot2(任务完成后,千万不要忘记向goto(576,2)汇报哦！))</v>
      </c>
      <c r="AG1339" s="58" t="s">
        <v>6328</v>
      </c>
      <c r="AH1339" s="58" t="s">
        <v>114</v>
      </c>
      <c r="AI1339" s="58" t="s">
        <v>110</v>
      </c>
      <c r="AJ1339" s="58" t="s">
        <v>7468</v>
      </c>
      <c r="AK1339" s="58" t="s">
        <v>6332</v>
      </c>
      <c r="AL1339" s="663">
        <v>2</v>
      </c>
      <c r="AM1339" s="667" t="str">
        <f>"&lt;p&gt;
&lt;n&gt;  查探：&lt;/n&gt;&lt;n&gt;&lt;/n&gt;&lt;goto id="""&amp;Q1339&amp;""" mapid="""&amp;P1339&amp;""" flagpoint=""1"" taskid="""&amp;A1339&amp;"""/&gt;
&lt;/p&gt;"</f>
        <v>&lt;p&gt;
&lt;n&gt;  查探：&lt;/n&gt;&lt;n&gt;&lt;/n&gt;&lt;goto id="2036" mapid="4" flagpoint="1" taskid="21803"/&gt;
&lt;/p&gt;</v>
      </c>
      <c r="AN1339" s="635" t="str">
        <f t="shared" si="177"/>
        <v>&lt;n&gt;  交：&lt;/n&gt;
 &lt;n&gt; &lt;/n&gt;&lt;goto quick=1 id="576" mapid="2" flagpoint="1" taskid="21803"/&gt;&lt;/p&gt;</v>
      </c>
      <c r="AO1339" s="58"/>
      <c r="AP1339" s="58">
        <v>0</v>
      </c>
      <c r="AQ1339" s="58">
        <v>0</v>
      </c>
      <c r="AR1339" s="50">
        <v>1</v>
      </c>
      <c r="AS1339" s="58">
        <v>0</v>
      </c>
      <c r="AT1339" s="58">
        <v>0</v>
      </c>
      <c r="AU1339" s="226">
        <v>0</v>
      </c>
      <c r="AV1339" s="17">
        <f t="shared" si="179"/>
        <v>0</v>
      </c>
      <c r="AW1339" s="58" t="str">
        <f t="shared" si="178"/>
        <v>{s_taskTalk,{576,576}}</v>
      </c>
    </row>
    <row r="1340" spans="1:49" s="668" customFormat="1" ht="84" x14ac:dyDescent="0.15">
      <c r="A1340" s="662">
        <v>21804</v>
      </c>
      <c r="B1340" s="58"/>
      <c r="C1340" s="58" t="s">
        <v>6355</v>
      </c>
      <c r="D1340" s="58">
        <v>4</v>
      </c>
      <c r="E1340" s="58">
        <v>0</v>
      </c>
      <c r="F1340" s="629">
        <v>2</v>
      </c>
      <c r="G1340" s="663">
        <v>61</v>
      </c>
      <c r="H1340" s="58">
        <v>200</v>
      </c>
      <c r="I1340" s="17">
        <v>0</v>
      </c>
      <c r="J1340" s="663">
        <v>0</v>
      </c>
      <c r="K1340" s="58">
        <v>0</v>
      </c>
      <c r="L1340" s="623">
        <v>576</v>
      </c>
      <c r="M1340" s="58" t="s">
        <v>2510</v>
      </c>
      <c r="N1340" s="623">
        <v>576</v>
      </c>
      <c r="O1340" s="58" t="s">
        <v>5237</v>
      </c>
      <c r="P1340" s="58">
        <v>5</v>
      </c>
      <c r="Q1340" s="58">
        <v>2040</v>
      </c>
      <c r="R1340" s="664"/>
      <c r="S1340" s="664"/>
      <c r="T1340" s="664"/>
      <c r="U1340" s="58">
        <v>1</v>
      </c>
      <c r="V1340" s="58">
        <v>0</v>
      </c>
      <c r="W1340" s="58">
        <v>0</v>
      </c>
      <c r="X1340" s="623">
        <v>0</v>
      </c>
      <c r="Y1340" s="58"/>
      <c r="Z1340" s="665">
        <v>0</v>
      </c>
      <c r="AA1340" s="58"/>
      <c r="AB1340" s="666"/>
      <c r="AC1340" s="666"/>
      <c r="AD1340" s="58"/>
      <c r="AE1340" s="667"/>
      <c r="AF1340" s="58" t="str">
        <f>"title("&amp;C1340&amp;")
body(hotyellow_3(任务进程:)newline()
   我这里有一批未开锋的刀具，请用它们砍伐hot(王城)的goto("&amp;Q1340&amp;","&amp;P1340&amp;")。完成之后，告知goto("&amp;N1340&amp;","&amp;P1340&amp;")。
blankline()
   space()space()space()hot2(任务完成后,千万不要忘记向goto(576,2)汇报哦！))"</f>
        <v>title([历练]桃木)
body(hotyellow_3(任务进程:)newline()
   我这里有一批未开锋的刀具，请用它们砍伐hot(王城)的goto(2040,5)。完成之后，告知goto(576,5)。
blankline()
   space()space()space()hot2(任务完成后,千万不要忘记向goto(576,2)汇报哦！))</v>
      </c>
      <c r="AG1340" s="58" t="s">
        <v>6329</v>
      </c>
      <c r="AH1340" s="58" t="s">
        <v>114</v>
      </c>
      <c r="AI1340" s="58" t="s">
        <v>110</v>
      </c>
      <c r="AJ1340" s="58" t="s">
        <v>7469</v>
      </c>
      <c r="AK1340" s="58" t="s">
        <v>6333</v>
      </c>
      <c r="AL1340" s="663">
        <v>2</v>
      </c>
      <c r="AM1340" s="667" t="str">
        <f>"&lt;p&gt;
&lt;n&gt;  砍伐：&lt;/n&gt;&lt;n&gt;&lt;/n&gt;&lt;goto id="""&amp;Q1340&amp;""" mapid="""&amp;P1340&amp;""" flagpoint=""1"" taskid="""&amp;A1340&amp;"""/&gt;
&lt;/p&gt;"</f>
        <v>&lt;p&gt;
&lt;n&gt;  砍伐：&lt;/n&gt;&lt;n&gt;&lt;/n&gt;&lt;goto id="2040" mapid="5" flagpoint="1" taskid="21804"/&gt;
&lt;/p&gt;</v>
      </c>
      <c r="AN1340" s="635" t="str">
        <f t="shared" si="177"/>
        <v>&lt;n&gt;  交：&lt;/n&gt;
 &lt;n&gt; &lt;/n&gt;&lt;goto quick=1 id="576" mapid="2" flagpoint="1" taskid="21804"/&gt;&lt;/p&gt;</v>
      </c>
      <c r="AO1340" s="58"/>
      <c r="AP1340" s="58">
        <v>0</v>
      </c>
      <c r="AQ1340" s="58">
        <v>0</v>
      </c>
      <c r="AR1340" s="50">
        <v>1</v>
      </c>
      <c r="AS1340" s="58">
        <v>0</v>
      </c>
      <c r="AT1340" s="58">
        <v>0</v>
      </c>
      <c r="AU1340" s="226">
        <v>0</v>
      </c>
      <c r="AV1340" s="17">
        <f t="shared" si="179"/>
        <v>0</v>
      </c>
      <c r="AW1340" s="58" t="str">
        <f t="shared" si="178"/>
        <v>{s_taskTalk,{576,576}}</v>
      </c>
    </row>
    <row r="1341" spans="1:49" s="669" customFormat="1" ht="96" x14ac:dyDescent="0.15">
      <c r="A1341" s="669">
        <v>21901</v>
      </c>
      <c r="C1341" s="669" t="s">
        <v>6356</v>
      </c>
      <c r="D1341" s="669">
        <v>4</v>
      </c>
      <c r="E1341" s="669">
        <v>0</v>
      </c>
      <c r="F1341" s="629">
        <v>2</v>
      </c>
      <c r="G1341" s="670">
        <v>21</v>
      </c>
      <c r="H1341" s="669">
        <v>25</v>
      </c>
      <c r="I1341" s="17">
        <v>0</v>
      </c>
      <c r="J1341" s="670">
        <v>0</v>
      </c>
      <c r="K1341" s="669">
        <v>0</v>
      </c>
      <c r="L1341" s="623">
        <v>576</v>
      </c>
      <c r="M1341" s="669" t="s">
        <v>2510</v>
      </c>
      <c r="N1341" s="623">
        <v>0</v>
      </c>
      <c r="O1341" s="669" t="s">
        <v>5237</v>
      </c>
      <c r="P1341" s="669">
        <v>2</v>
      </c>
      <c r="S1341" s="671">
        <v>10003</v>
      </c>
      <c r="U1341" s="669">
        <v>1</v>
      </c>
      <c r="V1341" s="669">
        <v>0</v>
      </c>
      <c r="W1341" s="669">
        <v>0</v>
      </c>
      <c r="X1341" s="623">
        <v>0</v>
      </c>
      <c r="Z1341" s="669">
        <v>0</v>
      </c>
      <c r="AF1341" s="669" t="str">
        <f>"title("&amp;C1341&amp;")
body(hotyellow_3(任务进程:)newline()
      家族的资源遭到了goto("&amp;S1341&amp;","&amp;P1341&amp;")的袭击,被抢走了相当多的珍贵物资，去干掉这些家伙。快去将物品带给goto(576,2)吧！
blankline()
   space()space()space()hot2(任务完成后,千万不要忘记向goto(576,2)汇报哦！))"</f>
        <v>title([历练]夺回)
body(hotyellow_3(任务进程:)newline()
      家族的资源遭到了goto(10003,2)的袭击,被抢走了相当多的珍贵物资，去干掉这些家伙。快去将物品带给goto(576,2)吧！
blankline()
   space()space()space()hot2(任务完成后,千万不要忘记向goto(576,2)汇报哦！))</v>
      </c>
      <c r="AG1341" s="669" t="s">
        <v>2519</v>
      </c>
      <c r="AH1341" s="669" t="s">
        <v>114</v>
      </c>
      <c r="AI1341" s="669" t="s">
        <v>110</v>
      </c>
      <c r="AJ1341" s="669" t="s">
        <v>7470</v>
      </c>
      <c r="AK1341" s="669" t="s">
        <v>2523</v>
      </c>
      <c r="AL1341" s="670">
        <v>2</v>
      </c>
      <c r="AM1341" s="669" t="str">
        <f t="shared" ref="AM1341:AM1360" si="180">"&lt;p&gt;
&lt;n effect=2&gt;  击杀：&lt;/n&gt;
 &lt;n&gt; &lt;/n&gt;&lt;goto quick=1 id="""&amp;S1341&amp;""" mapid="""&amp;P1341&amp;""" flagpoint=""1"" taskid="""&amp;A1341&amp;""" /&gt;&lt;newline/&gt;
&lt;n effect=2&gt; 夺回"&amp;U1341&amp;"份丢失的货物&lt;/n&gt;
&lt;/p&gt;"</f>
        <v>&lt;p&gt;
&lt;n effect=2&gt;  击杀：&lt;/n&gt;
 &lt;n&gt; &lt;/n&gt;&lt;goto quick=1 id="10003" mapid="2" flagpoint="1" taskid="21901" /&gt;&lt;newline/&gt;
&lt;n effect=2&gt; 夺回1份丢失的货物&lt;/n&gt;
&lt;/p&gt;</v>
      </c>
      <c r="AN1341" s="635" t="s">
        <v>8995</v>
      </c>
      <c r="AP1341" s="669">
        <v>0</v>
      </c>
      <c r="AQ1341" s="669">
        <v>0</v>
      </c>
      <c r="AR1341" s="50">
        <v>1</v>
      </c>
      <c r="AS1341" s="669">
        <v>0</v>
      </c>
      <c r="AT1341" s="669">
        <v>0</v>
      </c>
      <c r="AU1341" s="226">
        <v>0</v>
      </c>
      <c r="AV1341" s="17">
        <f t="shared" si="179"/>
        <v>0</v>
      </c>
      <c r="AW1341" s="653" t="str">
        <f t="shared" si="178"/>
        <v>{s_taskTalk,{576,0}}</v>
      </c>
    </row>
    <row r="1342" spans="1:49" s="669" customFormat="1" ht="96" x14ac:dyDescent="0.15">
      <c r="A1342" s="669">
        <v>21902</v>
      </c>
      <c r="C1342" s="669" t="s">
        <v>6356</v>
      </c>
      <c r="D1342" s="669">
        <v>4</v>
      </c>
      <c r="E1342" s="669">
        <v>0</v>
      </c>
      <c r="F1342" s="629">
        <v>2</v>
      </c>
      <c r="G1342" s="670">
        <v>21</v>
      </c>
      <c r="H1342" s="669">
        <v>25</v>
      </c>
      <c r="I1342" s="17">
        <v>0</v>
      </c>
      <c r="J1342" s="670">
        <v>0</v>
      </c>
      <c r="K1342" s="669">
        <v>0</v>
      </c>
      <c r="L1342" s="623">
        <v>576</v>
      </c>
      <c r="M1342" s="669" t="s">
        <v>2510</v>
      </c>
      <c r="N1342" s="623">
        <v>0</v>
      </c>
      <c r="O1342" s="669" t="s">
        <v>5237</v>
      </c>
      <c r="P1342" s="669">
        <v>2</v>
      </c>
      <c r="S1342" s="671">
        <v>10004</v>
      </c>
      <c r="U1342" s="669">
        <v>1</v>
      </c>
      <c r="V1342" s="669">
        <v>0</v>
      </c>
      <c r="W1342" s="669">
        <v>0</v>
      </c>
      <c r="X1342" s="623">
        <v>0</v>
      </c>
      <c r="Z1342" s="669">
        <v>0</v>
      </c>
      <c r="AF1342" s="669" t="str">
        <f>"title("&amp;C1342&amp;")
body(hotyellow_3(任务进程:)newline()
      家族的资源遭到了goto("&amp;S1342&amp;","&amp;P1342&amp;")的袭击,被抢走了相当多的珍贵物资，去干掉这些家伙。快去将物品带给goto(576,2)吧！
blankline()
   space()space()space()hot2(任务完成后,千万不要忘记向goto(576,2)汇报哦！))"</f>
        <v>title([历练]夺回)
body(hotyellow_3(任务进程:)newline()
      家族的资源遭到了goto(10004,2)的袭击,被抢走了相当多的珍贵物资，去干掉这些家伙。快去将物品带给goto(576,2)吧！
blankline()
   space()space()space()hot2(任务完成后,千万不要忘记向goto(576,2)汇报哦！))</v>
      </c>
      <c r="AG1342" s="669" t="s">
        <v>2519</v>
      </c>
      <c r="AH1342" s="669" t="s">
        <v>114</v>
      </c>
      <c r="AI1342" s="669" t="s">
        <v>110</v>
      </c>
      <c r="AJ1342" s="669" t="s">
        <v>7470</v>
      </c>
      <c r="AK1342" s="669" t="s">
        <v>2523</v>
      </c>
      <c r="AL1342" s="670">
        <v>2</v>
      </c>
      <c r="AM1342" s="669" t="str">
        <f t="shared" si="180"/>
        <v>&lt;p&gt;
&lt;n effect=2&gt;  击杀：&lt;/n&gt;
 &lt;n&gt; &lt;/n&gt;&lt;goto quick=1 id="10004" mapid="2" flagpoint="1" taskid="21902" /&gt;&lt;newline/&gt;
&lt;n effect=2&gt; 夺回1份丢失的货物&lt;/n&gt;
&lt;/p&gt;</v>
      </c>
      <c r="AN1342" s="635" t="s">
        <v>8996</v>
      </c>
      <c r="AP1342" s="669">
        <v>0</v>
      </c>
      <c r="AQ1342" s="669">
        <v>0</v>
      </c>
      <c r="AR1342" s="50">
        <v>1</v>
      </c>
      <c r="AS1342" s="669">
        <v>0</v>
      </c>
      <c r="AT1342" s="669">
        <v>0</v>
      </c>
      <c r="AU1342" s="226">
        <v>0</v>
      </c>
      <c r="AV1342" s="17">
        <f t="shared" si="179"/>
        <v>0</v>
      </c>
      <c r="AW1342" s="653" t="str">
        <f t="shared" si="178"/>
        <v>{s_taskTalk,{576,0}}</v>
      </c>
    </row>
    <row r="1343" spans="1:49" s="669" customFormat="1" ht="96" x14ac:dyDescent="0.15">
      <c r="A1343" s="669">
        <v>21903</v>
      </c>
      <c r="C1343" s="669" t="s">
        <v>6356</v>
      </c>
      <c r="D1343" s="669">
        <v>4</v>
      </c>
      <c r="E1343" s="669">
        <v>0</v>
      </c>
      <c r="F1343" s="629">
        <v>2</v>
      </c>
      <c r="G1343" s="670">
        <v>26</v>
      </c>
      <c r="H1343" s="669">
        <v>31</v>
      </c>
      <c r="I1343" s="17">
        <v>0</v>
      </c>
      <c r="J1343" s="670">
        <v>0</v>
      </c>
      <c r="K1343" s="669">
        <v>0</v>
      </c>
      <c r="L1343" s="623">
        <v>576</v>
      </c>
      <c r="M1343" s="669" t="s">
        <v>2510</v>
      </c>
      <c r="N1343" s="623">
        <v>0</v>
      </c>
      <c r="O1343" s="669" t="s">
        <v>5237</v>
      </c>
      <c r="P1343" s="669">
        <v>2</v>
      </c>
      <c r="S1343" s="671">
        <v>10005</v>
      </c>
      <c r="U1343" s="669">
        <v>1</v>
      </c>
      <c r="V1343" s="669">
        <v>0</v>
      </c>
      <c r="W1343" s="669">
        <v>0</v>
      </c>
      <c r="X1343" s="623">
        <v>0</v>
      </c>
      <c r="Z1343" s="669">
        <v>0</v>
      </c>
      <c r="AF1343" s="669" t="str">
        <f>"title("&amp;C1343&amp;")
body(hotyellow_3(任务进程:)newline()
      家族的资源遭到了goto("&amp;S1343&amp;","&amp;P1343&amp;")的袭击,被抢走了相当多的珍贵物资，去干掉这些家伙。快去将物品带给goto(576,2)吧！
blankline()
   space()space()space()hot2(任务完成后,千万不要忘记向goto(576,2)汇报哦！))"</f>
        <v>title([历练]夺回)
body(hotyellow_3(任务进程:)newline()
      家族的资源遭到了goto(10005,2)的袭击,被抢走了相当多的珍贵物资，去干掉这些家伙。快去将物品带给goto(576,2)吧！
blankline()
   space()space()space()hot2(任务完成后,千万不要忘记向goto(576,2)汇报哦！))</v>
      </c>
      <c r="AG1343" s="669" t="s">
        <v>2519</v>
      </c>
      <c r="AH1343" s="669" t="s">
        <v>114</v>
      </c>
      <c r="AI1343" s="669" t="s">
        <v>110</v>
      </c>
      <c r="AJ1343" s="669" t="s">
        <v>7470</v>
      </c>
      <c r="AK1343" s="669" t="s">
        <v>2523</v>
      </c>
      <c r="AL1343" s="670">
        <v>2</v>
      </c>
      <c r="AM1343" s="669" t="str">
        <f t="shared" si="180"/>
        <v>&lt;p&gt;
&lt;n effect=2&gt;  击杀：&lt;/n&gt;
 &lt;n&gt; &lt;/n&gt;&lt;goto quick=1 id="10005" mapid="2" flagpoint="1" taskid="21903" /&gt;&lt;newline/&gt;
&lt;n effect=2&gt; 夺回1份丢失的货物&lt;/n&gt;
&lt;/p&gt;</v>
      </c>
      <c r="AN1343" s="635" t="s">
        <v>8997</v>
      </c>
      <c r="AP1343" s="669">
        <v>0</v>
      </c>
      <c r="AQ1343" s="669">
        <v>0</v>
      </c>
      <c r="AR1343" s="50">
        <v>1</v>
      </c>
      <c r="AS1343" s="669">
        <v>0</v>
      </c>
      <c r="AT1343" s="669">
        <v>0</v>
      </c>
      <c r="AU1343" s="226">
        <v>0</v>
      </c>
      <c r="AV1343" s="17">
        <f t="shared" si="179"/>
        <v>0</v>
      </c>
      <c r="AW1343" s="653" t="str">
        <f t="shared" si="178"/>
        <v>{s_taskTalk,{576,0}}</v>
      </c>
    </row>
    <row r="1344" spans="1:49" s="669" customFormat="1" ht="96" x14ac:dyDescent="0.15">
      <c r="A1344" s="669">
        <v>21904</v>
      </c>
      <c r="C1344" s="669" t="s">
        <v>6356</v>
      </c>
      <c r="D1344" s="669">
        <v>4</v>
      </c>
      <c r="E1344" s="669">
        <v>0</v>
      </c>
      <c r="F1344" s="629">
        <v>2</v>
      </c>
      <c r="G1344" s="670">
        <v>26</v>
      </c>
      <c r="H1344" s="669">
        <v>31</v>
      </c>
      <c r="I1344" s="17">
        <v>0</v>
      </c>
      <c r="J1344" s="670">
        <v>0</v>
      </c>
      <c r="K1344" s="669">
        <v>0</v>
      </c>
      <c r="L1344" s="623">
        <v>576</v>
      </c>
      <c r="M1344" s="669" t="s">
        <v>2510</v>
      </c>
      <c r="N1344" s="623">
        <v>0</v>
      </c>
      <c r="O1344" s="669" t="s">
        <v>5237</v>
      </c>
      <c r="P1344" s="669">
        <v>2</v>
      </c>
      <c r="S1344" s="671">
        <v>10006</v>
      </c>
      <c r="U1344" s="669">
        <v>1</v>
      </c>
      <c r="V1344" s="669">
        <v>0</v>
      </c>
      <c r="W1344" s="669">
        <v>0</v>
      </c>
      <c r="X1344" s="623">
        <v>0</v>
      </c>
      <c r="Z1344" s="669">
        <v>0</v>
      </c>
      <c r="AF1344" s="669" t="str">
        <f t="shared" ref="AF1344:AF1360" si="181">"title("&amp;C1344&amp;")
body(hotyellow_3(任务进程:)newline()
      家族的资源遭到了goto("&amp;S1344&amp;","&amp;P1344&amp;")的袭击,被抢走了相当多的珍贵物资，去干掉这些家伙。快去将物品带给goto(576,2)吧！
blankline()
   space()space()space()hot2(任务完成后,千万不要忘记向goto(576,2)汇报哦！))"</f>
        <v>title([历练]夺回)
body(hotyellow_3(任务进程:)newline()
      家族的资源遭到了goto(10006,2)的袭击,被抢走了相当多的珍贵物资，去干掉这些家伙。快去将物品带给goto(576,2)吧！
blankline()
   space()space()space()hot2(任务完成后,千万不要忘记向goto(576,2)汇报哦！))</v>
      </c>
      <c r="AG1344" s="669" t="s">
        <v>2519</v>
      </c>
      <c r="AH1344" s="669" t="s">
        <v>114</v>
      </c>
      <c r="AI1344" s="669" t="s">
        <v>110</v>
      </c>
      <c r="AJ1344" s="669" t="s">
        <v>7470</v>
      </c>
      <c r="AK1344" s="669" t="s">
        <v>2523</v>
      </c>
      <c r="AL1344" s="670">
        <v>2</v>
      </c>
      <c r="AM1344" s="669" t="str">
        <f t="shared" si="180"/>
        <v>&lt;p&gt;
&lt;n effect=2&gt;  击杀：&lt;/n&gt;
 &lt;n&gt; &lt;/n&gt;&lt;goto quick=1 id="10006" mapid="2" flagpoint="1" taskid="21904" /&gt;&lt;newline/&gt;
&lt;n effect=2&gt; 夺回1份丢失的货物&lt;/n&gt;
&lt;/p&gt;</v>
      </c>
      <c r="AN1344" s="635" t="s">
        <v>8998</v>
      </c>
      <c r="AP1344" s="669">
        <v>0</v>
      </c>
      <c r="AQ1344" s="669">
        <v>0</v>
      </c>
      <c r="AR1344" s="50">
        <v>1</v>
      </c>
      <c r="AS1344" s="669">
        <v>0</v>
      </c>
      <c r="AT1344" s="669">
        <v>0</v>
      </c>
      <c r="AU1344" s="226">
        <v>0</v>
      </c>
      <c r="AV1344" s="17">
        <f t="shared" si="179"/>
        <v>0</v>
      </c>
      <c r="AW1344" s="653" t="str">
        <f t="shared" si="178"/>
        <v>{s_taskTalk,{576,0}}</v>
      </c>
    </row>
    <row r="1345" spans="1:49" s="669" customFormat="1" ht="96" x14ac:dyDescent="0.15">
      <c r="A1345" s="669">
        <v>21905</v>
      </c>
      <c r="C1345" s="669" t="s">
        <v>6356</v>
      </c>
      <c r="D1345" s="669">
        <v>4</v>
      </c>
      <c r="E1345" s="669">
        <v>0</v>
      </c>
      <c r="F1345" s="629">
        <v>2</v>
      </c>
      <c r="G1345" s="670">
        <v>32</v>
      </c>
      <c r="H1345" s="669">
        <v>35</v>
      </c>
      <c r="I1345" s="17">
        <v>0</v>
      </c>
      <c r="J1345" s="670">
        <v>0</v>
      </c>
      <c r="K1345" s="669">
        <v>0</v>
      </c>
      <c r="L1345" s="623">
        <v>576</v>
      </c>
      <c r="M1345" s="669" t="s">
        <v>2510</v>
      </c>
      <c r="N1345" s="623">
        <v>0</v>
      </c>
      <c r="O1345" s="669" t="s">
        <v>5237</v>
      </c>
      <c r="P1345" s="669">
        <v>2</v>
      </c>
      <c r="S1345" s="671">
        <v>10007</v>
      </c>
      <c r="U1345" s="669">
        <v>1</v>
      </c>
      <c r="V1345" s="669">
        <v>0</v>
      </c>
      <c r="W1345" s="669">
        <v>0</v>
      </c>
      <c r="X1345" s="623">
        <v>0</v>
      </c>
      <c r="Z1345" s="669">
        <v>0</v>
      </c>
      <c r="AF1345" s="669" t="str">
        <f t="shared" si="181"/>
        <v>title([历练]夺回)
body(hotyellow_3(任务进程:)newline()
      家族的资源遭到了goto(10007,2)的袭击,被抢走了相当多的珍贵物资，去干掉这些家伙。快去将物品带给goto(576,2)吧！
blankline()
   space()space()space()hot2(任务完成后,千万不要忘记向goto(576,2)汇报哦！))</v>
      </c>
      <c r="AG1345" s="669" t="s">
        <v>2519</v>
      </c>
      <c r="AH1345" s="669" t="s">
        <v>114</v>
      </c>
      <c r="AI1345" s="669" t="s">
        <v>110</v>
      </c>
      <c r="AJ1345" s="669" t="s">
        <v>7470</v>
      </c>
      <c r="AK1345" s="669" t="s">
        <v>2523</v>
      </c>
      <c r="AL1345" s="670">
        <v>2</v>
      </c>
      <c r="AM1345" s="669" t="str">
        <f t="shared" si="180"/>
        <v>&lt;p&gt;
&lt;n effect=2&gt;  击杀：&lt;/n&gt;
 &lt;n&gt; &lt;/n&gt;&lt;goto quick=1 id="10007" mapid="2" flagpoint="1" taskid="21905" /&gt;&lt;newline/&gt;
&lt;n effect=2&gt; 夺回1份丢失的货物&lt;/n&gt;
&lt;/p&gt;</v>
      </c>
      <c r="AN1345" s="635" t="s">
        <v>8999</v>
      </c>
      <c r="AP1345" s="669">
        <v>0</v>
      </c>
      <c r="AQ1345" s="669">
        <v>0</v>
      </c>
      <c r="AR1345" s="50">
        <v>1</v>
      </c>
      <c r="AS1345" s="669">
        <v>0</v>
      </c>
      <c r="AT1345" s="669">
        <v>0</v>
      </c>
      <c r="AU1345" s="226">
        <v>0</v>
      </c>
      <c r="AV1345" s="17">
        <f t="shared" si="179"/>
        <v>0</v>
      </c>
      <c r="AW1345" s="653" t="str">
        <f t="shared" si="178"/>
        <v>{s_taskTalk,{576,0}}</v>
      </c>
    </row>
    <row r="1346" spans="1:49" s="669" customFormat="1" ht="96" x14ac:dyDescent="0.15">
      <c r="A1346" s="669">
        <v>21906</v>
      </c>
      <c r="C1346" s="669" t="s">
        <v>6356</v>
      </c>
      <c r="D1346" s="669">
        <v>4</v>
      </c>
      <c r="E1346" s="669">
        <v>0</v>
      </c>
      <c r="F1346" s="629">
        <v>2</v>
      </c>
      <c r="G1346" s="670">
        <v>36</v>
      </c>
      <c r="H1346" s="669">
        <v>40</v>
      </c>
      <c r="I1346" s="17">
        <v>0</v>
      </c>
      <c r="J1346" s="670">
        <v>0</v>
      </c>
      <c r="K1346" s="669">
        <v>0</v>
      </c>
      <c r="L1346" s="623">
        <v>576</v>
      </c>
      <c r="M1346" s="669" t="s">
        <v>2510</v>
      </c>
      <c r="N1346" s="623">
        <v>0</v>
      </c>
      <c r="O1346" s="669" t="s">
        <v>5237</v>
      </c>
      <c r="P1346" s="669">
        <v>6</v>
      </c>
      <c r="S1346" s="671">
        <v>10132</v>
      </c>
      <c r="U1346" s="669">
        <v>1</v>
      </c>
      <c r="V1346" s="669">
        <v>0</v>
      </c>
      <c r="W1346" s="669">
        <v>0</v>
      </c>
      <c r="X1346" s="623">
        <v>0</v>
      </c>
      <c r="Z1346" s="669">
        <v>0</v>
      </c>
      <c r="AF1346" s="669" t="str">
        <f t="shared" si="181"/>
        <v>title([历练]夺回)
body(hotyellow_3(任务进程:)newline()
      家族的资源遭到了goto(10132,6)的袭击,被抢走了相当多的珍贵物资，去干掉这些家伙。快去将物品带给goto(576,2)吧！
blankline()
   space()space()space()hot2(任务完成后,千万不要忘记向goto(576,2)汇报哦！))</v>
      </c>
      <c r="AG1346" s="669" t="s">
        <v>2519</v>
      </c>
      <c r="AH1346" s="669" t="s">
        <v>114</v>
      </c>
      <c r="AI1346" s="669" t="s">
        <v>110</v>
      </c>
      <c r="AJ1346" s="669" t="s">
        <v>7470</v>
      </c>
      <c r="AK1346" s="669" t="s">
        <v>2523</v>
      </c>
      <c r="AL1346" s="670">
        <v>2</v>
      </c>
      <c r="AM1346" s="669" t="str">
        <f t="shared" si="180"/>
        <v>&lt;p&gt;
&lt;n effect=2&gt;  击杀：&lt;/n&gt;
 &lt;n&gt; &lt;/n&gt;&lt;goto quick=1 id="10132" mapid="6" flagpoint="1" taskid="21906" /&gt;&lt;newline/&gt;
&lt;n effect=2&gt; 夺回1份丢失的货物&lt;/n&gt;
&lt;/p&gt;</v>
      </c>
      <c r="AN1346" s="635" t="s">
        <v>9000</v>
      </c>
      <c r="AP1346" s="669">
        <v>0</v>
      </c>
      <c r="AQ1346" s="669">
        <v>0</v>
      </c>
      <c r="AR1346" s="50">
        <v>1</v>
      </c>
      <c r="AS1346" s="669">
        <v>0</v>
      </c>
      <c r="AT1346" s="669">
        <v>0</v>
      </c>
      <c r="AU1346" s="226">
        <v>0</v>
      </c>
      <c r="AV1346" s="17">
        <f t="shared" si="179"/>
        <v>0</v>
      </c>
      <c r="AW1346" s="653" t="str">
        <f t="shared" si="178"/>
        <v>{s_taskTalk,{576,0}}</v>
      </c>
    </row>
    <row r="1347" spans="1:49" s="669" customFormat="1" ht="96" x14ac:dyDescent="0.15">
      <c r="A1347" s="669">
        <v>21907</v>
      </c>
      <c r="C1347" s="669" t="s">
        <v>6356</v>
      </c>
      <c r="D1347" s="669">
        <v>4</v>
      </c>
      <c r="E1347" s="669">
        <v>0</v>
      </c>
      <c r="F1347" s="629">
        <v>2</v>
      </c>
      <c r="G1347" s="670">
        <v>36</v>
      </c>
      <c r="H1347" s="669">
        <v>40</v>
      </c>
      <c r="I1347" s="17">
        <v>0</v>
      </c>
      <c r="J1347" s="670">
        <v>0</v>
      </c>
      <c r="K1347" s="669">
        <v>0</v>
      </c>
      <c r="L1347" s="623">
        <v>576</v>
      </c>
      <c r="M1347" s="669" t="s">
        <v>2510</v>
      </c>
      <c r="N1347" s="623">
        <v>0</v>
      </c>
      <c r="O1347" s="669" t="s">
        <v>5237</v>
      </c>
      <c r="P1347" s="669">
        <v>6</v>
      </c>
      <c r="S1347" s="671">
        <v>10008</v>
      </c>
      <c r="U1347" s="669">
        <v>1</v>
      </c>
      <c r="V1347" s="669">
        <v>0</v>
      </c>
      <c r="W1347" s="669">
        <v>0</v>
      </c>
      <c r="X1347" s="623">
        <v>0</v>
      </c>
      <c r="Z1347" s="669">
        <v>0</v>
      </c>
      <c r="AF1347" s="669" t="str">
        <f t="shared" si="181"/>
        <v>title([历练]夺回)
body(hotyellow_3(任务进程:)newline()
      家族的资源遭到了goto(10008,6)的袭击,被抢走了相当多的珍贵物资，去干掉这些家伙。快去将物品带给goto(576,2)吧！
blankline()
   space()space()space()hot2(任务完成后,千万不要忘记向goto(576,2)汇报哦！))</v>
      </c>
      <c r="AG1347" s="669" t="s">
        <v>2519</v>
      </c>
      <c r="AH1347" s="669" t="s">
        <v>114</v>
      </c>
      <c r="AI1347" s="669" t="s">
        <v>110</v>
      </c>
      <c r="AJ1347" s="669" t="s">
        <v>7470</v>
      </c>
      <c r="AK1347" s="669" t="s">
        <v>2523</v>
      </c>
      <c r="AL1347" s="670">
        <v>2</v>
      </c>
      <c r="AM1347" s="669" t="str">
        <f t="shared" si="180"/>
        <v>&lt;p&gt;
&lt;n effect=2&gt;  击杀：&lt;/n&gt;
 &lt;n&gt; &lt;/n&gt;&lt;goto quick=1 id="10008" mapid="6" flagpoint="1" taskid="21907" /&gt;&lt;newline/&gt;
&lt;n effect=2&gt; 夺回1份丢失的货物&lt;/n&gt;
&lt;/p&gt;</v>
      </c>
      <c r="AN1347" s="635" t="s">
        <v>9001</v>
      </c>
      <c r="AP1347" s="669">
        <v>0</v>
      </c>
      <c r="AQ1347" s="669">
        <v>0</v>
      </c>
      <c r="AR1347" s="50">
        <v>1</v>
      </c>
      <c r="AS1347" s="669">
        <v>0</v>
      </c>
      <c r="AT1347" s="669">
        <v>0</v>
      </c>
      <c r="AU1347" s="226">
        <v>0</v>
      </c>
      <c r="AV1347" s="17">
        <f t="shared" si="179"/>
        <v>0</v>
      </c>
      <c r="AW1347" s="653" t="str">
        <f t="shared" si="178"/>
        <v>{s_taskTalk,{576,0}}</v>
      </c>
    </row>
    <row r="1348" spans="1:49" s="669" customFormat="1" ht="96" x14ac:dyDescent="0.15">
      <c r="A1348" s="669">
        <v>21908</v>
      </c>
      <c r="C1348" s="669" t="s">
        <v>6356</v>
      </c>
      <c r="D1348" s="669">
        <v>4</v>
      </c>
      <c r="E1348" s="669">
        <v>0</v>
      </c>
      <c r="F1348" s="629">
        <v>2</v>
      </c>
      <c r="G1348" s="670">
        <v>41</v>
      </c>
      <c r="H1348" s="669">
        <v>45</v>
      </c>
      <c r="I1348" s="17">
        <v>0</v>
      </c>
      <c r="J1348" s="670">
        <v>0</v>
      </c>
      <c r="K1348" s="669">
        <v>0</v>
      </c>
      <c r="L1348" s="623">
        <v>576</v>
      </c>
      <c r="M1348" s="669" t="s">
        <v>2510</v>
      </c>
      <c r="N1348" s="623">
        <v>0</v>
      </c>
      <c r="O1348" s="669" t="s">
        <v>5237</v>
      </c>
      <c r="P1348" s="669">
        <v>6</v>
      </c>
      <c r="S1348" s="671">
        <v>10009</v>
      </c>
      <c r="U1348" s="669">
        <v>1</v>
      </c>
      <c r="V1348" s="669">
        <v>0</v>
      </c>
      <c r="W1348" s="669">
        <v>0</v>
      </c>
      <c r="X1348" s="623">
        <v>0</v>
      </c>
      <c r="Z1348" s="669">
        <v>0</v>
      </c>
      <c r="AF1348" s="669" t="str">
        <f t="shared" si="181"/>
        <v>title([历练]夺回)
body(hotyellow_3(任务进程:)newline()
      家族的资源遭到了goto(10009,6)的袭击,被抢走了相当多的珍贵物资，去干掉这些家伙。快去将物品带给goto(576,2)吧！
blankline()
   space()space()space()hot2(任务完成后,千万不要忘记向goto(576,2)汇报哦！))</v>
      </c>
      <c r="AG1348" s="669" t="s">
        <v>2519</v>
      </c>
      <c r="AH1348" s="669" t="s">
        <v>114</v>
      </c>
      <c r="AI1348" s="669" t="s">
        <v>110</v>
      </c>
      <c r="AJ1348" s="669" t="s">
        <v>7470</v>
      </c>
      <c r="AK1348" s="669" t="s">
        <v>2523</v>
      </c>
      <c r="AL1348" s="670">
        <v>2</v>
      </c>
      <c r="AM1348" s="669" t="str">
        <f t="shared" si="180"/>
        <v>&lt;p&gt;
&lt;n effect=2&gt;  击杀：&lt;/n&gt;
 &lt;n&gt; &lt;/n&gt;&lt;goto quick=1 id="10009" mapid="6" flagpoint="1" taskid="21908" /&gt;&lt;newline/&gt;
&lt;n effect=2&gt; 夺回1份丢失的货物&lt;/n&gt;
&lt;/p&gt;</v>
      </c>
      <c r="AN1348" s="635" t="s">
        <v>9002</v>
      </c>
      <c r="AP1348" s="669">
        <v>0</v>
      </c>
      <c r="AQ1348" s="669">
        <v>0</v>
      </c>
      <c r="AR1348" s="50">
        <v>1</v>
      </c>
      <c r="AS1348" s="669">
        <v>0</v>
      </c>
      <c r="AT1348" s="669">
        <v>0</v>
      </c>
      <c r="AU1348" s="226">
        <v>0</v>
      </c>
      <c r="AV1348" s="17">
        <f t="shared" si="179"/>
        <v>0</v>
      </c>
      <c r="AW1348" s="653" t="str">
        <f t="shared" si="178"/>
        <v>{s_taskTalk,{576,0}}</v>
      </c>
    </row>
    <row r="1349" spans="1:49" s="669" customFormat="1" ht="96" x14ac:dyDescent="0.15">
      <c r="A1349" s="669">
        <v>21909</v>
      </c>
      <c r="C1349" s="669" t="s">
        <v>6356</v>
      </c>
      <c r="D1349" s="669">
        <v>4</v>
      </c>
      <c r="E1349" s="669">
        <v>0</v>
      </c>
      <c r="F1349" s="629">
        <v>2</v>
      </c>
      <c r="G1349" s="670">
        <v>46</v>
      </c>
      <c r="H1349" s="669">
        <v>50</v>
      </c>
      <c r="I1349" s="17">
        <v>0</v>
      </c>
      <c r="J1349" s="670">
        <v>0</v>
      </c>
      <c r="K1349" s="669">
        <v>0</v>
      </c>
      <c r="L1349" s="623">
        <v>576</v>
      </c>
      <c r="M1349" s="669" t="s">
        <v>2510</v>
      </c>
      <c r="N1349" s="623">
        <v>0</v>
      </c>
      <c r="O1349" s="669" t="s">
        <v>5237</v>
      </c>
      <c r="P1349" s="669">
        <v>6</v>
      </c>
      <c r="S1349" s="671">
        <v>10009</v>
      </c>
      <c r="U1349" s="669">
        <v>1</v>
      </c>
      <c r="V1349" s="669">
        <v>0</v>
      </c>
      <c r="W1349" s="669">
        <v>0</v>
      </c>
      <c r="X1349" s="623">
        <v>0</v>
      </c>
      <c r="Z1349" s="669">
        <v>0</v>
      </c>
      <c r="AF1349" s="669" t="str">
        <f t="shared" si="181"/>
        <v>title([历练]夺回)
body(hotyellow_3(任务进程:)newline()
      家族的资源遭到了goto(10009,6)的袭击,被抢走了相当多的珍贵物资，去干掉这些家伙。快去将物品带给goto(576,2)吧！
blankline()
   space()space()space()hot2(任务完成后,千万不要忘记向goto(576,2)汇报哦！))</v>
      </c>
      <c r="AG1349" s="669" t="s">
        <v>2519</v>
      </c>
      <c r="AH1349" s="669" t="s">
        <v>114</v>
      </c>
      <c r="AI1349" s="669" t="s">
        <v>110</v>
      </c>
      <c r="AJ1349" s="669" t="s">
        <v>7470</v>
      </c>
      <c r="AK1349" s="669" t="s">
        <v>2523</v>
      </c>
      <c r="AL1349" s="670">
        <v>2</v>
      </c>
      <c r="AM1349" s="669" t="str">
        <f t="shared" si="180"/>
        <v>&lt;p&gt;
&lt;n effect=2&gt;  击杀：&lt;/n&gt;
 &lt;n&gt; &lt;/n&gt;&lt;goto quick=1 id="10009" mapid="6" flagpoint="1" taskid="21909" /&gt;&lt;newline/&gt;
&lt;n effect=2&gt; 夺回1份丢失的货物&lt;/n&gt;
&lt;/p&gt;</v>
      </c>
      <c r="AN1349" s="635" t="s">
        <v>9003</v>
      </c>
      <c r="AP1349" s="669">
        <v>0</v>
      </c>
      <c r="AQ1349" s="669">
        <v>0</v>
      </c>
      <c r="AR1349" s="50">
        <v>1</v>
      </c>
      <c r="AS1349" s="669">
        <v>0</v>
      </c>
      <c r="AT1349" s="669">
        <v>0</v>
      </c>
      <c r="AU1349" s="226">
        <v>0</v>
      </c>
      <c r="AV1349" s="17">
        <f t="shared" si="179"/>
        <v>0</v>
      </c>
      <c r="AW1349" s="653" t="str">
        <f t="shared" si="178"/>
        <v>{s_taskTalk,{576,0}}</v>
      </c>
    </row>
    <row r="1350" spans="1:49" s="669" customFormat="1" ht="96" x14ac:dyDescent="0.15">
      <c r="A1350" s="669">
        <v>21910</v>
      </c>
      <c r="C1350" s="669" t="s">
        <v>6356</v>
      </c>
      <c r="D1350" s="669">
        <v>4</v>
      </c>
      <c r="E1350" s="669">
        <v>0</v>
      </c>
      <c r="F1350" s="629">
        <v>2</v>
      </c>
      <c r="G1350" s="670">
        <v>46</v>
      </c>
      <c r="H1350" s="669">
        <v>50</v>
      </c>
      <c r="I1350" s="17">
        <v>0</v>
      </c>
      <c r="J1350" s="670">
        <v>0</v>
      </c>
      <c r="K1350" s="669">
        <v>0</v>
      </c>
      <c r="L1350" s="623">
        <v>576</v>
      </c>
      <c r="M1350" s="669" t="s">
        <v>2510</v>
      </c>
      <c r="N1350" s="623">
        <v>0</v>
      </c>
      <c r="O1350" s="669" t="s">
        <v>5237</v>
      </c>
      <c r="P1350" s="669">
        <v>6</v>
      </c>
      <c r="S1350" s="671">
        <v>10011</v>
      </c>
      <c r="U1350" s="669">
        <v>1</v>
      </c>
      <c r="V1350" s="669">
        <v>0</v>
      </c>
      <c r="W1350" s="669">
        <v>0</v>
      </c>
      <c r="X1350" s="623">
        <v>0</v>
      </c>
      <c r="Z1350" s="669">
        <v>0</v>
      </c>
      <c r="AF1350" s="669" t="str">
        <f t="shared" si="181"/>
        <v>title([历练]夺回)
body(hotyellow_3(任务进程:)newline()
      家族的资源遭到了goto(10011,6)的袭击,被抢走了相当多的珍贵物资，去干掉这些家伙。快去将物品带给goto(576,2)吧！
blankline()
   space()space()space()hot2(任务完成后,千万不要忘记向goto(576,2)汇报哦！))</v>
      </c>
      <c r="AG1350" s="669" t="s">
        <v>2519</v>
      </c>
      <c r="AH1350" s="669" t="s">
        <v>114</v>
      </c>
      <c r="AI1350" s="669" t="s">
        <v>110</v>
      </c>
      <c r="AJ1350" s="669" t="s">
        <v>7470</v>
      </c>
      <c r="AK1350" s="669" t="s">
        <v>2523</v>
      </c>
      <c r="AL1350" s="670">
        <v>2</v>
      </c>
      <c r="AM1350" s="669" t="str">
        <f t="shared" si="180"/>
        <v>&lt;p&gt;
&lt;n effect=2&gt;  击杀：&lt;/n&gt;
 &lt;n&gt; &lt;/n&gt;&lt;goto quick=1 id="10011" mapid="6" flagpoint="1" taskid="21910" /&gt;&lt;newline/&gt;
&lt;n effect=2&gt; 夺回1份丢失的货物&lt;/n&gt;
&lt;/p&gt;</v>
      </c>
      <c r="AN1350" s="635" t="s">
        <v>9004</v>
      </c>
      <c r="AP1350" s="669">
        <v>0</v>
      </c>
      <c r="AQ1350" s="669">
        <v>0</v>
      </c>
      <c r="AR1350" s="50">
        <v>1</v>
      </c>
      <c r="AS1350" s="669">
        <v>0</v>
      </c>
      <c r="AT1350" s="669">
        <v>0</v>
      </c>
      <c r="AU1350" s="226">
        <v>0</v>
      </c>
      <c r="AV1350" s="17">
        <f t="shared" si="179"/>
        <v>0</v>
      </c>
      <c r="AW1350" s="653" t="str">
        <f t="shared" si="178"/>
        <v>{s_taskTalk,{576,0}}</v>
      </c>
    </row>
    <row r="1351" spans="1:49" s="669" customFormat="1" ht="96" x14ac:dyDescent="0.15">
      <c r="A1351" s="669">
        <v>21911</v>
      </c>
      <c r="C1351" s="669" t="s">
        <v>6356</v>
      </c>
      <c r="D1351" s="669">
        <v>4</v>
      </c>
      <c r="E1351" s="669">
        <v>0</v>
      </c>
      <c r="F1351" s="629">
        <v>2</v>
      </c>
      <c r="G1351" s="670">
        <v>51</v>
      </c>
      <c r="H1351" s="669">
        <v>55</v>
      </c>
      <c r="I1351" s="17">
        <v>0</v>
      </c>
      <c r="J1351" s="670">
        <v>0</v>
      </c>
      <c r="K1351" s="669">
        <v>0</v>
      </c>
      <c r="L1351" s="623">
        <v>576</v>
      </c>
      <c r="M1351" s="669" t="s">
        <v>2510</v>
      </c>
      <c r="N1351" s="623">
        <v>0</v>
      </c>
      <c r="O1351" s="669" t="s">
        <v>5237</v>
      </c>
      <c r="P1351" s="669">
        <v>4</v>
      </c>
      <c r="S1351" s="671">
        <v>10012</v>
      </c>
      <c r="U1351" s="669">
        <v>1</v>
      </c>
      <c r="V1351" s="669">
        <v>0</v>
      </c>
      <c r="W1351" s="669">
        <v>0</v>
      </c>
      <c r="X1351" s="623">
        <v>0</v>
      </c>
      <c r="Z1351" s="669">
        <v>0</v>
      </c>
      <c r="AF1351" s="669" t="str">
        <f t="shared" si="181"/>
        <v>title([历练]夺回)
body(hotyellow_3(任务进程:)newline()
      家族的资源遭到了goto(10012,4)的袭击,被抢走了相当多的珍贵物资，去干掉这些家伙。快去将物品带给goto(576,2)吧！
blankline()
   space()space()space()hot2(任务完成后,千万不要忘记向goto(576,2)汇报哦！))</v>
      </c>
      <c r="AG1351" s="669" t="s">
        <v>2519</v>
      </c>
      <c r="AH1351" s="669" t="s">
        <v>114</v>
      </c>
      <c r="AI1351" s="669" t="s">
        <v>110</v>
      </c>
      <c r="AJ1351" s="669" t="s">
        <v>7470</v>
      </c>
      <c r="AK1351" s="669" t="s">
        <v>2523</v>
      </c>
      <c r="AL1351" s="670">
        <v>2</v>
      </c>
      <c r="AM1351" s="669" t="str">
        <f t="shared" si="180"/>
        <v>&lt;p&gt;
&lt;n effect=2&gt;  击杀：&lt;/n&gt;
 &lt;n&gt; &lt;/n&gt;&lt;goto quick=1 id="10012" mapid="4" flagpoint="1" taskid="21911" /&gt;&lt;newline/&gt;
&lt;n effect=2&gt; 夺回1份丢失的货物&lt;/n&gt;
&lt;/p&gt;</v>
      </c>
      <c r="AN1351" s="635" t="s">
        <v>9005</v>
      </c>
      <c r="AP1351" s="669">
        <v>0</v>
      </c>
      <c r="AQ1351" s="669">
        <v>0</v>
      </c>
      <c r="AR1351" s="50">
        <v>1</v>
      </c>
      <c r="AS1351" s="669">
        <v>0</v>
      </c>
      <c r="AT1351" s="669">
        <v>0</v>
      </c>
      <c r="AU1351" s="226">
        <v>0</v>
      </c>
      <c r="AV1351" s="17">
        <f t="shared" si="179"/>
        <v>0</v>
      </c>
      <c r="AW1351" s="653" t="str">
        <f t="shared" si="178"/>
        <v>{s_taskTalk,{576,0}}</v>
      </c>
    </row>
    <row r="1352" spans="1:49" s="669" customFormat="1" ht="96" x14ac:dyDescent="0.15">
      <c r="A1352" s="669">
        <v>21912</v>
      </c>
      <c r="C1352" s="669" t="s">
        <v>6356</v>
      </c>
      <c r="D1352" s="669">
        <v>4</v>
      </c>
      <c r="E1352" s="669">
        <v>0</v>
      </c>
      <c r="F1352" s="629">
        <v>2</v>
      </c>
      <c r="G1352" s="670">
        <v>56</v>
      </c>
      <c r="H1352" s="669">
        <v>60</v>
      </c>
      <c r="I1352" s="17">
        <v>0</v>
      </c>
      <c r="J1352" s="670">
        <v>0</v>
      </c>
      <c r="K1352" s="669">
        <v>0</v>
      </c>
      <c r="L1352" s="623">
        <v>576</v>
      </c>
      <c r="M1352" s="669" t="s">
        <v>2510</v>
      </c>
      <c r="N1352" s="623">
        <v>0</v>
      </c>
      <c r="O1352" s="669" t="s">
        <v>5237</v>
      </c>
      <c r="P1352" s="669">
        <v>4</v>
      </c>
      <c r="S1352" s="671">
        <v>10014</v>
      </c>
      <c r="U1352" s="669">
        <v>1</v>
      </c>
      <c r="V1352" s="669">
        <v>0</v>
      </c>
      <c r="W1352" s="669">
        <v>0</v>
      </c>
      <c r="X1352" s="623">
        <v>0</v>
      </c>
      <c r="Z1352" s="669">
        <v>0</v>
      </c>
      <c r="AF1352" s="669" t="str">
        <f t="shared" si="181"/>
        <v>title([历练]夺回)
body(hotyellow_3(任务进程:)newline()
      家族的资源遭到了goto(10014,4)的袭击,被抢走了相当多的珍贵物资，去干掉这些家伙。快去将物品带给goto(576,2)吧！
blankline()
   space()space()space()hot2(任务完成后,千万不要忘记向goto(576,2)汇报哦！))</v>
      </c>
      <c r="AG1352" s="669" t="s">
        <v>2519</v>
      </c>
      <c r="AH1352" s="669" t="s">
        <v>114</v>
      </c>
      <c r="AI1352" s="669" t="s">
        <v>110</v>
      </c>
      <c r="AJ1352" s="669" t="s">
        <v>7470</v>
      </c>
      <c r="AK1352" s="669" t="s">
        <v>2523</v>
      </c>
      <c r="AL1352" s="670">
        <v>2</v>
      </c>
      <c r="AM1352" s="669" t="str">
        <f t="shared" si="180"/>
        <v>&lt;p&gt;
&lt;n effect=2&gt;  击杀：&lt;/n&gt;
 &lt;n&gt; &lt;/n&gt;&lt;goto quick=1 id="10014" mapid="4" flagpoint="1" taskid="21912" /&gt;&lt;newline/&gt;
&lt;n effect=2&gt; 夺回1份丢失的货物&lt;/n&gt;
&lt;/p&gt;</v>
      </c>
      <c r="AN1352" s="635" t="s">
        <v>9006</v>
      </c>
      <c r="AP1352" s="669">
        <v>0</v>
      </c>
      <c r="AQ1352" s="669">
        <v>0</v>
      </c>
      <c r="AR1352" s="50">
        <v>1</v>
      </c>
      <c r="AS1352" s="669">
        <v>0</v>
      </c>
      <c r="AT1352" s="669">
        <v>0</v>
      </c>
      <c r="AU1352" s="226">
        <v>0</v>
      </c>
      <c r="AV1352" s="17">
        <f t="shared" si="179"/>
        <v>0</v>
      </c>
      <c r="AW1352" s="653" t="str">
        <f t="shared" si="178"/>
        <v>{s_taskTalk,{576,0}}</v>
      </c>
    </row>
    <row r="1353" spans="1:49" s="669" customFormat="1" ht="96" x14ac:dyDescent="0.15">
      <c r="A1353" s="669">
        <v>21913</v>
      </c>
      <c r="C1353" s="669" t="s">
        <v>6356</v>
      </c>
      <c r="D1353" s="669">
        <v>4</v>
      </c>
      <c r="E1353" s="669">
        <v>0</v>
      </c>
      <c r="F1353" s="629">
        <v>2</v>
      </c>
      <c r="G1353" s="670">
        <v>61</v>
      </c>
      <c r="H1353" s="669">
        <v>65</v>
      </c>
      <c r="I1353" s="17">
        <v>0</v>
      </c>
      <c r="J1353" s="670">
        <v>0</v>
      </c>
      <c r="K1353" s="669">
        <v>0</v>
      </c>
      <c r="L1353" s="623">
        <v>576</v>
      </c>
      <c r="M1353" s="669" t="s">
        <v>2510</v>
      </c>
      <c r="N1353" s="623">
        <v>0</v>
      </c>
      <c r="O1353" s="669" t="s">
        <v>5237</v>
      </c>
      <c r="P1353" s="669">
        <v>5</v>
      </c>
      <c r="S1353" s="671">
        <v>10016</v>
      </c>
      <c r="U1353" s="669">
        <v>1</v>
      </c>
      <c r="V1353" s="669">
        <v>0</v>
      </c>
      <c r="W1353" s="669">
        <v>0</v>
      </c>
      <c r="X1353" s="623">
        <v>0</v>
      </c>
      <c r="Z1353" s="669">
        <v>0</v>
      </c>
      <c r="AF1353" s="669" t="str">
        <f t="shared" si="181"/>
        <v>title([历练]夺回)
body(hotyellow_3(任务进程:)newline()
      家族的资源遭到了goto(10016,5)的袭击,被抢走了相当多的珍贵物资，去干掉这些家伙。快去将物品带给goto(576,2)吧！
blankline()
   space()space()space()hot2(任务完成后,千万不要忘记向goto(576,2)汇报哦！))</v>
      </c>
      <c r="AG1353" s="669" t="s">
        <v>2519</v>
      </c>
      <c r="AH1353" s="669" t="s">
        <v>114</v>
      </c>
      <c r="AI1353" s="669" t="s">
        <v>110</v>
      </c>
      <c r="AJ1353" s="669" t="s">
        <v>7470</v>
      </c>
      <c r="AK1353" s="669" t="s">
        <v>2523</v>
      </c>
      <c r="AL1353" s="670">
        <v>2</v>
      </c>
      <c r="AM1353" s="669" t="str">
        <f t="shared" si="180"/>
        <v>&lt;p&gt;
&lt;n effect=2&gt;  击杀：&lt;/n&gt;
 &lt;n&gt; &lt;/n&gt;&lt;goto quick=1 id="10016" mapid="5" flagpoint="1" taskid="21913" /&gt;&lt;newline/&gt;
&lt;n effect=2&gt; 夺回1份丢失的货物&lt;/n&gt;
&lt;/p&gt;</v>
      </c>
      <c r="AN1353" s="635" t="s">
        <v>9007</v>
      </c>
      <c r="AP1353" s="669">
        <v>0</v>
      </c>
      <c r="AQ1353" s="669">
        <v>0</v>
      </c>
      <c r="AR1353" s="50">
        <v>1</v>
      </c>
      <c r="AS1353" s="669">
        <v>0</v>
      </c>
      <c r="AT1353" s="669">
        <v>0</v>
      </c>
      <c r="AU1353" s="226">
        <v>0</v>
      </c>
      <c r="AV1353" s="17">
        <f t="shared" si="179"/>
        <v>0</v>
      </c>
      <c r="AW1353" s="653" t="str">
        <f t="shared" si="178"/>
        <v>{s_taskTalk,{576,0}}</v>
      </c>
    </row>
    <row r="1354" spans="1:49" s="669" customFormat="1" ht="96" x14ac:dyDescent="0.15">
      <c r="A1354" s="669">
        <v>21914</v>
      </c>
      <c r="C1354" s="669" t="s">
        <v>6356</v>
      </c>
      <c r="D1354" s="669">
        <v>4</v>
      </c>
      <c r="E1354" s="669">
        <v>0</v>
      </c>
      <c r="F1354" s="629">
        <v>2</v>
      </c>
      <c r="G1354" s="670">
        <v>66</v>
      </c>
      <c r="H1354" s="669">
        <v>70</v>
      </c>
      <c r="I1354" s="17">
        <v>0</v>
      </c>
      <c r="J1354" s="670">
        <v>0</v>
      </c>
      <c r="K1354" s="669">
        <v>0</v>
      </c>
      <c r="L1354" s="623">
        <v>576</v>
      </c>
      <c r="M1354" s="669" t="s">
        <v>2510</v>
      </c>
      <c r="N1354" s="623">
        <v>0</v>
      </c>
      <c r="O1354" s="669" t="s">
        <v>5237</v>
      </c>
      <c r="P1354" s="669">
        <v>5</v>
      </c>
      <c r="S1354" s="671">
        <v>10027</v>
      </c>
      <c r="U1354" s="669">
        <v>1</v>
      </c>
      <c r="V1354" s="669">
        <v>0</v>
      </c>
      <c r="W1354" s="669">
        <v>0</v>
      </c>
      <c r="X1354" s="623">
        <v>0</v>
      </c>
      <c r="Z1354" s="669">
        <v>0</v>
      </c>
      <c r="AF1354" s="669" t="str">
        <f t="shared" si="181"/>
        <v>title([历练]夺回)
body(hotyellow_3(任务进程:)newline()
      家族的资源遭到了goto(10027,5)的袭击,被抢走了相当多的珍贵物资，去干掉这些家伙。快去将物品带给goto(576,2)吧！
blankline()
   space()space()space()hot2(任务完成后,千万不要忘记向goto(576,2)汇报哦！))</v>
      </c>
      <c r="AG1354" s="669" t="s">
        <v>2519</v>
      </c>
      <c r="AH1354" s="669" t="s">
        <v>114</v>
      </c>
      <c r="AI1354" s="669" t="s">
        <v>110</v>
      </c>
      <c r="AJ1354" s="669" t="s">
        <v>7470</v>
      </c>
      <c r="AK1354" s="669" t="s">
        <v>2523</v>
      </c>
      <c r="AL1354" s="670">
        <v>2</v>
      </c>
      <c r="AM1354" s="669" t="str">
        <f t="shared" si="180"/>
        <v>&lt;p&gt;
&lt;n effect=2&gt;  击杀：&lt;/n&gt;
 &lt;n&gt; &lt;/n&gt;&lt;goto quick=1 id="10027" mapid="5" flagpoint="1" taskid="21914" /&gt;&lt;newline/&gt;
&lt;n effect=2&gt; 夺回1份丢失的货物&lt;/n&gt;
&lt;/p&gt;</v>
      </c>
      <c r="AN1354" s="635" t="s">
        <v>9008</v>
      </c>
      <c r="AP1354" s="669">
        <v>0</v>
      </c>
      <c r="AQ1354" s="669">
        <v>0</v>
      </c>
      <c r="AR1354" s="50">
        <v>1</v>
      </c>
      <c r="AS1354" s="669">
        <v>0</v>
      </c>
      <c r="AT1354" s="669">
        <v>0</v>
      </c>
      <c r="AU1354" s="226">
        <v>0</v>
      </c>
      <c r="AV1354" s="17">
        <f t="shared" si="179"/>
        <v>0</v>
      </c>
      <c r="AW1354" s="653" t="str">
        <f t="shared" si="178"/>
        <v>{s_taskTalk,{576,0}}</v>
      </c>
    </row>
    <row r="1355" spans="1:49" s="669" customFormat="1" ht="96" x14ac:dyDescent="0.15">
      <c r="A1355" s="669">
        <v>21915</v>
      </c>
      <c r="C1355" s="669" t="s">
        <v>6356</v>
      </c>
      <c r="D1355" s="669">
        <v>4</v>
      </c>
      <c r="E1355" s="669">
        <v>0</v>
      </c>
      <c r="F1355" s="629">
        <v>2</v>
      </c>
      <c r="G1355" s="670">
        <v>71</v>
      </c>
      <c r="H1355" s="669">
        <v>75</v>
      </c>
      <c r="I1355" s="17">
        <v>0</v>
      </c>
      <c r="J1355" s="670">
        <v>0</v>
      </c>
      <c r="K1355" s="669">
        <v>0</v>
      </c>
      <c r="L1355" s="623">
        <v>576</v>
      </c>
      <c r="M1355" s="669" t="s">
        <v>2510</v>
      </c>
      <c r="N1355" s="623">
        <v>0</v>
      </c>
      <c r="O1355" s="669" t="s">
        <v>5237</v>
      </c>
      <c r="P1355" s="669">
        <v>3</v>
      </c>
      <c r="S1355" s="671">
        <v>10029</v>
      </c>
      <c r="U1355" s="669">
        <v>1</v>
      </c>
      <c r="V1355" s="669">
        <v>0</v>
      </c>
      <c r="W1355" s="669">
        <v>0</v>
      </c>
      <c r="X1355" s="623">
        <v>0</v>
      </c>
      <c r="Z1355" s="669">
        <v>0</v>
      </c>
      <c r="AF1355" s="669" t="str">
        <f t="shared" si="181"/>
        <v>title([历练]夺回)
body(hotyellow_3(任务进程:)newline()
      家族的资源遭到了goto(10029,3)的袭击,被抢走了相当多的珍贵物资，去干掉这些家伙。快去将物品带给goto(576,2)吧！
blankline()
   space()space()space()hot2(任务完成后,千万不要忘记向goto(576,2)汇报哦！))</v>
      </c>
      <c r="AG1355" s="669" t="s">
        <v>2519</v>
      </c>
      <c r="AH1355" s="669" t="s">
        <v>114</v>
      </c>
      <c r="AI1355" s="669" t="s">
        <v>110</v>
      </c>
      <c r="AJ1355" s="669" t="s">
        <v>7470</v>
      </c>
      <c r="AK1355" s="669" t="s">
        <v>2523</v>
      </c>
      <c r="AL1355" s="670">
        <v>2</v>
      </c>
      <c r="AM1355" s="669" t="str">
        <f t="shared" si="180"/>
        <v>&lt;p&gt;
&lt;n effect=2&gt;  击杀：&lt;/n&gt;
 &lt;n&gt; &lt;/n&gt;&lt;goto quick=1 id="10029" mapid="3" flagpoint="1" taskid="21915" /&gt;&lt;newline/&gt;
&lt;n effect=2&gt; 夺回1份丢失的货物&lt;/n&gt;
&lt;/p&gt;</v>
      </c>
      <c r="AN1355" s="635" t="s">
        <v>9009</v>
      </c>
      <c r="AP1355" s="669">
        <v>0</v>
      </c>
      <c r="AQ1355" s="669">
        <v>0</v>
      </c>
      <c r="AR1355" s="50">
        <v>1</v>
      </c>
      <c r="AS1355" s="669">
        <v>0</v>
      </c>
      <c r="AT1355" s="669">
        <v>0</v>
      </c>
      <c r="AU1355" s="226">
        <v>0</v>
      </c>
      <c r="AV1355" s="17">
        <f t="shared" si="179"/>
        <v>0</v>
      </c>
      <c r="AW1355" s="653" t="str">
        <f t="shared" si="178"/>
        <v>{s_taskTalk,{576,0}}</v>
      </c>
    </row>
    <row r="1356" spans="1:49" s="669" customFormat="1" ht="96" x14ac:dyDescent="0.15">
      <c r="A1356" s="669">
        <v>21916</v>
      </c>
      <c r="C1356" s="669" t="s">
        <v>6356</v>
      </c>
      <c r="D1356" s="669">
        <v>4</v>
      </c>
      <c r="E1356" s="669">
        <v>0</v>
      </c>
      <c r="F1356" s="629">
        <v>2</v>
      </c>
      <c r="G1356" s="670">
        <v>76</v>
      </c>
      <c r="H1356" s="669">
        <v>80</v>
      </c>
      <c r="I1356" s="17">
        <v>0</v>
      </c>
      <c r="J1356" s="670">
        <v>0</v>
      </c>
      <c r="K1356" s="669">
        <v>0</v>
      </c>
      <c r="L1356" s="623">
        <v>576</v>
      </c>
      <c r="M1356" s="669" t="s">
        <v>2510</v>
      </c>
      <c r="N1356" s="623">
        <v>0</v>
      </c>
      <c r="O1356" s="669" t="s">
        <v>5237</v>
      </c>
      <c r="P1356" s="669">
        <v>3</v>
      </c>
      <c r="S1356" s="671">
        <v>10031</v>
      </c>
      <c r="U1356" s="669">
        <v>1</v>
      </c>
      <c r="V1356" s="669">
        <v>0</v>
      </c>
      <c r="W1356" s="669">
        <v>0</v>
      </c>
      <c r="X1356" s="623">
        <v>0</v>
      </c>
      <c r="Z1356" s="669">
        <v>0</v>
      </c>
      <c r="AF1356" s="669" t="str">
        <f t="shared" si="181"/>
        <v>title([历练]夺回)
body(hotyellow_3(任务进程:)newline()
      家族的资源遭到了goto(10031,3)的袭击,被抢走了相当多的珍贵物资，去干掉这些家伙。快去将物品带给goto(576,2)吧！
blankline()
   space()space()space()hot2(任务完成后,千万不要忘记向goto(576,2)汇报哦！))</v>
      </c>
      <c r="AG1356" s="669" t="s">
        <v>2519</v>
      </c>
      <c r="AH1356" s="669" t="s">
        <v>114</v>
      </c>
      <c r="AI1356" s="669" t="s">
        <v>110</v>
      </c>
      <c r="AJ1356" s="669" t="s">
        <v>7470</v>
      </c>
      <c r="AK1356" s="669" t="s">
        <v>2523</v>
      </c>
      <c r="AL1356" s="670">
        <v>2</v>
      </c>
      <c r="AM1356" s="669" t="str">
        <f t="shared" si="180"/>
        <v>&lt;p&gt;
&lt;n effect=2&gt;  击杀：&lt;/n&gt;
 &lt;n&gt; &lt;/n&gt;&lt;goto quick=1 id="10031" mapid="3" flagpoint="1" taskid="21916" /&gt;&lt;newline/&gt;
&lt;n effect=2&gt; 夺回1份丢失的货物&lt;/n&gt;
&lt;/p&gt;</v>
      </c>
      <c r="AN1356" s="635" t="s">
        <v>9010</v>
      </c>
      <c r="AP1356" s="669">
        <v>0</v>
      </c>
      <c r="AQ1356" s="669">
        <v>0</v>
      </c>
      <c r="AR1356" s="50">
        <v>1</v>
      </c>
      <c r="AS1356" s="669">
        <v>0</v>
      </c>
      <c r="AT1356" s="669">
        <v>0</v>
      </c>
      <c r="AU1356" s="226">
        <v>0</v>
      </c>
      <c r="AV1356" s="17">
        <f t="shared" si="179"/>
        <v>0</v>
      </c>
      <c r="AW1356" s="653" t="str">
        <f t="shared" si="178"/>
        <v>{s_taskTalk,{576,0}}</v>
      </c>
    </row>
    <row r="1357" spans="1:49" s="669" customFormat="1" ht="96" x14ac:dyDescent="0.15">
      <c r="A1357" s="669">
        <v>21917</v>
      </c>
      <c r="C1357" s="669" t="s">
        <v>6356</v>
      </c>
      <c r="D1357" s="669">
        <v>4</v>
      </c>
      <c r="E1357" s="669">
        <v>0</v>
      </c>
      <c r="F1357" s="629">
        <v>2</v>
      </c>
      <c r="G1357" s="670">
        <v>81</v>
      </c>
      <c r="H1357" s="669">
        <v>85</v>
      </c>
      <c r="I1357" s="17">
        <v>0</v>
      </c>
      <c r="J1357" s="670">
        <v>0</v>
      </c>
      <c r="K1357" s="669">
        <v>0</v>
      </c>
      <c r="L1357" s="623">
        <v>576</v>
      </c>
      <c r="M1357" s="669" t="s">
        <v>2510</v>
      </c>
      <c r="N1357" s="623">
        <v>0</v>
      </c>
      <c r="O1357" s="669" t="s">
        <v>5237</v>
      </c>
      <c r="P1357" s="669">
        <v>7</v>
      </c>
      <c r="S1357" s="671">
        <v>10032</v>
      </c>
      <c r="U1357" s="669">
        <v>1</v>
      </c>
      <c r="V1357" s="669">
        <v>0</v>
      </c>
      <c r="W1357" s="669">
        <v>0</v>
      </c>
      <c r="X1357" s="623">
        <v>0</v>
      </c>
      <c r="Z1357" s="669">
        <v>0</v>
      </c>
      <c r="AF1357" s="669" t="str">
        <f t="shared" si="181"/>
        <v>title([历练]夺回)
body(hotyellow_3(任务进程:)newline()
      家族的资源遭到了goto(10032,7)的袭击,被抢走了相当多的珍贵物资，去干掉这些家伙。快去将物品带给goto(576,2)吧！
blankline()
   space()space()space()hot2(任务完成后,千万不要忘记向goto(576,2)汇报哦！))</v>
      </c>
      <c r="AG1357" s="669" t="s">
        <v>2519</v>
      </c>
      <c r="AH1357" s="669" t="s">
        <v>114</v>
      </c>
      <c r="AI1357" s="669" t="s">
        <v>110</v>
      </c>
      <c r="AJ1357" s="669" t="s">
        <v>7470</v>
      </c>
      <c r="AK1357" s="669" t="s">
        <v>2523</v>
      </c>
      <c r="AL1357" s="670">
        <v>2</v>
      </c>
      <c r="AM1357" s="669" t="str">
        <f t="shared" si="180"/>
        <v>&lt;p&gt;
&lt;n effect=2&gt;  击杀：&lt;/n&gt;
 &lt;n&gt; &lt;/n&gt;&lt;goto quick=1 id="10032" mapid="7" flagpoint="1" taskid="21917" /&gt;&lt;newline/&gt;
&lt;n effect=2&gt; 夺回1份丢失的货物&lt;/n&gt;
&lt;/p&gt;</v>
      </c>
      <c r="AN1357" s="635" t="s">
        <v>9011</v>
      </c>
      <c r="AP1357" s="669">
        <v>0</v>
      </c>
      <c r="AQ1357" s="669">
        <v>0</v>
      </c>
      <c r="AR1357" s="50">
        <v>1</v>
      </c>
      <c r="AS1357" s="669">
        <v>0</v>
      </c>
      <c r="AT1357" s="669">
        <v>0</v>
      </c>
      <c r="AU1357" s="226">
        <v>0</v>
      </c>
      <c r="AV1357" s="17">
        <f t="shared" si="179"/>
        <v>0</v>
      </c>
      <c r="AW1357" s="653" t="str">
        <f t="shared" si="178"/>
        <v>{s_taskTalk,{576,0}}</v>
      </c>
    </row>
    <row r="1358" spans="1:49" s="669" customFormat="1" ht="96" x14ac:dyDescent="0.15">
      <c r="A1358" s="669">
        <v>21918</v>
      </c>
      <c r="C1358" s="669" t="s">
        <v>6356</v>
      </c>
      <c r="D1358" s="669">
        <v>4</v>
      </c>
      <c r="E1358" s="669">
        <v>0</v>
      </c>
      <c r="F1358" s="629">
        <v>2</v>
      </c>
      <c r="G1358" s="670">
        <v>86</v>
      </c>
      <c r="H1358" s="669">
        <v>90</v>
      </c>
      <c r="I1358" s="17">
        <v>0</v>
      </c>
      <c r="J1358" s="670">
        <v>0</v>
      </c>
      <c r="K1358" s="669">
        <v>0</v>
      </c>
      <c r="L1358" s="623">
        <v>576</v>
      </c>
      <c r="M1358" s="669" t="s">
        <v>2510</v>
      </c>
      <c r="N1358" s="623">
        <v>0</v>
      </c>
      <c r="O1358" s="669" t="s">
        <v>5237</v>
      </c>
      <c r="P1358" s="669">
        <v>7</v>
      </c>
      <c r="S1358" s="671">
        <v>10034</v>
      </c>
      <c r="U1358" s="669">
        <v>1</v>
      </c>
      <c r="V1358" s="669">
        <v>0</v>
      </c>
      <c r="W1358" s="669">
        <v>0</v>
      </c>
      <c r="X1358" s="623">
        <v>0</v>
      </c>
      <c r="Z1358" s="669">
        <v>0</v>
      </c>
      <c r="AF1358" s="669" t="str">
        <f t="shared" si="181"/>
        <v>title([历练]夺回)
body(hotyellow_3(任务进程:)newline()
      家族的资源遭到了goto(10034,7)的袭击,被抢走了相当多的珍贵物资，去干掉这些家伙。快去将物品带给goto(576,2)吧！
blankline()
   space()space()space()hot2(任务完成后,千万不要忘记向goto(576,2)汇报哦！))</v>
      </c>
      <c r="AG1358" s="669" t="s">
        <v>2519</v>
      </c>
      <c r="AH1358" s="669" t="s">
        <v>114</v>
      </c>
      <c r="AI1358" s="669" t="s">
        <v>110</v>
      </c>
      <c r="AJ1358" s="669" t="s">
        <v>7470</v>
      </c>
      <c r="AK1358" s="669" t="s">
        <v>2523</v>
      </c>
      <c r="AL1358" s="670">
        <v>2</v>
      </c>
      <c r="AM1358" s="669" t="str">
        <f t="shared" si="180"/>
        <v>&lt;p&gt;
&lt;n effect=2&gt;  击杀：&lt;/n&gt;
 &lt;n&gt; &lt;/n&gt;&lt;goto quick=1 id="10034" mapid="7" flagpoint="1" taskid="21918" /&gt;&lt;newline/&gt;
&lt;n effect=2&gt; 夺回1份丢失的货物&lt;/n&gt;
&lt;/p&gt;</v>
      </c>
      <c r="AN1358" s="635" t="s">
        <v>9012</v>
      </c>
      <c r="AP1358" s="669">
        <v>0</v>
      </c>
      <c r="AQ1358" s="669">
        <v>0</v>
      </c>
      <c r="AR1358" s="50">
        <v>1</v>
      </c>
      <c r="AS1358" s="669">
        <v>0</v>
      </c>
      <c r="AT1358" s="669">
        <v>0</v>
      </c>
      <c r="AU1358" s="226">
        <v>0</v>
      </c>
      <c r="AV1358" s="17">
        <f t="shared" si="179"/>
        <v>0</v>
      </c>
      <c r="AW1358" s="653" t="str">
        <f t="shared" si="178"/>
        <v>{s_taskTalk,{576,0}}</v>
      </c>
    </row>
    <row r="1359" spans="1:49" s="669" customFormat="1" ht="96" x14ac:dyDescent="0.15">
      <c r="A1359" s="669">
        <v>21919</v>
      </c>
      <c r="C1359" s="669" t="s">
        <v>6356</v>
      </c>
      <c r="D1359" s="669">
        <v>4</v>
      </c>
      <c r="E1359" s="669">
        <v>0</v>
      </c>
      <c r="F1359" s="629">
        <v>2</v>
      </c>
      <c r="G1359" s="670">
        <v>90</v>
      </c>
      <c r="H1359" s="669">
        <v>95</v>
      </c>
      <c r="I1359" s="17">
        <v>0</v>
      </c>
      <c r="J1359" s="670">
        <v>0</v>
      </c>
      <c r="K1359" s="669">
        <v>0</v>
      </c>
      <c r="L1359" s="623">
        <v>576</v>
      </c>
      <c r="M1359" s="669" t="s">
        <v>2510</v>
      </c>
      <c r="N1359" s="623">
        <v>0</v>
      </c>
      <c r="O1359" s="669" t="s">
        <v>5237</v>
      </c>
      <c r="P1359" s="669">
        <v>7</v>
      </c>
      <c r="S1359" s="671">
        <v>10190</v>
      </c>
      <c r="U1359" s="669">
        <v>1</v>
      </c>
      <c r="V1359" s="669">
        <v>0</v>
      </c>
      <c r="W1359" s="669">
        <v>0</v>
      </c>
      <c r="X1359" s="623">
        <v>0</v>
      </c>
      <c r="Z1359" s="669">
        <v>0</v>
      </c>
      <c r="AF1359" s="669" t="str">
        <f t="shared" si="181"/>
        <v>title([历练]夺回)
body(hotyellow_3(任务进程:)newline()
      家族的资源遭到了goto(10190,7)的袭击,被抢走了相当多的珍贵物资，去干掉这些家伙。快去将物品带给goto(576,2)吧！
blankline()
   space()space()space()hot2(任务完成后,千万不要忘记向goto(576,2)汇报哦！))</v>
      </c>
      <c r="AG1359" s="669" t="s">
        <v>2519</v>
      </c>
      <c r="AH1359" s="669" t="s">
        <v>114</v>
      </c>
      <c r="AI1359" s="669" t="s">
        <v>110</v>
      </c>
      <c r="AJ1359" s="669" t="s">
        <v>7470</v>
      </c>
      <c r="AK1359" s="669" t="s">
        <v>2523</v>
      </c>
      <c r="AL1359" s="670">
        <v>2</v>
      </c>
      <c r="AM1359" s="669" t="str">
        <f t="shared" si="180"/>
        <v>&lt;p&gt;
&lt;n effect=2&gt;  击杀：&lt;/n&gt;
 &lt;n&gt; &lt;/n&gt;&lt;goto quick=1 id="10190" mapid="7" flagpoint="1" taskid="21919" /&gt;&lt;newline/&gt;
&lt;n effect=2&gt; 夺回1份丢失的货物&lt;/n&gt;
&lt;/p&gt;</v>
      </c>
      <c r="AN1359" s="635" t="s">
        <v>9013</v>
      </c>
      <c r="AP1359" s="669">
        <v>0</v>
      </c>
      <c r="AQ1359" s="669">
        <v>0</v>
      </c>
      <c r="AR1359" s="50">
        <v>1</v>
      </c>
      <c r="AS1359" s="669">
        <v>0</v>
      </c>
      <c r="AT1359" s="669">
        <v>0</v>
      </c>
      <c r="AU1359" s="226">
        <v>0</v>
      </c>
      <c r="AV1359" s="17">
        <f t="shared" si="179"/>
        <v>0</v>
      </c>
      <c r="AW1359" s="653" t="str">
        <f t="shared" si="178"/>
        <v>{s_taskTalk,{576,0}}</v>
      </c>
    </row>
    <row r="1360" spans="1:49" s="669" customFormat="1" ht="96" x14ac:dyDescent="0.15">
      <c r="A1360" s="669">
        <v>21920</v>
      </c>
      <c r="C1360" s="669" t="s">
        <v>6356</v>
      </c>
      <c r="D1360" s="669">
        <v>4</v>
      </c>
      <c r="E1360" s="669">
        <v>0</v>
      </c>
      <c r="F1360" s="629">
        <v>2</v>
      </c>
      <c r="G1360" s="670">
        <v>96</v>
      </c>
      <c r="H1360" s="669">
        <v>200</v>
      </c>
      <c r="I1360" s="17">
        <v>0</v>
      </c>
      <c r="J1360" s="670">
        <v>0</v>
      </c>
      <c r="K1360" s="669">
        <v>0</v>
      </c>
      <c r="L1360" s="623">
        <v>576</v>
      </c>
      <c r="M1360" s="669" t="s">
        <v>2510</v>
      </c>
      <c r="N1360" s="623">
        <v>0</v>
      </c>
      <c r="O1360" s="669" t="s">
        <v>5237</v>
      </c>
      <c r="P1360" s="669">
        <v>7</v>
      </c>
      <c r="S1360" s="672">
        <v>10192</v>
      </c>
      <c r="U1360" s="669">
        <v>1</v>
      </c>
      <c r="V1360" s="669">
        <v>0</v>
      </c>
      <c r="W1360" s="669">
        <v>0</v>
      </c>
      <c r="X1360" s="623">
        <v>0</v>
      </c>
      <c r="Z1360" s="669">
        <v>0</v>
      </c>
      <c r="AF1360" s="669" t="str">
        <f t="shared" si="181"/>
        <v>title([历练]夺回)
body(hotyellow_3(任务进程:)newline()
      家族的资源遭到了goto(10192,7)的袭击,被抢走了相当多的珍贵物资，去干掉这些家伙。快去将物品带给goto(576,2)吧！
blankline()
   space()space()space()hot2(任务完成后,千万不要忘记向goto(576,2)汇报哦！))</v>
      </c>
      <c r="AG1360" s="669" t="s">
        <v>2519</v>
      </c>
      <c r="AH1360" s="669" t="s">
        <v>114</v>
      </c>
      <c r="AI1360" s="669" t="s">
        <v>110</v>
      </c>
      <c r="AJ1360" s="669" t="s">
        <v>7470</v>
      </c>
      <c r="AK1360" s="669" t="s">
        <v>2523</v>
      </c>
      <c r="AL1360" s="670">
        <v>2</v>
      </c>
      <c r="AM1360" s="669" t="str">
        <f t="shared" si="180"/>
        <v>&lt;p&gt;
&lt;n effect=2&gt;  击杀：&lt;/n&gt;
 &lt;n&gt; &lt;/n&gt;&lt;goto quick=1 id="10192" mapid="7" flagpoint="1" taskid="21920" /&gt;&lt;newline/&gt;
&lt;n effect=2&gt; 夺回1份丢失的货物&lt;/n&gt;
&lt;/p&gt;</v>
      </c>
      <c r="AN1360" s="635" t="s">
        <v>9014</v>
      </c>
      <c r="AP1360" s="669">
        <v>0</v>
      </c>
      <c r="AQ1360" s="669">
        <v>0</v>
      </c>
      <c r="AR1360" s="50">
        <v>1</v>
      </c>
      <c r="AS1360" s="669">
        <v>0</v>
      </c>
      <c r="AT1360" s="669">
        <v>0</v>
      </c>
      <c r="AU1360" s="226">
        <v>0</v>
      </c>
      <c r="AV1360" s="17">
        <f t="shared" si="179"/>
        <v>0</v>
      </c>
      <c r="AW1360" s="653" t="str">
        <f t="shared" si="178"/>
        <v>{s_taskTalk,{576,0}}</v>
      </c>
    </row>
    <row r="1361" spans="1:49" s="636" customFormat="1" ht="84" x14ac:dyDescent="0.15">
      <c r="A1361" s="628">
        <v>22001</v>
      </c>
      <c r="B1361" s="629"/>
      <c r="C1361" s="629" t="s">
        <v>6357</v>
      </c>
      <c r="D1361" s="629">
        <v>4</v>
      </c>
      <c r="E1361" s="629">
        <v>0</v>
      </c>
      <c r="F1361" s="629">
        <v>2</v>
      </c>
      <c r="G1361" s="630">
        <v>21</v>
      </c>
      <c r="H1361" s="629">
        <v>28</v>
      </c>
      <c r="I1361" s="17">
        <v>0</v>
      </c>
      <c r="J1361" s="630">
        <v>0</v>
      </c>
      <c r="K1361" s="629">
        <v>0</v>
      </c>
      <c r="L1361" s="623">
        <v>576</v>
      </c>
      <c r="M1361" s="629" t="s">
        <v>2510</v>
      </c>
      <c r="N1361" s="623">
        <v>576</v>
      </c>
      <c r="O1361" s="629" t="s">
        <v>2510</v>
      </c>
      <c r="P1361" s="629">
        <v>2</v>
      </c>
      <c r="Q1361" s="631"/>
      <c r="R1361" s="631"/>
      <c r="S1361" s="673">
        <v>168</v>
      </c>
      <c r="T1361" s="674">
        <v>29</v>
      </c>
      <c r="U1361" s="629">
        <v>1</v>
      </c>
      <c r="V1361" s="629">
        <v>0</v>
      </c>
      <c r="W1361" s="629">
        <v>0</v>
      </c>
      <c r="X1361" s="623">
        <v>0</v>
      </c>
      <c r="Y1361" s="629"/>
      <c r="Z1361" s="632">
        <v>0</v>
      </c>
      <c r="AA1361" s="629"/>
      <c r="AB1361" s="633"/>
      <c r="AC1361" s="633"/>
      <c r="AD1361" s="532" t="s">
        <v>2860</v>
      </c>
      <c r="AE1361" s="634"/>
      <c r="AF1361" s="629" t="str">
        <f>"title("&amp;C1361&amp;")
body(hotyellow_3(任务进程:)newline()
   我们需要查探pos("&amp;S1361&amp;","&amp;T1361&amp;","&amp;P1361&amp;")的情况。你必须使用背包里的遁地符完成探查。切记切记！
blankline()
   space()space()space()hot2(任务完成后,千万不要忘记向goto(576,2)汇报哦！))"</f>
        <v>title([历练]探查)
body(hotyellow_3(任务进程:)newline()
   我们需要查探pos(168,29,2)的情况。你必须使用背包里的遁地符完成探查。切记切记！
blankline()
   space()space()space()hot2(任务完成后,千万不要忘记向goto(576,2)汇报哦！))</v>
      </c>
      <c r="AG1361" s="629" t="s">
        <v>6334</v>
      </c>
      <c r="AH1361" s="629" t="s">
        <v>114</v>
      </c>
      <c r="AI1361" s="629" t="s">
        <v>110</v>
      </c>
      <c r="AJ1361" s="629" t="s">
        <v>7471</v>
      </c>
      <c r="AK1361" s="629" t="s">
        <v>6335</v>
      </c>
      <c r="AL1361" s="630">
        <v>2</v>
      </c>
      <c r="AM1361" s="634" t="str">
        <f>"&lt;p&gt;
&lt;n&gt;  使用遁地符探查：&lt;/n&gt;&lt;goto quick=1 pos="""&amp;S1361&amp;","&amp;T1361&amp;""" mapid="""&amp;P1361&amp;"""  flagpoint=""1""/&gt;
 &lt;n&gt; &lt;/n&gt;
&lt;/p&gt;"</f>
        <v>&lt;p&gt;
&lt;n&gt;  使用遁地符探查：&lt;/n&gt;&lt;goto quick=1 pos="168,29" mapid="2"  flagpoint="1"/&gt;
 &lt;n&gt; &lt;/n&gt;
&lt;/p&gt;</v>
      </c>
      <c r="AN1361" s="635" t="str">
        <f t="shared" si="177"/>
        <v>&lt;n&gt;  交：&lt;/n&gt;
 &lt;n&gt; &lt;/n&gt;&lt;goto quick=1 id="576" mapid="2" flagpoint="1" taskid="22001"/&gt;&lt;/p&gt;</v>
      </c>
      <c r="AO1361" s="629"/>
      <c r="AP1361" s="629">
        <v>0</v>
      </c>
      <c r="AQ1361" s="629">
        <v>0</v>
      </c>
      <c r="AR1361" s="50">
        <v>1</v>
      </c>
      <c r="AS1361" s="629">
        <v>0</v>
      </c>
      <c r="AT1361" s="629">
        <v>0</v>
      </c>
      <c r="AU1361" s="226">
        <v>0</v>
      </c>
      <c r="AV1361" s="17">
        <f t="shared" si="179"/>
        <v>0</v>
      </c>
      <c r="AW1361" s="629" t="str">
        <f t="shared" si="178"/>
        <v>{s_taskTalk,{576,576}}</v>
      </c>
    </row>
    <row r="1362" spans="1:49" s="636" customFormat="1" ht="84" x14ac:dyDescent="0.15">
      <c r="A1362" s="628">
        <v>22002</v>
      </c>
      <c r="B1362" s="629"/>
      <c r="C1362" s="629" t="s">
        <v>6357</v>
      </c>
      <c r="D1362" s="629">
        <v>4</v>
      </c>
      <c r="E1362" s="629">
        <v>0</v>
      </c>
      <c r="F1362" s="629">
        <v>2</v>
      </c>
      <c r="G1362" s="630">
        <v>29</v>
      </c>
      <c r="H1362" s="629">
        <v>40</v>
      </c>
      <c r="I1362" s="17">
        <v>0</v>
      </c>
      <c r="J1362" s="630">
        <v>0</v>
      </c>
      <c r="K1362" s="629">
        <v>0</v>
      </c>
      <c r="L1362" s="623">
        <v>576</v>
      </c>
      <c r="M1362" s="629" t="s">
        <v>2510</v>
      </c>
      <c r="N1362" s="623">
        <v>576</v>
      </c>
      <c r="O1362" s="629" t="s">
        <v>2510</v>
      </c>
      <c r="P1362" s="629">
        <v>2</v>
      </c>
      <c r="Q1362" s="631"/>
      <c r="R1362" s="631"/>
      <c r="S1362" s="675">
        <v>122</v>
      </c>
      <c r="T1362" s="676">
        <v>140</v>
      </c>
      <c r="U1362" s="629">
        <v>1</v>
      </c>
      <c r="V1362" s="629">
        <v>0</v>
      </c>
      <c r="W1362" s="629">
        <v>0</v>
      </c>
      <c r="X1362" s="623">
        <v>0</v>
      </c>
      <c r="Y1362" s="629"/>
      <c r="Z1362" s="632">
        <v>0</v>
      </c>
      <c r="AA1362" s="629"/>
      <c r="AB1362" s="633"/>
      <c r="AC1362" s="633"/>
      <c r="AD1362" s="532" t="s">
        <v>2860</v>
      </c>
      <c r="AE1362" s="634"/>
      <c r="AF1362" s="629" t="str">
        <f t="shared" ref="AF1362:AF1373" si="182">"title("&amp;C1362&amp;")
body(hotyellow_3(任务进程:)newline()
   我们需要查探pos("&amp;S1362&amp;","&amp;T1362&amp;","&amp;P1362&amp;")的情况。你必须使用背包里的遁地符完成探查。切记切记！
blankline()
   space()space()space()hot2(任务完成后,千万不要忘记向goto(576,2)汇报哦！))"</f>
        <v>title([历练]探查)
body(hotyellow_3(任务进程:)newline()
   我们需要查探pos(122,140,2)的情况。你必须使用背包里的遁地符完成探查。切记切记！
blankline()
   space()space()space()hot2(任务完成后,千万不要忘记向goto(576,2)汇报哦！))</v>
      </c>
      <c r="AG1362" s="629" t="s">
        <v>6334</v>
      </c>
      <c r="AH1362" s="629" t="s">
        <v>114</v>
      </c>
      <c r="AI1362" s="629" t="s">
        <v>110</v>
      </c>
      <c r="AJ1362" s="629" t="s">
        <v>7471</v>
      </c>
      <c r="AK1362" s="629" t="s">
        <v>6335</v>
      </c>
      <c r="AL1362" s="630">
        <v>2</v>
      </c>
      <c r="AM1362" s="634" t="str">
        <f>"&lt;p&gt;
&lt;n&gt;  使用遁地符探查：&lt;/n&gt;&lt;goto quick=1 pos="""&amp;S1362&amp;","&amp;T1362&amp;""" mapid="""&amp;P1362&amp;"""  flagpoint=""1""/&gt;
 &lt;n&gt; &lt;/n&gt;
&lt;/p&gt;"</f>
        <v>&lt;p&gt;
&lt;n&gt;  使用遁地符探查：&lt;/n&gt;&lt;goto quick=1 pos="122,140" mapid="2"  flagpoint="1"/&gt;
 &lt;n&gt; &lt;/n&gt;
&lt;/p&gt;</v>
      </c>
      <c r="AN1362" s="635" t="str">
        <f t="shared" si="177"/>
        <v>&lt;n&gt;  交：&lt;/n&gt;
 &lt;n&gt; &lt;/n&gt;&lt;goto quick=1 id="576" mapid="2" flagpoint="1" taskid="22002"/&gt;&lt;/p&gt;</v>
      </c>
      <c r="AO1362" s="629"/>
      <c r="AP1362" s="629">
        <v>0</v>
      </c>
      <c r="AQ1362" s="629">
        <v>0</v>
      </c>
      <c r="AR1362" s="50">
        <v>1</v>
      </c>
      <c r="AS1362" s="629">
        <v>0</v>
      </c>
      <c r="AT1362" s="629">
        <v>0</v>
      </c>
      <c r="AU1362" s="226">
        <v>0</v>
      </c>
      <c r="AV1362" s="17">
        <f t="shared" si="179"/>
        <v>0</v>
      </c>
      <c r="AW1362" s="629" t="str">
        <f t="shared" si="178"/>
        <v>{s_taskTalk,{576,576}}</v>
      </c>
    </row>
    <row r="1363" spans="1:49" s="636" customFormat="1" ht="84" x14ac:dyDescent="0.15">
      <c r="A1363" s="628">
        <v>22003</v>
      </c>
      <c r="B1363" s="629"/>
      <c r="C1363" s="629" t="s">
        <v>6357</v>
      </c>
      <c r="D1363" s="629">
        <v>4</v>
      </c>
      <c r="E1363" s="629">
        <v>0</v>
      </c>
      <c r="F1363" s="629">
        <v>2</v>
      </c>
      <c r="G1363" s="630">
        <v>41</v>
      </c>
      <c r="H1363" s="629">
        <v>45</v>
      </c>
      <c r="I1363" s="17">
        <v>0</v>
      </c>
      <c r="J1363" s="630">
        <v>0</v>
      </c>
      <c r="K1363" s="629">
        <v>0</v>
      </c>
      <c r="L1363" s="623">
        <v>576</v>
      </c>
      <c r="M1363" s="629" t="s">
        <v>2510</v>
      </c>
      <c r="N1363" s="623">
        <v>576</v>
      </c>
      <c r="O1363" s="629" t="s">
        <v>2510</v>
      </c>
      <c r="P1363" s="629">
        <v>6</v>
      </c>
      <c r="Q1363" s="631"/>
      <c r="R1363" s="631"/>
      <c r="S1363" s="675">
        <v>50</v>
      </c>
      <c r="T1363" s="676">
        <v>117</v>
      </c>
      <c r="U1363" s="629">
        <v>1</v>
      </c>
      <c r="V1363" s="629">
        <v>0</v>
      </c>
      <c r="W1363" s="629">
        <v>0</v>
      </c>
      <c r="X1363" s="623">
        <v>0</v>
      </c>
      <c r="Y1363" s="629"/>
      <c r="Z1363" s="632">
        <v>0</v>
      </c>
      <c r="AA1363" s="629"/>
      <c r="AB1363" s="633"/>
      <c r="AC1363" s="633"/>
      <c r="AD1363" s="532" t="s">
        <v>2860</v>
      </c>
      <c r="AE1363" s="634"/>
      <c r="AF1363" s="629" t="str">
        <f t="shared" si="182"/>
        <v>title([历练]探查)
body(hotyellow_3(任务进程:)newline()
   我们需要查探pos(50,117,6)的情况。你必须使用背包里的遁地符完成探查。切记切记！
blankline()
   space()space()space()hot2(任务完成后,千万不要忘记向goto(576,2)汇报哦！))</v>
      </c>
      <c r="AG1363" s="629" t="s">
        <v>6334</v>
      </c>
      <c r="AH1363" s="629" t="s">
        <v>114</v>
      </c>
      <c r="AI1363" s="629" t="s">
        <v>110</v>
      </c>
      <c r="AJ1363" s="629" t="s">
        <v>7471</v>
      </c>
      <c r="AK1363" s="629" t="s">
        <v>6335</v>
      </c>
      <c r="AL1363" s="630">
        <v>2</v>
      </c>
      <c r="AM1363" s="634" t="str">
        <f>"&lt;p&gt;
&lt;n&gt;  使用遁地符探查：&lt;/n&gt;&lt;goto quick=1 pos="""&amp;S1363&amp;","&amp;T1363&amp;""" mapid="""&amp;P1363&amp;"""  flagpoint=""1""/&gt;
 &lt;n&gt; &lt;/n&gt;
&lt;/p&gt;"</f>
        <v>&lt;p&gt;
&lt;n&gt;  使用遁地符探查：&lt;/n&gt;&lt;goto quick=1 pos="50,117" mapid="6"  flagpoint="1"/&gt;
 &lt;n&gt; &lt;/n&gt;
&lt;/p&gt;</v>
      </c>
      <c r="AN1363" s="635" t="str">
        <f t="shared" si="177"/>
        <v>&lt;n&gt;  交：&lt;/n&gt;
 &lt;n&gt; &lt;/n&gt;&lt;goto quick=1 id="576" mapid="2" flagpoint="1" taskid="22003"/&gt;&lt;/p&gt;</v>
      </c>
      <c r="AO1363" s="629"/>
      <c r="AP1363" s="629">
        <v>0</v>
      </c>
      <c r="AQ1363" s="629">
        <v>0</v>
      </c>
      <c r="AR1363" s="50">
        <v>1</v>
      </c>
      <c r="AS1363" s="629">
        <v>0</v>
      </c>
      <c r="AT1363" s="629">
        <v>0</v>
      </c>
      <c r="AU1363" s="226">
        <v>0</v>
      </c>
      <c r="AV1363" s="17">
        <f t="shared" si="179"/>
        <v>0</v>
      </c>
      <c r="AW1363" s="629" t="str">
        <f t="shared" si="178"/>
        <v>{s_taskTalk,{576,576}}</v>
      </c>
    </row>
    <row r="1364" spans="1:49" s="636" customFormat="1" ht="84" x14ac:dyDescent="0.15">
      <c r="A1364" s="628">
        <v>22004</v>
      </c>
      <c r="B1364" s="629"/>
      <c r="C1364" s="629" t="s">
        <v>6357</v>
      </c>
      <c r="D1364" s="629">
        <v>4</v>
      </c>
      <c r="E1364" s="629">
        <v>0</v>
      </c>
      <c r="F1364" s="629">
        <v>2</v>
      </c>
      <c r="G1364" s="630">
        <v>41</v>
      </c>
      <c r="H1364" s="629">
        <v>45</v>
      </c>
      <c r="I1364" s="17">
        <v>0</v>
      </c>
      <c r="J1364" s="630">
        <v>0</v>
      </c>
      <c r="K1364" s="629">
        <v>0</v>
      </c>
      <c r="L1364" s="623">
        <v>576</v>
      </c>
      <c r="M1364" s="629" t="s">
        <v>2510</v>
      </c>
      <c r="N1364" s="623">
        <v>576</v>
      </c>
      <c r="O1364" s="629" t="s">
        <v>2510</v>
      </c>
      <c r="P1364" s="629">
        <v>6</v>
      </c>
      <c r="Q1364" s="631"/>
      <c r="R1364" s="631"/>
      <c r="S1364" s="675">
        <v>21</v>
      </c>
      <c r="T1364" s="676">
        <v>69</v>
      </c>
      <c r="U1364" s="629">
        <v>1</v>
      </c>
      <c r="V1364" s="629">
        <v>0</v>
      </c>
      <c r="W1364" s="629">
        <v>0</v>
      </c>
      <c r="X1364" s="623">
        <v>0</v>
      </c>
      <c r="Y1364" s="629"/>
      <c r="Z1364" s="632">
        <v>0</v>
      </c>
      <c r="AA1364" s="629"/>
      <c r="AB1364" s="633"/>
      <c r="AC1364" s="633"/>
      <c r="AD1364" s="532" t="s">
        <v>2860</v>
      </c>
      <c r="AE1364" s="634"/>
      <c r="AF1364" s="629" t="str">
        <f t="shared" si="182"/>
        <v>title([历练]探查)
body(hotyellow_3(任务进程:)newline()
   我们需要查探pos(21,69,6)的情况。你必须使用背包里的遁地符完成探查。切记切记！
blankline()
   space()space()space()hot2(任务完成后,千万不要忘记向goto(576,2)汇报哦！))</v>
      </c>
      <c r="AG1364" s="629" t="s">
        <v>6334</v>
      </c>
      <c r="AH1364" s="629" t="s">
        <v>114</v>
      </c>
      <c r="AI1364" s="629" t="s">
        <v>110</v>
      </c>
      <c r="AJ1364" s="629" t="s">
        <v>7471</v>
      </c>
      <c r="AK1364" s="629" t="s">
        <v>6335</v>
      </c>
      <c r="AL1364" s="630">
        <v>2</v>
      </c>
      <c r="AM1364" s="634" t="str">
        <f>"&lt;p&gt;
&lt;n&gt;  使用遁地符探查：&lt;/n&gt;&lt;goto quick=1 pos="""&amp;S1364&amp;","&amp;T1364&amp;""" mapid="""&amp;P1364&amp;"""  flagpoint=""1""/&gt;
 &lt;n&gt; &lt;/n&gt;
&lt;/p&gt;"</f>
        <v>&lt;p&gt;
&lt;n&gt;  使用遁地符探查：&lt;/n&gt;&lt;goto quick=1 pos="21,69" mapid="6"  flagpoint="1"/&gt;
 &lt;n&gt; &lt;/n&gt;
&lt;/p&gt;</v>
      </c>
      <c r="AN1364" s="635" t="str">
        <f t="shared" si="177"/>
        <v>&lt;n&gt;  交：&lt;/n&gt;
 &lt;n&gt; &lt;/n&gt;&lt;goto quick=1 id="576" mapid="2" flagpoint="1" taskid="22004"/&gt;&lt;/p&gt;</v>
      </c>
      <c r="AO1364" s="629"/>
      <c r="AP1364" s="629">
        <v>0</v>
      </c>
      <c r="AQ1364" s="629">
        <v>0</v>
      </c>
      <c r="AR1364" s="50">
        <v>1</v>
      </c>
      <c r="AS1364" s="629">
        <v>0</v>
      </c>
      <c r="AT1364" s="629">
        <v>0</v>
      </c>
      <c r="AU1364" s="226">
        <v>0</v>
      </c>
      <c r="AV1364" s="17">
        <f t="shared" si="179"/>
        <v>0</v>
      </c>
      <c r="AW1364" s="629" t="str">
        <f t="shared" si="178"/>
        <v>{s_taskTalk,{576,576}}</v>
      </c>
    </row>
    <row r="1365" spans="1:49" s="636" customFormat="1" ht="84" x14ac:dyDescent="0.15">
      <c r="A1365" s="628">
        <v>22005</v>
      </c>
      <c r="B1365" s="629"/>
      <c r="C1365" s="629" t="s">
        <v>6357</v>
      </c>
      <c r="D1365" s="629">
        <v>4</v>
      </c>
      <c r="E1365" s="629">
        <v>0</v>
      </c>
      <c r="F1365" s="629">
        <v>2</v>
      </c>
      <c r="G1365" s="630">
        <v>46</v>
      </c>
      <c r="H1365" s="629">
        <v>52</v>
      </c>
      <c r="I1365" s="17">
        <v>0</v>
      </c>
      <c r="J1365" s="630">
        <v>0</v>
      </c>
      <c r="K1365" s="629">
        <v>0</v>
      </c>
      <c r="L1365" s="623">
        <v>576</v>
      </c>
      <c r="M1365" s="629" t="s">
        <v>2510</v>
      </c>
      <c r="N1365" s="623">
        <v>576</v>
      </c>
      <c r="O1365" s="629" t="s">
        <v>2510</v>
      </c>
      <c r="P1365" s="629">
        <v>6</v>
      </c>
      <c r="Q1365" s="631"/>
      <c r="R1365" s="631"/>
      <c r="S1365" s="675">
        <v>74</v>
      </c>
      <c r="T1365" s="676">
        <v>19</v>
      </c>
      <c r="U1365" s="629">
        <v>1</v>
      </c>
      <c r="V1365" s="629">
        <v>0</v>
      </c>
      <c r="W1365" s="629">
        <v>0</v>
      </c>
      <c r="X1365" s="623">
        <v>0</v>
      </c>
      <c r="Y1365" s="629"/>
      <c r="Z1365" s="632">
        <v>0</v>
      </c>
      <c r="AA1365" s="629"/>
      <c r="AB1365" s="633"/>
      <c r="AC1365" s="633"/>
      <c r="AD1365" s="532" t="s">
        <v>2860</v>
      </c>
      <c r="AE1365" s="634"/>
      <c r="AF1365" s="629" t="str">
        <f t="shared" si="182"/>
        <v>title([历练]探查)
body(hotyellow_3(任务进程:)newline()
   我们需要查探pos(74,19,6)的情况。你必须使用背包里的遁地符完成探查。切记切记！
blankline()
   space()space()space()hot2(任务完成后,千万不要忘记向goto(576,2)汇报哦！))</v>
      </c>
      <c r="AG1365" s="629" t="s">
        <v>6334</v>
      </c>
      <c r="AH1365" s="629" t="s">
        <v>114</v>
      </c>
      <c r="AI1365" s="629" t="s">
        <v>110</v>
      </c>
      <c r="AJ1365" s="629" t="s">
        <v>7471</v>
      </c>
      <c r="AK1365" s="629" t="s">
        <v>6335</v>
      </c>
      <c r="AL1365" s="630">
        <v>2</v>
      </c>
      <c r="AM1365" s="634" t="str">
        <f t="shared" ref="AM1365:AM1373" si="183">"&lt;p&gt;
&lt;n&gt;  使用遁地符探查：&lt;/n&gt;&lt;goto quick=1 pos="""&amp;S1365&amp;","&amp;T1365&amp;""" mapid="""&amp;P1365&amp;"""  flagpoint=""1""/&gt;
 &lt;n&gt; &lt;/n&gt;
&lt;/p&gt;"</f>
        <v>&lt;p&gt;
&lt;n&gt;  使用遁地符探查：&lt;/n&gt;&lt;goto quick=1 pos="74,19" mapid="6"  flagpoint="1"/&gt;
 &lt;n&gt; &lt;/n&gt;
&lt;/p&gt;</v>
      </c>
      <c r="AN1365" s="635" t="str">
        <f t="shared" si="177"/>
        <v>&lt;n&gt;  交：&lt;/n&gt;
 &lt;n&gt; &lt;/n&gt;&lt;goto quick=1 id="576" mapid="2" flagpoint="1" taskid="22005"/&gt;&lt;/p&gt;</v>
      </c>
      <c r="AO1365" s="629"/>
      <c r="AP1365" s="629">
        <v>0</v>
      </c>
      <c r="AQ1365" s="629">
        <v>0</v>
      </c>
      <c r="AR1365" s="50">
        <v>1</v>
      </c>
      <c r="AS1365" s="629">
        <v>0</v>
      </c>
      <c r="AT1365" s="629">
        <v>0</v>
      </c>
      <c r="AU1365" s="226">
        <v>0</v>
      </c>
      <c r="AV1365" s="17">
        <f t="shared" si="179"/>
        <v>0</v>
      </c>
      <c r="AW1365" s="629" t="str">
        <f t="shared" si="178"/>
        <v>{s_taskTalk,{576,576}}</v>
      </c>
    </row>
    <row r="1366" spans="1:49" s="636" customFormat="1" ht="84" x14ac:dyDescent="0.15">
      <c r="A1366" s="628">
        <v>22006</v>
      </c>
      <c r="B1366" s="629"/>
      <c r="C1366" s="629" t="s">
        <v>6357</v>
      </c>
      <c r="D1366" s="629">
        <v>4</v>
      </c>
      <c r="E1366" s="629">
        <v>0</v>
      </c>
      <c r="F1366" s="629">
        <v>2</v>
      </c>
      <c r="G1366" s="630">
        <v>46</v>
      </c>
      <c r="H1366" s="629">
        <v>52</v>
      </c>
      <c r="I1366" s="17">
        <v>0</v>
      </c>
      <c r="J1366" s="630">
        <v>0</v>
      </c>
      <c r="K1366" s="629">
        <v>0</v>
      </c>
      <c r="L1366" s="623">
        <v>576</v>
      </c>
      <c r="M1366" s="629" t="s">
        <v>2510</v>
      </c>
      <c r="N1366" s="623">
        <v>576</v>
      </c>
      <c r="O1366" s="629" t="s">
        <v>2510</v>
      </c>
      <c r="P1366" s="629">
        <v>6</v>
      </c>
      <c r="Q1366" s="631"/>
      <c r="R1366" s="631"/>
      <c r="S1366" s="673">
        <v>63</v>
      </c>
      <c r="T1366" s="676">
        <v>33</v>
      </c>
      <c r="U1366" s="629">
        <v>1</v>
      </c>
      <c r="V1366" s="629">
        <v>0</v>
      </c>
      <c r="W1366" s="629">
        <v>0</v>
      </c>
      <c r="X1366" s="623">
        <v>0</v>
      </c>
      <c r="Y1366" s="629"/>
      <c r="Z1366" s="632">
        <v>0</v>
      </c>
      <c r="AA1366" s="629"/>
      <c r="AB1366" s="633"/>
      <c r="AC1366" s="633"/>
      <c r="AD1366" s="532" t="s">
        <v>2860</v>
      </c>
      <c r="AE1366" s="634"/>
      <c r="AF1366" s="629" t="str">
        <f t="shared" si="182"/>
        <v>title([历练]探查)
body(hotyellow_3(任务进程:)newline()
   我们需要查探pos(63,33,6)的情况。你必须使用背包里的遁地符完成探查。切记切记！
blankline()
   space()space()space()hot2(任务完成后,千万不要忘记向goto(576,2)汇报哦！))</v>
      </c>
      <c r="AG1366" s="629" t="s">
        <v>6334</v>
      </c>
      <c r="AH1366" s="629" t="s">
        <v>114</v>
      </c>
      <c r="AI1366" s="629" t="s">
        <v>110</v>
      </c>
      <c r="AJ1366" s="629" t="s">
        <v>7471</v>
      </c>
      <c r="AK1366" s="629" t="s">
        <v>6335</v>
      </c>
      <c r="AL1366" s="630">
        <v>2</v>
      </c>
      <c r="AM1366" s="634" t="str">
        <f t="shared" si="183"/>
        <v>&lt;p&gt;
&lt;n&gt;  使用遁地符探查：&lt;/n&gt;&lt;goto quick=1 pos="63,33" mapid="6"  flagpoint="1"/&gt;
 &lt;n&gt; &lt;/n&gt;
&lt;/p&gt;</v>
      </c>
      <c r="AN1366" s="635" t="str">
        <f t="shared" si="177"/>
        <v>&lt;n&gt;  交：&lt;/n&gt;
 &lt;n&gt; &lt;/n&gt;&lt;goto quick=1 id="576" mapid="2" flagpoint="1" taskid="22006"/&gt;&lt;/p&gt;</v>
      </c>
      <c r="AO1366" s="629"/>
      <c r="AP1366" s="629">
        <v>0</v>
      </c>
      <c r="AQ1366" s="629">
        <v>0</v>
      </c>
      <c r="AR1366" s="50">
        <v>1</v>
      </c>
      <c r="AS1366" s="629">
        <v>0</v>
      </c>
      <c r="AT1366" s="629">
        <v>0</v>
      </c>
      <c r="AU1366" s="226">
        <v>0</v>
      </c>
      <c r="AV1366" s="17">
        <f t="shared" si="179"/>
        <v>0</v>
      </c>
      <c r="AW1366" s="629" t="str">
        <f t="shared" ref="AW1366:AW1373" si="184">"{s_taskTalk,{"&amp;L1366&amp;","&amp;N1366&amp;"}}"</f>
        <v>{s_taskTalk,{576,576}}</v>
      </c>
    </row>
    <row r="1367" spans="1:49" s="636" customFormat="1" ht="84" x14ac:dyDescent="0.15">
      <c r="A1367" s="628">
        <v>22007</v>
      </c>
      <c r="B1367" s="629"/>
      <c r="C1367" s="629" t="s">
        <v>6357</v>
      </c>
      <c r="D1367" s="629">
        <v>4</v>
      </c>
      <c r="E1367" s="629">
        <v>0</v>
      </c>
      <c r="F1367" s="629">
        <v>2</v>
      </c>
      <c r="G1367" s="630">
        <v>53</v>
      </c>
      <c r="H1367" s="629">
        <v>60</v>
      </c>
      <c r="I1367" s="17">
        <v>0</v>
      </c>
      <c r="J1367" s="630">
        <v>0</v>
      </c>
      <c r="K1367" s="629">
        <v>0</v>
      </c>
      <c r="L1367" s="623">
        <v>576</v>
      </c>
      <c r="M1367" s="629" t="s">
        <v>2510</v>
      </c>
      <c r="N1367" s="623">
        <v>576</v>
      </c>
      <c r="O1367" s="629" t="s">
        <v>2510</v>
      </c>
      <c r="P1367" s="629">
        <v>4</v>
      </c>
      <c r="Q1367" s="631"/>
      <c r="R1367" s="631"/>
      <c r="S1367" s="675">
        <v>130</v>
      </c>
      <c r="T1367" s="676">
        <v>99</v>
      </c>
      <c r="U1367" s="629">
        <v>1</v>
      </c>
      <c r="V1367" s="629">
        <v>0</v>
      </c>
      <c r="W1367" s="629">
        <v>0</v>
      </c>
      <c r="X1367" s="623">
        <v>0</v>
      </c>
      <c r="Y1367" s="629"/>
      <c r="Z1367" s="632">
        <v>0</v>
      </c>
      <c r="AA1367" s="629"/>
      <c r="AB1367" s="633"/>
      <c r="AC1367" s="633"/>
      <c r="AD1367" s="532" t="s">
        <v>2860</v>
      </c>
      <c r="AE1367" s="634"/>
      <c r="AF1367" s="629" t="str">
        <f t="shared" si="182"/>
        <v>title([历练]探查)
body(hotyellow_3(任务进程:)newline()
   我们需要查探pos(130,99,4)的情况。你必须使用背包里的遁地符完成探查。切记切记！
blankline()
   space()space()space()hot2(任务完成后,千万不要忘记向goto(576,2)汇报哦！))</v>
      </c>
      <c r="AG1367" s="629" t="s">
        <v>6334</v>
      </c>
      <c r="AH1367" s="629" t="s">
        <v>114</v>
      </c>
      <c r="AI1367" s="629" t="s">
        <v>110</v>
      </c>
      <c r="AJ1367" s="629" t="s">
        <v>7471</v>
      </c>
      <c r="AK1367" s="629" t="s">
        <v>6335</v>
      </c>
      <c r="AL1367" s="630">
        <v>2</v>
      </c>
      <c r="AM1367" s="634" t="str">
        <f t="shared" si="183"/>
        <v>&lt;p&gt;
&lt;n&gt;  使用遁地符探查：&lt;/n&gt;&lt;goto quick=1 pos="130,99" mapid="4"  flagpoint="1"/&gt;
 &lt;n&gt; &lt;/n&gt;
&lt;/p&gt;</v>
      </c>
      <c r="AN1367" s="635" t="str">
        <f t="shared" si="177"/>
        <v>&lt;n&gt;  交：&lt;/n&gt;
 &lt;n&gt; &lt;/n&gt;&lt;goto quick=1 id="576" mapid="2" flagpoint="1" taskid="22007"/&gt;&lt;/p&gt;</v>
      </c>
      <c r="AO1367" s="629"/>
      <c r="AP1367" s="629">
        <v>0</v>
      </c>
      <c r="AQ1367" s="629">
        <v>0</v>
      </c>
      <c r="AR1367" s="50">
        <v>1</v>
      </c>
      <c r="AS1367" s="629">
        <v>0</v>
      </c>
      <c r="AT1367" s="629">
        <v>0</v>
      </c>
      <c r="AU1367" s="226">
        <v>0</v>
      </c>
      <c r="AV1367" s="17">
        <f t="shared" si="179"/>
        <v>0</v>
      </c>
      <c r="AW1367" s="629" t="str">
        <f t="shared" si="184"/>
        <v>{s_taskTalk,{576,576}}</v>
      </c>
    </row>
    <row r="1368" spans="1:49" s="636" customFormat="1" ht="84" x14ac:dyDescent="0.15">
      <c r="A1368" s="628">
        <v>22008</v>
      </c>
      <c r="B1368" s="629"/>
      <c r="C1368" s="629" t="s">
        <v>6357</v>
      </c>
      <c r="D1368" s="629">
        <v>4</v>
      </c>
      <c r="E1368" s="629">
        <v>0</v>
      </c>
      <c r="F1368" s="629">
        <v>2</v>
      </c>
      <c r="G1368" s="630">
        <v>53</v>
      </c>
      <c r="H1368" s="629">
        <v>60</v>
      </c>
      <c r="I1368" s="17">
        <v>0</v>
      </c>
      <c r="J1368" s="630">
        <v>0</v>
      </c>
      <c r="K1368" s="629">
        <v>0</v>
      </c>
      <c r="L1368" s="623">
        <v>576</v>
      </c>
      <c r="M1368" s="629" t="s">
        <v>2510</v>
      </c>
      <c r="N1368" s="623">
        <v>576</v>
      </c>
      <c r="O1368" s="629" t="s">
        <v>2510</v>
      </c>
      <c r="P1368" s="629">
        <v>4</v>
      </c>
      <c r="Q1368" s="631"/>
      <c r="R1368" s="631"/>
      <c r="S1368" s="673">
        <v>70</v>
      </c>
      <c r="T1368" s="674">
        <v>192</v>
      </c>
      <c r="U1368" s="629">
        <v>1</v>
      </c>
      <c r="V1368" s="629">
        <v>0</v>
      </c>
      <c r="W1368" s="629">
        <v>0</v>
      </c>
      <c r="X1368" s="623">
        <v>0</v>
      </c>
      <c r="Y1368" s="629"/>
      <c r="Z1368" s="632">
        <v>0</v>
      </c>
      <c r="AA1368" s="629"/>
      <c r="AB1368" s="633"/>
      <c r="AC1368" s="633"/>
      <c r="AD1368" s="532" t="s">
        <v>2860</v>
      </c>
      <c r="AE1368" s="634"/>
      <c r="AF1368" s="629" t="str">
        <f t="shared" si="182"/>
        <v>title([历练]探查)
body(hotyellow_3(任务进程:)newline()
   我们需要查探pos(70,192,4)的情况。你必须使用背包里的遁地符完成探查。切记切记！
blankline()
   space()space()space()hot2(任务完成后,千万不要忘记向goto(576,2)汇报哦！))</v>
      </c>
      <c r="AG1368" s="629" t="s">
        <v>6334</v>
      </c>
      <c r="AH1368" s="629" t="s">
        <v>114</v>
      </c>
      <c r="AI1368" s="629" t="s">
        <v>110</v>
      </c>
      <c r="AJ1368" s="629" t="s">
        <v>7471</v>
      </c>
      <c r="AK1368" s="629" t="s">
        <v>6335</v>
      </c>
      <c r="AL1368" s="630">
        <v>2</v>
      </c>
      <c r="AM1368" s="634" t="str">
        <f t="shared" si="183"/>
        <v>&lt;p&gt;
&lt;n&gt;  使用遁地符探查：&lt;/n&gt;&lt;goto quick=1 pos="70,192" mapid="4"  flagpoint="1"/&gt;
 &lt;n&gt; &lt;/n&gt;
&lt;/p&gt;</v>
      </c>
      <c r="AN1368" s="635" t="str">
        <f t="shared" si="177"/>
        <v>&lt;n&gt;  交：&lt;/n&gt;
 &lt;n&gt; &lt;/n&gt;&lt;goto quick=1 id="576" mapid="2" flagpoint="1" taskid="22008"/&gt;&lt;/p&gt;</v>
      </c>
      <c r="AO1368" s="629"/>
      <c r="AP1368" s="629">
        <v>0</v>
      </c>
      <c r="AQ1368" s="629">
        <v>0</v>
      </c>
      <c r="AR1368" s="50">
        <v>1</v>
      </c>
      <c r="AS1368" s="629">
        <v>0</v>
      </c>
      <c r="AT1368" s="629">
        <v>0</v>
      </c>
      <c r="AU1368" s="226">
        <v>0</v>
      </c>
      <c r="AV1368" s="17">
        <f t="shared" si="179"/>
        <v>0</v>
      </c>
      <c r="AW1368" s="629" t="str">
        <f t="shared" si="184"/>
        <v>{s_taskTalk,{576,576}}</v>
      </c>
    </row>
    <row r="1369" spans="1:49" s="636" customFormat="1" ht="84" x14ac:dyDescent="0.15">
      <c r="A1369" s="628">
        <v>22009</v>
      </c>
      <c r="B1369" s="629"/>
      <c r="C1369" s="629" t="s">
        <v>6357</v>
      </c>
      <c r="D1369" s="629">
        <v>4</v>
      </c>
      <c r="E1369" s="629">
        <v>0</v>
      </c>
      <c r="F1369" s="629">
        <v>2</v>
      </c>
      <c r="G1369" s="630">
        <v>61</v>
      </c>
      <c r="H1369" s="629">
        <v>200</v>
      </c>
      <c r="I1369" s="17">
        <v>0</v>
      </c>
      <c r="J1369" s="630">
        <v>0</v>
      </c>
      <c r="K1369" s="629">
        <v>0</v>
      </c>
      <c r="L1369" s="623">
        <v>576</v>
      </c>
      <c r="M1369" s="629" t="s">
        <v>2510</v>
      </c>
      <c r="N1369" s="623">
        <v>576</v>
      </c>
      <c r="O1369" s="629" t="s">
        <v>2510</v>
      </c>
      <c r="P1369" s="629">
        <v>5</v>
      </c>
      <c r="Q1369" s="631"/>
      <c r="R1369" s="631"/>
      <c r="S1369" s="675">
        <v>70</v>
      </c>
      <c r="T1369" s="676">
        <v>209</v>
      </c>
      <c r="U1369" s="629">
        <v>1</v>
      </c>
      <c r="V1369" s="629">
        <v>0</v>
      </c>
      <c r="W1369" s="629">
        <v>0</v>
      </c>
      <c r="X1369" s="623">
        <v>0</v>
      </c>
      <c r="Y1369" s="629"/>
      <c r="Z1369" s="632">
        <v>0</v>
      </c>
      <c r="AA1369" s="629"/>
      <c r="AB1369" s="633"/>
      <c r="AC1369" s="633"/>
      <c r="AD1369" s="532" t="s">
        <v>2860</v>
      </c>
      <c r="AE1369" s="634"/>
      <c r="AF1369" s="629" t="str">
        <f t="shared" si="182"/>
        <v>title([历练]探查)
body(hotyellow_3(任务进程:)newline()
   我们需要查探pos(70,209,5)的情况。你必须使用背包里的遁地符完成探查。切记切记！
blankline()
   space()space()space()hot2(任务完成后,千万不要忘记向goto(576,2)汇报哦！))</v>
      </c>
      <c r="AG1369" s="629" t="s">
        <v>6334</v>
      </c>
      <c r="AH1369" s="629" t="s">
        <v>114</v>
      </c>
      <c r="AI1369" s="629" t="s">
        <v>110</v>
      </c>
      <c r="AJ1369" s="629" t="s">
        <v>7471</v>
      </c>
      <c r="AK1369" s="629" t="s">
        <v>6335</v>
      </c>
      <c r="AL1369" s="630">
        <v>2</v>
      </c>
      <c r="AM1369" s="634" t="str">
        <f t="shared" si="183"/>
        <v>&lt;p&gt;
&lt;n&gt;  使用遁地符探查：&lt;/n&gt;&lt;goto quick=1 pos="70,209" mapid="5"  flagpoint="1"/&gt;
 &lt;n&gt; &lt;/n&gt;
&lt;/p&gt;</v>
      </c>
      <c r="AN1369" s="635" t="str">
        <f t="shared" ref="AN1369:AN1400" si="185">"&lt;n&gt;  交：&lt;/n&gt;
 &lt;n&gt; &lt;/n&gt;&lt;goto quick=1 id="""&amp;N1369&amp;""" mapid="""&amp;F1369&amp;""" flagpoint=""1"" taskid="""&amp;A1369&amp;"""/&gt;&lt;/p&gt;"</f>
        <v>&lt;n&gt;  交：&lt;/n&gt;
 &lt;n&gt; &lt;/n&gt;&lt;goto quick=1 id="576" mapid="2" flagpoint="1" taskid="22009"/&gt;&lt;/p&gt;</v>
      </c>
      <c r="AO1369" s="629"/>
      <c r="AP1369" s="629">
        <v>0</v>
      </c>
      <c r="AQ1369" s="629">
        <v>0</v>
      </c>
      <c r="AR1369" s="50">
        <v>1</v>
      </c>
      <c r="AS1369" s="629">
        <v>0</v>
      </c>
      <c r="AT1369" s="629">
        <v>0</v>
      </c>
      <c r="AU1369" s="226">
        <v>0</v>
      </c>
      <c r="AV1369" s="17">
        <f t="shared" si="179"/>
        <v>0</v>
      </c>
      <c r="AW1369" s="629" t="str">
        <f t="shared" si="184"/>
        <v>{s_taskTalk,{576,576}}</v>
      </c>
    </row>
    <row r="1370" spans="1:49" s="636" customFormat="1" ht="84" x14ac:dyDescent="0.15">
      <c r="A1370" s="628">
        <v>22010</v>
      </c>
      <c r="B1370" s="629"/>
      <c r="C1370" s="629" t="s">
        <v>6357</v>
      </c>
      <c r="D1370" s="629">
        <v>4</v>
      </c>
      <c r="E1370" s="629">
        <v>0</v>
      </c>
      <c r="F1370" s="629">
        <v>2</v>
      </c>
      <c r="G1370" s="630">
        <v>61</v>
      </c>
      <c r="H1370" s="629">
        <v>200</v>
      </c>
      <c r="I1370" s="17">
        <v>0</v>
      </c>
      <c r="J1370" s="630">
        <v>0</v>
      </c>
      <c r="K1370" s="629">
        <v>0</v>
      </c>
      <c r="L1370" s="623">
        <v>576</v>
      </c>
      <c r="M1370" s="629" t="s">
        <v>2510</v>
      </c>
      <c r="N1370" s="623">
        <v>576</v>
      </c>
      <c r="O1370" s="629" t="s">
        <v>2510</v>
      </c>
      <c r="P1370" s="629">
        <v>5</v>
      </c>
      <c r="Q1370" s="631"/>
      <c r="R1370" s="631"/>
      <c r="S1370" s="675">
        <v>6</v>
      </c>
      <c r="T1370" s="676">
        <v>38</v>
      </c>
      <c r="U1370" s="629">
        <v>1</v>
      </c>
      <c r="V1370" s="629">
        <v>0</v>
      </c>
      <c r="W1370" s="629">
        <v>0</v>
      </c>
      <c r="X1370" s="623">
        <v>0</v>
      </c>
      <c r="Y1370" s="629"/>
      <c r="Z1370" s="632">
        <v>0</v>
      </c>
      <c r="AA1370" s="629"/>
      <c r="AB1370" s="633"/>
      <c r="AC1370" s="633"/>
      <c r="AD1370" s="532" t="s">
        <v>2860</v>
      </c>
      <c r="AE1370" s="634"/>
      <c r="AF1370" s="629" t="str">
        <f t="shared" si="182"/>
        <v>title([历练]探查)
body(hotyellow_3(任务进程:)newline()
   我们需要查探pos(6,38,5)的情况。你必须使用背包里的遁地符完成探查。切记切记！
blankline()
   space()space()space()hot2(任务完成后,千万不要忘记向goto(576,2)汇报哦！))</v>
      </c>
      <c r="AG1370" s="629" t="s">
        <v>6334</v>
      </c>
      <c r="AH1370" s="629" t="s">
        <v>114</v>
      </c>
      <c r="AI1370" s="629" t="s">
        <v>110</v>
      </c>
      <c r="AJ1370" s="629" t="s">
        <v>7471</v>
      </c>
      <c r="AK1370" s="629" t="s">
        <v>6335</v>
      </c>
      <c r="AL1370" s="630">
        <v>2</v>
      </c>
      <c r="AM1370" s="634" t="str">
        <f t="shared" si="183"/>
        <v>&lt;p&gt;
&lt;n&gt;  使用遁地符探查：&lt;/n&gt;&lt;goto quick=1 pos="6,38" mapid="5"  flagpoint="1"/&gt;
 &lt;n&gt; &lt;/n&gt;
&lt;/p&gt;</v>
      </c>
      <c r="AN1370" s="635" t="str">
        <f t="shared" si="185"/>
        <v>&lt;n&gt;  交：&lt;/n&gt;
 &lt;n&gt; &lt;/n&gt;&lt;goto quick=1 id="576" mapid="2" flagpoint="1" taskid="22010"/&gt;&lt;/p&gt;</v>
      </c>
      <c r="AO1370" s="629"/>
      <c r="AP1370" s="629">
        <v>0</v>
      </c>
      <c r="AQ1370" s="629">
        <v>0</v>
      </c>
      <c r="AR1370" s="50">
        <v>1</v>
      </c>
      <c r="AS1370" s="629">
        <v>0</v>
      </c>
      <c r="AT1370" s="629">
        <v>0</v>
      </c>
      <c r="AU1370" s="226">
        <v>0</v>
      </c>
      <c r="AV1370" s="17">
        <f t="shared" si="179"/>
        <v>0</v>
      </c>
      <c r="AW1370" s="629" t="str">
        <f t="shared" si="184"/>
        <v>{s_taskTalk,{576,576}}</v>
      </c>
    </row>
    <row r="1371" spans="1:49" s="636" customFormat="1" ht="84" x14ac:dyDescent="0.15">
      <c r="A1371" s="628">
        <v>22011</v>
      </c>
      <c r="B1371" s="629"/>
      <c r="C1371" s="629" t="s">
        <v>6357</v>
      </c>
      <c r="D1371" s="629">
        <v>4</v>
      </c>
      <c r="E1371" s="629">
        <v>0</v>
      </c>
      <c r="F1371" s="629">
        <v>2</v>
      </c>
      <c r="G1371" s="630">
        <v>61</v>
      </c>
      <c r="H1371" s="629">
        <v>200</v>
      </c>
      <c r="I1371" s="17">
        <v>0</v>
      </c>
      <c r="J1371" s="630">
        <v>0</v>
      </c>
      <c r="K1371" s="629">
        <v>0</v>
      </c>
      <c r="L1371" s="623">
        <v>576</v>
      </c>
      <c r="M1371" s="629" t="s">
        <v>2510</v>
      </c>
      <c r="N1371" s="623">
        <v>576</v>
      </c>
      <c r="O1371" s="629" t="s">
        <v>2510</v>
      </c>
      <c r="P1371" s="26">
        <v>7</v>
      </c>
      <c r="Q1371" s="43"/>
      <c r="R1371" s="43"/>
      <c r="S1371" s="673">
        <v>55</v>
      </c>
      <c r="T1371" s="674">
        <v>127</v>
      </c>
      <c r="U1371" s="629">
        <v>1</v>
      </c>
      <c r="V1371" s="629">
        <v>0</v>
      </c>
      <c r="W1371" s="629">
        <v>0</v>
      </c>
      <c r="X1371" s="623">
        <v>0</v>
      </c>
      <c r="Y1371" s="629"/>
      <c r="Z1371" s="632">
        <v>0</v>
      </c>
      <c r="AA1371" s="629"/>
      <c r="AB1371" s="633"/>
      <c r="AC1371" s="633"/>
      <c r="AD1371" s="532" t="s">
        <v>2860</v>
      </c>
      <c r="AE1371" s="634"/>
      <c r="AF1371" s="629" t="str">
        <f t="shared" si="182"/>
        <v>title([历练]探查)
body(hotyellow_3(任务进程:)newline()
   我们需要查探pos(55,127,7)的情况。你必须使用背包里的遁地符完成探查。切记切记！
blankline()
   space()space()space()hot2(任务完成后,千万不要忘记向goto(576,2)汇报哦！))</v>
      </c>
      <c r="AG1371" s="629" t="s">
        <v>6334</v>
      </c>
      <c r="AH1371" s="629" t="s">
        <v>114</v>
      </c>
      <c r="AI1371" s="629" t="s">
        <v>110</v>
      </c>
      <c r="AJ1371" s="629" t="s">
        <v>7471</v>
      </c>
      <c r="AK1371" s="629" t="s">
        <v>6335</v>
      </c>
      <c r="AL1371" s="630">
        <v>2</v>
      </c>
      <c r="AM1371" s="634" t="str">
        <f t="shared" si="183"/>
        <v>&lt;p&gt;
&lt;n&gt;  使用遁地符探查：&lt;/n&gt;&lt;goto quick=1 pos="55,127" mapid="7"  flagpoint="1"/&gt;
 &lt;n&gt; &lt;/n&gt;
&lt;/p&gt;</v>
      </c>
      <c r="AN1371" s="635" t="str">
        <f t="shared" si="185"/>
        <v>&lt;n&gt;  交：&lt;/n&gt;
 &lt;n&gt; &lt;/n&gt;&lt;goto quick=1 id="576" mapid="2" flagpoint="1" taskid="22011"/&gt;&lt;/p&gt;</v>
      </c>
      <c r="AO1371" s="629"/>
      <c r="AP1371" s="629">
        <v>0</v>
      </c>
      <c r="AQ1371" s="629">
        <v>0</v>
      </c>
      <c r="AR1371" s="50">
        <v>1</v>
      </c>
      <c r="AS1371" s="629">
        <v>0</v>
      </c>
      <c r="AT1371" s="629">
        <v>0</v>
      </c>
      <c r="AU1371" s="226">
        <v>0</v>
      </c>
      <c r="AV1371" s="17">
        <f t="shared" si="179"/>
        <v>0</v>
      </c>
      <c r="AW1371" s="629" t="str">
        <f t="shared" si="184"/>
        <v>{s_taskTalk,{576,576}}</v>
      </c>
    </row>
    <row r="1372" spans="1:49" s="636" customFormat="1" ht="84" x14ac:dyDescent="0.15">
      <c r="A1372" s="628">
        <v>22012</v>
      </c>
      <c r="B1372" s="629"/>
      <c r="C1372" s="629" t="s">
        <v>6357</v>
      </c>
      <c r="D1372" s="629">
        <v>4</v>
      </c>
      <c r="E1372" s="629">
        <v>0</v>
      </c>
      <c r="F1372" s="629">
        <v>2</v>
      </c>
      <c r="G1372" s="630">
        <v>61</v>
      </c>
      <c r="H1372" s="629">
        <v>200</v>
      </c>
      <c r="I1372" s="17">
        <v>0</v>
      </c>
      <c r="J1372" s="630">
        <v>0</v>
      </c>
      <c r="K1372" s="629">
        <v>0</v>
      </c>
      <c r="L1372" s="623">
        <v>576</v>
      </c>
      <c r="M1372" s="629" t="s">
        <v>2510</v>
      </c>
      <c r="N1372" s="623">
        <v>576</v>
      </c>
      <c r="O1372" s="629" t="s">
        <v>2510</v>
      </c>
      <c r="P1372" s="629">
        <v>5</v>
      </c>
      <c r="Q1372" s="631"/>
      <c r="R1372" s="631"/>
      <c r="S1372" s="675">
        <v>198</v>
      </c>
      <c r="T1372" s="676">
        <v>195</v>
      </c>
      <c r="U1372" s="629">
        <v>1</v>
      </c>
      <c r="V1372" s="629">
        <v>0</v>
      </c>
      <c r="W1372" s="629">
        <v>0</v>
      </c>
      <c r="X1372" s="623">
        <v>0</v>
      </c>
      <c r="Y1372" s="629"/>
      <c r="Z1372" s="632">
        <v>0</v>
      </c>
      <c r="AA1372" s="629"/>
      <c r="AB1372" s="633"/>
      <c r="AC1372" s="633"/>
      <c r="AD1372" s="532" t="s">
        <v>2860</v>
      </c>
      <c r="AE1372" s="634"/>
      <c r="AF1372" s="629" t="str">
        <f t="shared" si="182"/>
        <v>title([历练]探查)
body(hotyellow_3(任务进程:)newline()
   我们需要查探pos(198,195,5)的情况。你必须使用背包里的遁地符完成探查。切记切记！
blankline()
   space()space()space()hot2(任务完成后,千万不要忘记向goto(576,2)汇报哦！))</v>
      </c>
      <c r="AG1372" s="629" t="s">
        <v>6334</v>
      </c>
      <c r="AH1372" s="629" t="s">
        <v>114</v>
      </c>
      <c r="AI1372" s="629" t="s">
        <v>110</v>
      </c>
      <c r="AJ1372" s="629" t="s">
        <v>7471</v>
      </c>
      <c r="AK1372" s="629" t="s">
        <v>6335</v>
      </c>
      <c r="AL1372" s="630">
        <v>2</v>
      </c>
      <c r="AM1372" s="634" t="str">
        <f t="shared" si="183"/>
        <v>&lt;p&gt;
&lt;n&gt;  使用遁地符探查：&lt;/n&gt;&lt;goto quick=1 pos="198,195" mapid="5"  flagpoint="1"/&gt;
 &lt;n&gt; &lt;/n&gt;
&lt;/p&gt;</v>
      </c>
      <c r="AN1372" s="635" t="str">
        <f t="shared" si="185"/>
        <v>&lt;n&gt;  交：&lt;/n&gt;
 &lt;n&gt; &lt;/n&gt;&lt;goto quick=1 id="576" mapid="2" flagpoint="1" taskid="22012"/&gt;&lt;/p&gt;</v>
      </c>
      <c r="AO1372" s="629"/>
      <c r="AP1372" s="629">
        <v>0</v>
      </c>
      <c r="AQ1372" s="629">
        <v>0</v>
      </c>
      <c r="AR1372" s="50">
        <v>1</v>
      </c>
      <c r="AS1372" s="629">
        <v>0</v>
      </c>
      <c r="AT1372" s="629">
        <v>0</v>
      </c>
      <c r="AU1372" s="226">
        <v>0</v>
      </c>
      <c r="AV1372" s="17">
        <f t="shared" si="179"/>
        <v>0</v>
      </c>
      <c r="AW1372" s="629" t="str">
        <f t="shared" si="184"/>
        <v>{s_taskTalk,{576,576}}</v>
      </c>
    </row>
    <row r="1373" spans="1:49" s="636" customFormat="1" ht="84" x14ac:dyDescent="0.15">
      <c r="A1373" s="628">
        <v>22013</v>
      </c>
      <c r="B1373" s="629"/>
      <c r="C1373" s="629" t="s">
        <v>6357</v>
      </c>
      <c r="D1373" s="629">
        <v>4</v>
      </c>
      <c r="E1373" s="629">
        <v>0</v>
      </c>
      <c r="F1373" s="629">
        <v>2</v>
      </c>
      <c r="G1373" s="630">
        <v>61</v>
      </c>
      <c r="H1373" s="629">
        <v>200</v>
      </c>
      <c r="I1373" s="17">
        <v>0</v>
      </c>
      <c r="J1373" s="630">
        <v>0</v>
      </c>
      <c r="K1373" s="629">
        <v>0</v>
      </c>
      <c r="L1373" s="623">
        <v>576</v>
      </c>
      <c r="M1373" s="629" t="s">
        <v>2510</v>
      </c>
      <c r="N1373" s="623">
        <v>576</v>
      </c>
      <c r="O1373" s="629" t="s">
        <v>2510</v>
      </c>
      <c r="P1373" s="629">
        <v>5</v>
      </c>
      <c r="Q1373" s="631"/>
      <c r="R1373" s="631"/>
      <c r="S1373" s="675">
        <v>197</v>
      </c>
      <c r="T1373" s="676">
        <v>44</v>
      </c>
      <c r="U1373" s="629">
        <v>1</v>
      </c>
      <c r="V1373" s="629">
        <v>0</v>
      </c>
      <c r="W1373" s="629">
        <v>0</v>
      </c>
      <c r="X1373" s="623">
        <v>0</v>
      </c>
      <c r="Y1373" s="629"/>
      <c r="Z1373" s="632">
        <v>0</v>
      </c>
      <c r="AA1373" s="629"/>
      <c r="AB1373" s="633"/>
      <c r="AC1373" s="633"/>
      <c r="AD1373" s="532" t="s">
        <v>2860</v>
      </c>
      <c r="AE1373" s="634"/>
      <c r="AF1373" s="629" t="str">
        <f t="shared" si="182"/>
        <v>title([历练]探查)
body(hotyellow_3(任务进程:)newline()
   我们需要查探pos(197,44,5)的情况。你必须使用背包里的遁地符完成探查。切记切记！
blankline()
   space()space()space()hot2(任务完成后,千万不要忘记向goto(576,2)汇报哦！))</v>
      </c>
      <c r="AG1373" s="629" t="s">
        <v>6334</v>
      </c>
      <c r="AH1373" s="629" t="s">
        <v>114</v>
      </c>
      <c r="AI1373" s="629" t="s">
        <v>110</v>
      </c>
      <c r="AJ1373" s="629" t="s">
        <v>7471</v>
      </c>
      <c r="AK1373" s="629" t="s">
        <v>6335</v>
      </c>
      <c r="AL1373" s="630">
        <v>2</v>
      </c>
      <c r="AM1373" s="634" t="str">
        <f t="shared" si="183"/>
        <v>&lt;p&gt;
&lt;n&gt;  使用遁地符探查：&lt;/n&gt;&lt;goto quick=1 pos="197,44" mapid="5"  flagpoint="1"/&gt;
 &lt;n&gt; &lt;/n&gt;
&lt;/p&gt;</v>
      </c>
      <c r="AN1373" s="635" t="str">
        <f t="shared" si="185"/>
        <v>&lt;n&gt;  交：&lt;/n&gt;
 &lt;n&gt; &lt;/n&gt;&lt;goto quick=1 id="576" mapid="2" flagpoint="1" taskid="22013"/&gt;&lt;/p&gt;</v>
      </c>
      <c r="AO1373" s="629"/>
      <c r="AP1373" s="629">
        <v>0</v>
      </c>
      <c r="AQ1373" s="629">
        <v>0</v>
      </c>
      <c r="AR1373" s="50">
        <v>1</v>
      </c>
      <c r="AS1373" s="629">
        <v>0</v>
      </c>
      <c r="AT1373" s="629">
        <v>0</v>
      </c>
      <c r="AU1373" s="226">
        <v>0</v>
      </c>
      <c r="AV1373" s="17">
        <f t="shared" si="179"/>
        <v>0</v>
      </c>
      <c r="AW1373" s="629" t="str">
        <f t="shared" si="184"/>
        <v>{s_taskTalk,{576,576}}</v>
      </c>
    </row>
    <row r="1374" spans="1:49" s="684" customFormat="1" ht="84" x14ac:dyDescent="0.15">
      <c r="A1374" s="677">
        <v>22101</v>
      </c>
      <c r="B1374" s="556"/>
      <c r="C1374" s="556" t="s">
        <v>6358</v>
      </c>
      <c r="D1374" s="556">
        <v>4</v>
      </c>
      <c r="E1374" s="556">
        <v>0</v>
      </c>
      <c r="F1374" s="556">
        <v>101</v>
      </c>
      <c r="G1374" s="678">
        <v>20</v>
      </c>
      <c r="H1374" s="556">
        <v>30</v>
      </c>
      <c r="I1374" s="17">
        <v>0</v>
      </c>
      <c r="J1374" s="678">
        <v>0</v>
      </c>
      <c r="K1374" s="556">
        <v>0</v>
      </c>
      <c r="L1374" s="556">
        <v>45112</v>
      </c>
      <c r="M1374" s="556" t="s">
        <v>2510</v>
      </c>
      <c r="N1374" s="556">
        <v>45112</v>
      </c>
      <c r="O1374" s="556" t="s">
        <v>5237</v>
      </c>
      <c r="P1374" s="556">
        <v>4</v>
      </c>
      <c r="Q1374" s="679"/>
      <c r="R1374" s="679"/>
      <c r="S1374" s="679"/>
      <c r="T1374" s="679">
        <v>27112</v>
      </c>
      <c r="U1374" s="556">
        <v>1</v>
      </c>
      <c r="V1374" s="556">
        <v>0</v>
      </c>
      <c r="W1374" s="556">
        <v>0</v>
      </c>
      <c r="X1374" s="623">
        <v>0</v>
      </c>
      <c r="Y1374" s="556"/>
      <c r="Z1374" s="680">
        <v>0</v>
      </c>
      <c r="AA1374" s="556"/>
      <c r="AB1374" s="681"/>
      <c r="AC1374" s="681"/>
      <c r="AD1374" s="556"/>
      <c r="AE1374" s="682"/>
      <c r="AF1374" s="556" t="str">
        <f t="shared" ref="AF1374:AF1381" si="186">"title("&amp;C1374&amp;")
body(hotyellow_3(任务进程:)newline()
   我们需要大量的矿石来维护家族府邸。需要你找来hot("&amp;U1374&amp;"份1级矿石)，快去将物品带来给我吧！
blankline()
   space()space()space()hot2(任务完成后,千万不要忘记向家族府邸的goto(45112,101)汇报哦！))"</f>
        <v>title([历练]收集矿石)
body(hotyellow_3(任务进程:)newline()
   我们需要大量的矿石来维护家族府邸。需要你找来hot(1份1级矿石)，快去将物品带来给我吧！
blankline()
   space()space()space()hot2(任务完成后,千万不要忘记向家族府邸的goto(45112,101)汇报哦！))</v>
      </c>
      <c r="AG1374" s="556" t="s">
        <v>2520</v>
      </c>
      <c r="AH1374" s="556" t="s">
        <v>114</v>
      </c>
      <c r="AI1374" s="556" t="s">
        <v>110</v>
      </c>
      <c r="AJ1374" s="556" t="s">
        <v>7465</v>
      </c>
      <c r="AK1374" s="683" t="str">
        <f>"收集"&amp;U1374&amp;"个1级矿石"</f>
        <v>收集1个1级矿石</v>
      </c>
      <c r="AL1374" s="678">
        <v>2</v>
      </c>
      <c r="AM1374" s="683" t="str">
        <f t="shared" ref="AM1374:AM1381" si="187">"&lt;p&gt;
&lt;n&gt;  收集"&amp;U1374&amp;"个1级矿石&lt;/n&gt;&lt;newline/&gt;
&lt;n&gt;  回复：&lt;/n&gt;&lt;goto quick=1 id="""&amp;N1374&amp;""" mapid="""&amp;F1374&amp;""" flagpoint=""1"" taskid="""&amp;A1374&amp;"""/&gt;
&lt;/p&gt;"</f>
        <v>&lt;p&gt;
&lt;n&gt;  收集1个1级矿石&lt;/n&gt;&lt;newline/&gt;
&lt;n&gt;  回复：&lt;/n&gt;&lt;goto quick=1 id="45112" mapid="101" flagpoint="1" taskid="22101"/&gt;
&lt;/p&gt;</v>
      </c>
      <c r="AN1374" s="635" t="str">
        <f t="shared" si="185"/>
        <v>&lt;n&gt;  交：&lt;/n&gt;
 &lt;n&gt; &lt;/n&gt;&lt;goto quick=1 id="45112" mapid="101" flagpoint="1" taskid="22101"/&gt;&lt;/p&gt;</v>
      </c>
      <c r="AO1374" s="556"/>
      <c r="AP1374" s="556">
        <v>0</v>
      </c>
      <c r="AQ1374" s="556">
        <v>0</v>
      </c>
      <c r="AR1374" s="50">
        <v>1</v>
      </c>
      <c r="AS1374" s="556">
        <v>0</v>
      </c>
      <c r="AT1374" s="556">
        <v>0</v>
      </c>
      <c r="AU1374" s="226">
        <v>0</v>
      </c>
      <c r="AV1374" s="17">
        <f t="shared" si="179"/>
        <v>0</v>
      </c>
      <c r="AW1374" s="556" t="str">
        <f t="shared" ref="AW1374:AW1389" si="188">"{s_taskGather,{"&amp;L1374&amp;","&amp;N1374&amp;","&amp;T1374&amp;","&amp;U1374&amp;",1,0}}"</f>
        <v>{s_taskGather,{45112,45112,27112,1,1,0}}</v>
      </c>
    </row>
    <row r="1375" spans="1:49" s="684" customFormat="1" ht="84" x14ac:dyDescent="0.15">
      <c r="A1375" s="677">
        <v>22102</v>
      </c>
      <c r="B1375" s="556"/>
      <c r="C1375" s="556" t="s">
        <v>6358</v>
      </c>
      <c r="D1375" s="556">
        <v>4</v>
      </c>
      <c r="E1375" s="556">
        <v>0</v>
      </c>
      <c r="F1375" s="556">
        <v>101</v>
      </c>
      <c r="G1375" s="678">
        <v>30</v>
      </c>
      <c r="H1375" s="556">
        <v>40</v>
      </c>
      <c r="I1375" s="17">
        <v>0</v>
      </c>
      <c r="J1375" s="678">
        <v>0</v>
      </c>
      <c r="K1375" s="556">
        <v>0</v>
      </c>
      <c r="L1375" s="556">
        <v>45112</v>
      </c>
      <c r="M1375" s="556" t="s">
        <v>2510</v>
      </c>
      <c r="N1375" s="556">
        <v>45112</v>
      </c>
      <c r="O1375" s="556" t="s">
        <v>5237</v>
      </c>
      <c r="P1375" s="556">
        <v>4</v>
      </c>
      <c r="Q1375" s="679"/>
      <c r="R1375" s="679"/>
      <c r="S1375" s="679"/>
      <c r="T1375" s="679">
        <v>27112</v>
      </c>
      <c r="U1375" s="556">
        <v>2</v>
      </c>
      <c r="V1375" s="556">
        <v>0</v>
      </c>
      <c r="W1375" s="556">
        <v>0</v>
      </c>
      <c r="X1375" s="623">
        <v>0</v>
      </c>
      <c r="Y1375" s="556"/>
      <c r="Z1375" s="680">
        <v>0</v>
      </c>
      <c r="AA1375" s="556"/>
      <c r="AB1375" s="681"/>
      <c r="AC1375" s="681"/>
      <c r="AD1375" s="556"/>
      <c r="AE1375" s="682"/>
      <c r="AF1375" s="556" t="str">
        <f t="shared" si="186"/>
        <v>title([历练]收集矿石)
body(hotyellow_3(任务进程:)newline()
   我们需要大量的矿石来维护家族府邸。需要你找来hot(2份1级矿石)，快去将物品带来给我吧！
blankline()
   space()space()space()hot2(任务完成后,千万不要忘记向家族府邸的goto(45112,101)汇报哦！))</v>
      </c>
      <c r="AG1375" s="556" t="s">
        <v>2520</v>
      </c>
      <c r="AH1375" s="556" t="s">
        <v>114</v>
      </c>
      <c r="AI1375" s="556" t="s">
        <v>110</v>
      </c>
      <c r="AJ1375" s="556" t="s">
        <v>7465</v>
      </c>
      <c r="AK1375" s="683" t="str">
        <f t="shared" ref="AK1375:AK1381" si="189">"收集"&amp;U1375&amp;"个1级矿石"</f>
        <v>收集2个1级矿石</v>
      </c>
      <c r="AL1375" s="678">
        <v>2</v>
      </c>
      <c r="AM1375" s="683" t="str">
        <f t="shared" si="187"/>
        <v>&lt;p&gt;
&lt;n&gt;  收集2个1级矿石&lt;/n&gt;&lt;newline/&gt;
&lt;n&gt;  回复：&lt;/n&gt;&lt;goto quick=1 id="45112" mapid="101" flagpoint="1" taskid="22102"/&gt;
&lt;/p&gt;</v>
      </c>
      <c r="AN1375" s="635" t="str">
        <f t="shared" si="185"/>
        <v>&lt;n&gt;  交：&lt;/n&gt;
 &lt;n&gt; &lt;/n&gt;&lt;goto quick=1 id="45112" mapid="101" flagpoint="1" taskid="22102"/&gt;&lt;/p&gt;</v>
      </c>
      <c r="AO1375" s="556"/>
      <c r="AP1375" s="556">
        <v>0</v>
      </c>
      <c r="AQ1375" s="556">
        <v>0</v>
      </c>
      <c r="AR1375" s="50">
        <v>1</v>
      </c>
      <c r="AS1375" s="556">
        <v>0</v>
      </c>
      <c r="AT1375" s="556">
        <v>0</v>
      </c>
      <c r="AU1375" s="226">
        <v>0</v>
      </c>
      <c r="AV1375" s="17">
        <f t="shared" si="179"/>
        <v>0</v>
      </c>
      <c r="AW1375" s="556" t="str">
        <f t="shared" si="188"/>
        <v>{s_taskGather,{45112,45112,27112,2,1,0}}</v>
      </c>
    </row>
    <row r="1376" spans="1:49" s="684" customFormat="1" ht="84" x14ac:dyDescent="0.15">
      <c r="A1376" s="677">
        <v>22103</v>
      </c>
      <c r="B1376" s="556"/>
      <c r="C1376" s="556" t="s">
        <v>6358</v>
      </c>
      <c r="D1376" s="556">
        <v>4</v>
      </c>
      <c r="E1376" s="556">
        <v>0</v>
      </c>
      <c r="F1376" s="556">
        <v>101</v>
      </c>
      <c r="G1376" s="678">
        <v>40</v>
      </c>
      <c r="H1376" s="556">
        <v>50</v>
      </c>
      <c r="I1376" s="17">
        <v>0</v>
      </c>
      <c r="J1376" s="678">
        <v>0</v>
      </c>
      <c r="K1376" s="556">
        <v>0</v>
      </c>
      <c r="L1376" s="556">
        <v>45112</v>
      </c>
      <c r="M1376" s="556" t="s">
        <v>2510</v>
      </c>
      <c r="N1376" s="556">
        <v>45112</v>
      </c>
      <c r="O1376" s="556" t="s">
        <v>5237</v>
      </c>
      <c r="P1376" s="556">
        <v>4</v>
      </c>
      <c r="Q1376" s="679"/>
      <c r="R1376" s="679"/>
      <c r="S1376" s="679"/>
      <c r="T1376" s="679">
        <v>27112</v>
      </c>
      <c r="U1376" s="556">
        <v>3</v>
      </c>
      <c r="V1376" s="556">
        <v>0</v>
      </c>
      <c r="W1376" s="556">
        <v>0</v>
      </c>
      <c r="X1376" s="623">
        <v>0</v>
      </c>
      <c r="Y1376" s="556"/>
      <c r="Z1376" s="680">
        <v>0</v>
      </c>
      <c r="AA1376" s="556"/>
      <c r="AB1376" s="681"/>
      <c r="AC1376" s="681"/>
      <c r="AD1376" s="556"/>
      <c r="AE1376" s="682"/>
      <c r="AF1376" s="556" t="str">
        <f t="shared" si="186"/>
        <v>title([历练]收集矿石)
body(hotyellow_3(任务进程:)newline()
   我们需要大量的矿石来维护家族府邸。需要你找来hot(3份1级矿石)，快去将物品带来给我吧！
blankline()
   space()space()space()hot2(任务完成后,千万不要忘记向家族府邸的goto(45112,101)汇报哦！))</v>
      </c>
      <c r="AG1376" s="556" t="s">
        <v>2520</v>
      </c>
      <c r="AH1376" s="556" t="s">
        <v>114</v>
      </c>
      <c r="AI1376" s="556" t="s">
        <v>110</v>
      </c>
      <c r="AJ1376" s="556" t="s">
        <v>7465</v>
      </c>
      <c r="AK1376" s="683" t="str">
        <f t="shared" si="189"/>
        <v>收集3个1级矿石</v>
      </c>
      <c r="AL1376" s="678">
        <v>2</v>
      </c>
      <c r="AM1376" s="683" t="str">
        <f t="shared" si="187"/>
        <v>&lt;p&gt;
&lt;n&gt;  收集3个1级矿石&lt;/n&gt;&lt;newline/&gt;
&lt;n&gt;  回复：&lt;/n&gt;&lt;goto quick=1 id="45112" mapid="101" flagpoint="1" taskid="22103"/&gt;
&lt;/p&gt;</v>
      </c>
      <c r="AN1376" s="635" t="str">
        <f t="shared" si="185"/>
        <v>&lt;n&gt;  交：&lt;/n&gt;
 &lt;n&gt; &lt;/n&gt;&lt;goto quick=1 id="45112" mapid="101" flagpoint="1" taskid="22103"/&gt;&lt;/p&gt;</v>
      </c>
      <c r="AO1376" s="556"/>
      <c r="AP1376" s="556">
        <v>0</v>
      </c>
      <c r="AQ1376" s="556">
        <v>0</v>
      </c>
      <c r="AR1376" s="50">
        <v>1</v>
      </c>
      <c r="AS1376" s="556">
        <v>0</v>
      </c>
      <c r="AT1376" s="556">
        <v>0</v>
      </c>
      <c r="AU1376" s="226">
        <v>0</v>
      </c>
      <c r="AV1376" s="17">
        <f t="shared" si="179"/>
        <v>0</v>
      </c>
      <c r="AW1376" s="556" t="str">
        <f t="shared" si="188"/>
        <v>{s_taskGather,{45112,45112,27112,3,1,0}}</v>
      </c>
    </row>
    <row r="1377" spans="1:49" s="684" customFormat="1" ht="84" x14ac:dyDescent="0.15">
      <c r="A1377" s="677">
        <v>22104</v>
      </c>
      <c r="B1377" s="556"/>
      <c r="C1377" s="556" t="s">
        <v>6358</v>
      </c>
      <c r="D1377" s="556">
        <v>4</v>
      </c>
      <c r="E1377" s="556">
        <v>0</v>
      </c>
      <c r="F1377" s="556">
        <v>101</v>
      </c>
      <c r="G1377" s="678">
        <v>50</v>
      </c>
      <c r="H1377" s="556">
        <v>60</v>
      </c>
      <c r="I1377" s="17">
        <v>0</v>
      </c>
      <c r="J1377" s="678">
        <v>0</v>
      </c>
      <c r="K1377" s="556">
        <v>0</v>
      </c>
      <c r="L1377" s="556">
        <v>45112</v>
      </c>
      <c r="M1377" s="556" t="s">
        <v>2510</v>
      </c>
      <c r="N1377" s="556">
        <v>45112</v>
      </c>
      <c r="O1377" s="556" t="s">
        <v>5237</v>
      </c>
      <c r="P1377" s="556">
        <v>4</v>
      </c>
      <c r="Q1377" s="679"/>
      <c r="R1377" s="679"/>
      <c r="S1377" s="679"/>
      <c r="T1377" s="679">
        <v>27112</v>
      </c>
      <c r="U1377" s="556">
        <v>4</v>
      </c>
      <c r="V1377" s="556">
        <v>0</v>
      </c>
      <c r="W1377" s="556">
        <v>0</v>
      </c>
      <c r="X1377" s="623">
        <v>0</v>
      </c>
      <c r="Y1377" s="556"/>
      <c r="Z1377" s="680">
        <v>0</v>
      </c>
      <c r="AA1377" s="556"/>
      <c r="AB1377" s="681"/>
      <c r="AC1377" s="681"/>
      <c r="AD1377" s="556"/>
      <c r="AE1377" s="682"/>
      <c r="AF1377" s="556" t="str">
        <f t="shared" si="186"/>
        <v>title([历练]收集矿石)
body(hotyellow_3(任务进程:)newline()
   我们需要大量的矿石来维护家族府邸。需要你找来hot(4份1级矿石)，快去将物品带来给我吧！
blankline()
   space()space()space()hot2(任务完成后,千万不要忘记向家族府邸的goto(45112,101)汇报哦！))</v>
      </c>
      <c r="AG1377" s="556" t="s">
        <v>2520</v>
      </c>
      <c r="AH1377" s="556" t="s">
        <v>114</v>
      </c>
      <c r="AI1377" s="556" t="s">
        <v>110</v>
      </c>
      <c r="AJ1377" s="556" t="s">
        <v>7465</v>
      </c>
      <c r="AK1377" s="683" t="str">
        <f t="shared" si="189"/>
        <v>收集4个1级矿石</v>
      </c>
      <c r="AL1377" s="678">
        <v>2</v>
      </c>
      <c r="AM1377" s="683" t="str">
        <f t="shared" si="187"/>
        <v>&lt;p&gt;
&lt;n&gt;  收集4个1级矿石&lt;/n&gt;&lt;newline/&gt;
&lt;n&gt;  回复：&lt;/n&gt;&lt;goto quick=1 id="45112" mapid="101" flagpoint="1" taskid="22104"/&gt;
&lt;/p&gt;</v>
      </c>
      <c r="AN1377" s="635" t="str">
        <f t="shared" si="185"/>
        <v>&lt;n&gt;  交：&lt;/n&gt;
 &lt;n&gt; &lt;/n&gt;&lt;goto quick=1 id="45112" mapid="101" flagpoint="1" taskid="22104"/&gt;&lt;/p&gt;</v>
      </c>
      <c r="AO1377" s="556"/>
      <c r="AP1377" s="556">
        <v>0</v>
      </c>
      <c r="AQ1377" s="556">
        <v>0</v>
      </c>
      <c r="AR1377" s="50">
        <v>1</v>
      </c>
      <c r="AS1377" s="556">
        <v>0</v>
      </c>
      <c r="AT1377" s="556">
        <v>0</v>
      </c>
      <c r="AU1377" s="226">
        <v>0</v>
      </c>
      <c r="AV1377" s="17">
        <f t="shared" si="179"/>
        <v>0</v>
      </c>
      <c r="AW1377" s="556" t="str">
        <f t="shared" si="188"/>
        <v>{s_taskGather,{45112,45112,27112,4,1,0}}</v>
      </c>
    </row>
    <row r="1378" spans="1:49" s="684" customFormat="1" ht="84" x14ac:dyDescent="0.15">
      <c r="A1378" s="677">
        <v>22105</v>
      </c>
      <c r="B1378" s="556"/>
      <c r="C1378" s="556" t="s">
        <v>6358</v>
      </c>
      <c r="D1378" s="556">
        <v>4</v>
      </c>
      <c r="E1378" s="556">
        <v>0</v>
      </c>
      <c r="F1378" s="556">
        <v>101</v>
      </c>
      <c r="G1378" s="678">
        <v>60</v>
      </c>
      <c r="H1378" s="556">
        <v>70</v>
      </c>
      <c r="I1378" s="17">
        <v>0</v>
      </c>
      <c r="J1378" s="678">
        <v>0</v>
      </c>
      <c r="K1378" s="556">
        <v>0</v>
      </c>
      <c r="L1378" s="556">
        <v>45112</v>
      </c>
      <c r="M1378" s="556" t="s">
        <v>2510</v>
      </c>
      <c r="N1378" s="556">
        <v>45112</v>
      </c>
      <c r="O1378" s="556" t="s">
        <v>5237</v>
      </c>
      <c r="P1378" s="556">
        <v>4</v>
      </c>
      <c r="Q1378" s="679"/>
      <c r="R1378" s="679"/>
      <c r="S1378" s="679"/>
      <c r="T1378" s="679">
        <v>27112</v>
      </c>
      <c r="U1378" s="556">
        <v>5</v>
      </c>
      <c r="V1378" s="556">
        <v>0</v>
      </c>
      <c r="W1378" s="556">
        <v>0</v>
      </c>
      <c r="X1378" s="623">
        <v>0</v>
      </c>
      <c r="Y1378" s="556"/>
      <c r="Z1378" s="680">
        <v>0</v>
      </c>
      <c r="AA1378" s="556"/>
      <c r="AB1378" s="681"/>
      <c r="AC1378" s="681"/>
      <c r="AD1378" s="556"/>
      <c r="AE1378" s="682"/>
      <c r="AF1378" s="556" t="str">
        <f t="shared" si="186"/>
        <v>title([历练]收集矿石)
body(hotyellow_3(任务进程:)newline()
   我们需要大量的矿石来维护家族府邸。需要你找来hot(5份1级矿石)，快去将物品带来给我吧！
blankline()
   space()space()space()hot2(任务完成后,千万不要忘记向家族府邸的goto(45112,101)汇报哦！))</v>
      </c>
      <c r="AG1378" s="556" t="s">
        <v>2520</v>
      </c>
      <c r="AH1378" s="556" t="s">
        <v>114</v>
      </c>
      <c r="AI1378" s="556" t="s">
        <v>110</v>
      </c>
      <c r="AJ1378" s="556" t="s">
        <v>7465</v>
      </c>
      <c r="AK1378" s="683" t="str">
        <f t="shared" si="189"/>
        <v>收集5个1级矿石</v>
      </c>
      <c r="AL1378" s="678">
        <v>2</v>
      </c>
      <c r="AM1378" s="683" t="str">
        <f t="shared" si="187"/>
        <v>&lt;p&gt;
&lt;n&gt;  收集5个1级矿石&lt;/n&gt;&lt;newline/&gt;
&lt;n&gt;  回复：&lt;/n&gt;&lt;goto quick=1 id="45112" mapid="101" flagpoint="1" taskid="22105"/&gt;
&lt;/p&gt;</v>
      </c>
      <c r="AN1378" s="635" t="str">
        <f t="shared" si="185"/>
        <v>&lt;n&gt;  交：&lt;/n&gt;
 &lt;n&gt; &lt;/n&gt;&lt;goto quick=1 id="45112" mapid="101" flagpoint="1" taskid="22105"/&gt;&lt;/p&gt;</v>
      </c>
      <c r="AO1378" s="556"/>
      <c r="AP1378" s="556">
        <v>0</v>
      </c>
      <c r="AQ1378" s="556">
        <v>0</v>
      </c>
      <c r="AR1378" s="50">
        <v>1</v>
      </c>
      <c r="AS1378" s="556">
        <v>0</v>
      </c>
      <c r="AT1378" s="556">
        <v>0</v>
      </c>
      <c r="AU1378" s="226">
        <v>0</v>
      </c>
      <c r="AV1378" s="17">
        <f t="shared" si="179"/>
        <v>0</v>
      </c>
      <c r="AW1378" s="556" t="str">
        <f t="shared" si="188"/>
        <v>{s_taskGather,{45112,45112,27112,5,1,0}}</v>
      </c>
    </row>
    <row r="1379" spans="1:49" s="684" customFormat="1" ht="84" x14ac:dyDescent="0.15">
      <c r="A1379" s="677">
        <v>22106</v>
      </c>
      <c r="B1379" s="556"/>
      <c r="C1379" s="556" t="s">
        <v>6358</v>
      </c>
      <c r="D1379" s="556">
        <v>4</v>
      </c>
      <c r="E1379" s="556">
        <v>0</v>
      </c>
      <c r="F1379" s="556">
        <v>101</v>
      </c>
      <c r="G1379" s="678">
        <v>70</v>
      </c>
      <c r="H1379" s="556">
        <v>200</v>
      </c>
      <c r="I1379" s="17">
        <v>0</v>
      </c>
      <c r="J1379" s="678">
        <v>0</v>
      </c>
      <c r="K1379" s="556">
        <v>0</v>
      </c>
      <c r="L1379" s="556">
        <v>45112</v>
      </c>
      <c r="M1379" s="556" t="s">
        <v>2510</v>
      </c>
      <c r="N1379" s="556">
        <v>45112</v>
      </c>
      <c r="O1379" s="556" t="s">
        <v>5237</v>
      </c>
      <c r="P1379" s="556">
        <v>4</v>
      </c>
      <c r="Q1379" s="679"/>
      <c r="R1379" s="679"/>
      <c r="S1379" s="679"/>
      <c r="T1379" s="679">
        <v>27112</v>
      </c>
      <c r="U1379" s="556">
        <v>7</v>
      </c>
      <c r="V1379" s="556">
        <v>0</v>
      </c>
      <c r="W1379" s="556">
        <v>0</v>
      </c>
      <c r="X1379" s="623">
        <v>0</v>
      </c>
      <c r="Y1379" s="556"/>
      <c r="Z1379" s="680">
        <v>0</v>
      </c>
      <c r="AA1379" s="556"/>
      <c r="AB1379" s="681"/>
      <c r="AC1379" s="681"/>
      <c r="AD1379" s="556"/>
      <c r="AE1379" s="682"/>
      <c r="AF1379" s="556" t="str">
        <f t="shared" si="186"/>
        <v>title([历练]收集矿石)
body(hotyellow_3(任务进程:)newline()
   我们需要大量的矿石来维护家族府邸。需要你找来hot(7份1级矿石)，快去将物品带来给我吧！
blankline()
   space()space()space()hot2(任务完成后,千万不要忘记向家族府邸的goto(45112,101)汇报哦！))</v>
      </c>
      <c r="AG1379" s="556" t="s">
        <v>2520</v>
      </c>
      <c r="AH1379" s="556" t="s">
        <v>114</v>
      </c>
      <c r="AI1379" s="556" t="s">
        <v>110</v>
      </c>
      <c r="AJ1379" s="556" t="s">
        <v>7465</v>
      </c>
      <c r="AK1379" s="683" t="str">
        <f t="shared" si="189"/>
        <v>收集7个1级矿石</v>
      </c>
      <c r="AL1379" s="678">
        <v>2</v>
      </c>
      <c r="AM1379" s="683" t="str">
        <f t="shared" si="187"/>
        <v>&lt;p&gt;
&lt;n&gt;  收集7个1级矿石&lt;/n&gt;&lt;newline/&gt;
&lt;n&gt;  回复：&lt;/n&gt;&lt;goto quick=1 id="45112" mapid="101" flagpoint="1" taskid="22106"/&gt;
&lt;/p&gt;</v>
      </c>
      <c r="AN1379" s="635" t="str">
        <f t="shared" si="185"/>
        <v>&lt;n&gt;  交：&lt;/n&gt;
 &lt;n&gt; &lt;/n&gt;&lt;goto quick=1 id="45112" mapid="101" flagpoint="1" taskid="22106"/&gt;&lt;/p&gt;</v>
      </c>
      <c r="AO1379" s="556"/>
      <c r="AP1379" s="556">
        <v>0</v>
      </c>
      <c r="AQ1379" s="556">
        <v>0</v>
      </c>
      <c r="AR1379" s="50">
        <v>1</v>
      </c>
      <c r="AS1379" s="556">
        <v>0</v>
      </c>
      <c r="AT1379" s="556">
        <v>0</v>
      </c>
      <c r="AU1379" s="226">
        <v>0</v>
      </c>
      <c r="AV1379" s="17">
        <f t="shared" si="179"/>
        <v>0</v>
      </c>
      <c r="AW1379" s="556" t="str">
        <f t="shared" si="188"/>
        <v>{s_taskGather,{45112,45112,27112,7,1,0}}</v>
      </c>
    </row>
    <row r="1380" spans="1:49" s="684" customFormat="1" ht="84" x14ac:dyDescent="0.15">
      <c r="A1380" s="677">
        <v>22107</v>
      </c>
      <c r="B1380" s="556"/>
      <c r="C1380" s="556" t="s">
        <v>6358</v>
      </c>
      <c r="D1380" s="556">
        <v>4</v>
      </c>
      <c r="E1380" s="556">
        <v>0</v>
      </c>
      <c r="F1380" s="556">
        <v>101</v>
      </c>
      <c r="G1380" s="678">
        <v>70</v>
      </c>
      <c r="H1380" s="556">
        <v>200</v>
      </c>
      <c r="I1380" s="17">
        <v>0</v>
      </c>
      <c r="J1380" s="678">
        <v>0</v>
      </c>
      <c r="K1380" s="556">
        <v>0</v>
      </c>
      <c r="L1380" s="556">
        <v>45112</v>
      </c>
      <c r="M1380" s="556" t="s">
        <v>2510</v>
      </c>
      <c r="N1380" s="556">
        <v>45112</v>
      </c>
      <c r="O1380" s="556" t="s">
        <v>5237</v>
      </c>
      <c r="P1380" s="556">
        <v>4</v>
      </c>
      <c r="Q1380" s="679"/>
      <c r="R1380" s="679"/>
      <c r="S1380" s="679"/>
      <c r="T1380" s="679">
        <v>27112</v>
      </c>
      <c r="U1380" s="556">
        <v>10</v>
      </c>
      <c r="V1380" s="556">
        <v>0</v>
      </c>
      <c r="W1380" s="556">
        <v>0</v>
      </c>
      <c r="X1380" s="623">
        <v>0</v>
      </c>
      <c r="Y1380" s="556"/>
      <c r="Z1380" s="680">
        <v>0</v>
      </c>
      <c r="AA1380" s="556"/>
      <c r="AB1380" s="681"/>
      <c r="AC1380" s="681"/>
      <c r="AD1380" s="556"/>
      <c r="AE1380" s="682"/>
      <c r="AF1380" s="556" t="str">
        <f t="shared" si="186"/>
        <v>title([历练]收集矿石)
body(hotyellow_3(任务进程:)newline()
   我们需要大量的矿石来维护家族府邸。需要你找来hot(10份1级矿石)，快去将物品带来给我吧！
blankline()
   space()space()space()hot2(任务完成后,千万不要忘记向家族府邸的goto(45112,101)汇报哦！))</v>
      </c>
      <c r="AG1380" s="556" t="s">
        <v>2520</v>
      </c>
      <c r="AH1380" s="556" t="s">
        <v>114</v>
      </c>
      <c r="AI1380" s="556" t="s">
        <v>110</v>
      </c>
      <c r="AJ1380" s="556" t="s">
        <v>7465</v>
      </c>
      <c r="AK1380" s="683" t="str">
        <f t="shared" si="189"/>
        <v>收集10个1级矿石</v>
      </c>
      <c r="AL1380" s="678">
        <v>2</v>
      </c>
      <c r="AM1380" s="683" t="str">
        <f t="shared" si="187"/>
        <v>&lt;p&gt;
&lt;n&gt;  收集10个1级矿石&lt;/n&gt;&lt;newline/&gt;
&lt;n&gt;  回复：&lt;/n&gt;&lt;goto quick=1 id="45112" mapid="101" flagpoint="1" taskid="22107"/&gt;
&lt;/p&gt;</v>
      </c>
      <c r="AN1380" s="635" t="str">
        <f t="shared" si="185"/>
        <v>&lt;n&gt;  交：&lt;/n&gt;
 &lt;n&gt; &lt;/n&gt;&lt;goto quick=1 id="45112" mapid="101" flagpoint="1" taskid="22107"/&gt;&lt;/p&gt;</v>
      </c>
      <c r="AO1380" s="556"/>
      <c r="AP1380" s="556">
        <v>0</v>
      </c>
      <c r="AQ1380" s="556">
        <v>0</v>
      </c>
      <c r="AR1380" s="50">
        <v>1</v>
      </c>
      <c r="AS1380" s="556">
        <v>0</v>
      </c>
      <c r="AT1380" s="556">
        <v>0</v>
      </c>
      <c r="AU1380" s="226">
        <v>0</v>
      </c>
      <c r="AV1380" s="17">
        <f t="shared" si="179"/>
        <v>0</v>
      </c>
      <c r="AW1380" s="556" t="str">
        <f t="shared" si="188"/>
        <v>{s_taskGather,{45112,45112,27112,10,1,0}}</v>
      </c>
    </row>
    <row r="1381" spans="1:49" s="684" customFormat="1" ht="84" x14ac:dyDescent="0.15">
      <c r="A1381" s="677">
        <v>22108</v>
      </c>
      <c r="B1381" s="556"/>
      <c r="C1381" s="556" t="s">
        <v>6358</v>
      </c>
      <c r="D1381" s="556">
        <v>4</v>
      </c>
      <c r="E1381" s="556">
        <v>0</v>
      </c>
      <c r="F1381" s="556">
        <v>101</v>
      </c>
      <c r="G1381" s="678">
        <v>70</v>
      </c>
      <c r="H1381" s="556">
        <v>200</v>
      </c>
      <c r="I1381" s="17">
        <v>0</v>
      </c>
      <c r="J1381" s="678">
        <v>0</v>
      </c>
      <c r="K1381" s="556">
        <v>0</v>
      </c>
      <c r="L1381" s="556">
        <v>45112</v>
      </c>
      <c r="M1381" s="556" t="s">
        <v>2510</v>
      </c>
      <c r="N1381" s="556">
        <v>45112</v>
      </c>
      <c r="O1381" s="556" t="s">
        <v>5237</v>
      </c>
      <c r="P1381" s="556">
        <v>4</v>
      </c>
      <c r="Q1381" s="679"/>
      <c r="R1381" s="679"/>
      <c r="S1381" s="679"/>
      <c r="T1381" s="679">
        <v>27112</v>
      </c>
      <c r="U1381" s="556">
        <v>15</v>
      </c>
      <c r="V1381" s="556">
        <v>0</v>
      </c>
      <c r="W1381" s="556">
        <v>0</v>
      </c>
      <c r="X1381" s="623">
        <v>0</v>
      </c>
      <c r="Y1381" s="556"/>
      <c r="Z1381" s="680">
        <v>0</v>
      </c>
      <c r="AA1381" s="556"/>
      <c r="AB1381" s="681"/>
      <c r="AC1381" s="681"/>
      <c r="AD1381" s="556"/>
      <c r="AE1381" s="682"/>
      <c r="AF1381" s="556" t="str">
        <f t="shared" si="186"/>
        <v>title([历练]收集矿石)
body(hotyellow_3(任务进程:)newline()
   我们需要大量的矿石来维护家族府邸。需要你找来hot(15份1级矿石)，快去将物品带来给我吧！
blankline()
   space()space()space()hot2(任务完成后,千万不要忘记向家族府邸的goto(45112,101)汇报哦！))</v>
      </c>
      <c r="AG1381" s="556" t="s">
        <v>2520</v>
      </c>
      <c r="AH1381" s="556" t="s">
        <v>114</v>
      </c>
      <c r="AI1381" s="556" t="s">
        <v>110</v>
      </c>
      <c r="AJ1381" s="556" t="s">
        <v>7465</v>
      </c>
      <c r="AK1381" s="683" t="str">
        <f t="shared" si="189"/>
        <v>收集15个1级矿石</v>
      </c>
      <c r="AL1381" s="678">
        <v>2</v>
      </c>
      <c r="AM1381" s="683" t="str">
        <f t="shared" si="187"/>
        <v>&lt;p&gt;
&lt;n&gt;  收集15个1级矿石&lt;/n&gt;&lt;newline/&gt;
&lt;n&gt;  回复：&lt;/n&gt;&lt;goto quick=1 id="45112" mapid="101" flagpoint="1" taskid="22108"/&gt;
&lt;/p&gt;</v>
      </c>
      <c r="AN1381" s="635" t="str">
        <f t="shared" si="185"/>
        <v>&lt;n&gt;  交：&lt;/n&gt;
 &lt;n&gt; &lt;/n&gt;&lt;goto quick=1 id="45112" mapid="101" flagpoint="1" taskid="22108"/&gt;&lt;/p&gt;</v>
      </c>
      <c r="AO1381" s="556"/>
      <c r="AP1381" s="556">
        <v>0</v>
      </c>
      <c r="AQ1381" s="556">
        <v>0</v>
      </c>
      <c r="AR1381" s="50">
        <v>1</v>
      </c>
      <c r="AS1381" s="556">
        <v>0</v>
      </c>
      <c r="AT1381" s="556">
        <v>0</v>
      </c>
      <c r="AU1381" s="226">
        <v>0</v>
      </c>
      <c r="AV1381" s="17">
        <f t="shared" si="179"/>
        <v>0</v>
      </c>
      <c r="AW1381" s="556" t="str">
        <f t="shared" si="188"/>
        <v>{s_taskGather,{45112,45112,27112,15,1,0}}</v>
      </c>
    </row>
    <row r="1382" spans="1:49" s="684" customFormat="1" ht="84" x14ac:dyDescent="0.15">
      <c r="A1382" s="677">
        <v>22109</v>
      </c>
      <c r="B1382" s="556"/>
      <c r="C1382" s="556" t="s">
        <v>6359</v>
      </c>
      <c r="D1382" s="556">
        <v>4</v>
      </c>
      <c r="E1382" s="556">
        <v>0</v>
      </c>
      <c r="F1382" s="556">
        <v>101</v>
      </c>
      <c r="G1382" s="678">
        <v>20</v>
      </c>
      <c r="H1382" s="556">
        <v>30</v>
      </c>
      <c r="I1382" s="17">
        <v>0</v>
      </c>
      <c r="J1382" s="678">
        <v>0</v>
      </c>
      <c r="K1382" s="556">
        <v>0</v>
      </c>
      <c r="L1382" s="556">
        <v>45112</v>
      </c>
      <c r="M1382" s="556" t="s">
        <v>2510</v>
      </c>
      <c r="N1382" s="556">
        <v>45112</v>
      </c>
      <c r="O1382" s="556" t="s">
        <v>5237</v>
      </c>
      <c r="P1382" s="556">
        <v>4</v>
      </c>
      <c r="Q1382" s="679"/>
      <c r="R1382" s="679"/>
      <c r="S1382" s="679"/>
      <c r="T1382" s="679">
        <v>27113</v>
      </c>
      <c r="U1382" s="556">
        <v>1</v>
      </c>
      <c r="V1382" s="556">
        <v>0</v>
      </c>
      <c r="W1382" s="556">
        <v>0</v>
      </c>
      <c r="X1382" s="623">
        <v>0</v>
      </c>
      <c r="Y1382" s="556"/>
      <c r="Z1382" s="680">
        <v>0</v>
      </c>
      <c r="AA1382" s="556"/>
      <c r="AB1382" s="681"/>
      <c r="AC1382" s="681"/>
      <c r="AD1382" s="556"/>
      <c r="AE1382" s="682"/>
      <c r="AF1382" s="556" t="str">
        <f t="shared" ref="AF1382:AF1389" si="190">"title("&amp;C1382&amp;")
body(hotyellow_3(任务进程:)newline()
   我们需要大量的药材来维护家族府邸。需要你找来hot("&amp;U1382&amp;"份1级1级药材)，快去将物品带来给我吧！
blankline()
   space()space()space()hot2(任务完成后,千万不要忘记向家族府邸的goto(45112,101)汇报哦！))"</f>
        <v>title([历练]收集药材)
body(hotyellow_3(任务进程:)newline()
   我们需要大量的药材来维护家族府邸。需要你找来hot(1份1级1级药材)，快去将物品带来给我吧！
blankline()
   space()space()space()hot2(任务完成后,千万不要忘记向家族府邸的goto(45112,101)汇报哦！))</v>
      </c>
      <c r="AG1382" s="556" t="s">
        <v>2520</v>
      </c>
      <c r="AH1382" s="556" t="s">
        <v>114</v>
      </c>
      <c r="AI1382" s="556" t="s">
        <v>110</v>
      </c>
      <c r="AJ1382" s="556" t="s">
        <v>7465</v>
      </c>
      <c r="AK1382" s="683" t="str">
        <f>"收集"&amp;U1382&amp;"个1级药材"</f>
        <v>收集1个1级药材</v>
      </c>
      <c r="AL1382" s="678">
        <v>2</v>
      </c>
      <c r="AM1382" s="683" t="str">
        <f t="shared" ref="AM1382:AM1389" si="191">"&lt;p&gt;
&lt;n&gt;  "&amp;AK1382&amp;"&lt;/n&gt;&lt;newline/&gt;
&lt;n&gt;  回复：&lt;/n&gt;&lt;goto quick=1 id="""&amp;N1382&amp;""" mapid="""&amp;F1382&amp;""" flagpoint=""1"" taskid="""&amp;A1382&amp;"""/&gt;
&lt;/p&gt;"</f>
        <v>&lt;p&gt;
&lt;n&gt;  收集1个1级药材&lt;/n&gt;&lt;newline/&gt;
&lt;n&gt;  回复：&lt;/n&gt;&lt;goto quick=1 id="45112" mapid="101" flagpoint="1" taskid="22109"/&gt;
&lt;/p&gt;</v>
      </c>
      <c r="AN1382" s="635" t="str">
        <f t="shared" si="185"/>
        <v>&lt;n&gt;  交：&lt;/n&gt;
 &lt;n&gt; &lt;/n&gt;&lt;goto quick=1 id="45112" mapid="101" flagpoint="1" taskid="22109"/&gt;&lt;/p&gt;</v>
      </c>
      <c r="AO1382" s="556"/>
      <c r="AP1382" s="556">
        <v>0</v>
      </c>
      <c r="AQ1382" s="556">
        <v>0</v>
      </c>
      <c r="AR1382" s="50">
        <v>1</v>
      </c>
      <c r="AS1382" s="556">
        <v>0</v>
      </c>
      <c r="AT1382" s="556">
        <v>0</v>
      </c>
      <c r="AU1382" s="226">
        <v>0</v>
      </c>
      <c r="AV1382" s="17">
        <f t="shared" si="179"/>
        <v>0</v>
      </c>
      <c r="AW1382" s="556" t="str">
        <f t="shared" si="188"/>
        <v>{s_taskGather,{45112,45112,27113,1,1,0}}</v>
      </c>
    </row>
    <row r="1383" spans="1:49" s="684" customFormat="1" ht="84" x14ac:dyDescent="0.15">
      <c r="A1383" s="677">
        <v>22110</v>
      </c>
      <c r="B1383" s="556"/>
      <c r="C1383" s="556" t="s">
        <v>6359</v>
      </c>
      <c r="D1383" s="556">
        <v>4</v>
      </c>
      <c r="E1383" s="556">
        <v>0</v>
      </c>
      <c r="F1383" s="556">
        <v>101</v>
      </c>
      <c r="G1383" s="678">
        <v>30</v>
      </c>
      <c r="H1383" s="556">
        <v>40</v>
      </c>
      <c r="I1383" s="17">
        <v>0</v>
      </c>
      <c r="J1383" s="678">
        <v>0</v>
      </c>
      <c r="K1383" s="556">
        <v>0</v>
      </c>
      <c r="L1383" s="556">
        <v>45112</v>
      </c>
      <c r="M1383" s="556" t="s">
        <v>2510</v>
      </c>
      <c r="N1383" s="556">
        <v>45112</v>
      </c>
      <c r="O1383" s="556" t="s">
        <v>5237</v>
      </c>
      <c r="P1383" s="556">
        <v>4</v>
      </c>
      <c r="Q1383" s="679"/>
      <c r="R1383" s="679"/>
      <c r="S1383" s="679"/>
      <c r="T1383" s="679">
        <v>27113</v>
      </c>
      <c r="U1383" s="556">
        <v>2</v>
      </c>
      <c r="V1383" s="556">
        <v>0</v>
      </c>
      <c r="W1383" s="556">
        <v>0</v>
      </c>
      <c r="X1383" s="623">
        <v>0</v>
      </c>
      <c r="Y1383" s="556"/>
      <c r="Z1383" s="680">
        <v>0</v>
      </c>
      <c r="AA1383" s="556"/>
      <c r="AB1383" s="681"/>
      <c r="AC1383" s="681"/>
      <c r="AD1383" s="556"/>
      <c r="AE1383" s="682"/>
      <c r="AF1383" s="556" t="str">
        <f t="shared" si="190"/>
        <v>title([历练]收集药材)
body(hotyellow_3(任务进程:)newline()
   我们需要大量的药材来维护家族府邸。需要你找来hot(2份1级1级药材)，快去将物品带来给我吧！
blankline()
   space()space()space()hot2(任务完成后,千万不要忘记向家族府邸的goto(45112,101)汇报哦！))</v>
      </c>
      <c r="AG1383" s="556" t="s">
        <v>2520</v>
      </c>
      <c r="AH1383" s="556" t="s">
        <v>114</v>
      </c>
      <c r="AI1383" s="556" t="s">
        <v>110</v>
      </c>
      <c r="AJ1383" s="556" t="s">
        <v>7465</v>
      </c>
      <c r="AK1383" s="683" t="str">
        <f t="shared" ref="AK1383:AK1389" si="192">"收集"&amp;U1383&amp;"个1级药材"</f>
        <v>收集2个1级药材</v>
      </c>
      <c r="AL1383" s="678">
        <v>2</v>
      </c>
      <c r="AM1383" s="683" t="str">
        <f t="shared" si="191"/>
        <v>&lt;p&gt;
&lt;n&gt;  收集2个1级药材&lt;/n&gt;&lt;newline/&gt;
&lt;n&gt;  回复：&lt;/n&gt;&lt;goto quick=1 id="45112" mapid="101" flagpoint="1" taskid="22110"/&gt;
&lt;/p&gt;</v>
      </c>
      <c r="AN1383" s="635" t="str">
        <f t="shared" si="185"/>
        <v>&lt;n&gt;  交：&lt;/n&gt;
 &lt;n&gt; &lt;/n&gt;&lt;goto quick=1 id="45112" mapid="101" flagpoint="1" taskid="22110"/&gt;&lt;/p&gt;</v>
      </c>
      <c r="AO1383" s="556"/>
      <c r="AP1383" s="556">
        <v>0</v>
      </c>
      <c r="AQ1383" s="556">
        <v>0</v>
      </c>
      <c r="AR1383" s="50">
        <v>1</v>
      </c>
      <c r="AS1383" s="556">
        <v>0</v>
      </c>
      <c r="AT1383" s="556">
        <v>0</v>
      </c>
      <c r="AU1383" s="226">
        <v>0</v>
      </c>
      <c r="AV1383" s="17">
        <f t="shared" si="179"/>
        <v>0</v>
      </c>
      <c r="AW1383" s="556" t="str">
        <f t="shared" si="188"/>
        <v>{s_taskGather,{45112,45112,27113,2,1,0}}</v>
      </c>
    </row>
    <row r="1384" spans="1:49" s="684" customFormat="1" ht="84" x14ac:dyDescent="0.15">
      <c r="A1384" s="677">
        <v>22111</v>
      </c>
      <c r="B1384" s="556"/>
      <c r="C1384" s="556" t="s">
        <v>6359</v>
      </c>
      <c r="D1384" s="556">
        <v>4</v>
      </c>
      <c r="E1384" s="556">
        <v>0</v>
      </c>
      <c r="F1384" s="556">
        <v>101</v>
      </c>
      <c r="G1384" s="678">
        <v>40</v>
      </c>
      <c r="H1384" s="556">
        <v>50</v>
      </c>
      <c r="I1384" s="17">
        <v>0</v>
      </c>
      <c r="J1384" s="678">
        <v>0</v>
      </c>
      <c r="K1384" s="556">
        <v>0</v>
      </c>
      <c r="L1384" s="556">
        <v>45112</v>
      </c>
      <c r="M1384" s="556" t="s">
        <v>2510</v>
      </c>
      <c r="N1384" s="556">
        <v>45112</v>
      </c>
      <c r="O1384" s="556" t="s">
        <v>5237</v>
      </c>
      <c r="P1384" s="556">
        <v>4</v>
      </c>
      <c r="Q1384" s="679"/>
      <c r="R1384" s="679"/>
      <c r="S1384" s="679"/>
      <c r="T1384" s="679">
        <v>27113</v>
      </c>
      <c r="U1384" s="556">
        <v>3</v>
      </c>
      <c r="V1384" s="556">
        <v>0</v>
      </c>
      <c r="W1384" s="556">
        <v>0</v>
      </c>
      <c r="X1384" s="623">
        <v>0</v>
      </c>
      <c r="Y1384" s="556"/>
      <c r="Z1384" s="680">
        <v>0</v>
      </c>
      <c r="AA1384" s="556"/>
      <c r="AB1384" s="681"/>
      <c r="AC1384" s="681"/>
      <c r="AD1384" s="556"/>
      <c r="AE1384" s="682"/>
      <c r="AF1384" s="556" t="str">
        <f t="shared" si="190"/>
        <v>title([历练]收集药材)
body(hotyellow_3(任务进程:)newline()
   我们需要大量的药材来维护家族府邸。需要你找来hot(3份1级1级药材)，快去将物品带来给我吧！
blankline()
   space()space()space()hot2(任务完成后,千万不要忘记向家族府邸的goto(45112,101)汇报哦！))</v>
      </c>
      <c r="AG1384" s="556" t="s">
        <v>2520</v>
      </c>
      <c r="AH1384" s="556" t="s">
        <v>114</v>
      </c>
      <c r="AI1384" s="556" t="s">
        <v>110</v>
      </c>
      <c r="AJ1384" s="556" t="s">
        <v>7465</v>
      </c>
      <c r="AK1384" s="683" t="str">
        <f t="shared" si="192"/>
        <v>收集3个1级药材</v>
      </c>
      <c r="AL1384" s="678">
        <v>2</v>
      </c>
      <c r="AM1384" s="683" t="str">
        <f t="shared" si="191"/>
        <v>&lt;p&gt;
&lt;n&gt;  收集3个1级药材&lt;/n&gt;&lt;newline/&gt;
&lt;n&gt;  回复：&lt;/n&gt;&lt;goto quick=1 id="45112" mapid="101" flagpoint="1" taskid="22111"/&gt;
&lt;/p&gt;</v>
      </c>
      <c r="AN1384" s="635" t="str">
        <f t="shared" si="185"/>
        <v>&lt;n&gt;  交：&lt;/n&gt;
 &lt;n&gt; &lt;/n&gt;&lt;goto quick=1 id="45112" mapid="101" flagpoint="1" taskid="22111"/&gt;&lt;/p&gt;</v>
      </c>
      <c r="AO1384" s="556"/>
      <c r="AP1384" s="556">
        <v>0</v>
      </c>
      <c r="AQ1384" s="556">
        <v>0</v>
      </c>
      <c r="AR1384" s="50">
        <v>1</v>
      </c>
      <c r="AS1384" s="556">
        <v>0</v>
      </c>
      <c r="AT1384" s="556">
        <v>0</v>
      </c>
      <c r="AU1384" s="226">
        <v>0</v>
      </c>
      <c r="AV1384" s="17">
        <f t="shared" si="179"/>
        <v>0</v>
      </c>
      <c r="AW1384" s="556" t="str">
        <f t="shared" si="188"/>
        <v>{s_taskGather,{45112,45112,27113,3,1,0}}</v>
      </c>
    </row>
    <row r="1385" spans="1:49" s="684" customFormat="1" ht="84" x14ac:dyDescent="0.15">
      <c r="A1385" s="677">
        <v>22112</v>
      </c>
      <c r="B1385" s="556"/>
      <c r="C1385" s="556" t="s">
        <v>6359</v>
      </c>
      <c r="D1385" s="556">
        <v>4</v>
      </c>
      <c r="E1385" s="556">
        <v>0</v>
      </c>
      <c r="F1385" s="556">
        <v>101</v>
      </c>
      <c r="G1385" s="678">
        <v>50</v>
      </c>
      <c r="H1385" s="556">
        <v>60</v>
      </c>
      <c r="I1385" s="17">
        <v>0</v>
      </c>
      <c r="J1385" s="678">
        <v>0</v>
      </c>
      <c r="K1385" s="556">
        <v>0</v>
      </c>
      <c r="L1385" s="556">
        <v>45112</v>
      </c>
      <c r="M1385" s="556" t="s">
        <v>2510</v>
      </c>
      <c r="N1385" s="556">
        <v>45112</v>
      </c>
      <c r="O1385" s="556" t="s">
        <v>5237</v>
      </c>
      <c r="P1385" s="556">
        <v>4</v>
      </c>
      <c r="Q1385" s="679"/>
      <c r="R1385" s="679"/>
      <c r="S1385" s="679"/>
      <c r="T1385" s="679">
        <v>27113</v>
      </c>
      <c r="U1385" s="556">
        <v>4</v>
      </c>
      <c r="V1385" s="556">
        <v>0</v>
      </c>
      <c r="W1385" s="556">
        <v>0</v>
      </c>
      <c r="X1385" s="623">
        <v>0</v>
      </c>
      <c r="Y1385" s="556"/>
      <c r="Z1385" s="680">
        <v>0</v>
      </c>
      <c r="AA1385" s="556"/>
      <c r="AB1385" s="681"/>
      <c r="AC1385" s="681"/>
      <c r="AD1385" s="556"/>
      <c r="AE1385" s="682"/>
      <c r="AF1385" s="556" t="str">
        <f t="shared" si="190"/>
        <v>title([历练]收集药材)
body(hotyellow_3(任务进程:)newline()
   我们需要大量的药材来维护家族府邸。需要你找来hot(4份1级1级药材)，快去将物品带来给我吧！
blankline()
   space()space()space()hot2(任务完成后,千万不要忘记向家族府邸的goto(45112,101)汇报哦！))</v>
      </c>
      <c r="AG1385" s="556" t="s">
        <v>2520</v>
      </c>
      <c r="AH1385" s="556" t="s">
        <v>114</v>
      </c>
      <c r="AI1385" s="556" t="s">
        <v>110</v>
      </c>
      <c r="AJ1385" s="556" t="s">
        <v>7465</v>
      </c>
      <c r="AK1385" s="683" t="str">
        <f t="shared" si="192"/>
        <v>收集4个1级药材</v>
      </c>
      <c r="AL1385" s="678">
        <v>2</v>
      </c>
      <c r="AM1385" s="683" t="str">
        <f t="shared" si="191"/>
        <v>&lt;p&gt;
&lt;n&gt;  收集4个1级药材&lt;/n&gt;&lt;newline/&gt;
&lt;n&gt;  回复：&lt;/n&gt;&lt;goto quick=1 id="45112" mapid="101" flagpoint="1" taskid="22112"/&gt;
&lt;/p&gt;</v>
      </c>
      <c r="AN1385" s="635" t="str">
        <f t="shared" si="185"/>
        <v>&lt;n&gt;  交：&lt;/n&gt;
 &lt;n&gt; &lt;/n&gt;&lt;goto quick=1 id="45112" mapid="101" flagpoint="1" taskid="22112"/&gt;&lt;/p&gt;</v>
      </c>
      <c r="AO1385" s="556"/>
      <c r="AP1385" s="556">
        <v>0</v>
      </c>
      <c r="AQ1385" s="556">
        <v>0</v>
      </c>
      <c r="AR1385" s="50">
        <v>1</v>
      </c>
      <c r="AS1385" s="556">
        <v>0</v>
      </c>
      <c r="AT1385" s="556">
        <v>0</v>
      </c>
      <c r="AU1385" s="226">
        <v>0</v>
      </c>
      <c r="AV1385" s="17">
        <f t="shared" si="179"/>
        <v>0</v>
      </c>
      <c r="AW1385" s="556" t="str">
        <f t="shared" si="188"/>
        <v>{s_taskGather,{45112,45112,27113,4,1,0}}</v>
      </c>
    </row>
    <row r="1386" spans="1:49" s="684" customFormat="1" ht="84" x14ac:dyDescent="0.15">
      <c r="A1386" s="677">
        <v>22113</v>
      </c>
      <c r="B1386" s="556"/>
      <c r="C1386" s="556" t="s">
        <v>6359</v>
      </c>
      <c r="D1386" s="556">
        <v>4</v>
      </c>
      <c r="E1386" s="556">
        <v>0</v>
      </c>
      <c r="F1386" s="556">
        <v>101</v>
      </c>
      <c r="G1386" s="678">
        <v>60</v>
      </c>
      <c r="H1386" s="556">
        <v>70</v>
      </c>
      <c r="I1386" s="17">
        <v>0</v>
      </c>
      <c r="J1386" s="678">
        <v>0</v>
      </c>
      <c r="K1386" s="556">
        <v>0</v>
      </c>
      <c r="L1386" s="556">
        <v>45112</v>
      </c>
      <c r="M1386" s="556" t="s">
        <v>2510</v>
      </c>
      <c r="N1386" s="556">
        <v>45112</v>
      </c>
      <c r="O1386" s="556" t="s">
        <v>5237</v>
      </c>
      <c r="P1386" s="556">
        <v>4</v>
      </c>
      <c r="Q1386" s="679"/>
      <c r="R1386" s="679"/>
      <c r="S1386" s="679"/>
      <c r="T1386" s="679">
        <v>27113</v>
      </c>
      <c r="U1386" s="556">
        <v>5</v>
      </c>
      <c r="V1386" s="556">
        <v>0</v>
      </c>
      <c r="W1386" s="556">
        <v>0</v>
      </c>
      <c r="X1386" s="623">
        <v>0</v>
      </c>
      <c r="Y1386" s="556"/>
      <c r="Z1386" s="680">
        <v>0</v>
      </c>
      <c r="AA1386" s="556"/>
      <c r="AB1386" s="681"/>
      <c r="AC1386" s="681"/>
      <c r="AD1386" s="556"/>
      <c r="AE1386" s="682"/>
      <c r="AF1386" s="556" t="str">
        <f t="shared" si="190"/>
        <v>title([历练]收集药材)
body(hotyellow_3(任务进程:)newline()
   我们需要大量的药材来维护家族府邸。需要你找来hot(5份1级1级药材)，快去将物品带来给我吧！
blankline()
   space()space()space()hot2(任务完成后,千万不要忘记向家族府邸的goto(45112,101)汇报哦！))</v>
      </c>
      <c r="AG1386" s="556" t="s">
        <v>2520</v>
      </c>
      <c r="AH1386" s="556" t="s">
        <v>114</v>
      </c>
      <c r="AI1386" s="556" t="s">
        <v>110</v>
      </c>
      <c r="AJ1386" s="556" t="s">
        <v>7465</v>
      </c>
      <c r="AK1386" s="683" t="str">
        <f t="shared" si="192"/>
        <v>收集5个1级药材</v>
      </c>
      <c r="AL1386" s="678">
        <v>2</v>
      </c>
      <c r="AM1386" s="683" t="str">
        <f t="shared" si="191"/>
        <v>&lt;p&gt;
&lt;n&gt;  收集5个1级药材&lt;/n&gt;&lt;newline/&gt;
&lt;n&gt;  回复：&lt;/n&gt;&lt;goto quick=1 id="45112" mapid="101" flagpoint="1" taskid="22113"/&gt;
&lt;/p&gt;</v>
      </c>
      <c r="AN1386" s="635" t="str">
        <f t="shared" si="185"/>
        <v>&lt;n&gt;  交：&lt;/n&gt;
 &lt;n&gt; &lt;/n&gt;&lt;goto quick=1 id="45112" mapid="101" flagpoint="1" taskid="22113"/&gt;&lt;/p&gt;</v>
      </c>
      <c r="AO1386" s="556"/>
      <c r="AP1386" s="556">
        <v>0</v>
      </c>
      <c r="AQ1386" s="556">
        <v>0</v>
      </c>
      <c r="AR1386" s="50">
        <v>1</v>
      </c>
      <c r="AS1386" s="556">
        <v>0</v>
      </c>
      <c r="AT1386" s="556">
        <v>0</v>
      </c>
      <c r="AU1386" s="226">
        <v>0</v>
      </c>
      <c r="AV1386" s="17">
        <f t="shared" si="179"/>
        <v>0</v>
      </c>
      <c r="AW1386" s="556" t="str">
        <f t="shared" si="188"/>
        <v>{s_taskGather,{45112,45112,27113,5,1,0}}</v>
      </c>
    </row>
    <row r="1387" spans="1:49" s="684" customFormat="1" ht="84" x14ac:dyDescent="0.15">
      <c r="A1387" s="677">
        <v>22114</v>
      </c>
      <c r="B1387" s="556"/>
      <c r="C1387" s="556" t="s">
        <v>6359</v>
      </c>
      <c r="D1387" s="556">
        <v>4</v>
      </c>
      <c r="E1387" s="556">
        <v>0</v>
      </c>
      <c r="F1387" s="556">
        <v>101</v>
      </c>
      <c r="G1387" s="678">
        <v>70</v>
      </c>
      <c r="H1387" s="556">
        <v>200</v>
      </c>
      <c r="I1387" s="17">
        <v>0</v>
      </c>
      <c r="J1387" s="678">
        <v>0</v>
      </c>
      <c r="K1387" s="556">
        <v>0</v>
      </c>
      <c r="L1387" s="556">
        <v>45112</v>
      </c>
      <c r="M1387" s="556" t="s">
        <v>2510</v>
      </c>
      <c r="N1387" s="556">
        <v>45112</v>
      </c>
      <c r="O1387" s="556" t="s">
        <v>5237</v>
      </c>
      <c r="P1387" s="556">
        <v>4</v>
      </c>
      <c r="Q1387" s="679"/>
      <c r="R1387" s="679"/>
      <c r="S1387" s="679"/>
      <c r="T1387" s="679">
        <v>27113</v>
      </c>
      <c r="U1387" s="556">
        <v>7</v>
      </c>
      <c r="V1387" s="556">
        <v>0</v>
      </c>
      <c r="W1387" s="556">
        <v>0</v>
      </c>
      <c r="X1387" s="623">
        <v>0</v>
      </c>
      <c r="Y1387" s="556"/>
      <c r="Z1387" s="680">
        <v>0</v>
      </c>
      <c r="AA1387" s="556"/>
      <c r="AB1387" s="681"/>
      <c r="AC1387" s="681"/>
      <c r="AD1387" s="556"/>
      <c r="AE1387" s="682"/>
      <c r="AF1387" s="556" t="str">
        <f t="shared" si="190"/>
        <v>title([历练]收集药材)
body(hotyellow_3(任务进程:)newline()
   我们需要大量的药材来维护家族府邸。需要你找来hot(7份1级1级药材)，快去将物品带来给我吧！
blankline()
   space()space()space()hot2(任务完成后,千万不要忘记向家族府邸的goto(45112,101)汇报哦！))</v>
      </c>
      <c r="AG1387" s="556" t="s">
        <v>2520</v>
      </c>
      <c r="AH1387" s="556" t="s">
        <v>114</v>
      </c>
      <c r="AI1387" s="556" t="s">
        <v>110</v>
      </c>
      <c r="AJ1387" s="556" t="s">
        <v>7465</v>
      </c>
      <c r="AK1387" s="683" t="str">
        <f t="shared" si="192"/>
        <v>收集7个1级药材</v>
      </c>
      <c r="AL1387" s="678">
        <v>2</v>
      </c>
      <c r="AM1387" s="683" t="str">
        <f t="shared" si="191"/>
        <v>&lt;p&gt;
&lt;n&gt;  收集7个1级药材&lt;/n&gt;&lt;newline/&gt;
&lt;n&gt;  回复：&lt;/n&gt;&lt;goto quick=1 id="45112" mapid="101" flagpoint="1" taskid="22114"/&gt;
&lt;/p&gt;</v>
      </c>
      <c r="AN1387" s="635" t="str">
        <f t="shared" si="185"/>
        <v>&lt;n&gt;  交：&lt;/n&gt;
 &lt;n&gt; &lt;/n&gt;&lt;goto quick=1 id="45112" mapid="101" flagpoint="1" taskid="22114"/&gt;&lt;/p&gt;</v>
      </c>
      <c r="AO1387" s="556"/>
      <c r="AP1387" s="556">
        <v>0</v>
      </c>
      <c r="AQ1387" s="556">
        <v>0</v>
      </c>
      <c r="AR1387" s="50">
        <v>1</v>
      </c>
      <c r="AS1387" s="556">
        <v>0</v>
      </c>
      <c r="AT1387" s="556">
        <v>0</v>
      </c>
      <c r="AU1387" s="226">
        <v>0</v>
      </c>
      <c r="AV1387" s="17">
        <f t="shared" si="179"/>
        <v>0</v>
      </c>
      <c r="AW1387" s="556" t="str">
        <f t="shared" si="188"/>
        <v>{s_taskGather,{45112,45112,27113,7,1,0}}</v>
      </c>
    </row>
    <row r="1388" spans="1:49" s="684" customFormat="1" ht="84" x14ac:dyDescent="0.15">
      <c r="A1388" s="677">
        <v>22115</v>
      </c>
      <c r="B1388" s="556"/>
      <c r="C1388" s="556" t="s">
        <v>6359</v>
      </c>
      <c r="D1388" s="556">
        <v>4</v>
      </c>
      <c r="E1388" s="556">
        <v>0</v>
      </c>
      <c r="F1388" s="556">
        <v>101</v>
      </c>
      <c r="G1388" s="678">
        <v>70</v>
      </c>
      <c r="H1388" s="556">
        <v>200</v>
      </c>
      <c r="I1388" s="17">
        <v>0</v>
      </c>
      <c r="J1388" s="678">
        <v>0</v>
      </c>
      <c r="K1388" s="556">
        <v>0</v>
      </c>
      <c r="L1388" s="556">
        <v>45112</v>
      </c>
      <c r="M1388" s="556" t="s">
        <v>2510</v>
      </c>
      <c r="N1388" s="556">
        <v>45112</v>
      </c>
      <c r="O1388" s="556" t="s">
        <v>5237</v>
      </c>
      <c r="P1388" s="556">
        <v>4</v>
      </c>
      <c r="Q1388" s="679"/>
      <c r="R1388" s="679"/>
      <c r="S1388" s="679"/>
      <c r="T1388" s="679">
        <v>27113</v>
      </c>
      <c r="U1388" s="556">
        <v>10</v>
      </c>
      <c r="V1388" s="556">
        <v>0</v>
      </c>
      <c r="W1388" s="556">
        <v>0</v>
      </c>
      <c r="X1388" s="623">
        <v>0</v>
      </c>
      <c r="Y1388" s="556"/>
      <c r="Z1388" s="680">
        <v>0</v>
      </c>
      <c r="AA1388" s="556"/>
      <c r="AB1388" s="681"/>
      <c r="AC1388" s="681"/>
      <c r="AD1388" s="556"/>
      <c r="AE1388" s="682"/>
      <c r="AF1388" s="556" t="str">
        <f t="shared" si="190"/>
        <v>title([历练]收集药材)
body(hotyellow_3(任务进程:)newline()
   我们需要大量的药材来维护家族府邸。需要你找来hot(10份1级1级药材)，快去将物品带来给我吧！
blankline()
   space()space()space()hot2(任务完成后,千万不要忘记向家族府邸的goto(45112,101)汇报哦！))</v>
      </c>
      <c r="AG1388" s="556" t="s">
        <v>2520</v>
      </c>
      <c r="AH1388" s="556" t="s">
        <v>114</v>
      </c>
      <c r="AI1388" s="556" t="s">
        <v>110</v>
      </c>
      <c r="AJ1388" s="556" t="s">
        <v>7465</v>
      </c>
      <c r="AK1388" s="683" t="str">
        <f t="shared" si="192"/>
        <v>收集10个1级药材</v>
      </c>
      <c r="AL1388" s="678">
        <v>2</v>
      </c>
      <c r="AM1388" s="683" t="str">
        <f t="shared" si="191"/>
        <v>&lt;p&gt;
&lt;n&gt;  收集10个1级药材&lt;/n&gt;&lt;newline/&gt;
&lt;n&gt;  回复：&lt;/n&gt;&lt;goto quick=1 id="45112" mapid="101" flagpoint="1" taskid="22115"/&gt;
&lt;/p&gt;</v>
      </c>
      <c r="AN1388" s="635" t="str">
        <f t="shared" si="185"/>
        <v>&lt;n&gt;  交：&lt;/n&gt;
 &lt;n&gt; &lt;/n&gt;&lt;goto quick=1 id="45112" mapid="101" flagpoint="1" taskid="22115"/&gt;&lt;/p&gt;</v>
      </c>
      <c r="AO1388" s="556"/>
      <c r="AP1388" s="556">
        <v>0</v>
      </c>
      <c r="AQ1388" s="556">
        <v>0</v>
      </c>
      <c r="AR1388" s="50">
        <v>1</v>
      </c>
      <c r="AS1388" s="556">
        <v>0</v>
      </c>
      <c r="AT1388" s="556">
        <v>0</v>
      </c>
      <c r="AU1388" s="226">
        <v>0</v>
      </c>
      <c r="AV1388" s="17">
        <f t="shared" si="179"/>
        <v>0</v>
      </c>
      <c r="AW1388" s="556" t="str">
        <f t="shared" si="188"/>
        <v>{s_taskGather,{45112,45112,27113,10,1,0}}</v>
      </c>
    </row>
    <row r="1389" spans="1:49" s="684" customFormat="1" ht="84" x14ac:dyDescent="0.15">
      <c r="A1389" s="677">
        <v>22116</v>
      </c>
      <c r="B1389" s="556"/>
      <c r="C1389" s="556" t="s">
        <v>6359</v>
      </c>
      <c r="D1389" s="556">
        <v>4</v>
      </c>
      <c r="E1389" s="556">
        <v>0</v>
      </c>
      <c r="F1389" s="556">
        <v>101</v>
      </c>
      <c r="G1389" s="678">
        <v>70</v>
      </c>
      <c r="H1389" s="556">
        <v>200</v>
      </c>
      <c r="I1389" s="17">
        <v>0</v>
      </c>
      <c r="J1389" s="678">
        <v>0</v>
      </c>
      <c r="K1389" s="556">
        <v>0</v>
      </c>
      <c r="L1389" s="556">
        <v>45112</v>
      </c>
      <c r="M1389" s="556" t="s">
        <v>2510</v>
      </c>
      <c r="N1389" s="556">
        <v>45112</v>
      </c>
      <c r="O1389" s="556" t="s">
        <v>5237</v>
      </c>
      <c r="P1389" s="556">
        <v>4</v>
      </c>
      <c r="Q1389" s="679"/>
      <c r="R1389" s="679"/>
      <c r="S1389" s="679"/>
      <c r="T1389" s="679">
        <v>27113</v>
      </c>
      <c r="U1389" s="556">
        <v>15</v>
      </c>
      <c r="V1389" s="556">
        <v>0</v>
      </c>
      <c r="W1389" s="556">
        <v>0</v>
      </c>
      <c r="X1389" s="623">
        <v>0</v>
      </c>
      <c r="Y1389" s="556"/>
      <c r="Z1389" s="680">
        <v>0</v>
      </c>
      <c r="AA1389" s="556"/>
      <c r="AB1389" s="681"/>
      <c r="AC1389" s="681"/>
      <c r="AD1389" s="556"/>
      <c r="AE1389" s="682"/>
      <c r="AF1389" s="556" t="str">
        <f t="shared" si="190"/>
        <v>title([历练]收集药材)
body(hotyellow_3(任务进程:)newline()
   我们需要大量的药材来维护家族府邸。需要你找来hot(15份1级1级药材)，快去将物品带来给我吧！
blankline()
   space()space()space()hot2(任务完成后,千万不要忘记向家族府邸的goto(45112,101)汇报哦！))</v>
      </c>
      <c r="AG1389" s="556" t="s">
        <v>2520</v>
      </c>
      <c r="AH1389" s="556" t="s">
        <v>114</v>
      </c>
      <c r="AI1389" s="556" t="s">
        <v>110</v>
      </c>
      <c r="AJ1389" s="556" t="s">
        <v>7465</v>
      </c>
      <c r="AK1389" s="683" t="str">
        <f t="shared" si="192"/>
        <v>收集15个1级药材</v>
      </c>
      <c r="AL1389" s="678">
        <v>2</v>
      </c>
      <c r="AM1389" s="683" t="str">
        <f t="shared" si="191"/>
        <v>&lt;p&gt;
&lt;n&gt;  收集15个1级药材&lt;/n&gt;&lt;newline/&gt;
&lt;n&gt;  回复：&lt;/n&gt;&lt;goto quick=1 id="45112" mapid="101" flagpoint="1" taskid="22116"/&gt;
&lt;/p&gt;</v>
      </c>
      <c r="AN1389" s="635" t="str">
        <f t="shared" si="185"/>
        <v>&lt;n&gt;  交：&lt;/n&gt;
 &lt;n&gt; &lt;/n&gt;&lt;goto quick=1 id="45112" mapid="101" flagpoint="1" taskid="22116"/&gt;&lt;/p&gt;</v>
      </c>
      <c r="AO1389" s="556"/>
      <c r="AP1389" s="556">
        <v>0</v>
      </c>
      <c r="AQ1389" s="556">
        <v>0</v>
      </c>
      <c r="AR1389" s="50">
        <v>1</v>
      </c>
      <c r="AS1389" s="556">
        <v>0</v>
      </c>
      <c r="AT1389" s="556">
        <v>0</v>
      </c>
      <c r="AU1389" s="226">
        <v>0</v>
      </c>
      <c r="AV1389" s="17">
        <f t="shared" si="179"/>
        <v>0</v>
      </c>
      <c r="AW1389" s="556" t="str">
        <f t="shared" si="188"/>
        <v>{s_taskGather,{45112,45112,27113,15,1,0}}</v>
      </c>
    </row>
    <row r="1390" spans="1:49" s="685" customFormat="1" ht="108" x14ac:dyDescent="0.15">
      <c r="A1390" s="100">
        <v>22201</v>
      </c>
      <c r="B1390" s="101"/>
      <c r="C1390" s="101" t="s">
        <v>6360</v>
      </c>
      <c r="D1390" s="101">
        <v>4</v>
      </c>
      <c r="E1390" s="101">
        <v>0</v>
      </c>
      <c r="F1390" s="101">
        <v>101</v>
      </c>
      <c r="G1390" s="108">
        <v>200</v>
      </c>
      <c r="H1390" s="101">
        <v>200</v>
      </c>
      <c r="I1390" s="17">
        <v>0</v>
      </c>
      <c r="J1390" s="108">
        <v>0</v>
      </c>
      <c r="K1390" s="101">
        <v>0</v>
      </c>
      <c r="L1390" s="101">
        <v>45112</v>
      </c>
      <c r="M1390" s="101" t="s">
        <v>2510</v>
      </c>
      <c r="N1390" s="101">
        <v>45112</v>
      </c>
      <c r="O1390" s="101" t="s">
        <v>5237</v>
      </c>
      <c r="P1390" s="101">
        <v>4</v>
      </c>
      <c r="Q1390" s="102"/>
      <c r="R1390" s="102"/>
      <c r="S1390" s="102" t="s">
        <v>2532</v>
      </c>
      <c r="T1390" s="102">
        <v>31071</v>
      </c>
      <c r="U1390" s="101">
        <v>2</v>
      </c>
      <c r="V1390" s="101">
        <v>0</v>
      </c>
      <c r="W1390" s="101">
        <v>0</v>
      </c>
      <c r="X1390" s="623">
        <v>0</v>
      </c>
      <c r="Y1390" s="101"/>
      <c r="Z1390" s="104">
        <v>0</v>
      </c>
      <c r="AA1390" s="101"/>
      <c r="AB1390" s="105"/>
      <c r="AC1390" s="105"/>
      <c r="AD1390" s="101"/>
      <c r="AE1390" s="82"/>
      <c r="AF1390" s="101" t="str">
        <f>"title("&amp;C1390&amp;")
body(hotyellow_3(任务进程:)newline()
   我们需要收集"&amp;U1390&amp;"枚hot(地精岩髓)。找到后，将hot(地精岩髓)送至goto("&amp;N1390&amp;","&amp;F1390&amp;")。
   地精岩髓可以在hot(燃烧平原采集获取，或通过拍卖行购买获得。)
blankline()
   space()space()space()hot2(任务完成后,千万不要忘记向家族府邸的goto(45112,101)汇报哦！))"</f>
        <v>title([历练]收集地精岩髓)
body(hotyellow_3(任务进程:)newline()
   我们需要收集2枚hot(地精岩髓)。找到后，将hot(地精岩髓)送至goto(45112,101)。
   地精岩髓可以在hot(燃烧平原采集获取，或通过拍卖行购买获得。)
blankline()
   space()space()space()hot2(任务完成后,千万不要忘记向家族府邸的goto(45112,101)汇报哦！))</v>
      </c>
      <c r="AG1390" s="101" t="s">
        <v>2527</v>
      </c>
      <c r="AH1390" s="101" t="s">
        <v>114</v>
      </c>
      <c r="AI1390" s="101" t="s">
        <v>110</v>
      </c>
      <c r="AJ1390" s="101" t="s">
        <v>7472</v>
      </c>
      <c r="AK1390" s="101" t="str">
        <f t="shared" ref="AK1390:AK1395" si="193">"将"&amp;U1390&amp;"枚"&amp;S1390&amp;"交给团科技官"</f>
        <v>将2枚地精岩髓交给团科技官</v>
      </c>
      <c r="AL1390" s="108">
        <v>2</v>
      </c>
      <c r="AM1390" s="379" t="str">
        <f t="shared" ref="AM1390:AM1395" si="194">"&lt;p&gt;
&lt;n&gt;  收集"&amp;U1390&amp;"枚"&amp;S1390&amp;"交给&lt;/n&gt;
&lt;goto quick=1 id="""&amp;N1390&amp;""" mapid="""&amp;F1390&amp;""" flagpoint=""1"" taskid="""&amp;A1390&amp;"""/&gt;
 &lt;n&gt; &lt;/n&gt;
&lt;/p&gt;"</f>
        <v>&lt;p&gt;
&lt;n&gt;  收集2枚地精岩髓交给&lt;/n&gt;
&lt;goto quick=1 id="45112" mapid="101" flagpoint="1" taskid="22201"/&gt;
 &lt;n&gt; &lt;/n&gt;
&lt;/p&gt;</v>
      </c>
      <c r="AN1390" s="635" t="str">
        <f t="shared" si="185"/>
        <v>&lt;n&gt;  交：&lt;/n&gt;
 &lt;n&gt; &lt;/n&gt;&lt;goto quick=1 id="45112" mapid="101" flagpoint="1" taskid="22201"/&gt;&lt;/p&gt;</v>
      </c>
      <c r="AO1390" s="101"/>
      <c r="AP1390" s="101">
        <v>0</v>
      </c>
      <c r="AQ1390" s="101">
        <v>0</v>
      </c>
      <c r="AR1390" s="50">
        <v>1</v>
      </c>
      <c r="AS1390" s="101">
        <v>0</v>
      </c>
      <c r="AT1390" s="101">
        <v>0</v>
      </c>
      <c r="AU1390" s="226">
        <v>0</v>
      </c>
      <c r="AV1390" s="17">
        <f t="shared" si="179"/>
        <v>0</v>
      </c>
      <c r="AW1390" s="101" t="str">
        <f t="shared" ref="AW1390:AW1396" si="195">"{s_taskGather,{"&amp;L1390&amp;","&amp;N1390&amp;","&amp;T1390&amp;","&amp;U1390&amp;",0,0}}"</f>
        <v>{s_taskGather,{45112,45112,31071,2,0,0}}</v>
      </c>
    </row>
    <row r="1391" spans="1:49" s="685" customFormat="1" ht="108" x14ac:dyDescent="0.15">
      <c r="A1391" s="100">
        <v>22202</v>
      </c>
      <c r="B1391" s="101"/>
      <c r="C1391" s="101" t="s">
        <v>6361</v>
      </c>
      <c r="D1391" s="101">
        <v>4</v>
      </c>
      <c r="E1391" s="101">
        <v>0</v>
      </c>
      <c r="F1391" s="101">
        <v>101</v>
      </c>
      <c r="G1391" s="108">
        <v>200</v>
      </c>
      <c r="H1391" s="101">
        <v>200</v>
      </c>
      <c r="I1391" s="17">
        <v>0</v>
      </c>
      <c r="J1391" s="108">
        <v>0</v>
      </c>
      <c r="K1391" s="101">
        <v>0</v>
      </c>
      <c r="L1391" s="101">
        <v>45112</v>
      </c>
      <c r="M1391" s="101" t="s">
        <v>2510</v>
      </c>
      <c r="N1391" s="101">
        <v>45112</v>
      </c>
      <c r="O1391" s="101" t="s">
        <v>5237</v>
      </c>
      <c r="P1391" s="101">
        <v>4</v>
      </c>
      <c r="Q1391" s="102"/>
      <c r="R1391" s="102"/>
      <c r="S1391" s="102" t="s">
        <v>2533</v>
      </c>
      <c r="T1391" s="102">
        <v>31078</v>
      </c>
      <c r="U1391" s="101">
        <v>2</v>
      </c>
      <c r="V1391" s="101">
        <v>0</v>
      </c>
      <c r="W1391" s="101">
        <v>0</v>
      </c>
      <c r="X1391" s="623">
        <v>0</v>
      </c>
      <c r="Y1391" s="101"/>
      <c r="Z1391" s="104">
        <v>0</v>
      </c>
      <c r="AA1391" s="101"/>
      <c r="AB1391" s="105"/>
      <c r="AC1391" s="105"/>
      <c r="AD1391" s="101"/>
      <c r="AE1391" s="82"/>
      <c r="AF1391" s="101" t="str">
        <f>"title("&amp;C1391&amp;")
body(hotyellow_3(任务进程:)newline()
   我们需要收集"&amp;U1391&amp;"枚hot(彼岸花)。找到后，将hot(彼岸花)送至goto("&amp;N1391&amp;","&amp;F1391&amp;")。
   彼岸花可以在hot(凤城附近采集获取，或通过拍卖行购买获得。)
blankline()
   space()space()space()hot2(任务完成后,千万不要忘记向家族府邸的goto(45112,101)汇报哦！))"</f>
        <v>title([历练]收集彼岸花)
body(hotyellow_3(任务进程:)newline()
   我们需要收集2枚hot(彼岸花)。找到后，将hot(彼岸花)送至goto(45112,101)。
   彼岸花可以在hot(凤城附近采集获取，或通过拍卖行购买获得。)
blankline()
   space()space()space()hot2(任务完成后,千万不要忘记向家族府邸的goto(45112,101)汇报哦！))</v>
      </c>
      <c r="AG1391" s="101" t="s">
        <v>2527</v>
      </c>
      <c r="AH1391" s="101" t="s">
        <v>114</v>
      </c>
      <c r="AI1391" s="101" t="s">
        <v>110</v>
      </c>
      <c r="AJ1391" s="101" t="s">
        <v>7472</v>
      </c>
      <c r="AK1391" s="101" t="str">
        <f t="shared" si="193"/>
        <v>将2枚彼岸花交给团科技官</v>
      </c>
      <c r="AL1391" s="108">
        <v>2</v>
      </c>
      <c r="AM1391" s="379" t="str">
        <f t="shared" si="194"/>
        <v>&lt;p&gt;
&lt;n&gt;  收集2枚彼岸花交给&lt;/n&gt;
&lt;goto quick=1 id="45112" mapid="101" flagpoint="1" taskid="22202"/&gt;
 &lt;n&gt; &lt;/n&gt;
&lt;/p&gt;</v>
      </c>
      <c r="AN1391" s="635" t="str">
        <f t="shared" si="185"/>
        <v>&lt;n&gt;  交：&lt;/n&gt;
 &lt;n&gt; &lt;/n&gt;&lt;goto quick=1 id="45112" mapid="101" flagpoint="1" taskid="22202"/&gt;&lt;/p&gt;</v>
      </c>
      <c r="AO1391" s="101"/>
      <c r="AP1391" s="101">
        <v>0</v>
      </c>
      <c r="AQ1391" s="101">
        <v>0</v>
      </c>
      <c r="AR1391" s="50">
        <v>1</v>
      </c>
      <c r="AS1391" s="101">
        <v>0</v>
      </c>
      <c r="AT1391" s="101">
        <v>0</v>
      </c>
      <c r="AU1391" s="226">
        <v>0</v>
      </c>
      <c r="AV1391" s="17">
        <f t="shared" si="179"/>
        <v>0</v>
      </c>
      <c r="AW1391" s="101" t="str">
        <f t="shared" si="195"/>
        <v>{s_taskGather,{45112,45112,31078,2,0,0}}</v>
      </c>
    </row>
    <row r="1392" spans="1:49" s="685" customFormat="1" ht="108" x14ac:dyDescent="0.15">
      <c r="A1392" s="100">
        <v>22203</v>
      </c>
      <c r="B1392" s="101"/>
      <c r="C1392" s="101" t="s">
        <v>6362</v>
      </c>
      <c r="D1392" s="101">
        <v>4</v>
      </c>
      <c r="E1392" s="101">
        <v>0</v>
      </c>
      <c r="F1392" s="101">
        <v>101</v>
      </c>
      <c r="G1392" s="108">
        <v>200</v>
      </c>
      <c r="H1392" s="101">
        <v>200</v>
      </c>
      <c r="I1392" s="17">
        <v>0</v>
      </c>
      <c r="J1392" s="108">
        <v>0</v>
      </c>
      <c r="K1392" s="101">
        <v>0</v>
      </c>
      <c r="L1392" s="101">
        <v>45112</v>
      </c>
      <c r="M1392" s="101" t="s">
        <v>2510</v>
      </c>
      <c r="N1392" s="101">
        <v>45112</v>
      </c>
      <c r="O1392" s="101" t="s">
        <v>5237</v>
      </c>
      <c r="P1392" s="101">
        <v>4</v>
      </c>
      <c r="Q1392" s="102"/>
      <c r="R1392" s="102"/>
      <c r="S1392" s="102" t="s">
        <v>2534</v>
      </c>
      <c r="T1392" s="102">
        <v>31166</v>
      </c>
      <c r="U1392" s="101">
        <v>3</v>
      </c>
      <c r="V1392" s="101">
        <v>0</v>
      </c>
      <c r="W1392" s="101">
        <v>0</v>
      </c>
      <c r="X1392" s="623">
        <v>0</v>
      </c>
      <c r="Y1392" s="101"/>
      <c r="Z1392" s="104">
        <v>0</v>
      </c>
      <c r="AA1392" s="101"/>
      <c r="AB1392" s="105"/>
      <c r="AC1392" s="105"/>
      <c r="AD1392" s="101"/>
      <c r="AE1392" s="82"/>
      <c r="AF1392" s="101" t="str">
        <f>"title("&amp;C1392&amp;")
body(hotyellow_3(任务进程:)newline()
   我们需要收集"&amp;U1392&amp;"枚hot(荆棘果)。找到后，将hot(荆棘果)送至goto("&amp;N1392&amp;","&amp;F1392&amp;")。
   荆棘果可以在hot(剑阁采集获取，或通过拍卖行购买获得。)
blankline()
   space()space()space()hot2(任务完成后,千万不要忘记向家族府邸的goto(45112,101)汇报哦！))"</f>
        <v>title([历练]收集荆棘果)
body(hotyellow_3(任务进程:)newline()
   我们需要收集3枚hot(荆棘果)。找到后，将hot(荆棘果)送至goto(45112,101)。
   荆棘果可以在hot(剑阁采集获取，或通过拍卖行购买获得。)
blankline()
   space()space()space()hot2(任务完成后,千万不要忘记向家族府邸的goto(45112,101)汇报哦！))</v>
      </c>
      <c r="AG1392" s="101" t="s">
        <v>2527</v>
      </c>
      <c r="AH1392" s="101" t="s">
        <v>114</v>
      </c>
      <c r="AI1392" s="101" t="s">
        <v>110</v>
      </c>
      <c r="AJ1392" s="101" t="s">
        <v>7472</v>
      </c>
      <c r="AK1392" s="101" t="str">
        <f t="shared" si="193"/>
        <v>将3枚荆棘果交给团科技官</v>
      </c>
      <c r="AL1392" s="108">
        <v>2</v>
      </c>
      <c r="AM1392" s="379" t="str">
        <f t="shared" si="194"/>
        <v>&lt;p&gt;
&lt;n&gt;  收集3枚荆棘果交给&lt;/n&gt;
&lt;goto quick=1 id="45112" mapid="101" flagpoint="1" taskid="22203"/&gt;
 &lt;n&gt; &lt;/n&gt;
&lt;/p&gt;</v>
      </c>
      <c r="AN1392" s="635" t="str">
        <f t="shared" si="185"/>
        <v>&lt;n&gt;  交：&lt;/n&gt;
 &lt;n&gt; &lt;/n&gt;&lt;goto quick=1 id="45112" mapid="101" flagpoint="1" taskid="22203"/&gt;&lt;/p&gt;</v>
      </c>
      <c r="AO1392" s="101"/>
      <c r="AP1392" s="101">
        <v>0</v>
      </c>
      <c r="AQ1392" s="101">
        <v>0</v>
      </c>
      <c r="AR1392" s="50">
        <v>1</v>
      </c>
      <c r="AS1392" s="101">
        <v>0</v>
      </c>
      <c r="AT1392" s="101">
        <v>0</v>
      </c>
      <c r="AU1392" s="226">
        <v>0</v>
      </c>
      <c r="AV1392" s="17">
        <f t="shared" si="179"/>
        <v>0</v>
      </c>
      <c r="AW1392" s="101" t="str">
        <f t="shared" si="195"/>
        <v>{s_taskGather,{45112,45112,31166,3,0,0}}</v>
      </c>
    </row>
    <row r="1393" spans="1:49" s="685" customFormat="1" ht="108" x14ac:dyDescent="0.15">
      <c r="A1393" s="100">
        <v>22204</v>
      </c>
      <c r="B1393" s="101"/>
      <c r="C1393" s="101" t="s">
        <v>6363</v>
      </c>
      <c r="D1393" s="101">
        <v>4</v>
      </c>
      <c r="E1393" s="101">
        <v>0</v>
      </c>
      <c r="F1393" s="101">
        <v>101</v>
      </c>
      <c r="G1393" s="108">
        <v>200</v>
      </c>
      <c r="H1393" s="101">
        <v>200</v>
      </c>
      <c r="I1393" s="17">
        <v>0</v>
      </c>
      <c r="J1393" s="108">
        <v>0</v>
      </c>
      <c r="K1393" s="101">
        <v>0</v>
      </c>
      <c r="L1393" s="101">
        <v>45112</v>
      </c>
      <c r="M1393" s="101" t="s">
        <v>2510</v>
      </c>
      <c r="N1393" s="101">
        <v>45112</v>
      </c>
      <c r="O1393" s="101" t="s">
        <v>5237</v>
      </c>
      <c r="P1393" s="101">
        <v>4</v>
      </c>
      <c r="Q1393" s="102"/>
      <c r="R1393" s="102"/>
      <c r="S1393" s="102" t="s">
        <v>2535</v>
      </c>
      <c r="T1393" s="102">
        <v>31120</v>
      </c>
      <c r="U1393" s="101">
        <v>3</v>
      </c>
      <c r="V1393" s="101">
        <v>0</v>
      </c>
      <c r="W1393" s="101">
        <v>0</v>
      </c>
      <c r="X1393" s="623">
        <v>0</v>
      </c>
      <c r="Y1393" s="101"/>
      <c r="Z1393" s="104">
        <v>0</v>
      </c>
      <c r="AA1393" s="101"/>
      <c r="AB1393" s="105"/>
      <c r="AC1393" s="105"/>
      <c r="AD1393" s="101"/>
      <c r="AE1393" s="82"/>
      <c r="AF1393" s="101" t="str">
        <f>"title("&amp;C1393&amp;")
body(hotyellow_3(任务进程:)newline()
   我们需要收集"&amp;U1393&amp;"枚hot(地雷)。找到后，将hot(地雷)送至goto("&amp;N1393&amp;","&amp;F1393&amp;")。
   地雷可以在hot(五丈原采集获取，或通过拍卖行购买获得。)
blankline()
   space()space()space()hot2(任务完成后,千万不要忘记向家族府邸的goto(45112,101)汇报哦！))"</f>
        <v>title([历练]收集地雷)
body(hotyellow_3(任务进程:)newline()
   我们需要收集3枚hot(地雷)。找到后，将hot(地雷)送至goto(45112,101)。
   地雷可以在hot(五丈原采集获取，或通过拍卖行购买获得。)
blankline()
   space()space()space()hot2(任务完成后,千万不要忘记向家族府邸的goto(45112,101)汇报哦！))</v>
      </c>
      <c r="AG1393" s="101" t="s">
        <v>2527</v>
      </c>
      <c r="AH1393" s="101" t="s">
        <v>114</v>
      </c>
      <c r="AI1393" s="101" t="s">
        <v>110</v>
      </c>
      <c r="AJ1393" s="101" t="s">
        <v>7472</v>
      </c>
      <c r="AK1393" s="101" t="str">
        <f t="shared" si="193"/>
        <v>将3枚地雷交给团科技官</v>
      </c>
      <c r="AL1393" s="108">
        <v>2</v>
      </c>
      <c r="AM1393" s="379" t="str">
        <f t="shared" si="194"/>
        <v>&lt;p&gt;
&lt;n&gt;  收集3枚地雷交给&lt;/n&gt;
&lt;goto quick=1 id="45112" mapid="101" flagpoint="1" taskid="22204"/&gt;
 &lt;n&gt; &lt;/n&gt;
&lt;/p&gt;</v>
      </c>
      <c r="AN1393" s="635" t="str">
        <f t="shared" si="185"/>
        <v>&lt;n&gt;  交：&lt;/n&gt;
 &lt;n&gt; &lt;/n&gt;&lt;goto quick=1 id="45112" mapid="101" flagpoint="1" taskid="22204"/&gt;&lt;/p&gt;</v>
      </c>
      <c r="AO1393" s="101"/>
      <c r="AP1393" s="101">
        <v>0</v>
      </c>
      <c r="AQ1393" s="101">
        <v>0</v>
      </c>
      <c r="AR1393" s="50">
        <v>1</v>
      </c>
      <c r="AS1393" s="101">
        <v>0</v>
      </c>
      <c r="AT1393" s="101">
        <v>0</v>
      </c>
      <c r="AU1393" s="226">
        <v>0</v>
      </c>
      <c r="AV1393" s="17">
        <f t="shared" si="179"/>
        <v>0</v>
      </c>
      <c r="AW1393" s="101" t="str">
        <f t="shared" si="195"/>
        <v>{s_taskGather,{45112,45112,31120,3,0,0}}</v>
      </c>
    </row>
    <row r="1394" spans="1:49" s="685" customFormat="1" ht="84" x14ac:dyDescent="0.15">
      <c r="A1394" s="100">
        <v>22205</v>
      </c>
      <c r="B1394" s="101"/>
      <c r="C1394" s="101" t="s">
        <v>6364</v>
      </c>
      <c r="D1394" s="101">
        <v>4</v>
      </c>
      <c r="E1394" s="101">
        <v>0</v>
      </c>
      <c r="F1394" s="101">
        <v>101</v>
      </c>
      <c r="G1394" s="108">
        <v>200</v>
      </c>
      <c r="H1394" s="101">
        <v>200</v>
      </c>
      <c r="I1394" s="17">
        <v>0</v>
      </c>
      <c r="J1394" s="108">
        <v>0</v>
      </c>
      <c r="K1394" s="101">
        <v>0</v>
      </c>
      <c r="L1394" s="101">
        <v>45112</v>
      </c>
      <c r="M1394" s="101" t="s">
        <v>2510</v>
      </c>
      <c r="N1394" s="101">
        <v>45112</v>
      </c>
      <c r="O1394" s="101" t="s">
        <v>5237</v>
      </c>
      <c r="P1394" s="101">
        <v>4</v>
      </c>
      <c r="Q1394" s="102"/>
      <c r="R1394" s="102"/>
      <c r="S1394" s="102" t="s">
        <v>2531</v>
      </c>
      <c r="T1394" s="102">
        <v>31208</v>
      </c>
      <c r="U1394" s="101">
        <v>5</v>
      </c>
      <c r="V1394" s="101">
        <v>0</v>
      </c>
      <c r="W1394" s="101">
        <v>0</v>
      </c>
      <c r="X1394" s="623">
        <v>0</v>
      </c>
      <c r="Y1394" s="101"/>
      <c r="Z1394" s="104">
        <v>0</v>
      </c>
      <c r="AA1394" s="101"/>
      <c r="AB1394" s="105"/>
      <c r="AC1394" s="105"/>
      <c r="AD1394" s="101"/>
      <c r="AE1394" s="82"/>
      <c r="AF1394" s="101" t="str">
        <f>"title("&amp;C1394&amp;")
body(hotyellow_3(任务进程:)newline()
   我们需要收集"&amp;U1394&amp;"枚hot(妖莲魔芋)。找到后，将hot(妖莲魔芋)送至goto("&amp;N1394&amp;","&amp;F1394&amp;")。
blankline()
   space()space()space()hot2(任务完成后,千万不要忘记向家族府邸的goto(45112,101)汇报哦！))"</f>
        <v>title([历练]收集妖莲魔芋)
body(hotyellow_3(任务进程:)newline()
   我们需要收集5枚hot(妖莲魔芋)。找到后，将hot(妖莲魔芋)送至goto(45112,101)。
blankline()
   space()space()space()hot2(任务完成后,千万不要忘记向家族府邸的goto(45112,101)汇报哦！))</v>
      </c>
      <c r="AG1394" s="101" t="s">
        <v>2527</v>
      </c>
      <c r="AH1394" s="101" t="s">
        <v>114</v>
      </c>
      <c r="AI1394" s="101" t="s">
        <v>110</v>
      </c>
      <c r="AJ1394" s="101" t="s">
        <v>7472</v>
      </c>
      <c r="AK1394" s="101" t="str">
        <f t="shared" si="193"/>
        <v>将5枚妖莲魔芋交给团科技官</v>
      </c>
      <c r="AL1394" s="108">
        <v>2</v>
      </c>
      <c r="AM1394" s="379" t="str">
        <f t="shared" si="194"/>
        <v>&lt;p&gt;
&lt;n&gt;  收集5枚妖莲魔芋交给&lt;/n&gt;
&lt;goto quick=1 id="45112" mapid="101" flagpoint="1" taskid="22205"/&gt;
 &lt;n&gt; &lt;/n&gt;
&lt;/p&gt;</v>
      </c>
      <c r="AN1394" s="635" t="str">
        <f t="shared" si="185"/>
        <v>&lt;n&gt;  交：&lt;/n&gt;
 &lt;n&gt; &lt;/n&gt;&lt;goto quick=1 id="45112" mapid="101" flagpoint="1" taskid="22205"/&gt;&lt;/p&gt;</v>
      </c>
      <c r="AO1394" s="101"/>
      <c r="AP1394" s="101">
        <v>0</v>
      </c>
      <c r="AQ1394" s="101">
        <v>0</v>
      </c>
      <c r="AR1394" s="50">
        <v>1</v>
      </c>
      <c r="AS1394" s="101">
        <v>0</v>
      </c>
      <c r="AT1394" s="101">
        <v>0</v>
      </c>
      <c r="AU1394" s="226">
        <v>0</v>
      </c>
      <c r="AV1394" s="17">
        <f t="shared" si="179"/>
        <v>0</v>
      </c>
      <c r="AW1394" s="101" t="str">
        <f t="shared" si="195"/>
        <v>{s_taskGather,{45112,45112,31208,5,0,0}}</v>
      </c>
    </row>
    <row r="1395" spans="1:49" s="685" customFormat="1" ht="84" x14ac:dyDescent="0.15">
      <c r="A1395" s="100">
        <v>22206</v>
      </c>
      <c r="B1395" s="101"/>
      <c r="C1395" s="101" t="s">
        <v>6364</v>
      </c>
      <c r="D1395" s="101">
        <v>4</v>
      </c>
      <c r="E1395" s="101">
        <v>0</v>
      </c>
      <c r="F1395" s="101">
        <v>101</v>
      </c>
      <c r="G1395" s="108">
        <v>200</v>
      </c>
      <c r="H1395" s="101">
        <v>200</v>
      </c>
      <c r="I1395" s="17">
        <v>0</v>
      </c>
      <c r="J1395" s="108">
        <v>0</v>
      </c>
      <c r="K1395" s="101">
        <v>0</v>
      </c>
      <c r="L1395" s="101">
        <v>45112</v>
      </c>
      <c r="M1395" s="101" t="s">
        <v>2510</v>
      </c>
      <c r="N1395" s="101">
        <v>45112</v>
      </c>
      <c r="O1395" s="101" t="s">
        <v>5237</v>
      </c>
      <c r="P1395" s="101">
        <v>4</v>
      </c>
      <c r="Q1395" s="102"/>
      <c r="R1395" s="102"/>
      <c r="S1395" s="102" t="s">
        <v>2531</v>
      </c>
      <c r="T1395" s="102">
        <v>31208</v>
      </c>
      <c r="U1395" s="101">
        <v>10</v>
      </c>
      <c r="V1395" s="101">
        <v>0</v>
      </c>
      <c r="W1395" s="101">
        <v>0</v>
      </c>
      <c r="X1395" s="623">
        <v>0</v>
      </c>
      <c r="Y1395" s="101"/>
      <c r="Z1395" s="104">
        <v>0</v>
      </c>
      <c r="AA1395" s="101"/>
      <c r="AB1395" s="105"/>
      <c r="AC1395" s="105"/>
      <c r="AD1395" s="101"/>
      <c r="AE1395" s="82"/>
      <c r="AF1395" s="101" t="str">
        <f>"title("&amp;C1395&amp;")
body(hotyellow_3(任务进程:)newline()
   我们需要收集"&amp;U1395&amp;"枚hot(妖莲魔芋)。找到后，将hot(妖莲魔芋)送至goto("&amp;N1395&amp;","&amp;F1395&amp;")。
blankline()
   space()space()space()hot2(任务完成后,千万不要忘记向家族府邸的goto(45112,101)汇报哦！))"</f>
        <v>title([历练]收集妖莲魔芋)
body(hotyellow_3(任务进程:)newline()
   我们需要收集10枚hot(妖莲魔芋)。找到后，将hot(妖莲魔芋)送至goto(45112,101)。
blankline()
   space()space()space()hot2(任务完成后,千万不要忘记向家族府邸的goto(45112,101)汇报哦！))</v>
      </c>
      <c r="AG1395" s="101" t="s">
        <v>2527</v>
      </c>
      <c r="AH1395" s="101" t="s">
        <v>114</v>
      </c>
      <c r="AI1395" s="101" t="s">
        <v>110</v>
      </c>
      <c r="AJ1395" s="101" t="s">
        <v>7472</v>
      </c>
      <c r="AK1395" s="101" t="str">
        <f t="shared" si="193"/>
        <v>将10枚妖莲魔芋交给团科技官</v>
      </c>
      <c r="AL1395" s="108">
        <v>2</v>
      </c>
      <c r="AM1395" s="379" t="str">
        <f t="shared" si="194"/>
        <v>&lt;p&gt;
&lt;n&gt;  收集10枚妖莲魔芋交给&lt;/n&gt;
&lt;goto quick=1 id="45112" mapid="101" flagpoint="1" taskid="22206"/&gt;
 &lt;n&gt; &lt;/n&gt;
&lt;/p&gt;</v>
      </c>
      <c r="AN1395" s="635" t="str">
        <f t="shared" si="185"/>
        <v>&lt;n&gt;  交：&lt;/n&gt;
 &lt;n&gt; &lt;/n&gt;&lt;goto quick=1 id="45112" mapid="101" flagpoint="1" taskid="22206"/&gt;&lt;/p&gt;</v>
      </c>
      <c r="AO1395" s="101"/>
      <c r="AP1395" s="101">
        <v>0</v>
      </c>
      <c r="AQ1395" s="101">
        <v>0</v>
      </c>
      <c r="AR1395" s="50">
        <v>1</v>
      </c>
      <c r="AS1395" s="101">
        <v>0</v>
      </c>
      <c r="AT1395" s="101">
        <v>0</v>
      </c>
      <c r="AU1395" s="226">
        <v>0</v>
      </c>
      <c r="AV1395" s="17">
        <f t="shared" si="179"/>
        <v>0</v>
      </c>
      <c r="AW1395" s="101" t="str">
        <f t="shared" si="195"/>
        <v>{s_taskGather,{45112,45112,31208,10,0,0}}</v>
      </c>
    </row>
    <row r="1396" spans="1:49" s="694" customFormat="1" ht="108" x14ac:dyDescent="0.15">
      <c r="A1396" s="686">
        <v>22301</v>
      </c>
      <c r="B1396" s="687"/>
      <c r="C1396" s="687" t="s">
        <v>6365</v>
      </c>
      <c r="D1396" s="687">
        <v>4</v>
      </c>
      <c r="E1396" s="687">
        <v>0</v>
      </c>
      <c r="F1396" s="687">
        <v>101</v>
      </c>
      <c r="G1396" s="688">
        <v>21</v>
      </c>
      <c r="H1396" s="687">
        <v>200</v>
      </c>
      <c r="I1396" s="17">
        <v>0</v>
      </c>
      <c r="J1396" s="688">
        <v>0</v>
      </c>
      <c r="K1396" s="687">
        <v>0</v>
      </c>
      <c r="L1396" s="687">
        <v>45112</v>
      </c>
      <c r="M1396" s="687" t="s">
        <v>2510</v>
      </c>
      <c r="N1396" s="687">
        <v>45112</v>
      </c>
      <c r="O1396" s="687" t="s">
        <v>5237</v>
      </c>
      <c r="P1396" s="687">
        <v>4</v>
      </c>
      <c r="Q1396" s="689"/>
      <c r="R1396" s="689"/>
      <c r="S1396" s="689"/>
      <c r="T1396" s="689">
        <v>22021</v>
      </c>
      <c r="U1396" s="687">
        <v>1</v>
      </c>
      <c r="V1396" s="687">
        <v>0</v>
      </c>
      <c r="W1396" s="687">
        <v>0</v>
      </c>
      <c r="X1396" s="623">
        <v>1</v>
      </c>
      <c r="Y1396" s="687"/>
      <c r="Z1396" s="690">
        <v>0</v>
      </c>
      <c r="AA1396" s="687"/>
      <c r="AB1396" s="691"/>
      <c r="AC1396" s="691"/>
      <c r="AD1396" s="687"/>
      <c r="AE1396" s="692"/>
      <c r="AF1396" s="687" t="str">
        <f>"title("&amp;C1396&amp;")
body(hotyellow_3(任务进程:)newline()
   由于团发展的需要,我们正面临资源短缺的困难,请帮我收集一件hot(魔龙腿)。找到后，交给goto("&amp;N1396&amp;","&amp;P1396&amp;")。该物品可以通过生活技能生产获得,你也可以看看你的朋友是否收藏着此类物品！
blankline()
   space()space()space()hot2(任务完成后,千万不要忘记向家族府邸的goto(45112,101)汇报哦！))"</f>
        <v>title([历练]收集龙护腿)
body(hotyellow_3(任务进程:)newline()
   由于团发展的需要,我们正面临资源短缺的困难,请帮我收集一件hot(魔龙腿)。找到后，交给goto(45112,4)。该物品可以通过生活技能生产获得,你也可以看看你的朋友是否收藏着此类物品！
blankline()
   space()space()space()hot2(任务完成后,千万不要忘记向家族府邸的goto(45112,101)汇报哦！))</v>
      </c>
      <c r="AG1396" s="687" t="s">
        <v>2528</v>
      </c>
      <c r="AH1396" s="687" t="s">
        <v>114</v>
      </c>
      <c r="AI1396" s="687" t="s">
        <v>110</v>
      </c>
      <c r="AJ1396" s="687" t="s">
        <v>7465</v>
      </c>
      <c r="AK1396" s="687" t="s">
        <v>2529</v>
      </c>
      <c r="AL1396" s="688">
        <v>2</v>
      </c>
      <c r="AM1396" s="693" t="str">
        <f>"&lt;p&gt;
&lt;n&gt;  收集"&amp;U1396&amp;"份魔龙腿交给&lt;/n&gt;
&lt;goto quick=1 id="""&amp;N1396&amp;""" mapid=""3"" flagpoint=""1"" taskid="""&amp;A1396&amp;"""/&gt;
 &lt;n&gt; &lt;/n&gt;
&lt;/p&gt;"</f>
        <v>&lt;p&gt;
&lt;n&gt;  收集1份魔龙腿交给&lt;/n&gt;
&lt;goto quick=1 id="45112" mapid="3" flagpoint="1" taskid="22301"/&gt;
 &lt;n&gt; &lt;/n&gt;
&lt;/p&gt;</v>
      </c>
      <c r="AN1396" s="635" t="str">
        <f t="shared" si="185"/>
        <v>&lt;n&gt;  交：&lt;/n&gt;
 &lt;n&gt; &lt;/n&gt;&lt;goto quick=1 id="45112" mapid="101" flagpoint="1" taskid="22301"/&gt;&lt;/p&gt;</v>
      </c>
      <c r="AO1396" s="687"/>
      <c r="AP1396" s="687">
        <v>0</v>
      </c>
      <c r="AQ1396" s="687">
        <v>0</v>
      </c>
      <c r="AR1396" s="50">
        <v>1</v>
      </c>
      <c r="AS1396" s="687">
        <v>0</v>
      </c>
      <c r="AT1396" s="687">
        <v>0</v>
      </c>
      <c r="AU1396" s="226">
        <v>0</v>
      </c>
      <c r="AV1396" s="17">
        <f t="shared" si="179"/>
        <v>0</v>
      </c>
      <c r="AW1396" s="687" t="str">
        <f t="shared" si="195"/>
        <v>{s_taskGather,{45112,45112,22021,1,0,0}}</v>
      </c>
    </row>
    <row r="1397" spans="1:49" s="702" customFormat="1" ht="84" x14ac:dyDescent="0.15">
      <c r="A1397" s="695">
        <v>22401</v>
      </c>
      <c r="B1397" s="696"/>
      <c r="C1397" s="696" t="s">
        <v>6366</v>
      </c>
      <c r="D1397" s="696">
        <v>4</v>
      </c>
      <c r="E1397" s="696">
        <v>0</v>
      </c>
      <c r="F1397" s="696">
        <v>101</v>
      </c>
      <c r="G1397" s="697">
        <v>21</v>
      </c>
      <c r="H1397" s="696">
        <v>30</v>
      </c>
      <c r="I1397" s="17">
        <v>0</v>
      </c>
      <c r="J1397" s="697">
        <v>0</v>
      </c>
      <c r="K1397" s="696">
        <v>0</v>
      </c>
      <c r="L1397" s="696">
        <v>45112</v>
      </c>
      <c r="M1397" s="696" t="s">
        <v>2510</v>
      </c>
      <c r="N1397" s="696">
        <v>45112</v>
      </c>
      <c r="O1397" s="696" t="s">
        <v>5238</v>
      </c>
      <c r="P1397" s="696">
        <v>4</v>
      </c>
      <c r="Q1397" s="698"/>
      <c r="R1397" s="698"/>
      <c r="S1397" s="698">
        <v>10164</v>
      </c>
      <c r="T1397" s="698"/>
      <c r="U1397" s="696">
        <v>1</v>
      </c>
      <c r="V1397" s="696">
        <v>0</v>
      </c>
      <c r="W1397" s="696">
        <v>0</v>
      </c>
      <c r="X1397" s="623">
        <v>0</v>
      </c>
      <c r="Y1397" s="696"/>
      <c r="Z1397" s="699">
        <v>0</v>
      </c>
      <c r="AA1397" s="696"/>
      <c r="AB1397" s="700"/>
      <c r="AC1397" s="700"/>
      <c r="AD1397" s="696"/>
      <c r="AE1397" s="602"/>
      <c r="AF1397" s="696" t="str">
        <f t="shared" ref="AF1397:AF1408" si="196">"title("&amp;C1397&amp;")
body(hotyellow_3(任务进程:)newline()
  根据情报，光明教会正在悬赏击杀goto("&amp;S1397&amp;","&amp;P1397&amp;")。你的实力足够，应该能够轻松完成。
blankline()
   space()space()space()hot2(任务完成后,千万不要忘记向家族府邸的goto(45112,101)汇报哦！))"</f>
        <v>title([历练]打怪（精英）)
body(hotyellow_3(任务进程:)newline()
  根据情报，光明教会正在悬赏击杀goto(10164,4)。你的实力足够，应该能够轻松完成。
blankline()
   space()space()space()hot2(任务完成后,千万不要忘记向家族府邸的goto(45112,101)汇报哦！))</v>
      </c>
      <c r="AG1397" s="696" t="s">
        <v>2517</v>
      </c>
      <c r="AH1397" s="696" t="s">
        <v>4780</v>
      </c>
      <c r="AI1397" s="696" t="s">
        <v>110</v>
      </c>
      <c r="AJ1397" s="696" t="s">
        <v>7447</v>
      </c>
      <c r="AK1397" s="696" t="s">
        <v>2516</v>
      </c>
      <c r="AL1397" s="697">
        <v>2</v>
      </c>
      <c r="AM1397" s="701" t="str">
        <f t="shared" ref="AM1397:AM1408" si="197">"&lt;p&gt;
&lt;n&gt;  击杀："&amp;U1397&amp;"个&lt;/n&gt;
 &lt;n&gt; &lt;/n&gt;&lt;goto quick=1 id="""&amp;S1397&amp;""" mapid="""&amp;P1397&amp;""" flagpoint=""1"" taskid="""&amp;A1397&amp;""" /&gt;
&lt;/p&gt;"</f>
        <v>&lt;p&gt;
&lt;n&gt;  击杀：1个&lt;/n&gt;
 &lt;n&gt; &lt;/n&gt;&lt;goto quick=1 id="10164" mapid="4" flagpoint="1" taskid="22401" /&gt;
&lt;/p&gt;</v>
      </c>
      <c r="AN1397" s="635" t="str">
        <f t="shared" si="185"/>
        <v>&lt;n&gt;  交：&lt;/n&gt;
 &lt;n&gt; &lt;/n&gt;&lt;goto quick=1 id="45112" mapid="101" flagpoint="1" taskid="22401"/&gt;&lt;/p&gt;</v>
      </c>
      <c r="AO1397" s="696"/>
      <c r="AP1397" s="696">
        <v>1</v>
      </c>
      <c r="AQ1397" s="696">
        <v>0</v>
      </c>
      <c r="AR1397" s="50">
        <v>1</v>
      </c>
      <c r="AS1397" s="696">
        <v>0</v>
      </c>
      <c r="AT1397" s="696">
        <v>0</v>
      </c>
      <c r="AU1397" s="226">
        <v>0</v>
      </c>
      <c r="AV1397" s="17">
        <f t="shared" si="179"/>
        <v>0</v>
      </c>
      <c r="AW1397" s="602" t="str">
        <f t="shared" ref="AW1397:AW1407" si="198">"{s_taskKillNpc, {"&amp;L1397&amp;","&amp;N1397&amp;","&amp;S1397&amp;","&amp;U1397&amp;"}}"</f>
        <v>{s_taskKillNpc, {45112,45112,10164,1}}</v>
      </c>
    </row>
    <row r="1398" spans="1:49" s="702" customFormat="1" ht="84" x14ac:dyDescent="0.15">
      <c r="A1398" s="695">
        <v>22402</v>
      </c>
      <c r="B1398" s="696"/>
      <c r="C1398" s="696" t="s">
        <v>6366</v>
      </c>
      <c r="D1398" s="696">
        <v>4</v>
      </c>
      <c r="E1398" s="696">
        <v>0</v>
      </c>
      <c r="F1398" s="696">
        <v>101</v>
      </c>
      <c r="G1398" s="697">
        <v>26</v>
      </c>
      <c r="H1398" s="696">
        <v>35</v>
      </c>
      <c r="I1398" s="17">
        <v>0</v>
      </c>
      <c r="J1398" s="697">
        <v>0</v>
      </c>
      <c r="K1398" s="696">
        <v>0</v>
      </c>
      <c r="L1398" s="696">
        <v>45112</v>
      </c>
      <c r="M1398" s="696" t="s">
        <v>2510</v>
      </c>
      <c r="N1398" s="696">
        <v>45112</v>
      </c>
      <c r="O1398" s="696" t="s">
        <v>5238</v>
      </c>
      <c r="P1398" s="696">
        <v>4</v>
      </c>
      <c r="Q1398" s="698"/>
      <c r="R1398" s="698"/>
      <c r="S1398" s="698">
        <v>10165</v>
      </c>
      <c r="T1398" s="698"/>
      <c r="U1398" s="696">
        <v>1</v>
      </c>
      <c r="V1398" s="696">
        <v>0</v>
      </c>
      <c r="W1398" s="696">
        <v>0</v>
      </c>
      <c r="X1398" s="623">
        <v>0</v>
      </c>
      <c r="Y1398" s="696"/>
      <c r="Z1398" s="699">
        <v>0</v>
      </c>
      <c r="AA1398" s="696"/>
      <c r="AB1398" s="700"/>
      <c r="AC1398" s="700"/>
      <c r="AD1398" s="696"/>
      <c r="AE1398" s="602"/>
      <c r="AF1398" s="696" t="str">
        <f t="shared" si="196"/>
        <v>title([历练]打怪（精英）)
body(hotyellow_3(任务进程:)newline()
  根据情报，光明教会正在悬赏击杀goto(10165,4)。你的实力足够，应该能够轻松完成。
blankline()
   space()space()space()hot2(任务完成后,千万不要忘记向家族府邸的goto(45112,101)汇报哦！))</v>
      </c>
      <c r="AG1398" s="696" t="s">
        <v>2517</v>
      </c>
      <c r="AH1398" s="696" t="s">
        <v>4780</v>
      </c>
      <c r="AI1398" s="696" t="s">
        <v>110</v>
      </c>
      <c r="AJ1398" s="696" t="s">
        <v>7447</v>
      </c>
      <c r="AK1398" s="696" t="s">
        <v>2516</v>
      </c>
      <c r="AL1398" s="697">
        <v>2</v>
      </c>
      <c r="AM1398" s="701" t="str">
        <f t="shared" si="197"/>
        <v>&lt;p&gt;
&lt;n&gt;  击杀：1个&lt;/n&gt;
 &lt;n&gt; &lt;/n&gt;&lt;goto quick=1 id="10165" mapid="4" flagpoint="1" taskid="22402" /&gt;
&lt;/p&gt;</v>
      </c>
      <c r="AN1398" s="635" t="str">
        <f t="shared" si="185"/>
        <v>&lt;n&gt;  交：&lt;/n&gt;
 &lt;n&gt; &lt;/n&gt;&lt;goto quick=1 id="45112" mapid="101" flagpoint="1" taskid="22402"/&gt;&lt;/p&gt;</v>
      </c>
      <c r="AO1398" s="696"/>
      <c r="AP1398" s="696">
        <v>1</v>
      </c>
      <c r="AQ1398" s="696">
        <v>0</v>
      </c>
      <c r="AR1398" s="50">
        <v>1</v>
      </c>
      <c r="AS1398" s="696">
        <v>0</v>
      </c>
      <c r="AT1398" s="696">
        <v>0</v>
      </c>
      <c r="AU1398" s="226">
        <v>0</v>
      </c>
      <c r="AV1398" s="17">
        <f t="shared" si="179"/>
        <v>0</v>
      </c>
      <c r="AW1398" s="602" t="str">
        <f t="shared" si="198"/>
        <v>{s_taskKillNpc, {45112,45112,10165,1}}</v>
      </c>
    </row>
    <row r="1399" spans="1:49" s="702" customFormat="1" ht="84" x14ac:dyDescent="0.15">
      <c r="A1399" s="695">
        <v>22403</v>
      </c>
      <c r="B1399" s="696"/>
      <c r="C1399" s="696" t="s">
        <v>6366</v>
      </c>
      <c r="D1399" s="696">
        <v>4</v>
      </c>
      <c r="E1399" s="696">
        <v>0</v>
      </c>
      <c r="F1399" s="696">
        <v>101</v>
      </c>
      <c r="G1399" s="697">
        <v>31</v>
      </c>
      <c r="H1399" s="696">
        <v>40</v>
      </c>
      <c r="I1399" s="17">
        <v>0</v>
      </c>
      <c r="J1399" s="697">
        <v>0</v>
      </c>
      <c r="K1399" s="696">
        <v>0</v>
      </c>
      <c r="L1399" s="696">
        <v>45112</v>
      </c>
      <c r="M1399" s="696" t="s">
        <v>2510</v>
      </c>
      <c r="N1399" s="696">
        <v>45112</v>
      </c>
      <c r="O1399" s="696" t="s">
        <v>5238</v>
      </c>
      <c r="P1399" s="696">
        <v>3</v>
      </c>
      <c r="Q1399" s="698"/>
      <c r="R1399" s="698"/>
      <c r="S1399" s="698">
        <v>10166</v>
      </c>
      <c r="T1399" s="698"/>
      <c r="U1399" s="696">
        <v>1</v>
      </c>
      <c r="V1399" s="696">
        <v>0</v>
      </c>
      <c r="W1399" s="696">
        <v>0</v>
      </c>
      <c r="X1399" s="623">
        <v>0</v>
      </c>
      <c r="Y1399" s="696"/>
      <c r="Z1399" s="699">
        <v>0</v>
      </c>
      <c r="AA1399" s="696"/>
      <c r="AB1399" s="700"/>
      <c r="AC1399" s="700"/>
      <c r="AD1399" s="696"/>
      <c r="AE1399" s="602"/>
      <c r="AF1399" s="696" t="str">
        <f t="shared" si="196"/>
        <v>title([历练]打怪（精英）)
body(hotyellow_3(任务进程:)newline()
  根据情报，光明教会正在悬赏击杀goto(10166,3)。你的实力足够，应该能够轻松完成。
blankline()
   space()space()space()hot2(任务完成后,千万不要忘记向家族府邸的goto(45112,101)汇报哦！))</v>
      </c>
      <c r="AG1399" s="696" t="s">
        <v>2517</v>
      </c>
      <c r="AH1399" s="696" t="s">
        <v>4780</v>
      </c>
      <c r="AI1399" s="696" t="s">
        <v>110</v>
      </c>
      <c r="AJ1399" s="696" t="s">
        <v>7447</v>
      </c>
      <c r="AK1399" s="696" t="s">
        <v>2516</v>
      </c>
      <c r="AL1399" s="697">
        <v>2</v>
      </c>
      <c r="AM1399" s="701" t="str">
        <f t="shared" si="197"/>
        <v>&lt;p&gt;
&lt;n&gt;  击杀：1个&lt;/n&gt;
 &lt;n&gt; &lt;/n&gt;&lt;goto quick=1 id="10166" mapid="3" flagpoint="1" taskid="22403" /&gt;
&lt;/p&gt;</v>
      </c>
      <c r="AN1399" s="635" t="str">
        <f t="shared" si="185"/>
        <v>&lt;n&gt;  交：&lt;/n&gt;
 &lt;n&gt; &lt;/n&gt;&lt;goto quick=1 id="45112" mapid="101" flagpoint="1" taskid="22403"/&gt;&lt;/p&gt;</v>
      </c>
      <c r="AO1399" s="696"/>
      <c r="AP1399" s="696">
        <v>1</v>
      </c>
      <c r="AQ1399" s="696">
        <v>0</v>
      </c>
      <c r="AR1399" s="50">
        <v>1</v>
      </c>
      <c r="AS1399" s="696">
        <v>0</v>
      </c>
      <c r="AT1399" s="696">
        <v>0</v>
      </c>
      <c r="AU1399" s="226">
        <v>0</v>
      </c>
      <c r="AV1399" s="17">
        <f t="shared" si="179"/>
        <v>0</v>
      </c>
      <c r="AW1399" s="602" t="str">
        <f t="shared" si="198"/>
        <v>{s_taskKillNpc, {45112,45112,10166,1}}</v>
      </c>
    </row>
    <row r="1400" spans="1:49" s="702" customFormat="1" ht="84" x14ac:dyDescent="0.15">
      <c r="A1400" s="695">
        <v>22404</v>
      </c>
      <c r="B1400" s="696"/>
      <c r="C1400" s="696" t="s">
        <v>6366</v>
      </c>
      <c r="D1400" s="696">
        <v>4</v>
      </c>
      <c r="E1400" s="696">
        <v>0</v>
      </c>
      <c r="F1400" s="696">
        <v>101</v>
      </c>
      <c r="G1400" s="697">
        <v>36</v>
      </c>
      <c r="H1400" s="696">
        <v>45</v>
      </c>
      <c r="I1400" s="17">
        <v>0</v>
      </c>
      <c r="J1400" s="697">
        <v>0</v>
      </c>
      <c r="K1400" s="696">
        <v>0</v>
      </c>
      <c r="L1400" s="696">
        <v>45112</v>
      </c>
      <c r="M1400" s="696" t="s">
        <v>2510</v>
      </c>
      <c r="N1400" s="696">
        <v>45112</v>
      </c>
      <c r="O1400" s="696" t="s">
        <v>5238</v>
      </c>
      <c r="P1400" s="696">
        <v>3</v>
      </c>
      <c r="Q1400" s="698"/>
      <c r="R1400" s="698"/>
      <c r="S1400" s="698">
        <v>10167</v>
      </c>
      <c r="T1400" s="698"/>
      <c r="U1400" s="696">
        <v>1</v>
      </c>
      <c r="V1400" s="696">
        <v>0</v>
      </c>
      <c r="W1400" s="696">
        <v>0</v>
      </c>
      <c r="X1400" s="623">
        <v>0</v>
      </c>
      <c r="Y1400" s="696"/>
      <c r="Z1400" s="699">
        <v>0</v>
      </c>
      <c r="AA1400" s="696"/>
      <c r="AB1400" s="700"/>
      <c r="AC1400" s="700"/>
      <c r="AD1400" s="696"/>
      <c r="AE1400" s="602"/>
      <c r="AF1400" s="696" t="str">
        <f t="shared" si="196"/>
        <v>title([历练]打怪（精英）)
body(hotyellow_3(任务进程:)newline()
  根据情报，光明教会正在悬赏击杀goto(10167,3)。你的实力足够，应该能够轻松完成。
blankline()
   space()space()space()hot2(任务完成后,千万不要忘记向家族府邸的goto(45112,101)汇报哦！))</v>
      </c>
      <c r="AG1400" s="696" t="s">
        <v>2517</v>
      </c>
      <c r="AH1400" s="696" t="s">
        <v>4780</v>
      </c>
      <c r="AI1400" s="696" t="s">
        <v>110</v>
      </c>
      <c r="AJ1400" s="696" t="s">
        <v>7447</v>
      </c>
      <c r="AK1400" s="696" t="s">
        <v>2516</v>
      </c>
      <c r="AL1400" s="697">
        <v>2</v>
      </c>
      <c r="AM1400" s="701" t="str">
        <f t="shared" si="197"/>
        <v>&lt;p&gt;
&lt;n&gt;  击杀：1个&lt;/n&gt;
 &lt;n&gt; &lt;/n&gt;&lt;goto quick=1 id="10167" mapid="3" flagpoint="1" taskid="22404" /&gt;
&lt;/p&gt;</v>
      </c>
      <c r="AN1400" s="635" t="str">
        <f t="shared" si="185"/>
        <v>&lt;n&gt;  交：&lt;/n&gt;
 &lt;n&gt; &lt;/n&gt;&lt;goto quick=1 id="45112" mapid="101" flagpoint="1" taskid="22404"/&gt;&lt;/p&gt;</v>
      </c>
      <c r="AO1400" s="696"/>
      <c r="AP1400" s="696">
        <v>1</v>
      </c>
      <c r="AQ1400" s="696">
        <v>0</v>
      </c>
      <c r="AR1400" s="50">
        <v>1</v>
      </c>
      <c r="AS1400" s="696">
        <v>0</v>
      </c>
      <c r="AT1400" s="696">
        <v>0</v>
      </c>
      <c r="AU1400" s="226">
        <v>0</v>
      </c>
      <c r="AV1400" s="17">
        <f t="shared" si="179"/>
        <v>0</v>
      </c>
      <c r="AW1400" s="602" t="str">
        <f t="shared" si="198"/>
        <v>{s_taskKillNpc, {45112,45112,10167,1}}</v>
      </c>
    </row>
    <row r="1401" spans="1:49" s="702" customFormat="1" ht="84" x14ac:dyDescent="0.15">
      <c r="A1401" s="695">
        <v>22405</v>
      </c>
      <c r="B1401" s="696"/>
      <c r="C1401" s="696" t="s">
        <v>6366</v>
      </c>
      <c r="D1401" s="696">
        <v>4</v>
      </c>
      <c r="E1401" s="696">
        <v>0</v>
      </c>
      <c r="F1401" s="696">
        <v>101</v>
      </c>
      <c r="G1401" s="697">
        <v>41</v>
      </c>
      <c r="H1401" s="696">
        <v>50</v>
      </c>
      <c r="I1401" s="17">
        <v>0</v>
      </c>
      <c r="J1401" s="697">
        <v>0</v>
      </c>
      <c r="K1401" s="696">
        <v>0</v>
      </c>
      <c r="L1401" s="696">
        <v>45112</v>
      </c>
      <c r="M1401" s="696" t="s">
        <v>2510</v>
      </c>
      <c r="N1401" s="696">
        <v>45112</v>
      </c>
      <c r="O1401" s="696" t="s">
        <v>5238</v>
      </c>
      <c r="P1401" s="696">
        <v>6</v>
      </c>
      <c r="Q1401" s="698"/>
      <c r="R1401" s="698"/>
      <c r="S1401" s="698">
        <v>10168</v>
      </c>
      <c r="T1401" s="698"/>
      <c r="U1401" s="696">
        <v>1</v>
      </c>
      <c r="V1401" s="696">
        <v>0</v>
      </c>
      <c r="W1401" s="696">
        <v>0</v>
      </c>
      <c r="X1401" s="623">
        <v>0</v>
      </c>
      <c r="Y1401" s="696"/>
      <c r="Z1401" s="699">
        <v>0</v>
      </c>
      <c r="AA1401" s="696"/>
      <c r="AB1401" s="700"/>
      <c r="AC1401" s="700"/>
      <c r="AD1401" s="696"/>
      <c r="AE1401" s="602"/>
      <c r="AF1401" s="696" t="str">
        <f t="shared" si="196"/>
        <v>title([历练]打怪（精英）)
body(hotyellow_3(任务进程:)newline()
  根据情报，光明教会正在悬赏击杀goto(10168,6)。你的实力足够，应该能够轻松完成。
blankline()
   space()space()space()hot2(任务完成后,千万不要忘记向家族府邸的goto(45112,101)汇报哦！))</v>
      </c>
      <c r="AG1401" s="696" t="s">
        <v>2517</v>
      </c>
      <c r="AH1401" s="696" t="s">
        <v>4780</v>
      </c>
      <c r="AI1401" s="696" t="s">
        <v>110</v>
      </c>
      <c r="AJ1401" s="696" t="s">
        <v>7447</v>
      </c>
      <c r="AK1401" s="696" t="s">
        <v>2516</v>
      </c>
      <c r="AL1401" s="697">
        <v>2</v>
      </c>
      <c r="AM1401" s="701" t="str">
        <f t="shared" si="197"/>
        <v>&lt;p&gt;
&lt;n&gt;  击杀：1个&lt;/n&gt;
 &lt;n&gt; &lt;/n&gt;&lt;goto quick=1 id="10168" mapid="6" flagpoint="1" taskid="22405" /&gt;
&lt;/p&gt;</v>
      </c>
      <c r="AN1401" s="635" t="str">
        <f t="shared" ref="AN1401:AN1408" si="199">"&lt;n&gt;  交：&lt;/n&gt;
 &lt;n&gt; &lt;/n&gt;&lt;goto quick=1 id="""&amp;N1401&amp;""" mapid="""&amp;F1401&amp;""" flagpoint=""1"" taskid="""&amp;A1401&amp;"""/&gt;&lt;/p&gt;"</f>
        <v>&lt;n&gt;  交：&lt;/n&gt;
 &lt;n&gt; &lt;/n&gt;&lt;goto quick=1 id="45112" mapid="101" flagpoint="1" taskid="22405"/&gt;&lt;/p&gt;</v>
      </c>
      <c r="AO1401" s="696"/>
      <c r="AP1401" s="696">
        <v>1</v>
      </c>
      <c r="AQ1401" s="696">
        <v>0</v>
      </c>
      <c r="AR1401" s="50">
        <v>1</v>
      </c>
      <c r="AS1401" s="696">
        <v>0</v>
      </c>
      <c r="AT1401" s="696">
        <v>0</v>
      </c>
      <c r="AU1401" s="226">
        <v>0</v>
      </c>
      <c r="AV1401" s="17">
        <f t="shared" si="179"/>
        <v>0</v>
      </c>
      <c r="AW1401" s="602" t="str">
        <f t="shared" si="198"/>
        <v>{s_taskKillNpc, {45112,45112,10168,1}}</v>
      </c>
    </row>
    <row r="1402" spans="1:49" s="702" customFormat="1" ht="84" x14ac:dyDescent="0.15">
      <c r="A1402" s="695">
        <v>22406</v>
      </c>
      <c r="B1402" s="696"/>
      <c r="C1402" s="696" t="s">
        <v>6366</v>
      </c>
      <c r="D1402" s="696">
        <v>4</v>
      </c>
      <c r="E1402" s="696">
        <v>0</v>
      </c>
      <c r="F1402" s="696">
        <v>101</v>
      </c>
      <c r="G1402" s="697">
        <v>46</v>
      </c>
      <c r="H1402" s="696">
        <v>55</v>
      </c>
      <c r="I1402" s="17">
        <v>0</v>
      </c>
      <c r="J1402" s="697">
        <v>0</v>
      </c>
      <c r="K1402" s="696">
        <v>0</v>
      </c>
      <c r="L1402" s="696">
        <v>45112</v>
      </c>
      <c r="M1402" s="696" t="s">
        <v>2510</v>
      </c>
      <c r="N1402" s="696">
        <v>45112</v>
      </c>
      <c r="O1402" s="696" t="s">
        <v>5238</v>
      </c>
      <c r="P1402" s="696">
        <v>6</v>
      </c>
      <c r="Q1402" s="698"/>
      <c r="R1402" s="698"/>
      <c r="S1402" s="698">
        <v>10169</v>
      </c>
      <c r="T1402" s="698"/>
      <c r="U1402" s="696">
        <v>1</v>
      </c>
      <c r="V1402" s="696">
        <v>0</v>
      </c>
      <c r="W1402" s="696">
        <v>0</v>
      </c>
      <c r="X1402" s="623">
        <v>0</v>
      </c>
      <c r="Y1402" s="696"/>
      <c r="Z1402" s="699">
        <v>0</v>
      </c>
      <c r="AA1402" s="696"/>
      <c r="AB1402" s="700"/>
      <c r="AC1402" s="700"/>
      <c r="AD1402" s="696"/>
      <c r="AE1402" s="602"/>
      <c r="AF1402" s="696" t="str">
        <f t="shared" si="196"/>
        <v>title([历练]打怪（精英）)
body(hotyellow_3(任务进程:)newline()
  根据情报，光明教会正在悬赏击杀goto(10169,6)。你的实力足够，应该能够轻松完成。
blankline()
   space()space()space()hot2(任务完成后,千万不要忘记向家族府邸的goto(45112,101)汇报哦！))</v>
      </c>
      <c r="AG1402" s="696" t="s">
        <v>2517</v>
      </c>
      <c r="AH1402" s="696" t="s">
        <v>4780</v>
      </c>
      <c r="AI1402" s="696" t="s">
        <v>110</v>
      </c>
      <c r="AJ1402" s="696" t="s">
        <v>7447</v>
      </c>
      <c r="AK1402" s="696" t="s">
        <v>2516</v>
      </c>
      <c r="AL1402" s="697">
        <v>2</v>
      </c>
      <c r="AM1402" s="701" t="str">
        <f t="shared" si="197"/>
        <v>&lt;p&gt;
&lt;n&gt;  击杀：1个&lt;/n&gt;
 &lt;n&gt; &lt;/n&gt;&lt;goto quick=1 id="10169" mapid="6" flagpoint="1" taskid="22406" /&gt;
&lt;/p&gt;</v>
      </c>
      <c r="AN1402" s="635" t="str">
        <f t="shared" si="199"/>
        <v>&lt;n&gt;  交：&lt;/n&gt;
 &lt;n&gt; &lt;/n&gt;&lt;goto quick=1 id="45112" mapid="101" flagpoint="1" taskid="22406"/&gt;&lt;/p&gt;</v>
      </c>
      <c r="AO1402" s="696"/>
      <c r="AP1402" s="696">
        <v>1</v>
      </c>
      <c r="AQ1402" s="696">
        <v>0</v>
      </c>
      <c r="AR1402" s="50">
        <v>1</v>
      </c>
      <c r="AS1402" s="696">
        <v>0</v>
      </c>
      <c r="AT1402" s="696">
        <v>0</v>
      </c>
      <c r="AU1402" s="226">
        <v>0</v>
      </c>
      <c r="AV1402" s="17">
        <f t="shared" ref="AV1402:AV1490" si="200">IF(D1402 = 1,1,0)</f>
        <v>0</v>
      </c>
      <c r="AW1402" s="602" t="str">
        <f t="shared" si="198"/>
        <v>{s_taskKillNpc, {45112,45112,10169,1}}</v>
      </c>
    </row>
    <row r="1403" spans="1:49" s="702" customFormat="1" ht="84" x14ac:dyDescent="0.15">
      <c r="A1403" s="695">
        <v>22407</v>
      </c>
      <c r="B1403" s="696"/>
      <c r="C1403" s="696" t="s">
        <v>6366</v>
      </c>
      <c r="D1403" s="696">
        <v>4</v>
      </c>
      <c r="E1403" s="696">
        <v>0</v>
      </c>
      <c r="F1403" s="696">
        <v>101</v>
      </c>
      <c r="G1403" s="697">
        <v>51</v>
      </c>
      <c r="H1403" s="696">
        <v>60</v>
      </c>
      <c r="I1403" s="17">
        <v>0</v>
      </c>
      <c r="J1403" s="697">
        <v>0</v>
      </c>
      <c r="K1403" s="696">
        <v>0</v>
      </c>
      <c r="L1403" s="696">
        <v>45112</v>
      </c>
      <c r="M1403" s="696" t="s">
        <v>2510</v>
      </c>
      <c r="N1403" s="696">
        <v>45112</v>
      </c>
      <c r="O1403" s="696" t="s">
        <v>5238</v>
      </c>
      <c r="P1403" s="696">
        <v>7</v>
      </c>
      <c r="Q1403" s="698"/>
      <c r="R1403" s="698"/>
      <c r="S1403" s="698">
        <v>10170</v>
      </c>
      <c r="T1403" s="698"/>
      <c r="U1403" s="696">
        <v>1</v>
      </c>
      <c r="V1403" s="696">
        <v>0</v>
      </c>
      <c r="W1403" s="696">
        <v>0</v>
      </c>
      <c r="X1403" s="623">
        <v>0</v>
      </c>
      <c r="Y1403" s="696"/>
      <c r="Z1403" s="699">
        <v>0</v>
      </c>
      <c r="AA1403" s="696"/>
      <c r="AB1403" s="700"/>
      <c r="AC1403" s="700"/>
      <c r="AD1403" s="696"/>
      <c r="AE1403" s="602"/>
      <c r="AF1403" s="696" t="str">
        <f t="shared" si="196"/>
        <v>title([历练]打怪（精英）)
body(hotyellow_3(任务进程:)newline()
  根据情报，光明教会正在悬赏击杀goto(10170,7)。你的实力足够，应该能够轻松完成。
blankline()
   space()space()space()hot2(任务完成后,千万不要忘记向家族府邸的goto(45112,101)汇报哦！))</v>
      </c>
      <c r="AG1403" s="696" t="s">
        <v>2517</v>
      </c>
      <c r="AH1403" s="696" t="s">
        <v>4780</v>
      </c>
      <c r="AI1403" s="696" t="s">
        <v>110</v>
      </c>
      <c r="AJ1403" s="696" t="s">
        <v>7447</v>
      </c>
      <c r="AK1403" s="696" t="s">
        <v>2516</v>
      </c>
      <c r="AL1403" s="697">
        <v>2</v>
      </c>
      <c r="AM1403" s="701" t="str">
        <f t="shared" si="197"/>
        <v>&lt;p&gt;
&lt;n&gt;  击杀：1个&lt;/n&gt;
 &lt;n&gt; &lt;/n&gt;&lt;goto quick=1 id="10170" mapid="7" flagpoint="1" taskid="22407" /&gt;
&lt;/p&gt;</v>
      </c>
      <c r="AN1403" s="635" t="str">
        <f t="shared" si="199"/>
        <v>&lt;n&gt;  交：&lt;/n&gt;
 &lt;n&gt; &lt;/n&gt;&lt;goto quick=1 id="45112" mapid="101" flagpoint="1" taskid="22407"/&gt;&lt;/p&gt;</v>
      </c>
      <c r="AO1403" s="696"/>
      <c r="AP1403" s="696">
        <v>1</v>
      </c>
      <c r="AQ1403" s="696">
        <v>0</v>
      </c>
      <c r="AR1403" s="50">
        <v>1</v>
      </c>
      <c r="AS1403" s="696">
        <v>0</v>
      </c>
      <c r="AT1403" s="696">
        <v>0</v>
      </c>
      <c r="AU1403" s="226">
        <v>0</v>
      </c>
      <c r="AV1403" s="17">
        <f t="shared" si="200"/>
        <v>0</v>
      </c>
      <c r="AW1403" s="602" t="str">
        <f t="shared" si="198"/>
        <v>{s_taskKillNpc, {45112,45112,10170,1}}</v>
      </c>
    </row>
    <row r="1404" spans="1:49" s="702" customFormat="1" ht="84" x14ac:dyDescent="0.15">
      <c r="A1404" s="695">
        <v>22408</v>
      </c>
      <c r="B1404" s="696"/>
      <c r="C1404" s="696" t="s">
        <v>6366</v>
      </c>
      <c r="D1404" s="696">
        <v>4</v>
      </c>
      <c r="E1404" s="696">
        <v>0</v>
      </c>
      <c r="F1404" s="696">
        <v>101</v>
      </c>
      <c r="G1404" s="697">
        <v>56</v>
      </c>
      <c r="H1404" s="696">
        <v>65</v>
      </c>
      <c r="I1404" s="17">
        <v>0</v>
      </c>
      <c r="J1404" s="697">
        <v>0</v>
      </c>
      <c r="K1404" s="696">
        <v>0</v>
      </c>
      <c r="L1404" s="696">
        <v>45112</v>
      </c>
      <c r="M1404" s="696" t="s">
        <v>2510</v>
      </c>
      <c r="N1404" s="696">
        <v>45112</v>
      </c>
      <c r="O1404" s="696" t="s">
        <v>5238</v>
      </c>
      <c r="P1404" s="696">
        <v>7</v>
      </c>
      <c r="Q1404" s="698"/>
      <c r="R1404" s="698"/>
      <c r="S1404" s="698">
        <v>10171</v>
      </c>
      <c r="T1404" s="698"/>
      <c r="U1404" s="696">
        <v>1</v>
      </c>
      <c r="V1404" s="696">
        <v>0</v>
      </c>
      <c r="W1404" s="696">
        <v>0</v>
      </c>
      <c r="X1404" s="623">
        <v>0</v>
      </c>
      <c r="Y1404" s="696"/>
      <c r="Z1404" s="699">
        <v>0</v>
      </c>
      <c r="AA1404" s="696"/>
      <c r="AB1404" s="700"/>
      <c r="AC1404" s="700"/>
      <c r="AD1404" s="696"/>
      <c r="AE1404" s="602"/>
      <c r="AF1404" s="696" t="str">
        <f t="shared" si="196"/>
        <v>title([历练]打怪（精英）)
body(hotyellow_3(任务进程:)newline()
  根据情报，光明教会正在悬赏击杀goto(10171,7)。你的实力足够，应该能够轻松完成。
blankline()
   space()space()space()hot2(任务完成后,千万不要忘记向家族府邸的goto(45112,101)汇报哦！))</v>
      </c>
      <c r="AG1404" s="696" t="s">
        <v>2517</v>
      </c>
      <c r="AH1404" s="696" t="s">
        <v>4780</v>
      </c>
      <c r="AI1404" s="696" t="s">
        <v>110</v>
      </c>
      <c r="AJ1404" s="696" t="s">
        <v>7447</v>
      </c>
      <c r="AK1404" s="696" t="s">
        <v>2516</v>
      </c>
      <c r="AL1404" s="697">
        <v>2</v>
      </c>
      <c r="AM1404" s="701" t="str">
        <f t="shared" si="197"/>
        <v>&lt;p&gt;
&lt;n&gt;  击杀：1个&lt;/n&gt;
 &lt;n&gt; &lt;/n&gt;&lt;goto quick=1 id="10171" mapid="7" flagpoint="1" taskid="22408" /&gt;
&lt;/p&gt;</v>
      </c>
      <c r="AN1404" s="635" t="str">
        <f t="shared" si="199"/>
        <v>&lt;n&gt;  交：&lt;/n&gt;
 &lt;n&gt; &lt;/n&gt;&lt;goto quick=1 id="45112" mapid="101" flagpoint="1" taskid="22408"/&gt;&lt;/p&gt;</v>
      </c>
      <c r="AO1404" s="696"/>
      <c r="AP1404" s="696">
        <v>1</v>
      </c>
      <c r="AQ1404" s="696">
        <v>0</v>
      </c>
      <c r="AR1404" s="50">
        <v>1</v>
      </c>
      <c r="AS1404" s="696">
        <v>0</v>
      </c>
      <c r="AT1404" s="696">
        <v>0</v>
      </c>
      <c r="AU1404" s="226">
        <v>0</v>
      </c>
      <c r="AV1404" s="17">
        <f t="shared" si="200"/>
        <v>0</v>
      </c>
      <c r="AW1404" s="602" t="str">
        <f t="shared" si="198"/>
        <v>{s_taskKillNpc, {45112,45112,10171,1}}</v>
      </c>
    </row>
    <row r="1405" spans="1:49" s="702" customFormat="1" ht="84" x14ac:dyDescent="0.15">
      <c r="A1405" s="695">
        <v>22409</v>
      </c>
      <c r="B1405" s="696"/>
      <c r="C1405" s="696" t="s">
        <v>6366</v>
      </c>
      <c r="D1405" s="696">
        <v>4</v>
      </c>
      <c r="E1405" s="696">
        <v>0</v>
      </c>
      <c r="F1405" s="696">
        <v>101</v>
      </c>
      <c r="G1405" s="697">
        <v>66</v>
      </c>
      <c r="H1405" s="696">
        <v>70</v>
      </c>
      <c r="I1405" s="17">
        <v>0</v>
      </c>
      <c r="J1405" s="697">
        <v>0</v>
      </c>
      <c r="K1405" s="696">
        <v>0</v>
      </c>
      <c r="L1405" s="696">
        <v>45112</v>
      </c>
      <c r="M1405" s="696" t="s">
        <v>2510</v>
      </c>
      <c r="N1405" s="696">
        <v>45112</v>
      </c>
      <c r="O1405" s="696" t="s">
        <v>5238</v>
      </c>
      <c r="P1405" s="696">
        <v>5</v>
      </c>
      <c r="Q1405" s="698"/>
      <c r="R1405" s="698"/>
      <c r="S1405" s="698">
        <v>10400</v>
      </c>
      <c r="T1405" s="698"/>
      <c r="U1405" s="696">
        <v>1</v>
      </c>
      <c r="V1405" s="696">
        <v>0</v>
      </c>
      <c r="W1405" s="696">
        <v>0</v>
      </c>
      <c r="X1405" s="623">
        <v>0</v>
      </c>
      <c r="Y1405" s="696"/>
      <c r="Z1405" s="699">
        <v>0</v>
      </c>
      <c r="AA1405" s="696"/>
      <c r="AB1405" s="700"/>
      <c r="AC1405" s="700"/>
      <c r="AD1405" s="696"/>
      <c r="AE1405" s="602"/>
      <c r="AF1405" s="696" t="str">
        <f t="shared" si="196"/>
        <v>title([历练]打怪（精英）)
body(hotyellow_3(任务进程:)newline()
  根据情报，光明教会正在悬赏击杀goto(10400,5)。你的实力足够，应该能够轻松完成。
blankline()
   space()space()space()hot2(任务完成后,千万不要忘记向家族府邸的goto(45112,101)汇报哦！))</v>
      </c>
      <c r="AG1405" s="696" t="s">
        <v>2517</v>
      </c>
      <c r="AH1405" s="696" t="s">
        <v>4780</v>
      </c>
      <c r="AI1405" s="696" t="s">
        <v>110</v>
      </c>
      <c r="AJ1405" s="696" t="s">
        <v>7447</v>
      </c>
      <c r="AK1405" s="696" t="s">
        <v>2516</v>
      </c>
      <c r="AL1405" s="697">
        <v>2</v>
      </c>
      <c r="AM1405" s="701" t="str">
        <f t="shared" si="197"/>
        <v>&lt;p&gt;
&lt;n&gt;  击杀：1个&lt;/n&gt;
 &lt;n&gt; &lt;/n&gt;&lt;goto quick=1 id="10400" mapid="5" flagpoint="1" taskid="22409" /&gt;
&lt;/p&gt;</v>
      </c>
      <c r="AN1405" s="635" t="str">
        <f t="shared" si="199"/>
        <v>&lt;n&gt;  交：&lt;/n&gt;
 &lt;n&gt; &lt;/n&gt;&lt;goto quick=1 id="45112" mapid="101" flagpoint="1" taskid="22409"/&gt;&lt;/p&gt;</v>
      </c>
      <c r="AO1405" s="696"/>
      <c r="AP1405" s="696">
        <v>1</v>
      </c>
      <c r="AQ1405" s="696">
        <v>0</v>
      </c>
      <c r="AR1405" s="50">
        <v>1</v>
      </c>
      <c r="AS1405" s="696">
        <v>0</v>
      </c>
      <c r="AT1405" s="696">
        <v>0</v>
      </c>
      <c r="AU1405" s="226">
        <v>0</v>
      </c>
      <c r="AV1405" s="17">
        <f t="shared" si="200"/>
        <v>0</v>
      </c>
      <c r="AW1405" s="602" t="str">
        <f t="shared" si="198"/>
        <v>{s_taskKillNpc, {45112,45112,10400,1}}</v>
      </c>
    </row>
    <row r="1406" spans="1:49" s="702" customFormat="1" ht="84" x14ac:dyDescent="0.15">
      <c r="A1406" s="695">
        <v>22410</v>
      </c>
      <c r="B1406" s="696"/>
      <c r="C1406" s="696" t="s">
        <v>6366</v>
      </c>
      <c r="D1406" s="696">
        <v>4</v>
      </c>
      <c r="E1406" s="696">
        <v>0</v>
      </c>
      <c r="F1406" s="696">
        <v>101</v>
      </c>
      <c r="G1406" s="697">
        <v>66</v>
      </c>
      <c r="H1406" s="696">
        <v>70</v>
      </c>
      <c r="I1406" s="17">
        <v>0</v>
      </c>
      <c r="J1406" s="697">
        <v>0</v>
      </c>
      <c r="K1406" s="696">
        <v>0</v>
      </c>
      <c r="L1406" s="696">
        <v>45112</v>
      </c>
      <c r="M1406" s="696" t="s">
        <v>2510</v>
      </c>
      <c r="N1406" s="696">
        <v>45112</v>
      </c>
      <c r="O1406" s="696" t="s">
        <v>5238</v>
      </c>
      <c r="P1406" s="696">
        <v>5</v>
      </c>
      <c r="Q1406" s="698"/>
      <c r="R1406" s="698"/>
      <c r="S1406" s="698">
        <v>10401</v>
      </c>
      <c r="T1406" s="698"/>
      <c r="U1406" s="696">
        <v>1</v>
      </c>
      <c r="V1406" s="696">
        <v>0</v>
      </c>
      <c r="W1406" s="696">
        <v>0</v>
      </c>
      <c r="X1406" s="623">
        <v>0</v>
      </c>
      <c r="Y1406" s="696"/>
      <c r="Z1406" s="699">
        <v>0</v>
      </c>
      <c r="AA1406" s="696"/>
      <c r="AB1406" s="700"/>
      <c r="AC1406" s="700"/>
      <c r="AD1406" s="696"/>
      <c r="AE1406" s="602"/>
      <c r="AF1406" s="696" t="str">
        <f t="shared" si="196"/>
        <v>title([历练]打怪（精英）)
body(hotyellow_3(任务进程:)newline()
  根据情报，光明教会正在悬赏击杀goto(10401,5)。你的实力足够，应该能够轻松完成。
blankline()
   space()space()space()hot2(任务完成后,千万不要忘记向家族府邸的goto(45112,101)汇报哦！))</v>
      </c>
      <c r="AG1406" s="696" t="s">
        <v>2517</v>
      </c>
      <c r="AH1406" s="696" t="s">
        <v>4780</v>
      </c>
      <c r="AI1406" s="696" t="s">
        <v>110</v>
      </c>
      <c r="AJ1406" s="696" t="s">
        <v>7447</v>
      </c>
      <c r="AK1406" s="696" t="s">
        <v>2516</v>
      </c>
      <c r="AL1406" s="697">
        <v>2</v>
      </c>
      <c r="AM1406" s="701" t="str">
        <f t="shared" si="197"/>
        <v>&lt;p&gt;
&lt;n&gt;  击杀：1个&lt;/n&gt;
 &lt;n&gt; &lt;/n&gt;&lt;goto quick=1 id="10401" mapid="5" flagpoint="1" taskid="22410" /&gt;
&lt;/p&gt;</v>
      </c>
      <c r="AN1406" s="635" t="str">
        <f t="shared" si="199"/>
        <v>&lt;n&gt;  交：&lt;/n&gt;
 &lt;n&gt; &lt;/n&gt;&lt;goto quick=1 id="45112" mapid="101" flagpoint="1" taskid="22410"/&gt;&lt;/p&gt;</v>
      </c>
      <c r="AO1406" s="696"/>
      <c r="AP1406" s="696">
        <v>1</v>
      </c>
      <c r="AQ1406" s="696">
        <v>0</v>
      </c>
      <c r="AR1406" s="50">
        <v>1</v>
      </c>
      <c r="AS1406" s="696">
        <v>0</v>
      </c>
      <c r="AT1406" s="696">
        <v>0</v>
      </c>
      <c r="AU1406" s="226">
        <v>0</v>
      </c>
      <c r="AV1406" s="17">
        <f t="shared" si="200"/>
        <v>0</v>
      </c>
      <c r="AW1406" s="602" t="str">
        <f t="shared" si="198"/>
        <v>{s_taskKillNpc, {45112,45112,10401,1}}</v>
      </c>
    </row>
    <row r="1407" spans="1:49" s="702" customFormat="1" ht="84" x14ac:dyDescent="0.15">
      <c r="A1407" s="695">
        <v>22411</v>
      </c>
      <c r="B1407" s="696"/>
      <c r="C1407" s="696" t="s">
        <v>6366</v>
      </c>
      <c r="D1407" s="696">
        <v>4</v>
      </c>
      <c r="E1407" s="696">
        <v>0</v>
      </c>
      <c r="F1407" s="696">
        <v>101</v>
      </c>
      <c r="G1407" s="697">
        <v>66</v>
      </c>
      <c r="H1407" s="696">
        <v>70</v>
      </c>
      <c r="I1407" s="17">
        <v>0</v>
      </c>
      <c r="J1407" s="697">
        <v>0</v>
      </c>
      <c r="K1407" s="696">
        <v>0</v>
      </c>
      <c r="L1407" s="696">
        <v>45112</v>
      </c>
      <c r="M1407" s="696" t="s">
        <v>2510</v>
      </c>
      <c r="N1407" s="696">
        <v>45112</v>
      </c>
      <c r="O1407" s="696" t="s">
        <v>5238</v>
      </c>
      <c r="P1407" s="696">
        <v>5</v>
      </c>
      <c r="Q1407" s="698"/>
      <c r="R1407" s="698"/>
      <c r="S1407" s="698">
        <v>10402</v>
      </c>
      <c r="T1407" s="698"/>
      <c r="U1407" s="696">
        <v>1</v>
      </c>
      <c r="V1407" s="696">
        <v>0</v>
      </c>
      <c r="W1407" s="696">
        <v>0</v>
      </c>
      <c r="X1407" s="623">
        <v>0</v>
      </c>
      <c r="Y1407" s="696"/>
      <c r="Z1407" s="699">
        <v>0</v>
      </c>
      <c r="AA1407" s="696"/>
      <c r="AB1407" s="700"/>
      <c r="AC1407" s="700"/>
      <c r="AD1407" s="696"/>
      <c r="AE1407" s="602"/>
      <c r="AF1407" s="696" t="str">
        <f t="shared" si="196"/>
        <v>title([历练]打怪（精英）)
body(hotyellow_3(任务进程:)newline()
  根据情报，光明教会正在悬赏击杀goto(10402,5)。你的实力足够，应该能够轻松完成。
blankline()
   space()space()space()hot2(任务完成后,千万不要忘记向家族府邸的goto(45112,101)汇报哦！))</v>
      </c>
      <c r="AG1407" s="696" t="s">
        <v>2517</v>
      </c>
      <c r="AH1407" s="696" t="s">
        <v>4780</v>
      </c>
      <c r="AI1407" s="696" t="s">
        <v>110</v>
      </c>
      <c r="AJ1407" s="696" t="s">
        <v>7447</v>
      </c>
      <c r="AK1407" s="696" t="s">
        <v>2516</v>
      </c>
      <c r="AL1407" s="697">
        <v>2</v>
      </c>
      <c r="AM1407" s="701" t="str">
        <f t="shared" si="197"/>
        <v>&lt;p&gt;
&lt;n&gt;  击杀：1个&lt;/n&gt;
 &lt;n&gt; &lt;/n&gt;&lt;goto quick=1 id="10402" mapid="5" flagpoint="1" taskid="22411" /&gt;
&lt;/p&gt;</v>
      </c>
      <c r="AN1407" s="635" t="str">
        <f t="shared" si="199"/>
        <v>&lt;n&gt;  交：&lt;/n&gt;
 &lt;n&gt; &lt;/n&gt;&lt;goto quick=1 id="45112" mapid="101" flagpoint="1" taskid="22411"/&gt;&lt;/p&gt;</v>
      </c>
      <c r="AO1407" s="696"/>
      <c r="AP1407" s="696">
        <v>1</v>
      </c>
      <c r="AQ1407" s="696">
        <v>0</v>
      </c>
      <c r="AR1407" s="50">
        <v>1</v>
      </c>
      <c r="AS1407" s="696">
        <v>0</v>
      </c>
      <c r="AT1407" s="696">
        <v>0</v>
      </c>
      <c r="AU1407" s="226">
        <v>0</v>
      </c>
      <c r="AV1407" s="17">
        <f t="shared" si="200"/>
        <v>0</v>
      </c>
      <c r="AW1407" s="602" t="str">
        <f t="shared" si="198"/>
        <v>{s_taskKillNpc, {45112,45112,10402,1}}</v>
      </c>
    </row>
    <row r="1408" spans="1:49" s="702" customFormat="1" ht="84" x14ac:dyDescent="0.15">
      <c r="A1408" s="695">
        <v>22412</v>
      </c>
      <c r="B1408" s="696"/>
      <c r="C1408" s="696" t="s">
        <v>6366</v>
      </c>
      <c r="D1408" s="696">
        <v>4</v>
      </c>
      <c r="E1408" s="696">
        <v>0</v>
      </c>
      <c r="F1408" s="696">
        <v>101</v>
      </c>
      <c r="G1408" s="697">
        <v>66</v>
      </c>
      <c r="H1408" s="696">
        <v>70</v>
      </c>
      <c r="I1408" s="17">
        <v>0</v>
      </c>
      <c r="J1408" s="697">
        <v>0</v>
      </c>
      <c r="K1408" s="696">
        <v>0</v>
      </c>
      <c r="L1408" s="696">
        <v>45112</v>
      </c>
      <c r="M1408" s="696" t="s">
        <v>2510</v>
      </c>
      <c r="N1408" s="696">
        <v>45112</v>
      </c>
      <c r="O1408" s="696" t="s">
        <v>5238</v>
      </c>
      <c r="P1408" s="696">
        <v>5</v>
      </c>
      <c r="Q1408" s="698"/>
      <c r="R1408" s="698"/>
      <c r="S1408" s="698">
        <v>10403</v>
      </c>
      <c r="T1408" s="698"/>
      <c r="U1408" s="696">
        <v>1</v>
      </c>
      <c r="V1408" s="696">
        <v>0</v>
      </c>
      <c r="W1408" s="696">
        <v>0</v>
      </c>
      <c r="X1408" s="623">
        <v>0</v>
      </c>
      <c r="Y1408" s="696"/>
      <c r="Z1408" s="699">
        <v>0</v>
      </c>
      <c r="AA1408" s="696"/>
      <c r="AB1408" s="700"/>
      <c r="AC1408" s="700"/>
      <c r="AD1408" s="696"/>
      <c r="AE1408" s="602"/>
      <c r="AF1408" s="696" t="str">
        <f t="shared" si="196"/>
        <v>title([历练]打怪（精英）)
body(hotyellow_3(任务进程:)newline()
  根据情报，光明教会正在悬赏击杀goto(10403,5)。你的实力足够，应该能够轻松完成。
blankline()
   space()space()space()hot2(任务完成后,千万不要忘记向家族府邸的goto(45112,101)汇报哦！))</v>
      </c>
      <c r="AG1408" s="696" t="s">
        <v>2517</v>
      </c>
      <c r="AH1408" s="696" t="s">
        <v>4780</v>
      </c>
      <c r="AI1408" s="696" t="s">
        <v>110</v>
      </c>
      <c r="AJ1408" s="696" t="s">
        <v>7447</v>
      </c>
      <c r="AK1408" s="696" t="s">
        <v>2516</v>
      </c>
      <c r="AL1408" s="697">
        <v>2</v>
      </c>
      <c r="AM1408" s="701" t="str">
        <f t="shared" si="197"/>
        <v>&lt;p&gt;
&lt;n&gt;  击杀：1个&lt;/n&gt;
 &lt;n&gt; &lt;/n&gt;&lt;goto quick=1 id="10403" mapid="5" flagpoint="1" taskid="22412" /&gt;
&lt;/p&gt;</v>
      </c>
      <c r="AN1408" s="635" t="str">
        <f t="shared" si="199"/>
        <v>&lt;n&gt;  交：&lt;/n&gt;
 &lt;n&gt; &lt;/n&gt;&lt;goto quick=1 id="45112" mapid="101" flagpoint="1" taskid="22412"/&gt;&lt;/p&gt;</v>
      </c>
      <c r="AO1408" s="696"/>
      <c r="AP1408" s="696">
        <v>1</v>
      </c>
      <c r="AQ1408" s="696">
        <v>0</v>
      </c>
      <c r="AR1408" s="50">
        <v>1</v>
      </c>
      <c r="AS1408" s="696">
        <v>0</v>
      </c>
      <c r="AT1408" s="696">
        <v>0</v>
      </c>
      <c r="AU1408" s="226">
        <v>0</v>
      </c>
      <c r="AV1408" s="17">
        <f t="shared" si="200"/>
        <v>0</v>
      </c>
      <c r="AW1408" s="602" t="str">
        <f>"{s_taskKillNpc, {"&amp;L1408&amp;","&amp;N1408&amp;","&amp;S1408&amp;","&amp;U1408&amp;"}}"</f>
        <v>{s_taskKillNpc, {45112,45112,10403,1}}</v>
      </c>
    </row>
    <row r="1409" spans="1:55" s="623" customFormat="1" ht="96" x14ac:dyDescent="0.15">
      <c r="A1409" s="623">
        <v>25101</v>
      </c>
      <c r="C1409" s="623" t="s">
        <v>8616</v>
      </c>
      <c r="D1409" s="623">
        <v>4</v>
      </c>
      <c r="E1409" s="623">
        <v>0</v>
      </c>
      <c r="F1409" s="623">
        <v>101</v>
      </c>
      <c r="G1409" s="624">
        <v>21</v>
      </c>
      <c r="H1409" s="623">
        <v>200</v>
      </c>
      <c r="I1409" s="17">
        <v>0</v>
      </c>
      <c r="J1409" s="624">
        <v>0</v>
      </c>
      <c r="K1409" s="623">
        <v>0</v>
      </c>
      <c r="L1409" s="623">
        <v>0</v>
      </c>
      <c r="M1409" s="623" t="s">
        <v>2510</v>
      </c>
      <c r="N1409" s="623">
        <v>0</v>
      </c>
      <c r="O1409" s="623" t="s">
        <v>2510</v>
      </c>
      <c r="P1409" s="623">
        <v>101</v>
      </c>
      <c r="U1409" s="623">
        <v>1</v>
      </c>
      <c r="V1409" s="623">
        <v>0</v>
      </c>
      <c r="W1409" s="623">
        <v>0</v>
      </c>
      <c r="X1409" s="623">
        <v>0</v>
      </c>
      <c r="Z1409" s="623">
        <v>0</v>
      </c>
      <c r="AF1409" s="623" t="str">
        <f>"title("&amp;C1409&amp;")
body(hotyellow_3(任务进程:)newline()
   家族内的华灵梦让我替他向goto(45119,101)提亲，能帮我跑一趟吗。无限发挥你的口才吧，成功后不要忘记回来告诉我。
blankline()
   space()space()space()hot2(任务完成后,千万不要忘记向goto(45112,101)汇报哦！))"</f>
        <v>title([委托]提亲)
body(hotyellow_3(任务进程:)newline()
   家族内的华灵梦让我替他向goto(45119,101)提亲，能帮我跑一趟吗。无限发挥你的口才吧，成功后不要忘记回来告诉我。
blankline()
   space()space()space()hot2(任务完成后,千万不要忘记向goto(45112,101)汇报哦！))</v>
      </c>
      <c r="AG1409" s="623" t="s">
        <v>8644</v>
      </c>
      <c r="AH1409" s="623" t="s">
        <v>8707</v>
      </c>
      <c r="AI1409" s="623" t="s">
        <v>8617</v>
      </c>
      <c r="AJ1409" s="623" t="s">
        <v>8638</v>
      </c>
      <c r="AK1409" s="623" t="s">
        <v>115</v>
      </c>
      <c r="AL1409" s="624">
        <v>2</v>
      </c>
      <c r="AM1409" s="623" t="s">
        <v>8939</v>
      </c>
      <c r="AP1409" s="623">
        <v>0</v>
      </c>
      <c r="AQ1409" s="623">
        <v>0</v>
      </c>
      <c r="AR1409" s="623">
        <v>0</v>
      </c>
      <c r="AS1409" s="623">
        <v>0</v>
      </c>
      <c r="AT1409" s="623">
        <v>0</v>
      </c>
      <c r="AU1409" s="226">
        <v>0</v>
      </c>
      <c r="AV1409" s="17">
        <f t="shared" si="200"/>
        <v>0</v>
      </c>
      <c r="AW1409" s="623" t="str">
        <f t="shared" ref="AW1409:AW1414" si="201">"{s_taskTalk,{"&amp;L1409&amp;","&amp;N1409&amp;"}}"</f>
        <v>{s_taskTalk,{0,0}}</v>
      </c>
    </row>
    <row r="1410" spans="1:55" s="623" customFormat="1" ht="84" x14ac:dyDescent="0.15">
      <c r="A1410" s="623">
        <v>25102</v>
      </c>
      <c r="C1410" s="623" t="s">
        <v>8618</v>
      </c>
      <c r="D1410" s="623">
        <v>4</v>
      </c>
      <c r="E1410" s="623">
        <v>0</v>
      </c>
      <c r="F1410" s="623">
        <v>101</v>
      </c>
      <c r="G1410" s="624">
        <v>21</v>
      </c>
      <c r="H1410" s="623">
        <v>200</v>
      </c>
      <c r="I1410" s="17">
        <v>0</v>
      </c>
      <c r="J1410" s="624">
        <v>0</v>
      </c>
      <c r="K1410" s="623">
        <v>0</v>
      </c>
      <c r="L1410" s="623">
        <v>0</v>
      </c>
      <c r="M1410" s="623" t="s">
        <v>2510</v>
      </c>
      <c r="N1410" s="623">
        <v>0</v>
      </c>
      <c r="O1410" s="623" t="s">
        <v>2510</v>
      </c>
      <c r="P1410" s="623">
        <v>101</v>
      </c>
      <c r="U1410" s="623">
        <v>1</v>
      </c>
      <c r="V1410" s="623">
        <v>0</v>
      </c>
      <c r="W1410" s="623">
        <v>0</v>
      </c>
      <c r="X1410" s="623">
        <v>0</v>
      </c>
      <c r="Z1410" s="623">
        <v>0</v>
      </c>
      <c r="AF1410" s="623" t="str">
        <f>"title("&amp;C1410&amp;")
body(hotyellow_3(任务进程:)newline()
   帮我去慰问下农场管理员goto(45118,101)吧，他长年累月日晒雨淋，真是辛苦啊，慰问完不要忘记回来告诉我。
blankline()
   space()space()space()hot2(任务完成后,千万不要忘记向goto(45112,101)汇报哦！))"</f>
        <v>title([委托]慰问)
body(hotyellow_3(任务进程:)newline()
   帮我去慰问下农场管理员goto(45118,101)吧，他长年累月日晒雨淋，真是辛苦啊，慰问完不要忘记回来告诉我。
blankline()
   space()space()space()hot2(任务完成后,千万不要忘记向goto(45112,101)汇报哦！))</v>
      </c>
      <c r="AG1410" s="623" t="s">
        <v>8645</v>
      </c>
      <c r="AH1410" s="623" t="s">
        <v>8708</v>
      </c>
      <c r="AI1410" s="623" t="s">
        <v>8619</v>
      </c>
      <c r="AJ1410" s="623" t="s">
        <v>8639</v>
      </c>
      <c r="AK1410" s="623" t="s">
        <v>115</v>
      </c>
      <c r="AL1410" s="624">
        <v>2</v>
      </c>
      <c r="AM1410" s="623" t="s">
        <v>8940</v>
      </c>
      <c r="AP1410" s="623">
        <v>0</v>
      </c>
      <c r="AQ1410" s="623">
        <v>0</v>
      </c>
      <c r="AR1410" s="623">
        <v>0</v>
      </c>
      <c r="AS1410" s="623">
        <v>0</v>
      </c>
      <c r="AT1410" s="623">
        <v>0</v>
      </c>
      <c r="AU1410" s="226">
        <v>0</v>
      </c>
      <c r="AV1410" s="17">
        <f t="shared" ref="AV1410:AV1422" si="202">IF(D1410 = 1,1,0)</f>
        <v>0</v>
      </c>
      <c r="AW1410" s="623" t="str">
        <f t="shared" si="201"/>
        <v>{s_taskTalk,{0,0}}</v>
      </c>
    </row>
    <row r="1411" spans="1:55" s="623" customFormat="1" ht="84" x14ac:dyDescent="0.15">
      <c r="A1411" s="623">
        <v>25103</v>
      </c>
      <c r="C1411" s="623" t="s">
        <v>8661</v>
      </c>
      <c r="D1411" s="623">
        <v>4</v>
      </c>
      <c r="E1411" s="623">
        <v>0</v>
      </c>
      <c r="F1411" s="623">
        <v>101</v>
      </c>
      <c r="G1411" s="624">
        <v>21</v>
      </c>
      <c r="H1411" s="623">
        <v>200</v>
      </c>
      <c r="I1411" s="17">
        <v>0</v>
      </c>
      <c r="J1411" s="624">
        <v>0</v>
      </c>
      <c r="K1411" s="623">
        <v>0</v>
      </c>
      <c r="L1411" s="623">
        <v>0</v>
      </c>
      <c r="M1411" s="623" t="s">
        <v>2510</v>
      </c>
      <c r="N1411" s="623">
        <v>0</v>
      </c>
      <c r="O1411" s="623" t="s">
        <v>2510</v>
      </c>
      <c r="P1411" s="623">
        <v>101</v>
      </c>
      <c r="U1411" s="623">
        <v>2</v>
      </c>
      <c r="V1411" s="623">
        <v>0</v>
      </c>
      <c r="W1411" s="623">
        <v>0</v>
      </c>
      <c r="X1411" s="623">
        <v>0</v>
      </c>
      <c r="Z1411" s="623">
        <v>0</v>
      </c>
      <c r="AF1411" s="623" t="str">
        <f>"title("&amp;C1411&amp;")
body(hotyellow_3(任务进程:)newline()
   佳龙为了扶老奶奶过马路，错过了与源宗正姑娘的约会，找goto(45113,101)解释下吧，解释完请转告给我。
blankline()
   space()space()space()hot2(任务完成后,千万不要忘记向goto(45112,101)汇报哦！))"</f>
        <v>title([委托]解释)
body(hotyellow_3(任务进程:)newline()
   佳龙为了扶老奶奶过马路，错过了与源宗正姑娘的约会，找goto(45113,101)解释下吧，解释完请转告给我。
blankline()
   space()space()space()hot2(任务完成后,千万不要忘记向goto(45112,101)汇报哦！))</v>
      </c>
      <c r="AG1411" s="623" t="s">
        <v>8645</v>
      </c>
      <c r="AH1411" s="623" t="s">
        <v>8706</v>
      </c>
      <c r="AI1411" s="623" t="s">
        <v>8662</v>
      </c>
      <c r="AJ1411" s="623" t="s">
        <v>8678</v>
      </c>
      <c r="AK1411" s="623" t="s">
        <v>115</v>
      </c>
      <c r="AL1411" s="624">
        <v>2</v>
      </c>
      <c r="AM1411" s="623" t="s">
        <v>8941</v>
      </c>
      <c r="AP1411" s="623">
        <v>0</v>
      </c>
      <c r="AQ1411" s="623">
        <v>0</v>
      </c>
      <c r="AR1411" s="623">
        <v>0</v>
      </c>
      <c r="AS1411" s="623">
        <v>0</v>
      </c>
      <c r="AT1411" s="623">
        <v>0</v>
      </c>
      <c r="AU1411" s="226">
        <v>0</v>
      </c>
      <c r="AV1411" s="17">
        <f t="shared" ref="AV1411:AV1413" si="203">IF(D1411 = 1,1,0)</f>
        <v>0</v>
      </c>
      <c r="AW1411" s="623" t="str">
        <f t="shared" si="201"/>
        <v>{s_taskTalk,{0,0}}</v>
      </c>
    </row>
    <row r="1412" spans="1:55" s="623" customFormat="1" ht="96" x14ac:dyDescent="0.15">
      <c r="A1412" s="623">
        <v>25104</v>
      </c>
      <c r="C1412" s="623" t="s">
        <v>8679</v>
      </c>
      <c r="D1412" s="623">
        <v>4</v>
      </c>
      <c r="E1412" s="623">
        <v>0</v>
      </c>
      <c r="F1412" s="623">
        <v>101</v>
      </c>
      <c r="G1412" s="624">
        <v>21</v>
      </c>
      <c r="H1412" s="623">
        <v>200</v>
      </c>
      <c r="I1412" s="17">
        <v>0</v>
      </c>
      <c r="J1412" s="624">
        <v>0</v>
      </c>
      <c r="K1412" s="623">
        <v>0</v>
      </c>
      <c r="L1412" s="623">
        <v>0</v>
      </c>
      <c r="M1412" s="623" t="s">
        <v>2510</v>
      </c>
      <c r="N1412" s="623">
        <v>0</v>
      </c>
      <c r="O1412" s="623" t="s">
        <v>2510</v>
      </c>
      <c r="P1412" s="623">
        <v>101</v>
      </c>
      <c r="U1412" s="623">
        <v>2</v>
      </c>
      <c r="V1412" s="623">
        <v>0</v>
      </c>
      <c r="W1412" s="623">
        <v>0</v>
      </c>
      <c r="X1412" s="623">
        <v>0</v>
      </c>
      <c r="Z1412" s="623">
        <v>0</v>
      </c>
      <c r="AF1412" s="623" t="str">
        <f>"title("&amp;C1412&amp;")
body(hotyellow_3(任务进程:)newline()
   家族内的劳宫需要你帮忙去跟goto(45129,101)解释下，他们原本约好去看仓老师的全国巡回歌舞秀，可劳大叔生病所以爽约了。
blankline()
   space()space()space()hot2(任务完成后,千万不要忘记向goto(45112,101)汇报哦！))"</f>
        <v>title([委托]爽约)
body(hotyellow_3(任务进程:)newline()
   家族内的劳宫需要你帮忙去跟goto(45129,101)解释下，他们原本约好去看仓老师的全国巡回歌舞秀，可劳大叔生病所以爽约了。
blankline()
   space()space()space()hot2(任务完成后,千万不要忘记向goto(45112,101)汇报哦！))</v>
      </c>
      <c r="AG1412" s="623" t="s">
        <v>8644</v>
      </c>
      <c r="AH1412" s="623" t="s">
        <v>8680</v>
      </c>
      <c r="AI1412" s="623" t="s">
        <v>8681</v>
      </c>
      <c r="AJ1412" s="623" t="s">
        <v>8690</v>
      </c>
      <c r="AK1412" s="623" t="s">
        <v>115</v>
      </c>
      <c r="AL1412" s="624">
        <v>2</v>
      </c>
      <c r="AM1412" s="623" t="s">
        <v>8942</v>
      </c>
      <c r="AP1412" s="623">
        <v>0</v>
      </c>
      <c r="AQ1412" s="623">
        <v>0</v>
      </c>
      <c r="AR1412" s="623">
        <v>0</v>
      </c>
      <c r="AS1412" s="623">
        <v>0</v>
      </c>
      <c r="AT1412" s="623">
        <v>0</v>
      </c>
      <c r="AU1412" s="226">
        <v>0</v>
      </c>
      <c r="AV1412" s="17">
        <f t="shared" si="203"/>
        <v>0</v>
      </c>
      <c r="AW1412" s="623" t="str">
        <f t="shared" si="201"/>
        <v>{s_taskTalk,{0,0}}</v>
      </c>
    </row>
    <row r="1413" spans="1:55" s="623" customFormat="1" ht="96" x14ac:dyDescent="0.15">
      <c r="A1413" s="623">
        <v>25105</v>
      </c>
      <c r="C1413" s="623" t="s">
        <v>8682</v>
      </c>
      <c r="D1413" s="623">
        <v>4</v>
      </c>
      <c r="E1413" s="623">
        <v>0</v>
      </c>
      <c r="F1413" s="623">
        <v>101</v>
      </c>
      <c r="G1413" s="624">
        <v>21</v>
      </c>
      <c r="H1413" s="623">
        <v>200</v>
      </c>
      <c r="I1413" s="17">
        <v>0</v>
      </c>
      <c r="J1413" s="624">
        <v>0</v>
      </c>
      <c r="K1413" s="623">
        <v>0</v>
      </c>
      <c r="L1413" s="623">
        <v>0</v>
      </c>
      <c r="M1413" s="623" t="s">
        <v>2510</v>
      </c>
      <c r="N1413" s="623">
        <v>0</v>
      </c>
      <c r="O1413" s="623" t="s">
        <v>2510</v>
      </c>
      <c r="P1413" s="623">
        <v>101</v>
      </c>
      <c r="U1413" s="623">
        <v>2</v>
      </c>
      <c r="V1413" s="623">
        <v>0</v>
      </c>
      <c r="W1413" s="623">
        <v>0</v>
      </c>
      <c r="X1413" s="623">
        <v>0</v>
      </c>
      <c r="Z1413" s="623">
        <v>0</v>
      </c>
      <c r="AF1413" s="623" t="str">
        <f>"title("&amp;C1413&amp;")
body(hotyellow_3(任务进程:)newline()
   最近厨房的食物一直被一只馋猫偷吃，你帮我去问goto(45113,101)借几天她的爱犬吧，我们要好好教训那个馋猫。
blankline()
   space()space()space()hot2(任务完成后,千万不要忘记向goto(45112,101)汇报哦！))"</f>
        <v>title([委托]借狗)
body(hotyellow_3(任务进程:)newline()
   最近厨房的食物一直被一只馋猫偷吃，你帮我去问goto(45113,101)借几天她的爱犬吧，我们要好好教训那个馋猫。
blankline()
   space()space()space()hot2(任务完成后,千万不要忘记向goto(45112,101)汇报哦！))</v>
      </c>
      <c r="AG1413" s="623" t="s">
        <v>8645</v>
      </c>
      <c r="AH1413" s="623" t="s">
        <v>8683</v>
      </c>
      <c r="AI1413" s="623" t="s">
        <v>8684</v>
      </c>
      <c r="AJ1413" s="623" t="s">
        <v>8685</v>
      </c>
      <c r="AK1413" s="623" t="s">
        <v>115</v>
      </c>
      <c r="AL1413" s="624">
        <v>2</v>
      </c>
      <c r="AM1413" s="623" t="s">
        <v>8943</v>
      </c>
      <c r="AP1413" s="623">
        <v>0</v>
      </c>
      <c r="AQ1413" s="623">
        <v>0</v>
      </c>
      <c r="AR1413" s="623">
        <v>0</v>
      </c>
      <c r="AS1413" s="623">
        <v>0</v>
      </c>
      <c r="AT1413" s="623">
        <v>0</v>
      </c>
      <c r="AU1413" s="226">
        <v>0</v>
      </c>
      <c r="AV1413" s="17">
        <f t="shared" si="203"/>
        <v>0</v>
      </c>
      <c r="AW1413" s="623" t="str">
        <f t="shared" si="201"/>
        <v>{s_taskTalk,{0,0}}</v>
      </c>
    </row>
    <row r="1414" spans="1:55" s="623" customFormat="1" ht="84" x14ac:dyDescent="0.15">
      <c r="A1414" s="623">
        <v>25106</v>
      </c>
      <c r="C1414" s="623" t="s">
        <v>8686</v>
      </c>
      <c r="D1414" s="623">
        <v>4</v>
      </c>
      <c r="E1414" s="623">
        <v>0</v>
      </c>
      <c r="F1414" s="623">
        <v>101</v>
      </c>
      <c r="G1414" s="624">
        <v>21</v>
      </c>
      <c r="H1414" s="623">
        <v>200</v>
      </c>
      <c r="I1414" s="17">
        <v>0</v>
      </c>
      <c r="J1414" s="624">
        <v>0</v>
      </c>
      <c r="K1414" s="623">
        <v>0</v>
      </c>
      <c r="L1414" s="623">
        <v>0</v>
      </c>
      <c r="M1414" s="623" t="s">
        <v>2510</v>
      </c>
      <c r="N1414" s="623">
        <v>0</v>
      </c>
      <c r="O1414" s="623" t="s">
        <v>2510</v>
      </c>
      <c r="P1414" s="623">
        <v>101</v>
      </c>
      <c r="U1414" s="623">
        <v>2</v>
      </c>
      <c r="V1414" s="623">
        <v>0</v>
      </c>
      <c r="W1414" s="623">
        <v>0</v>
      </c>
      <c r="X1414" s="623">
        <v>0</v>
      </c>
      <c r="Z1414" s="623">
        <v>0</v>
      </c>
      <c r="AF1414" s="623" t="str">
        <f>"title("&amp;C1414&amp;")
body(hotyellow_3(任务进程:)newline()
   上次问goto(45113,101)借狗来对付厨房的馋猫，你替我去感谢下她吧。
blankline()
   space()space()space()hot2(任务完成后,千万不要忘记向goto(45112,101)汇报哦！))"</f>
        <v>title([委托]感谢)
body(hotyellow_3(任务进程:)newline()
   上次问goto(45113,101)借狗来对付厨房的馋猫，你替我去感谢下她吧。
blankline()
   space()space()space()hot2(任务完成后,千万不要忘记向goto(45112,101)汇报哦！))</v>
      </c>
      <c r="AG1414" s="623" t="s">
        <v>8645</v>
      </c>
      <c r="AH1414" s="623" t="s">
        <v>8687</v>
      </c>
      <c r="AI1414" s="623" t="s">
        <v>8688</v>
      </c>
      <c r="AJ1414" s="623" t="s">
        <v>8689</v>
      </c>
      <c r="AK1414" s="623" t="s">
        <v>115</v>
      </c>
      <c r="AL1414" s="624">
        <v>2</v>
      </c>
      <c r="AM1414" s="623" t="s">
        <v>8944</v>
      </c>
      <c r="AP1414" s="623">
        <v>0</v>
      </c>
      <c r="AQ1414" s="623">
        <v>0</v>
      </c>
      <c r="AR1414" s="623">
        <v>0</v>
      </c>
      <c r="AS1414" s="623">
        <v>0</v>
      </c>
      <c r="AT1414" s="623">
        <v>0</v>
      </c>
      <c r="AU1414" s="226">
        <v>0</v>
      </c>
      <c r="AV1414" s="17">
        <f t="shared" ref="AV1414" si="204">IF(D1414 = 1,1,0)</f>
        <v>0</v>
      </c>
      <c r="AW1414" s="623" t="str">
        <f t="shared" si="201"/>
        <v>{s_taskTalk,{0,0}}</v>
      </c>
    </row>
    <row r="1415" spans="1:55" s="623" customFormat="1" ht="96" x14ac:dyDescent="0.15">
      <c r="A1415" s="623">
        <v>25301</v>
      </c>
      <c r="C1415" s="891" t="s">
        <v>8620</v>
      </c>
      <c r="D1415" s="623">
        <v>4</v>
      </c>
      <c r="E1415" s="623">
        <v>0</v>
      </c>
      <c r="F1415" s="623">
        <v>101</v>
      </c>
      <c r="G1415" s="623">
        <v>21</v>
      </c>
      <c r="H1415" s="623">
        <v>200</v>
      </c>
      <c r="I1415" s="623">
        <v>0</v>
      </c>
      <c r="J1415" s="623">
        <v>0</v>
      </c>
      <c r="K1415" s="623">
        <v>0</v>
      </c>
      <c r="L1415" s="623">
        <v>0</v>
      </c>
      <c r="M1415" s="623" t="s">
        <v>2510</v>
      </c>
      <c r="N1415" s="623">
        <v>0</v>
      </c>
      <c r="O1415" s="623" t="s">
        <v>2510</v>
      </c>
      <c r="P1415" s="623">
        <v>101</v>
      </c>
      <c r="Q1415" s="623">
        <v>45375</v>
      </c>
      <c r="U1415" s="623">
        <v>1</v>
      </c>
      <c r="V1415" s="623">
        <v>0</v>
      </c>
      <c r="W1415" s="623">
        <v>0</v>
      </c>
      <c r="X1415" s="623">
        <v>0</v>
      </c>
      <c r="Z1415" s="623">
        <v>0</v>
      </c>
      <c r="AF1415" s="623" t="str">
        <f>"title("&amp;C1415&amp;")
body(hotyellow_3(任务进程:)newline()
   华少丢失了绣球，十分着急，快去为他找到goto("&amp;Q1415&amp;","&amp;P1415&amp;")吧，不然没法成亲了。找到之后，带给goto(45112,101)。
blankline()
   space()space()space()hot2(任务完成后,千万不要忘记向goto(45112,101)汇报哦！))"</f>
        <v>title([委托]绣球的意义)
body(hotyellow_3(任务进程:)newline()
   华少丢失了绣球，十分着急，快去为他找到goto(45375,101)吧，不然没法成亲了。找到之后，带给goto(45112,101)。
blankline()
   space()space()space()hot2(任务完成后,千万不要忘记向goto(45112,101)汇报哦！))</v>
      </c>
      <c r="AG1415" s="623" t="s">
        <v>8646</v>
      </c>
      <c r="AH1415" s="623" t="s">
        <v>8626</v>
      </c>
      <c r="AI1415" s="623" t="s">
        <v>8622</v>
      </c>
      <c r="AJ1415" s="623" t="s">
        <v>8623</v>
      </c>
      <c r="AK1415" s="623" t="s">
        <v>8624</v>
      </c>
      <c r="AL1415" s="623">
        <v>2</v>
      </c>
      <c r="AM1415" s="623" t="str">
        <f>"&lt;p&gt;
&lt;n effect=2&gt;  找到：&lt;/n&gt;&lt;n&gt;&lt;/n&gt;&lt;goto id="""&amp;Q1415&amp;""" mapid="""&amp;P1415&amp;""" flagpoint=""1"" taskid="""&amp;A1415&amp;"""/&gt;
&lt;/p&gt;"</f>
        <v>&lt;p&gt;
&lt;n effect=2&gt;  找到：&lt;/n&gt;&lt;n&gt;&lt;/n&gt;&lt;goto id="45375" mapid="101" flagpoint="1" taskid="25301"/&gt;
&lt;/p&gt;</v>
      </c>
      <c r="AN1415" s="623" t="s">
        <v>8938</v>
      </c>
      <c r="AP1415" s="623">
        <v>0</v>
      </c>
      <c r="AQ1415" s="623">
        <v>0</v>
      </c>
      <c r="AR1415" s="623">
        <v>1</v>
      </c>
      <c r="AS1415" s="623">
        <v>0</v>
      </c>
      <c r="AT1415" s="623">
        <v>0</v>
      </c>
      <c r="AU1415" s="623">
        <v>0</v>
      </c>
      <c r="AV1415" s="623">
        <f t="shared" si="202"/>
        <v>0</v>
      </c>
      <c r="AW1415" s="623" t="str">
        <f t="shared" ref="AW1415:AW1417" si="205">"{s_taskTalk,{"&amp;L1415&amp;","&amp;N1415&amp;"}}"</f>
        <v>{s_taskTalk,{0,0}}</v>
      </c>
    </row>
    <row r="1416" spans="1:55" s="623" customFormat="1" ht="96" x14ac:dyDescent="0.15">
      <c r="A1416" s="623">
        <v>25302</v>
      </c>
      <c r="C1416" s="891" t="s">
        <v>8621</v>
      </c>
      <c r="D1416" s="623">
        <v>4</v>
      </c>
      <c r="E1416" s="623">
        <v>0</v>
      </c>
      <c r="F1416" s="623">
        <v>101</v>
      </c>
      <c r="G1416" s="623">
        <v>21</v>
      </c>
      <c r="H1416" s="623">
        <v>200</v>
      </c>
      <c r="I1416" s="623">
        <v>0</v>
      </c>
      <c r="J1416" s="623">
        <v>0</v>
      </c>
      <c r="K1416" s="623">
        <v>0</v>
      </c>
      <c r="L1416" s="623">
        <v>0</v>
      </c>
      <c r="M1416" s="623" t="s">
        <v>2510</v>
      </c>
      <c r="N1416" s="623">
        <v>0</v>
      </c>
      <c r="O1416" s="623" t="s">
        <v>2510</v>
      </c>
      <c r="P1416" s="623">
        <v>101</v>
      </c>
      <c r="Q1416" s="623">
        <v>45376</v>
      </c>
      <c r="U1416" s="623">
        <v>1</v>
      </c>
      <c r="V1416" s="623">
        <v>0</v>
      </c>
      <c r="W1416" s="623">
        <v>0</v>
      </c>
      <c r="X1416" s="623">
        <v>0</v>
      </c>
      <c r="Z1416" s="623">
        <v>0</v>
      </c>
      <c r="AF1416" s="623" t="str">
        <f>"title("&amp;C1416&amp;")
body(hotyellow_3(任务进程:)newline()
   劳大叔的元宝丢路上了，这可是他一年的俸禄啊，请去帮他找到hot(家族府邸)的goto("&amp;Q1416&amp;","&amp;P1416&amp;")。完成之后，告知goto(45112,101)。
blankline()
   space()space()space()hot2(任务完成后,千万不要忘记向goto(45112,101)汇报哦！))"</f>
        <v>title([委托]丢失的元宝)
body(hotyellow_3(任务进程:)newline()
   劳大叔的元宝丢路上了，这可是他一年的俸禄啊，请去帮他找到hot(家族府邸)的goto(45376,101)。完成之后，告知goto(45112,101)。
blankline()
   space()space()space()hot2(任务完成后,千万不要忘记向goto(45112,101)汇报哦！))</v>
      </c>
      <c r="AG1416" s="623" t="s">
        <v>8647</v>
      </c>
      <c r="AH1416" s="623" t="s">
        <v>8648</v>
      </c>
      <c r="AI1416" s="623" t="s">
        <v>8627</v>
      </c>
      <c r="AJ1416" s="623" t="s">
        <v>8628</v>
      </c>
      <c r="AK1416" s="623" t="s">
        <v>8625</v>
      </c>
      <c r="AL1416" s="623">
        <v>2</v>
      </c>
      <c r="AM1416" s="623" t="str">
        <f>"&lt;p&gt;
&lt;n effect=2&gt;  找到：&lt;/n&gt;&lt;n&gt;&lt;/n&gt;&lt;goto id="""&amp;Q1416&amp;""" mapid="""&amp;P1416&amp;""" flagpoint=""1"" taskid="""&amp;A1416&amp;"""/&gt;
&lt;/p&gt;"</f>
        <v>&lt;p&gt;
&lt;n effect=2&gt;  找到：&lt;/n&gt;&lt;n&gt;&lt;/n&gt;&lt;goto id="45376" mapid="101" flagpoint="1" taskid="25302"/&gt;
&lt;/p&gt;</v>
      </c>
      <c r="AN1416" s="623" t="s">
        <v>8929</v>
      </c>
      <c r="AP1416" s="623">
        <v>0</v>
      </c>
      <c r="AQ1416" s="623">
        <v>0</v>
      </c>
      <c r="AR1416" s="623">
        <v>1</v>
      </c>
      <c r="AS1416" s="623">
        <v>0</v>
      </c>
      <c r="AT1416" s="623">
        <v>0</v>
      </c>
      <c r="AU1416" s="623">
        <v>0</v>
      </c>
      <c r="AV1416" s="623">
        <f t="shared" si="202"/>
        <v>0</v>
      </c>
      <c r="AW1416" s="623" t="str">
        <f t="shared" si="205"/>
        <v>{s_taskTalk,{0,0}}</v>
      </c>
    </row>
    <row r="1417" spans="1:55" s="623" customFormat="1" ht="84" x14ac:dyDescent="0.15">
      <c r="A1417" s="623">
        <v>25303</v>
      </c>
      <c r="C1417" s="891" t="s">
        <v>8666</v>
      </c>
      <c r="D1417" s="623">
        <v>4</v>
      </c>
      <c r="E1417" s="623">
        <v>0</v>
      </c>
      <c r="F1417" s="623">
        <v>101</v>
      </c>
      <c r="G1417" s="623">
        <v>21</v>
      </c>
      <c r="H1417" s="623">
        <v>200</v>
      </c>
      <c r="I1417" s="623">
        <v>0</v>
      </c>
      <c r="J1417" s="623">
        <v>0</v>
      </c>
      <c r="K1417" s="623">
        <v>0</v>
      </c>
      <c r="L1417" s="623">
        <v>0</v>
      </c>
      <c r="M1417" s="623" t="s">
        <v>2510</v>
      </c>
      <c r="N1417" s="623">
        <v>0</v>
      </c>
      <c r="O1417" s="623" t="s">
        <v>2510</v>
      </c>
      <c r="P1417" s="623">
        <v>101</v>
      </c>
      <c r="Q1417" s="623">
        <v>45377</v>
      </c>
      <c r="U1417" s="623">
        <v>3</v>
      </c>
      <c r="V1417" s="623">
        <v>0</v>
      </c>
      <c r="W1417" s="623">
        <v>0</v>
      </c>
      <c r="X1417" s="623">
        <v>0</v>
      </c>
      <c r="Z1417" s="623">
        <v>0</v>
      </c>
      <c r="AF1417" s="623" t="str">
        <f>"title("&amp;C1417&amp;")
body(hotyellow_3(任务进程:)newline()
   猪哥哥的乐园好久没有大扫除了，你替我去多清理点goto("&amp;Q1417&amp;","&amp;P1417&amp;")吧。完成之后，告知goto(45112,101)。
blankline()
   space()space()space()hot2(任务完成后,千万不要忘记向goto(45112,101)汇报哦！))"</f>
        <v>title([委托]大扫除)
body(hotyellow_3(任务进程:)newline()
   猪哥哥的乐园好久没有大扫除了，你替我去多清理点goto(45377,101)吧。完成之后，告知goto(45112,101)。
blankline()
   space()space()space()hot2(任务完成后,千万不要忘记向goto(45112,101)汇报哦！))</v>
      </c>
      <c r="AG1417" s="623" t="s">
        <v>8647</v>
      </c>
      <c r="AH1417" s="623" t="s">
        <v>8667</v>
      </c>
      <c r="AI1417" s="623" t="s">
        <v>8668</v>
      </c>
      <c r="AJ1417" s="623" t="s">
        <v>8669</v>
      </c>
      <c r="AK1417" s="623" t="s">
        <v>8625</v>
      </c>
      <c r="AL1417" s="623">
        <v>2</v>
      </c>
      <c r="AM1417" s="623" t="str">
        <f>"&lt;p&gt;
&lt;n effect=2&gt;  清理：&lt;/n&gt;&lt;n&gt;&lt;/n&gt;&lt;goto id="""&amp;Q1417&amp;""" mapid="""&amp;P1417&amp;""" flagpoint=""1"" taskid="""&amp;A1417&amp;"""/&gt;
&lt;/p&gt;"</f>
        <v>&lt;p&gt;
&lt;n effect=2&gt;  清理：&lt;/n&gt;&lt;n&gt;&lt;/n&gt;&lt;goto id="45377" mapid="101" flagpoint="1" taskid="25303"/&gt;
&lt;/p&gt;</v>
      </c>
      <c r="AN1417" s="623" t="s">
        <v>8930</v>
      </c>
      <c r="AP1417" s="623">
        <v>0</v>
      </c>
      <c r="AQ1417" s="623">
        <v>0</v>
      </c>
      <c r="AR1417" s="623">
        <v>1</v>
      </c>
      <c r="AS1417" s="623">
        <v>0</v>
      </c>
      <c r="AT1417" s="623">
        <v>0</v>
      </c>
      <c r="AU1417" s="623">
        <v>0</v>
      </c>
      <c r="AV1417" s="623">
        <f t="shared" si="202"/>
        <v>0</v>
      </c>
      <c r="AW1417" s="623" t="str">
        <f t="shared" si="205"/>
        <v>{s_taskTalk,{0,0}}</v>
      </c>
    </row>
    <row r="1418" spans="1:55" s="623" customFormat="1" ht="96" x14ac:dyDescent="0.15">
      <c r="A1418" s="623">
        <v>25304</v>
      </c>
      <c r="C1418" s="891" t="s">
        <v>8663</v>
      </c>
      <c r="D1418" s="623">
        <v>4</v>
      </c>
      <c r="E1418" s="623">
        <v>0</v>
      </c>
      <c r="F1418" s="623">
        <v>101</v>
      </c>
      <c r="G1418" s="623">
        <v>21</v>
      </c>
      <c r="H1418" s="623">
        <v>200</v>
      </c>
      <c r="I1418" s="623">
        <v>0</v>
      </c>
      <c r="J1418" s="623">
        <v>0</v>
      </c>
      <c r="K1418" s="623">
        <v>0</v>
      </c>
      <c r="L1418" s="623">
        <v>0</v>
      </c>
      <c r="M1418" s="623" t="s">
        <v>2510</v>
      </c>
      <c r="N1418" s="623">
        <v>0</v>
      </c>
      <c r="O1418" s="623" t="s">
        <v>2510</v>
      </c>
      <c r="P1418" s="623">
        <v>101</v>
      </c>
      <c r="Q1418" s="623">
        <v>45377</v>
      </c>
      <c r="U1418" s="623">
        <v>1</v>
      </c>
      <c r="V1418" s="623">
        <v>0</v>
      </c>
      <c r="W1418" s="623">
        <v>0</v>
      </c>
      <c r="X1418" s="623">
        <v>0</v>
      </c>
      <c r="Z1418" s="623">
        <v>0</v>
      </c>
      <c r="AF1418" s="623" t="str">
        <f>"title("&amp;C1418&amp;")
body(hotyellow_3(任务进程:)newline()
   养殖大师传话来，猪哥哥乐园最近多了很多goto("&amp;Q1418&amp;","&amp;P1418&amp;")，去清理点吧。完成之后，告知goto(45112,101)。
blankline()
   space()space()space()hot2(任务完成后,千万不要忘记向goto(45112,101)汇报哦！))"</f>
        <v>title([委托]清理小石子)
body(hotyellow_3(任务进程:)newline()
   养殖大师传话来，猪哥哥乐园最近多了很多goto(45377,101)，去清理点吧。完成之后，告知goto(45112,101)。
blankline()
   space()space()space()hot2(任务完成后,千万不要忘记向goto(45112,101)汇报哦！))</v>
      </c>
      <c r="AG1418" s="623" t="s">
        <v>8647</v>
      </c>
      <c r="AH1418" s="623" t="s">
        <v>8670</v>
      </c>
      <c r="AI1418" s="623" t="s">
        <v>8671</v>
      </c>
      <c r="AJ1418" s="623" t="s">
        <v>8672</v>
      </c>
      <c r="AK1418" s="623" t="s">
        <v>8625</v>
      </c>
      <c r="AL1418" s="623">
        <v>2</v>
      </c>
      <c r="AM1418" s="623" t="str">
        <f>"&lt;p&gt;
&lt;n effect=2&gt;  清理：&lt;/n&gt;&lt;n&gt;&lt;/n&gt;&lt;goto id="""&amp;Q1418&amp;""" mapid="""&amp;P1418&amp;""" flagpoint=""1"" taskid="""&amp;A1418&amp;"""/&gt;
&lt;/p&gt;"</f>
        <v>&lt;p&gt;
&lt;n effect=2&gt;  清理：&lt;/n&gt;&lt;n&gt;&lt;/n&gt;&lt;goto id="45377" mapid="101" flagpoint="1" taskid="25304"/&gt;
&lt;/p&gt;</v>
      </c>
      <c r="AN1418" s="623" t="s">
        <v>8931</v>
      </c>
      <c r="AP1418" s="623">
        <v>0</v>
      </c>
      <c r="AQ1418" s="623">
        <v>0</v>
      </c>
      <c r="AR1418" s="623">
        <v>1</v>
      </c>
      <c r="AS1418" s="623">
        <v>0</v>
      </c>
      <c r="AT1418" s="623">
        <v>0</v>
      </c>
      <c r="AU1418" s="623">
        <v>0</v>
      </c>
      <c r="AV1418" s="623">
        <f t="shared" ref="AV1418:AV1419" si="206">IF(D1418 = 1,1,0)</f>
        <v>0</v>
      </c>
      <c r="AW1418" s="623" t="str">
        <f t="shared" ref="AW1418:AW1419" si="207">"{s_taskTalk,{"&amp;L1418&amp;","&amp;N1418&amp;"}}"</f>
        <v>{s_taskTalk,{0,0}}</v>
      </c>
    </row>
    <row r="1419" spans="1:55" s="623" customFormat="1" ht="84" x14ac:dyDescent="0.15">
      <c r="A1419" s="623">
        <v>25305</v>
      </c>
      <c r="C1419" s="891" t="s">
        <v>8664</v>
      </c>
      <c r="D1419" s="623">
        <v>4</v>
      </c>
      <c r="E1419" s="623">
        <v>0</v>
      </c>
      <c r="F1419" s="623">
        <v>101</v>
      </c>
      <c r="G1419" s="623">
        <v>21</v>
      </c>
      <c r="H1419" s="623">
        <v>200</v>
      </c>
      <c r="I1419" s="623">
        <v>0</v>
      </c>
      <c r="J1419" s="623">
        <v>0</v>
      </c>
      <c r="K1419" s="623">
        <v>0</v>
      </c>
      <c r="L1419" s="623">
        <v>0</v>
      </c>
      <c r="M1419" s="623" t="s">
        <v>2510</v>
      </c>
      <c r="N1419" s="623">
        <v>0</v>
      </c>
      <c r="O1419" s="623" t="s">
        <v>2510</v>
      </c>
      <c r="P1419" s="623">
        <v>101</v>
      </c>
      <c r="Q1419" s="623">
        <v>45378</v>
      </c>
      <c r="U1419" s="623">
        <v>3</v>
      </c>
      <c r="V1419" s="623">
        <v>0</v>
      </c>
      <c r="W1419" s="623">
        <v>0</v>
      </c>
      <c r="X1419" s="623">
        <v>0</v>
      </c>
      <c r="Z1419" s="623">
        <v>0</v>
      </c>
      <c r="AF1419" s="623" t="str">
        <f>"title("&amp;C1419&amp;")
body(hotyellow_3(任务进程:)newline()
   东边的树林的goto("&amp;Q1419&amp;","&amp;P1419&amp;")越来越多，已经泛滥了，快去多清理一些吧。完成之后，告知goto(45112,101)。
blankline()
   space()space()space()hot2(任务完成后,千万不要忘记向goto(45112,101)汇报哦！))"</f>
        <v>title([委托]锄草)
body(hotyellow_3(任务进程:)newline()
   东边的树林的goto(45378,101)越来越多，已经泛滥了，快去多清理一些吧。完成之后，告知goto(45112,101)。
blankline()
   space()space()space()hot2(任务完成后,千万不要忘记向goto(45112,101)汇报哦！))</v>
      </c>
      <c r="AG1419" s="623" t="s">
        <v>8647</v>
      </c>
      <c r="AH1419" s="623" t="s">
        <v>8673</v>
      </c>
      <c r="AI1419" s="623" t="s">
        <v>8674</v>
      </c>
      <c r="AJ1419" s="623" t="s">
        <v>8676</v>
      </c>
      <c r="AK1419" s="623" t="s">
        <v>8625</v>
      </c>
      <c r="AL1419" s="623">
        <v>2</v>
      </c>
      <c r="AM1419" s="623" t="str">
        <f>"&lt;p&gt;
&lt;n effect=2&gt;  清理：&lt;/n&gt;&lt;n&gt;&lt;/n&gt;&lt;goto id="""&amp;Q1419&amp;""" mapid="""&amp;P1419&amp;""" flagpoint=""1"" taskid="""&amp;A1419&amp;"""/&gt;
&lt;/p&gt;"</f>
        <v>&lt;p&gt;
&lt;n effect=2&gt;  清理：&lt;/n&gt;&lt;n&gt;&lt;/n&gt;&lt;goto id="45378" mapid="101" flagpoint="1" taskid="25305"/&gt;
&lt;/p&gt;</v>
      </c>
      <c r="AN1419" s="623" t="s">
        <v>8932</v>
      </c>
      <c r="AP1419" s="623">
        <v>0</v>
      </c>
      <c r="AQ1419" s="623">
        <v>0</v>
      </c>
      <c r="AR1419" s="623">
        <v>1</v>
      </c>
      <c r="AS1419" s="623">
        <v>0</v>
      </c>
      <c r="AT1419" s="623">
        <v>0</v>
      </c>
      <c r="AU1419" s="623">
        <v>0</v>
      </c>
      <c r="AV1419" s="623">
        <f t="shared" si="206"/>
        <v>0</v>
      </c>
      <c r="AW1419" s="623" t="str">
        <f t="shared" si="207"/>
        <v>{s_taskTalk,{0,0}}</v>
      </c>
    </row>
    <row r="1420" spans="1:55" s="623" customFormat="1" ht="84" x14ac:dyDescent="0.15">
      <c r="A1420" s="623">
        <v>25306</v>
      </c>
      <c r="C1420" s="891" t="s">
        <v>8665</v>
      </c>
      <c r="D1420" s="623">
        <v>4</v>
      </c>
      <c r="E1420" s="623">
        <v>0</v>
      </c>
      <c r="F1420" s="623">
        <v>101</v>
      </c>
      <c r="G1420" s="623">
        <v>21</v>
      </c>
      <c r="H1420" s="623">
        <v>200</v>
      </c>
      <c r="I1420" s="623">
        <v>0</v>
      </c>
      <c r="J1420" s="623">
        <v>0</v>
      </c>
      <c r="K1420" s="623">
        <v>0</v>
      </c>
      <c r="L1420" s="623">
        <v>0</v>
      </c>
      <c r="M1420" s="623" t="s">
        <v>2510</v>
      </c>
      <c r="N1420" s="623">
        <v>0</v>
      </c>
      <c r="O1420" s="623" t="s">
        <v>2510</v>
      </c>
      <c r="P1420" s="623">
        <v>101</v>
      </c>
      <c r="Q1420" s="623">
        <v>45378</v>
      </c>
      <c r="U1420" s="623">
        <v>1</v>
      </c>
      <c r="V1420" s="623">
        <v>0</v>
      </c>
      <c r="W1420" s="623">
        <v>0</v>
      </c>
      <c r="X1420" s="623">
        <v>0</v>
      </c>
      <c r="Z1420" s="623">
        <v>0</v>
      </c>
      <c r="AF1420" s="623" t="str">
        <f>"title("&amp;C1420&amp;")
body(hotyellow_3(任务进程:)newline()
   东边的树林长了一些goto("&amp;Q1420&amp;","&amp;P1420&amp;")，你帮我去锄草吧。完成之后，告知goto(45112,101)。
blankline()
   space()space()space()hot2(任务完成后,千万不要忘记向goto(45112,101)汇报哦！))"</f>
        <v>title([委托]清理杂草)
body(hotyellow_3(任务进程:)newline()
   东边的树林长了一些goto(45378,101)，你帮我去锄草吧。完成之后，告知goto(45112,101)。
blankline()
   space()space()space()hot2(任务完成后,千万不要忘记向goto(45112,101)汇报哦！))</v>
      </c>
      <c r="AG1420" s="623" t="s">
        <v>8647</v>
      </c>
      <c r="AH1420" s="623" t="s">
        <v>8673</v>
      </c>
      <c r="AI1420" s="623" t="s">
        <v>8675</v>
      </c>
      <c r="AJ1420" s="623" t="s">
        <v>8677</v>
      </c>
      <c r="AK1420" s="623" t="s">
        <v>8625</v>
      </c>
      <c r="AL1420" s="623">
        <v>2</v>
      </c>
      <c r="AM1420" s="623" t="str">
        <f>"&lt;p&gt;
&lt;n effect=2&gt;  清理：&lt;/n&gt;&lt;n&gt;&lt;/n&gt;&lt;goto id="""&amp;Q1420&amp;""" mapid="""&amp;P1420&amp;""" flagpoint=""1"" taskid="""&amp;A1420&amp;"""/&gt;
&lt;/p&gt;"</f>
        <v>&lt;p&gt;
&lt;n effect=2&gt;  清理：&lt;/n&gt;&lt;n&gt;&lt;/n&gt;&lt;goto id="45378" mapid="101" flagpoint="1" taskid="25306"/&gt;
&lt;/p&gt;</v>
      </c>
      <c r="AN1420" s="623" t="s">
        <v>8933</v>
      </c>
      <c r="AP1420" s="623">
        <v>0</v>
      </c>
      <c r="AQ1420" s="623">
        <v>0</v>
      </c>
      <c r="AR1420" s="623">
        <v>1</v>
      </c>
      <c r="AS1420" s="623">
        <v>0</v>
      </c>
      <c r="AT1420" s="623">
        <v>0</v>
      </c>
      <c r="AU1420" s="623">
        <v>0</v>
      </c>
      <c r="AV1420" s="623">
        <f t="shared" ref="AV1420" si="208">IF(D1420 = 1,1,0)</f>
        <v>0</v>
      </c>
      <c r="AW1420" s="623" t="str">
        <f t="shared" ref="AW1420" si="209">"{s_taskTalk,{"&amp;L1420&amp;","&amp;N1420&amp;"}}"</f>
        <v>{s_taskTalk,{0,0}}</v>
      </c>
    </row>
    <row r="1421" spans="1:55" s="669" customFormat="1" ht="96" x14ac:dyDescent="0.15">
      <c r="A1421" s="623">
        <v>25501</v>
      </c>
      <c r="B1421" s="623"/>
      <c r="C1421" s="669" t="s">
        <v>8629</v>
      </c>
      <c r="D1421" s="623">
        <v>4</v>
      </c>
      <c r="E1421" s="623">
        <v>0</v>
      </c>
      <c r="F1421" s="623">
        <v>101</v>
      </c>
      <c r="G1421" s="623">
        <v>21</v>
      </c>
      <c r="H1421" s="623">
        <v>200</v>
      </c>
      <c r="I1421" s="623">
        <v>0</v>
      </c>
      <c r="J1421" s="623">
        <v>0</v>
      </c>
      <c r="K1421" s="623">
        <v>0</v>
      </c>
      <c r="L1421" s="623">
        <v>0</v>
      </c>
      <c r="M1421" s="623" t="s">
        <v>2510</v>
      </c>
      <c r="N1421" s="623">
        <v>0</v>
      </c>
      <c r="O1421" s="623" t="s">
        <v>2510</v>
      </c>
      <c r="P1421" s="623">
        <v>101</v>
      </c>
      <c r="Q1421" s="623"/>
      <c r="R1421" s="623"/>
      <c r="S1421" s="623">
        <v>45357</v>
      </c>
      <c r="T1421" s="623"/>
      <c r="U1421" s="623">
        <v>1</v>
      </c>
      <c r="V1421" s="623">
        <v>0</v>
      </c>
      <c r="W1421" s="623">
        <v>0</v>
      </c>
      <c r="X1421" s="623">
        <v>0</v>
      </c>
      <c r="Y1421" s="623"/>
      <c r="Z1421" s="623">
        <v>0</v>
      </c>
      <c r="AA1421" s="623"/>
      <c r="AB1421" s="623"/>
      <c r="AC1421" s="623"/>
      <c r="AD1421" s="623"/>
      <c r="AE1421" s="623"/>
      <c r="AF1421" s="623" t="str">
        <f>"title("&amp;C1421&amp;")
body(hotyellow_3(任务进程:)newline()
      负责家族训练的源宗正告诉我，goto("&amp;S1421&amp;","&amp;P1421&amp;")最近一直尾随在她回家的路上，去干掉这个家伙。然后转告goto(45112,101)吧！
blankline()
   space()space()space()hot2(任务完成后,千万不要忘记向goto(45112,101)汇报哦！))"</f>
        <v>title([委托]尾随)
body(hotyellow_3(任务进程:)newline()
      负责家族训练的源宗正告诉我，goto(45357,101)最近一直尾随在她回家的路上，去干掉这个家伙。然后转告goto(45112,101)吧！
blankline()
   space()space()space()hot2(任务完成后,千万不要忘记向goto(45112,101)汇报哦！))</v>
      </c>
      <c r="AG1421" s="623" t="s">
        <v>8649</v>
      </c>
      <c r="AH1421" s="623" t="s">
        <v>8631</v>
      </c>
      <c r="AI1421" s="623" t="s">
        <v>8650</v>
      </c>
      <c r="AJ1421" s="623" t="s">
        <v>8634</v>
      </c>
      <c r="AK1421" s="623" t="s">
        <v>8636</v>
      </c>
      <c r="AL1421" s="623">
        <v>2</v>
      </c>
      <c r="AM1421" s="623" t="str">
        <f>"&lt;p&gt;
&lt;n effect=2&gt;  击杀：&lt;/n&gt;
 &lt;n&gt; &lt;/n&gt;&lt;goto id="""&amp;S1421&amp;""" mapid="""&amp;P1421&amp;""" flagpoint=""1"" taskid="""&amp;A1421&amp;""" /&gt;
&lt;n effect=2&gt; 替源姑娘教训下他&lt;/n&gt;
&lt;/p&gt;"</f>
        <v>&lt;p&gt;
&lt;n effect=2&gt;  击杀：&lt;/n&gt;
 &lt;n&gt; &lt;/n&gt;&lt;goto id="45357" mapid="101" flagpoint="1" taskid="25501" /&gt;
&lt;n effect=2&gt; 替源姑娘教训下他&lt;/n&gt;
&lt;/p&gt;</v>
      </c>
      <c r="AN1421" s="623" t="s">
        <v>8934</v>
      </c>
      <c r="AO1421" s="623"/>
      <c r="AP1421" s="623">
        <v>0</v>
      </c>
      <c r="AQ1421" s="623">
        <v>0</v>
      </c>
      <c r="AR1421" s="623">
        <v>1</v>
      </c>
      <c r="AS1421" s="623">
        <v>0</v>
      </c>
      <c r="AT1421" s="623">
        <v>0</v>
      </c>
      <c r="AU1421" s="623">
        <v>0</v>
      </c>
      <c r="AV1421" s="623">
        <f t="shared" si="202"/>
        <v>0</v>
      </c>
      <c r="AW1421" s="623" t="str">
        <f>"{s_taskKillNpc, {"&amp;L1421&amp;","&amp;N1421&amp;","&amp;S1421&amp;","&amp;U1421&amp;"}}"</f>
        <v>{s_taskKillNpc, {0,0,45357,1}}</v>
      </c>
      <c r="AX1421" s="623"/>
      <c r="AY1421" s="623"/>
      <c r="AZ1421" s="623"/>
      <c r="BA1421" s="623"/>
      <c r="BB1421" s="623"/>
      <c r="BC1421" s="623"/>
    </row>
    <row r="1422" spans="1:55" s="669" customFormat="1" ht="84" x14ac:dyDescent="0.15">
      <c r="A1422" s="623">
        <v>25502</v>
      </c>
      <c r="B1422" s="623"/>
      <c r="C1422" s="669" t="s">
        <v>8630</v>
      </c>
      <c r="D1422" s="623">
        <v>4</v>
      </c>
      <c r="E1422" s="623">
        <v>0</v>
      </c>
      <c r="F1422" s="623">
        <v>101</v>
      </c>
      <c r="G1422" s="623">
        <v>21</v>
      </c>
      <c r="H1422" s="623">
        <v>200</v>
      </c>
      <c r="I1422" s="623">
        <v>0</v>
      </c>
      <c r="J1422" s="623">
        <v>0</v>
      </c>
      <c r="K1422" s="623">
        <v>0</v>
      </c>
      <c r="L1422" s="623">
        <v>0</v>
      </c>
      <c r="M1422" s="623" t="s">
        <v>2510</v>
      </c>
      <c r="N1422" s="623">
        <v>0</v>
      </c>
      <c r="O1422" s="623" t="s">
        <v>2510</v>
      </c>
      <c r="P1422" s="623">
        <v>101</v>
      </c>
      <c r="Q1422" s="623"/>
      <c r="R1422" s="623"/>
      <c r="S1422" s="623">
        <v>45356</v>
      </c>
      <c r="T1422" s="623"/>
      <c r="U1422" s="623">
        <v>1</v>
      </c>
      <c r="V1422" s="623">
        <v>0</v>
      </c>
      <c r="W1422" s="623">
        <v>0</v>
      </c>
      <c r="X1422" s="623">
        <v>0</v>
      </c>
      <c r="Y1422" s="623"/>
      <c r="Z1422" s="623">
        <v>0</v>
      </c>
      <c r="AA1422" s="623"/>
      <c r="AB1422" s="623"/>
      <c r="AC1422" s="623"/>
      <c r="AD1422" s="623"/>
      <c r="AE1422" s="623"/>
      <c r="AF1422" s="623" t="str">
        <f>"title("&amp;C1422&amp;")
body(hotyellow_3(任务进程:)newline()
      家族的农场遭到了goto("&amp;S1422&amp;","&amp;P1422&amp;")的袭击,劳大叔十分伤心，去教训下吧。然后转告goto(45112,101)吧！
blankline()
   space()space()space()hot2(任务完成后,千万不要忘记向goto(45112,101)汇报哦！))"</f>
        <v>title([委托]灭鼠)
body(hotyellow_3(任务进程:)newline()
      家族的农场遭到了goto(45356,101)的袭击,劳大叔十分伤心，去教训下吧。然后转告goto(45112,101)吧！
blankline()
   space()space()space()hot2(任务完成后,千万不要忘记向goto(45112,101)汇报哦！))</v>
      </c>
      <c r="AG1422" s="623" t="s">
        <v>8651</v>
      </c>
      <c r="AH1422" s="623" t="s">
        <v>8632</v>
      </c>
      <c r="AI1422" s="623" t="s">
        <v>8633</v>
      </c>
      <c r="AJ1422" s="623" t="s">
        <v>8635</v>
      </c>
      <c r="AK1422" s="623" t="s">
        <v>2516</v>
      </c>
      <c r="AL1422" s="623">
        <v>2</v>
      </c>
      <c r="AM1422" s="623" t="str">
        <f>"&lt;p&gt;
&lt;n effect=2&gt;  击杀：&lt;/n&gt;
 &lt;n&gt; &lt;/n&gt;&lt;goto id="""&amp;S1422&amp;""" mapid="""&amp;P1422&amp;""" flagpoint=""1"" taskid="""&amp;A1422&amp;""" /&gt;
&lt;n effect=2&gt; 替劳大叔教训下它&lt;/n&gt;
&lt;/p&gt;"</f>
        <v>&lt;p&gt;
&lt;n effect=2&gt;  击杀：&lt;/n&gt;
 &lt;n&gt; &lt;/n&gt;&lt;goto id="45356" mapid="101" flagpoint="1" taskid="25502" /&gt;
&lt;n effect=2&gt; 替劳大叔教训下它&lt;/n&gt;
&lt;/p&gt;</v>
      </c>
      <c r="AN1422" s="623" t="s">
        <v>8935</v>
      </c>
      <c r="AO1422" s="623"/>
      <c r="AP1422" s="623">
        <v>0</v>
      </c>
      <c r="AQ1422" s="623">
        <v>0</v>
      </c>
      <c r="AR1422" s="623">
        <v>1</v>
      </c>
      <c r="AS1422" s="623">
        <v>0</v>
      </c>
      <c r="AT1422" s="623">
        <v>0</v>
      </c>
      <c r="AU1422" s="623">
        <v>0</v>
      </c>
      <c r="AV1422" s="623">
        <f t="shared" si="202"/>
        <v>0</v>
      </c>
      <c r="AW1422" s="623" t="str">
        <f>"{s_taskKillNpc, {"&amp;L1422&amp;","&amp;N1422&amp;","&amp;S1422&amp;","&amp;U1422&amp;"}}"</f>
        <v>{s_taskKillNpc, {0,0,45356,1}}</v>
      </c>
      <c r="AX1422" s="623"/>
      <c r="AY1422" s="623"/>
      <c r="AZ1422" s="623"/>
      <c r="BA1422" s="623"/>
      <c r="BB1422" s="623"/>
      <c r="BC1422" s="623"/>
    </row>
    <row r="1423" spans="1:55" s="669" customFormat="1" ht="96" x14ac:dyDescent="0.15">
      <c r="A1423" s="623">
        <v>25503</v>
      </c>
      <c r="B1423" s="623"/>
      <c r="C1423" s="669" t="s">
        <v>8691</v>
      </c>
      <c r="D1423" s="623">
        <v>4</v>
      </c>
      <c r="E1423" s="623">
        <v>0</v>
      </c>
      <c r="F1423" s="623">
        <v>101</v>
      </c>
      <c r="G1423" s="623">
        <v>21</v>
      </c>
      <c r="H1423" s="623">
        <v>200</v>
      </c>
      <c r="I1423" s="623">
        <v>0</v>
      </c>
      <c r="J1423" s="623">
        <v>0</v>
      </c>
      <c r="K1423" s="623">
        <v>0</v>
      </c>
      <c r="L1423" s="623">
        <v>0</v>
      </c>
      <c r="M1423" s="623" t="s">
        <v>2510</v>
      </c>
      <c r="N1423" s="623">
        <v>0</v>
      </c>
      <c r="O1423" s="623" t="s">
        <v>2510</v>
      </c>
      <c r="P1423" s="623">
        <v>101</v>
      </c>
      <c r="Q1423" s="623"/>
      <c r="R1423" s="623"/>
      <c r="S1423" s="623">
        <v>45355</v>
      </c>
      <c r="T1423" s="623"/>
      <c r="U1423" s="623">
        <v>1</v>
      </c>
      <c r="V1423" s="623">
        <v>0</v>
      </c>
      <c r="W1423" s="623">
        <v>0</v>
      </c>
      <c r="X1423" s="623">
        <v>0</v>
      </c>
      <c r="Y1423" s="623"/>
      <c r="Z1423" s="623">
        <v>0</v>
      </c>
      <c r="AA1423" s="623"/>
      <c r="AB1423" s="623"/>
      <c r="AC1423" s="623"/>
      <c r="AD1423" s="623"/>
      <c r="AE1423" s="623"/>
      <c r="AF1423" s="623" t="str">
        <f>"title("&amp;C1423&amp;")
body(hotyellow_3(任务进程:)newline()
      总管姬焚岚发现了妹妹与goto("&amp;S1423&amp;","&amp;P1423&amp;")的恋情，他十分担心这小伙儿不真心待他妹妹，你替我们去试探下他把。然后转告goto(45112,101)吧！
blankline()
   space()space()space()hot2(任务完成后,千万不要忘记向goto(45112,101)汇报哦！))"</f>
        <v>title([委托]捍卫爱情)
body(hotyellow_3(任务进程:)newline()
      总管姬焚岚发现了妹妹与goto(45355,101)的恋情，他十分担心这小伙儿不真心待他妹妹，你替我们去试探下他把。然后转告goto(45112,101)吧！
blankline()
   space()space()space()hot2(任务完成后,千万不要忘记向goto(45112,101)汇报哦！))</v>
      </c>
      <c r="AG1423" s="623" t="s">
        <v>8649</v>
      </c>
      <c r="AH1423" s="623" t="s">
        <v>8693</v>
      </c>
      <c r="AI1423" s="623" t="s">
        <v>8694</v>
      </c>
      <c r="AJ1423" s="623" t="s">
        <v>8695</v>
      </c>
      <c r="AK1423" s="623" t="s">
        <v>2516</v>
      </c>
      <c r="AL1423" s="623">
        <v>2</v>
      </c>
      <c r="AM1423" s="623" t="str">
        <f>"&lt;p&gt;
&lt;n effect=2&gt;  恐吓：&lt;/n&gt;
 &lt;n&gt; &lt;/n&gt;&lt;goto id="""&amp;S1423&amp;""" mapid="""&amp;P1423&amp;""" flagpoint=""1"" taskid="""&amp;A1423&amp;""" /&gt;
&lt;n effect=2&gt; 试探他是否真心&lt;/n&gt;
&lt;/p&gt;"</f>
        <v>&lt;p&gt;
&lt;n effect=2&gt;  恐吓：&lt;/n&gt;
 &lt;n&gt; &lt;/n&gt;&lt;goto id="45355" mapid="101" flagpoint="1" taskid="25503" /&gt;
&lt;n effect=2&gt; 试探他是否真心&lt;/n&gt;
&lt;/p&gt;</v>
      </c>
      <c r="AN1423" s="623" t="s">
        <v>8936</v>
      </c>
      <c r="AO1423" s="623"/>
      <c r="AP1423" s="623">
        <v>0</v>
      </c>
      <c r="AQ1423" s="623">
        <v>0</v>
      </c>
      <c r="AR1423" s="623">
        <v>1</v>
      </c>
      <c r="AS1423" s="623">
        <v>0</v>
      </c>
      <c r="AT1423" s="623">
        <v>0</v>
      </c>
      <c r="AU1423" s="623">
        <v>0</v>
      </c>
      <c r="AV1423" s="623">
        <f t="shared" ref="AV1423:AV1424" si="210">IF(D1423 = 1,1,0)</f>
        <v>0</v>
      </c>
      <c r="AW1423" s="623" t="str">
        <f>"{s_taskKillNpc, {"&amp;L1423&amp;","&amp;N1423&amp;","&amp;S1423&amp;","&amp;U1423&amp;"}}"</f>
        <v>{s_taskKillNpc, {0,0,45355,1}}</v>
      </c>
      <c r="AX1423" s="623"/>
      <c r="AY1423" s="623"/>
      <c r="AZ1423" s="623"/>
      <c r="BA1423" s="623"/>
      <c r="BB1423" s="623"/>
      <c r="BC1423" s="623"/>
    </row>
    <row r="1424" spans="1:55" s="669" customFormat="1" ht="96" x14ac:dyDescent="0.15">
      <c r="A1424" s="623">
        <v>25504</v>
      </c>
      <c r="B1424" s="623"/>
      <c r="C1424" s="669" t="s">
        <v>8692</v>
      </c>
      <c r="D1424" s="623">
        <v>4</v>
      </c>
      <c r="E1424" s="623">
        <v>0</v>
      </c>
      <c r="F1424" s="623">
        <v>101</v>
      </c>
      <c r="G1424" s="623">
        <v>21</v>
      </c>
      <c r="H1424" s="623">
        <v>200</v>
      </c>
      <c r="I1424" s="623">
        <v>0</v>
      </c>
      <c r="J1424" s="623">
        <v>0</v>
      </c>
      <c r="K1424" s="623">
        <v>0</v>
      </c>
      <c r="L1424" s="623">
        <v>0</v>
      </c>
      <c r="M1424" s="623" t="s">
        <v>2510</v>
      </c>
      <c r="N1424" s="623">
        <v>0</v>
      </c>
      <c r="O1424" s="623" t="s">
        <v>2510</v>
      </c>
      <c r="P1424" s="623">
        <v>101</v>
      </c>
      <c r="Q1424" s="623"/>
      <c r="R1424" s="623"/>
      <c r="S1424" s="623">
        <v>45358</v>
      </c>
      <c r="T1424" s="623"/>
      <c r="U1424" s="623">
        <v>1</v>
      </c>
      <c r="V1424" s="623">
        <v>0</v>
      </c>
      <c r="W1424" s="623">
        <v>0</v>
      </c>
      <c r="X1424" s="623">
        <v>0</v>
      </c>
      <c r="Y1424" s="623"/>
      <c r="Z1424" s="623">
        <v>0</v>
      </c>
      <c r="AA1424" s="623"/>
      <c r="AB1424" s="623"/>
      <c r="AC1424" s="623"/>
      <c r="AD1424" s="623"/>
      <c r="AE1424" s="623"/>
      <c r="AF1424" s="623" t="str">
        <f>"title("&amp;C1424&amp;")
body(hotyellow_3(任务进程:)newline()
      最近厨房一直有食物丢失，调查下来是附近那只goto("&amp;S1424&amp;","&amp;P1424&amp;")所为,去教训下吧，让它不敢再偷吃。然后转告goto(45112,101)吧！
blankline()
   space()space()space()hot2(任务完成后,千万不要忘记向goto(45112,101)汇报哦！))"</f>
        <v>title([委托]黑猫咪)
body(hotyellow_3(任务进程:)newline()
      最近厨房一直有食物丢失，调查下来是附近那只goto(45358,101)所为,去教训下吧，让它不敢再偷吃。然后转告goto(45112,101)吧！
blankline()
   space()space()space()hot2(任务完成后,千万不要忘记向goto(45112,101)汇报哦！))</v>
      </c>
      <c r="AG1424" s="623" t="s">
        <v>8651</v>
      </c>
      <c r="AH1424" s="623" t="s">
        <v>8696</v>
      </c>
      <c r="AI1424" s="623" t="s">
        <v>8697</v>
      </c>
      <c r="AJ1424" s="623" t="s">
        <v>8698</v>
      </c>
      <c r="AK1424" s="623" t="s">
        <v>2516</v>
      </c>
      <c r="AL1424" s="623">
        <v>2</v>
      </c>
      <c r="AM1424" s="623" t="str">
        <f>"&lt;p&gt;
&lt;n effect=2&gt;  教训：&lt;/n&gt;
 &lt;n&gt; &lt;/n&gt;&lt;goto id="""&amp;S1424&amp;""" mapid="""&amp;P1424&amp;""" flagpoint=""1"" taskid="""&amp;A1424&amp;""" /&gt;
&lt;n effect=2&gt; 让它不敢再偷吃&lt;/n&gt;
&lt;/p&gt;"</f>
        <v>&lt;p&gt;
&lt;n effect=2&gt;  教训：&lt;/n&gt;
 &lt;n&gt; &lt;/n&gt;&lt;goto id="45358" mapid="101" flagpoint="1" taskid="25504" /&gt;
&lt;n effect=2&gt; 让它不敢再偷吃&lt;/n&gt;
&lt;/p&gt;</v>
      </c>
      <c r="AN1424" s="623" t="s">
        <v>8937</v>
      </c>
      <c r="AO1424" s="623"/>
      <c r="AP1424" s="623">
        <v>0</v>
      </c>
      <c r="AQ1424" s="623">
        <v>0</v>
      </c>
      <c r="AR1424" s="623">
        <v>1</v>
      </c>
      <c r="AS1424" s="623">
        <v>0</v>
      </c>
      <c r="AT1424" s="623">
        <v>0</v>
      </c>
      <c r="AU1424" s="623">
        <v>0</v>
      </c>
      <c r="AV1424" s="623">
        <f t="shared" si="210"/>
        <v>0</v>
      </c>
      <c r="AW1424" s="623" t="str">
        <f>"{s_taskKillNpc, {"&amp;L1424&amp;","&amp;N1424&amp;","&amp;S1424&amp;","&amp;U1424&amp;"}}"</f>
        <v>{s_taskKillNpc, {0,0,45358,1}}</v>
      </c>
      <c r="AX1424" s="623"/>
      <c r="AY1424" s="623"/>
      <c r="AZ1424" s="623"/>
      <c r="BA1424" s="623"/>
      <c r="BB1424" s="623"/>
      <c r="BC1424" s="623"/>
    </row>
    <row r="1425" spans="1:55" s="669" customFormat="1" ht="108" x14ac:dyDescent="0.15">
      <c r="A1425" s="623">
        <v>25601</v>
      </c>
      <c r="B1425" s="623"/>
      <c r="C1425" s="892" t="s">
        <v>8652</v>
      </c>
      <c r="D1425" s="623">
        <v>4</v>
      </c>
      <c r="E1425" s="623">
        <v>0</v>
      </c>
      <c r="F1425" s="623">
        <v>101</v>
      </c>
      <c r="G1425" s="623">
        <v>21</v>
      </c>
      <c r="H1425" s="623">
        <v>200</v>
      </c>
      <c r="I1425" s="623">
        <v>0</v>
      </c>
      <c r="J1425" s="623">
        <v>0</v>
      </c>
      <c r="K1425" s="623">
        <v>0</v>
      </c>
      <c r="L1425" s="623">
        <v>0</v>
      </c>
      <c r="M1425" s="623" t="s">
        <v>2510</v>
      </c>
      <c r="N1425" s="623">
        <v>0</v>
      </c>
      <c r="O1425" s="623" t="s">
        <v>2510</v>
      </c>
      <c r="P1425" s="623">
        <v>101</v>
      </c>
      <c r="Q1425" s="623"/>
      <c r="R1425" s="623"/>
      <c r="S1425" s="623"/>
      <c r="T1425" s="623"/>
      <c r="U1425" s="623">
        <v>2</v>
      </c>
      <c r="V1425" s="623">
        <v>0</v>
      </c>
      <c r="W1425" s="623">
        <v>0</v>
      </c>
      <c r="X1425" s="623">
        <v>0</v>
      </c>
      <c r="Y1425" s="623"/>
      <c r="Z1425" s="623">
        <v>0</v>
      </c>
      <c r="AA1425" s="623"/>
      <c r="AB1425" s="623"/>
      <c r="AC1425" s="623"/>
      <c r="AD1425" s="623"/>
      <c r="AE1425" s="623"/>
      <c r="AF1425" s="623" t="str">
        <f>"title("&amp;C1425&amp;")
body(hotyellow_3(任务进程:)newline()
      源宗正姑娘为了感谢尾随时间的帮助，邀请你去看彩蝶，去找goto(45113,101)吧，然后陪她坐会儿。然后转告goto(45112,101)吧！
blankline()
   space()space()space()hot2(需要找到源宗正，并在他身边打坐1分钟才能完成任务，任务完成后,千万不要忘记向goto(45112,101)汇报哦！))"</f>
        <v>title([委托]蝴蝶飘飘)
body(hotyellow_3(任务进程:)newline()
      源宗正姑娘为了感谢尾随时间的帮助，邀请你去看彩蝶，去找goto(45113,101)吧，然后陪她坐会儿。然后转告goto(45112,101)吧！
blankline()
   space()space()space()hot2(需要找到源宗正，并在他身边打坐1分钟才能完成任务，任务完成后,千万不要忘记向goto(45112,101)汇报哦！))</v>
      </c>
      <c r="AG1425" s="623" t="s">
        <v>8649</v>
      </c>
      <c r="AH1425" s="623" t="s">
        <v>8655</v>
      </c>
      <c r="AI1425" s="623" t="s">
        <v>8653</v>
      </c>
      <c r="AJ1425" s="623" t="s">
        <v>8654</v>
      </c>
      <c r="AK1425" s="623" t="s">
        <v>2516</v>
      </c>
      <c r="AL1425" s="623">
        <v>2</v>
      </c>
      <c r="AM1425" s="623" t="s">
        <v>8945</v>
      </c>
      <c r="AN1425" s="623"/>
      <c r="AO1425" s="623"/>
      <c r="AP1425" s="623">
        <v>0</v>
      </c>
      <c r="AQ1425" s="623">
        <v>0</v>
      </c>
      <c r="AR1425" s="623">
        <v>1</v>
      </c>
      <c r="AS1425" s="623">
        <v>0</v>
      </c>
      <c r="AT1425" s="623">
        <v>0</v>
      </c>
      <c r="AU1425" s="623">
        <v>0</v>
      </c>
      <c r="AV1425" s="623">
        <f t="shared" ref="AV1425" si="211">IF(D1425 = 1,1,0)</f>
        <v>0</v>
      </c>
      <c r="AW1425" s="623" t="str">
        <f>"{s_taskCustom, {"&amp;L1425&amp;","&amp;N1425&amp;"}}"</f>
        <v>{s_taskCustom, {0,0}}</v>
      </c>
      <c r="AX1425" s="623"/>
      <c r="AY1425" s="623"/>
      <c r="AZ1425" s="623"/>
      <c r="BA1425" s="623"/>
      <c r="BB1425" s="623"/>
      <c r="BC1425" s="623"/>
    </row>
    <row r="1426" spans="1:55" s="669" customFormat="1" ht="108" x14ac:dyDescent="0.15">
      <c r="A1426" s="623">
        <v>25602</v>
      </c>
      <c r="B1426" s="623"/>
      <c r="C1426" s="892" t="s">
        <v>8656</v>
      </c>
      <c r="D1426" s="623">
        <v>4</v>
      </c>
      <c r="E1426" s="623">
        <v>0</v>
      </c>
      <c r="F1426" s="623">
        <v>101</v>
      </c>
      <c r="G1426" s="623">
        <v>21</v>
      </c>
      <c r="H1426" s="623">
        <v>200</v>
      </c>
      <c r="I1426" s="623">
        <v>0</v>
      </c>
      <c r="J1426" s="623">
        <v>0</v>
      </c>
      <c r="K1426" s="623">
        <v>0</v>
      </c>
      <c r="L1426" s="623">
        <v>0</v>
      </c>
      <c r="M1426" s="623" t="s">
        <v>2510</v>
      </c>
      <c r="N1426" s="623">
        <v>0</v>
      </c>
      <c r="O1426" s="623" t="s">
        <v>2510</v>
      </c>
      <c r="P1426" s="623">
        <v>101</v>
      </c>
      <c r="Q1426" s="623"/>
      <c r="R1426" s="623"/>
      <c r="S1426" s="623"/>
      <c r="T1426" s="623"/>
      <c r="U1426" s="623">
        <v>2</v>
      </c>
      <c r="V1426" s="623">
        <v>0</v>
      </c>
      <c r="W1426" s="623">
        <v>0</v>
      </c>
      <c r="X1426" s="623">
        <v>0</v>
      </c>
      <c r="Y1426" s="623"/>
      <c r="Z1426" s="623">
        <v>0</v>
      </c>
      <c r="AA1426" s="623"/>
      <c r="AB1426" s="623"/>
      <c r="AC1426" s="623"/>
      <c r="AD1426" s="623"/>
      <c r="AE1426" s="623"/>
      <c r="AF1426" s="623" t="str">
        <f>"title("&amp;C1426&amp;")
body(hotyellow_3(任务进程:)newline()
      劳大叔为了感谢你找到丢失的元宝，邀请你去看萤火虫，去找goto(45118,101)吧，欣赏美丽的大自然吧。然后转告goto(45112,101)吧！
blankline()
   space()space()space()hot2(需要找到劳宫，并在他身边打坐1分钟才能完成任务，任务完成后,千万不要忘记向goto(45112,101)汇报哦！))"</f>
        <v>title([委托]萤火虫虫)
body(hotyellow_3(任务进程:)newline()
      劳大叔为了感谢你找到丢失的元宝，邀请你去看萤火虫，去找goto(45118,101)吧，欣赏美丽的大自然吧。然后转告goto(45112,101)吧！
blankline()
   space()space()space()hot2(需要找到劳宫，并在他身边打坐1分钟才能完成任务，任务完成后,千万不要忘记向goto(45112,101)汇报哦！))</v>
      </c>
      <c r="AG1426" s="623" t="s">
        <v>8649</v>
      </c>
      <c r="AH1426" s="623" t="s">
        <v>8657</v>
      </c>
      <c r="AI1426" s="623" t="s">
        <v>8658</v>
      </c>
      <c r="AJ1426" s="623" t="s">
        <v>8659</v>
      </c>
      <c r="AK1426" s="623" t="s">
        <v>2516</v>
      </c>
      <c r="AL1426" s="623">
        <v>2</v>
      </c>
      <c r="AM1426" s="623" t="s">
        <v>8946</v>
      </c>
      <c r="AN1426" s="623"/>
      <c r="AO1426" s="623"/>
      <c r="AP1426" s="623">
        <v>0</v>
      </c>
      <c r="AQ1426" s="623">
        <v>0</v>
      </c>
      <c r="AR1426" s="623">
        <v>1</v>
      </c>
      <c r="AS1426" s="623">
        <v>0</v>
      </c>
      <c r="AT1426" s="623">
        <v>0</v>
      </c>
      <c r="AU1426" s="623">
        <v>0</v>
      </c>
      <c r="AV1426" s="623">
        <f t="shared" ref="AV1426" si="212">IF(D1426 = 1,1,0)</f>
        <v>0</v>
      </c>
      <c r="AW1426" s="623" t="str">
        <f>"{s_taskCustom, {"&amp;L1426&amp;","&amp;N1426&amp;"}}"</f>
        <v>{s_taskCustom, {0,0}}</v>
      </c>
      <c r="AX1426" s="623"/>
      <c r="AY1426" s="623"/>
      <c r="AZ1426" s="623"/>
      <c r="BA1426" s="623"/>
      <c r="BB1426" s="623"/>
      <c r="BC1426" s="623"/>
    </row>
    <row r="1427" spans="1:55" s="73" customFormat="1" ht="108" x14ac:dyDescent="0.15">
      <c r="A1427" s="9">
        <v>21000</v>
      </c>
      <c r="B1427" s="621"/>
      <c r="C1427" s="621" t="s">
        <v>4116</v>
      </c>
      <c r="D1427" s="621">
        <v>3</v>
      </c>
      <c r="E1427" s="621">
        <v>0</v>
      </c>
      <c r="F1427" s="621">
        <v>3</v>
      </c>
      <c r="G1427" s="703">
        <v>200</v>
      </c>
      <c r="H1427" s="621">
        <v>200</v>
      </c>
      <c r="I1427" s="17">
        <v>0</v>
      </c>
      <c r="J1427" s="703">
        <v>0</v>
      </c>
      <c r="K1427" s="621">
        <v>1</v>
      </c>
      <c r="L1427" s="621">
        <v>134</v>
      </c>
      <c r="M1427" s="621"/>
      <c r="N1427" s="621">
        <v>134</v>
      </c>
      <c r="O1427" s="621"/>
      <c r="P1427" s="621"/>
      <c r="Q1427" s="228"/>
      <c r="R1427" s="228"/>
      <c r="S1427" s="228"/>
      <c r="T1427" s="228"/>
      <c r="U1427" s="621">
        <v>300</v>
      </c>
      <c r="V1427" s="621">
        <v>0</v>
      </c>
      <c r="W1427" s="621"/>
      <c r="X1427" s="621"/>
      <c r="Y1427" s="621">
        <v>0</v>
      </c>
      <c r="Z1427" s="704">
        <v>0</v>
      </c>
      <c r="AA1427" s="621"/>
      <c r="AB1427" s="705"/>
      <c r="AC1427" s="705"/>
      <c r="AD1427" s="621"/>
      <c r="AE1427" s="621"/>
      <c r="AF1427" s="621" t="s">
        <v>4795</v>
      </c>
      <c r="AG1427" s="621" t="s">
        <v>4796</v>
      </c>
      <c r="AH1427" s="621" t="s">
        <v>1271</v>
      </c>
      <c r="AI1427" s="621" t="s">
        <v>1272</v>
      </c>
      <c r="AJ1427" s="621" t="s">
        <v>7473</v>
      </c>
      <c r="AK1427" s="621"/>
      <c r="AL1427" s="703">
        <v>0</v>
      </c>
      <c r="AM1427" s="621"/>
      <c r="AN1427" s="621" t="s">
        <v>6031</v>
      </c>
      <c r="AP1427" s="73">
        <v>1</v>
      </c>
      <c r="AQ1427" s="73">
        <v>0</v>
      </c>
      <c r="AR1427" s="73">
        <v>0</v>
      </c>
      <c r="AS1427" s="73">
        <v>0</v>
      </c>
      <c r="AT1427" s="73">
        <v>0</v>
      </c>
      <c r="AU1427" s="226">
        <v>0</v>
      </c>
      <c r="AV1427" s="17">
        <f t="shared" si="200"/>
        <v>0</v>
      </c>
      <c r="AW1427" s="50" t="str">
        <f>"{s_taskTalk,{"&amp;L1427&amp;","&amp;N1427&amp;"}}"</f>
        <v>{s_taskTalk,{134,134}}</v>
      </c>
    </row>
    <row r="1428" spans="1:55" s="684" customFormat="1" ht="96.75" thickBot="1" x14ac:dyDescent="0.2">
      <c r="A1428" s="677">
        <v>23001</v>
      </c>
      <c r="B1428" s="556"/>
      <c r="C1428" s="556" t="s">
        <v>6555</v>
      </c>
      <c r="D1428" s="556">
        <v>3</v>
      </c>
      <c r="E1428" s="556">
        <v>0</v>
      </c>
      <c r="F1428" s="556">
        <v>2</v>
      </c>
      <c r="G1428" s="678">
        <v>30</v>
      </c>
      <c r="H1428" s="556">
        <v>60</v>
      </c>
      <c r="I1428" s="17">
        <v>0</v>
      </c>
      <c r="J1428" s="678">
        <v>0</v>
      </c>
      <c r="K1428" s="556">
        <v>2</v>
      </c>
      <c r="L1428" s="556">
        <v>0</v>
      </c>
      <c r="M1428" s="556" t="s">
        <v>9037</v>
      </c>
      <c r="N1428" s="556">
        <v>0</v>
      </c>
      <c r="O1428" s="556" t="s">
        <v>6556</v>
      </c>
      <c r="P1428" s="556">
        <v>2</v>
      </c>
      <c r="Q1428" s="679"/>
      <c r="R1428" s="679"/>
      <c r="S1428" s="679"/>
      <c r="T1428" s="706">
        <v>31166</v>
      </c>
      <c r="U1428" s="556">
        <v>10</v>
      </c>
      <c r="V1428" s="556">
        <v>0</v>
      </c>
      <c r="W1428" s="556">
        <v>0</v>
      </c>
      <c r="X1428" s="623">
        <v>0</v>
      </c>
      <c r="Y1428" s="556"/>
      <c r="Z1428" s="680">
        <v>0</v>
      </c>
      <c r="AA1428" s="556"/>
      <c r="AB1428" s="681"/>
      <c r="AC1428" s="681"/>
      <c r="AD1428" s="556"/>
      <c r="AE1428" s="682"/>
      <c r="AF1428" s="556" t="str">
        <f>"title("&amp;C1428&amp;")
body(hotyellow_3(任务进程:)newline()
   我的书斋正在收集天下藏书。请去找来hot("&amp;U1428&amp;"本书·太平要术)，快去将书籍带来给我吧！
blankline()
   space()space()space()hot2(收集到书籍后,千万不要忘记交给goto(542,2)哦！))"</f>
        <v>title([藏书]太平要术)
body(hotyellow_3(任务进程:)newline()
   我的书斋正在收集天下藏书。请去找来hot(10本书·太平要术)，快去将书籍带来给我吧！
blankline()
   space()space()space()hot2(收集到书籍后,千万不要忘记交给goto(542,2)哦！))</v>
      </c>
      <c r="AG1428" s="556" t="s">
        <v>8138</v>
      </c>
      <c r="AH1428" s="556" t="s">
        <v>8138</v>
      </c>
      <c r="AI1428" s="556" t="s">
        <v>110</v>
      </c>
      <c r="AJ1428" s="556" t="s">
        <v>7474</v>
      </c>
      <c r="AK1428" s="683" t="str">
        <f>"收集"&amp;U1428&amp;"本书·太平要术"</f>
        <v>收集10本书·太平要术</v>
      </c>
      <c r="AL1428" s="678">
        <v>2</v>
      </c>
      <c r="AM1428" s="683" t="s">
        <v>8139</v>
      </c>
      <c r="AN1428" s="635" t="s">
        <v>7537</v>
      </c>
      <c r="AO1428" s="707"/>
      <c r="AP1428" s="556">
        <v>0</v>
      </c>
      <c r="AQ1428" s="556">
        <v>0</v>
      </c>
      <c r="AR1428" s="556">
        <v>0</v>
      </c>
      <c r="AS1428" s="556">
        <v>0</v>
      </c>
      <c r="AT1428" s="556">
        <v>0</v>
      </c>
      <c r="AU1428" s="226">
        <v>0</v>
      </c>
      <c r="AV1428" s="17">
        <f t="shared" si="200"/>
        <v>0</v>
      </c>
      <c r="AW1428" s="17" t="str">
        <f>"{s_taskCustom,{"&amp;L1428&amp;","&amp;N1428&amp;","&amp;U1428&amp;","&amp;V1428&amp;"}}"</f>
        <v>{s_taskCustom,{0,0,10,0}}</v>
      </c>
    </row>
    <row r="1429" spans="1:55" s="73" customFormat="1" ht="97.5" thickTop="1" thickBot="1" x14ac:dyDescent="0.2">
      <c r="A1429" s="677">
        <v>23002</v>
      </c>
      <c r="C1429" s="556" t="s">
        <v>8140</v>
      </c>
      <c r="D1429" s="556">
        <v>3</v>
      </c>
      <c r="E1429" s="556">
        <v>0</v>
      </c>
      <c r="F1429" s="556">
        <v>2</v>
      </c>
      <c r="G1429" s="6">
        <v>61</v>
      </c>
      <c r="H1429" s="6">
        <v>90</v>
      </c>
      <c r="I1429" s="17">
        <v>0</v>
      </c>
      <c r="J1429" s="678">
        <v>0</v>
      </c>
      <c r="K1429" s="556">
        <v>2</v>
      </c>
      <c r="L1429" s="556">
        <v>0</v>
      </c>
      <c r="M1429" s="556" t="s">
        <v>6556</v>
      </c>
      <c r="N1429" s="556">
        <v>0</v>
      </c>
      <c r="O1429" s="556" t="s">
        <v>6556</v>
      </c>
      <c r="P1429" s="556">
        <v>2</v>
      </c>
      <c r="Q1429" s="679"/>
      <c r="R1429" s="679"/>
      <c r="S1429" s="679"/>
      <c r="T1429" s="708">
        <v>31208</v>
      </c>
      <c r="U1429" s="556">
        <v>10</v>
      </c>
      <c r="V1429" s="556">
        <v>0</v>
      </c>
      <c r="W1429" s="556">
        <v>0</v>
      </c>
      <c r="X1429" s="623">
        <v>0</v>
      </c>
      <c r="Y1429" s="556"/>
      <c r="Z1429" s="680">
        <v>0</v>
      </c>
      <c r="AA1429" s="556"/>
      <c r="AB1429" s="681"/>
      <c r="AC1429" s="681"/>
      <c r="AD1429" s="556"/>
      <c r="AE1429" s="682"/>
      <c r="AF1429" s="556" t="str">
        <f>"title("&amp;C1429&amp;")
body(hotyellow_3(任务进程:)newline()
   我的书斋正在收集天下藏书。请去找来hot("&amp;U1429&amp;"本书·遁甲天书)，快去将书籍带来给我吧！
blankline()
   space()space()space()hot2(收集到书籍后,千万不要忘记交给goto(542,2)哦！))"</f>
        <v>title([藏书]遁甲天书)
body(hotyellow_3(任务进程:)newline()
   我的书斋正在收集天下藏书。请去找来hot(10本书·遁甲天书)，快去将书籍带来给我吧！
blankline()
   space()space()space()hot2(收集到书籍后,千万不要忘记交给goto(542,2)哦！))</v>
      </c>
      <c r="AG1429" s="556" t="s">
        <v>8141</v>
      </c>
      <c r="AH1429" s="556" t="s">
        <v>8141</v>
      </c>
      <c r="AI1429" s="556" t="s">
        <v>110</v>
      </c>
      <c r="AJ1429" s="556" t="s">
        <v>7474</v>
      </c>
      <c r="AK1429" s="683" t="str">
        <f>"收集"&amp;U1429&amp;"本书·太平要术"</f>
        <v>收集10本书·太平要术</v>
      </c>
      <c r="AL1429" s="678">
        <v>2</v>
      </c>
      <c r="AM1429" s="683" t="s">
        <v>8142</v>
      </c>
      <c r="AN1429" s="635" t="s">
        <v>7538</v>
      </c>
      <c r="AO1429" s="707"/>
      <c r="AP1429" s="556">
        <v>0</v>
      </c>
      <c r="AQ1429" s="556">
        <v>0</v>
      </c>
      <c r="AR1429" s="556">
        <v>0</v>
      </c>
      <c r="AS1429" s="556">
        <v>0</v>
      </c>
      <c r="AT1429" s="556">
        <v>0</v>
      </c>
      <c r="AU1429" s="226">
        <v>0</v>
      </c>
      <c r="AV1429" s="17">
        <f t="shared" ref="AV1429:AV1432" si="213">IF(D1429 = 1,1,0)</f>
        <v>0</v>
      </c>
      <c r="AW1429" s="17" t="str">
        <f>"{s_taskCustom,{"&amp;L1429&amp;","&amp;N1429&amp;","&amp;U1429&amp;","&amp;V1429&amp;"}}"</f>
        <v>{s_taskCustom,{0,0,10,0}}</v>
      </c>
    </row>
    <row r="1430" spans="1:55" s="73" customFormat="1" ht="96.75" thickTop="1" x14ac:dyDescent="0.15">
      <c r="A1430" s="677">
        <v>23003</v>
      </c>
      <c r="C1430" s="556" t="s">
        <v>8143</v>
      </c>
      <c r="D1430" s="556">
        <v>3</v>
      </c>
      <c r="E1430" s="556">
        <v>0</v>
      </c>
      <c r="F1430" s="556">
        <v>2</v>
      </c>
      <c r="G1430" s="7">
        <v>91</v>
      </c>
      <c r="H1430" s="7">
        <v>110</v>
      </c>
      <c r="I1430" s="17">
        <v>0</v>
      </c>
      <c r="J1430" s="678">
        <v>0</v>
      </c>
      <c r="K1430" s="556">
        <v>2</v>
      </c>
      <c r="L1430" s="556">
        <v>0</v>
      </c>
      <c r="M1430" s="556" t="s">
        <v>6556</v>
      </c>
      <c r="N1430" s="556">
        <v>0</v>
      </c>
      <c r="O1430" s="556" t="s">
        <v>6556</v>
      </c>
      <c r="P1430" s="556">
        <v>2</v>
      </c>
      <c r="Q1430" s="679"/>
      <c r="R1430" s="679"/>
      <c r="S1430" s="679"/>
      <c r="T1430" s="709">
        <v>31209</v>
      </c>
      <c r="U1430" s="556">
        <v>10</v>
      </c>
      <c r="V1430" s="556">
        <v>0</v>
      </c>
      <c r="W1430" s="556">
        <v>0</v>
      </c>
      <c r="X1430" s="623">
        <v>0</v>
      </c>
      <c r="Y1430" s="556"/>
      <c r="Z1430" s="680">
        <v>0</v>
      </c>
      <c r="AA1430" s="556"/>
      <c r="AB1430" s="681"/>
      <c r="AC1430" s="681"/>
      <c r="AD1430" s="556"/>
      <c r="AE1430" s="682"/>
      <c r="AF1430" s="556" t="str">
        <f>"title("&amp;C1430&amp;")
body(hotyellow_3(任务进程:)newline()
   我的书斋正在收集天下藏书。请去找来hot("&amp;U1430&amp;"本《三略六韬》)，快去将书籍带来给我吧！
blankline()
   space()space()space()hot2(收集到书籍后,千万不要忘记交给goto(542,2)哦！))"</f>
        <v>title([藏书]三略六韬)
body(hotyellow_3(任务进程:)newline()
   我的书斋正在收集天下藏书。请去找来hot(10本《三略六韬》)，快去将书籍带来给我吧！
blankline()
   space()space()space()hot2(收集到书籍后,千万不要忘记交给goto(542,2)哦！))</v>
      </c>
      <c r="AG1430" s="556" t="s">
        <v>6559</v>
      </c>
      <c r="AH1430" s="556" t="s">
        <v>6559</v>
      </c>
      <c r="AI1430" s="556" t="s">
        <v>110</v>
      </c>
      <c r="AJ1430" s="556" t="s">
        <v>7474</v>
      </c>
      <c r="AK1430" s="683" t="str">
        <f>"收集"&amp;U1430&amp;"本《三略六韬》"</f>
        <v>收集10本《三略六韬》</v>
      </c>
      <c r="AL1430" s="678">
        <v>2</v>
      </c>
      <c r="AM1430" s="683" t="s">
        <v>7536</v>
      </c>
      <c r="AN1430" s="635" t="s">
        <v>7539</v>
      </c>
      <c r="AO1430" s="707"/>
      <c r="AP1430" s="556">
        <v>0</v>
      </c>
      <c r="AQ1430" s="556">
        <v>0</v>
      </c>
      <c r="AR1430" s="556">
        <v>0</v>
      </c>
      <c r="AS1430" s="556">
        <v>0</v>
      </c>
      <c r="AT1430" s="556">
        <v>0</v>
      </c>
      <c r="AU1430" s="226">
        <v>0</v>
      </c>
      <c r="AV1430" s="17">
        <f t="shared" si="213"/>
        <v>0</v>
      </c>
      <c r="AW1430" s="17" t="str">
        <f t="shared" ref="AW1430:AW1432" si="214">"{s_taskCustom,{"&amp;L1430&amp;","&amp;N1430&amp;","&amp;U1430&amp;","&amp;V1430&amp;"}}"</f>
        <v>{s_taskCustom,{0,0,10,0}}</v>
      </c>
    </row>
    <row r="1431" spans="1:55" s="73" customFormat="1" ht="96" x14ac:dyDescent="0.15">
      <c r="A1431" s="677">
        <v>23004</v>
      </c>
      <c r="C1431" s="556" t="s">
        <v>8144</v>
      </c>
      <c r="D1431" s="556">
        <v>3</v>
      </c>
      <c r="E1431" s="556">
        <v>0</v>
      </c>
      <c r="F1431" s="556">
        <v>2</v>
      </c>
      <c r="G1431" s="8">
        <v>111</v>
      </c>
      <c r="H1431" s="8">
        <v>130</v>
      </c>
      <c r="I1431" s="17">
        <v>0</v>
      </c>
      <c r="J1431" s="678">
        <v>0</v>
      </c>
      <c r="K1431" s="556">
        <v>2</v>
      </c>
      <c r="L1431" s="556">
        <v>0</v>
      </c>
      <c r="M1431" s="556" t="s">
        <v>6556</v>
      </c>
      <c r="N1431" s="556">
        <v>0</v>
      </c>
      <c r="O1431" s="556" t="s">
        <v>6556</v>
      </c>
      <c r="P1431" s="556">
        <v>2</v>
      </c>
      <c r="Q1431" s="679"/>
      <c r="R1431" s="679"/>
      <c r="S1431" s="679"/>
      <c r="T1431" s="708">
        <v>31120</v>
      </c>
      <c r="U1431" s="556">
        <v>10</v>
      </c>
      <c r="V1431" s="556">
        <v>0</v>
      </c>
      <c r="W1431" s="556">
        <v>0</v>
      </c>
      <c r="X1431" s="623">
        <v>0</v>
      </c>
      <c r="Y1431" s="556"/>
      <c r="Z1431" s="680">
        <v>0</v>
      </c>
      <c r="AA1431" s="556"/>
      <c r="AB1431" s="681"/>
      <c r="AC1431" s="681"/>
      <c r="AD1431" s="556"/>
      <c r="AE1431" s="682"/>
      <c r="AF1431" s="556" t="str">
        <f>"title("&amp;C1431&amp;")
body(hotyellow_3(任务进程:)newline()
   我的书斋正在收集天下藏书。请去找来hot("&amp;U1431&amp;"本书·青囊书)，快去将书籍带来给我吧！
blankline()
   space()space()space()hot2(收集到书籍后,千万不要忘记交给goto(542,2)哦！))"</f>
        <v>title([藏书]青囊书)
body(hotyellow_3(任务进程:)newline()
   我的书斋正在收集天下藏书。请去找来hot(10本书·青囊书)，快去将书籍带来给我吧！
blankline()
   space()space()space()hot2(收集到书籍后,千万不要忘记交给goto(542,2)哦！))</v>
      </c>
      <c r="AG1431" s="556" t="s">
        <v>8145</v>
      </c>
      <c r="AH1431" s="556" t="s">
        <v>8145</v>
      </c>
      <c r="AI1431" s="556" t="s">
        <v>110</v>
      </c>
      <c r="AJ1431" s="556" t="s">
        <v>7474</v>
      </c>
      <c r="AK1431" s="683" t="str">
        <f>"收集"&amp;U1431&amp;"本书·太平要术"</f>
        <v>收集10本书·太平要术</v>
      </c>
      <c r="AL1431" s="678">
        <v>2</v>
      </c>
      <c r="AM1431" s="683" t="s">
        <v>8146</v>
      </c>
      <c r="AN1431" s="635" t="s">
        <v>7540</v>
      </c>
      <c r="AO1431" s="707"/>
      <c r="AP1431" s="556">
        <v>0</v>
      </c>
      <c r="AQ1431" s="556">
        <v>0</v>
      </c>
      <c r="AR1431" s="556">
        <v>0</v>
      </c>
      <c r="AS1431" s="556">
        <v>0</v>
      </c>
      <c r="AT1431" s="556">
        <v>0</v>
      </c>
      <c r="AU1431" s="226">
        <v>0</v>
      </c>
      <c r="AV1431" s="17">
        <f t="shared" si="213"/>
        <v>0</v>
      </c>
      <c r="AW1431" s="17" t="str">
        <f t="shared" si="214"/>
        <v>{s_taskCustom,{0,0,10,0}}</v>
      </c>
    </row>
    <row r="1432" spans="1:55" s="73" customFormat="1" ht="96" x14ac:dyDescent="0.15">
      <c r="A1432" s="677">
        <v>23005</v>
      </c>
      <c r="C1432" s="556" t="s">
        <v>8147</v>
      </c>
      <c r="D1432" s="556">
        <v>3</v>
      </c>
      <c r="E1432" s="556">
        <v>0</v>
      </c>
      <c r="F1432" s="556">
        <v>2</v>
      </c>
      <c r="G1432" s="7">
        <v>131</v>
      </c>
      <c r="H1432" s="7">
        <v>150</v>
      </c>
      <c r="I1432" s="17">
        <v>0</v>
      </c>
      <c r="J1432" s="678">
        <v>0</v>
      </c>
      <c r="K1432" s="556">
        <v>2</v>
      </c>
      <c r="L1432" s="556">
        <v>0</v>
      </c>
      <c r="M1432" s="556" t="s">
        <v>6556</v>
      </c>
      <c r="N1432" s="556">
        <v>0</v>
      </c>
      <c r="O1432" s="556" t="s">
        <v>6556</v>
      </c>
      <c r="P1432" s="556">
        <v>2</v>
      </c>
      <c r="Q1432" s="679"/>
      <c r="R1432" s="679"/>
      <c r="S1432" s="679"/>
      <c r="T1432" s="709">
        <v>31078</v>
      </c>
      <c r="U1432" s="556">
        <v>10</v>
      </c>
      <c r="V1432" s="556">
        <v>0</v>
      </c>
      <c r="W1432" s="556">
        <v>0</v>
      </c>
      <c r="X1432" s="623">
        <v>0</v>
      </c>
      <c r="Y1432" s="556"/>
      <c r="Z1432" s="680">
        <v>0</v>
      </c>
      <c r="AA1432" s="556"/>
      <c r="AB1432" s="681"/>
      <c r="AC1432" s="681"/>
      <c r="AD1432" s="556"/>
      <c r="AE1432" s="682"/>
      <c r="AF1432" s="556" t="str">
        <f>"title("&amp;C1432&amp;")
body(hotyellow_3(任务进程:)newline()
   我的书斋正在收集天下藏书。请去找来hot("&amp;U1432&amp;"本书·兵书)，快去将书籍带来给我吧！
blankline()
   space()space()space()hot2(收集到书籍后,千万不要忘记交给goto(542,2)哦！))"</f>
        <v>title([藏书]兵书)
body(hotyellow_3(任务进程:)newline()
   我的书斋正在收集天下藏书。请去找来hot(10本书·兵书)，快去将书籍带来给我吧！
blankline()
   space()space()space()hot2(收集到书籍后,千万不要忘记交给goto(542,2)哦！))</v>
      </c>
      <c r="AG1432" s="556" t="s">
        <v>8148</v>
      </c>
      <c r="AH1432" s="556" t="s">
        <v>8148</v>
      </c>
      <c r="AI1432" s="556" t="s">
        <v>110</v>
      </c>
      <c r="AJ1432" s="556" t="s">
        <v>7474</v>
      </c>
      <c r="AK1432" s="683" t="str">
        <f>"收集"&amp;U1432&amp;"本书·太平要术"</f>
        <v>收集10本书·太平要术</v>
      </c>
      <c r="AL1432" s="678">
        <v>2</v>
      </c>
      <c r="AM1432" s="683" t="s">
        <v>8149</v>
      </c>
      <c r="AN1432" s="635" t="s">
        <v>7541</v>
      </c>
      <c r="AO1432" s="707"/>
      <c r="AP1432" s="556">
        <v>0</v>
      </c>
      <c r="AQ1432" s="556">
        <v>0</v>
      </c>
      <c r="AR1432" s="556">
        <v>0</v>
      </c>
      <c r="AS1432" s="556">
        <v>0</v>
      </c>
      <c r="AT1432" s="556">
        <v>0</v>
      </c>
      <c r="AU1432" s="226">
        <v>0</v>
      </c>
      <c r="AV1432" s="17">
        <f t="shared" si="213"/>
        <v>0</v>
      </c>
      <c r="AW1432" s="17" t="str">
        <f t="shared" si="214"/>
        <v>{s_taskCustom,{0,0,10,0}}</v>
      </c>
    </row>
    <row r="1433" spans="1:55" s="73" customFormat="1" ht="72" x14ac:dyDescent="0.15">
      <c r="A1433" s="9">
        <v>30002</v>
      </c>
      <c r="B1433" s="226"/>
      <c r="C1433" s="226" t="s">
        <v>2368</v>
      </c>
      <c r="D1433" s="226">
        <v>3</v>
      </c>
      <c r="E1433" s="226">
        <v>0</v>
      </c>
      <c r="F1433" s="226">
        <v>2</v>
      </c>
      <c r="G1433" s="234">
        <v>200</v>
      </c>
      <c r="H1433" s="226">
        <v>200</v>
      </c>
      <c r="I1433" s="17">
        <v>0</v>
      </c>
      <c r="J1433" s="234">
        <v>0</v>
      </c>
      <c r="K1433" s="226">
        <v>3</v>
      </c>
      <c r="L1433" s="226">
        <v>60065</v>
      </c>
      <c r="M1433" s="226"/>
      <c r="N1433" s="226">
        <v>60065</v>
      </c>
      <c r="O1433" s="226"/>
      <c r="P1433" s="226"/>
      <c r="Q1433" s="228"/>
      <c r="R1433" s="228"/>
      <c r="S1433" s="228"/>
      <c r="T1433" s="228"/>
      <c r="U1433" s="226">
        <v>1</v>
      </c>
      <c r="V1433" s="226">
        <v>0</v>
      </c>
      <c r="W1433" s="226"/>
      <c r="X1433" s="226"/>
      <c r="Y1433" s="226"/>
      <c r="Z1433" s="230">
        <v>0</v>
      </c>
      <c r="AA1433" s="226">
        <v>0</v>
      </c>
      <c r="AB1433" s="231"/>
      <c r="AC1433" s="231">
        <v>0</v>
      </c>
      <c r="AD1433" s="226"/>
      <c r="AE1433" s="226"/>
      <c r="AF1433" s="226" t="s">
        <v>2798</v>
      </c>
      <c r="AG1433" s="226" t="s">
        <v>164</v>
      </c>
      <c r="AH1433" s="226" t="s">
        <v>2463</v>
      </c>
      <c r="AI1433" s="226" t="s">
        <v>506</v>
      </c>
      <c r="AJ1433" s="226" t="s">
        <v>7475</v>
      </c>
      <c r="AK1433" s="226"/>
      <c r="AL1433" s="234">
        <v>0</v>
      </c>
      <c r="AM1433" s="235"/>
      <c r="AN1433" s="235"/>
      <c r="AO1433" s="621"/>
      <c r="AP1433" s="73">
        <v>0</v>
      </c>
      <c r="AQ1433" s="73">
        <v>0</v>
      </c>
      <c r="AR1433" s="73">
        <v>0</v>
      </c>
      <c r="AS1433" s="73">
        <v>0</v>
      </c>
      <c r="AT1433" s="73">
        <v>0</v>
      </c>
      <c r="AU1433" s="226">
        <v>0</v>
      </c>
      <c r="AV1433" s="17">
        <f t="shared" si="200"/>
        <v>0</v>
      </c>
      <c r="AW1433" s="50" t="str">
        <f>"{s_taskTalk,{"&amp;L1433&amp;","&amp;N1433&amp;"}}"</f>
        <v>{s_taskTalk,{60065,60065}}</v>
      </c>
    </row>
    <row r="1434" spans="1:55" s="73" customFormat="1" ht="144" x14ac:dyDescent="0.15">
      <c r="A1434" s="9">
        <v>30003</v>
      </c>
      <c r="B1434" s="226"/>
      <c r="C1434" s="226" t="s">
        <v>7159</v>
      </c>
      <c r="D1434" s="226">
        <v>3</v>
      </c>
      <c r="E1434" s="226">
        <v>0</v>
      </c>
      <c r="F1434" s="226">
        <v>2</v>
      </c>
      <c r="G1434" s="234">
        <v>1</v>
      </c>
      <c r="H1434" s="226">
        <v>200</v>
      </c>
      <c r="I1434" s="17">
        <v>0</v>
      </c>
      <c r="J1434" s="234">
        <v>0</v>
      </c>
      <c r="K1434" s="226">
        <v>0</v>
      </c>
      <c r="L1434" s="226">
        <v>0</v>
      </c>
      <c r="M1434" s="226"/>
      <c r="N1434" s="226">
        <v>0</v>
      </c>
      <c r="O1434" s="226"/>
      <c r="P1434" s="226"/>
      <c r="Q1434" s="228"/>
      <c r="R1434" s="228"/>
      <c r="S1434" s="228"/>
      <c r="T1434" s="228"/>
      <c r="U1434" s="226">
        <v>30</v>
      </c>
      <c r="V1434" s="226">
        <v>0</v>
      </c>
      <c r="W1434" s="226"/>
      <c r="X1434" s="226"/>
      <c r="Y1434" s="226"/>
      <c r="Z1434" s="230">
        <v>0</v>
      </c>
      <c r="AA1434" s="226">
        <v>0</v>
      </c>
      <c r="AB1434" s="231"/>
      <c r="AC1434" s="231">
        <v>0</v>
      </c>
      <c r="AD1434" s="226" t="s">
        <v>457</v>
      </c>
      <c r="AE1434" s="226" t="s">
        <v>457</v>
      </c>
      <c r="AF1434" s="226" t="s">
        <v>1368</v>
      </c>
      <c r="AG1434" s="226">
        <v>0</v>
      </c>
      <c r="AH1434" s="226" t="s">
        <v>457</v>
      </c>
      <c r="AI1434" s="226" t="s">
        <v>457</v>
      </c>
      <c r="AJ1434" s="226"/>
      <c r="AK1434" s="226"/>
      <c r="AL1434" s="234">
        <v>0</v>
      </c>
      <c r="AM1434" s="235"/>
      <c r="AN1434" s="235"/>
      <c r="AO1434" s="226"/>
      <c r="AP1434" s="73">
        <v>0</v>
      </c>
      <c r="AQ1434" s="73">
        <v>0</v>
      </c>
      <c r="AR1434" s="73">
        <v>0</v>
      </c>
      <c r="AS1434" s="73">
        <v>0</v>
      </c>
      <c r="AT1434" s="73">
        <v>0</v>
      </c>
      <c r="AU1434" s="226">
        <v>0</v>
      </c>
      <c r="AV1434" s="17">
        <f t="shared" si="200"/>
        <v>0</v>
      </c>
      <c r="AW1434" s="50" t="str">
        <f>"{s_taskTalk,{"&amp;L1434&amp;","&amp;N1434&amp;"}}"</f>
        <v>{s_taskTalk,{0,0}}</v>
      </c>
    </row>
    <row r="1435" spans="1:55" s="73" customFormat="1" ht="156" x14ac:dyDescent="0.15">
      <c r="A1435" s="9">
        <v>30004</v>
      </c>
      <c r="B1435" s="226"/>
      <c r="C1435" s="226" t="s">
        <v>1869</v>
      </c>
      <c r="D1435" s="226">
        <v>3</v>
      </c>
      <c r="E1435" s="226">
        <v>0</v>
      </c>
      <c r="F1435" s="226">
        <v>2</v>
      </c>
      <c r="G1435" s="234">
        <v>1</v>
      </c>
      <c r="H1435" s="226">
        <v>200</v>
      </c>
      <c r="I1435" s="17">
        <v>0</v>
      </c>
      <c r="J1435" s="234">
        <v>0</v>
      </c>
      <c r="K1435" s="226">
        <v>0</v>
      </c>
      <c r="L1435" s="226">
        <v>0</v>
      </c>
      <c r="M1435" s="226"/>
      <c r="N1435" s="226">
        <v>0</v>
      </c>
      <c r="O1435" s="226"/>
      <c r="P1435" s="226"/>
      <c r="Q1435" s="228"/>
      <c r="R1435" s="228"/>
      <c r="S1435" s="228"/>
      <c r="T1435" s="228"/>
      <c r="U1435" s="226">
        <v>500</v>
      </c>
      <c r="V1435" s="226">
        <v>0</v>
      </c>
      <c r="W1435" s="226"/>
      <c r="X1435" s="226"/>
      <c r="Y1435" s="226"/>
      <c r="Z1435" s="230">
        <v>0</v>
      </c>
      <c r="AA1435" s="226">
        <v>0</v>
      </c>
      <c r="AB1435" s="231"/>
      <c r="AC1435" s="231">
        <v>0</v>
      </c>
      <c r="AD1435" s="226" t="s">
        <v>109</v>
      </c>
      <c r="AE1435" s="226" t="s">
        <v>109</v>
      </c>
      <c r="AF1435" s="226" t="s">
        <v>2966</v>
      </c>
      <c r="AG1435" s="226" t="s">
        <v>109</v>
      </c>
      <c r="AH1435" s="226" t="s">
        <v>109</v>
      </c>
      <c r="AI1435" s="226" t="s">
        <v>109</v>
      </c>
      <c r="AJ1435" s="226"/>
      <c r="AK1435" s="226"/>
      <c r="AL1435" s="234">
        <v>0</v>
      </c>
      <c r="AM1435" s="235"/>
      <c r="AN1435" s="235"/>
      <c r="AO1435" s="226"/>
      <c r="AP1435" s="73">
        <v>0</v>
      </c>
      <c r="AQ1435" s="73">
        <v>0</v>
      </c>
      <c r="AR1435" s="73">
        <v>0</v>
      </c>
      <c r="AS1435" s="73">
        <v>0</v>
      </c>
      <c r="AT1435" s="73">
        <v>0</v>
      </c>
      <c r="AU1435" s="226">
        <v>0</v>
      </c>
      <c r="AV1435" s="17">
        <f t="shared" si="200"/>
        <v>0</v>
      </c>
      <c r="AW1435" s="50" t="str">
        <f>"{s_taskTalk,{"&amp;L1435&amp;","&amp;N1435&amp;"}}"</f>
        <v>{s_taskTalk,{0,0}}</v>
      </c>
    </row>
    <row r="1436" spans="1:55" s="73" customFormat="1" ht="72" x14ac:dyDescent="0.15">
      <c r="A1436" s="9">
        <v>30006</v>
      </c>
      <c r="B1436" s="226"/>
      <c r="C1436" s="226" t="s">
        <v>2369</v>
      </c>
      <c r="D1436" s="226">
        <v>3</v>
      </c>
      <c r="E1436" s="226">
        <v>0</v>
      </c>
      <c r="F1436" s="226">
        <v>2</v>
      </c>
      <c r="G1436" s="234">
        <v>200</v>
      </c>
      <c r="H1436" s="226">
        <v>200</v>
      </c>
      <c r="I1436" s="17">
        <v>0</v>
      </c>
      <c r="J1436" s="234">
        <v>0</v>
      </c>
      <c r="K1436" s="226">
        <v>3</v>
      </c>
      <c r="L1436" s="226">
        <v>60015</v>
      </c>
      <c r="M1436" s="226"/>
      <c r="N1436" s="226">
        <v>60015</v>
      </c>
      <c r="O1436" s="226"/>
      <c r="P1436" s="226"/>
      <c r="Q1436" s="228"/>
      <c r="R1436" s="228"/>
      <c r="S1436" s="228"/>
      <c r="T1436" s="228">
        <v>31051</v>
      </c>
      <c r="U1436" s="226">
        <v>1</v>
      </c>
      <c r="V1436" s="226">
        <v>1</v>
      </c>
      <c r="W1436" s="226"/>
      <c r="X1436" s="226"/>
      <c r="Y1436" s="226"/>
      <c r="Z1436" s="230">
        <v>0</v>
      </c>
      <c r="AA1436" s="226"/>
      <c r="AB1436" s="231"/>
      <c r="AC1436" s="231"/>
      <c r="AD1436" s="226"/>
      <c r="AE1436" s="226"/>
      <c r="AF1436" s="226"/>
      <c r="AG1436" s="226"/>
      <c r="AH1436" s="226"/>
      <c r="AI1436" s="226"/>
      <c r="AJ1436" s="226"/>
      <c r="AK1436" s="226"/>
      <c r="AL1436" s="234">
        <v>0</v>
      </c>
      <c r="AM1436" s="226" t="s">
        <v>614</v>
      </c>
      <c r="AN1436" s="226" t="s">
        <v>507</v>
      </c>
      <c r="AO1436" s="226"/>
      <c r="AP1436" s="73">
        <v>1</v>
      </c>
      <c r="AQ1436" s="73">
        <v>0</v>
      </c>
      <c r="AR1436" s="73">
        <v>0</v>
      </c>
      <c r="AS1436" s="73">
        <v>0</v>
      </c>
      <c r="AT1436" s="73">
        <v>0</v>
      </c>
      <c r="AU1436" s="226">
        <v>0</v>
      </c>
      <c r="AV1436" s="17">
        <f t="shared" si="200"/>
        <v>0</v>
      </c>
      <c r="AW1436" s="50" t="str">
        <f>"{s_taskGatherNoTalk,{"&amp;N1436&amp;","&amp;T1436&amp;", 10, 0, 0}}"</f>
        <v>{s_taskGatherNoTalk,{60015,31051, 10, 0, 0}}</v>
      </c>
    </row>
    <row r="1437" spans="1:55" s="226" customFormat="1" ht="156" x14ac:dyDescent="0.15">
      <c r="A1437" s="149">
        <v>30007</v>
      </c>
      <c r="C1437" s="226" t="s">
        <v>2370</v>
      </c>
      <c r="D1437" s="226">
        <v>3</v>
      </c>
      <c r="E1437" s="226">
        <v>0</v>
      </c>
      <c r="F1437" s="226">
        <v>3</v>
      </c>
      <c r="G1437" s="234">
        <v>200</v>
      </c>
      <c r="H1437" s="235">
        <v>200</v>
      </c>
      <c r="I1437" s="17">
        <v>0</v>
      </c>
      <c r="J1437" s="234">
        <v>0</v>
      </c>
      <c r="K1437" s="226">
        <v>3</v>
      </c>
      <c r="L1437" s="226">
        <v>60066</v>
      </c>
      <c r="N1437" s="226">
        <v>60066</v>
      </c>
      <c r="Q1437" s="228"/>
      <c r="R1437" s="228"/>
      <c r="S1437" s="228"/>
      <c r="T1437" s="228"/>
      <c r="U1437" s="226">
        <v>5</v>
      </c>
      <c r="V1437" s="226">
        <v>0</v>
      </c>
      <c r="Z1437" s="230">
        <v>0</v>
      </c>
      <c r="AB1437" s="231"/>
      <c r="AC1437" s="231"/>
      <c r="AD1437" s="226" t="s">
        <v>457</v>
      </c>
      <c r="AF1437" s="226" t="s">
        <v>165</v>
      </c>
      <c r="AG1437" s="226" t="s">
        <v>166</v>
      </c>
      <c r="AH1437" s="226" t="s">
        <v>167</v>
      </c>
      <c r="AI1437" s="226" t="s">
        <v>508</v>
      </c>
      <c r="AJ1437" s="226" t="s">
        <v>6482</v>
      </c>
      <c r="AK1437" s="226" t="s">
        <v>509</v>
      </c>
      <c r="AL1437" s="234">
        <v>0</v>
      </c>
      <c r="AM1437" s="235" t="s">
        <v>1345</v>
      </c>
      <c r="AN1437" s="235" t="s">
        <v>6032</v>
      </c>
      <c r="AP1437" s="226">
        <v>0</v>
      </c>
      <c r="AQ1437" s="226">
        <v>0</v>
      </c>
      <c r="AR1437" s="226">
        <v>0</v>
      </c>
      <c r="AS1437" s="226">
        <v>0</v>
      </c>
      <c r="AT1437" s="226">
        <v>0</v>
      </c>
      <c r="AU1437" s="226">
        <v>0</v>
      </c>
      <c r="AV1437" s="17">
        <f t="shared" si="200"/>
        <v>0</v>
      </c>
      <c r="AW1437" s="50" t="str">
        <f t="shared" ref="AW1437:AW1447" si="215">"{s_taskTalk,{"&amp;L1437&amp;","&amp;N1437&amp;"}}"</f>
        <v>{s_taskTalk,{60066,60066}}</v>
      </c>
    </row>
    <row r="1438" spans="1:55" s="226" customFormat="1" ht="168" x14ac:dyDescent="0.15">
      <c r="A1438" s="149">
        <v>30008</v>
      </c>
      <c r="C1438" s="226" t="s">
        <v>2371</v>
      </c>
      <c r="D1438" s="226">
        <v>3</v>
      </c>
      <c r="E1438" s="226">
        <v>0</v>
      </c>
      <c r="F1438" s="226">
        <v>3</v>
      </c>
      <c r="G1438" s="234">
        <v>200</v>
      </c>
      <c r="H1438" s="235">
        <v>200</v>
      </c>
      <c r="I1438" s="17">
        <v>0</v>
      </c>
      <c r="J1438" s="234">
        <v>0</v>
      </c>
      <c r="K1438" s="226">
        <v>3</v>
      </c>
      <c r="L1438" s="226">
        <v>60066</v>
      </c>
      <c r="N1438" s="226">
        <v>60066</v>
      </c>
      <c r="Q1438" s="228"/>
      <c r="R1438" s="228"/>
      <c r="S1438" s="228"/>
      <c r="T1438" s="228"/>
      <c r="U1438" s="226">
        <v>5</v>
      </c>
      <c r="V1438" s="226">
        <v>0</v>
      </c>
      <c r="Z1438" s="230">
        <v>0</v>
      </c>
      <c r="AB1438" s="231"/>
      <c r="AC1438" s="231"/>
      <c r="AD1438" s="226" t="s">
        <v>457</v>
      </c>
      <c r="AF1438" s="226" t="s">
        <v>323</v>
      </c>
      <c r="AG1438" s="226" t="s">
        <v>324</v>
      </c>
      <c r="AH1438" s="226" t="s">
        <v>167</v>
      </c>
      <c r="AI1438" s="226" t="s">
        <v>510</v>
      </c>
      <c r="AJ1438" s="226" t="s">
        <v>6483</v>
      </c>
      <c r="AK1438" s="226" t="s">
        <v>509</v>
      </c>
      <c r="AL1438" s="234">
        <v>0</v>
      </c>
      <c r="AM1438" s="235" t="s">
        <v>1346</v>
      </c>
      <c r="AN1438" s="235" t="s">
        <v>6033</v>
      </c>
      <c r="AP1438" s="226">
        <v>0</v>
      </c>
      <c r="AQ1438" s="226">
        <v>0</v>
      </c>
      <c r="AR1438" s="226">
        <v>0</v>
      </c>
      <c r="AS1438" s="226">
        <v>0</v>
      </c>
      <c r="AT1438" s="226">
        <v>0</v>
      </c>
      <c r="AU1438" s="226">
        <v>0</v>
      </c>
      <c r="AV1438" s="17">
        <f t="shared" si="200"/>
        <v>0</v>
      </c>
      <c r="AW1438" s="50" t="str">
        <f t="shared" si="215"/>
        <v>{s_taskTalk,{60066,60066}}</v>
      </c>
    </row>
    <row r="1439" spans="1:55" s="491" customFormat="1" x14ac:dyDescent="0.15">
      <c r="A1439" s="491">
        <v>30011</v>
      </c>
      <c r="B1439" s="491" t="s">
        <v>511</v>
      </c>
      <c r="C1439" s="491" t="s">
        <v>512</v>
      </c>
      <c r="D1439" s="491">
        <v>3</v>
      </c>
      <c r="E1439" s="491">
        <v>0</v>
      </c>
      <c r="F1439" s="491">
        <v>2</v>
      </c>
      <c r="G1439" s="492">
        <v>200</v>
      </c>
      <c r="H1439" s="491">
        <v>200</v>
      </c>
      <c r="I1439" s="17">
        <v>0</v>
      </c>
      <c r="J1439" s="492">
        <v>0</v>
      </c>
      <c r="K1439" s="491">
        <v>3</v>
      </c>
      <c r="L1439" s="491">
        <v>0</v>
      </c>
      <c r="N1439" s="491">
        <v>0</v>
      </c>
      <c r="U1439" s="491">
        <v>5</v>
      </c>
      <c r="V1439" s="491">
        <v>0</v>
      </c>
      <c r="Z1439" s="493">
        <v>0</v>
      </c>
      <c r="AF1439" s="491" t="s">
        <v>1414</v>
      </c>
      <c r="AL1439" s="492">
        <v>0</v>
      </c>
      <c r="AN1439" s="491" t="s">
        <v>14</v>
      </c>
      <c r="AP1439" s="491">
        <v>0</v>
      </c>
      <c r="AQ1439" s="491">
        <v>0</v>
      </c>
      <c r="AR1439" s="491">
        <v>0</v>
      </c>
      <c r="AS1439" s="491">
        <v>0</v>
      </c>
      <c r="AT1439" s="491">
        <v>0</v>
      </c>
      <c r="AU1439" s="226">
        <v>0</v>
      </c>
      <c r="AV1439" s="17">
        <f t="shared" si="200"/>
        <v>0</v>
      </c>
      <c r="AW1439" s="491" t="str">
        <f t="shared" si="215"/>
        <v>{s_taskTalk,{0,0}}</v>
      </c>
    </row>
    <row r="1440" spans="1:55" ht="72" x14ac:dyDescent="0.15">
      <c r="A1440" s="149">
        <v>30016</v>
      </c>
      <c r="B1440" s="226"/>
      <c r="C1440" s="226" t="s">
        <v>2372</v>
      </c>
      <c r="D1440" s="226">
        <v>3</v>
      </c>
      <c r="E1440" s="226">
        <v>0</v>
      </c>
      <c r="F1440" s="226">
        <v>4</v>
      </c>
      <c r="G1440" s="234">
        <v>200</v>
      </c>
      <c r="H1440" s="226">
        <v>200</v>
      </c>
      <c r="I1440" s="17">
        <v>0</v>
      </c>
      <c r="J1440" s="234">
        <v>0</v>
      </c>
      <c r="K1440" s="226">
        <v>3</v>
      </c>
      <c r="L1440" s="226">
        <v>60062</v>
      </c>
      <c r="M1440" s="226"/>
      <c r="N1440" s="226">
        <v>60062</v>
      </c>
      <c r="O1440" s="226"/>
      <c r="P1440" s="226"/>
      <c r="Q1440" s="228">
        <v>60068</v>
      </c>
      <c r="R1440" s="228"/>
      <c r="S1440" s="228">
        <v>60068</v>
      </c>
      <c r="T1440" s="228"/>
      <c r="U1440" s="226">
        <v>1</v>
      </c>
      <c r="V1440" s="226">
        <v>1</v>
      </c>
      <c r="W1440" s="226"/>
      <c r="X1440" s="226"/>
      <c r="Y1440" s="226"/>
      <c r="Z1440" s="230">
        <v>0</v>
      </c>
      <c r="AA1440" s="226"/>
      <c r="AB1440" s="231"/>
      <c r="AC1440" s="231"/>
      <c r="AD1440" s="226"/>
      <c r="AE1440" s="226"/>
      <c r="AF1440" s="226"/>
      <c r="AG1440" s="226"/>
      <c r="AH1440" s="226"/>
      <c r="AI1440" s="226"/>
      <c r="AJ1440" s="226"/>
      <c r="AK1440" s="226"/>
      <c r="AL1440" s="234">
        <v>0</v>
      </c>
      <c r="AM1440" s="226" t="s">
        <v>615</v>
      </c>
      <c r="AN1440" s="226" t="s">
        <v>617</v>
      </c>
      <c r="AO1440" s="226"/>
      <c r="AP1440" s="226">
        <v>1</v>
      </c>
      <c r="AQ1440" s="226">
        <v>0</v>
      </c>
      <c r="AR1440" s="226">
        <v>0</v>
      </c>
      <c r="AS1440" s="226">
        <v>0</v>
      </c>
      <c r="AT1440" s="226">
        <v>0</v>
      </c>
      <c r="AU1440" s="226">
        <v>0</v>
      </c>
      <c r="AV1440" s="17">
        <f t="shared" si="200"/>
        <v>0</v>
      </c>
      <c r="AW1440" s="50" t="str">
        <f t="shared" si="215"/>
        <v>{s_taskTalk,{60062,60062}}</v>
      </c>
    </row>
    <row r="1441" spans="1:49" ht="72" x14ac:dyDescent="0.15">
      <c r="A1441" s="149">
        <v>30021</v>
      </c>
      <c r="B1441" s="226"/>
      <c r="C1441" s="226" t="s">
        <v>2373</v>
      </c>
      <c r="D1441" s="226">
        <v>3</v>
      </c>
      <c r="E1441" s="226">
        <v>0</v>
      </c>
      <c r="F1441" s="226">
        <v>7</v>
      </c>
      <c r="G1441" s="234">
        <v>200</v>
      </c>
      <c r="H1441" s="226">
        <v>200</v>
      </c>
      <c r="I1441" s="17">
        <v>0</v>
      </c>
      <c r="J1441" s="234">
        <v>0</v>
      </c>
      <c r="K1441" s="226">
        <v>3</v>
      </c>
      <c r="L1441" s="226">
        <v>60096</v>
      </c>
      <c r="M1441" s="226"/>
      <c r="N1441" s="226">
        <v>60096</v>
      </c>
      <c r="O1441" s="226"/>
      <c r="P1441" s="226"/>
      <c r="Q1441" s="228">
        <v>60097</v>
      </c>
      <c r="R1441" s="228"/>
      <c r="S1441" s="228">
        <v>60097</v>
      </c>
      <c r="T1441" s="228"/>
      <c r="U1441" s="226">
        <v>1</v>
      </c>
      <c r="V1441" s="226">
        <v>1</v>
      </c>
      <c r="W1441" s="226"/>
      <c r="X1441" s="226"/>
      <c r="Y1441" s="226"/>
      <c r="Z1441" s="230">
        <v>0</v>
      </c>
      <c r="AA1441" s="226"/>
      <c r="AB1441" s="231"/>
      <c r="AC1441" s="231"/>
      <c r="AD1441" s="226"/>
      <c r="AE1441" s="226"/>
      <c r="AF1441" s="226"/>
      <c r="AG1441" s="226"/>
      <c r="AH1441" s="226"/>
      <c r="AI1441" s="226"/>
      <c r="AJ1441" s="226"/>
      <c r="AK1441" s="226"/>
      <c r="AL1441" s="234">
        <v>0</v>
      </c>
      <c r="AM1441" s="226" t="s">
        <v>616</v>
      </c>
      <c r="AN1441" s="226" t="s">
        <v>513</v>
      </c>
      <c r="AO1441" s="226"/>
      <c r="AP1441" s="226">
        <v>0</v>
      </c>
      <c r="AQ1441" s="226">
        <v>0</v>
      </c>
      <c r="AR1441" s="226">
        <v>0</v>
      </c>
      <c r="AS1441" s="226">
        <v>0</v>
      </c>
      <c r="AT1441" s="226">
        <v>0</v>
      </c>
      <c r="AU1441" s="226">
        <v>0</v>
      </c>
      <c r="AV1441" s="17">
        <f t="shared" si="200"/>
        <v>0</v>
      </c>
      <c r="AW1441" s="50" t="str">
        <f t="shared" si="215"/>
        <v>{s_taskTalk,{60096,60096}}</v>
      </c>
    </row>
    <row r="1442" spans="1:49" ht="180" x14ac:dyDescent="0.15">
      <c r="A1442" s="149">
        <v>30022</v>
      </c>
      <c r="B1442" s="226"/>
      <c r="C1442" s="226" t="s">
        <v>4090</v>
      </c>
      <c r="D1442" s="226">
        <v>3</v>
      </c>
      <c r="E1442" s="226">
        <v>0</v>
      </c>
      <c r="F1442" s="226">
        <v>3</v>
      </c>
      <c r="G1442" s="234">
        <v>200</v>
      </c>
      <c r="H1442" s="226">
        <v>200</v>
      </c>
      <c r="I1442" s="17">
        <v>0</v>
      </c>
      <c r="J1442" s="234">
        <v>0</v>
      </c>
      <c r="K1442" s="226">
        <v>2</v>
      </c>
      <c r="L1442" s="226">
        <v>60000</v>
      </c>
      <c r="M1442" s="226"/>
      <c r="N1442" s="226">
        <v>0</v>
      </c>
      <c r="O1442" s="226"/>
      <c r="P1442" s="226"/>
      <c r="Q1442" s="228"/>
      <c r="R1442" s="228"/>
      <c r="S1442" s="228"/>
      <c r="T1442" s="228"/>
      <c r="U1442" s="226">
        <v>1</v>
      </c>
      <c r="V1442" s="226">
        <v>1</v>
      </c>
      <c r="W1442" s="226"/>
      <c r="X1442" s="226">
        <v>5</v>
      </c>
      <c r="Y1442" s="226"/>
      <c r="Z1442" s="230">
        <v>0</v>
      </c>
      <c r="AA1442" s="226"/>
      <c r="AB1442" s="231"/>
      <c r="AC1442" s="231"/>
      <c r="AD1442" s="226"/>
      <c r="AE1442" s="226"/>
      <c r="AF1442" s="226" t="s">
        <v>8745</v>
      </c>
      <c r="AG1442" s="226" t="s">
        <v>8744</v>
      </c>
      <c r="AH1442" s="226" t="s">
        <v>2867</v>
      </c>
      <c r="AI1442" s="226" t="s">
        <v>2805</v>
      </c>
      <c r="AJ1442" s="226" t="s">
        <v>6484</v>
      </c>
      <c r="AK1442" s="226"/>
      <c r="AL1442" s="234">
        <v>0</v>
      </c>
      <c r="AM1442" s="226"/>
      <c r="AN1442" s="226"/>
      <c r="AO1442" s="226"/>
      <c r="AP1442" s="226">
        <v>1</v>
      </c>
      <c r="AQ1442" s="226">
        <v>0</v>
      </c>
      <c r="AR1442" s="226">
        <v>0</v>
      </c>
      <c r="AS1442" s="226">
        <v>0</v>
      </c>
      <c r="AT1442" s="226">
        <v>0</v>
      </c>
      <c r="AU1442" s="226">
        <v>0</v>
      </c>
      <c r="AV1442" s="17">
        <f t="shared" si="200"/>
        <v>0</v>
      </c>
      <c r="AW1442" s="50" t="str">
        <f t="shared" si="215"/>
        <v>{s_taskTalk,{60000,0}}</v>
      </c>
    </row>
    <row r="1443" spans="1:49" ht="60" x14ac:dyDescent="0.15">
      <c r="A1443" s="149">
        <v>30023</v>
      </c>
      <c r="B1443" s="226"/>
      <c r="C1443" s="226" t="s">
        <v>4090</v>
      </c>
      <c r="D1443" s="226">
        <v>3</v>
      </c>
      <c r="E1443" s="226">
        <v>0</v>
      </c>
      <c r="F1443" s="226">
        <v>7</v>
      </c>
      <c r="G1443" s="234">
        <v>51</v>
      </c>
      <c r="H1443" s="226">
        <v>200</v>
      </c>
      <c r="I1443" s="17">
        <v>0</v>
      </c>
      <c r="J1443" s="234">
        <v>0</v>
      </c>
      <c r="K1443" s="226">
        <v>2</v>
      </c>
      <c r="L1443" s="226">
        <v>595</v>
      </c>
      <c r="M1443" s="226"/>
      <c r="N1443" s="226">
        <v>169</v>
      </c>
      <c r="O1443" s="226"/>
      <c r="P1443" s="226"/>
      <c r="Q1443" s="228"/>
      <c r="R1443" s="228"/>
      <c r="S1443" s="228"/>
      <c r="T1443" s="228"/>
      <c r="U1443" s="226">
        <v>1</v>
      </c>
      <c r="V1443" s="226">
        <v>1</v>
      </c>
      <c r="W1443" s="226"/>
      <c r="X1443" s="226">
        <v>5</v>
      </c>
      <c r="Y1443" s="226"/>
      <c r="Z1443" s="230">
        <v>0</v>
      </c>
      <c r="AA1443" s="226"/>
      <c r="AB1443" s="231"/>
      <c r="AC1443" s="231"/>
      <c r="AD1443" s="226"/>
      <c r="AE1443" s="226"/>
      <c r="AF1443" s="226" t="str">
        <f>"title("&amp;C1443&amp;")
body(hotyellow_3(任务进程:)newline()
   将镖车运到goto(99999,66666)处。中途可在goto(192,5)处刷新颜色。
newline()hot(   押金$FOREGIFT枚银子。))"</f>
        <v>title([日常]运镖)
body(hotyellow_3(任务进程:)newline()
   将镖车运到goto(99999,66666)处。中途可在goto(192,5)处刷新颜色。
newline()hot(   押金$FOREGIFT枚银子。))</v>
      </c>
      <c r="AG1443" s="226" t="s">
        <v>7622</v>
      </c>
      <c r="AH1443" s="226" t="s">
        <v>2867</v>
      </c>
      <c r="AI1443" s="226" t="s">
        <v>7015</v>
      </c>
      <c r="AJ1443" s="226" t="s">
        <v>8710</v>
      </c>
      <c r="AK1443" s="226"/>
      <c r="AL1443" s="234">
        <v>0</v>
      </c>
      <c r="AM1443" s="226"/>
      <c r="AN1443" s="226"/>
      <c r="AO1443" s="226"/>
      <c r="AP1443" s="226">
        <v>1</v>
      </c>
      <c r="AQ1443" s="226">
        <v>0</v>
      </c>
      <c r="AR1443" s="226">
        <v>0</v>
      </c>
      <c r="AS1443" s="226">
        <v>0</v>
      </c>
      <c r="AT1443" s="226">
        <v>0</v>
      </c>
      <c r="AU1443" s="226">
        <v>0</v>
      </c>
      <c r="AV1443" s="17">
        <f t="shared" si="200"/>
        <v>0</v>
      </c>
      <c r="AW1443" s="50" t="str">
        <f t="shared" si="215"/>
        <v>{s_taskTalk,{595,169}}</v>
      </c>
    </row>
    <row r="1444" spans="1:49" ht="36" x14ac:dyDescent="0.15">
      <c r="A1444" s="149">
        <v>30025</v>
      </c>
      <c r="B1444" s="226"/>
      <c r="C1444" s="226" t="s">
        <v>4106</v>
      </c>
      <c r="D1444" s="226">
        <v>3</v>
      </c>
      <c r="E1444" s="226">
        <v>0</v>
      </c>
      <c r="F1444" s="226">
        <v>7</v>
      </c>
      <c r="G1444" s="234">
        <v>51</v>
      </c>
      <c r="H1444" s="226">
        <v>80</v>
      </c>
      <c r="I1444" s="17">
        <v>0</v>
      </c>
      <c r="J1444" s="234">
        <v>0</v>
      </c>
      <c r="K1444" s="226">
        <v>2</v>
      </c>
      <c r="L1444" s="226">
        <v>165</v>
      </c>
      <c r="M1444" s="226"/>
      <c r="N1444" s="226">
        <v>165</v>
      </c>
      <c r="O1444" s="226"/>
      <c r="P1444" s="226"/>
      <c r="Q1444" s="228"/>
      <c r="R1444" s="228"/>
      <c r="S1444" s="228"/>
      <c r="T1444" s="228"/>
      <c r="U1444" s="226">
        <v>1</v>
      </c>
      <c r="V1444" s="226">
        <v>0</v>
      </c>
      <c r="W1444" s="226"/>
      <c r="X1444" s="226">
        <v>5</v>
      </c>
      <c r="Y1444" s="226"/>
      <c r="Z1444" s="230">
        <v>0</v>
      </c>
      <c r="AA1444" s="226"/>
      <c r="AB1444" s="231"/>
      <c r="AC1444" s="231"/>
      <c r="AD1444" s="226"/>
      <c r="AE1444" s="226"/>
      <c r="AF1444" s="850"/>
      <c r="AG1444" s="226" t="s">
        <v>8747</v>
      </c>
      <c r="AH1444" s="226" t="s">
        <v>8747</v>
      </c>
      <c r="AI1444" s="226" t="s">
        <v>6554</v>
      </c>
      <c r="AJ1444" s="226" t="s">
        <v>8284</v>
      </c>
      <c r="AK1444" s="226"/>
      <c r="AL1444" s="234">
        <v>0</v>
      </c>
      <c r="AM1444" s="226"/>
      <c r="AN1444" s="226"/>
      <c r="AO1444" s="226"/>
      <c r="AP1444" s="226">
        <v>0</v>
      </c>
      <c r="AQ1444" s="226">
        <v>0</v>
      </c>
      <c r="AR1444" s="226">
        <v>0</v>
      </c>
      <c r="AS1444" s="226">
        <v>0</v>
      </c>
      <c r="AT1444" s="226">
        <v>0</v>
      </c>
      <c r="AU1444" s="226">
        <v>0</v>
      </c>
      <c r="AV1444" s="17">
        <f t="shared" si="200"/>
        <v>0</v>
      </c>
      <c r="AW1444" s="50" t="str">
        <f t="shared" si="215"/>
        <v>{s_taskTalk,{165,165}}</v>
      </c>
    </row>
    <row r="1445" spans="1:49" ht="96" x14ac:dyDescent="0.15">
      <c r="A1445" s="9">
        <v>30055</v>
      </c>
      <c r="B1445" s="226"/>
      <c r="C1445" s="226" t="s">
        <v>4106</v>
      </c>
      <c r="D1445" s="226">
        <v>3</v>
      </c>
      <c r="E1445" s="226">
        <v>0</v>
      </c>
      <c r="F1445" s="226">
        <v>7</v>
      </c>
      <c r="G1445" s="234">
        <v>81</v>
      </c>
      <c r="H1445" s="226">
        <v>200</v>
      </c>
      <c r="I1445" s="17">
        <v>0</v>
      </c>
      <c r="J1445" s="234">
        <v>0</v>
      </c>
      <c r="K1445" s="226">
        <v>2</v>
      </c>
      <c r="L1445" s="226">
        <v>165</v>
      </c>
      <c r="M1445" s="226"/>
      <c r="N1445" s="226">
        <v>165</v>
      </c>
      <c r="O1445" s="226"/>
      <c r="P1445" s="226"/>
      <c r="Q1445" s="228"/>
      <c r="R1445" s="228"/>
      <c r="S1445" s="228"/>
      <c r="T1445" s="228"/>
      <c r="U1445" s="226">
        <v>1</v>
      </c>
      <c r="V1445" s="226">
        <v>0</v>
      </c>
      <c r="W1445" s="226"/>
      <c r="X1445" s="226">
        <v>5</v>
      </c>
      <c r="Y1445" s="226"/>
      <c r="Z1445" s="230">
        <v>0</v>
      </c>
      <c r="AA1445" s="226"/>
      <c r="AB1445" s="231"/>
      <c r="AC1445" s="231"/>
      <c r="AD1445" s="226"/>
      <c r="AE1445" s="226"/>
      <c r="AF1445" s="226" t="str">
        <f>"title("&amp;C1445&amp;")
body(hotyellow_3(任务进程:)newline()   去找hot(xx)的goto(593,7)获取情报。
newline()   每隔hot(60秒)在五丈原的吴悲处确认情报，有机会改变情报的颜色。 
blankline()hotyellow_3(任务描述:)newline()  吴悲是我们安插在hot(xx)的间谍。他已经成功的混在了xx的五丈原中。他手中掌握了很多情报。)"</f>
        <v>title([日常]刺探)
body(hotyellow_3(任务进程:)newline()   去找hot(xx)的goto(593,7)获取情报。
newline()   每隔hot(60秒)在五丈原的吴悲处确认情报，有机会改变情报的颜色。 
blankline()hotyellow_3(任务描述:)newline()  吴悲是我们安插在hot(xx)的间谍。他已经成功的混在了xx的五丈原中。他手中掌握了很多情报。)</v>
      </c>
      <c r="AG1445" s="226" t="s">
        <v>8746</v>
      </c>
      <c r="AH1445" s="226" t="s">
        <v>8746</v>
      </c>
      <c r="AI1445" s="226" t="s">
        <v>6554</v>
      </c>
      <c r="AJ1445" s="226" t="s">
        <v>8284</v>
      </c>
      <c r="AK1445" s="226"/>
      <c r="AL1445" s="234">
        <v>0</v>
      </c>
      <c r="AM1445" s="226"/>
      <c r="AN1445" s="226"/>
      <c r="AO1445" s="226"/>
      <c r="AP1445" s="226">
        <v>0</v>
      </c>
      <c r="AQ1445" s="226">
        <v>0</v>
      </c>
      <c r="AR1445" s="226">
        <v>0</v>
      </c>
      <c r="AS1445" s="226">
        <v>0</v>
      </c>
      <c r="AT1445" s="226">
        <v>0</v>
      </c>
      <c r="AU1445" s="226">
        <v>0</v>
      </c>
      <c r="AV1445" s="17">
        <f t="shared" si="200"/>
        <v>0</v>
      </c>
      <c r="AW1445" s="50" t="str">
        <f t="shared" si="215"/>
        <v>{s_taskTalk,{165,165}}</v>
      </c>
    </row>
    <row r="1446" spans="1:49" ht="24" x14ac:dyDescent="0.15">
      <c r="A1446" s="149">
        <v>30026</v>
      </c>
      <c r="B1446" s="226"/>
      <c r="C1446" s="226" t="s">
        <v>9035</v>
      </c>
      <c r="D1446" s="226">
        <v>3</v>
      </c>
      <c r="E1446" s="226">
        <v>0</v>
      </c>
      <c r="F1446" s="226">
        <v>7</v>
      </c>
      <c r="G1446" s="234">
        <v>51</v>
      </c>
      <c r="H1446" s="226">
        <v>200</v>
      </c>
      <c r="I1446" s="17">
        <v>0</v>
      </c>
      <c r="J1446" s="234">
        <v>0</v>
      </c>
      <c r="K1446" s="226">
        <v>1</v>
      </c>
      <c r="L1446" s="226">
        <v>197</v>
      </c>
      <c r="M1446" s="226"/>
      <c r="N1446" s="226">
        <v>197</v>
      </c>
      <c r="O1446" s="226"/>
      <c r="P1446" s="226"/>
      <c r="Q1446" s="228"/>
      <c r="R1446" s="228"/>
      <c r="S1446" s="228"/>
      <c r="T1446" s="228"/>
      <c r="U1446" s="226">
        <v>100</v>
      </c>
      <c r="V1446" s="226">
        <v>0</v>
      </c>
      <c r="W1446" s="226"/>
      <c r="X1446" s="226">
        <v>5</v>
      </c>
      <c r="Y1446" s="226"/>
      <c r="Z1446" s="230">
        <v>0</v>
      </c>
      <c r="AA1446" s="226"/>
      <c r="AB1446" s="231"/>
      <c r="AC1446" s="231"/>
      <c r="AD1446" s="226"/>
      <c r="AE1446" s="226"/>
      <c r="AF1446" s="226"/>
      <c r="AG1446" s="226" t="s">
        <v>8748</v>
      </c>
      <c r="AH1446" s="226" t="s">
        <v>8748</v>
      </c>
      <c r="AI1446" s="226" t="s">
        <v>168</v>
      </c>
      <c r="AJ1446" s="226"/>
      <c r="AK1446" s="226"/>
      <c r="AL1446" s="234">
        <v>0</v>
      </c>
      <c r="AM1446" s="226"/>
      <c r="AN1446" s="226"/>
      <c r="AO1446" s="226"/>
      <c r="AP1446" s="226">
        <v>0</v>
      </c>
      <c r="AQ1446" s="226">
        <v>0</v>
      </c>
      <c r="AR1446" s="226">
        <v>0</v>
      </c>
      <c r="AS1446" s="226">
        <v>0</v>
      </c>
      <c r="AT1446" s="226">
        <v>0</v>
      </c>
      <c r="AU1446" s="226">
        <v>0</v>
      </c>
      <c r="AV1446" s="17">
        <f t="shared" si="200"/>
        <v>0</v>
      </c>
      <c r="AW1446" s="50" t="str">
        <f t="shared" si="215"/>
        <v>{s_taskTalk,{197,197}}</v>
      </c>
    </row>
    <row r="1447" spans="1:49" ht="72" x14ac:dyDescent="0.15">
      <c r="A1447" s="149">
        <v>30027</v>
      </c>
      <c r="B1447" s="226"/>
      <c r="C1447" s="226" t="s">
        <v>2374</v>
      </c>
      <c r="D1447" s="226">
        <v>3</v>
      </c>
      <c r="E1447" s="226">
        <v>0</v>
      </c>
      <c r="F1447" s="226">
        <v>3</v>
      </c>
      <c r="G1447" s="234">
        <v>200</v>
      </c>
      <c r="H1447" s="226">
        <v>200</v>
      </c>
      <c r="I1447" s="17">
        <v>0</v>
      </c>
      <c r="J1447" s="234">
        <v>0</v>
      </c>
      <c r="K1447" s="226">
        <v>3</v>
      </c>
      <c r="L1447" s="226">
        <v>60074</v>
      </c>
      <c r="M1447" s="226"/>
      <c r="N1447" s="226">
        <v>60074</v>
      </c>
      <c r="O1447" s="226"/>
      <c r="P1447" s="226"/>
      <c r="Q1447" s="228">
        <v>60077</v>
      </c>
      <c r="R1447" s="228"/>
      <c r="S1447" s="228">
        <v>60077</v>
      </c>
      <c r="T1447" s="228"/>
      <c r="U1447" s="226">
        <v>1</v>
      </c>
      <c r="V1447" s="226">
        <v>1</v>
      </c>
      <c r="W1447" s="226"/>
      <c r="X1447" s="226"/>
      <c r="Y1447" s="226"/>
      <c r="Z1447" s="230">
        <v>0</v>
      </c>
      <c r="AA1447" s="226"/>
      <c r="AB1447" s="231"/>
      <c r="AC1447" s="231"/>
      <c r="AD1447" s="226"/>
      <c r="AE1447" s="226"/>
      <c r="AF1447" s="226"/>
      <c r="AG1447" s="226"/>
      <c r="AH1447" s="226"/>
      <c r="AI1447" s="226"/>
      <c r="AJ1447" s="226"/>
      <c r="AK1447" s="226"/>
      <c r="AL1447" s="234">
        <v>0</v>
      </c>
      <c r="AM1447" s="226" t="s">
        <v>618</v>
      </c>
      <c r="AN1447" s="226" t="s">
        <v>619</v>
      </c>
      <c r="AO1447" s="226"/>
      <c r="AP1447" s="226">
        <v>1</v>
      </c>
      <c r="AQ1447" s="226">
        <v>0</v>
      </c>
      <c r="AR1447" s="226">
        <v>0</v>
      </c>
      <c r="AS1447" s="226">
        <v>0</v>
      </c>
      <c r="AT1447" s="226">
        <v>0</v>
      </c>
      <c r="AU1447" s="226">
        <v>0</v>
      </c>
      <c r="AV1447" s="17">
        <f t="shared" si="200"/>
        <v>0</v>
      </c>
      <c r="AW1447" s="50" t="str">
        <f t="shared" si="215"/>
        <v>{s_taskTalk,{60074,60074}}</v>
      </c>
    </row>
    <row r="1448" spans="1:49" ht="72" x14ac:dyDescent="0.15">
      <c r="A1448" s="149">
        <v>30028</v>
      </c>
      <c r="B1448" s="226"/>
      <c r="C1448" s="226" t="s">
        <v>4447</v>
      </c>
      <c r="D1448" s="226">
        <v>3</v>
      </c>
      <c r="E1448" s="226">
        <v>0</v>
      </c>
      <c r="F1448" s="226">
        <v>118</v>
      </c>
      <c r="G1448" s="234">
        <v>41</v>
      </c>
      <c r="H1448" s="226">
        <v>200</v>
      </c>
      <c r="I1448" s="17">
        <v>0</v>
      </c>
      <c r="J1448" s="234">
        <v>0</v>
      </c>
      <c r="K1448" s="226">
        <v>2</v>
      </c>
      <c r="L1448" s="226">
        <v>129</v>
      </c>
      <c r="M1448" s="226"/>
      <c r="N1448" s="226">
        <v>129</v>
      </c>
      <c r="O1448" s="226"/>
      <c r="P1448" s="226"/>
      <c r="Q1448" s="228"/>
      <c r="R1448" s="228"/>
      <c r="S1448" s="228"/>
      <c r="T1448" s="228"/>
      <c r="U1448" s="226">
        <v>1</v>
      </c>
      <c r="V1448" s="226">
        <v>1</v>
      </c>
      <c r="W1448" s="226"/>
      <c r="X1448" s="226"/>
      <c r="Y1448" s="226"/>
      <c r="Z1448" s="230">
        <v>0</v>
      </c>
      <c r="AA1448" s="226"/>
      <c r="AB1448" s="231"/>
      <c r="AC1448" s="231"/>
      <c r="AD1448" s="226"/>
      <c r="AE1448" s="226"/>
      <c r="AF1448" s="226"/>
      <c r="AG1448" s="226"/>
      <c r="AH1448" s="226"/>
      <c r="AI1448" s="226"/>
      <c r="AJ1448" s="226"/>
      <c r="AK1448" s="226"/>
      <c r="AL1448" s="234">
        <v>0</v>
      </c>
      <c r="AM1448" s="226" t="s">
        <v>1347</v>
      </c>
      <c r="AN1448" s="226" t="s">
        <v>6034</v>
      </c>
      <c r="AO1448" s="226"/>
      <c r="AP1448" s="226">
        <v>0</v>
      </c>
      <c r="AQ1448" s="226">
        <v>0</v>
      </c>
      <c r="AR1448" s="226">
        <v>0</v>
      </c>
      <c r="AS1448" s="226">
        <v>0</v>
      </c>
      <c r="AT1448" s="226">
        <v>0</v>
      </c>
      <c r="AU1448" s="226">
        <v>0</v>
      </c>
      <c r="AV1448" s="17">
        <f t="shared" si="200"/>
        <v>0</v>
      </c>
      <c r="AW1448" s="50" t="s">
        <v>2788</v>
      </c>
    </row>
    <row r="1449" spans="1:49" ht="72" x14ac:dyDescent="0.15">
      <c r="A1449" s="711">
        <v>30029</v>
      </c>
      <c r="B1449" s="713"/>
      <c r="C1449" s="226" t="s">
        <v>7555</v>
      </c>
      <c r="D1449" s="226">
        <v>3</v>
      </c>
      <c r="E1449" s="226">
        <v>0</v>
      </c>
      <c r="F1449" s="226">
        <v>160</v>
      </c>
      <c r="G1449" s="234">
        <v>51</v>
      </c>
      <c r="H1449" s="226">
        <v>200</v>
      </c>
      <c r="I1449" s="17">
        <v>0</v>
      </c>
      <c r="J1449" s="234">
        <v>999</v>
      </c>
      <c r="K1449" s="226">
        <v>999</v>
      </c>
      <c r="L1449" s="226">
        <v>346</v>
      </c>
      <c r="M1449" s="226"/>
      <c r="N1449" s="226">
        <v>346</v>
      </c>
      <c r="O1449" s="226"/>
      <c r="P1449" s="226"/>
      <c r="Q1449" s="228"/>
      <c r="R1449" s="228"/>
      <c r="S1449" s="228"/>
      <c r="T1449" s="228"/>
      <c r="U1449" s="226">
        <v>1</v>
      </c>
      <c r="V1449" s="226">
        <v>1</v>
      </c>
      <c r="W1449" s="226"/>
      <c r="X1449" s="226"/>
      <c r="Y1449" s="226"/>
      <c r="Z1449" s="230">
        <v>0</v>
      </c>
      <c r="AA1449" s="226"/>
      <c r="AB1449" s="231"/>
      <c r="AC1449" s="231"/>
      <c r="AD1449" s="226"/>
      <c r="AE1449" s="226"/>
      <c r="AF1449" s="226"/>
      <c r="AG1449" s="226"/>
      <c r="AH1449" s="226"/>
      <c r="AI1449" s="226"/>
      <c r="AJ1449" s="226"/>
      <c r="AK1449" s="226"/>
      <c r="AL1449" s="234"/>
      <c r="AM1449" s="226" t="s">
        <v>7556</v>
      </c>
      <c r="AN1449" s="226" t="s">
        <v>7557</v>
      </c>
      <c r="AO1449" s="713"/>
      <c r="AP1449" s="226">
        <v>0</v>
      </c>
      <c r="AQ1449" s="226">
        <v>0</v>
      </c>
      <c r="AR1449" s="226">
        <v>0</v>
      </c>
      <c r="AS1449" s="226">
        <v>0</v>
      </c>
      <c r="AT1449" s="226">
        <v>0</v>
      </c>
      <c r="AU1449" s="226">
        <v>0</v>
      </c>
      <c r="AV1449" s="17">
        <f t="shared" si="200"/>
        <v>0</v>
      </c>
      <c r="AW1449" s="50" t="s">
        <v>2788</v>
      </c>
    </row>
    <row r="1450" spans="1:49" x14ac:dyDescent="0.15">
      <c r="A1450" s="9">
        <v>30031</v>
      </c>
      <c r="B1450" s="226"/>
      <c r="C1450" s="226" t="s">
        <v>4135</v>
      </c>
      <c r="D1450" s="226">
        <v>3</v>
      </c>
      <c r="E1450" s="226">
        <v>0</v>
      </c>
      <c r="F1450" s="226">
        <v>3</v>
      </c>
      <c r="G1450" s="234">
        <v>200</v>
      </c>
      <c r="H1450" s="226">
        <v>200</v>
      </c>
      <c r="I1450" s="17">
        <v>0</v>
      </c>
      <c r="J1450" s="234">
        <v>0</v>
      </c>
      <c r="K1450" s="226">
        <v>10</v>
      </c>
      <c r="L1450" s="226">
        <v>60065</v>
      </c>
      <c r="M1450" s="226"/>
      <c r="N1450" s="226">
        <v>60065</v>
      </c>
      <c r="O1450" s="226"/>
      <c r="P1450" s="226"/>
      <c r="Q1450" s="228"/>
      <c r="R1450" s="228"/>
      <c r="S1450" s="228"/>
      <c r="T1450" s="228"/>
      <c r="U1450" s="226">
        <v>1</v>
      </c>
      <c r="V1450" s="226">
        <v>1</v>
      </c>
      <c r="W1450" s="226"/>
      <c r="X1450" s="226"/>
      <c r="Y1450" s="226"/>
      <c r="Z1450" s="230">
        <v>0</v>
      </c>
      <c r="AA1450" s="226"/>
      <c r="AB1450" s="231"/>
      <c r="AC1450" s="231"/>
      <c r="AD1450" s="226"/>
      <c r="AE1450" s="226"/>
      <c r="AF1450" s="226"/>
      <c r="AG1450" s="226"/>
      <c r="AH1450" s="226"/>
      <c r="AI1450" s="226"/>
      <c r="AJ1450" s="226"/>
      <c r="AK1450" s="226"/>
      <c r="AL1450" s="234">
        <v>0</v>
      </c>
      <c r="AM1450" s="226"/>
      <c r="AN1450" s="226"/>
      <c r="AO1450" s="226"/>
      <c r="AP1450" s="226">
        <v>1</v>
      </c>
      <c r="AQ1450" s="226">
        <v>0</v>
      </c>
      <c r="AR1450" s="226">
        <v>0</v>
      </c>
      <c r="AS1450" s="226">
        <v>0</v>
      </c>
      <c r="AT1450" s="226">
        <v>0</v>
      </c>
      <c r="AU1450" s="226">
        <v>0</v>
      </c>
      <c r="AV1450" s="17">
        <f t="shared" si="200"/>
        <v>0</v>
      </c>
      <c r="AW1450" s="50" t="s">
        <v>2788</v>
      </c>
    </row>
    <row r="1451" spans="1:49" ht="72" x14ac:dyDescent="0.15">
      <c r="A1451" s="711">
        <v>30032</v>
      </c>
      <c r="B1451" s="712"/>
      <c r="C1451" s="73" t="s">
        <v>4126</v>
      </c>
      <c r="D1451" s="73">
        <v>4</v>
      </c>
      <c r="E1451" s="73">
        <v>0</v>
      </c>
      <c r="F1451" s="73">
        <v>3</v>
      </c>
      <c r="G1451" s="80">
        <v>31</v>
      </c>
      <c r="H1451" s="73">
        <v>200</v>
      </c>
      <c r="I1451" s="17">
        <v>0</v>
      </c>
      <c r="J1451" s="80">
        <v>0</v>
      </c>
      <c r="K1451" s="73">
        <v>1</v>
      </c>
      <c r="L1451" s="73">
        <v>60107</v>
      </c>
      <c r="M1451" s="73"/>
      <c r="N1451" s="73">
        <v>60107</v>
      </c>
      <c r="O1451" s="73"/>
      <c r="P1451" s="73"/>
      <c r="Q1451" s="140"/>
      <c r="R1451" s="140"/>
      <c r="S1451" s="140"/>
      <c r="T1451" s="140"/>
      <c r="U1451" s="73">
        <v>1</v>
      </c>
      <c r="V1451" s="73">
        <v>1</v>
      </c>
      <c r="W1451" s="73"/>
      <c r="X1451" s="73"/>
      <c r="Y1451" s="73"/>
      <c r="Z1451" s="142">
        <v>0</v>
      </c>
      <c r="AA1451" s="73"/>
      <c r="AB1451" s="143"/>
      <c r="AC1451" s="143"/>
      <c r="AD1451" s="73"/>
      <c r="AE1451" s="73"/>
      <c r="AF1451" s="73"/>
      <c r="AG1451" s="73"/>
      <c r="AH1451" s="73"/>
      <c r="AI1451" s="73"/>
      <c r="AJ1451" s="73"/>
      <c r="AK1451" s="73"/>
      <c r="AL1451" s="80"/>
      <c r="AM1451" s="73" t="s">
        <v>1348</v>
      </c>
      <c r="AN1451" s="73" t="s">
        <v>6035</v>
      </c>
      <c r="AO1451" s="712"/>
      <c r="AP1451" s="226">
        <v>1</v>
      </c>
      <c r="AQ1451" s="226">
        <v>0</v>
      </c>
      <c r="AR1451" s="226">
        <v>0</v>
      </c>
      <c r="AS1451" s="226">
        <v>0</v>
      </c>
      <c r="AT1451" s="226">
        <v>0</v>
      </c>
      <c r="AU1451" s="226">
        <v>0</v>
      </c>
      <c r="AV1451" s="17">
        <f t="shared" si="200"/>
        <v>0</v>
      </c>
      <c r="AW1451" s="50" t="s">
        <v>2788</v>
      </c>
    </row>
    <row r="1452" spans="1:49" ht="72" x14ac:dyDescent="0.15">
      <c r="A1452" s="711">
        <v>30033</v>
      </c>
      <c r="B1452" s="713"/>
      <c r="C1452" s="226" t="s">
        <v>2375</v>
      </c>
      <c r="D1452" s="226">
        <v>3</v>
      </c>
      <c r="E1452" s="226">
        <v>0</v>
      </c>
      <c r="F1452" s="226">
        <v>118</v>
      </c>
      <c r="G1452" s="234">
        <v>61</v>
      </c>
      <c r="H1452" s="226">
        <v>200</v>
      </c>
      <c r="I1452" s="17">
        <v>0</v>
      </c>
      <c r="J1452" s="234">
        <v>0</v>
      </c>
      <c r="K1452" s="226">
        <v>1</v>
      </c>
      <c r="L1452" s="226">
        <v>164</v>
      </c>
      <c r="M1452" s="226"/>
      <c r="N1452" s="226">
        <v>164</v>
      </c>
      <c r="O1452" s="226"/>
      <c r="P1452" s="226"/>
      <c r="Q1452" s="228"/>
      <c r="R1452" s="228"/>
      <c r="S1452" s="228"/>
      <c r="T1452" s="228"/>
      <c r="U1452" s="226">
        <v>1</v>
      </c>
      <c r="V1452" s="226">
        <v>1</v>
      </c>
      <c r="W1452" s="226"/>
      <c r="X1452" s="226"/>
      <c r="Y1452" s="226"/>
      <c r="Z1452" s="230">
        <v>0</v>
      </c>
      <c r="AA1452" s="226"/>
      <c r="AB1452" s="231"/>
      <c r="AC1452" s="231"/>
      <c r="AD1452" s="226"/>
      <c r="AE1452" s="226"/>
      <c r="AF1452" s="226"/>
      <c r="AG1452" s="226"/>
      <c r="AH1452" s="226"/>
      <c r="AI1452" s="226"/>
      <c r="AJ1452" s="226"/>
      <c r="AK1452" s="226"/>
      <c r="AL1452" s="234"/>
      <c r="AM1452" s="226" t="s">
        <v>1349</v>
      </c>
      <c r="AN1452" s="226" t="s">
        <v>6036</v>
      </c>
      <c r="AO1452" s="713"/>
      <c r="AP1452" s="226">
        <v>0</v>
      </c>
      <c r="AQ1452" s="226">
        <v>0</v>
      </c>
      <c r="AR1452" s="226">
        <v>0</v>
      </c>
      <c r="AS1452" s="226">
        <v>0</v>
      </c>
      <c r="AT1452" s="226">
        <v>0</v>
      </c>
      <c r="AU1452" s="226">
        <v>0</v>
      </c>
      <c r="AV1452" s="17">
        <f t="shared" si="200"/>
        <v>0</v>
      </c>
      <c r="AW1452" s="50" t="s">
        <v>2788</v>
      </c>
    </row>
    <row r="1453" spans="1:49" ht="72" x14ac:dyDescent="0.15">
      <c r="A1453" s="711">
        <v>30034</v>
      </c>
      <c r="B1453" s="226"/>
      <c r="C1453" s="713" t="s">
        <v>4492</v>
      </c>
      <c r="D1453" s="226">
        <v>3</v>
      </c>
      <c r="E1453" s="226">
        <v>0</v>
      </c>
      <c r="F1453" s="226">
        <v>118</v>
      </c>
      <c r="G1453" s="234">
        <v>41</v>
      </c>
      <c r="H1453" s="226">
        <v>200</v>
      </c>
      <c r="I1453" s="17">
        <v>0</v>
      </c>
      <c r="J1453" s="234">
        <v>0</v>
      </c>
      <c r="K1453" s="226">
        <v>1</v>
      </c>
      <c r="L1453" s="226">
        <v>154</v>
      </c>
      <c r="M1453" s="226"/>
      <c r="N1453" s="226">
        <v>154</v>
      </c>
      <c r="O1453" s="226"/>
      <c r="P1453" s="226"/>
      <c r="Q1453" s="228"/>
      <c r="R1453" s="228"/>
      <c r="S1453" s="228"/>
      <c r="T1453" s="228"/>
      <c r="U1453" s="226">
        <v>1</v>
      </c>
      <c r="V1453" s="226">
        <v>1</v>
      </c>
      <c r="W1453" s="226"/>
      <c r="X1453" s="226"/>
      <c r="Y1453" s="226"/>
      <c r="Z1453" s="230">
        <v>0</v>
      </c>
      <c r="AA1453" s="226"/>
      <c r="AB1453" s="231"/>
      <c r="AC1453" s="231"/>
      <c r="AD1453" s="226"/>
      <c r="AE1453" s="226"/>
      <c r="AF1453" s="226"/>
      <c r="AG1453" s="226"/>
      <c r="AH1453" s="226"/>
      <c r="AI1453" s="226"/>
      <c r="AJ1453" s="226"/>
      <c r="AK1453" s="226"/>
      <c r="AL1453" s="234"/>
      <c r="AM1453" s="226" t="s">
        <v>1350</v>
      </c>
      <c r="AN1453" s="226" t="s">
        <v>6037</v>
      </c>
      <c r="AO1453" s="713"/>
      <c r="AP1453" s="226">
        <v>0</v>
      </c>
      <c r="AQ1453" s="226">
        <v>0</v>
      </c>
      <c r="AR1453" s="226">
        <v>0</v>
      </c>
      <c r="AS1453" s="226">
        <v>0</v>
      </c>
      <c r="AT1453" s="226">
        <v>0</v>
      </c>
      <c r="AU1453" s="226">
        <v>0</v>
      </c>
      <c r="AV1453" s="17">
        <f t="shared" si="200"/>
        <v>0</v>
      </c>
      <c r="AW1453" s="50" t="s">
        <v>2788</v>
      </c>
    </row>
    <row r="1454" spans="1:49" ht="72" x14ac:dyDescent="0.15">
      <c r="A1454" s="711">
        <v>30035</v>
      </c>
      <c r="B1454" s="226"/>
      <c r="C1454" s="713" t="s">
        <v>4464</v>
      </c>
      <c r="D1454" s="226">
        <v>3</v>
      </c>
      <c r="E1454" s="226">
        <v>0</v>
      </c>
      <c r="F1454" s="226">
        <v>118</v>
      </c>
      <c r="G1454" s="234">
        <v>35</v>
      </c>
      <c r="H1454" s="226">
        <v>200</v>
      </c>
      <c r="I1454" s="17">
        <v>0</v>
      </c>
      <c r="J1454" s="234">
        <v>0</v>
      </c>
      <c r="K1454" s="226">
        <v>1</v>
      </c>
      <c r="L1454" s="226">
        <v>155</v>
      </c>
      <c r="M1454" s="226"/>
      <c r="N1454" s="226">
        <v>155</v>
      </c>
      <c r="O1454" s="226"/>
      <c r="P1454" s="226"/>
      <c r="Q1454" s="228"/>
      <c r="R1454" s="228"/>
      <c r="S1454" s="228"/>
      <c r="T1454" s="228"/>
      <c r="U1454" s="226">
        <v>1</v>
      </c>
      <c r="V1454" s="226">
        <v>1</v>
      </c>
      <c r="W1454" s="226"/>
      <c r="X1454" s="226"/>
      <c r="Y1454" s="226"/>
      <c r="Z1454" s="230">
        <v>0</v>
      </c>
      <c r="AA1454" s="226"/>
      <c r="AB1454" s="231"/>
      <c r="AC1454" s="231"/>
      <c r="AD1454" s="226"/>
      <c r="AE1454" s="226"/>
      <c r="AF1454" s="226"/>
      <c r="AG1454" s="226"/>
      <c r="AH1454" s="226"/>
      <c r="AI1454" s="226"/>
      <c r="AJ1454" s="226"/>
      <c r="AK1454" s="226"/>
      <c r="AL1454" s="234"/>
      <c r="AM1454" s="226" t="s">
        <v>1351</v>
      </c>
      <c r="AN1454" s="226" t="s">
        <v>6038</v>
      </c>
      <c r="AO1454" s="713"/>
      <c r="AP1454" s="226">
        <v>0</v>
      </c>
      <c r="AQ1454" s="226">
        <v>0</v>
      </c>
      <c r="AR1454" s="226">
        <v>0</v>
      </c>
      <c r="AS1454" s="226">
        <v>0</v>
      </c>
      <c r="AT1454" s="226">
        <v>0</v>
      </c>
      <c r="AU1454" s="226">
        <v>0</v>
      </c>
      <c r="AV1454" s="17">
        <f t="shared" si="200"/>
        <v>0</v>
      </c>
      <c r="AW1454" s="50" t="s">
        <v>2788</v>
      </c>
    </row>
    <row r="1455" spans="1:49" ht="72" x14ac:dyDescent="0.15">
      <c r="A1455" s="711">
        <v>30036</v>
      </c>
      <c r="B1455" s="226"/>
      <c r="C1455" s="713" t="s">
        <v>4467</v>
      </c>
      <c r="D1455" s="226">
        <v>3</v>
      </c>
      <c r="E1455" s="226">
        <v>0</v>
      </c>
      <c r="F1455" s="226">
        <v>118</v>
      </c>
      <c r="G1455" s="234">
        <v>200</v>
      </c>
      <c r="H1455" s="226">
        <v>200</v>
      </c>
      <c r="I1455" s="17">
        <v>0</v>
      </c>
      <c r="J1455" s="234">
        <v>0</v>
      </c>
      <c r="K1455" s="226">
        <v>1</v>
      </c>
      <c r="L1455" s="226">
        <v>163</v>
      </c>
      <c r="M1455" s="226"/>
      <c r="N1455" s="226">
        <v>163</v>
      </c>
      <c r="O1455" s="226"/>
      <c r="P1455" s="226"/>
      <c r="Q1455" s="228"/>
      <c r="R1455" s="228"/>
      <c r="S1455" s="228"/>
      <c r="T1455" s="228"/>
      <c r="U1455" s="226">
        <v>1</v>
      </c>
      <c r="V1455" s="226">
        <v>1</v>
      </c>
      <c r="W1455" s="226"/>
      <c r="X1455" s="226"/>
      <c r="Y1455" s="226"/>
      <c r="Z1455" s="230">
        <v>0</v>
      </c>
      <c r="AA1455" s="226"/>
      <c r="AB1455" s="231"/>
      <c r="AC1455" s="231"/>
      <c r="AD1455" s="226"/>
      <c r="AE1455" s="226"/>
      <c r="AF1455" s="226"/>
      <c r="AG1455" s="226"/>
      <c r="AH1455" s="226"/>
      <c r="AI1455" s="226"/>
      <c r="AJ1455" s="226"/>
      <c r="AK1455" s="226"/>
      <c r="AL1455" s="234"/>
      <c r="AM1455" s="226" t="s">
        <v>1352</v>
      </c>
      <c r="AN1455" s="226" t="s">
        <v>6039</v>
      </c>
      <c r="AO1455" s="713"/>
      <c r="AP1455" s="226">
        <v>0</v>
      </c>
      <c r="AQ1455" s="226">
        <v>0</v>
      </c>
      <c r="AR1455" s="226">
        <v>0</v>
      </c>
      <c r="AS1455" s="226">
        <v>0</v>
      </c>
      <c r="AT1455" s="226">
        <v>0</v>
      </c>
      <c r="AU1455" s="226">
        <v>0</v>
      </c>
      <c r="AV1455" s="17">
        <f t="shared" si="200"/>
        <v>0</v>
      </c>
      <c r="AW1455" s="50" t="s">
        <v>2788</v>
      </c>
    </row>
    <row r="1456" spans="1:49" ht="60" x14ac:dyDescent="0.15">
      <c r="A1456" s="711">
        <v>30037</v>
      </c>
      <c r="B1456" s="73"/>
      <c r="C1456" s="712" t="s">
        <v>4584</v>
      </c>
      <c r="D1456" s="73">
        <v>4</v>
      </c>
      <c r="E1456" s="73">
        <v>0</v>
      </c>
      <c r="F1456" s="73">
        <v>3</v>
      </c>
      <c r="G1456" s="80">
        <v>21</v>
      </c>
      <c r="H1456" s="73">
        <v>200</v>
      </c>
      <c r="I1456" s="17">
        <v>0</v>
      </c>
      <c r="J1456" s="80">
        <v>0</v>
      </c>
      <c r="K1456" s="73">
        <v>1</v>
      </c>
      <c r="L1456" s="73">
        <v>134</v>
      </c>
      <c r="M1456" s="73"/>
      <c r="N1456" s="73">
        <v>134</v>
      </c>
      <c r="O1456" s="73"/>
      <c r="P1456" s="73"/>
      <c r="Q1456" s="140"/>
      <c r="R1456" s="140"/>
      <c r="S1456" s="140"/>
      <c r="T1456" s="140"/>
      <c r="U1456" s="73">
        <v>1</v>
      </c>
      <c r="V1456" s="73">
        <v>1</v>
      </c>
      <c r="W1456" s="73"/>
      <c r="X1456" s="73"/>
      <c r="Y1456" s="73"/>
      <c r="Z1456" s="142">
        <v>0</v>
      </c>
      <c r="AA1456" s="73"/>
      <c r="AB1456" s="143"/>
      <c r="AC1456" s="143"/>
      <c r="AD1456" s="73"/>
      <c r="AE1456" s="73"/>
      <c r="AF1456" s="73"/>
      <c r="AG1456" s="73"/>
      <c r="AH1456" s="73"/>
      <c r="AI1456" s="73"/>
      <c r="AJ1456" s="73"/>
      <c r="AK1456" s="73"/>
      <c r="AL1456" s="80"/>
      <c r="AM1456" s="73" t="s">
        <v>1353</v>
      </c>
      <c r="AN1456" s="73" t="s">
        <v>6040</v>
      </c>
      <c r="AO1456" s="712"/>
      <c r="AP1456" s="226">
        <v>1</v>
      </c>
      <c r="AQ1456" s="226">
        <v>0</v>
      </c>
      <c r="AR1456" s="226">
        <v>0</v>
      </c>
      <c r="AS1456" s="226">
        <v>0</v>
      </c>
      <c r="AT1456" s="226">
        <v>0</v>
      </c>
      <c r="AU1456" s="226">
        <v>0</v>
      </c>
      <c r="AV1456" s="17">
        <f t="shared" si="200"/>
        <v>0</v>
      </c>
      <c r="AW1456" s="50" t="s">
        <v>2788</v>
      </c>
    </row>
    <row r="1457" spans="1:49" ht="60" x14ac:dyDescent="0.15">
      <c r="A1457" s="711">
        <v>30038</v>
      </c>
      <c r="B1457" s="73"/>
      <c r="C1457" s="712" t="s">
        <v>2376</v>
      </c>
      <c r="D1457" s="73">
        <v>4</v>
      </c>
      <c r="E1457" s="73">
        <v>0</v>
      </c>
      <c r="F1457" s="73">
        <v>3</v>
      </c>
      <c r="G1457" s="80">
        <v>21</v>
      </c>
      <c r="H1457" s="73">
        <v>200</v>
      </c>
      <c r="I1457" s="17">
        <v>0</v>
      </c>
      <c r="J1457" s="80">
        <v>0</v>
      </c>
      <c r="K1457" s="73">
        <v>1</v>
      </c>
      <c r="L1457" s="73">
        <v>134</v>
      </c>
      <c r="M1457" s="73"/>
      <c r="N1457" s="73">
        <v>134</v>
      </c>
      <c r="O1457" s="73"/>
      <c r="P1457" s="73"/>
      <c r="Q1457" s="140"/>
      <c r="R1457" s="140"/>
      <c r="S1457" s="140"/>
      <c r="T1457" s="140"/>
      <c r="U1457" s="73">
        <v>1</v>
      </c>
      <c r="V1457" s="73">
        <v>1</v>
      </c>
      <c r="W1457" s="73"/>
      <c r="X1457" s="73"/>
      <c r="Y1457" s="73"/>
      <c r="Z1457" s="142">
        <v>0</v>
      </c>
      <c r="AA1457" s="73"/>
      <c r="AB1457" s="143"/>
      <c r="AC1457" s="143"/>
      <c r="AD1457" s="73"/>
      <c r="AE1457" s="73"/>
      <c r="AF1457" s="73"/>
      <c r="AG1457" s="73"/>
      <c r="AH1457" s="73"/>
      <c r="AI1457" s="73"/>
      <c r="AJ1457" s="73"/>
      <c r="AK1457" s="73"/>
      <c r="AL1457" s="80"/>
      <c r="AM1457" s="73" t="s">
        <v>1354</v>
      </c>
      <c r="AN1457" s="73" t="s">
        <v>6041</v>
      </c>
      <c r="AO1457" s="712"/>
      <c r="AP1457" s="226">
        <v>1</v>
      </c>
      <c r="AQ1457" s="226">
        <v>0</v>
      </c>
      <c r="AR1457" s="226">
        <v>0</v>
      </c>
      <c r="AS1457" s="226">
        <v>0</v>
      </c>
      <c r="AT1457" s="226">
        <v>0</v>
      </c>
      <c r="AU1457" s="226">
        <v>0</v>
      </c>
      <c r="AV1457" s="17">
        <f t="shared" si="200"/>
        <v>0</v>
      </c>
      <c r="AW1457" s="50" t="s">
        <v>2788</v>
      </c>
    </row>
    <row r="1458" spans="1:49" ht="60" x14ac:dyDescent="0.15">
      <c r="A1458" s="711">
        <v>30039</v>
      </c>
      <c r="B1458" s="73"/>
      <c r="C1458" s="712" t="s">
        <v>4607</v>
      </c>
      <c r="D1458" s="73">
        <v>4</v>
      </c>
      <c r="E1458" s="73">
        <v>0</v>
      </c>
      <c r="F1458" s="73">
        <v>3</v>
      </c>
      <c r="G1458" s="80">
        <v>21</v>
      </c>
      <c r="H1458" s="73">
        <v>200</v>
      </c>
      <c r="I1458" s="17">
        <v>0</v>
      </c>
      <c r="J1458" s="80">
        <v>0</v>
      </c>
      <c r="K1458" s="73">
        <v>1</v>
      </c>
      <c r="L1458" s="73">
        <v>134</v>
      </c>
      <c r="M1458" s="73"/>
      <c r="N1458" s="73">
        <v>134</v>
      </c>
      <c r="O1458" s="73"/>
      <c r="P1458" s="73"/>
      <c r="Q1458" s="140"/>
      <c r="R1458" s="140"/>
      <c r="S1458" s="140"/>
      <c r="T1458" s="140"/>
      <c r="U1458" s="73">
        <v>1</v>
      </c>
      <c r="V1458" s="73">
        <v>1</v>
      </c>
      <c r="W1458" s="73"/>
      <c r="X1458" s="73"/>
      <c r="Y1458" s="73"/>
      <c r="Z1458" s="142">
        <v>0</v>
      </c>
      <c r="AA1458" s="73"/>
      <c r="AB1458" s="143"/>
      <c r="AC1458" s="143"/>
      <c r="AD1458" s="73"/>
      <c r="AE1458" s="73"/>
      <c r="AF1458" s="73"/>
      <c r="AG1458" s="73"/>
      <c r="AH1458" s="73"/>
      <c r="AI1458" s="73"/>
      <c r="AJ1458" s="73"/>
      <c r="AK1458" s="73"/>
      <c r="AL1458" s="80"/>
      <c r="AM1458" s="73" t="s">
        <v>1355</v>
      </c>
      <c r="AN1458" s="73" t="s">
        <v>6042</v>
      </c>
      <c r="AO1458" s="712"/>
      <c r="AP1458" s="226">
        <v>1</v>
      </c>
      <c r="AQ1458" s="226">
        <v>0</v>
      </c>
      <c r="AR1458" s="226">
        <v>0</v>
      </c>
      <c r="AS1458" s="226">
        <v>0</v>
      </c>
      <c r="AT1458" s="226">
        <v>0</v>
      </c>
      <c r="AU1458" s="226">
        <v>0</v>
      </c>
      <c r="AV1458" s="17">
        <f t="shared" si="200"/>
        <v>0</v>
      </c>
      <c r="AW1458" s="50" t="s">
        <v>2788</v>
      </c>
    </row>
    <row r="1459" spans="1:49" ht="60" x14ac:dyDescent="0.15">
      <c r="A1459" s="711">
        <v>30040</v>
      </c>
      <c r="B1459" s="73"/>
      <c r="C1459" s="712" t="s">
        <v>4220</v>
      </c>
      <c r="D1459" s="73">
        <v>4</v>
      </c>
      <c r="E1459" s="73">
        <v>0</v>
      </c>
      <c r="F1459" s="73">
        <v>3</v>
      </c>
      <c r="G1459" s="80">
        <v>21</v>
      </c>
      <c r="H1459" s="73">
        <v>200</v>
      </c>
      <c r="I1459" s="17">
        <v>0</v>
      </c>
      <c r="J1459" s="80">
        <v>0</v>
      </c>
      <c r="K1459" s="73">
        <v>1</v>
      </c>
      <c r="L1459" s="73">
        <v>134</v>
      </c>
      <c r="M1459" s="73"/>
      <c r="N1459" s="73">
        <v>134</v>
      </c>
      <c r="O1459" s="73"/>
      <c r="P1459" s="73"/>
      <c r="Q1459" s="140"/>
      <c r="R1459" s="140"/>
      <c r="S1459" s="140"/>
      <c r="T1459" s="140"/>
      <c r="U1459" s="73">
        <v>1</v>
      </c>
      <c r="V1459" s="73">
        <v>1</v>
      </c>
      <c r="W1459" s="73"/>
      <c r="X1459" s="73"/>
      <c r="Y1459" s="73"/>
      <c r="Z1459" s="142">
        <v>0</v>
      </c>
      <c r="AA1459" s="73"/>
      <c r="AB1459" s="143"/>
      <c r="AC1459" s="143"/>
      <c r="AD1459" s="73"/>
      <c r="AE1459" s="73"/>
      <c r="AF1459" s="73"/>
      <c r="AG1459" s="73"/>
      <c r="AH1459" s="73"/>
      <c r="AI1459" s="73"/>
      <c r="AJ1459" s="73"/>
      <c r="AK1459" s="73"/>
      <c r="AL1459" s="80"/>
      <c r="AM1459" s="73" t="s">
        <v>1356</v>
      </c>
      <c r="AN1459" s="73" t="s">
        <v>6043</v>
      </c>
      <c r="AO1459" s="712"/>
      <c r="AP1459" s="226">
        <v>1</v>
      </c>
      <c r="AQ1459" s="226">
        <v>0</v>
      </c>
      <c r="AR1459" s="226">
        <v>0</v>
      </c>
      <c r="AS1459" s="226">
        <v>0</v>
      </c>
      <c r="AT1459" s="226">
        <v>0</v>
      </c>
      <c r="AU1459" s="226">
        <v>0</v>
      </c>
      <c r="AV1459" s="17">
        <f t="shared" si="200"/>
        <v>0</v>
      </c>
      <c r="AW1459" s="50" t="s">
        <v>2788</v>
      </c>
    </row>
    <row r="1460" spans="1:49" ht="72" x14ac:dyDescent="0.15">
      <c r="A1460" s="149">
        <v>30041</v>
      </c>
      <c r="B1460" s="226"/>
      <c r="C1460" s="226" t="s">
        <v>2377</v>
      </c>
      <c r="D1460" s="226">
        <v>3</v>
      </c>
      <c r="E1460" s="226">
        <v>0</v>
      </c>
      <c r="F1460" s="226">
        <v>6</v>
      </c>
      <c r="G1460" s="234">
        <v>200</v>
      </c>
      <c r="H1460" s="226">
        <v>200</v>
      </c>
      <c r="I1460" s="17">
        <v>0</v>
      </c>
      <c r="J1460" s="234">
        <v>0</v>
      </c>
      <c r="K1460" s="226">
        <v>3</v>
      </c>
      <c r="L1460" s="226">
        <v>60099</v>
      </c>
      <c r="M1460" s="226"/>
      <c r="N1460" s="226">
        <v>60099</v>
      </c>
      <c r="O1460" s="226"/>
      <c r="P1460" s="226"/>
      <c r="Q1460" s="228">
        <v>60135</v>
      </c>
      <c r="R1460" s="228"/>
      <c r="S1460" s="228">
        <v>60135</v>
      </c>
      <c r="T1460" s="228"/>
      <c r="U1460" s="226">
        <v>1</v>
      </c>
      <c r="V1460" s="226">
        <v>1</v>
      </c>
      <c r="W1460" s="226"/>
      <c r="X1460" s="226"/>
      <c r="Y1460" s="226"/>
      <c r="Z1460" s="230">
        <v>0</v>
      </c>
      <c r="AA1460" s="226"/>
      <c r="AB1460" s="231"/>
      <c r="AC1460" s="231"/>
      <c r="AD1460" s="226"/>
      <c r="AE1460" s="226"/>
      <c r="AF1460" s="226"/>
      <c r="AG1460" s="226"/>
      <c r="AH1460" s="226"/>
      <c r="AI1460" s="226"/>
      <c r="AJ1460" s="226"/>
      <c r="AK1460" s="226"/>
      <c r="AL1460" s="234">
        <v>0</v>
      </c>
      <c r="AM1460" s="226" t="s">
        <v>620</v>
      </c>
      <c r="AN1460" s="226" t="s">
        <v>6044</v>
      </c>
      <c r="AO1460" s="226"/>
      <c r="AP1460" s="226">
        <v>1</v>
      </c>
      <c r="AQ1460" s="226">
        <v>0</v>
      </c>
      <c r="AR1460" s="226">
        <v>0</v>
      </c>
      <c r="AS1460" s="226">
        <v>0</v>
      </c>
      <c r="AT1460" s="226">
        <v>0</v>
      </c>
      <c r="AU1460" s="226">
        <v>0</v>
      </c>
      <c r="AV1460" s="17">
        <f t="shared" si="200"/>
        <v>0</v>
      </c>
      <c r="AW1460" s="50" t="str">
        <f>"{s_taskTalk,{"&amp;L1460&amp;","&amp;N1460&amp;"}}"</f>
        <v>{s_taskTalk,{60099,60099}}</v>
      </c>
    </row>
    <row r="1461" spans="1:49" ht="108" x14ac:dyDescent="0.15">
      <c r="A1461" s="149">
        <v>30042</v>
      </c>
      <c r="B1461" s="226"/>
      <c r="C1461" s="226" t="s">
        <v>2378</v>
      </c>
      <c r="D1461" s="226">
        <v>3</v>
      </c>
      <c r="E1461" s="226">
        <v>0</v>
      </c>
      <c r="F1461" s="226">
        <v>3</v>
      </c>
      <c r="G1461" s="234">
        <v>41</v>
      </c>
      <c r="H1461" s="226">
        <v>70</v>
      </c>
      <c r="I1461" s="17">
        <v>0</v>
      </c>
      <c r="J1461" s="234">
        <v>0</v>
      </c>
      <c r="K1461" s="226">
        <v>3</v>
      </c>
      <c r="L1461" s="226">
        <v>60049</v>
      </c>
      <c r="M1461" s="226"/>
      <c r="N1461" s="226">
        <v>60049</v>
      </c>
      <c r="O1461" s="226"/>
      <c r="P1461" s="226"/>
      <c r="Q1461" s="228"/>
      <c r="R1461" s="228"/>
      <c r="S1461" s="228"/>
      <c r="T1461" s="228"/>
      <c r="U1461" s="226">
        <v>1</v>
      </c>
      <c r="V1461" s="226">
        <v>0</v>
      </c>
      <c r="W1461" s="226"/>
      <c r="X1461" s="226"/>
      <c r="Y1461" s="226"/>
      <c r="Z1461" s="230">
        <v>0</v>
      </c>
      <c r="AA1461" s="226"/>
      <c r="AB1461" s="231"/>
      <c r="AC1461" s="231"/>
      <c r="AD1461" s="226"/>
      <c r="AE1461" s="226"/>
      <c r="AF1461" s="226" t="s">
        <v>2799</v>
      </c>
      <c r="AG1461" s="226" t="s">
        <v>2462</v>
      </c>
      <c r="AH1461" s="226" t="s">
        <v>169</v>
      </c>
      <c r="AI1461" s="226" t="s">
        <v>285</v>
      </c>
      <c r="AJ1461" s="226" t="s">
        <v>6485</v>
      </c>
      <c r="AK1461" s="226"/>
      <c r="AL1461" s="234">
        <v>0</v>
      </c>
      <c r="AM1461" s="226"/>
      <c r="AN1461" s="226" t="s">
        <v>6045</v>
      </c>
      <c r="AO1461" s="226"/>
      <c r="AP1461" s="226">
        <v>0</v>
      </c>
      <c r="AQ1461" s="226">
        <v>0</v>
      </c>
      <c r="AR1461" s="226">
        <v>0</v>
      </c>
      <c r="AS1461" s="226">
        <v>0</v>
      </c>
      <c r="AT1461" s="226">
        <v>0</v>
      </c>
      <c r="AU1461" s="226">
        <v>0</v>
      </c>
      <c r="AV1461" s="17">
        <f t="shared" si="200"/>
        <v>0</v>
      </c>
      <c r="AW1461" s="50" t="str">
        <f>"{s_taskTalk,{"&amp;L1461&amp;","&amp;N1461&amp;"}}"</f>
        <v>{s_taskTalk,{60049,60049}}</v>
      </c>
    </row>
    <row r="1462" spans="1:49" ht="96" x14ac:dyDescent="0.15">
      <c r="A1462" s="149">
        <v>30043</v>
      </c>
      <c r="B1462" s="226"/>
      <c r="C1462" s="226" t="s">
        <v>4100</v>
      </c>
      <c r="D1462" s="226">
        <v>3</v>
      </c>
      <c r="E1462" s="226">
        <v>0</v>
      </c>
      <c r="F1462" s="226">
        <v>3</v>
      </c>
      <c r="G1462" s="234">
        <v>200</v>
      </c>
      <c r="H1462" s="226">
        <v>200</v>
      </c>
      <c r="I1462" s="17">
        <v>0</v>
      </c>
      <c r="J1462" s="234">
        <v>0</v>
      </c>
      <c r="K1462" s="226">
        <v>1</v>
      </c>
      <c r="L1462" s="226">
        <v>504</v>
      </c>
      <c r="M1462" s="226"/>
      <c r="N1462" s="226">
        <v>504</v>
      </c>
      <c r="O1462" s="226"/>
      <c r="P1462" s="226"/>
      <c r="Q1462" s="228"/>
      <c r="R1462" s="228"/>
      <c r="S1462" s="228"/>
      <c r="T1462" s="228"/>
      <c r="U1462" s="226">
        <v>1</v>
      </c>
      <c r="V1462" s="226">
        <v>0</v>
      </c>
      <c r="W1462" s="226"/>
      <c r="X1462" s="226"/>
      <c r="Y1462" s="226"/>
      <c r="Z1462" s="230">
        <v>0</v>
      </c>
      <c r="AA1462" s="226"/>
      <c r="AB1462" s="231"/>
      <c r="AC1462" s="231"/>
      <c r="AD1462" s="226"/>
      <c r="AE1462" s="226"/>
      <c r="AF1462" s="226" t="s">
        <v>6369</v>
      </c>
      <c r="AG1462" s="226" t="s">
        <v>174</v>
      </c>
      <c r="AH1462" s="226" t="s">
        <v>170</v>
      </c>
      <c r="AI1462" s="226" t="s">
        <v>553</v>
      </c>
      <c r="AJ1462" s="226" t="s">
        <v>6486</v>
      </c>
      <c r="AK1462" s="226"/>
      <c r="AL1462" s="234">
        <v>0</v>
      </c>
      <c r="AM1462" s="226"/>
      <c r="AN1462" s="226" t="s">
        <v>6370</v>
      </c>
      <c r="AO1462" s="226"/>
      <c r="AP1462" s="226">
        <v>1</v>
      </c>
      <c r="AQ1462" s="226">
        <v>0</v>
      </c>
      <c r="AR1462" s="226">
        <v>0</v>
      </c>
      <c r="AS1462" s="226">
        <v>0</v>
      </c>
      <c r="AT1462" s="226">
        <v>0</v>
      </c>
      <c r="AU1462" s="226">
        <v>0</v>
      </c>
      <c r="AV1462" s="17">
        <f t="shared" si="200"/>
        <v>0</v>
      </c>
      <c r="AW1462" s="50" t="str">
        <f>"{s_taskTalk,{"&amp;L1462&amp;","&amp;N1462&amp;"}}"</f>
        <v>{s_taskTalk,{504,504}}</v>
      </c>
    </row>
    <row r="1463" spans="1:49" ht="72" x14ac:dyDescent="0.15">
      <c r="A1463" s="149">
        <v>30044</v>
      </c>
      <c r="B1463" s="226"/>
      <c r="C1463" s="226" t="s">
        <v>2379</v>
      </c>
      <c r="D1463" s="226">
        <v>3</v>
      </c>
      <c r="E1463" s="226">
        <v>0</v>
      </c>
      <c r="F1463" s="226">
        <v>5</v>
      </c>
      <c r="G1463" s="234">
        <v>200</v>
      </c>
      <c r="H1463" s="226">
        <v>200</v>
      </c>
      <c r="I1463" s="17">
        <v>0</v>
      </c>
      <c r="J1463" s="234">
        <v>0</v>
      </c>
      <c r="K1463" s="226">
        <v>3</v>
      </c>
      <c r="L1463" s="226">
        <v>60559</v>
      </c>
      <c r="M1463" s="226"/>
      <c r="N1463" s="226">
        <v>60559</v>
      </c>
      <c r="O1463" s="226"/>
      <c r="P1463" s="226"/>
      <c r="Q1463" s="228">
        <v>60175</v>
      </c>
      <c r="R1463" s="228"/>
      <c r="S1463" s="228">
        <v>60175</v>
      </c>
      <c r="T1463" s="228"/>
      <c r="U1463" s="226">
        <v>1</v>
      </c>
      <c r="V1463" s="226">
        <v>1</v>
      </c>
      <c r="W1463" s="226"/>
      <c r="X1463" s="226"/>
      <c r="Y1463" s="226"/>
      <c r="Z1463" s="230">
        <v>0</v>
      </c>
      <c r="AA1463" s="226"/>
      <c r="AB1463" s="231"/>
      <c r="AC1463" s="231"/>
      <c r="AD1463" s="226"/>
      <c r="AE1463" s="226"/>
      <c r="AF1463" s="226"/>
      <c r="AG1463" s="226"/>
      <c r="AH1463" s="226"/>
      <c r="AI1463" s="226"/>
      <c r="AJ1463" s="226"/>
      <c r="AK1463" s="226"/>
      <c r="AL1463" s="234">
        <v>0</v>
      </c>
      <c r="AM1463" s="226" t="s">
        <v>1693</v>
      </c>
      <c r="AN1463" s="226" t="s">
        <v>6046</v>
      </c>
      <c r="AP1463" s="226">
        <v>1</v>
      </c>
      <c r="AQ1463" s="226">
        <v>0</v>
      </c>
      <c r="AR1463" s="226">
        <v>0</v>
      </c>
      <c r="AS1463" s="226">
        <v>0</v>
      </c>
      <c r="AT1463" s="226">
        <v>0</v>
      </c>
      <c r="AU1463" s="226">
        <v>0</v>
      </c>
      <c r="AV1463" s="17">
        <f t="shared" si="200"/>
        <v>0</v>
      </c>
      <c r="AW1463" s="50" t="str">
        <f>"{s_taskTalk,{"&amp;L1463&amp;","&amp;N1463&amp;"}}"</f>
        <v>{s_taskTalk,{60559,60559}}</v>
      </c>
    </row>
    <row r="1464" spans="1:49" ht="108" x14ac:dyDescent="0.15">
      <c r="A1464" s="149">
        <v>30045</v>
      </c>
      <c r="B1464" s="226"/>
      <c r="C1464" s="226" t="s">
        <v>4100</v>
      </c>
      <c r="D1464" s="226">
        <v>3</v>
      </c>
      <c r="E1464" s="226">
        <v>0</v>
      </c>
      <c r="F1464" s="226">
        <v>5</v>
      </c>
      <c r="G1464" s="234">
        <v>200</v>
      </c>
      <c r="H1464" s="226">
        <v>200</v>
      </c>
      <c r="I1464" s="17">
        <v>0</v>
      </c>
      <c r="J1464" s="234">
        <v>0</v>
      </c>
      <c r="K1464" s="226">
        <v>1</v>
      </c>
      <c r="L1464" s="226">
        <v>543</v>
      </c>
      <c r="M1464" s="226"/>
      <c r="N1464" s="226">
        <v>543</v>
      </c>
      <c r="O1464" s="226"/>
      <c r="P1464" s="226"/>
      <c r="Q1464" s="228"/>
      <c r="R1464" s="228"/>
      <c r="S1464" s="228"/>
      <c r="T1464" s="228"/>
      <c r="U1464" s="226">
        <v>1</v>
      </c>
      <c r="V1464" s="226">
        <v>0</v>
      </c>
      <c r="W1464" s="226"/>
      <c r="X1464" s="226"/>
      <c r="Y1464" s="226"/>
      <c r="Z1464" s="230">
        <v>0</v>
      </c>
      <c r="AA1464" s="226"/>
      <c r="AB1464" s="231"/>
      <c r="AC1464" s="231"/>
      <c r="AD1464" s="226"/>
      <c r="AE1464" s="226"/>
      <c r="AF1464" s="226" t="s">
        <v>6371</v>
      </c>
      <c r="AG1464" s="226" t="s">
        <v>174</v>
      </c>
      <c r="AH1464" s="226" t="s">
        <v>170</v>
      </c>
      <c r="AI1464" s="226" t="s">
        <v>553</v>
      </c>
      <c r="AJ1464" s="226" t="s">
        <v>6486</v>
      </c>
      <c r="AK1464" s="226"/>
      <c r="AL1464" s="234">
        <v>0</v>
      </c>
      <c r="AM1464" s="226"/>
      <c r="AN1464" s="226" t="s">
        <v>6372</v>
      </c>
      <c r="AO1464" s="226"/>
      <c r="AP1464" s="226">
        <v>1</v>
      </c>
      <c r="AQ1464" s="226">
        <v>0</v>
      </c>
      <c r="AR1464" s="226">
        <v>0</v>
      </c>
      <c r="AS1464" s="226">
        <v>0</v>
      </c>
      <c r="AT1464" s="226">
        <v>0</v>
      </c>
      <c r="AU1464" s="226">
        <v>0</v>
      </c>
      <c r="AV1464" s="17">
        <f t="shared" si="200"/>
        <v>0</v>
      </c>
      <c r="AW1464" s="50" t="str">
        <f>"{s_taskTalk,{"&amp;L1464&amp;","&amp;N1464&amp;"}}"</f>
        <v>{s_taskTalk,{543,543}}</v>
      </c>
    </row>
    <row r="1465" spans="1:49" ht="60" x14ac:dyDescent="0.15">
      <c r="A1465" s="149">
        <v>30059</v>
      </c>
      <c r="B1465" s="226"/>
      <c r="C1465" s="226" t="s">
        <v>7548</v>
      </c>
      <c r="D1465" s="226">
        <v>3</v>
      </c>
      <c r="E1465" s="226">
        <v>0</v>
      </c>
      <c r="F1465" s="226">
        <v>3</v>
      </c>
      <c r="G1465" s="234">
        <v>30</v>
      </c>
      <c r="H1465" s="226">
        <v>200</v>
      </c>
      <c r="I1465" s="17">
        <v>0</v>
      </c>
      <c r="J1465" s="234">
        <v>0</v>
      </c>
      <c r="K1465" s="226">
        <v>2</v>
      </c>
      <c r="L1465" s="226"/>
      <c r="M1465" s="226"/>
      <c r="N1465" s="226"/>
      <c r="O1465" s="226"/>
      <c r="P1465" s="226"/>
      <c r="Q1465" s="228"/>
      <c r="R1465" s="228"/>
      <c r="S1465" s="228"/>
      <c r="T1465" s="228"/>
      <c r="U1465" s="226">
        <v>1</v>
      </c>
      <c r="V1465" s="226">
        <v>1</v>
      </c>
      <c r="W1465" s="226"/>
      <c r="X1465" s="226"/>
      <c r="Y1465" s="226"/>
      <c r="Z1465" s="230">
        <v>0</v>
      </c>
      <c r="AA1465" s="226"/>
      <c r="AB1465" s="231"/>
      <c r="AC1465" s="231"/>
      <c r="AD1465" s="226"/>
      <c r="AE1465" s="226"/>
      <c r="AF1465" s="226"/>
      <c r="AG1465" s="226"/>
      <c r="AH1465" s="226"/>
      <c r="AI1465" s="226"/>
      <c r="AJ1465" s="226"/>
      <c r="AK1465" s="226"/>
      <c r="AL1465" s="234">
        <v>0</v>
      </c>
      <c r="AM1465" s="226" t="s">
        <v>7549</v>
      </c>
      <c r="AN1465" s="226" t="s">
        <v>7550</v>
      </c>
      <c r="AO1465" s="226"/>
      <c r="AP1465" s="226">
        <v>0</v>
      </c>
      <c r="AQ1465" s="226">
        <v>0</v>
      </c>
      <c r="AR1465" s="226">
        <v>0</v>
      </c>
      <c r="AS1465" s="226">
        <v>0</v>
      </c>
      <c r="AT1465" s="226">
        <v>0</v>
      </c>
      <c r="AU1465" s="226">
        <v>0</v>
      </c>
      <c r="AV1465" s="17">
        <f t="shared" ref="AV1465" si="216">IF(D1465 = 1,1,0)</f>
        <v>0</v>
      </c>
      <c r="AW1465" s="50" t="s">
        <v>2788</v>
      </c>
    </row>
    <row r="1466" spans="1:49" ht="72" x14ac:dyDescent="0.15">
      <c r="A1466" s="149">
        <v>30060</v>
      </c>
      <c r="B1466" s="226"/>
      <c r="C1466" s="226" t="s">
        <v>2882</v>
      </c>
      <c r="D1466" s="226">
        <v>3</v>
      </c>
      <c r="E1466" s="226">
        <v>0</v>
      </c>
      <c r="F1466" s="226">
        <v>3</v>
      </c>
      <c r="G1466" s="234">
        <v>10</v>
      </c>
      <c r="H1466" s="226">
        <v>200</v>
      </c>
      <c r="I1466" s="17">
        <v>0</v>
      </c>
      <c r="J1466" s="234">
        <v>0</v>
      </c>
      <c r="K1466" s="226">
        <v>2</v>
      </c>
      <c r="L1466" s="226"/>
      <c r="M1466" s="226"/>
      <c r="N1466" s="226"/>
      <c r="O1466" s="226"/>
      <c r="P1466" s="226"/>
      <c r="Q1466" s="228"/>
      <c r="R1466" s="228"/>
      <c r="S1466" s="228"/>
      <c r="T1466" s="228"/>
      <c r="U1466" s="226">
        <v>1</v>
      </c>
      <c r="V1466" s="226">
        <v>1</v>
      </c>
      <c r="W1466" s="226"/>
      <c r="X1466" s="226"/>
      <c r="Y1466" s="226"/>
      <c r="Z1466" s="230">
        <v>0</v>
      </c>
      <c r="AA1466" s="226"/>
      <c r="AB1466" s="231"/>
      <c r="AC1466" s="231"/>
      <c r="AD1466" s="226"/>
      <c r="AE1466" s="226"/>
      <c r="AF1466" s="226"/>
      <c r="AG1466" s="226"/>
      <c r="AH1466" s="226"/>
      <c r="AI1466" s="226"/>
      <c r="AJ1466" s="226"/>
      <c r="AK1466" s="226"/>
      <c r="AL1466" s="234">
        <v>0</v>
      </c>
      <c r="AM1466" s="226" t="s">
        <v>1347</v>
      </c>
      <c r="AN1466" s="226" t="s">
        <v>6034</v>
      </c>
      <c r="AO1466" s="226"/>
      <c r="AP1466" s="226">
        <v>0</v>
      </c>
      <c r="AQ1466" s="226">
        <v>0</v>
      </c>
      <c r="AR1466" s="226">
        <v>0</v>
      </c>
      <c r="AS1466" s="226">
        <v>0</v>
      </c>
      <c r="AT1466" s="226">
        <v>0</v>
      </c>
      <c r="AU1466" s="226">
        <v>0</v>
      </c>
      <c r="AV1466" s="17">
        <f t="shared" si="200"/>
        <v>0</v>
      </c>
      <c r="AW1466" s="50" t="s">
        <v>2788</v>
      </c>
    </row>
    <row r="1467" spans="1:49" ht="72" x14ac:dyDescent="0.15">
      <c r="A1467" s="149">
        <v>30061</v>
      </c>
      <c r="B1467" s="226"/>
      <c r="C1467" s="226" t="s">
        <v>7159</v>
      </c>
      <c r="D1467" s="226">
        <v>3</v>
      </c>
      <c r="E1467" s="226">
        <v>0</v>
      </c>
      <c r="F1467" s="226">
        <v>3</v>
      </c>
      <c r="G1467" s="234">
        <v>50</v>
      </c>
      <c r="H1467" s="226">
        <v>200</v>
      </c>
      <c r="I1467" s="17">
        <v>0</v>
      </c>
      <c r="J1467" s="234">
        <v>0</v>
      </c>
      <c r="K1467" s="226">
        <v>5</v>
      </c>
      <c r="L1467" s="226"/>
      <c r="M1467" s="226"/>
      <c r="N1467" s="226"/>
      <c r="O1467" s="226"/>
      <c r="P1467" s="226"/>
      <c r="Q1467" s="228"/>
      <c r="R1467" s="228"/>
      <c r="S1467" s="228"/>
      <c r="T1467" s="228"/>
      <c r="U1467" s="226">
        <v>1</v>
      </c>
      <c r="V1467" s="226">
        <v>1</v>
      </c>
      <c r="W1467" s="226"/>
      <c r="X1467" s="226"/>
      <c r="Y1467" s="226"/>
      <c r="Z1467" s="230">
        <v>0</v>
      </c>
      <c r="AA1467" s="226"/>
      <c r="AB1467" s="231"/>
      <c r="AC1467" s="231"/>
      <c r="AD1467" s="226"/>
      <c r="AE1467" s="226"/>
      <c r="AF1467" s="226"/>
      <c r="AG1467" s="226"/>
      <c r="AH1467" s="226"/>
      <c r="AI1467" s="226"/>
      <c r="AJ1467" s="226"/>
      <c r="AK1467" s="226"/>
      <c r="AL1467" s="234">
        <v>0</v>
      </c>
      <c r="AM1467" s="226" t="s">
        <v>1347</v>
      </c>
      <c r="AN1467" s="226" t="s">
        <v>6034</v>
      </c>
      <c r="AO1467" s="226"/>
      <c r="AP1467" s="226">
        <v>0</v>
      </c>
      <c r="AQ1467" s="226">
        <v>0</v>
      </c>
      <c r="AR1467" s="226">
        <v>0</v>
      </c>
      <c r="AS1467" s="226">
        <v>0</v>
      </c>
      <c r="AT1467" s="226">
        <v>0</v>
      </c>
      <c r="AU1467" s="226">
        <v>0</v>
      </c>
      <c r="AV1467" s="17">
        <f t="shared" si="200"/>
        <v>0</v>
      </c>
      <c r="AW1467" s="50" t="s">
        <v>2788</v>
      </c>
    </row>
    <row r="1468" spans="1:49" ht="72" x14ac:dyDescent="0.15">
      <c r="A1468" s="149">
        <v>30062</v>
      </c>
      <c r="B1468" s="226"/>
      <c r="C1468" s="226" t="s">
        <v>2883</v>
      </c>
      <c r="D1468" s="226">
        <v>3</v>
      </c>
      <c r="E1468" s="226">
        <v>0</v>
      </c>
      <c r="F1468" s="226">
        <v>3</v>
      </c>
      <c r="G1468" s="234">
        <v>15</v>
      </c>
      <c r="H1468" s="226">
        <v>200</v>
      </c>
      <c r="I1468" s="17">
        <v>0</v>
      </c>
      <c r="J1468" s="234">
        <v>0</v>
      </c>
      <c r="K1468" s="226">
        <v>3</v>
      </c>
      <c r="L1468" s="226"/>
      <c r="M1468" s="226"/>
      <c r="N1468" s="226"/>
      <c r="O1468" s="226"/>
      <c r="P1468" s="226"/>
      <c r="Q1468" s="228"/>
      <c r="R1468" s="228"/>
      <c r="S1468" s="228"/>
      <c r="T1468" s="228"/>
      <c r="U1468" s="226">
        <v>1</v>
      </c>
      <c r="V1468" s="226">
        <v>1</v>
      </c>
      <c r="W1468" s="226"/>
      <c r="X1468" s="226"/>
      <c r="Y1468" s="226"/>
      <c r="Z1468" s="230">
        <v>0</v>
      </c>
      <c r="AA1468" s="226"/>
      <c r="AB1468" s="231"/>
      <c r="AC1468" s="231"/>
      <c r="AD1468" s="226"/>
      <c r="AE1468" s="226"/>
      <c r="AF1468" s="226"/>
      <c r="AG1468" s="226"/>
      <c r="AH1468" s="226"/>
      <c r="AI1468" s="226"/>
      <c r="AJ1468" s="226"/>
      <c r="AK1468" s="226"/>
      <c r="AL1468" s="234">
        <v>0</v>
      </c>
      <c r="AM1468" s="226" t="s">
        <v>1347</v>
      </c>
      <c r="AN1468" s="226" t="s">
        <v>6034</v>
      </c>
      <c r="AO1468" s="226"/>
      <c r="AP1468" s="226">
        <v>0</v>
      </c>
      <c r="AQ1468" s="226">
        <v>0</v>
      </c>
      <c r="AR1468" s="226">
        <v>0</v>
      </c>
      <c r="AS1468" s="226">
        <v>0</v>
      </c>
      <c r="AT1468" s="226">
        <v>0</v>
      </c>
      <c r="AU1468" s="226">
        <v>0</v>
      </c>
      <c r="AV1468" s="17">
        <f t="shared" si="200"/>
        <v>0</v>
      </c>
      <c r="AW1468" s="50" t="s">
        <v>2788</v>
      </c>
    </row>
    <row r="1469" spans="1:49" ht="72" x14ac:dyDescent="0.15">
      <c r="A1469" s="149">
        <v>30063</v>
      </c>
      <c r="B1469" s="226"/>
      <c r="C1469" s="226" t="s">
        <v>4090</v>
      </c>
      <c r="D1469" s="226">
        <v>3</v>
      </c>
      <c r="E1469" s="226">
        <v>0</v>
      </c>
      <c r="F1469" s="226">
        <v>3</v>
      </c>
      <c r="G1469" s="234">
        <v>51</v>
      </c>
      <c r="H1469" s="226">
        <v>200</v>
      </c>
      <c r="I1469" s="17">
        <v>0</v>
      </c>
      <c r="J1469" s="234">
        <v>0</v>
      </c>
      <c r="K1469" s="226">
        <v>2</v>
      </c>
      <c r="L1469" s="226"/>
      <c r="M1469" s="226"/>
      <c r="N1469" s="226"/>
      <c r="O1469" s="226"/>
      <c r="P1469" s="226"/>
      <c r="Q1469" s="228"/>
      <c r="R1469" s="228"/>
      <c r="S1469" s="228"/>
      <c r="T1469" s="228"/>
      <c r="U1469" s="226">
        <v>1</v>
      </c>
      <c r="V1469" s="226">
        <v>1</v>
      </c>
      <c r="W1469" s="226"/>
      <c r="X1469" s="226"/>
      <c r="Y1469" s="226"/>
      <c r="Z1469" s="230">
        <v>0</v>
      </c>
      <c r="AA1469" s="226"/>
      <c r="AB1469" s="231"/>
      <c r="AC1469" s="231"/>
      <c r="AD1469" s="226"/>
      <c r="AE1469" s="226"/>
      <c r="AF1469" s="226"/>
      <c r="AG1469" s="226"/>
      <c r="AH1469" s="226"/>
      <c r="AI1469" s="226"/>
      <c r="AJ1469" s="226"/>
      <c r="AK1469" s="226"/>
      <c r="AL1469" s="234">
        <v>0</v>
      </c>
      <c r="AM1469" s="226" t="s">
        <v>1347</v>
      </c>
      <c r="AN1469" s="226" t="s">
        <v>6034</v>
      </c>
      <c r="AO1469" s="226"/>
      <c r="AP1469" s="226">
        <v>0</v>
      </c>
      <c r="AQ1469" s="226">
        <v>0</v>
      </c>
      <c r="AR1469" s="226">
        <v>0</v>
      </c>
      <c r="AS1469" s="226">
        <v>0</v>
      </c>
      <c r="AT1469" s="226">
        <v>0</v>
      </c>
      <c r="AU1469" s="226">
        <v>0</v>
      </c>
      <c r="AV1469" s="17">
        <f t="shared" si="200"/>
        <v>0</v>
      </c>
      <c r="AW1469" s="50" t="s">
        <v>2788</v>
      </c>
    </row>
    <row r="1470" spans="1:49" ht="72" x14ac:dyDescent="0.15">
      <c r="A1470" s="149">
        <v>30064</v>
      </c>
      <c r="B1470" s="226"/>
      <c r="C1470" s="226" t="s">
        <v>2884</v>
      </c>
      <c r="D1470" s="226">
        <v>3</v>
      </c>
      <c r="E1470" s="226">
        <v>0</v>
      </c>
      <c r="F1470" s="226">
        <v>3</v>
      </c>
      <c r="G1470" s="234">
        <v>21</v>
      </c>
      <c r="H1470" s="226">
        <v>200</v>
      </c>
      <c r="I1470" s="17">
        <v>0</v>
      </c>
      <c r="J1470" s="234">
        <v>0</v>
      </c>
      <c r="K1470" s="226">
        <v>5</v>
      </c>
      <c r="L1470" s="226"/>
      <c r="M1470" s="226"/>
      <c r="N1470" s="226"/>
      <c r="O1470" s="226"/>
      <c r="P1470" s="226"/>
      <c r="Q1470" s="228"/>
      <c r="R1470" s="228"/>
      <c r="S1470" s="228"/>
      <c r="T1470" s="228"/>
      <c r="U1470" s="226">
        <v>1</v>
      </c>
      <c r="V1470" s="226">
        <v>1</v>
      </c>
      <c r="W1470" s="226"/>
      <c r="X1470" s="226"/>
      <c r="Y1470" s="226"/>
      <c r="Z1470" s="230">
        <v>0</v>
      </c>
      <c r="AA1470" s="226"/>
      <c r="AB1470" s="231"/>
      <c r="AC1470" s="231"/>
      <c r="AD1470" s="226"/>
      <c r="AE1470" s="226"/>
      <c r="AF1470" s="226"/>
      <c r="AG1470" s="226"/>
      <c r="AH1470" s="226"/>
      <c r="AI1470" s="226"/>
      <c r="AJ1470" s="226"/>
      <c r="AK1470" s="226"/>
      <c r="AL1470" s="234">
        <v>0</v>
      </c>
      <c r="AM1470" s="226" t="s">
        <v>1347</v>
      </c>
      <c r="AN1470" s="226" t="s">
        <v>6034</v>
      </c>
      <c r="AO1470" s="226"/>
      <c r="AP1470" s="226">
        <v>0</v>
      </c>
      <c r="AQ1470" s="226">
        <v>0</v>
      </c>
      <c r="AR1470" s="226">
        <v>0</v>
      </c>
      <c r="AS1470" s="226">
        <v>0</v>
      </c>
      <c r="AT1470" s="226">
        <v>0</v>
      </c>
      <c r="AU1470" s="226">
        <v>0</v>
      </c>
      <c r="AV1470" s="17">
        <f t="shared" si="200"/>
        <v>0</v>
      </c>
      <c r="AW1470" s="50" t="s">
        <v>2788</v>
      </c>
    </row>
    <row r="1471" spans="1:49" ht="72" x14ac:dyDescent="0.15">
      <c r="A1471" s="149">
        <v>30065</v>
      </c>
      <c r="B1471" s="226"/>
      <c r="C1471" s="226" t="s">
        <v>4100</v>
      </c>
      <c r="D1471" s="226">
        <v>3</v>
      </c>
      <c r="E1471" s="226">
        <v>0</v>
      </c>
      <c r="F1471" s="226">
        <v>3</v>
      </c>
      <c r="G1471" s="234">
        <v>200</v>
      </c>
      <c r="H1471" s="226">
        <v>200</v>
      </c>
      <c r="I1471" s="17">
        <v>0</v>
      </c>
      <c r="J1471" s="234">
        <v>0</v>
      </c>
      <c r="K1471" s="226">
        <v>1</v>
      </c>
      <c r="L1471" s="226"/>
      <c r="M1471" s="226"/>
      <c r="N1471" s="226"/>
      <c r="O1471" s="226"/>
      <c r="P1471" s="226"/>
      <c r="Q1471" s="228"/>
      <c r="R1471" s="228"/>
      <c r="S1471" s="228"/>
      <c r="T1471" s="228"/>
      <c r="U1471" s="226">
        <v>1</v>
      </c>
      <c r="V1471" s="226">
        <v>1</v>
      </c>
      <c r="W1471" s="226"/>
      <c r="X1471" s="226"/>
      <c r="Y1471" s="226"/>
      <c r="Z1471" s="230">
        <v>0</v>
      </c>
      <c r="AA1471" s="226"/>
      <c r="AB1471" s="231"/>
      <c r="AC1471" s="231"/>
      <c r="AD1471" s="226"/>
      <c r="AE1471" s="226"/>
      <c r="AF1471" s="226"/>
      <c r="AG1471" s="226"/>
      <c r="AH1471" s="226"/>
      <c r="AI1471" s="226"/>
      <c r="AJ1471" s="226"/>
      <c r="AK1471" s="226"/>
      <c r="AL1471" s="234">
        <v>0</v>
      </c>
      <c r="AM1471" s="226" t="s">
        <v>1347</v>
      </c>
      <c r="AN1471" s="226" t="s">
        <v>6034</v>
      </c>
      <c r="AO1471" s="226"/>
      <c r="AP1471" s="226">
        <v>0</v>
      </c>
      <c r="AQ1471" s="226">
        <v>0</v>
      </c>
      <c r="AR1471" s="226">
        <v>0</v>
      </c>
      <c r="AS1471" s="226">
        <v>0</v>
      </c>
      <c r="AT1471" s="226">
        <v>0</v>
      </c>
      <c r="AU1471" s="226">
        <v>0</v>
      </c>
      <c r="AV1471" s="17">
        <f t="shared" si="200"/>
        <v>0</v>
      </c>
      <c r="AW1471" s="50" t="s">
        <v>2788</v>
      </c>
    </row>
    <row r="1472" spans="1:49" ht="72" x14ac:dyDescent="0.15">
      <c r="A1472" s="149">
        <v>30066</v>
      </c>
      <c r="B1472" s="226"/>
      <c r="C1472" s="226" t="s">
        <v>2885</v>
      </c>
      <c r="D1472" s="226">
        <v>3</v>
      </c>
      <c r="E1472" s="226">
        <v>0</v>
      </c>
      <c r="F1472" s="226">
        <v>3</v>
      </c>
      <c r="G1472" s="234">
        <v>61</v>
      </c>
      <c r="H1472" s="226">
        <v>200</v>
      </c>
      <c r="I1472" s="17">
        <v>0</v>
      </c>
      <c r="J1472" s="234">
        <v>0</v>
      </c>
      <c r="K1472" s="226">
        <v>3</v>
      </c>
      <c r="L1472" s="226"/>
      <c r="M1472" s="226"/>
      <c r="N1472" s="226"/>
      <c r="O1472" s="226"/>
      <c r="P1472" s="226"/>
      <c r="Q1472" s="228"/>
      <c r="R1472" s="228"/>
      <c r="S1472" s="228"/>
      <c r="T1472" s="228"/>
      <c r="U1472" s="226">
        <v>1</v>
      </c>
      <c r="V1472" s="226">
        <v>1</v>
      </c>
      <c r="W1472" s="226"/>
      <c r="X1472" s="226"/>
      <c r="Y1472" s="226"/>
      <c r="Z1472" s="230">
        <v>0</v>
      </c>
      <c r="AA1472" s="226"/>
      <c r="AB1472" s="231"/>
      <c r="AC1472" s="231"/>
      <c r="AD1472" s="226"/>
      <c r="AE1472" s="226"/>
      <c r="AF1472" s="226"/>
      <c r="AG1472" s="226"/>
      <c r="AH1472" s="226"/>
      <c r="AI1472" s="226"/>
      <c r="AJ1472" s="226"/>
      <c r="AK1472" s="226"/>
      <c r="AL1472" s="234">
        <v>0</v>
      </c>
      <c r="AM1472" s="226" t="s">
        <v>1347</v>
      </c>
      <c r="AN1472" s="226" t="s">
        <v>6034</v>
      </c>
      <c r="AO1472" s="226"/>
      <c r="AP1472" s="226">
        <v>0</v>
      </c>
      <c r="AQ1472" s="226">
        <v>0</v>
      </c>
      <c r="AR1472" s="226">
        <v>0</v>
      </c>
      <c r="AS1472" s="226">
        <v>0</v>
      </c>
      <c r="AT1472" s="226">
        <v>0</v>
      </c>
      <c r="AU1472" s="226">
        <v>0</v>
      </c>
      <c r="AV1472" s="17">
        <f t="shared" si="200"/>
        <v>0</v>
      </c>
      <c r="AW1472" s="50" t="s">
        <v>2788</v>
      </c>
    </row>
    <row r="1473" spans="1:49" ht="72" x14ac:dyDescent="0.15">
      <c r="A1473" s="149">
        <v>30067</v>
      </c>
      <c r="B1473" s="226"/>
      <c r="C1473" s="226" t="s">
        <v>2886</v>
      </c>
      <c r="D1473" s="226">
        <v>3</v>
      </c>
      <c r="E1473" s="226">
        <v>0</v>
      </c>
      <c r="F1473" s="226">
        <v>3</v>
      </c>
      <c r="G1473" s="234">
        <v>61</v>
      </c>
      <c r="H1473" s="226">
        <v>200</v>
      </c>
      <c r="I1473" s="17">
        <v>0</v>
      </c>
      <c r="J1473" s="234">
        <v>0</v>
      </c>
      <c r="K1473" s="226">
        <v>2</v>
      </c>
      <c r="L1473" s="226"/>
      <c r="M1473" s="226"/>
      <c r="N1473" s="226"/>
      <c r="O1473" s="226"/>
      <c r="P1473" s="226"/>
      <c r="Q1473" s="228"/>
      <c r="R1473" s="228"/>
      <c r="S1473" s="228"/>
      <c r="T1473" s="228"/>
      <c r="U1473" s="226">
        <v>1</v>
      </c>
      <c r="V1473" s="226">
        <v>1</v>
      </c>
      <c r="W1473" s="226"/>
      <c r="X1473" s="226"/>
      <c r="Y1473" s="226"/>
      <c r="Z1473" s="230">
        <v>0</v>
      </c>
      <c r="AA1473" s="226"/>
      <c r="AB1473" s="231"/>
      <c r="AC1473" s="231"/>
      <c r="AD1473" s="226"/>
      <c r="AE1473" s="226"/>
      <c r="AF1473" s="226"/>
      <c r="AG1473" s="226"/>
      <c r="AH1473" s="226"/>
      <c r="AI1473" s="226"/>
      <c r="AJ1473" s="226"/>
      <c r="AK1473" s="226"/>
      <c r="AL1473" s="234">
        <v>0</v>
      </c>
      <c r="AM1473" s="226" t="s">
        <v>1347</v>
      </c>
      <c r="AN1473" s="226" t="s">
        <v>6034</v>
      </c>
      <c r="AO1473" s="226"/>
      <c r="AP1473" s="226">
        <v>0</v>
      </c>
      <c r="AQ1473" s="226">
        <v>0</v>
      </c>
      <c r="AR1473" s="226">
        <v>0</v>
      </c>
      <c r="AS1473" s="226">
        <v>0</v>
      </c>
      <c r="AT1473" s="226">
        <v>0</v>
      </c>
      <c r="AU1473" s="226">
        <v>0</v>
      </c>
      <c r="AV1473" s="17">
        <f t="shared" si="200"/>
        <v>0</v>
      </c>
      <c r="AW1473" s="50" t="s">
        <v>2788</v>
      </c>
    </row>
    <row r="1474" spans="1:49" ht="72" x14ac:dyDescent="0.15">
      <c r="A1474" s="149">
        <v>30068</v>
      </c>
      <c r="B1474" s="226"/>
      <c r="C1474" s="226" t="s">
        <v>4605</v>
      </c>
      <c r="D1474" s="226">
        <v>3</v>
      </c>
      <c r="E1474" s="226">
        <v>0</v>
      </c>
      <c r="F1474" s="226">
        <v>3</v>
      </c>
      <c r="G1474" s="234">
        <v>21</v>
      </c>
      <c r="H1474" s="226">
        <v>200</v>
      </c>
      <c r="I1474" s="17">
        <v>0</v>
      </c>
      <c r="J1474" s="234">
        <v>999</v>
      </c>
      <c r="K1474" s="226">
        <v>999</v>
      </c>
      <c r="L1474" s="226"/>
      <c r="M1474" s="226"/>
      <c r="N1474" s="226"/>
      <c r="O1474" s="226"/>
      <c r="P1474" s="226"/>
      <c r="Q1474" s="228"/>
      <c r="R1474" s="228"/>
      <c r="S1474" s="228"/>
      <c r="T1474" s="228"/>
      <c r="U1474" s="226">
        <v>1</v>
      </c>
      <c r="V1474" s="226">
        <v>1</v>
      </c>
      <c r="W1474" s="226"/>
      <c r="X1474" s="226"/>
      <c r="Y1474" s="226"/>
      <c r="Z1474" s="230">
        <v>0</v>
      </c>
      <c r="AA1474" s="226"/>
      <c r="AB1474" s="231"/>
      <c r="AC1474" s="231"/>
      <c r="AD1474" s="226"/>
      <c r="AE1474" s="226"/>
      <c r="AF1474" s="226"/>
      <c r="AG1474" s="226"/>
      <c r="AH1474" s="226"/>
      <c r="AI1474" s="226"/>
      <c r="AJ1474" s="226"/>
      <c r="AK1474" s="226"/>
      <c r="AL1474" s="234">
        <v>0</v>
      </c>
      <c r="AM1474" s="226" t="s">
        <v>1347</v>
      </c>
      <c r="AN1474" s="226" t="s">
        <v>6034</v>
      </c>
      <c r="AO1474" s="226"/>
      <c r="AP1474" s="226">
        <v>0</v>
      </c>
      <c r="AQ1474" s="226">
        <v>0</v>
      </c>
      <c r="AR1474" s="226">
        <v>0</v>
      </c>
      <c r="AS1474" s="226">
        <v>0</v>
      </c>
      <c r="AT1474" s="226">
        <v>0</v>
      </c>
      <c r="AU1474" s="226">
        <v>0</v>
      </c>
      <c r="AV1474" s="17">
        <f t="shared" si="200"/>
        <v>0</v>
      </c>
      <c r="AW1474" s="50" t="s">
        <v>2788</v>
      </c>
    </row>
    <row r="1475" spans="1:49" ht="72" x14ac:dyDescent="0.15">
      <c r="A1475" s="149">
        <v>30069</v>
      </c>
      <c r="B1475" s="226"/>
      <c r="C1475" s="226" t="s">
        <v>3684</v>
      </c>
      <c r="D1475" s="226">
        <v>3</v>
      </c>
      <c r="E1475" s="226">
        <v>0</v>
      </c>
      <c r="F1475" s="226">
        <v>3</v>
      </c>
      <c r="G1475" s="234">
        <v>71</v>
      </c>
      <c r="H1475" s="226">
        <v>200</v>
      </c>
      <c r="I1475" s="17">
        <v>0</v>
      </c>
      <c r="J1475" s="234">
        <v>999</v>
      </c>
      <c r="K1475" s="226">
        <v>999</v>
      </c>
      <c r="L1475" s="226"/>
      <c r="M1475" s="226"/>
      <c r="N1475" s="226"/>
      <c r="O1475" s="226"/>
      <c r="P1475" s="226"/>
      <c r="Q1475" s="228"/>
      <c r="R1475" s="228"/>
      <c r="S1475" s="228"/>
      <c r="T1475" s="228"/>
      <c r="U1475" s="226">
        <v>1</v>
      </c>
      <c r="V1475" s="226">
        <v>1</v>
      </c>
      <c r="W1475" s="226"/>
      <c r="X1475" s="226"/>
      <c r="Y1475" s="226"/>
      <c r="Z1475" s="230">
        <v>0</v>
      </c>
      <c r="AA1475" s="226"/>
      <c r="AB1475" s="231"/>
      <c r="AC1475" s="231"/>
      <c r="AD1475" s="226"/>
      <c r="AE1475" s="226"/>
      <c r="AF1475" s="226"/>
      <c r="AG1475" s="226"/>
      <c r="AH1475" s="226"/>
      <c r="AI1475" s="226"/>
      <c r="AJ1475" s="226"/>
      <c r="AK1475" s="226"/>
      <c r="AL1475" s="234">
        <v>0</v>
      </c>
      <c r="AM1475" s="226" t="s">
        <v>1347</v>
      </c>
      <c r="AN1475" s="226" t="s">
        <v>6034</v>
      </c>
      <c r="AO1475" s="226"/>
      <c r="AP1475" s="226">
        <v>0</v>
      </c>
      <c r="AQ1475" s="226">
        <v>0</v>
      </c>
      <c r="AR1475" s="226">
        <v>0</v>
      </c>
      <c r="AS1475" s="226">
        <v>0</v>
      </c>
      <c r="AT1475" s="226">
        <v>0</v>
      </c>
      <c r="AU1475" s="226">
        <v>0</v>
      </c>
      <c r="AV1475" s="17">
        <f t="shared" si="200"/>
        <v>0</v>
      </c>
      <c r="AW1475" s="50" t="s">
        <v>2788</v>
      </c>
    </row>
    <row r="1476" spans="1:49" ht="72" x14ac:dyDescent="0.15">
      <c r="A1476" s="149">
        <v>30070</v>
      </c>
      <c r="B1476" s="226"/>
      <c r="C1476" s="226" t="s">
        <v>4625</v>
      </c>
      <c r="D1476" s="226">
        <v>3</v>
      </c>
      <c r="E1476" s="226">
        <v>0</v>
      </c>
      <c r="F1476" s="226">
        <v>3</v>
      </c>
      <c r="G1476" s="234">
        <v>21</v>
      </c>
      <c r="H1476" s="226">
        <v>200</v>
      </c>
      <c r="I1476" s="17">
        <v>0</v>
      </c>
      <c r="J1476" s="234">
        <v>0</v>
      </c>
      <c r="K1476" s="226">
        <v>10</v>
      </c>
      <c r="L1476" s="226"/>
      <c r="M1476" s="226"/>
      <c r="N1476" s="226"/>
      <c r="O1476" s="226"/>
      <c r="P1476" s="226"/>
      <c r="Q1476" s="228"/>
      <c r="R1476" s="228"/>
      <c r="S1476" s="228"/>
      <c r="T1476" s="228"/>
      <c r="U1476" s="226">
        <v>1</v>
      </c>
      <c r="V1476" s="226">
        <v>1</v>
      </c>
      <c r="W1476" s="226"/>
      <c r="X1476" s="226"/>
      <c r="Y1476" s="226"/>
      <c r="Z1476" s="230">
        <v>0</v>
      </c>
      <c r="AA1476" s="226"/>
      <c r="AB1476" s="231"/>
      <c r="AC1476" s="231"/>
      <c r="AD1476" s="226"/>
      <c r="AE1476" s="226"/>
      <c r="AF1476" s="226"/>
      <c r="AG1476" s="226"/>
      <c r="AH1476" s="226"/>
      <c r="AI1476" s="226"/>
      <c r="AJ1476" s="226"/>
      <c r="AK1476" s="226"/>
      <c r="AL1476" s="234">
        <v>0</v>
      </c>
      <c r="AM1476" s="226" t="s">
        <v>1347</v>
      </c>
      <c r="AN1476" s="226" t="s">
        <v>6034</v>
      </c>
      <c r="AO1476" s="226"/>
      <c r="AP1476" s="226">
        <v>0</v>
      </c>
      <c r="AQ1476" s="226">
        <v>0</v>
      </c>
      <c r="AR1476" s="226">
        <v>0</v>
      </c>
      <c r="AS1476" s="226">
        <v>0</v>
      </c>
      <c r="AT1476" s="226">
        <v>0</v>
      </c>
      <c r="AU1476" s="226">
        <v>0</v>
      </c>
      <c r="AV1476" s="17">
        <f t="shared" si="200"/>
        <v>0</v>
      </c>
      <c r="AW1476" s="50" t="s">
        <v>2788</v>
      </c>
    </row>
    <row r="1477" spans="1:49" ht="72" x14ac:dyDescent="0.15">
      <c r="A1477" s="149">
        <v>30071</v>
      </c>
      <c r="B1477" s="226"/>
      <c r="C1477" s="226" t="s">
        <v>2907</v>
      </c>
      <c r="D1477" s="226">
        <v>3</v>
      </c>
      <c r="E1477" s="226">
        <v>0</v>
      </c>
      <c r="F1477" s="226">
        <v>3</v>
      </c>
      <c r="G1477" s="234">
        <v>21</v>
      </c>
      <c r="H1477" s="226">
        <v>200</v>
      </c>
      <c r="I1477" s="17">
        <v>0</v>
      </c>
      <c r="J1477" s="234">
        <v>999</v>
      </c>
      <c r="K1477" s="226">
        <v>999</v>
      </c>
      <c r="L1477" s="226"/>
      <c r="M1477" s="226"/>
      <c r="N1477" s="226"/>
      <c r="O1477" s="226"/>
      <c r="P1477" s="226"/>
      <c r="Q1477" s="228"/>
      <c r="R1477" s="228"/>
      <c r="S1477" s="228"/>
      <c r="T1477" s="228"/>
      <c r="U1477" s="226">
        <v>1</v>
      </c>
      <c r="V1477" s="226">
        <v>1</v>
      </c>
      <c r="W1477" s="226"/>
      <c r="X1477" s="226"/>
      <c r="Y1477" s="226"/>
      <c r="Z1477" s="230">
        <v>0</v>
      </c>
      <c r="AA1477" s="226"/>
      <c r="AB1477" s="231"/>
      <c r="AC1477" s="231"/>
      <c r="AD1477" s="226"/>
      <c r="AE1477" s="226"/>
      <c r="AF1477" s="226"/>
      <c r="AG1477" s="226"/>
      <c r="AH1477" s="226"/>
      <c r="AI1477" s="226"/>
      <c r="AJ1477" s="226"/>
      <c r="AK1477" s="226"/>
      <c r="AL1477" s="234">
        <v>0</v>
      </c>
      <c r="AM1477" s="226" t="s">
        <v>1347</v>
      </c>
      <c r="AN1477" s="226" t="s">
        <v>6034</v>
      </c>
      <c r="AO1477" s="226"/>
      <c r="AP1477" s="226">
        <v>0</v>
      </c>
      <c r="AQ1477" s="226">
        <v>0</v>
      </c>
      <c r="AR1477" s="226">
        <v>0</v>
      </c>
      <c r="AS1477" s="226">
        <v>0</v>
      </c>
      <c r="AT1477" s="226">
        <v>0</v>
      </c>
      <c r="AU1477" s="226">
        <v>0</v>
      </c>
      <c r="AV1477" s="17">
        <f t="shared" si="200"/>
        <v>0</v>
      </c>
      <c r="AW1477" s="50" t="s">
        <v>2788</v>
      </c>
    </row>
    <row r="1478" spans="1:49" ht="72" x14ac:dyDescent="0.15">
      <c r="A1478" s="149">
        <v>30072</v>
      </c>
      <c r="B1478" s="226"/>
      <c r="C1478" s="226" t="s">
        <v>2908</v>
      </c>
      <c r="D1478" s="226">
        <v>3</v>
      </c>
      <c r="E1478" s="226">
        <v>0</v>
      </c>
      <c r="F1478" s="226">
        <v>3</v>
      </c>
      <c r="G1478" s="234">
        <v>60</v>
      </c>
      <c r="H1478" s="226">
        <v>200</v>
      </c>
      <c r="I1478" s="17">
        <v>0</v>
      </c>
      <c r="J1478" s="234">
        <v>0</v>
      </c>
      <c r="K1478" s="226">
        <v>1</v>
      </c>
      <c r="L1478" s="226"/>
      <c r="M1478" s="226"/>
      <c r="N1478" s="226"/>
      <c r="O1478" s="226"/>
      <c r="P1478" s="226"/>
      <c r="Q1478" s="228"/>
      <c r="R1478" s="228"/>
      <c r="S1478" s="228"/>
      <c r="T1478" s="228"/>
      <c r="U1478" s="226">
        <v>1</v>
      </c>
      <c r="V1478" s="226">
        <v>1</v>
      </c>
      <c r="W1478" s="226"/>
      <c r="X1478" s="226"/>
      <c r="Y1478" s="226"/>
      <c r="Z1478" s="230">
        <v>0</v>
      </c>
      <c r="AA1478" s="226"/>
      <c r="AB1478" s="231"/>
      <c r="AC1478" s="231"/>
      <c r="AD1478" s="226"/>
      <c r="AE1478" s="226"/>
      <c r="AF1478" s="226"/>
      <c r="AG1478" s="226"/>
      <c r="AH1478" s="226"/>
      <c r="AI1478" s="226"/>
      <c r="AJ1478" s="226"/>
      <c r="AK1478" s="226"/>
      <c r="AL1478" s="234">
        <v>0</v>
      </c>
      <c r="AM1478" s="226" t="s">
        <v>1347</v>
      </c>
      <c r="AN1478" s="226" t="s">
        <v>6034</v>
      </c>
      <c r="AO1478" s="226"/>
      <c r="AP1478" s="226">
        <v>0</v>
      </c>
      <c r="AQ1478" s="226">
        <v>0</v>
      </c>
      <c r="AR1478" s="226">
        <v>0</v>
      </c>
      <c r="AS1478" s="226">
        <v>0</v>
      </c>
      <c r="AT1478" s="226">
        <v>0</v>
      </c>
      <c r="AU1478" s="226">
        <v>0</v>
      </c>
      <c r="AV1478" s="17">
        <f t="shared" si="200"/>
        <v>0</v>
      </c>
      <c r="AW1478" s="50" t="s">
        <v>2788</v>
      </c>
    </row>
    <row r="1479" spans="1:49" ht="72" x14ac:dyDescent="0.15">
      <c r="A1479" s="149">
        <v>30073</v>
      </c>
      <c r="B1479" s="226"/>
      <c r="C1479" s="226" t="s">
        <v>2909</v>
      </c>
      <c r="D1479" s="226">
        <v>3</v>
      </c>
      <c r="E1479" s="226">
        <v>0</v>
      </c>
      <c r="F1479" s="226">
        <v>3</v>
      </c>
      <c r="G1479" s="234">
        <v>60</v>
      </c>
      <c r="H1479" s="226">
        <v>200</v>
      </c>
      <c r="I1479" s="17">
        <v>0</v>
      </c>
      <c r="J1479" s="234">
        <v>0</v>
      </c>
      <c r="K1479" s="226">
        <v>1</v>
      </c>
      <c r="L1479" s="226"/>
      <c r="M1479" s="226"/>
      <c r="N1479" s="226"/>
      <c r="O1479" s="226"/>
      <c r="P1479" s="226"/>
      <c r="Q1479" s="228"/>
      <c r="R1479" s="228"/>
      <c r="S1479" s="228"/>
      <c r="T1479" s="228"/>
      <c r="U1479" s="226">
        <v>1</v>
      </c>
      <c r="V1479" s="226">
        <v>1</v>
      </c>
      <c r="W1479" s="226"/>
      <c r="X1479" s="226"/>
      <c r="Y1479" s="226"/>
      <c r="Z1479" s="230">
        <v>0</v>
      </c>
      <c r="AA1479" s="226"/>
      <c r="AB1479" s="231"/>
      <c r="AC1479" s="231"/>
      <c r="AD1479" s="226"/>
      <c r="AE1479" s="226"/>
      <c r="AF1479" s="226"/>
      <c r="AG1479" s="226"/>
      <c r="AH1479" s="226"/>
      <c r="AI1479" s="226"/>
      <c r="AJ1479" s="226"/>
      <c r="AK1479" s="226"/>
      <c r="AL1479" s="234">
        <v>0</v>
      </c>
      <c r="AM1479" s="226" t="s">
        <v>1347</v>
      </c>
      <c r="AN1479" s="226" t="s">
        <v>6034</v>
      </c>
      <c r="AO1479" s="226"/>
      <c r="AP1479" s="226">
        <v>0</v>
      </c>
      <c r="AQ1479" s="226">
        <v>0</v>
      </c>
      <c r="AR1479" s="226">
        <v>0</v>
      </c>
      <c r="AS1479" s="226">
        <v>0</v>
      </c>
      <c r="AT1479" s="226">
        <v>0</v>
      </c>
      <c r="AU1479" s="226">
        <v>0</v>
      </c>
      <c r="AV1479" s="17">
        <f t="shared" si="200"/>
        <v>0</v>
      </c>
      <c r="AW1479" s="50" t="s">
        <v>2788</v>
      </c>
    </row>
    <row r="1480" spans="1:49" ht="72" x14ac:dyDescent="0.15">
      <c r="A1480" s="149">
        <v>30074</v>
      </c>
      <c r="B1480" s="226"/>
      <c r="C1480" s="226" t="s">
        <v>4213</v>
      </c>
      <c r="D1480" s="226">
        <v>3</v>
      </c>
      <c r="E1480" s="226">
        <v>0</v>
      </c>
      <c r="F1480" s="226">
        <v>3</v>
      </c>
      <c r="G1480" s="234">
        <v>60</v>
      </c>
      <c r="H1480" s="226">
        <v>200</v>
      </c>
      <c r="I1480" s="17">
        <v>0</v>
      </c>
      <c r="J1480" s="234">
        <v>999</v>
      </c>
      <c r="K1480" s="226">
        <v>999</v>
      </c>
      <c r="L1480" s="226"/>
      <c r="M1480" s="226"/>
      <c r="N1480" s="226"/>
      <c r="O1480" s="226"/>
      <c r="P1480" s="226"/>
      <c r="Q1480" s="228"/>
      <c r="R1480" s="228"/>
      <c r="S1480" s="228"/>
      <c r="T1480" s="228"/>
      <c r="U1480" s="226">
        <v>1</v>
      </c>
      <c r="V1480" s="226">
        <v>1</v>
      </c>
      <c r="W1480" s="226"/>
      <c r="X1480" s="226"/>
      <c r="Y1480" s="226"/>
      <c r="Z1480" s="230">
        <v>0</v>
      </c>
      <c r="AA1480" s="226"/>
      <c r="AB1480" s="231"/>
      <c r="AC1480" s="231"/>
      <c r="AD1480" s="226"/>
      <c r="AE1480" s="226"/>
      <c r="AF1480" s="226"/>
      <c r="AG1480" s="226"/>
      <c r="AH1480" s="226"/>
      <c r="AI1480" s="226"/>
      <c r="AJ1480" s="226"/>
      <c r="AK1480" s="226"/>
      <c r="AL1480" s="234">
        <v>0</v>
      </c>
      <c r="AM1480" s="226" t="s">
        <v>1347</v>
      </c>
      <c r="AN1480" s="226" t="s">
        <v>6034</v>
      </c>
      <c r="AO1480" s="226"/>
      <c r="AP1480" s="226">
        <v>0</v>
      </c>
      <c r="AQ1480" s="226">
        <v>0</v>
      </c>
      <c r="AR1480" s="226">
        <v>0</v>
      </c>
      <c r="AS1480" s="226">
        <v>0</v>
      </c>
      <c r="AT1480" s="226">
        <v>0</v>
      </c>
      <c r="AU1480" s="226">
        <v>0</v>
      </c>
      <c r="AV1480" s="17">
        <f t="shared" si="200"/>
        <v>0</v>
      </c>
      <c r="AW1480" s="50" t="s">
        <v>2788</v>
      </c>
    </row>
    <row r="1481" spans="1:49" ht="72" x14ac:dyDescent="0.15">
      <c r="A1481" s="149">
        <v>30075</v>
      </c>
      <c r="B1481" s="226"/>
      <c r="C1481" s="226" t="s">
        <v>2910</v>
      </c>
      <c r="D1481" s="226">
        <v>3</v>
      </c>
      <c r="E1481" s="226">
        <v>0</v>
      </c>
      <c r="F1481" s="226">
        <v>3</v>
      </c>
      <c r="G1481" s="234">
        <v>71</v>
      </c>
      <c r="H1481" s="226">
        <v>200</v>
      </c>
      <c r="I1481" s="17">
        <v>0</v>
      </c>
      <c r="J1481" s="234">
        <v>0</v>
      </c>
      <c r="K1481" s="226">
        <v>3</v>
      </c>
      <c r="L1481" s="226"/>
      <c r="M1481" s="226"/>
      <c r="N1481" s="226"/>
      <c r="O1481" s="226"/>
      <c r="P1481" s="226"/>
      <c r="Q1481" s="228"/>
      <c r="R1481" s="228"/>
      <c r="S1481" s="228"/>
      <c r="T1481" s="228"/>
      <c r="U1481" s="226">
        <v>1</v>
      </c>
      <c r="V1481" s="226">
        <v>1</v>
      </c>
      <c r="W1481" s="226"/>
      <c r="X1481" s="226"/>
      <c r="Y1481" s="226"/>
      <c r="Z1481" s="230">
        <v>0</v>
      </c>
      <c r="AA1481" s="226"/>
      <c r="AB1481" s="231"/>
      <c r="AC1481" s="231"/>
      <c r="AD1481" s="226"/>
      <c r="AE1481" s="226"/>
      <c r="AF1481" s="226"/>
      <c r="AG1481" s="226"/>
      <c r="AH1481" s="226"/>
      <c r="AI1481" s="226"/>
      <c r="AJ1481" s="226"/>
      <c r="AK1481" s="226"/>
      <c r="AL1481" s="234">
        <v>0</v>
      </c>
      <c r="AM1481" s="226" t="s">
        <v>1347</v>
      </c>
      <c r="AN1481" s="226" t="s">
        <v>6034</v>
      </c>
      <c r="AO1481" s="226"/>
      <c r="AP1481" s="226">
        <v>0</v>
      </c>
      <c r="AQ1481" s="226">
        <v>0</v>
      </c>
      <c r="AR1481" s="226">
        <v>0</v>
      </c>
      <c r="AS1481" s="226">
        <v>0</v>
      </c>
      <c r="AT1481" s="226">
        <v>0</v>
      </c>
      <c r="AU1481" s="226">
        <v>0</v>
      </c>
      <c r="AV1481" s="17">
        <f t="shared" si="200"/>
        <v>0</v>
      </c>
      <c r="AW1481" s="50" t="s">
        <v>2788</v>
      </c>
    </row>
    <row r="1482" spans="1:49" ht="72" x14ac:dyDescent="0.15">
      <c r="A1482" s="149">
        <v>30076</v>
      </c>
      <c r="B1482" s="226"/>
      <c r="C1482" s="226" t="s">
        <v>4117</v>
      </c>
      <c r="D1482" s="226">
        <v>3</v>
      </c>
      <c r="E1482" s="226">
        <v>0</v>
      </c>
      <c r="F1482" s="226">
        <v>3</v>
      </c>
      <c r="G1482" s="234">
        <v>61</v>
      </c>
      <c r="H1482" s="226">
        <v>200</v>
      </c>
      <c r="I1482" s="17">
        <v>0</v>
      </c>
      <c r="J1482" s="234">
        <v>999</v>
      </c>
      <c r="K1482" s="226">
        <v>999</v>
      </c>
      <c r="L1482" s="226"/>
      <c r="M1482" s="226"/>
      <c r="N1482" s="226"/>
      <c r="O1482" s="226"/>
      <c r="P1482" s="226"/>
      <c r="Q1482" s="228"/>
      <c r="R1482" s="228"/>
      <c r="S1482" s="228"/>
      <c r="T1482" s="228"/>
      <c r="U1482" s="226">
        <v>1</v>
      </c>
      <c r="V1482" s="226">
        <v>1</v>
      </c>
      <c r="W1482" s="226"/>
      <c r="X1482" s="226"/>
      <c r="Y1482" s="226"/>
      <c r="Z1482" s="230">
        <v>0</v>
      </c>
      <c r="AA1482" s="226"/>
      <c r="AB1482" s="231"/>
      <c r="AC1482" s="231"/>
      <c r="AD1482" s="226"/>
      <c r="AE1482" s="226"/>
      <c r="AF1482" s="226"/>
      <c r="AG1482" s="226"/>
      <c r="AH1482" s="226"/>
      <c r="AI1482" s="226"/>
      <c r="AJ1482" s="226"/>
      <c r="AK1482" s="226"/>
      <c r="AL1482" s="234">
        <v>0</v>
      </c>
      <c r="AM1482" s="226" t="s">
        <v>1347</v>
      </c>
      <c r="AN1482" s="226" t="s">
        <v>6034</v>
      </c>
      <c r="AO1482" s="226"/>
      <c r="AP1482" s="226">
        <v>0</v>
      </c>
      <c r="AQ1482" s="226">
        <v>0</v>
      </c>
      <c r="AR1482" s="226">
        <v>0</v>
      </c>
      <c r="AS1482" s="226">
        <v>0</v>
      </c>
      <c r="AT1482" s="226">
        <v>0</v>
      </c>
      <c r="AU1482" s="226">
        <v>0</v>
      </c>
      <c r="AV1482" s="17">
        <f t="shared" si="200"/>
        <v>0</v>
      </c>
      <c r="AW1482" s="50" t="s">
        <v>2788</v>
      </c>
    </row>
    <row r="1483" spans="1:49" ht="72" x14ac:dyDescent="0.15">
      <c r="A1483" s="149">
        <v>30077</v>
      </c>
      <c r="B1483" s="226"/>
      <c r="C1483" s="226" t="s">
        <v>2911</v>
      </c>
      <c r="D1483" s="226">
        <v>3</v>
      </c>
      <c r="E1483" s="226">
        <v>0</v>
      </c>
      <c r="F1483" s="226">
        <v>3</v>
      </c>
      <c r="G1483" s="234">
        <v>61</v>
      </c>
      <c r="H1483" s="226">
        <v>200</v>
      </c>
      <c r="I1483" s="17">
        <v>0</v>
      </c>
      <c r="J1483" s="234">
        <v>999</v>
      </c>
      <c r="K1483" s="226">
        <v>999</v>
      </c>
      <c r="L1483" s="226"/>
      <c r="M1483" s="226"/>
      <c r="N1483" s="226"/>
      <c r="O1483" s="226"/>
      <c r="P1483" s="226"/>
      <c r="Q1483" s="228"/>
      <c r="R1483" s="228"/>
      <c r="S1483" s="228"/>
      <c r="T1483" s="228"/>
      <c r="U1483" s="226">
        <v>1</v>
      </c>
      <c r="V1483" s="226">
        <v>1</v>
      </c>
      <c r="W1483" s="226"/>
      <c r="X1483" s="226"/>
      <c r="Y1483" s="226"/>
      <c r="Z1483" s="230">
        <v>0</v>
      </c>
      <c r="AA1483" s="226"/>
      <c r="AB1483" s="231"/>
      <c r="AC1483" s="231"/>
      <c r="AD1483" s="226"/>
      <c r="AE1483" s="226"/>
      <c r="AF1483" s="226"/>
      <c r="AG1483" s="226"/>
      <c r="AH1483" s="226"/>
      <c r="AI1483" s="226"/>
      <c r="AJ1483" s="226"/>
      <c r="AK1483" s="226"/>
      <c r="AL1483" s="234">
        <v>0</v>
      </c>
      <c r="AM1483" s="226" t="s">
        <v>1347</v>
      </c>
      <c r="AN1483" s="226" t="s">
        <v>6034</v>
      </c>
      <c r="AO1483" s="226"/>
      <c r="AP1483" s="226">
        <v>0</v>
      </c>
      <c r="AQ1483" s="226">
        <v>0</v>
      </c>
      <c r="AR1483" s="226">
        <v>0</v>
      </c>
      <c r="AS1483" s="226">
        <v>0</v>
      </c>
      <c r="AT1483" s="226">
        <v>0</v>
      </c>
      <c r="AU1483" s="226">
        <v>0</v>
      </c>
      <c r="AV1483" s="17">
        <f t="shared" si="200"/>
        <v>0</v>
      </c>
      <c r="AW1483" s="50" t="s">
        <v>2788</v>
      </c>
    </row>
    <row r="1484" spans="1:49" ht="72" x14ac:dyDescent="0.15">
      <c r="A1484" s="149">
        <v>30078</v>
      </c>
      <c r="B1484" s="226"/>
      <c r="C1484" s="226" t="s">
        <v>2912</v>
      </c>
      <c r="D1484" s="226">
        <v>3</v>
      </c>
      <c r="E1484" s="226">
        <v>0</v>
      </c>
      <c r="F1484" s="226">
        <v>3</v>
      </c>
      <c r="G1484" s="234">
        <v>60</v>
      </c>
      <c r="H1484" s="226">
        <v>200</v>
      </c>
      <c r="I1484" s="17">
        <v>0</v>
      </c>
      <c r="J1484" s="234">
        <v>999</v>
      </c>
      <c r="K1484" s="226">
        <v>999</v>
      </c>
      <c r="L1484" s="226"/>
      <c r="M1484" s="226"/>
      <c r="N1484" s="226"/>
      <c r="O1484" s="226"/>
      <c r="P1484" s="226"/>
      <c r="Q1484" s="228"/>
      <c r="R1484" s="228"/>
      <c r="S1484" s="228"/>
      <c r="T1484" s="228"/>
      <c r="U1484" s="226">
        <v>1</v>
      </c>
      <c r="V1484" s="226">
        <v>1</v>
      </c>
      <c r="W1484" s="226"/>
      <c r="X1484" s="226"/>
      <c r="Y1484" s="226"/>
      <c r="Z1484" s="230">
        <v>0</v>
      </c>
      <c r="AA1484" s="226"/>
      <c r="AB1484" s="231"/>
      <c r="AC1484" s="231"/>
      <c r="AD1484" s="226"/>
      <c r="AE1484" s="226"/>
      <c r="AF1484" s="226"/>
      <c r="AG1484" s="226"/>
      <c r="AH1484" s="226"/>
      <c r="AI1484" s="226"/>
      <c r="AJ1484" s="226"/>
      <c r="AK1484" s="226"/>
      <c r="AL1484" s="234">
        <v>0</v>
      </c>
      <c r="AM1484" s="226" t="s">
        <v>1347</v>
      </c>
      <c r="AN1484" s="226" t="s">
        <v>6034</v>
      </c>
      <c r="AO1484" s="226"/>
      <c r="AP1484" s="226">
        <v>0</v>
      </c>
      <c r="AQ1484" s="226">
        <v>0</v>
      </c>
      <c r="AR1484" s="226">
        <v>0</v>
      </c>
      <c r="AS1484" s="226">
        <v>0</v>
      </c>
      <c r="AT1484" s="226">
        <v>0</v>
      </c>
      <c r="AU1484" s="226">
        <v>0</v>
      </c>
      <c r="AV1484" s="17">
        <f t="shared" si="200"/>
        <v>0</v>
      </c>
      <c r="AW1484" s="50" t="s">
        <v>2788</v>
      </c>
    </row>
    <row r="1485" spans="1:49" ht="72" x14ac:dyDescent="0.15">
      <c r="A1485" s="149">
        <v>30079</v>
      </c>
      <c r="B1485" s="226"/>
      <c r="C1485" s="226" t="s">
        <v>2913</v>
      </c>
      <c r="D1485" s="226">
        <v>3</v>
      </c>
      <c r="E1485" s="226">
        <v>0</v>
      </c>
      <c r="F1485" s="226">
        <v>3</v>
      </c>
      <c r="G1485" s="234">
        <v>61</v>
      </c>
      <c r="H1485" s="226">
        <v>200</v>
      </c>
      <c r="I1485" s="17">
        <v>0</v>
      </c>
      <c r="J1485" s="234">
        <v>999</v>
      </c>
      <c r="K1485" s="226">
        <v>999</v>
      </c>
      <c r="L1485" s="226"/>
      <c r="M1485" s="226"/>
      <c r="N1485" s="226"/>
      <c r="O1485" s="226"/>
      <c r="P1485" s="226"/>
      <c r="Q1485" s="228"/>
      <c r="R1485" s="228"/>
      <c r="S1485" s="228"/>
      <c r="T1485" s="228"/>
      <c r="U1485" s="226">
        <v>1</v>
      </c>
      <c r="V1485" s="226">
        <v>1</v>
      </c>
      <c r="W1485" s="226"/>
      <c r="X1485" s="226"/>
      <c r="Y1485" s="226"/>
      <c r="Z1485" s="230">
        <v>0</v>
      </c>
      <c r="AA1485" s="226"/>
      <c r="AB1485" s="231"/>
      <c r="AC1485" s="231"/>
      <c r="AD1485" s="226"/>
      <c r="AE1485" s="226"/>
      <c r="AF1485" s="226"/>
      <c r="AG1485" s="226"/>
      <c r="AH1485" s="226"/>
      <c r="AI1485" s="226"/>
      <c r="AJ1485" s="226"/>
      <c r="AK1485" s="226"/>
      <c r="AL1485" s="234">
        <v>0</v>
      </c>
      <c r="AM1485" s="226" t="s">
        <v>1347</v>
      </c>
      <c r="AN1485" s="226" t="s">
        <v>6034</v>
      </c>
      <c r="AO1485" s="226"/>
      <c r="AP1485" s="226">
        <v>0</v>
      </c>
      <c r="AQ1485" s="226">
        <v>0</v>
      </c>
      <c r="AR1485" s="226">
        <v>0</v>
      </c>
      <c r="AS1485" s="226">
        <v>0</v>
      </c>
      <c r="AT1485" s="226">
        <v>0</v>
      </c>
      <c r="AU1485" s="226">
        <v>0</v>
      </c>
      <c r="AV1485" s="17">
        <f t="shared" si="200"/>
        <v>0</v>
      </c>
      <c r="AW1485" s="50" t="s">
        <v>2788</v>
      </c>
    </row>
    <row r="1486" spans="1:49" ht="72" x14ac:dyDescent="0.15">
      <c r="A1486" s="149">
        <v>30080</v>
      </c>
      <c r="B1486" s="226"/>
      <c r="C1486" s="226" t="s">
        <v>2914</v>
      </c>
      <c r="D1486" s="226">
        <v>3</v>
      </c>
      <c r="E1486" s="226">
        <v>0</v>
      </c>
      <c r="F1486" s="226">
        <v>3</v>
      </c>
      <c r="G1486" s="234">
        <v>41</v>
      </c>
      <c r="H1486" s="226">
        <v>200</v>
      </c>
      <c r="I1486" s="17">
        <v>0</v>
      </c>
      <c r="J1486" s="234">
        <v>999</v>
      </c>
      <c r="K1486" s="226">
        <v>999</v>
      </c>
      <c r="L1486" s="226"/>
      <c r="M1486" s="226"/>
      <c r="N1486" s="226"/>
      <c r="O1486" s="226"/>
      <c r="P1486" s="226"/>
      <c r="Q1486" s="228"/>
      <c r="R1486" s="228"/>
      <c r="S1486" s="228"/>
      <c r="T1486" s="228"/>
      <c r="U1486" s="226">
        <v>1</v>
      </c>
      <c r="V1486" s="226">
        <v>1</v>
      </c>
      <c r="W1486" s="226"/>
      <c r="X1486" s="226"/>
      <c r="Y1486" s="226"/>
      <c r="Z1486" s="230">
        <v>0</v>
      </c>
      <c r="AA1486" s="226"/>
      <c r="AB1486" s="231"/>
      <c r="AC1486" s="231"/>
      <c r="AD1486" s="226"/>
      <c r="AE1486" s="226"/>
      <c r="AF1486" s="226"/>
      <c r="AG1486" s="226"/>
      <c r="AH1486" s="226"/>
      <c r="AI1486" s="226"/>
      <c r="AJ1486" s="226"/>
      <c r="AK1486" s="226"/>
      <c r="AL1486" s="234">
        <v>0</v>
      </c>
      <c r="AM1486" s="226" t="s">
        <v>1347</v>
      </c>
      <c r="AN1486" s="226" t="s">
        <v>6034</v>
      </c>
      <c r="AO1486" s="226"/>
      <c r="AP1486" s="226">
        <v>0</v>
      </c>
      <c r="AQ1486" s="226">
        <v>0</v>
      </c>
      <c r="AR1486" s="226">
        <v>0</v>
      </c>
      <c r="AS1486" s="226">
        <v>0</v>
      </c>
      <c r="AT1486" s="226">
        <v>0</v>
      </c>
      <c r="AU1486" s="226">
        <v>0</v>
      </c>
      <c r="AV1486" s="17">
        <f t="shared" si="200"/>
        <v>0</v>
      </c>
      <c r="AW1486" s="50" t="s">
        <v>2788</v>
      </c>
    </row>
    <row r="1487" spans="1:49" ht="72" x14ac:dyDescent="0.15">
      <c r="A1487" s="149">
        <v>30081</v>
      </c>
      <c r="B1487" s="226"/>
      <c r="C1487" s="226" t="s">
        <v>2915</v>
      </c>
      <c r="D1487" s="226">
        <v>3</v>
      </c>
      <c r="E1487" s="226">
        <v>0</v>
      </c>
      <c r="F1487" s="226">
        <v>3</v>
      </c>
      <c r="G1487" s="234">
        <v>60</v>
      </c>
      <c r="H1487" s="226">
        <v>200</v>
      </c>
      <c r="I1487" s="17">
        <v>0</v>
      </c>
      <c r="J1487" s="234">
        <v>0</v>
      </c>
      <c r="K1487" s="226">
        <v>1</v>
      </c>
      <c r="L1487" s="226"/>
      <c r="M1487" s="226"/>
      <c r="N1487" s="226"/>
      <c r="O1487" s="226"/>
      <c r="P1487" s="226"/>
      <c r="Q1487" s="228"/>
      <c r="R1487" s="228"/>
      <c r="S1487" s="228"/>
      <c r="T1487" s="228"/>
      <c r="U1487" s="226">
        <v>1</v>
      </c>
      <c r="V1487" s="226">
        <v>1</v>
      </c>
      <c r="W1487" s="226"/>
      <c r="X1487" s="226"/>
      <c r="Y1487" s="226"/>
      <c r="Z1487" s="230">
        <v>0</v>
      </c>
      <c r="AA1487" s="226"/>
      <c r="AB1487" s="231"/>
      <c r="AC1487" s="231"/>
      <c r="AD1487" s="226"/>
      <c r="AE1487" s="226"/>
      <c r="AF1487" s="226"/>
      <c r="AG1487" s="226"/>
      <c r="AH1487" s="226"/>
      <c r="AI1487" s="226"/>
      <c r="AJ1487" s="226"/>
      <c r="AK1487" s="226"/>
      <c r="AL1487" s="234">
        <v>0</v>
      </c>
      <c r="AM1487" s="226" t="s">
        <v>1347</v>
      </c>
      <c r="AN1487" s="226" t="s">
        <v>6034</v>
      </c>
      <c r="AO1487" s="226"/>
      <c r="AP1487" s="226">
        <v>0</v>
      </c>
      <c r="AQ1487" s="226">
        <v>0</v>
      </c>
      <c r="AR1487" s="226">
        <v>0</v>
      </c>
      <c r="AS1487" s="226">
        <v>0</v>
      </c>
      <c r="AT1487" s="226">
        <v>0</v>
      </c>
      <c r="AU1487" s="226">
        <v>0</v>
      </c>
      <c r="AV1487" s="17">
        <f t="shared" si="200"/>
        <v>0</v>
      </c>
      <c r="AW1487" s="50" t="s">
        <v>2788</v>
      </c>
    </row>
    <row r="1488" spans="1:49" ht="72" x14ac:dyDescent="0.15">
      <c r="A1488" s="149">
        <v>30082</v>
      </c>
      <c r="B1488" s="226"/>
      <c r="C1488" s="226" t="s">
        <v>4107</v>
      </c>
      <c r="D1488" s="226">
        <v>3</v>
      </c>
      <c r="E1488" s="226">
        <v>0</v>
      </c>
      <c r="F1488" s="226">
        <v>3</v>
      </c>
      <c r="G1488" s="234">
        <v>51</v>
      </c>
      <c r="H1488" s="226">
        <v>200</v>
      </c>
      <c r="I1488" s="17">
        <v>0</v>
      </c>
      <c r="J1488" s="234">
        <v>0</v>
      </c>
      <c r="K1488" s="226">
        <v>2</v>
      </c>
      <c r="L1488" s="226"/>
      <c r="M1488" s="226"/>
      <c r="N1488" s="226"/>
      <c r="O1488" s="226"/>
      <c r="P1488" s="226"/>
      <c r="Q1488" s="228"/>
      <c r="R1488" s="228"/>
      <c r="S1488" s="228"/>
      <c r="T1488" s="228"/>
      <c r="U1488" s="226">
        <v>1</v>
      </c>
      <c r="V1488" s="226">
        <v>1</v>
      </c>
      <c r="W1488" s="226"/>
      <c r="X1488" s="226"/>
      <c r="Y1488" s="226"/>
      <c r="Z1488" s="230">
        <v>0</v>
      </c>
      <c r="AA1488" s="226"/>
      <c r="AB1488" s="231"/>
      <c r="AC1488" s="231"/>
      <c r="AD1488" s="226"/>
      <c r="AE1488" s="226"/>
      <c r="AF1488" s="226"/>
      <c r="AG1488" s="226"/>
      <c r="AH1488" s="226"/>
      <c r="AI1488" s="226"/>
      <c r="AJ1488" s="226"/>
      <c r="AK1488" s="226"/>
      <c r="AL1488" s="234">
        <v>0</v>
      </c>
      <c r="AM1488" s="226" t="s">
        <v>1347</v>
      </c>
      <c r="AN1488" s="226" t="s">
        <v>6034</v>
      </c>
      <c r="AO1488" s="226"/>
      <c r="AP1488" s="226">
        <v>0</v>
      </c>
      <c r="AQ1488" s="226">
        <v>0</v>
      </c>
      <c r="AR1488" s="226">
        <v>0</v>
      </c>
      <c r="AS1488" s="226">
        <v>0</v>
      </c>
      <c r="AT1488" s="226">
        <v>0</v>
      </c>
      <c r="AU1488" s="226">
        <v>0</v>
      </c>
      <c r="AV1488" s="17">
        <f t="shared" si="200"/>
        <v>0</v>
      </c>
      <c r="AW1488" s="50" t="s">
        <v>2788</v>
      </c>
    </row>
    <row r="1489" spans="1:49" ht="72" x14ac:dyDescent="0.15">
      <c r="A1489" s="149">
        <v>30083</v>
      </c>
      <c r="B1489" s="226"/>
      <c r="C1489" s="226" t="s">
        <v>2951</v>
      </c>
      <c r="D1489" s="226">
        <v>3</v>
      </c>
      <c r="E1489" s="226">
        <v>0</v>
      </c>
      <c r="F1489" s="226">
        <v>5</v>
      </c>
      <c r="G1489" s="234">
        <v>60</v>
      </c>
      <c r="H1489" s="226">
        <v>200</v>
      </c>
      <c r="I1489" s="17">
        <v>0</v>
      </c>
      <c r="J1489" s="234">
        <v>999</v>
      </c>
      <c r="K1489" s="226">
        <v>999</v>
      </c>
      <c r="L1489" s="226"/>
      <c r="M1489" s="226"/>
      <c r="N1489" s="226"/>
      <c r="O1489" s="226"/>
      <c r="P1489" s="226"/>
      <c r="Q1489" s="228"/>
      <c r="R1489" s="228"/>
      <c r="S1489" s="228"/>
      <c r="T1489" s="228"/>
      <c r="U1489" s="226">
        <v>1</v>
      </c>
      <c r="V1489" s="226">
        <v>1</v>
      </c>
      <c r="W1489" s="226"/>
      <c r="X1489" s="226"/>
      <c r="Y1489" s="226"/>
      <c r="Z1489" s="230">
        <v>0</v>
      </c>
      <c r="AA1489" s="226"/>
      <c r="AB1489" s="231"/>
      <c r="AC1489" s="231"/>
      <c r="AD1489" s="226"/>
      <c r="AE1489" s="226"/>
      <c r="AF1489" s="226"/>
      <c r="AG1489" s="226"/>
      <c r="AH1489" s="226"/>
      <c r="AI1489" s="226"/>
      <c r="AJ1489" s="226"/>
      <c r="AK1489" s="226"/>
      <c r="AL1489" s="234">
        <v>0</v>
      </c>
      <c r="AM1489" s="226" t="s">
        <v>1347</v>
      </c>
      <c r="AN1489" s="226" t="s">
        <v>6034</v>
      </c>
      <c r="AO1489" s="226"/>
      <c r="AP1489" s="226">
        <v>0</v>
      </c>
      <c r="AQ1489" s="226">
        <v>0</v>
      </c>
      <c r="AR1489" s="226">
        <v>0</v>
      </c>
      <c r="AS1489" s="226">
        <v>0</v>
      </c>
      <c r="AT1489" s="226">
        <v>0</v>
      </c>
      <c r="AU1489" s="226">
        <v>0</v>
      </c>
      <c r="AV1489" s="17">
        <f t="shared" si="200"/>
        <v>0</v>
      </c>
      <c r="AW1489" s="50" t="s">
        <v>2788</v>
      </c>
    </row>
    <row r="1490" spans="1:49" x14ac:dyDescent="0.15">
      <c r="A1490" s="149">
        <v>30084</v>
      </c>
      <c r="B1490" s="226"/>
      <c r="C1490" s="713" t="s">
        <v>3275</v>
      </c>
      <c r="D1490" s="226">
        <v>3</v>
      </c>
      <c r="E1490" s="226">
        <v>0</v>
      </c>
      <c r="F1490" s="226">
        <v>8</v>
      </c>
      <c r="G1490" s="234">
        <v>70</v>
      </c>
      <c r="H1490" s="226">
        <v>200</v>
      </c>
      <c r="I1490" s="17">
        <v>0</v>
      </c>
      <c r="J1490" s="234">
        <v>999</v>
      </c>
      <c r="K1490" s="226">
        <v>999</v>
      </c>
      <c r="L1490" s="226">
        <v>228</v>
      </c>
      <c r="M1490" s="226"/>
      <c r="N1490" s="226">
        <v>228</v>
      </c>
      <c r="O1490" s="226"/>
      <c r="P1490" s="226"/>
      <c r="Q1490" s="228"/>
      <c r="R1490" s="228"/>
      <c r="S1490" s="228"/>
      <c r="T1490" s="228"/>
      <c r="U1490" s="226">
        <v>1</v>
      </c>
      <c r="V1490" s="226">
        <v>1</v>
      </c>
      <c r="W1490" s="226"/>
      <c r="X1490" s="226"/>
      <c r="Y1490" s="226"/>
      <c r="Z1490" s="230">
        <v>0</v>
      </c>
      <c r="AA1490" s="226"/>
      <c r="AB1490" s="231"/>
      <c r="AC1490" s="231"/>
      <c r="AD1490" s="226"/>
      <c r="AE1490" s="226"/>
      <c r="AF1490" s="226"/>
      <c r="AG1490" s="226"/>
      <c r="AH1490" s="226"/>
      <c r="AI1490" s="226"/>
      <c r="AJ1490" s="226"/>
      <c r="AK1490" s="226"/>
      <c r="AL1490" s="234"/>
      <c r="AM1490" s="226"/>
      <c r="AN1490" s="226"/>
      <c r="AO1490" s="713"/>
      <c r="AP1490" s="226">
        <v>1</v>
      </c>
      <c r="AQ1490" s="226">
        <v>0</v>
      </c>
      <c r="AR1490" s="226">
        <v>0</v>
      </c>
      <c r="AS1490" s="226">
        <v>0</v>
      </c>
      <c r="AT1490" s="226">
        <v>0</v>
      </c>
      <c r="AU1490" s="226">
        <v>0</v>
      </c>
      <c r="AV1490" s="17">
        <f t="shared" si="200"/>
        <v>0</v>
      </c>
      <c r="AW1490" s="50" t="s">
        <v>2788</v>
      </c>
    </row>
    <row r="1491" spans="1:49" ht="72" x14ac:dyDescent="0.15">
      <c r="A1491" s="711">
        <v>30085</v>
      </c>
      <c r="B1491" s="713"/>
      <c r="C1491" s="226" t="s">
        <v>3370</v>
      </c>
      <c r="D1491" s="226">
        <v>3</v>
      </c>
      <c r="E1491" s="226">
        <v>0</v>
      </c>
      <c r="F1491" s="226">
        <v>118</v>
      </c>
      <c r="G1491" s="234">
        <v>70</v>
      </c>
      <c r="H1491" s="226">
        <v>200</v>
      </c>
      <c r="I1491" s="17">
        <v>0</v>
      </c>
      <c r="J1491" s="234">
        <v>999</v>
      </c>
      <c r="K1491" s="226">
        <v>999</v>
      </c>
      <c r="L1491" s="226">
        <v>235</v>
      </c>
      <c r="M1491" s="226"/>
      <c r="N1491" s="226">
        <v>235</v>
      </c>
      <c r="O1491" s="226"/>
      <c r="P1491" s="226"/>
      <c r="Q1491" s="228"/>
      <c r="R1491" s="228"/>
      <c r="S1491" s="228"/>
      <c r="T1491" s="228"/>
      <c r="U1491" s="226">
        <v>1</v>
      </c>
      <c r="V1491" s="226">
        <v>1</v>
      </c>
      <c r="W1491" s="226"/>
      <c r="X1491" s="226"/>
      <c r="Y1491" s="226"/>
      <c r="Z1491" s="230">
        <v>0</v>
      </c>
      <c r="AA1491" s="226"/>
      <c r="AB1491" s="231"/>
      <c r="AC1491" s="231"/>
      <c r="AD1491" s="226"/>
      <c r="AE1491" s="226"/>
      <c r="AF1491" s="226"/>
      <c r="AG1491" s="226"/>
      <c r="AH1491" s="226"/>
      <c r="AI1491" s="226"/>
      <c r="AJ1491" s="226"/>
      <c r="AK1491" s="226"/>
      <c r="AL1491" s="234"/>
      <c r="AM1491" s="226" t="s">
        <v>3371</v>
      </c>
      <c r="AN1491" s="226" t="s">
        <v>6047</v>
      </c>
      <c r="AO1491" s="713"/>
      <c r="AP1491" s="226">
        <v>1</v>
      </c>
      <c r="AQ1491" s="226">
        <v>0</v>
      </c>
      <c r="AR1491" s="226">
        <v>0</v>
      </c>
      <c r="AS1491" s="226">
        <v>0</v>
      </c>
      <c r="AT1491" s="226">
        <v>0</v>
      </c>
      <c r="AU1491" s="226">
        <v>0</v>
      </c>
      <c r="AV1491" s="17">
        <f t="shared" ref="AV1491:AV1567" si="217">IF(D1491 = 1,1,0)</f>
        <v>0</v>
      </c>
      <c r="AW1491" s="50" t="s">
        <v>2788</v>
      </c>
    </row>
    <row r="1492" spans="1:49" ht="72" x14ac:dyDescent="0.15">
      <c r="A1492" s="711">
        <v>30086</v>
      </c>
      <c r="B1492" s="713"/>
      <c r="C1492" s="226" t="s">
        <v>4137</v>
      </c>
      <c r="D1492" s="226">
        <v>3</v>
      </c>
      <c r="E1492" s="226">
        <v>0</v>
      </c>
      <c r="F1492" s="226">
        <v>160</v>
      </c>
      <c r="G1492" s="234">
        <v>31</v>
      </c>
      <c r="H1492" s="226">
        <v>200</v>
      </c>
      <c r="I1492" s="17">
        <v>0</v>
      </c>
      <c r="J1492" s="234">
        <v>999</v>
      </c>
      <c r="K1492" s="226">
        <v>999</v>
      </c>
      <c r="L1492" s="226">
        <v>307</v>
      </c>
      <c r="M1492" s="226"/>
      <c r="N1492" s="226">
        <v>307</v>
      </c>
      <c r="O1492" s="226"/>
      <c r="P1492" s="226"/>
      <c r="Q1492" s="228"/>
      <c r="R1492" s="228"/>
      <c r="S1492" s="228"/>
      <c r="T1492" s="228"/>
      <c r="U1492" s="226">
        <v>1</v>
      </c>
      <c r="V1492" s="226">
        <v>1</v>
      </c>
      <c r="W1492" s="226"/>
      <c r="X1492" s="226"/>
      <c r="Y1492" s="226"/>
      <c r="Z1492" s="230">
        <v>0</v>
      </c>
      <c r="AA1492" s="226"/>
      <c r="AB1492" s="231"/>
      <c r="AC1492" s="231"/>
      <c r="AD1492" s="226"/>
      <c r="AE1492" s="226"/>
      <c r="AF1492" s="226"/>
      <c r="AG1492" s="226"/>
      <c r="AH1492" s="226"/>
      <c r="AI1492" s="226"/>
      <c r="AJ1492" s="226"/>
      <c r="AK1492" s="226"/>
      <c r="AL1492" s="234"/>
      <c r="AM1492" s="226" t="s">
        <v>3403</v>
      </c>
      <c r="AN1492" s="226" t="s">
        <v>3403</v>
      </c>
      <c r="AO1492" s="713"/>
      <c r="AP1492" s="226">
        <v>1</v>
      </c>
      <c r="AQ1492" s="226">
        <v>0</v>
      </c>
      <c r="AR1492" s="226">
        <v>0</v>
      </c>
      <c r="AS1492" s="226">
        <v>0</v>
      </c>
      <c r="AT1492" s="226">
        <v>0</v>
      </c>
      <c r="AU1492" s="226">
        <v>0</v>
      </c>
      <c r="AV1492" s="17">
        <f t="shared" si="217"/>
        <v>0</v>
      </c>
      <c r="AW1492" s="50" t="s">
        <v>2788</v>
      </c>
    </row>
    <row r="1493" spans="1:49" ht="72" x14ac:dyDescent="0.15">
      <c r="A1493" s="711">
        <v>30087</v>
      </c>
      <c r="B1493" s="713"/>
      <c r="C1493" s="226" t="s">
        <v>3404</v>
      </c>
      <c r="D1493" s="226">
        <v>3</v>
      </c>
      <c r="E1493" s="226">
        <v>0</v>
      </c>
      <c r="F1493" s="226">
        <v>160</v>
      </c>
      <c r="G1493" s="234">
        <v>61</v>
      </c>
      <c r="H1493" s="226">
        <v>200</v>
      </c>
      <c r="I1493" s="17">
        <v>0</v>
      </c>
      <c r="J1493" s="234">
        <v>0</v>
      </c>
      <c r="K1493" s="226">
        <v>2</v>
      </c>
      <c r="L1493" s="226">
        <v>311</v>
      </c>
      <c r="M1493" s="226"/>
      <c r="N1493" s="226">
        <v>311</v>
      </c>
      <c r="O1493" s="226"/>
      <c r="P1493" s="226"/>
      <c r="Q1493" s="228"/>
      <c r="R1493" s="228"/>
      <c r="S1493" s="228"/>
      <c r="T1493" s="228"/>
      <c r="U1493" s="226">
        <v>1</v>
      </c>
      <c r="V1493" s="226">
        <v>1</v>
      </c>
      <c r="W1493" s="226"/>
      <c r="X1493" s="226"/>
      <c r="Y1493" s="226"/>
      <c r="Z1493" s="230">
        <v>0</v>
      </c>
      <c r="AA1493" s="226"/>
      <c r="AB1493" s="231"/>
      <c r="AC1493" s="231"/>
      <c r="AD1493" s="226"/>
      <c r="AE1493" s="226"/>
      <c r="AF1493" s="226"/>
      <c r="AG1493" s="226"/>
      <c r="AH1493" s="226"/>
      <c r="AI1493" s="226"/>
      <c r="AJ1493" s="226"/>
      <c r="AK1493" s="226"/>
      <c r="AL1493" s="234"/>
      <c r="AM1493" s="226" t="s">
        <v>3405</v>
      </c>
      <c r="AN1493" s="226" t="s">
        <v>3405</v>
      </c>
      <c r="AO1493" s="713"/>
      <c r="AP1493" s="226">
        <v>0</v>
      </c>
      <c r="AQ1493" s="226">
        <v>0</v>
      </c>
      <c r="AR1493" s="226">
        <v>0</v>
      </c>
      <c r="AS1493" s="226">
        <v>0</v>
      </c>
      <c r="AT1493" s="226">
        <v>0</v>
      </c>
      <c r="AU1493" s="226">
        <v>0</v>
      </c>
      <c r="AV1493" s="17">
        <f t="shared" si="217"/>
        <v>0</v>
      </c>
      <c r="AW1493" s="50" t="s">
        <v>2788</v>
      </c>
    </row>
    <row r="1494" spans="1:49" ht="72" x14ac:dyDescent="0.15">
      <c r="A1494" s="149">
        <v>30088</v>
      </c>
      <c r="B1494" s="226"/>
      <c r="C1494" s="226" t="s">
        <v>4797</v>
      </c>
      <c r="D1494" s="226">
        <v>3</v>
      </c>
      <c r="E1494" s="226">
        <v>0</v>
      </c>
      <c r="F1494" s="226">
        <v>3</v>
      </c>
      <c r="G1494" s="234">
        <v>41</v>
      </c>
      <c r="H1494" s="226">
        <v>200</v>
      </c>
      <c r="I1494" s="17">
        <v>0</v>
      </c>
      <c r="J1494" s="234">
        <v>999</v>
      </c>
      <c r="K1494" s="226">
        <v>999</v>
      </c>
      <c r="L1494" s="226"/>
      <c r="M1494" s="226"/>
      <c r="N1494" s="226"/>
      <c r="O1494" s="226"/>
      <c r="P1494" s="226"/>
      <c r="Q1494" s="228"/>
      <c r="R1494" s="228"/>
      <c r="S1494" s="228"/>
      <c r="T1494" s="228"/>
      <c r="U1494" s="226">
        <v>1</v>
      </c>
      <c r="V1494" s="226">
        <v>1</v>
      </c>
      <c r="W1494" s="226"/>
      <c r="X1494" s="226"/>
      <c r="Y1494" s="226"/>
      <c r="Z1494" s="230">
        <v>0</v>
      </c>
      <c r="AA1494" s="226"/>
      <c r="AB1494" s="231"/>
      <c r="AC1494" s="231"/>
      <c r="AD1494" s="226"/>
      <c r="AE1494" s="226"/>
      <c r="AF1494" s="226"/>
      <c r="AG1494" s="226"/>
      <c r="AH1494" s="226"/>
      <c r="AI1494" s="226"/>
      <c r="AJ1494" s="226"/>
      <c r="AK1494" s="226"/>
      <c r="AL1494" s="234">
        <v>0</v>
      </c>
      <c r="AM1494" s="226" t="s">
        <v>1347</v>
      </c>
      <c r="AN1494" s="226" t="s">
        <v>6034</v>
      </c>
      <c r="AO1494" s="226"/>
      <c r="AP1494" s="226">
        <v>0</v>
      </c>
      <c r="AQ1494" s="226">
        <v>0</v>
      </c>
      <c r="AR1494" s="226">
        <v>0</v>
      </c>
      <c r="AS1494" s="226">
        <v>0</v>
      </c>
      <c r="AT1494" s="226">
        <v>0</v>
      </c>
      <c r="AU1494" s="226">
        <v>0</v>
      </c>
      <c r="AV1494" s="17">
        <f t="shared" si="217"/>
        <v>0</v>
      </c>
      <c r="AW1494" s="50" t="s">
        <v>2788</v>
      </c>
    </row>
    <row r="1495" spans="1:49" x14ac:dyDescent="0.15">
      <c r="A1495" s="149">
        <v>30089</v>
      </c>
      <c r="B1495" s="226"/>
      <c r="C1495" s="226" t="s">
        <v>3686</v>
      </c>
      <c r="D1495" s="226">
        <v>3</v>
      </c>
      <c r="E1495" s="226">
        <v>0</v>
      </c>
      <c r="F1495" s="226">
        <v>5</v>
      </c>
      <c r="G1495" s="234">
        <v>200</v>
      </c>
      <c r="H1495" s="226">
        <v>200</v>
      </c>
      <c r="I1495" s="17">
        <v>0</v>
      </c>
      <c r="J1495" s="234">
        <v>0</v>
      </c>
      <c r="K1495" s="226">
        <v>1</v>
      </c>
      <c r="L1495" s="226"/>
      <c r="M1495" s="226"/>
      <c r="N1495" s="226"/>
      <c r="O1495" s="226"/>
      <c r="P1495" s="226"/>
      <c r="Q1495" s="228"/>
      <c r="R1495" s="228"/>
      <c r="S1495" s="228"/>
      <c r="T1495" s="228"/>
      <c r="U1495" s="226">
        <v>1</v>
      </c>
      <c r="V1495" s="226">
        <v>0</v>
      </c>
      <c r="W1495" s="226"/>
      <c r="X1495" s="226"/>
      <c r="Y1495" s="226"/>
      <c r="Z1495" s="230"/>
      <c r="AA1495" s="226"/>
      <c r="AB1495" s="231"/>
      <c r="AC1495" s="231"/>
      <c r="AD1495" s="226"/>
      <c r="AE1495" s="226"/>
      <c r="AF1495" s="226"/>
      <c r="AG1495" s="226"/>
      <c r="AH1495" s="226"/>
      <c r="AI1495" s="226"/>
      <c r="AJ1495" s="226"/>
      <c r="AK1495" s="226"/>
      <c r="AL1495" s="234">
        <v>0</v>
      </c>
      <c r="AM1495" s="226"/>
      <c r="AN1495" s="226"/>
      <c r="AO1495" s="226"/>
      <c r="AP1495" s="226">
        <v>0</v>
      </c>
      <c r="AQ1495" s="226">
        <v>0</v>
      </c>
      <c r="AR1495" s="226">
        <v>0</v>
      </c>
      <c r="AS1495" s="226">
        <v>0</v>
      </c>
      <c r="AT1495" s="226">
        <v>0</v>
      </c>
      <c r="AU1495" s="226">
        <v>0</v>
      </c>
      <c r="AV1495" s="17">
        <f t="shared" si="217"/>
        <v>0</v>
      </c>
      <c r="AW1495" s="50" t="s">
        <v>2788</v>
      </c>
    </row>
    <row r="1496" spans="1:49" ht="72" x14ac:dyDescent="0.15">
      <c r="A1496" s="711">
        <v>30091</v>
      </c>
      <c r="B1496" s="713"/>
      <c r="C1496" s="226" t="s">
        <v>8607</v>
      </c>
      <c r="D1496" s="226">
        <v>3</v>
      </c>
      <c r="E1496" s="226">
        <v>0</v>
      </c>
      <c r="F1496" s="226">
        <v>160</v>
      </c>
      <c r="G1496" s="234">
        <v>45</v>
      </c>
      <c r="H1496" s="226">
        <v>200</v>
      </c>
      <c r="I1496" s="17">
        <v>0</v>
      </c>
      <c r="J1496" s="234">
        <v>0</v>
      </c>
      <c r="K1496" s="226">
        <v>1</v>
      </c>
      <c r="L1496" s="226">
        <v>311</v>
      </c>
      <c r="M1496" s="226"/>
      <c r="N1496" s="226">
        <v>311</v>
      </c>
      <c r="O1496" s="226"/>
      <c r="P1496" s="226"/>
      <c r="Q1496" s="228"/>
      <c r="R1496" s="228"/>
      <c r="S1496" s="228"/>
      <c r="T1496" s="228"/>
      <c r="U1496" s="226">
        <v>1</v>
      </c>
      <c r="V1496" s="226">
        <v>1</v>
      </c>
      <c r="W1496" s="226"/>
      <c r="X1496" s="226"/>
      <c r="Y1496" s="226"/>
      <c r="Z1496" s="230">
        <v>0</v>
      </c>
      <c r="AA1496" s="226"/>
      <c r="AB1496" s="231"/>
      <c r="AC1496" s="231"/>
      <c r="AD1496" s="226"/>
      <c r="AE1496" s="226"/>
      <c r="AF1496" s="226"/>
      <c r="AG1496" s="226"/>
      <c r="AH1496" s="226"/>
      <c r="AI1496" s="226"/>
      <c r="AJ1496" s="226"/>
      <c r="AK1496" s="226"/>
      <c r="AL1496" s="234"/>
      <c r="AM1496" s="226" t="s">
        <v>3405</v>
      </c>
      <c r="AN1496" s="226" t="s">
        <v>3405</v>
      </c>
      <c r="AO1496" s="713"/>
      <c r="AP1496" s="226">
        <v>0</v>
      </c>
      <c r="AQ1496" s="226">
        <v>0</v>
      </c>
      <c r="AR1496" s="226">
        <v>0</v>
      </c>
      <c r="AS1496" s="226">
        <v>0</v>
      </c>
      <c r="AT1496" s="226">
        <v>0</v>
      </c>
      <c r="AU1496" s="226">
        <v>0</v>
      </c>
      <c r="AV1496" s="17">
        <f t="shared" ref="AV1496" si="218">IF(D1496 = 1,1,0)</f>
        <v>0</v>
      </c>
      <c r="AW1496" s="50" t="s">
        <v>2788</v>
      </c>
    </row>
    <row r="1497" spans="1:49" ht="72" x14ac:dyDescent="0.15">
      <c r="A1497" s="711">
        <v>30092</v>
      </c>
      <c r="B1497" s="713"/>
      <c r="C1497" s="226" t="s">
        <v>8611</v>
      </c>
      <c r="D1497" s="226">
        <v>3</v>
      </c>
      <c r="E1497" s="226">
        <v>0</v>
      </c>
      <c r="F1497" s="226">
        <v>160</v>
      </c>
      <c r="G1497" s="234">
        <v>55</v>
      </c>
      <c r="H1497" s="226">
        <v>200</v>
      </c>
      <c r="I1497" s="17">
        <v>0</v>
      </c>
      <c r="J1497" s="234">
        <v>0</v>
      </c>
      <c r="K1497" s="226">
        <v>1</v>
      </c>
      <c r="L1497" s="226">
        <v>311</v>
      </c>
      <c r="M1497" s="226"/>
      <c r="N1497" s="226">
        <v>311</v>
      </c>
      <c r="O1497" s="226"/>
      <c r="P1497" s="226"/>
      <c r="Q1497" s="228"/>
      <c r="R1497" s="228"/>
      <c r="S1497" s="228"/>
      <c r="T1497" s="228"/>
      <c r="U1497" s="226">
        <v>1</v>
      </c>
      <c r="V1497" s="226">
        <v>1</v>
      </c>
      <c r="W1497" s="226"/>
      <c r="X1497" s="226"/>
      <c r="Y1497" s="226"/>
      <c r="Z1497" s="230">
        <v>0</v>
      </c>
      <c r="AA1497" s="226"/>
      <c r="AB1497" s="231"/>
      <c r="AC1497" s="231"/>
      <c r="AD1497" s="226"/>
      <c r="AE1497" s="226"/>
      <c r="AF1497" s="226"/>
      <c r="AG1497" s="226"/>
      <c r="AH1497" s="226"/>
      <c r="AI1497" s="226"/>
      <c r="AJ1497" s="226"/>
      <c r="AK1497" s="226"/>
      <c r="AL1497" s="234"/>
      <c r="AM1497" s="226" t="s">
        <v>3405</v>
      </c>
      <c r="AN1497" s="226" t="s">
        <v>3405</v>
      </c>
      <c r="AO1497" s="713"/>
      <c r="AP1497" s="226">
        <v>0</v>
      </c>
      <c r="AQ1497" s="226">
        <v>0</v>
      </c>
      <c r="AR1497" s="226">
        <v>0</v>
      </c>
      <c r="AS1497" s="226">
        <v>0</v>
      </c>
      <c r="AT1497" s="226">
        <v>0</v>
      </c>
      <c r="AU1497" s="226">
        <v>0</v>
      </c>
      <c r="AV1497" s="17">
        <f t="shared" ref="AV1497" si="219">IF(D1497 = 1,1,0)</f>
        <v>0</v>
      </c>
      <c r="AW1497" s="50" t="s">
        <v>2788</v>
      </c>
    </row>
    <row r="1498" spans="1:49" ht="192.75" thickBot="1" x14ac:dyDescent="0.2">
      <c r="A1498" s="149">
        <v>30099</v>
      </c>
      <c r="B1498" s="226"/>
      <c r="C1498" s="226" t="s">
        <v>2380</v>
      </c>
      <c r="D1498" s="226">
        <v>3</v>
      </c>
      <c r="E1498" s="226">
        <v>0</v>
      </c>
      <c r="F1498" s="226">
        <v>3</v>
      </c>
      <c r="G1498" s="234">
        <v>200</v>
      </c>
      <c r="H1498" s="226">
        <v>200</v>
      </c>
      <c r="I1498" s="17">
        <v>0</v>
      </c>
      <c r="J1498" s="234">
        <v>0</v>
      </c>
      <c r="K1498" s="226">
        <v>1</v>
      </c>
      <c r="L1498" s="226">
        <v>135</v>
      </c>
      <c r="M1498" s="226"/>
      <c r="N1498" s="226">
        <v>135</v>
      </c>
      <c r="O1498" s="226"/>
      <c r="P1498" s="226"/>
      <c r="Q1498" s="228"/>
      <c r="R1498" s="228"/>
      <c r="S1498" s="228"/>
      <c r="T1498" s="228"/>
      <c r="U1498" s="226">
        <v>1</v>
      </c>
      <c r="V1498" s="226">
        <v>0</v>
      </c>
      <c r="W1498" s="226"/>
      <c r="X1498" s="226"/>
      <c r="Y1498" s="226"/>
      <c r="Z1498" s="230">
        <v>0</v>
      </c>
      <c r="AA1498" s="226"/>
      <c r="AB1498" s="231"/>
      <c r="AC1498" s="231"/>
      <c r="AD1498" s="489" t="s">
        <v>1766</v>
      </c>
      <c r="AE1498" s="226"/>
      <c r="AF1498" s="621" t="s">
        <v>2468</v>
      </c>
      <c r="AG1498" s="621" t="s">
        <v>4378</v>
      </c>
      <c r="AH1498" s="621" t="s">
        <v>1271</v>
      </c>
      <c r="AI1498" s="621" t="s">
        <v>4108</v>
      </c>
      <c r="AJ1498" s="621" t="s">
        <v>4109</v>
      </c>
      <c r="AK1498" s="621"/>
      <c r="AL1498" s="703">
        <v>0</v>
      </c>
      <c r="AM1498" s="621" t="s">
        <v>1765</v>
      </c>
      <c r="AN1498" s="621" t="s">
        <v>6048</v>
      </c>
      <c r="AO1498" s="73"/>
      <c r="AP1498" s="73">
        <v>0</v>
      </c>
      <c r="AQ1498" s="73">
        <v>0</v>
      </c>
      <c r="AR1498" s="73">
        <v>0</v>
      </c>
      <c r="AS1498" s="73">
        <v>0</v>
      </c>
      <c r="AT1498" s="73">
        <v>0</v>
      </c>
      <c r="AU1498" s="226">
        <v>0</v>
      </c>
      <c r="AV1498" s="17">
        <f t="shared" si="217"/>
        <v>0</v>
      </c>
      <c r="AW1498" s="50" t="str">
        <f>"{s_taskCustom,{"&amp;L1498&amp;","&amp;N1498&amp;","&amp;U1498&amp;","&amp;V1498&amp;"}}"</f>
        <v>{s_taskCustom,{135,135,1,0}}</v>
      </c>
    </row>
    <row r="1499" spans="1:49" ht="180.75" thickBot="1" x14ac:dyDescent="0.2">
      <c r="A1499" s="149">
        <v>30100</v>
      </c>
      <c r="B1499" s="226"/>
      <c r="C1499" s="226" t="s">
        <v>2381</v>
      </c>
      <c r="D1499" s="226">
        <v>3</v>
      </c>
      <c r="E1499" s="226">
        <v>0</v>
      </c>
      <c r="F1499" s="226">
        <v>5</v>
      </c>
      <c r="G1499" s="234">
        <v>200</v>
      </c>
      <c r="H1499" s="226">
        <v>200</v>
      </c>
      <c r="I1499" s="17">
        <v>0</v>
      </c>
      <c r="J1499" s="234">
        <v>0</v>
      </c>
      <c r="K1499" s="226">
        <v>1</v>
      </c>
      <c r="L1499" s="226">
        <v>60559</v>
      </c>
      <c r="M1499" s="226"/>
      <c r="N1499" s="226">
        <v>60559</v>
      </c>
      <c r="O1499" s="226"/>
      <c r="P1499" s="226"/>
      <c r="Q1499" s="228"/>
      <c r="R1499" s="228"/>
      <c r="S1499" s="228"/>
      <c r="T1499" s="228"/>
      <c r="U1499" s="226">
        <v>1</v>
      </c>
      <c r="V1499" s="226">
        <v>0</v>
      </c>
      <c r="W1499" s="226"/>
      <c r="X1499" s="226"/>
      <c r="Y1499" s="226"/>
      <c r="Z1499" s="230">
        <v>0</v>
      </c>
      <c r="AA1499" s="226"/>
      <c r="AB1499" s="231"/>
      <c r="AC1499" s="231"/>
      <c r="AD1499" s="489" t="s">
        <v>1791</v>
      </c>
      <c r="AE1499" s="226"/>
      <c r="AF1499" s="621" t="s">
        <v>2469</v>
      </c>
      <c r="AG1499" s="621" t="s">
        <v>4379</v>
      </c>
      <c r="AH1499" s="621" t="s">
        <v>1271</v>
      </c>
      <c r="AI1499" s="621" t="s">
        <v>4108</v>
      </c>
      <c r="AJ1499" s="621" t="s">
        <v>4109</v>
      </c>
      <c r="AK1499" s="621"/>
      <c r="AL1499" s="703">
        <v>0</v>
      </c>
      <c r="AM1499" s="621" t="s">
        <v>1796</v>
      </c>
      <c r="AN1499" s="621" t="s">
        <v>6049</v>
      </c>
      <c r="AO1499" s="73"/>
      <c r="AP1499" s="73">
        <v>0</v>
      </c>
      <c r="AQ1499" s="73">
        <v>0</v>
      </c>
      <c r="AR1499" s="73">
        <v>0</v>
      </c>
      <c r="AS1499" s="73">
        <v>0</v>
      </c>
      <c r="AT1499" s="73">
        <v>0</v>
      </c>
      <c r="AU1499" s="226">
        <v>0</v>
      </c>
      <c r="AV1499" s="17">
        <f t="shared" si="217"/>
        <v>0</v>
      </c>
      <c r="AW1499" s="50" t="str">
        <f>"{s_taskCustom,{"&amp;L1499&amp;","&amp;N1499&amp;","&amp;U1499&amp;","&amp;V1499&amp;"}}"</f>
        <v>{s_taskCustom,{60559,60559,1,0}}</v>
      </c>
    </row>
    <row r="1500" spans="1:49" ht="180.75" thickBot="1" x14ac:dyDescent="0.2">
      <c r="A1500" s="149">
        <v>30101</v>
      </c>
      <c r="B1500" s="226"/>
      <c r="C1500" s="226" t="s">
        <v>2507</v>
      </c>
      <c r="D1500" s="226">
        <v>3</v>
      </c>
      <c r="E1500" s="226">
        <v>0</v>
      </c>
      <c r="F1500" s="226">
        <v>5</v>
      </c>
      <c r="G1500" s="234">
        <v>200</v>
      </c>
      <c r="H1500" s="226">
        <v>200</v>
      </c>
      <c r="I1500" s="17">
        <v>0</v>
      </c>
      <c r="J1500" s="234">
        <v>0</v>
      </c>
      <c r="K1500" s="226">
        <v>1</v>
      </c>
      <c r="L1500" s="226">
        <v>60559</v>
      </c>
      <c r="M1500" s="226"/>
      <c r="N1500" s="226">
        <v>60559</v>
      </c>
      <c r="O1500" s="226"/>
      <c r="P1500" s="226"/>
      <c r="Q1500" s="228"/>
      <c r="R1500" s="228"/>
      <c r="S1500" s="228"/>
      <c r="T1500" s="228"/>
      <c r="U1500" s="226">
        <v>1</v>
      </c>
      <c r="V1500" s="226">
        <v>0</v>
      </c>
      <c r="W1500" s="226"/>
      <c r="X1500" s="226"/>
      <c r="Y1500" s="226"/>
      <c r="Z1500" s="230">
        <v>0</v>
      </c>
      <c r="AA1500" s="226"/>
      <c r="AB1500" s="231"/>
      <c r="AC1500" s="231"/>
      <c r="AD1500" s="489" t="s">
        <v>1794</v>
      </c>
      <c r="AE1500" s="226"/>
      <c r="AF1500" s="621" t="s">
        <v>2508</v>
      </c>
      <c r="AG1500" s="621" t="s">
        <v>4380</v>
      </c>
      <c r="AH1500" s="621" t="s">
        <v>1271</v>
      </c>
      <c r="AI1500" s="621" t="s">
        <v>4108</v>
      </c>
      <c r="AJ1500" s="621" t="s">
        <v>4109</v>
      </c>
      <c r="AK1500" s="621" t="s">
        <v>3384</v>
      </c>
      <c r="AL1500" s="703">
        <v>0</v>
      </c>
      <c r="AM1500" s="621" t="s">
        <v>1798</v>
      </c>
      <c r="AN1500" s="621" t="s">
        <v>6050</v>
      </c>
      <c r="AO1500" s="73"/>
      <c r="AP1500" s="73">
        <v>0</v>
      </c>
      <c r="AQ1500" s="73">
        <v>0</v>
      </c>
      <c r="AR1500" s="73">
        <v>0</v>
      </c>
      <c r="AS1500" s="73">
        <v>0</v>
      </c>
      <c r="AT1500" s="73">
        <v>0</v>
      </c>
      <c r="AU1500" s="226">
        <v>0</v>
      </c>
      <c r="AV1500" s="17">
        <f t="shared" si="217"/>
        <v>0</v>
      </c>
      <c r="AW1500" s="50" t="str">
        <f>"{s_taskCustom,{"&amp;L1500&amp;","&amp;N1500&amp;","&amp;U1500&amp;","&amp;V1500&amp;"}}"</f>
        <v>{s_taskCustom,{60559,60559,1,0}}</v>
      </c>
    </row>
    <row r="1501" spans="1:49" ht="72" x14ac:dyDescent="0.15">
      <c r="A1501" s="714">
        <v>30102</v>
      </c>
      <c r="B1501" s="715"/>
      <c r="C1501" s="715" t="s">
        <v>6616</v>
      </c>
      <c r="D1501" s="226">
        <v>3</v>
      </c>
      <c r="E1501" s="226">
        <v>0</v>
      </c>
      <c r="F1501" s="226">
        <v>3</v>
      </c>
      <c r="G1501" s="234">
        <v>21</v>
      </c>
      <c r="H1501" s="226">
        <v>60</v>
      </c>
      <c r="I1501" s="50">
        <v>0</v>
      </c>
      <c r="J1501" s="226">
        <v>0</v>
      </c>
      <c r="K1501" s="226">
        <v>2</v>
      </c>
      <c r="L1501" s="226"/>
      <c r="M1501" s="226"/>
      <c r="N1501" s="226"/>
      <c r="O1501" s="226"/>
      <c r="P1501" s="226"/>
      <c r="Q1501" s="228"/>
      <c r="R1501" s="228"/>
      <c r="S1501" s="228"/>
      <c r="T1501" s="228"/>
      <c r="U1501" s="226">
        <v>1</v>
      </c>
      <c r="V1501" s="226">
        <v>1</v>
      </c>
      <c r="W1501" s="226"/>
      <c r="X1501" s="226"/>
      <c r="Y1501" s="226"/>
      <c r="Z1501" s="287">
        <v>0</v>
      </c>
      <c r="AA1501" s="226"/>
      <c r="AB1501" s="231"/>
      <c r="AC1501" s="231"/>
      <c r="AD1501" s="226"/>
      <c r="AE1501" s="226"/>
      <c r="AF1501" s="226"/>
      <c r="AG1501" s="226"/>
      <c r="AH1501" s="226"/>
      <c r="AI1501" s="226"/>
      <c r="AJ1501" s="226"/>
      <c r="AK1501" s="226"/>
      <c r="AL1501" s="234">
        <v>0</v>
      </c>
      <c r="AM1501" s="226" t="s">
        <v>1347</v>
      </c>
      <c r="AN1501" s="226" t="s">
        <v>6617</v>
      </c>
      <c r="AO1501" s="226"/>
      <c r="AP1501" s="226">
        <v>0</v>
      </c>
      <c r="AQ1501" s="226">
        <v>0</v>
      </c>
      <c r="AR1501" s="226">
        <v>0</v>
      </c>
      <c r="AS1501" s="226">
        <v>0</v>
      </c>
      <c r="AT1501" s="226">
        <v>0</v>
      </c>
      <c r="AU1501" s="226">
        <v>0</v>
      </c>
      <c r="AV1501" s="50">
        <f t="shared" si="217"/>
        <v>0</v>
      </c>
      <c r="AW1501" s="50" t="s">
        <v>2788</v>
      </c>
    </row>
    <row r="1502" spans="1:49" ht="72" x14ac:dyDescent="0.15">
      <c r="A1502" s="714">
        <v>30103</v>
      </c>
      <c r="B1502" s="715"/>
      <c r="C1502" s="715" t="s">
        <v>6618</v>
      </c>
      <c r="D1502" s="226">
        <v>3</v>
      </c>
      <c r="E1502" s="226">
        <v>0</v>
      </c>
      <c r="F1502" s="226">
        <v>3</v>
      </c>
      <c r="G1502" s="234">
        <v>61</v>
      </c>
      <c r="H1502" s="226">
        <v>150</v>
      </c>
      <c r="I1502" s="50">
        <v>0</v>
      </c>
      <c r="J1502" s="226">
        <v>0</v>
      </c>
      <c r="K1502" s="226">
        <v>2</v>
      </c>
      <c r="L1502" s="226"/>
      <c r="M1502" s="226"/>
      <c r="N1502" s="226"/>
      <c r="O1502" s="226"/>
      <c r="P1502" s="226"/>
      <c r="Q1502" s="228"/>
      <c r="R1502" s="228"/>
      <c r="S1502" s="228"/>
      <c r="T1502" s="228"/>
      <c r="U1502" s="226">
        <v>1</v>
      </c>
      <c r="V1502" s="226">
        <v>1</v>
      </c>
      <c r="W1502" s="226"/>
      <c r="X1502" s="226"/>
      <c r="Y1502" s="226"/>
      <c r="Z1502" s="287">
        <v>0</v>
      </c>
      <c r="AA1502" s="226"/>
      <c r="AB1502" s="231"/>
      <c r="AC1502" s="231"/>
      <c r="AD1502" s="226"/>
      <c r="AE1502" s="226"/>
      <c r="AF1502" s="226"/>
      <c r="AG1502" s="226"/>
      <c r="AH1502" s="226"/>
      <c r="AI1502" s="226"/>
      <c r="AJ1502" s="226"/>
      <c r="AK1502" s="226"/>
      <c r="AL1502" s="234">
        <v>0</v>
      </c>
      <c r="AM1502" s="226" t="s">
        <v>1347</v>
      </c>
      <c r="AN1502" s="226" t="s">
        <v>6617</v>
      </c>
      <c r="AO1502" s="226"/>
      <c r="AP1502" s="226">
        <v>0</v>
      </c>
      <c r="AQ1502" s="226">
        <v>0</v>
      </c>
      <c r="AR1502" s="226">
        <v>0</v>
      </c>
      <c r="AS1502" s="226">
        <v>0</v>
      </c>
      <c r="AT1502" s="226">
        <v>0</v>
      </c>
      <c r="AU1502" s="226">
        <v>0</v>
      </c>
      <c r="AV1502" s="50">
        <f t="shared" si="217"/>
        <v>0</v>
      </c>
      <c r="AW1502" s="50" t="s">
        <v>2788</v>
      </c>
    </row>
    <row r="1503" spans="1:49" ht="72" x14ac:dyDescent="0.15">
      <c r="A1503" s="714">
        <v>30104</v>
      </c>
      <c r="B1503" s="715"/>
      <c r="C1503" s="715" t="s">
        <v>6619</v>
      </c>
      <c r="D1503" s="226">
        <v>3</v>
      </c>
      <c r="E1503" s="226">
        <v>0</v>
      </c>
      <c r="F1503" s="226">
        <v>3</v>
      </c>
      <c r="G1503" s="234">
        <v>13</v>
      </c>
      <c r="H1503" s="226">
        <v>20</v>
      </c>
      <c r="I1503" s="50">
        <v>0</v>
      </c>
      <c r="J1503" s="226">
        <v>0</v>
      </c>
      <c r="K1503" s="226">
        <v>3</v>
      </c>
      <c r="L1503" s="226"/>
      <c r="M1503" s="226"/>
      <c r="N1503" s="226"/>
      <c r="O1503" s="226"/>
      <c r="P1503" s="226"/>
      <c r="Q1503" s="228"/>
      <c r="R1503" s="228"/>
      <c r="S1503" s="228"/>
      <c r="T1503" s="228"/>
      <c r="U1503" s="226">
        <v>1</v>
      </c>
      <c r="V1503" s="226">
        <v>1</v>
      </c>
      <c r="W1503" s="226"/>
      <c r="X1503" s="226"/>
      <c r="Y1503" s="226"/>
      <c r="Z1503" s="287">
        <v>0</v>
      </c>
      <c r="AA1503" s="226"/>
      <c r="AB1503" s="231"/>
      <c r="AC1503" s="231"/>
      <c r="AD1503" s="226"/>
      <c r="AE1503" s="226"/>
      <c r="AF1503" s="226"/>
      <c r="AG1503" s="226"/>
      <c r="AH1503" s="226"/>
      <c r="AI1503" s="226"/>
      <c r="AJ1503" s="226"/>
      <c r="AK1503" s="226"/>
      <c r="AL1503" s="234">
        <v>0</v>
      </c>
      <c r="AM1503" s="226" t="s">
        <v>1347</v>
      </c>
      <c r="AN1503" s="226" t="s">
        <v>6617</v>
      </c>
      <c r="AO1503" s="226"/>
      <c r="AP1503" s="226">
        <v>0</v>
      </c>
      <c r="AQ1503" s="226">
        <v>0</v>
      </c>
      <c r="AR1503" s="226">
        <v>0</v>
      </c>
      <c r="AS1503" s="226">
        <v>0</v>
      </c>
      <c r="AT1503" s="226">
        <v>0</v>
      </c>
      <c r="AU1503" s="226">
        <v>0</v>
      </c>
      <c r="AV1503" s="50">
        <f t="shared" si="217"/>
        <v>0</v>
      </c>
      <c r="AW1503" s="50" t="s">
        <v>2788</v>
      </c>
    </row>
    <row r="1504" spans="1:49" ht="72" x14ac:dyDescent="0.15">
      <c r="A1504" s="714">
        <v>30105</v>
      </c>
      <c r="B1504" s="715"/>
      <c r="C1504" s="715" t="s">
        <v>6619</v>
      </c>
      <c r="D1504" s="226">
        <v>3</v>
      </c>
      <c r="E1504" s="226">
        <v>0</v>
      </c>
      <c r="F1504" s="226">
        <v>3</v>
      </c>
      <c r="G1504" s="234">
        <v>21</v>
      </c>
      <c r="H1504" s="226">
        <v>34</v>
      </c>
      <c r="I1504" s="50">
        <v>0</v>
      </c>
      <c r="J1504" s="226">
        <v>0</v>
      </c>
      <c r="K1504" s="226">
        <v>3</v>
      </c>
      <c r="L1504" s="226"/>
      <c r="M1504" s="226"/>
      <c r="N1504" s="226"/>
      <c r="O1504" s="226"/>
      <c r="P1504" s="226"/>
      <c r="Q1504" s="228"/>
      <c r="R1504" s="228"/>
      <c r="S1504" s="228"/>
      <c r="T1504" s="228"/>
      <c r="U1504" s="226">
        <v>1</v>
      </c>
      <c r="V1504" s="226">
        <v>1</v>
      </c>
      <c r="W1504" s="226"/>
      <c r="X1504" s="226"/>
      <c r="Y1504" s="226"/>
      <c r="Z1504" s="287">
        <v>0</v>
      </c>
      <c r="AA1504" s="226"/>
      <c r="AB1504" s="231"/>
      <c r="AC1504" s="231"/>
      <c r="AD1504" s="226"/>
      <c r="AE1504" s="226"/>
      <c r="AF1504" s="226"/>
      <c r="AG1504" s="226"/>
      <c r="AH1504" s="226"/>
      <c r="AI1504" s="226"/>
      <c r="AJ1504" s="226"/>
      <c r="AK1504" s="226"/>
      <c r="AL1504" s="234">
        <v>0</v>
      </c>
      <c r="AM1504" s="226" t="s">
        <v>1347</v>
      </c>
      <c r="AN1504" s="226" t="s">
        <v>6617</v>
      </c>
      <c r="AO1504" s="226"/>
      <c r="AP1504" s="226">
        <v>0</v>
      </c>
      <c r="AQ1504" s="226">
        <v>0</v>
      </c>
      <c r="AR1504" s="226">
        <v>0</v>
      </c>
      <c r="AS1504" s="226">
        <v>0</v>
      </c>
      <c r="AT1504" s="226">
        <v>0</v>
      </c>
      <c r="AU1504" s="226">
        <v>0</v>
      </c>
      <c r="AV1504" s="50">
        <f t="shared" si="217"/>
        <v>0</v>
      </c>
      <c r="AW1504" s="50" t="s">
        <v>2788</v>
      </c>
    </row>
    <row r="1505" spans="1:49" ht="72" x14ac:dyDescent="0.15">
      <c r="A1505" s="714">
        <v>30106</v>
      </c>
      <c r="B1505" s="715"/>
      <c r="C1505" s="715" t="s">
        <v>6619</v>
      </c>
      <c r="D1505" s="226">
        <v>3</v>
      </c>
      <c r="E1505" s="226">
        <v>0</v>
      </c>
      <c r="F1505" s="226">
        <v>3</v>
      </c>
      <c r="G1505" s="234">
        <v>35</v>
      </c>
      <c r="H1505" s="226">
        <v>44</v>
      </c>
      <c r="I1505" s="50">
        <v>0</v>
      </c>
      <c r="J1505" s="226">
        <v>0</v>
      </c>
      <c r="K1505" s="226">
        <v>3</v>
      </c>
      <c r="L1505" s="226"/>
      <c r="M1505" s="226"/>
      <c r="N1505" s="226"/>
      <c r="O1505" s="226"/>
      <c r="P1505" s="226"/>
      <c r="Q1505" s="228"/>
      <c r="R1505" s="228"/>
      <c r="S1505" s="228"/>
      <c r="T1505" s="228"/>
      <c r="U1505" s="226">
        <v>1</v>
      </c>
      <c r="V1505" s="226">
        <v>1</v>
      </c>
      <c r="W1505" s="226"/>
      <c r="X1505" s="226"/>
      <c r="Y1505" s="226"/>
      <c r="Z1505" s="287">
        <v>0</v>
      </c>
      <c r="AA1505" s="226"/>
      <c r="AB1505" s="231"/>
      <c r="AC1505" s="231"/>
      <c r="AD1505" s="226"/>
      <c r="AE1505" s="226"/>
      <c r="AF1505" s="226"/>
      <c r="AG1505" s="226"/>
      <c r="AH1505" s="226"/>
      <c r="AI1505" s="226"/>
      <c r="AJ1505" s="226"/>
      <c r="AK1505" s="226"/>
      <c r="AL1505" s="234">
        <v>0</v>
      </c>
      <c r="AM1505" s="226" t="s">
        <v>1347</v>
      </c>
      <c r="AN1505" s="226" t="s">
        <v>6617</v>
      </c>
      <c r="AO1505" s="226"/>
      <c r="AP1505" s="226">
        <v>0</v>
      </c>
      <c r="AQ1505" s="226">
        <v>0</v>
      </c>
      <c r="AR1505" s="226">
        <v>0</v>
      </c>
      <c r="AS1505" s="226">
        <v>0</v>
      </c>
      <c r="AT1505" s="226">
        <v>0</v>
      </c>
      <c r="AU1505" s="226">
        <v>0</v>
      </c>
      <c r="AV1505" s="50">
        <f t="shared" si="217"/>
        <v>0</v>
      </c>
      <c r="AW1505" s="50" t="s">
        <v>8640</v>
      </c>
    </row>
    <row r="1506" spans="1:49" ht="72" x14ac:dyDescent="0.15">
      <c r="A1506" s="714">
        <v>30107</v>
      </c>
      <c r="B1506" s="715"/>
      <c r="C1506" s="715" t="s">
        <v>6619</v>
      </c>
      <c r="D1506" s="226">
        <v>3</v>
      </c>
      <c r="E1506" s="226">
        <v>0</v>
      </c>
      <c r="F1506" s="226">
        <v>3</v>
      </c>
      <c r="G1506" s="234">
        <v>45</v>
      </c>
      <c r="H1506" s="226">
        <v>50</v>
      </c>
      <c r="I1506" s="50">
        <v>0</v>
      </c>
      <c r="J1506" s="226">
        <v>0</v>
      </c>
      <c r="K1506" s="226">
        <v>3</v>
      </c>
      <c r="L1506" s="226"/>
      <c r="M1506" s="226"/>
      <c r="N1506" s="226"/>
      <c r="O1506" s="226"/>
      <c r="P1506" s="226"/>
      <c r="Q1506" s="228"/>
      <c r="R1506" s="228"/>
      <c r="S1506" s="228"/>
      <c r="T1506" s="228"/>
      <c r="U1506" s="226">
        <v>1</v>
      </c>
      <c r="V1506" s="226">
        <v>1</v>
      </c>
      <c r="W1506" s="226"/>
      <c r="X1506" s="226"/>
      <c r="Y1506" s="226"/>
      <c r="Z1506" s="287">
        <v>0</v>
      </c>
      <c r="AA1506" s="226"/>
      <c r="AB1506" s="231"/>
      <c r="AC1506" s="231"/>
      <c r="AD1506" s="226"/>
      <c r="AE1506" s="226"/>
      <c r="AF1506" s="226"/>
      <c r="AG1506" s="226"/>
      <c r="AH1506" s="226"/>
      <c r="AI1506" s="226"/>
      <c r="AJ1506" s="226"/>
      <c r="AK1506" s="226"/>
      <c r="AL1506" s="234">
        <v>0</v>
      </c>
      <c r="AM1506" s="226" t="s">
        <v>1347</v>
      </c>
      <c r="AN1506" s="226" t="s">
        <v>6617</v>
      </c>
      <c r="AO1506" s="226"/>
      <c r="AP1506" s="226">
        <v>0</v>
      </c>
      <c r="AQ1506" s="226">
        <v>0</v>
      </c>
      <c r="AR1506" s="226">
        <v>0</v>
      </c>
      <c r="AS1506" s="226">
        <v>0</v>
      </c>
      <c r="AT1506" s="226">
        <v>0</v>
      </c>
      <c r="AU1506" s="226">
        <v>0</v>
      </c>
      <c r="AV1506" s="50">
        <f t="shared" si="217"/>
        <v>0</v>
      </c>
      <c r="AW1506" s="50" t="s">
        <v>2788</v>
      </c>
    </row>
    <row r="1507" spans="1:49" ht="72" x14ac:dyDescent="0.15">
      <c r="A1507" s="714">
        <v>30108</v>
      </c>
      <c r="B1507" s="715"/>
      <c r="C1507" s="715" t="s">
        <v>6619</v>
      </c>
      <c r="D1507" s="226">
        <v>3</v>
      </c>
      <c r="E1507" s="226">
        <v>0</v>
      </c>
      <c r="F1507" s="226">
        <v>3</v>
      </c>
      <c r="G1507" s="234">
        <v>51</v>
      </c>
      <c r="H1507" s="226">
        <v>60</v>
      </c>
      <c r="I1507" s="50">
        <v>0</v>
      </c>
      <c r="J1507" s="226">
        <v>0</v>
      </c>
      <c r="K1507" s="226">
        <v>3</v>
      </c>
      <c r="L1507" s="226"/>
      <c r="M1507" s="226"/>
      <c r="N1507" s="226"/>
      <c r="O1507" s="226"/>
      <c r="P1507" s="226"/>
      <c r="Q1507" s="228"/>
      <c r="R1507" s="228"/>
      <c r="S1507" s="228"/>
      <c r="T1507" s="228"/>
      <c r="U1507" s="226">
        <v>1</v>
      </c>
      <c r="V1507" s="226">
        <v>1</v>
      </c>
      <c r="W1507" s="226"/>
      <c r="X1507" s="226"/>
      <c r="Y1507" s="226"/>
      <c r="Z1507" s="287">
        <v>0</v>
      </c>
      <c r="AA1507" s="226"/>
      <c r="AB1507" s="231"/>
      <c r="AC1507" s="231"/>
      <c r="AD1507" s="226"/>
      <c r="AE1507" s="226"/>
      <c r="AF1507" s="226"/>
      <c r="AG1507" s="226"/>
      <c r="AH1507" s="226"/>
      <c r="AI1507" s="226"/>
      <c r="AJ1507" s="226"/>
      <c r="AK1507" s="226"/>
      <c r="AL1507" s="234">
        <v>0</v>
      </c>
      <c r="AM1507" s="226" t="s">
        <v>1347</v>
      </c>
      <c r="AN1507" s="226" t="s">
        <v>6617</v>
      </c>
      <c r="AO1507" s="226"/>
      <c r="AP1507" s="226">
        <v>0</v>
      </c>
      <c r="AQ1507" s="226">
        <v>0</v>
      </c>
      <c r="AR1507" s="226">
        <v>0</v>
      </c>
      <c r="AS1507" s="226">
        <v>0</v>
      </c>
      <c r="AT1507" s="226">
        <v>0</v>
      </c>
      <c r="AU1507" s="226">
        <v>0</v>
      </c>
      <c r="AV1507" s="50">
        <f t="shared" si="217"/>
        <v>0</v>
      </c>
      <c r="AW1507" s="50" t="s">
        <v>2788</v>
      </c>
    </row>
    <row r="1508" spans="1:49" ht="72" x14ac:dyDescent="0.15">
      <c r="A1508" s="714">
        <v>30109</v>
      </c>
      <c r="B1508" s="715"/>
      <c r="C1508" s="715" t="s">
        <v>6619</v>
      </c>
      <c r="D1508" s="226">
        <v>3</v>
      </c>
      <c r="E1508" s="226">
        <v>0</v>
      </c>
      <c r="F1508" s="226">
        <v>3</v>
      </c>
      <c r="G1508" s="234">
        <v>61</v>
      </c>
      <c r="H1508" s="226">
        <v>71</v>
      </c>
      <c r="I1508" s="50">
        <v>0</v>
      </c>
      <c r="J1508" s="226">
        <v>0</v>
      </c>
      <c r="K1508" s="226">
        <v>3</v>
      </c>
      <c r="L1508" s="226"/>
      <c r="M1508" s="226"/>
      <c r="N1508" s="226"/>
      <c r="O1508" s="226"/>
      <c r="P1508" s="226"/>
      <c r="Q1508" s="228"/>
      <c r="R1508" s="228"/>
      <c r="S1508" s="228"/>
      <c r="T1508" s="228"/>
      <c r="U1508" s="226">
        <v>1</v>
      </c>
      <c r="V1508" s="226">
        <v>1</v>
      </c>
      <c r="W1508" s="226"/>
      <c r="X1508" s="226"/>
      <c r="Y1508" s="226"/>
      <c r="Z1508" s="287">
        <v>0</v>
      </c>
      <c r="AA1508" s="226"/>
      <c r="AB1508" s="231"/>
      <c r="AC1508" s="231"/>
      <c r="AD1508" s="226"/>
      <c r="AE1508" s="226"/>
      <c r="AF1508" s="226"/>
      <c r="AG1508" s="226"/>
      <c r="AH1508" s="226"/>
      <c r="AI1508" s="226"/>
      <c r="AJ1508" s="226"/>
      <c r="AK1508" s="226"/>
      <c r="AL1508" s="234">
        <v>0</v>
      </c>
      <c r="AM1508" s="226" t="s">
        <v>1347</v>
      </c>
      <c r="AN1508" s="226" t="s">
        <v>6617</v>
      </c>
      <c r="AO1508" s="226"/>
      <c r="AP1508" s="226">
        <v>0</v>
      </c>
      <c r="AQ1508" s="226">
        <v>0</v>
      </c>
      <c r="AR1508" s="226">
        <v>0</v>
      </c>
      <c r="AS1508" s="226">
        <v>0</v>
      </c>
      <c r="AT1508" s="226">
        <v>0</v>
      </c>
      <c r="AU1508" s="226">
        <v>0</v>
      </c>
      <c r="AV1508" s="50">
        <f t="shared" si="217"/>
        <v>0</v>
      </c>
      <c r="AW1508" s="50" t="s">
        <v>2788</v>
      </c>
    </row>
    <row r="1509" spans="1:49" ht="72" x14ac:dyDescent="0.15">
      <c r="A1509" s="714">
        <v>30110</v>
      </c>
      <c r="B1509" s="715"/>
      <c r="C1509" s="715" t="s">
        <v>6619</v>
      </c>
      <c r="D1509" s="226">
        <v>3</v>
      </c>
      <c r="E1509" s="226">
        <v>0</v>
      </c>
      <c r="F1509" s="226">
        <v>3</v>
      </c>
      <c r="G1509" s="234">
        <v>72</v>
      </c>
      <c r="H1509" s="226">
        <v>150</v>
      </c>
      <c r="I1509" s="50">
        <v>0</v>
      </c>
      <c r="J1509" s="226">
        <v>0</v>
      </c>
      <c r="K1509" s="226">
        <v>3</v>
      </c>
      <c r="L1509" s="226"/>
      <c r="M1509" s="226"/>
      <c r="N1509" s="226"/>
      <c r="O1509" s="226"/>
      <c r="P1509" s="226"/>
      <c r="Q1509" s="228"/>
      <c r="R1509" s="228"/>
      <c r="S1509" s="228"/>
      <c r="T1509" s="228"/>
      <c r="U1509" s="226">
        <v>1</v>
      </c>
      <c r="V1509" s="226">
        <v>1</v>
      </c>
      <c r="W1509" s="226"/>
      <c r="X1509" s="226"/>
      <c r="Y1509" s="226"/>
      <c r="Z1509" s="287">
        <v>0</v>
      </c>
      <c r="AA1509" s="226"/>
      <c r="AB1509" s="231"/>
      <c r="AC1509" s="231"/>
      <c r="AD1509" s="226"/>
      <c r="AE1509" s="226"/>
      <c r="AF1509" s="226"/>
      <c r="AG1509" s="226"/>
      <c r="AH1509" s="226"/>
      <c r="AI1509" s="226"/>
      <c r="AJ1509" s="226"/>
      <c r="AK1509" s="226"/>
      <c r="AL1509" s="234">
        <v>0</v>
      </c>
      <c r="AM1509" s="226" t="s">
        <v>1347</v>
      </c>
      <c r="AN1509" s="226" t="s">
        <v>6617</v>
      </c>
      <c r="AO1509" s="226"/>
      <c r="AP1509" s="226">
        <v>0</v>
      </c>
      <c r="AQ1509" s="226">
        <v>0</v>
      </c>
      <c r="AR1509" s="226">
        <v>0</v>
      </c>
      <c r="AS1509" s="226">
        <v>0</v>
      </c>
      <c r="AT1509" s="226">
        <v>0</v>
      </c>
      <c r="AU1509" s="226">
        <v>0</v>
      </c>
      <c r="AV1509" s="50">
        <f t="shared" si="217"/>
        <v>0</v>
      </c>
      <c r="AW1509" s="50" t="s">
        <v>2788</v>
      </c>
    </row>
    <row r="1510" spans="1:49" ht="72" x14ac:dyDescent="0.15">
      <c r="A1510" s="714">
        <v>30111</v>
      </c>
      <c r="B1510" s="715"/>
      <c r="C1510" s="63" t="s">
        <v>6620</v>
      </c>
      <c r="D1510" s="226">
        <v>3</v>
      </c>
      <c r="E1510" s="226">
        <v>0</v>
      </c>
      <c r="F1510" s="226">
        <v>3</v>
      </c>
      <c r="G1510" s="234">
        <v>31</v>
      </c>
      <c r="H1510" s="226">
        <v>60</v>
      </c>
      <c r="I1510" s="50">
        <v>0</v>
      </c>
      <c r="J1510" s="226">
        <v>0</v>
      </c>
      <c r="K1510" s="226">
        <v>1</v>
      </c>
      <c r="L1510" s="226"/>
      <c r="M1510" s="226"/>
      <c r="N1510" s="226"/>
      <c r="O1510" s="226"/>
      <c r="P1510" s="226"/>
      <c r="Q1510" s="228"/>
      <c r="R1510" s="228"/>
      <c r="S1510" s="228"/>
      <c r="T1510" s="228"/>
      <c r="U1510" s="226">
        <v>1</v>
      </c>
      <c r="V1510" s="226">
        <v>1</v>
      </c>
      <c r="W1510" s="226"/>
      <c r="X1510" s="226"/>
      <c r="Y1510" s="226"/>
      <c r="Z1510" s="287">
        <v>0</v>
      </c>
      <c r="AA1510" s="226"/>
      <c r="AB1510" s="231"/>
      <c r="AC1510" s="231"/>
      <c r="AD1510" s="226"/>
      <c r="AE1510" s="226"/>
      <c r="AF1510" s="226"/>
      <c r="AG1510" s="226"/>
      <c r="AH1510" s="226"/>
      <c r="AI1510" s="226"/>
      <c r="AJ1510" s="226"/>
      <c r="AK1510" s="226"/>
      <c r="AL1510" s="234">
        <v>0</v>
      </c>
      <c r="AM1510" s="226" t="s">
        <v>1347</v>
      </c>
      <c r="AN1510" s="226" t="s">
        <v>6617</v>
      </c>
      <c r="AO1510" s="226"/>
      <c r="AP1510" s="226">
        <v>0</v>
      </c>
      <c r="AQ1510" s="226">
        <v>0</v>
      </c>
      <c r="AR1510" s="226">
        <v>0</v>
      </c>
      <c r="AS1510" s="226">
        <v>0</v>
      </c>
      <c r="AT1510" s="226">
        <v>0</v>
      </c>
      <c r="AU1510" s="226">
        <v>0</v>
      </c>
      <c r="AV1510" s="50">
        <f t="shared" si="217"/>
        <v>0</v>
      </c>
      <c r="AW1510" s="50" t="s">
        <v>2788</v>
      </c>
    </row>
    <row r="1511" spans="1:49" ht="72" x14ac:dyDescent="0.15">
      <c r="A1511" s="714">
        <v>30112</v>
      </c>
      <c r="B1511" s="715"/>
      <c r="C1511" s="63" t="s">
        <v>6620</v>
      </c>
      <c r="D1511" s="226">
        <v>3</v>
      </c>
      <c r="E1511" s="226">
        <v>0</v>
      </c>
      <c r="F1511" s="226">
        <v>3</v>
      </c>
      <c r="G1511" s="234">
        <v>61</v>
      </c>
      <c r="H1511" s="226">
        <v>80</v>
      </c>
      <c r="I1511" s="50">
        <v>0</v>
      </c>
      <c r="J1511" s="226">
        <v>0</v>
      </c>
      <c r="K1511" s="226">
        <v>1</v>
      </c>
      <c r="L1511" s="226"/>
      <c r="M1511" s="226"/>
      <c r="N1511" s="226"/>
      <c r="O1511" s="226"/>
      <c r="P1511" s="226"/>
      <c r="Q1511" s="228"/>
      <c r="R1511" s="228"/>
      <c r="S1511" s="228"/>
      <c r="T1511" s="228"/>
      <c r="U1511" s="226">
        <v>1</v>
      </c>
      <c r="V1511" s="226">
        <v>1</v>
      </c>
      <c r="W1511" s="226"/>
      <c r="X1511" s="226"/>
      <c r="Y1511" s="226"/>
      <c r="Z1511" s="287">
        <v>0</v>
      </c>
      <c r="AA1511" s="226"/>
      <c r="AB1511" s="231"/>
      <c r="AC1511" s="231"/>
      <c r="AD1511" s="226"/>
      <c r="AE1511" s="226"/>
      <c r="AF1511" s="226"/>
      <c r="AG1511" s="226"/>
      <c r="AH1511" s="226"/>
      <c r="AI1511" s="226"/>
      <c r="AJ1511" s="226"/>
      <c r="AK1511" s="226"/>
      <c r="AL1511" s="234">
        <v>0</v>
      </c>
      <c r="AM1511" s="226" t="s">
        <v>1347</v>
      </c>
      <c r="AN1511" s="226" t="s">
        <v>6617</v>
      </c>
      <c r="AO1511" s="226"/>
      <c r="AP1511" s="226">
        <v>0</v>
      </c>
      <c r="AQ1511" s="226">
        <v>0</v>
      </c>
      <c r="AR1511" s="226">
        <v>0</v>
      </c>
      <c r="AS1511" s="226">
        <v>0</v>
      </c>
      <c r="AT1511" s="226">
        <v>0</v>
      </c>
      <c r="AU1511" s="226">
        <v>0</v>
      </c>
      <c r="AV1511" s="50">
        <f t="shared" si="217"/>
        <v>0</v>
      </c>
      <c r="AW1511" s="50" t="s">
        <v>2788</v>
      </c>
    </row>
    <row r="1512" spans="1:49" ht="180.75" thickBot="1" x14ac:dyDescent="0.2">
      <c r="A1512" s="149">
        <v>30200</v>
      </c>
      <c r="B1512" s="226"/>
      <c r="C1512" s="226" t="s">
        <v>2382</v>
      </c>
      <c r="D1512" s="226">
        <v>3</v>
      </c>
      <c r="E1512" s="226">
        <v>0</v>
      </c>
      <c r="F1512" s="226">
        <v>5</v>
      </c>
      <c r="G1512" s="234">
        <v>200</v>
      </c>
      <c r="H1512" s="226">
        <v>200</v>
      </c>
      <c r="I1512" s="17">
        <v>0</v>
      </c>
      <c r="J1512" s="234">
        <v>0</v>
      </c>
      <c r="K1512" s="226">
        <v>3</v>
      </c>
      <c r="L1512" s="226">
        <v>60559</v>
      </c>
      <c r="M1512" s="226"/>
      <c r="N1512" s="226">
        <v>60559</v>
      </c>
      <c r="O1512" s="226"/>
      <c r="P1512" s="226"/>
      <c r="Q1512" s="228"/>
      <c r="R1512" s="228"/>
      <c r="S1512" s="228">
        <v>10172</v>
      </c>
      <c r="T1512" s="228"/>
      <c r="U1512" s="226">
        <v>1</v>
      </c>
      <c r="V1512" s="226">
        <v>0</v>
      </c>
      <c r="W1512" s="226"/>
      <c r="X1512" s="226"/>
      <c r="Y1512" s="226"/>
      <c r="Z1512" s="230">
        <v>0</v>
      </c>
      <c r="AA1512" s="226"/>
      <c r="AB1512" s="231"/>
      <c r="AC1512" s="231"/>
      <c r="AD1512" s="489" t="s">
        <v>1797</v>
      </c>
      <c r="AE1512" s="226"/>
      <c r="AF1512" s="621" t="s">
        <v>2470</v>
      </c>
      <c r="AG1512" s="621" t="s">
        <v>2471</v>
      </c>
      <c r="AH1512" s="621" t="s">
        <v>1792</v>
      </c>
      <c r="AI1512" s="621" t="s">
        <v>1793</v>
      </c>
      <c r="AJ1512" s="621" t="s">
        <v>1793</v>
      </c>
      <c r="AK1512" s="621"/>
      <c r="AL1512" s="703">
        <v>0</v>
      </c>
      <c r="AM1512" s="621" t="s">
        <v>1795</v>
      </c>
      <c r="AN1512" s="621" t="s">
        <v>6051</v>
      </c>
      <c r="AO1512" s="73"/>
      <c r="AP1512" s="73">
        <v>0</v>
      </c>
      <c r="AQ1512" s="73">
        <v>0</v>
      </c>
      <c r="AR1512" s="73">
        <v>0</v>
      </c>
      <c r="AS1512" s="73">
        <v>0</v>
      </c>
      <c r="AT1512" s="73">
        <v>0</v>
      </c>
      <c r="AU1512" s="226">
        <v>0</v>
      </c>
      <c r="AV1512" s="17">
        <f t="shared" si="217"/>
        <v>0</v>
      </c>
      <c r="AW1512" s="602" t="str">
        <f>"{s_taskKillNpc, {"&amp;L1512&amp;","&amp;N1512&amp;","&amp;S1512&amp;","&amp;U1512&amp;"}}"</f>
        <v>{s_taskKillNpc, {60559,60559,10172,1}}</v>
      </c>
    </row>
    <row r="1513" spans="1:49" ht="192.75" thickBot="1" x14ac:dyDescent="0.2">
      <c r="A1513" s="149">
        <v>30201</v>
      </c>
      <c r="B1513" s="226"/>
      <c r="C1513" s="226" t="s">
        <v>2383</v>
      </c>
      <c r="D1513" s="226">
        <v>3</v>
      </c>
      <c r="E1513" s="226">
        <v>0</v>
      </c>
      <c r="F1513" s="226">
        <v>5</v>
      </c>
      <c r="G1513" s="234">
        <v>200</v>
      </c>
      <c r="H1513" s="226">
        <v>200</v>
      </c>
      <c r="I1513" s="17">
        <v>0</v>
      </c>
      <c r="J1513" s="234">
        <v>0</v>
      </c>
      <c r="K1513" s="226">
        <v>3</v>
      </c>
      <c r="L1513" s="226">
        <v>60559</v>
      </c>
      <c r="M1513" s="226"/>
      <c r="N1513" s="226">
        <v>60559</v>
      </c>
      <c r="O1513" s="226"/>
      <c r="P1513" s="226"/>
      <c r="Q1513" s="228"/>
      <c r="R1513" s="228"/>
      <c r="S1513" s="228">
        <v>20012</v>
      </c>
      <c r="T1513" s="228"/>
      <c r="U1513" s="226">
        <v>1</v>
      </c>
      <c r="V1513" s="226">
        <v>0</v>
      </c>
      <c r="W1513" s="226"/>
      <c r="X1513" s="226"/>
      <c r="Y1513" s="226"/>
      <c r="Z1513" s="230">
        <v>0</v>
      </c>
      <c r="AA1513" s="226"/>
      <c r="AB1513" s="231"/>
      <c r="AC1513" s="231"/>
      <c r="AD1513" s="489" t="s">
        <v>1848</v>
      </c>
      <c r="AE1513" s="226"/>
      <c r="AF1513" s="621" t="s">
        <v>3345</v>
      </c>
      <c r="AG1513" s="621" t="s">
        <v>2509</v>
      </c>
      <c r="AH1513" s="621" t="s">
        <v>1792</v>
      </c>
      <c r="AI1513" s="621" t="s">
        <v>1849</v>
      </c>
      <c r="AJ1513" s="621" t="s">
        <v>1849</v>
      </c>
      <c r="AK1513" s="621" t="s">
        <v>3383</v>
      </c>
      <c r="AL1513" s="703">
        <v>0</v>
      </c>
      <c r="AM1513" s="621" t="s">
        <v>1850</v>
      </c>
      <c r="AN1513" s="621" t="s">
        <v>6052</v>
      </c>
      <c r="AO1513" s="73"/>
      <c r="AP1513" s="73">
        <v>1</v>
      </c>
      <c r="AQ1513" s="73">
        <v>0</v>
      </c>
      <c r="AR1513" s="73">
        <v>0</v>
      </c>
      <c r="AS1513" s="73">
        <v>0</v>
      </c>
      <c r="AT1513" s="73">
        <v>0</v>
      </c>
      <c r="AU1513" s="226">
        <v>0</v>
      </c>
      <c r="AV1513" s="17">
        <f t="shared" si="217"/>
        <v>0</v>
      </c>
      <c r="AW1513" s="602" t="str">
        <f>"{s_taskKillNpc, {"&amp;L1513&amp;","&amp;N1513&amp;","&amp;S1513&amp;","&amp;U1513&amp;"}}"</f>
        <v>{s_taskKillNpc, {60559,60559,20012,1}}</v>
      </c>
    </row>
    <row r="1514" spans="1:49" ht="72" x14ac:dyDescent="0.15">
      <c r="A1514" s="149">
        <v>30046</v>
      </c>
      <c r="B1514" s="226"/>
      <c r="C1514" s="226" t="s">
        <v>2384</v>
      </c>
      <c r="D1514" s="226">
        <v>3</v>
      </c>
      <c r="E1514" s="226">
        <v>0</v>
      </c>
      <c r="F1514" s="226">
        <v>8</v>
      </c>
      <c r="G1514" s="234">
        <v>200</v>
      </c>
      <c r="H1514" s="226">
        <v>200</v>
      </c>
      <c r="I1514" s="17">
        <v>0</v>
      </c>
      <c r="J1514" s="234">
        <v>0</v>
      </c>
      <c r="K1514" s="226">
        <v>3</v>
      </c>
      <c r="L1514" s="226">
        <v>60560</v>
      </c>
      <c r="M1514" s="226"/>
      <c r="N1514" s="226">
        <v>60560</v>
      </c>
      <c r="O1514" s="226"/>
      <c r="P1514" s="226"/>
      <c r="Q1514" s="228">
        <v>60176</v>
      </c>
      <c r="R1514" s="228"/>
      <c r="S1514" s="228">
        <v>60176</v>
      </c>
      <c r="T1514" s="228"/>
      <c r="U1514" s="226">
        <v>1</v>
      </c>
      <c r="V1514" s="226">
        <v>1</v>
      </c>
      <c r="W1514" s="226"/>
      <c r="X1514" s="226"/>
      <c r="Y1514" s="226"/>
      <c r="Z1514" s="230">
        <v>0</v>
      </c>
      <c r="AA1514" s="226"/>
      <c r="AB1514" s="231"/>
      <c r="AC1514" s="231"/>
      <c r="AD1514" s="226"/>
      <c r="AE1514" s="226"/>
      <c r="AF1514" s="226"/>
      <c r="AG1514" s="226"/>
      <c r="AH1514" s="226"/>
      <c r="AI1514" s="226"/>
      <c r="AJ1514" s="226"/>
      <c r="AK1514" s="226"/>
      <c r="AL1514" s="234">
        <v>0</v>
      </c>
      <c r="AM1514" s="226" t="s">
        <v>1788</v>
      </c>
      <c r="AN1514" s="226" t="s">
        <v>6053</v>
      </c>
      <c r="AP1514" s="226">
        <v>0</v>
      </c>
      <c r="AQ1514" s="226">
        <v>0</v>
      </c>
      <c r="AR1514" s="226">
        <v>0</v>
      </c>
      <c r="AS1514" s="226">
        <v>0</v>
      </c>
      <c r="AT1514" s="226">
        <v>0</v>
      </c>
      <c r="AU1514" s="226">
        <v>0</v>
      </c>
      <c r="AV1514" s="17">
        <f t="shared" si="217"/>
        <v>0</v>
      </c>
      <c r="AW1514" s="50" t="str">
        <f>"{s_taskTalk,{"&amp;L1514&amp;","&amp;N1514&amp;"}}"</f>
        <v>{s_taskTalk,{60560,60560}}</v>
      </c>
    </row>
    <row r="1515" spans="1:49" ht="180" x14ac:dyDescent="0.15">
      <c r="A1515" s="149">
        <v>30047</v>
      </c>
      <c r="B1515" s="226"/>
      <c r="C1515" s="226" t="s">
        <v>2385</v>
      </c>
      <c r="D1515" s="226">
        <v>3</v>
      </c>
      <c r="E1515" s="226">
        <v>0</v>
      </c>
      <c r="F1515" s="226">
        <v>156</v>
      </c>
      <c r="G1515" s="234">
        <v>200</v>
      </c>
      <c r="H1515" s="226">
        <v>200</v>
      </c>
      <c r="I1515" s="17">
        <v>0</v>
      </c>
      <c r="J1515" s="234">
        <v>0</v>
      </c>
      <c r="K1515" s="226">
        <v>2</v>
      </c>
      <c r="L1515" s="226">
        <v>199</v>
      </c>
      <c r="M1515" s="226"/>
      <c r="N1515" s="226">
        <v>203</v>
      </c>
      <c r="O1515" s="226"/>
      <c r="P1515" s="226"/>
      <c r="Q1515" s="228"/>
      <c r="R1515" s="228"/>
      <c r="S1515" s="228"/>
      <c r="T1515" s="228"/>
      <c r="U1515" s="226">
        <v>1</v>
      </c>
      <c r="V1515" s="226">
        <v>0</v>
      </c>
      <c r="W1515" s="226"/>
      <c r="X1515" s="226"/>
      <c r="Y1515" s="226"/>
      <c r="Z1515" s="230">
        <v>5000</v>
      </c>
      <c r="AA1515" s="226"/>
      <c r="AB1515" s="231"/>
      <c r="AC1515" s="231"/>
      <c r="AD1515" s="226"/>
      <c r="AE1515" s="226"/>
      <c r="AF1515" s="621" t="s">
        <v>2800</v>
      </c>
      <c r="AG1515" s="621" t="s">
        <v>1839</v>
      </c>
      <c r="AH1515" s="621" t="s">
        <v>1807</v>
      </c>
      <c r="AI1515" s="621" t="s">
        <v>1827</v>
      </c>
      <c r="AJ1515" s="621" t="s">
        <v>6589</v>
      </c>
      <c r="AK1515" s="226"/>
      <c r="AL1515" s="234">
        <v>0</v>
      </c>
      <c r="AM1515" s="226" t="s">
        <v>1826</v>
      </c>
      <c r="AN1515" s="226" t="s">
        <v>1824</v>
      </c>
      <c r="AP1515" s="226">
        <v>0</v>
      </c>
      <c r="AQ1515" s="226">
        <v>0</v>
      </c>
      <c r="AR1515" s="226">
        <v>0</v>
      </c>
      <c r="AS1515" s="226">
        <v>0</v>
      </c>
      <c r="AT1515" s="226">
        <v>0</v>
      </c>
      <c r="AU1515" s="226">
        <v>0</v>
      </c>
      <c r="AV1515" s="17">
        <f t="shared" si="217"/>
        <v>0</v>
      </c>
      <c r="AW1515" s="50" t="str">
        <f>"{s_taskTalk,{"&amp;L1515&amp;","&amp;N1515&amp;"}}"</f>
        <v>{s_taskTalk,{199,203}}</v>
      </c>
    </row>
    <row r="1516" spans="1:49" ht="180" x14ac:dyDescent="0.15">
      <c r="A1516" s="149">
        <v>30048</v>
      </c>
      <c r="B1516" s="226"/>
      <c r="C1516" s="226" t="s">
        <v>2386</v>
      </c>
      <c r="D1516" s="226">
        <v>3</v>
      </c>
      <c r="E1516" s="226">
        <v>0</v>
      </c>
      <c r="F1516" s="226">
        <v>156</v>
      </c>
      <c r="G1516" s="234">
        <v>200</v>
      </c>
      <c r="H1516" s="226">
        <v>200</v>
      </c>
      <c r="I1516" s="17">
        <v>0</v>
      </c>
      <c r="J1516" s="234">
        <v>0</v>
      </c>
      <c r="K1516" s="226">
        <v>2</v>
      </c>
      <c r="L1516" s="226">
        <v>199</v>
      </c>
      <c r="M1516" s="226"/>
      <c r="N1516" s="226">
        <v>204</v>
      </c>
      <c r="O1516" s="226"/>
      <c r="P1516" s="226"/>
      <c r="Q1516" s="228"/>
      <c r="R1516" s="228"/>
      <c r="S1516" s="228"/>
      <c r="T1516" s="228"/>
      <c r="U1516" s="226">
        <v>1</v>
      </c>
      <c r="V1516" s="226">
        <v>0</v>
      </c>
      <c r="W1516" s="226"/>
      <c r="X1516" s="226"/>
      <c r="Y1516" s="226"/>
      <c r="Z1516" s="230">
        <v>5000</v>
      </c>
      <c r="AA1516" s="226"/>
      <c r="AB1516" s="231"/>
      <c r="AC1516" s="231"/>
      <c r="AD1516" s="226"/>
      <c r="AE1516" s="226"/>
      <c r="AF1516" s="621" t="s">
        <v>2801</v>
      </c>
      <c r="AG1516" s="621" t="s">
        <v>1840</v>
      </c>
      <c r="AH1516" s="621" t="s">
        <v>1807</v>
      </c>
      <c r="AI1516" s="621" t="s">
        <v>1823</v>
      </c>
      <c r="AJ1516" s="621" t="s">
        <v>6590</v>
      </c>
      <c r="AK1516" s="226"/>
      <c r="AL1516" s="234">
        <v>0</v>
      </c>
      <c r="AM1516" s="226" t="s">
        <v>2817</v>
      </c>
      <c r="AN1516" s="226" t="s">
        <v>1825</v>
      </c>
      <c r="AP1516" s="226">
        <v>0</v>
      </c>
      <c r="AQ1516" s="226">
        <v>0</v>
      </c>
      <c r="AR1516" s="226">
        <v>0</v>
      </c>
      <c r="AS1516" s="226">
        <v>0</v>
      </c>
      <c r="AT1516" s="226">
        <v>0</v>
      </c>
      <c r="AU1516" s="226">
        <v>0</v>
      </c>
      <c r="AV1516" s="17">
        <f t="shared" si="217"/>
        <v>0</v>
      </c>
      <c r="AW1516" s="50" t="str">
        <f>"{s_taskTalk,{"&amp;L1516&amp;","&amp;N1516&amp;"}}"</f>
        <v>{s_taskTalk,{199,204}}</v>
      </c>
    </row>
    <row r="1517" spans="1:49" ht="132.75" thickBot="1" x14ac:dyDescent="0.2">
      <c r="A1517" s="9">
        <v>30049</v>
      </c>
      <c r="B1517" s="226"/>
      <c r="C1517" s="226" t="s">
        <v>2387</v>
      </c>
      <c r="D1517" s="226">
        <v>3</v>
      </c>
      <c r="E1517" s="226">
        <v>0</v>
      </c>
      <c r="F1517" s="226">
        <v>5</v>
      </c>
      <c r="G1517" s="234">
        <v>200</v>
      </c>
      <c r="H1517" s="226">
        <v>200</v>
      </c>
      <c r="I1517" s="17">
        <v>0</v>
      </c>
      <c r="J1517" s="234">
        <v>0</v>
      </c>
      <c r="K1517" s="226">
        <v>3</v>
      </c>
      <c r="L1517" s="226">
        <v>1</v>
      </c>
      <c r="M1517" s="226"/>
      <c r="N1517" s="226">
        <v>1</v>
      </c>
      <c r="O1517" s="226"/>
      <c r="P1517" s="226"/>
      <c r="Q1517" s="228"/>
      <c r="R1517" s="228"/>
      <c r="S1517" s="228"/>
      <c r="T1517" s="228"/>
      <c r="U1517" s="226">
        <v>1</v>
      </c>
      <c r="V1517" s="226">
        <v>1</v>
      </c>
      <c r="W1517" s="226"/>
      <c r="X1517" s="226"/>
      <c r="Y1517" s="226"/>
      <c r="Z1517" s="230">
        <v>0</v>
      </c>
      <c r="AA1517" s="226"/>
      <c r="AB1517" s="231"/>
      <c r="AC1517" s="231"/>
      <c r="AD1517" s="226"/>
      <c r="AE1517" s="226"/>
      <c r="AF1517" s="621" t="s">
        <v>2802</v>
      </c>
      <c r="AG1517" s="621" t="s">
        <v>1806</v>
      </c>
      <c r="AH1517" s="621" t="s">
        <v>1807</v>
      </c>
      <c r="AI1517" s="621" t="s">
        <v>1803</v>
      </c>
      <c r="AJ1517" s="621"/>
      <c r="AK1517" s="226"/>
      <c r="AL1517" s="234">
        <v>0</v>
      </c>
      <c r="AM1517" s="226" t="s">
        <v>1804</v>
      </c>
      <c r="AN1517" s="226" t="s">
        <v>1805</v>
      </c>
      <c r="AP1517" s="226">
        <v>0</v>
      </c>
      <c r="AQ1517" s="226">
        <v>0</v>
      </c>
      <c r="AR1517" s="226">
        <v>0</v>
      </c>
      <c r="AS1517" s="226">
        <v>0</v>
      </c>
      <c r="AT1517" s="226">
        <v>0</v>
      </c>
      <c r="AU1517" s="226">
        <v>0</v>
      </c>
      <c r="AV1517" s="17">
        <f t="shared" si="217"/>
        <v>0</v>
      </c>
      <c r="AW1517" s="50" t="str">
        <f>"{s_taskTalk,{"&amp;L1517&amp;","&amp;N1517&amp;"}}"</f>
        <v>{s_taskTalk,{1,1}}</v>
      </c>
    </row>
    <row r="1518" spans="1:49" s="724" customFormat="1" ht="96.75" thickBot="1" x14ac:dyDescent="0.2">
      <c r="A1518" s="716">
        <v>30210</v>
      </c>
      <c r="B1518" s="717" t="s">
        <v>171</v>
      </c>
      <c r="C1518" s="717" t="s">
        <v>2391</v>
      </c>
      <c r="D1518" s="718">
        <v>3</v>
      </c>
      <c r="E1518" s="718">
        <v>0</v>
      </c>
      <c r="F1518" s="717">
        <v>7</v>
      </c>
      <c r="G1518" s="889">
        <v>61</v>
      </c>
      <c r="H1518" s="717">
        <v>200</v>
      </c>
      <c r="I1518" s="17">
        <v>0</v>
      </c>
      <c r="J1518" s="503">
        <v>0</v>
      </c>
      <c r="K1518" s="717">
        <v>0</v>
      </c>
      <c r="L1518" s="717">
        <v>126</v>
      </c>
      <c r="M1518" s="717" t="s">
        <v>2392</v>
      </c>
      <c r="N1518" s="717">
        <v>127</v>
      </c>
      <c r="O1518" s="717" t="s">
        <v>5239</v>
      </c>
      <c r="P1518" s="717"/>
      <c r="Q1518" s="719"/>
      <c r="R1518" s="719">
        <v>60185</v>
      </c>
      <c r="S1518" s="719"/>
      <c r="T1518" s="719"/>
      <c r="U1518" s="717">
        <v>1</v>
      </c>
      <c r="V1518" s="717">
        <v>1</v>
      </c>
      <c r="W1518" s="717"/>
      <c r="X1518" s="717"/>
      <c r="Y1518" s="717"/>
      <c r="Z1518" s="720">
        <v>0</v>
      </c>
      <c r="AA1518" s="717"/>
      <c r="AB1518" s="721"/>
      <c r="AC1518" s="721"/>
      <c r="AD1518" s="722"/>
      <c r="AE1518" s="717"/>
      <c r="AF1518" s="723" t="s">
        <v>2401</v>
      </c>
      <c r="AG1518" s="502" t="s">
        <v>2404</v>
      </c>
      <c r="AH1518" s="502" t="s">
        <v>2405</v>
      </c>
      <c r="AI1518" s="723" t="s">
        <v>2394</v>
      </c>
      <c r="AJ1518" s="723" t="s">
        <v>6487</v>
      </c>
      <c r="AL1518" s="725">
        <v>0</v>
      </c>
      <c r="AM1518" s="723" t="s">
        <v>3597</v>
      </c>
      <c r="AN1518" s="723" t="s">
        <v>3597</v>
      </c>
      <c r="AO1518" s="723"/>
      <c r="AP1518" s="723">
        <v>1</v>
      </c>
      <c r="AQ1518" s="723">
        <v>0</v>
      </c>
      <c r="AR1518" s="723">
        <v>0</v>
      </c>
      <c r="AS1518" s="723">
        <v>0</v>
      </c>
      <c r="AU1518" s="226">
        <v>0</v>
      </c>
      <c r="AV1518" s="17">
        <f t="shared" si="217"/>
        <v>0</v>
      </c>
      <c r="AW1518" s="50" t="str">
        <f>"{s_taskGuard,{"&amp;L1518&amp;","&amp;N1518&amp;","&amp;R1518&amp;"}}"</f>
        <v>{s_taskGuard,{126,127,60185}}</v>
      </c>
    </row>
    <row r="1519" spans="1:49" s="724" customFormat="1" ht="84.75" thickBot="1" x14ac:dyDescent="0.2">
      <c r="A1519" s="716">
        <v>30220</v>
      </c>
      <c r="B1519" s="717" t="s">
        <v>171</v>
      </c>
      <c r="C1519" s="717" t="s">
        <v>2395</v>
      </c>
      <c r="D1519" s="718">
        <v>3</v>
      </c>
      <c r="E1519" s="718">
        <v>0</v>
      </c>
      <c r="F1519" s="717">
        <v>7</v>
      </c>
      <c r="G1519" s="889">
        <v>61</v>
      </c>
      <c r="H1519" s="717">
        <v>200</v>
      </c>
      <c r="I1519" s="17">
        <v>0</v>
      </c>
      <c r="J1519" s="503">
        <v>0</v>
      </c>
      <c r="K1519" s="717">
        <v>0</v>
      </c>
      <c r="L1519" s="717">
        <v>127</v>
      </c>
      <c r="M1519" s="717" t="s">
        <v>2393</v>
      </c>
      <c r="N1519" s="717">
        <v>126</v>
      </c>
      <c r="O1519" s="717" t="s">
        <v>5200</v>
      </c>
      <c r="P1519" s="717"/>
      <c r="Q1519" s="719"/>
      <c r="R1519" s="719"/>
      <c r="S1519" s="719"/>
      <c r="T1519" s="719"/>
      <c r="U1519" s="717">
        <v>1</v>
      </c>
      <c r="V1519" s="717">
        <v>1</v>
      </c>
      <c r="W1519" s="717"/>
      <c r="X1519" s="717"/>
      <c r="Y1519" s="717"/>
      <c r="Z1519" s="720"/>
      <c r="AA1519" s="717"/>
      <c r="AB1519" s="721"/>
      <c r="AC1519" s="721"/>
      <c r="AD1519" s="722"/>
      <c r="AE1519" s="717"/>
      <c r="AF1519" s="723" t="s">
        <v>2400</v>
      </c>
      <c r="AG1519" s="502" t="s">
        <v>2403</v>
      </c>
      <c r="AH1519" s="502" t="s">
        <v>2405</v>
      </c>
      <c r="AI1519" s="723" t="s">
        <v>2396</v>
      </c>
      <c r="AJ1519" s="723" t="s">
        <v>6488</v>
      </c>
      <c r="AK1519" s="717" t="s">
        <v>171</v>
      </c>
      <c r="AL1519" s="726">
        <v>0</v>
      </c>
      <c r="AM1519" s="727" t="s">
        <v>2397</v>
      </c>
      <c r="AN1519" s="727" t="s">
        <v>6054</v>
      </c>
      <c r="AO1519" s="727"/>
      <c r="AP1519" s="723">
        <v>1</v>
      </c>
      <c r="AQ1519" s="723">
        <v>0</v>
      </c>
      <c r="AR1519" s="723">
        <v>0</v>
      </c>
      <c r="AS1519" s="723">
        <v>0</v>
      </c>
      <c r="AU1519" s="226">
        <v>0</v>
      </c>
      <c r="AV1519" s="17">
        <f t="shared" si="217"/>
        <v>0</v>
      </c>
      <c r="AW1519" s="50" t="str">
        <f t="shared" ref="AW1519:AW1533" si="220">"{s_taskTalk,{"&amp;L1519&amp;","&amp;N1519&amp;"}}"</f>
        <v>{s_taskTalk,{127,126}}</v>
      </c>
    </row>
    <row r="1520" spans="1:49" s="724" customFormat="1" ht="84.75" thickBot="1" x14ac:dyDescent="0.2">
      <c r="A1520" s="716">
        <v>30230</v>
      </c>
      <c r="B1520" s="717" t="s">
        <v>171</v>
      </c>
      <c r="C1520" s="717" t="s">
        <v>2398</v>
      </c>
      <c r="D1520" s="718">
        <v>3</v>
      </c>
      <c r="E1520" s="718">
        <v>0</v>
      </c>
      <c r="F1520" s="717">
        <v>7</v>
      </c>
      <c r="G1520" s="889">
        <v>61</v>
      </c>
      <c r="H1520" s="717">
        <v>200</v>
      </c>
      <c r="I1520" s="17">
        <v>0</v>
      </c>
      <c r="J1520" s="503">
        <v>0</v>
      </c>
      <c r="K1520" s="717">
        <v>0</v>
      </c>
      <c r="L1520" s="717">
        <v>126</v>
      </c>
      <c r="M1520" s="717" t="s">
        <v>2392</v>
      </c>
      <c r="N1520" s="717">
        <v>126</v>
      </c>
      <c r="O1520" s="717" t="s">
        <v>5200</v>
      </c>
      <c r="P1520" s="717"/>
      <c r="Q1520" s="719"/>
      <c r="R1520" s="719"/>
      <c r="S1520" s="719"/>
      <c r="T1520" s="719"/>
      <c r="U1520" s="717">
        <v>20</v>
      </c>
      <c r="V1520" s="717">
        <v>0</v>
      </c>
      <c r="W1520" s="717"/>
      <c r="X1520" s="717"/>
      <c r="Y1520" s="717"/>
      <c r="Z1520" s="720"/>
      <c r="AA1520" s="717"/>
      <c r="AB1520" s="721"/>
      <c r="AC1520" s="721"/>
      <c r="AD1520" s="722"/>
      <c r="AE1520" s="717"/>
      <c r="AF1520" s="723" t="s">
        <v>2399</v>
      </c>
      <c r="AG1520" s="502" t="s">
        <v>2402</v>
      </c>
      <c r="AH1520" s="502" t="s">
        <v>2405</v>
      </c>
      <c r="AI1520" s="723" t="s">
        <v>2396</v>
      </c>
      <c r="AJ1520" s="723" t="s">
        <v>6489</v>
      </c>
      <c r="AK1520" s="717" t="s">
        <v>171</v>
      </c>
      <c r="AL1520" s="726">
        <v>0</v>
      </c>
      <c r="AM1520" s="727" t="s">
        <v>6180</v>
      </c>
      <c r="AN1520" s="727" t="s">
        <v>6055</v>
      </c>
      <c r="AO1520" s="727"/>
      <c r="AP1520" s="723">
        <v>1</v>
      </c>
      <c r="AQ1520" s="723">
        <v>0</v>
      </c>
      <c r="AR1520" s="723">
        <v>0</v>
      </c>
      <c r="AS1520" s="723">
        <v>0</v>
      </c>
      <c r="AU1520" s="226">
        <v>0</v>
      </c>
      <c r="AV1520" s="17">
        <f t="shared" si="217"/>
        <v>0</v>
      </c>
      <c r="AW1520" s="50" t="str">
        <f t="shared" si="220"/>
        <v>{s_taskTalk,{126,126}}</v>
      </c>
    </row>
    <row r="1521" spans="1:49" s="491" customFormat="1" ht="96" x14ac:dyDescent="0.15">
      <c r="A1521" s="491">
        <v>30240</v>
      </c>
      <c r="B1521" s="491" t="s">
        <v>171</v>
      </c>
      <c r="C1521" s="491" t="s">
        <v>2443</v>
      </c>
      <c r="D1521" s="491">
        <v>3</v>
      </c>
      <c r="E1521" s="491">
        <v>0</v>
      </c>
      <c r="F1521" s="491">
        <v>3</v>
      </c>
      <c r="G1521" s="492">
        <v>200</v>
      </c>
      <c r="H1521" s="491">
        <v>200</v>
      </c>
      <c r="I1521" s="17">
        <v>0</v>
      </c>
      <c r="J1521" s="492">
        <v>15191</v>
      </c>
      <c r="K1521" s="491">
        <v>100</v>
      </c>
      <c r="L1521" s="491">
        <v>214</v>
      </c>
      <c r="M1521" s="491" t="s">
        <v>2433</v>
      </c>
      <c r="N1521" s="491">
        <v>214</v>
      </c>
      <c r="O1521" s="491" t="s">
        <v>5217</v>
      </c>
      <c r="U1521" s="491">
        <v>1</v>
      </c>
      <c r="V1521" s="491">
        <v>0</v>
      </c>
      <c r="Z1521" s="493"/>
      <c r="AD1521" s="491" t="s">
        <v>2819</v>
      </c>
      <c r="AF1521" s="494" t="s">
        <v>4465</v>
      </c>
      <c r="AG1521" s="491" t="s">
        <v>2464</v>
      </c>
      <c r="AH1521" s="491" t="s">
        <v>2458</v>
      </c>
      <c r="AI1521" s="491" t="s">
        <v>2466</v>
      </c>
      <c r="AJ1521" s="491" t="s">
        <v>6490</v>
      </c>
      <c r="AK1521" s="491" t="s">
        <v>171</v>
      </c>
      <c r="AL1521" s="492">
        <v>0</v>
      </c>
      <c r="AM1521" s="491" t="s">
        <v>2442</v>
      </c>
      <c r="AN1521" s="494" t="s">
        <v>6056</v>
      </c>
      <c r="AO1521" s="491" t="s">
        <v>2452</v>
      </c>
      <c r="AP1521" s="491">
        <v>1</v>
      </c>
      <c r="AQ1521" s="491">
        <v>0</v>
      </c>
      <c r="AR1521" s="491">
        <v>0</v>
      </c>
      <c r="AS1521" s="491">
        <v>0</v>
      </c>
      <c r="AU1521" s="226">
        <v>0</v>
      </c>
      <c r="AV1521" s="17">
        <f t="shared" si="217"/>
        <v>0</v>
      </c>
      <c r="AW1521" s="491" t="str">
        <f t="shared" si="220"/>
        <v>{s_taskTalk,{214,214}}</v>
      </c>
    </row>
    <row r="1522" spans="1:49" s="491" customFormat="1" ht="96" x14ac:dyDescent="0.15">
      <c r="A1522" s="491">
        <v>30241</v>
      </c>
      <c r="B1522" s="491" t="s">
        <v>171</v>
      </c>
      <c r="C1522" s="491" t="s">
        <v>2445</v>
      </c>
      <c r="D1522" s="491">
        <v>3</v>
      </c>
      <c r="E1522" s="491">
        <v>0</v>
      </c>
      <c r="F1522" s="491">
        <v>3</v>
      </c>
      <c r="G1522" s="492">
        <v>200</v>
      </c>
      <c r="H1522" s="491">
        <v>200</v>
      </c>
      <c r="I1522" s="17">
        <v>0</v>
      </c>
      <c r="J1522" s="492">
        <v>15191</v>
      </c>
      <c r="K1522" s="491">
        <v>100</v>
      </c>
      <c r="L1522" s="491">
        <v>213</v>
      </c>
      <c r="M1522" s="491" t="s">
        <v>2432</v>
      </c>
      <c r="N1522" s="491">
        <v>213</v>
      </c>
      <c r="O1522" s="491" t="s">
        <v>5218</v>
      </c>
      <c r="U1522" s="491">
        <v>1</v>
      </c>
      <c r="V1522" s="491">
        <v>0</v>
      </c>
      <c r="Z1522" s="493"/>
      <c r="AD1522" s="491" t="s">
        <v>2444</v>
      </c>
      <c r="AF1522" s="494" t="s">
        <v>4466</v>
      </c>
      <c r="AG1522" s="491" t="s">
        <v>2465</v>
      </c>
      <c r="AH1522" s="491" t="s">
        <v>2459</v>
      </c>
      <c r="AI1522" s="491" t="s">
        <v>2467</v>
      </c>
      <c r="AJ1522" s="491" t="s">
        <v>6491</v>
      </c>
      <c r="AK1522" s="491" t="s">
        <v>171</v>
      </c>
      <c r="AL1522" s="492">
        <v>0</v>
      </c>
      <c r="AM1522" s="491" t="s">
        <v>2446</v>
      </c>
      <c r="AN1522" s="494" t="s">
        <v>6057</v>
      </c>
      <c r="AO1522" s="491" t="s">
        <v>2453</v>
      </c>
      <c r="AP1522" s="491">
        <v>1</v>
      </c>
      <c r="AQ1522" s="491">
        <v>0</v>
      </c>
      <c r="AR1522" s="491">
        <v>0</v>
      </c>
      <c r="AS1522" s="491">
        <v>0</v>
      </c>
      <c r="AU1522" s="226">
        <v>0</v>
      </c>
      <c r="AV1522" s="17">
        <f t="shared" si="217"/>
        <v>0</v>
      </c>
      <c r="AW1522" s="491" t="str">
        <f t="shared" si="220"/>
        <v>{s_taskTalk,{213,213}}</v>
      </c>
    </row>
    <row r="1523" spans="1:49" s="491" customFormat="1" ht="60" x14ac:dyDescent="0.15">
      <c r="A1523" s="491">
        <v>30242</v>
      </c>
      <c r="B1523" s="491" t="s">
        <v>171</v>
      </c>
      <c r="C1523" s="491" t="s">
        <v>2447</v>
      </c>
      <c r="D1523" s="491">
        <v>3</v>
      </c>
      <c r="E1523" s="491">
        <v>0</v>
      </c>
      <c r="F1523" s="491">
        <v>3</v>
      </c>
      <c r="G1523" s="492">
        <v>200</v>
      </c>
      <c r="H1523" s="491">
        <v>200</v>
      </c>
      <c r="I1523" s="17">
        <v>0</v>
      </c>
      <c r="J1523" s="492">
        <v>15191</v>
      </c>
      <c r="K1523" s="491">
        <v>3</v>
      </c>
      <c r="L1523" s="491">
        <v>214</v>
      </c>
      <c r="M1523" s="491" t="s">
        <v>2433</v>
      </c>
      <c r="N1523" s="491">
        <v>214</v>
      </c>
      <c r="O1523" s="491" t="s">
        <v>5217</v>
      </c>
      <c r="U1523" s="491">
        <v>1</v>
      </c>
      <c r="V1523" s="491">
        <v>0</v>
      </c>
      <c r="Z1523" s="493"/>
      <c r="AD1523" s="491" t="s">
        <v>2448</v>
      </c>
      <c r="AF1523" s="491" t="s">
        <v>2455</v>
      </c>
      <c r="AG1523" s="491" t="s">
        <v>7351</v>
      </c>
      <c r="AH1523" s="491" t="s">
        <v>7352</v>
      </c>
      <c r="AI1523" s="491" t="s">
        <v>2454</v>
      </c>
      <c r="AJ1523" s="491" t="s">
        <v>6492</v>
      </c>
      <c r="AK1523" s="491" t="s">
        <v>171</v>
      </c>
      <c r="AL1523" s="492">
        <v>0</v>
      </c>
      <c r="AM1523" s="491" t="s">
        <v>2449</v>
      </c>
      <c r="AN1523" s="494" t="s">
        <v>6058</v>
      </c>
      <c r="AO1523" s="491" t="s">
        <v>2831</v>
      </c>
      <c r="AP1523" s="491">
        <v>1</v>
      </c>
      <c r="AQ1523" s="491">
        <v>0</v>
      </c>
      <c r="AR1523" s="491">
        <v>0</v>
      </c>
      <c r="AS1523" s="491">
        <v>0</v>
      </c>
      <c r="AU1523" s="226">
        <v>0</v>
      </c>
      <c r="AV1523" s="17">
        <f t="shared" si="217"/>
        <v>0</v>
      </c>
      <c r="AW1523" s="491" t="str">
        <f t="shared" si="220"/>
        <v>{s_taskTalk,{214,214}}</v>
      </c>
    </row>
    <row r="1524" spans="1:49" s="491" customFormat="1" ht="60" x14ac:dyDescent="0.15">
      <c r="A1524" s="491">
        <v>30243</v>
      </c>
      <c r="B1524" s="491" t="s">
        <v>171</v>
      </c>
      <c r="C1524" s="491" t="s">
        <v>2450</v>
      </c>
      <c r="D1524" s="491">
        <v>3</v>
      </c>
      <c r="E1524" s="491">
        <v>0</v>
      </c>
      <c r="F1524" s="491">
        <v>3</v>
      </c>
      <c r="G1524" s="492">
        <v>200</v>
      </c>
      <c r="H1524" s="491">
        <v>200</v>
      </c>
      <c r="I1524" s="17">
        <v>0</v>
      </c>
      <c r="J1524" s="492">
        <v>15191</v>
      </c>
      <c r="K1524" s="491">
        <v>3</v>
      </c>
      <c r="L1524" s="491">
        <v>213</v>
      </c>
      <c r="M1524" s="491" t="s">
        <v>2432</v>
      </c>
      <c r="N1524" s="491">
        <v>213</v>
      </c>
      <c r="O1524" s="491" t="s">
        <v>5218</v>
      </c>
      <c r="U1524" s="491">
        <v>1</v>
      </c>
      <c r="V1524" s="491">
        <v>0</v>
      </c>
      <c r="Z1524" s="493"/>
      <c r="AD1524" s="491" t="s">
        <v>2448</v>
      </c>
      <c r="AF1524" s="491" t="s">
        <v>2456</v>
      </c>
      <c r="AG1524" s="491" t="s">
        <v>7353</v>
      </c>
      <c r="AH1524" s="491" t="s">
        <v>7354</v>
      </c>
      <c r="AI1524" s="491" t="s">
        <v>2460</v>
      </c>
      <c r="AJ1524" s="491" t="s">
        <v>6493</v>
      </c>
      <c r="AK1524" s="491" t="s">
        <v>171</v>
      </c>
      <c r="AL1524" s="492">
        <v>0</v>
      </c>
      <c r="AM1524" s="491" t="s">
        <v>2451</v>
      </c>
      <c r="AN1524" s="494" t="s">
        <v>6059</v>
      </c>
      <c r="AO1524" s="491" t="s">
        <v>2457</v>
      </c>
      <c r="AP1524" s="491">
        <v>1</v>
      </c>
      <c r="AQ1524" s="491">
        <v>0</v>
      </c>
      <c r="AR1524" s="491">
        <v>0</v>
      </c>
      <c r="AS1524" s="491">
        <v>0</v>
      </c>
      <c r="AU1524" s="226">
        <v>0</v>
      </c>
      <c r="AV1524" s="17">
        <f t="shared" si="217"/>
        <v>0</v>
      </c>
      <c r="AW1524" s="491" t="str">
        <f t="shared" si="220"/>
        <v>{s_taskTalk,{213,213}}</v>
      </c>
    </row>
    <row r="1525" spans="1:49" s="598" customFormat="1" ht="96" x14ac:dyDescent="0.15">
      <c r="A1525" s="598">
        <v>30245</v>
      </c>
      <c r="B1525" s="598" t="s">
        <v>171</v>
      </c>
      <c r="C1525" s="598" t="s">
        <v>2443</v>
      </c>
      <c r="D1525" s="598">
        <v>3</v>
      </c>
      <c r="E1525" s="598">
        <v>0</v>
      </c>
      <c r="F1525" s="598">
        <v>3</v>
      </c>
      <c r="G1525" s="599">
        <v>200</v>
      </c>
      <c r="H1525" s="598">
        <v>200</v>
      </c>
      <c r="I1525" s="17">
        <v>0</v>
      </c>
      <c r="J1525" s="599">
        <v>15198</v>
      </c>
      <c r="K1525" s="598">
        <v>100</v>
      </c>
      <c r="L1525" s="598">
        <v>233</v>
      </c>
      <c r="M1525" s="598" t="s">
        <v>2433</v>
      </c>
      <c r="N1525" s="598">
        <v>233</v>
      </c>
      <c r="O1525" s="598" t="s">
        <v>5217</v>
      </c>
      <c r="U1525" s="598">
        <v>1</v>
      </c>
      <c r="V1525" s="598">
        <v>0</v>
      </c>
      <c r="Z1525" s="600"/>
      <c r="AD1525" s="598" t="s">
        <v>2819</v>
      </c>
      <c r="AF1525" s="601" t="s">
        <v>3208</v>
      </c>
      <c r="AG1525" s="598" t="s">
        <v>3209</v>
      </c>
      <c r="AH1525" s="598" t="s">
        <v>2458</v>
      </c>
      <c r="AI1525" s="598" t="s">
        <v>3201</v>
      </c>
      <c r="AJ1525" s="598" t="s">
        <v>6494</v>
      </c>
      <c r="AK1525" s="598" t="s">
        <v>171</v>
      </c>
      <c r="AL1525" s="599">
        <v>0</v>
      </c>
      <c r="AM1525" s="601" t="s">
        <v>3195</v>
      </c>
      <c r="AN1525" s="601" t="s">
        <v>6060</v>
      </c>
      <c r="AO1525" s="598" t="s">
        <v>3202</v>
      </c>
      <c r="AP1525" s="598">
        <v>1</v>
      </c>
      <c r="AQ1525" s="598">
        <v>0</v>
      </c>
      <c r="AR1525" s="598">
        <v>0</v>
      </c>
      <c r="AS1525" s="598">
        <v>0</v>
      </c>
      <c r="AU1525" s="226">
        <v>0</v>
      </c>
      <c r="AV1525" s="17">
        <f t="shared" si="217"/>
        <v>0</v>
      </c>
      <c r="AW1525" s="598" t="str">
        <f>"{s_taskTalk,{"&amp;L1525&amp;","&amp;N1525&amp;"}}"</f>
        <v>{s_taskTalk,{233,233}}</v>
      </c>
    </row>
    <row r="1526" spans="1:49" s="598" customFormat="1" ht="96" x14ac:dyDescent="0.15">
      <c r="A1526" s="598">
        <v>30246</v>
      </c>
      <c r="B1526" s="598" t="s">
        <v>171</v>
      </c>
      <c r="C1526" s="598" t="s">
        <v>2445</v>
      </c>
      <c r="D1526" s="598">
        <v>3</v>
      </c>
      <c r="E1526" s="598">
        <v>0</v>
      </c>
      <c r="F1526" s="598">
        <v>3</v>
      </c>
      <c r="G1526" s="599">
        <v>200</v>
      </c>
      <c r="H1526" s="598">
        <v>200</v>
      </c>
      <c r="I1526" s="17">
        <v>0</v>
      </c>
      <c r="J1526" s="599">
        <v>15198</v>
      </c>
      <c r="K1526" s="598">
        <v>100</v>
      </c>
      <c r="L1526" s="598">
        <v>232</v>
      </c>
      <c r="M1526" s="598" t="s">
        <v>2432</v>
      </c>
      <c r="N1526" s="598">
        <v>232</v>
      </c>
      <c r="O1526" s="598" t="s">
        <v>5218</v>
      </c>
      <c r="U1526" s="598">
        <v>1</v>
      </c>
      <c r="V1526" s="598">
        <v>0</v>
      </c>
      <c r="Z1526" s="600"/>
      <c r="AD1526" s="598" t="s">
        <v>2444</v>
      </c>
      <c r="AF1526" s="601" t="s">
        <v>3210</v>
      </c>
      <c r="AG1526" s="601" t="s">
        <v>3211</v>
      </c>
      <c r="AH1526" s="598" t="s">
        <v>2459</v>
      </c>
      <c r="AI1526" s="598" t="s">
        <v>3201</v>
      </c>
      <c r="AJ1526" s="598" t="s">
        <v>6494</v>
      </c>
      <c r="AK1526" s="598" t="s">
        <v>171</v>
      </c>
      <c r="AL1526" s="599">
        <v>0</v>
      </c>
      <c r="AM1526" s="601" t="s">
        <v>3192</v>
      </c>
      <c r="AN1526" s="601" t="s">
        <v>6061</v>
      </c>
      <c r="AO1526" s="598" t="s">
        <v>3203</v>
      </c>
      <c r="AP1526" s="598">
        <v>1</v>
      </c>
      <c r="AQ1526" s="598">
        <v>0</v>
      </c>
      <c r="AR1526" s="598">
        <v>0</v>
      </c>
      <c r="AS1526" s="598">
        <v>0</v>
      </c>
      <c r="AU1526" s="226">
        <v>0</v>
      </c>
      <c r="AV1526" s="17">
        <f t="shared" si="217"/>
        <v>0</v>
      </c>
      <c r="AW1526" s="598" t="str">
        <f>"{s_taskTalk,{"&amp;L1526&amp;","&amp;N1526&amp;"}}"</f>
        <v>{s_taskTalk,{232,232}}</v>
      </c>
    </row>
    <row r="1527" spans="1:49" s="598" customFormat="1" ht="96" x14ac:dyDescent="0.15">
      <c r="A1527" s="598">
        <v>30247</v>
      </c>
      <c r="B1527" s="598" t="s">
        <v>171</v>
      </c>
      <c r="C1527" s="598" t="s">
        <v>2447</v>
      </c>
      <c r="D1527" s="598">
        <v>3</v>
      </c>
      <c r="E1527" s="598">
        <v>0</v>
      </c>
      <c r="F1527" s="598">
        <v>3</v>
      </c>
      <c r="G1527" s="599">
        <v>200</v>
      </c>
      <c r="H1527" s="598">
        <v>200</v>
      </c>
      <c r="I1527" s="17">
        <v>0</v>
      </c>
      <c r="J1527" s="599">
        <v>15198</v>
      </c>
      <c r="K1527" s="598">
        <v>3</v>
      </c>
      <c r="L1527" s="598">
        <v>233</v>
      </c>
      <c r="M1527" s="598" t="s">
        <v>2433</v>
      </c>
      <c r="N1527" s="598">
        <v>233</v>
      </c>
      <c r="O1527" s="598" t="s">
        <v>5217</v>
      </c>
      <c r="U1527" s="598">
        <v>1</v>
      </c>
      <c r="V1527" s="598">
        <v>0</v>
      </c>
      <c r="Z1527" s="600"/>
      <c r="AD1527" s="598" t="s">
        <v>2448</v>
      </c>
      <c r="AF1527" s="601" t="s">
        <v>3196</v>
      </c>
      <c r="AG1527" s="598" t="s">
        <v>7351</v>
      </c>
      <c r="AH1527" s="598" t="s">
        <v>7352</v>
      </c>
      <c r="AI1527" s="598" t="s">
        <v>2454</v>
      </c>
      <c r="AJ1527" s="598" t="s">
        <v>6492</v>
      </c>
      <c r="AK1527" s="598" t="s">
        <v>171</v>
      </c>
      <c r="AL1527" s="599">
        <v>0</v>
      </c>
      <c r="AM1527" s="601" t="s">
        <v>3197</v>
      </c>
      <c r="AN1527" s="601" t="s">
        <v>6062</v>
      </c>
      <c r="AO1527" s="598" t="s">
        <v>2831</v>
      </c>
      <c r="AP1527" s="598">
        <v>1</v>
      </c>
      <c r="AQ1527" s="598">
        <v>0</v>
      </c>
      <c r="AR1527" s="598">
        <v>0</v>
      </c>
      <c r="AS1527" s="598">
        <v>0</v>
      </c>
      <c r="AU1527" s="226">
        <v>0</v>
      </c>
      <c r="AV1527" s="17">
        <f t="shared" si="217"/>
        <v>0</v>
      </c>
      <c r="AW1527" s="598" t="str">
        <f>"{s_taskTalk,{"&amp;L1527&amp;","&amp;N1527&amp;"}}"</f>
        <v>{s_taskTalk,{233,233}}</v>
      </c>
    </row>
    <row r="1528" spans="1:49" s="598" customFormat="1" ht="96" x14ac:dyDescent="0.15">
      <c r="A1528" s="598">
        <v>30248</v>
      </c>
      <c r="B1528" s="598" t="s">
        <v>171</v>
      </c>
      <c r="C1528" s="598" t="s">
        <v>2450</v>
      </c>
      <c r="D1528" s="598">
        <v>3</v>
      </c>
      <c r="E1528" s="598">
        <v>0</v>
      </c>
      <c r="F1528" s="598">
        <v>3</v>
      </c>
      <c r="G1528" s="599">
        <v>200</v>
      </c>
      <c r="H1528" s="598">
        <v>200</v>
      </c>
      <c r="I1528" s="17">
        <v>0</v>
      </c>
      <c r="J1528" s="599">
        <v>15198</v>
      </c>
      <c r="K1528" s="598">
        <v>3</v>
      </c>
      <c r="L1528" s="598">
        <v>232</v>
      </c>
      <c r="M1528" s="598" t="s">
        <v>2432</v>
      </c>
      <c r="N1528" s="598">
        <v>232</v>
      </c>
      <c r="O1528" s="598" t="s">
        <v>5218</v>
      </c>
      <c r="U1528" s="598">
        <v>1</v>
      </c>
      <c r="V1528" s="598">
        <v>0</v>
      </c>
      <c r="Z1528" s="600"/>
      <c r="AD1528" s="598" t="s">
        <v>2448</v>
      </c>
      <c r="AF1528" s="601" t="s">
        <v>3193</v>
      </c>
      <c r="AG1528" s="598" t="s">
        <v>7353</v>
      </c>
      <c r="AH1528" s="598" t="s">
        <v>7354</v>
      </c>
      <c r="AI1528" s="598" t="s">
        <v>2460</v>
      </c>
      <c r="AJ1528" s="598" t="s">
        <v>6493</v>
      </c>
      <c r="AK1528" s="598" t="s">
        <v>171</v>
      </c>
      <c r="AL1528" s="599">
        <v>0</v>
      </c>
      <c r="AM1528" s="601" t="s">
        <v>3194</v>
      </c>
      <c r="AN1528" s="601" t="s">
        <v>6063</v>
      </c>
      <c r="AO1528" s="598" t="s">
        <v>2457</v>
      </c>
      <c r="AP1528" s="598">
        <v>1</v>
      </c>
      <c r="AQ1528" s="598">
        <v>0</v>
      </c>
      <c r="AR1528" s="598">
        <v>0</v>
      </c>
      <c r="AS1528" s="598">
        <v>0</v>
      </c>
      <c r="AU1528" s="226">
        <v>0</v>
      </c>
      <c r="AV1528" s="17">
        <f t="shared" si="217"/>
        <v>0</v>
      </c>
      <c r="AW1528" s="598" t="str">
        <f>"{s_taskTalk,{"&amp;L1528&amp;","&amp;N1528&amp;"}}"</f>
        <v>{s_taskTalk,{232,232}}</v>
      </c>
    </row>
    <row r="1529" spans="1:49" ht="108" x14ac:dyDescent="0.15">
      <c r="A1529" s="149">
        <v>30250</v>
      </c>
      <c r="B1529" s="226"/>
      <c r="C1529" s="226" t="s">
        <v>4118</v>
      </c>
      <c r="D1529" s="226">
        <v>3</v>
      </c>
      <c r="E1529" s="226">
        <v>0</v>
      </c>
      <c r="F1529" s="226">
        <v>7</v>
      </c>
      <c r="G1529" s="234">
        <v>200</v>
      </c>
      <c r="H1529" s="226">
        <v>200</v>
      </c>
      <c r="I1529" s="17">
        <v>0</v>
      </c>
      <c r="J1529" s="234">
        <v>0</v>
      </c>
      <c r="K1529" s="226">
        <v>1</v>
      </c>
      <c r="L1529" s="226">
        <v>197</v>
      </c>
      <c r="M1529" s="226"/>
      <c r="N1529" s="226">
        <v>197</v>
      </c>
      <c r="O1529" s="226"/>
      <c r="P1529" s="226"/>
      <c r="Q1529" s="228"/>
      <c r="R1529" s="228"/>
      <c r="S1529" s="228"/>
      <c r="T1529" s="228"/>
      <c r="U1529" s="226">
        <v>100</v>
      </c>
      <c r="V1529" s="226">
        <v>0</v>
      </c>
      <c r="W1529" s="226"/>
      <c r="X1529" s="226">
        <v>0</v>
      </c>
      <c r="Y1529" s="226"/>
      <c r="Z1529" s="230">
        <v>0</v>
      </c>
      <c r="AA1529" s="226"/>
      <c r="AB1529" s="231"/>
      <c r="AC1529" s="231"/>
      <c r="AD1529" s="226"/>
      <c r="AE1529" s="226"/>
      <c r="AF1529" s="226"/>
      <c r="AG1529" s="226" t="s">
        <v>4169</v>
      </c>
      <c r="AH1529" s="226" t="s">
        <v>4170</v>
      </c>
      <c r="AI1529" s="226" t="s">
        <v>2461</v>
      </c>
      <c r="AJ1529" s="226" t="s">
        <v>6495</v>
      </c>
      <c r="AK1529" s="226"/>
      <c r="AL1529" s="234">
        <v>0</v>
      </c>
      <c r="AM1529" s="226"/>
      <c r="AN1529" s="226" t="s">
        <v>6064</v>
      </c>
      <c r="AO1529" s="226"/>
      <c r="AP1529" s="226">
        <v>0</v>
      </c>
      <c r="AQ1529" s="226">
        <v>0</v>
      </c>
      <c r="AR1529" s="226">
        <v>0</v>
      </c>
      <c r="AS1529" s="226">
        <v>0</v>
      </c>
      <c r="AT1529" s="226">
        <v>0</v>
      </c>
      <c r="AU1529" s="226">
        <v>0</v>
      </c>
      <c r="AV1529" s="17">
        <f t="shared" si="217"/>
        <v>0</v>
      </c>
      <c r="AW1529" s="50" t="str">
        <f t="shared" si="220"/>
        <v>{s_taskTalk,{197,197}}</v>
      </c>
    </row>
    <row r="1530" spans="1:49" ht="84" x14ac:dyDescent="0.15">
      <c r="A1530" s="149">
        <v>30260</v>
      </c>
      <c r="B1530" s="226"/>
      <c r="C1530" s="226" t="s">
        <v>4101</v>
      </c>
      <c r="D1530" s="226">
        <v>3</v>
      </c>
      <c r="E1530" s="226">
        <v>0</v>
      </c>
      <c r="F1530" s="226">
        <v>3</v>
      </c>
      <c r="G1530" s="234">
        <v>31</v>
      </c>
      <c r="H1530" s="226">
        <v>60</v>
      </c>
      <c r="I1530" s="17">
        <v>0</v>
      </c>
      <c r="J1530" s="234">
        <v>0</v>
      </c>
      <c r="K1530" s="226">
        <v>1</v>
      </c>
      <c r="L1530" s="226">
        <v>60000</v>
      </c>
      <c r="M1530" s="226"/>
      <c r="N1530" s="226">
        <v>60000</v>
      </c>
      <c r="O1530" s="226"/>
      <c r="P1530" s="226"/>
      <c r="Q1530" s="228"/>
      <c r="R1530" s="228"/>
      <c r="S1530" s="228"/>
      <c r="T1530" s="228"/>
      <c r="U1530" s="226">
        <v>1</v>
      </c>
      <c r="V1530" s="226">
        <v>0</v>
      </c>
      <c r="W1530" s="226"/>
      <c r="X1530" s="226"/>
      <c r="Y1530" s="226"/>
      <c r="Z1530" s="230">
        <v>0</v>
      </c>
      <c r="AA1530" s="226"/>
      <c r="AB1530" s="231"/>
      <c r="AC1530" s="231"/>
      <c r="AD1530" s="226"/>
      <c r="AE1530" s="226"/>
      <c r="AF1530" s="226" t="s">
        <v>4171</v>
      </c>
      <c r="AG1530" s="226" t="s">
        <v>4172</v>
      </c>
      <c r="AH1530" s="226" t="s">
        <v>4173</v>
      </c>
      <c r="AI1530" s="226" t="s">
        <v>553</v>
      </c>
      <c r="AJ1530" s="226" t="s">
        <v>6486</v>
      </c>
      <c r="AK1530" s="226"/>
      <c r="AL1530" s="234">
        <v>0</v>
      </c>
      <c r="AM1530" s="226"/>
      <c r="AN1530" s="226" t="s">
        <v>6065</v>
      </c>
      <c r="AO1530" s="226"/>
      <c r="AP1530" s="226">
        <v>0</v>
      </c>
      <c r="AQ1530" s="226">
        <v>0</v>
      </c>
      <c r="AR1530" s="226">
        <v>0</v>
      </c>
      <c r="AS1530" s="226">
        <v>0</v>
      </c>
      <c r="AT1530" s="226">
        <v>0</v>
      </c>
      <c r="AU1530" s="226">
        <v>0</v>
      </c>
      <c r="AV1530" s="17">
        <f t="shared" si="217"/>
        <v>0</v>
      </c>
      <c r="AW1530" s="50" t="str">
        <f t="shared" si="220"/>
        <v>{s_taskTalk,{60000,60000}}</v>
      </c>
    </row>
    <row r="1531" spans="1:49" ht="84" x14ac:dyDescent="0.15">
      <c r="A1531" s="149">
        <v>30261</v>
      </c>
      <c r="B1531" s="226"/>
      <c r="C1531" s="226" t="s">
        <v>4101</v>
      </c>
      <c r="D1531" s="226">
        <v>3</v>
      </c>
      <c r="E1531" s="226">
        <v>0</v>
      </c>
      <c r="F1531" s="226">
        <v>5</v>
      </c>
      <c r="G1531" s="234">
        <v>61</v>
      </c>
      <c r="H1531" s="226">
        <v>80</v>
      </c>
      <c r="I1531" s="17">
        <v>0</v>
      </c>
      <c r="J1531" s="234">
        <v>0</v>
      </c>
      <c r="K1531" s="226">
        <v>1</v>
      </c>
      <c r="L1531" s="226">
        <v>60559</v>
      </c>
      <c r="M1531" s="226"/>
      <c r="N1531" s="226">
        <v>60559</v>
      </c>
      <c r="O1531" s="226"/>
      <c r="P1531" s="226"/>
      <c r="Q1531" s="228"/>
      <c r="R1531" s="228"/>
      <c r="S1531" s="228"/>
      <c r="T1531" s="228"/>
      <c r="U1531" s="226">
        <v>1</v>
      </c>
      <c r="V1531" s="226">
        <v>0</v>
      </c>
      <c r="W1531" s="226"/>
      <c r="X1531" s="226"/>
      <c r="Y1531" s="226"/>
      <c r="Z1531" s="230">
        <v>0</v>
      </c>
      <c r="AA1531" s="226"/>
      <c r="AB1531" s="231"/>
      <c r="AC1531" s="231"/>
      <c r="AD1531" s="226"/>
      <c r="AE1531" s="226"/>
      <c r="AF1531" s="226" t="s">
        <v>4174</v>
      </c>
      <c r="AG1531" s="226" t="s">
        <v>4172</v>
      </c>
      <c r="AH1531" s="226" t="s">
        <v>4173</v>
      </c>
      <c r="AI1531" s="226" t="s">
        <v>553</v>
      </c>
      <c r="AJ1531" s="226" t="s">
        <v>6486</v>
      </c>
      <c r="AK1531" s="226"/>
      <c r="AL1531" s="234">
        <v>0</v>
      </c>
      <c r="AM1531" s="226"/>
      <c r="AN1531" s="226" t="s">
        <v>6066</v>
      </c>
      <c r="AO1531" s="226"/>
      <c r="AP1531" s="226">
        <v>0</v>
      </c>
      <c r="AQ1531" s="226">
        <v>0</v>
      </c>
      <c r="AR1531" s="226">
        <v>0</v>
      </c>
      <c r="AS1531" s="226">
        <v>0</v>
      </c>
      <c r="AT1531" s="226">
        <v>0</v>
      </c>
      <c r="AU1531" s="226">
        <v>0</v>
      </c>
      <c r="AV1531" s="17">
        <f t="shared" si="217"/>
        <v>0</v>
      </c>
      <c r="AW1531" s="50" t="str">
        <f t="shared" si="220"/>
        <v>{s_taskTalk,{60559,60559}}</v>
      </c>
    </row>
    <row r="1532" spans="1:49" s="729" customFormat="1" ht="228.75" thickBot="1" x14ac:dyDescent="0.2">
      <c r="A1532" s="728">
        <v>30265</v>
      </c>
      <c r="C1532" s="729" t="s">
        <v>4128</v>
      </c>
      <c r="D1532" s="400">
        <v>3</v>
      </c>
      <c r="E1532" s="400">
        <v>0</v>
      </c>
      <c r="F1532" s="400">
        <v>3</v>
      </c>
      <c r="G1532" s="730">
        <v>150</v>
      </c>
      <c r="H1532" s="729">
        <v>200</v>
      </c>
      <c r="I1532" s="17">
        <v>0</v>
      </c>
      <c r="J1532" s="730"/>
      <c r="K1532" s="729">
        <v>2</v>
      </c>
      <c r="L1532" s="729">
        <v>230</v>
      </c>
      <c r="M1532" s="729" t="s">
        <v>2974</v>
      </c>
      <c r="N1532" s="729">
        <v>230</v>
      </c>
      <c r="O1532" s="729" t="s">
        <v>5240</v>
      </c>
      <c r="Q1532" s="731"/>
      <c r="R1532" s="731"/>
      <c r="S1532" s="731"/>
      <c r="T1532" s="731"/>
      <c r="U1532" s="729">
        <v>1</v>
      </c>
      <c r="V1532" s="729">
        <v>0</v>
      </c>
      <c r="W1532" s="51"/>
      <c r="Z1532" s="398"/>
      <c r="AB1532" s="732"/>
      <c r="AC1532" s="733"/>
      <c r="AD1532" s="408"/>
      <c r="AF1532" s="734" t="s">
        <v>4418</v>
      </c>
      <c r="AG1532" s="734" t="s">
        <v>3493</v>
      </c>
      <c r="AH1532" s="734" t="s">
        <v>2975</v>
      </c>
      <c r="AI1532" s="735" t="s">
        <v>2976</v>
      </c>
      <c r="AJ1532" s="735" t="s">
        <v>6496</v>
      </c>
      <c r="AL1532" s="736">
        <v>0</v>
      </c>
      <c r="AM1532" s="400" t="s">
        <v>4381</v>
      </c>
      <c r="AN1532" s="400" t="s">
        <v>4381</v>
      </c>
      <c r="AP1532" s="729">
        <v>1</v>
      </c>
      <c r="AQ1532" s="729">
        <v>0</v>
      </c>
      <c r="AR1532" s="729">
        <v>0</v>
      </c>
      <c r="AS1532" s="729">
        <v>0</v>
      </c>
      <c r="AU1532" s="226">
        <v>0</v>
      </c>
      <c r="AV1532" s="17">
        <f t="shared" si="217"/>
        <v>0</v>
      </c>
      <c r="AW1532" s="25" t="str">
        <f>"{s_taskTalk,{"&amp;L1532&amp;","&amp;N1532&amp;"}}"</f>
        <v>{s_taskTalk,{230,230}}</v>
      </c>
    </row>
    <row r="1533" spans="1:49" s="738" customFormat="1" ht="120.75" thickBot="1" x14ac:dyDescent="0.2">
      <c r="A1533" s="737">
        <v>30270</v>
      </c>
      <c r="C1533" s="738" t="s">
        <v>2835</v>
      </c>
      <c r="D1533" s="348">
        <v>3</v>
      </c>
      <c r="E1533" s="348">
        <v>0</v>
      </c>
      <c r="F1533" s="348">
        <v>3</v>
      </c>
      <c r="G1533" s="739">
        <v>200</v>
      </c>
      <c r="H1533" s="738">
        <v>200</v>
      </c>
      <c r="I1533" s="17">
        <v>0</v>
      </c>
      <c r="J1533" s="739"/>
      <c r="K1533" s="738">
        <v>1</v>
      </c>
      <c r="L1533" s="738">
        <v>216</v>
      </c>
      <c r="M1533" s="738" t="s">
        <v>2806</v>
      </c>
      <c r="N1533" s="738">
        <v>216</v>
      </c>
      <c r="O1533" s="738" t="s">
        <v>5241</v>
      </c>
      <c r="Q1533" s="740"/>
      <c r="R1533" s="740"/>
      <c r="S1533" s="740"/>
      <c r="T1533" s="740"/>
      <c r="U1533" s="738">
        <v>9</v>
      </c>
      <c r="V1533" s="738">
        <v>0</v>
      </c>
      <c r="W1533" s="741"/>
      <c r="Z1533" s="742"/>
      <c r="AB1533" s="743"/>
      <c r="AC1533" s="744"/>
      <c r="AD1533" s="745" t="s">
        <v>2820</v>
      </c>
      <c r="AF1533" s="746" t="s">
        <v>4343</v>
      </c>
      <c r="AG1533" s="746" t="s">
        <v>4344</v>
      </c>
      <c r="AH1533" s="746" t="s">
        <v>2809</v>
      </c>
      <c r="AI1533" s="747" t="s">
        <v>2810</v>
      </c>
      <c r="AJ1533" s="747" t="s">
        <v>6497</v>
      </c>
      <c r="AL1533" s="748">
        <v>0</v>
      </c>
      <c r="AM1533" s="749"/>
      <c r="AN1533" s="749"/>
      <c r="AP1533" s="738">
        <v>1</v>
      </c>
      <c r="AQ1533" s="738">
        <v>0</v>
      </c>
      <c r="AR1533" s="738">
        <v>0</v>
      </c>
      <c r="AS1533" s="738">
        <v>0</v>
      </c>
      <c r="AU1533" s="226">
        <v>0</v>
      </c>
      <c r="AV1533" s="17">
        <f t="shared" si="217"/>
        <v>0</v>
      </c>
      <c r="AW1533" s="346" t="str">
        <f t="shared" si="220"/>
        <v>{s_taskTalk,{216,216}}</v>
      </c>
    </row>
    <row r="1534" spans="1:49" s="348" customFormat="1" ht="72" x14ac:dyDescent="0.15">
      <c r="A1534" s="737">
        <v>30271</v>
      </c>
      <c r="C1534" s="348" t="s">
        <v>2837</v>
      </c>
      <c r="D1534" s="348">
        <v>3</v>
      </c>
      <c r="E1534" s="348">
        <v>0</v>
      </c>
      <c r="F1534" s="348">
        <v>3</v>
      </c>
      <c r="G1534" s="739">
        <v>200</v>
      </c>
      <c r="H1534" s="738">
        <v>200</v>
      </c>
      <c r="I1534" s="17">
        <v>0</v>
      </c>
      <c r="J1534" s="739"/>
      <c r="K1534" s="738">
        <v>1</v>
      </c>
      <c r="L1534" s="738">
        <v>216</v>
      </c>
      <c r="M1534" s="738" t="s">
        <v>2806</v>
      </c>
      <c r="N1534" s="738">
        <v>216</v>
      </c>
      <c r="O1534" s="738" t="s">
        <v>5241</v>
      </c>
      <c r="Q1534" s="750"/>
      <c r="R1534" s="750"/>
      <c r="S1534" s="750"/>
      <c r="T1534" s="750"/>
      <c r="U1534" s="348">
        <v>1</v>
      </c>
      <c r="V1534" s="348">
        <v>1</v>
      </c>
      <c r="W1534" s="741"/>
      <c r="Z1534" s="742"/>
      <c r="AB1534" s="751"/>
      <c r="AC1534" s="752">
        <v>1000</v>
      </c>
      <c r="AD1534" s="745"/>
      <c r="AF1534" s="753" t="s">
        <v>2839</v>
      </c>
      <c r="AG1534" s="753" t="s">
        <v>2836</v>
      </c>
      <c r="AH1534" s="753" t="s">
        <v>2813</v>
      </c>
      <c r="AI1534" s="753" t="s">
        <v>2807</v>
      </c>
      <c r="AJ1534" s="747" t="s">
        <v>6498</v>
      </c>
      <c r="AL1534" s="739">
        <v>0</v>
      </c>
      <c r="AM1534" s="348" t="s">
        <v>2808</v>
      </c>
      <c r="AN1534" s="348" t="s">
        <v>2808</v>
      </c>
      <c r="AP1534" s="348">
        <v>1</v>
      </c>
      <c r="AQ1534" s="348">
        <v>0</v>
      </c>
      <c r="AR1534" s="348">
        <v>0</v>
      </c>
      <c r="AS1534" s="348">
        <v>0</v>
      </c>
      <c r="AU1534" s="226">
        <v>0</v>
      </c>
      <c r="AV1534" s="17">
        <f t="shared" si="217"/>
        <v>0</v>
      </c>
      <c r="AW1534" s="346" t="str">
        <f>"{s_taskTalk,{"&amp;L1534&amp;","&amp;N1534&amp;"}}"</f>
        <v>{s_taskTalk,{216,216}}</v>
      </c>
    </row>
    <row r="1535" spans="1:49" s="348" customFormat="1" ht="108" x14ac:dyDescent="0.15">
      <c r="A1535" s="737">
        <v>30272</v>
      </c>
      <c r="C1535" s="348" t="s">
        <v>2838</v>
      </c>
      <c r="D1535" s="348">
        <v>3</v>
      </c>
      <c r="E1535" s="348">
        <v>0</v>
      </c>
      <c r="F1535" s="348">
        <v>3</v>
      </c>
      <c r="G1535" s="739">
        <v>200</v>
      </c>
      <c r="H1535" s="738">
        <v>200</v>
      </c>
      <c r="I1535" s="17">
        <v>0</v>
      </c>
      <c r="J1535" s="739"/>
      <c r="K1535" s="738">
        <v>5</v>
      </c>
      <c r="L1535" s="738">
        <v>216</v>
      </c>
      <c r="M1535" s="738" t="s">
        <v>2806</v>
      </c>
      <c r="N1535" s="738">
        <v>216</v>
      </c>
      <c r="O1535" s="738" t="s">
        <v>5241</v>
      </c>
      <c r="Q1535" s="750"/>
      <c r="R1535" s="750"/>
      <c r="S1535" s="750"/>
      <c r="T1535" s="750"/>
      <c r="U1535" s="348">
        <v>1</v>
      </c>
      <c r="V1535" s="348">
        <v>0</v>
      </c>
      <c r="W1535" s="741"/>
      <c r="Z1535" s="742"/>
      <c r="AB1535" s="751"/>
      <c r="AC1535" s="752"/>
      <c r="AD1535" s="745"/>
      <c r="AE1535" s="745" t="s">
        <v>2823</v>
      </c>
      <c r="AF1535" s="753" t="s">
        <v>4175</v>
      </c>
      <c r="AG1535" s="753" t="s">
        <v>4176</v>
      </c>
      <c r="AH1535" s="753" t="s">
        <v>2811</v>
      </c>
      <c r="AI1535" s="753" t="s">
        <v>2812</v>
      </c>
      <c r="AJ1535" s="753" t="s">
        <v>6499</v>
      </c>
      <c r="AL1535" s="739">
        <v>0</v>
      </c>
      <c r="AM1535" s="348" t="s">
        <v>2816</v>
      </c>
      <c r="AN1535" s="348" t="s">
        <v>6067</v>
      </c>
      <c r="AO1535" s="754" t="s">
        <v>2833</v>
      </c>
      <c r="AP1535" s="348">
        <v>1</v>
      </c>
      <c r="AQ1535" s="348">
        <v>0</v>
      </c>
      <c r="AR1535" s="348">
        <v>0</v>
      </c>
      <c r="AS1535" s="348">
        <v>0</v>
      </c>
      <c r="AU1535" s="226">
        <v>0</v>
      </c>
      <c r="AV1535" s="17">
        <f t="shared" si="217"/>
        <v>0</v>
      </c>
      <c r="AW1535" s="346" t="str">
        <f>"{s_taskTalk,{"&amp;L1535&amp;","&amp;N1535&amp;"}}"</f>
        <v>{s_taskTalk,{216,216}}</v>
      </c>
    </row>
    <row r="1536" spans="1:49" s="346" customFormat="1" ht="252" x14ac:dyDescent="0.15">
      <c r="A1536" s="755">
        <v>30273</v>
      </c>
      <c r="C1536" s="346" t="s">
        <v>2840</v>
      </c>
      <c r="D1536" s="346">
        <v>3</v>
      </c>
      <c r="E1536" s="346">
        <v>0</v>
      </c>
      <c r="F1536" s="346">
        <v>3</v>
      </c>
      <c r="G1536" s="347">
        <v>200</v>
      </c>
      <c r="H1536" s="346">
        <v>200</v>
      </c>
      <c r="I1536" s="17">
        <v>0</v>
      </c>
      <c r="J1536" s="347"/>
      <c r="K1536" s="346">
        <v>1</v>
      </c>
      <c r="L1536" s="738">
        <v>216</v>
      </c>
      <c r="M1536" s="738" t="s">
        <v>2806</v>
      </c>
      <c r="N1536" s="738">
        <v>216</v>
      </c>
      <c r="O1536" s="738" t="s">
        <v>5241</v>
      </c>
      <c r="Q1536" s="750"/>
      <c r="R1536" s="750"/>
      <c r="S1536" s="750">
        <v>22907</v>
      </c>
      <c r="T1536" s="750"/>
      <c r="U1536" s="346">
        <v>1</v>
      </c>
      <c r="V1536" s="346">
        <v>0</v>
      </c>
      <c r="W1536" s="741"/>
      <c r="Z1536" s="742"/>
      <c r="AB1536" s="751"/>
      <c r="AC1536" s="751"/>
      <c r="AD1536" s="745" t="s">
        <v>2821</v>
      </c>
      <c r="AF1536" s="346" t="s">
        <v>4798</v>
      </c>
      <c r="AG1536" s="346" t="s">
        <v>4799</v>
      </c>
      <c r="AH1536" s="346" t="s">
        <v>2814</v>
      </c>
      <c r="AI1536" s="346" t="s">
        <v>4613</v>
      </c>
      <c r="AJ1536" s="346" t="s">
        <v>6500</v>
      </c>
      <c r="AL1536" s="347">
        <v>0</v>
      </c>
      <c r="AM1536" s="348" t="s">
        <v>7355</v>
      </c>
      <c r="AN1536" s="348" t="s">
        <v>6068</v>
      </c>
      <c r="AP1536" s="346">
        <v>1</v>
      </c>
      <c r="AQ1536" s="346">
        <v>0</v>
      </c>
      <c r="AR1536" s="346">
        <v>0</v>
      </c>
      <c r="AS1536" s="346">
        <v>0</v>
      </c>
      <c r="AU1536" s="226">
        <v>0</v>
      </c>
      <c r="AV1536" s="17">
        <f t="shared" si="217"/>
        <v>0</v>
      </c>
      <c r="AW1536" s="348" t="str">
        <f>"{s_taskKillNpc, {"&amp;L1536&amp;","&amp;N1536&amp;","&amp;S1536&amp;","&amp;U1536&amp;"}}"</f>
        <v>{s_taskKillNpc, {216,216,22907,1}}</v>
      </c>
    </row>
    <row r="1537" spans="1:49" s="346" customFormat="1" ht="264" x14ac:dyDescent="0.15">
      <c r="A1537" s="755">
        <v>30274</v>
      </c>
      <c r="C1537" s="346" t="s">
        <v>2815</v>
      </c>
      <c r="D1537" s="346">
        <v>3</v>
      </c>
      <c r="E1537" s="346">
        <v>0</v>
      </c>
      <c r="F1537" s="346">
        <v>3</v>
      </c>
      <c r="G1537" s="347">
        <v>200</v>
      </c>
      <c r="H1537" s="346">
        <v>200</v>
      </c>
      <c r="I1537" s="17">
        <v>0</v>
      </c>
      <c r="J1537" s="347"/>
      <c r="K1537" s="346">
        <v>1</v>
      </c>
      <c r="L1537" s="738">
        <v>216</v>
      </c>
      <c r="M1537" s="738" t="s">
        <v>2806</v>
      </c>
      <c r="N1537" s="738">
        <v>216</v>
      </c>
      <c r="O1537" s="738" t="s">
        <v>5241</v>
      </c>
      <c r="Q1537" s="750"/>
      <c r="R1537" s="750"/>
      <c r="S1537" s="750"/>
      <c r="T1537" s="750"/>
      <c r="U1537" s="346">
        <v>3</v>
      </c>
      <c r="V1537" s="346">
        <v>0</v>
      </c>
      <c r="W1537" s="741"/>
      <c r="Z1537" s="742"/>
      <c r="AB1537" s="751"/>
      <c r="AC1537" s="751"/>
      <c r="AD1537" s="745" t="s">
        <v>2822</v>
      </c>
      <c r="AE1537" s="745" t="s">
        <v>2824</v>
      </c>
      <c r="AF1537" s="346" t="s">
        <v>4419</v>
      </c>
      <c r="AG1537" s="346" t="s">
        <v>4420</v>
      </c>
      <c r="AH1537" s="346" t="s">
        <v>2818</v>
      </c>
      <c r="AI1537" s="346" t="s">
        <v>2841</v>
      </c>
      <c r="AJ1537" s="346" t="s">
        <v>6501</v>
      </c>
      <c r="AL1537" s="347">
        <v>0</v>
      </c>
      <c r="AM1537" s="348" t="s">
        <v>2842</v>
      </c>
      <c r="AN1537" s="348" t="s">
        <v>6069</v>
      </c>
      <c r="AO1537" s="754" t="s">
        <v>2832</v>
      </c>
      <c r="AP1537" s="346">
        <v>1</v>
      </c>
      <c r="AQ1537" s="346">
        <v>0</v>
      </c>
      <c r="AR1537" s="346">
        <v>0</v>
      </c>
      <c r="AS1537" s="346">
        <v>0</v>
      </c>
      <c r="AU1537" s="226">
        <v>0</v>
      </c>
      <c r="AV1537" s="17">
        <f t="shared" si="217"/>
        <v>0</v>
      </c>
      <c r="AW1537" s="346" t="str">
        <f t="shared" ref="AW1537:AW1542" si="221">"{s_taskTalk,{"&amp;L1537&amp;","&amp;N1537&amp;"}}"</f>
        <v>{s_taskTalk,{216,216}}</v>
      </c>
    </row>
    <row r="1538" spans="1:49" s="346" customFormat="1" ht="84" x14ac:dyDescent="0.15">
      <c r="A1538" s="755">
        <v>30275</v>
      </c>
      <c r="C1538" s="346" t="s">
        <v>2878</v>
      </c>
      <c r="D1538" s="346">
        <v>2</v>
      </c>
      <c r="E1538" s="346">
        <v>0</v>
      </c>
      <c r="F1538" s="346">
        <v>3</v>
      </c>
      <c r="G1538" s="347">
        <v>200</v>
      </c>
      <c r="H1538" s="346">
        <v>200</v>
      </c>
      <c r="I1538" s="17">
        <v>0</v>
      </c>
      <c r="J1538" s="347"/>
      <c r="K1538" s="346">
        <v>0</v>
      </c>
      <c r="L1538" s="738">
        <v>60066</v>
      </c>
      <c r="M1538" s="738" t="s">
        <v>2877</v>
      </c>
      <c r="N1538" s="738">
        <v>60049</v>
      </c>
      <c r="O1538" s="738" t="s">
        <v>5197</v>
      </c>
      <c r="Q1538" s="750"/>
      <c r="R1538" s="750"/>
      <c r="S1538" s="750"/>
      <c r="T1538" s="750"/>
      <c r="U1538" s="346">
        <v>1</v>
      </c>
      <c r="V1538" s="346">
        <v>0</v>
      </c>
      <c r="W1538" s="741"/>
      <c r="Z1538" s="742"/>
      <c r="AB1538" s="751"/>
      <c r="AC1538" s="751">
        <v>500</v>
      </c>
      <c r="AD1538" s="745"/>
      <c r="AE1538" s="745"/>
      <c r="AF1538" s="346" t="s">
        <v>7356</v>
      </c>
      <c r="AG1538" s="346" t="s">
        <v>2879</v>
      </c>
      <c r="AH1538" s="346" t="s">
        <v>2880</v>
      </c>
      <c r="AI1538" s="346" t="s">
        <v>2881</v>
      </c>
      <c r="AJ1538" s="346" t="s">
        <v>6502</v>
      </c>
      <c r="AL1538" s="347">
        <v>0</v>
      </c>
      <c r="AM1538" s="348" t="s">
        <v>3279</v>
      </c>
      <c r="AN1538" s="348" t="s">
        <v>6070</v>
      </c>
      <c r="AO1538" s="754"/>
      <c r="AP1538" s="346">
        <v>1</v>
      </c>
      <c r="AQ1538" s="346">
        <v>0</v>
      </c>
      <c r="AR1538" s="346">
        <v>0</v>
      </c>
      <c r="AS1538" s="346">
        <v>0</v>
      </c>
      <c r="AU1538" s="226">
        <v>0</v>
      </c>
      <c r="AV1538" s="17">
        <f t="shared" si="217"/>
        <v>0</v>
      </c>
      <c r="AW1538" s="346" t="str">
        <f t="shared" si="221"/>
        <v>{s_taskTalk,{60066,60049}}</v>
      </c>
    </row>
    <row r="1539" spans="1:49" s="346" customFormat="1" ht="144" x14ac:dyDescent="0.15">
      <c r="A1539" s="755">
        <v>30280</v>
      </c>
      <c r="C1539" s="346" t="s">
        <v>2952</v>
      </c>
      <c r="D1539" s="346">
        <v>3</v>
      </c>
      <c r="E1539" s="346">
        <v>0</v>
      </c>
      <c r="F1539" s="346">
        <v>5</v>
      </c>
      <c r="G1539" s="347">
        <v>200</v>
      </c>
      <c r="H1539" s="346">
        <v>200</v>
      </c>
      <c r="I1539" s="17">
        <v>0</v>
      </c>
      <c r="J1539" s="347"/>
      <c r="K1539" s="346">
        <v>1</v>
      </c>
      <c r="L1539" s="738">
        <v>229</v>
      </c>
      <c r="M1539" s="738" t="s">
        <v>2933</v>
      </c>
      <c r="N1539" s="738">
        <v>229</v>
      </c>
      <c r="O1539" s="738" t="s">
        <v>5242</v>
      </c>
      <c r="Q1539" s="750"/>
      <c r="R1539" s="750"/>
      <c r="S1539" s="750"/>
      <c r="T1539" s="750"/>
      <c r="U1539" s="346">
        <v>1</v>
      </c>
      <c r="V1539" s="346">
        <v>1</v>
      </c>
      <c r="W1539" s="741"/>
      <c r="Z1539" s="742"/>
      <c r="AB1539" s="751"/>
      <c r="AC1539" s="751"/>
      <c r="AD1539" s="745" t="s">
        <v>2939</v>
      </c>
      <c r="AF1539" s="346" t="s">
        <v>7357</v>
      </c>
      <c r="AG1539" s="346" t="s">
        <v>2953</v>
      </c>
      <c r="AH1539" s="346" t="s">
        <v>2955</v>
      </c>
      <c r="AI1539" s="346" t="s">
        <v>2954</v>
      </c>
      <c r="AJ1539" s="346" t="s">
        <v>6503</v>
      </c>
      <c r="AL1539" s="347">
        <v>0</v>
      </c>
      <c r="AM1539" s="348" t="str">
        <f>"&lt;p&gt;
&lt;n&gt;  活力点满足80点&lt;/n&gt;&lt;event text=""查看"" hotkeyid=""84""/&gt;&lt;newline/&gt;
&lt;n&gt;  回复：&lt;/n&gt;&lt;goto id="""&amp;N1539&amp;""" mapid=""5"" flagpoint=""1"" taskid="""&amp;A1539&amp;"""/&gt;
&lt;/p&gt;"</f>
        <v>&lt;p&gt;
&lt;n&gt;  活力点满足80点&lt;/n&gt;&lt;event text="查看" hotkeyid="84"/&gt;&lt;newline/&gt;
&lt;n&gt;  回复：&lt;/n&gt;&lt;goto id="229" mapid="5" flagpoint="1" taskid="30280"/&gt;
&lt;/p&gt;</v>
      </c>
      <c r="AN1539" s="348" t="str">
        <f>"&lt;p&gt;&lt;n&gt;  活力点满足80点&lt;/n&gt;&lt;event text=""查看"" hotkeyid=""84""/&gt;&lt;newline/&gt;
&lt;n&gt;  后才可找：&lt;/n&gt;&lt;goto id="""&amp;N1539&amp;""" mapid=""5"" flagpoint=""1"" taskid="""&amp;A1539&amp;"""/&gt;&lt;newline/&gt;
&lt;n&gt;  交付任务&lt;/n&gt;
&lt;/p&gt;"</f>
        <v>&lt;p&gt;&lt;n&gt;  活力点满足80点&lt;/n&gt;&lt;event text="查看" hotkeyid="84"/&gt;&lt;newline/&gt;
&lt;n&gt;  后才可找：&lt;/n&gt;&lt;goto id="229" mapid="5" flagpoint="1" taskid="30280"/&gt;&lt;newline/&gt;
&lt;n&gt;  交付任务&lt;/n&gt;
&lt;/p&gt;</v>
      </c>
      <c r="AP1539" s="346">
        <v>1</v>
      </c>
      <c r="AQ1539" s="346">
        <v>0</v>
      </c>
      <c r="AR1539" s="346">
        <v>0</v>
      </c>
      <c r="AS1539" s="346">
        <v>0</v>
      </c>
      <c r="AU1539" s="226">
        <v>0</v>
      </c>
      <c r="AV1539" s="17">
        <f t="shared" si="217"/>
        <v>0</v>
      </c>
      <c r="AW1539" s="346" t="str">
        <f t="shared" si="221"/>
        <v>{s_taskTalk,{229,229}}</v>
      </c>
    </row>
    <row r="1540" spans="1:49" s="346" customFormat="1" ht="120" x14ac:dyDescent="0.15">
      <c r="A1540" s="755">
        <v>30281</v>
      </c>
      <c r="C1540" s="346" t="s">
        <v>2932</v>
      </c>
      <c r="D1540" s="346">
        <v>3</v>
      </c>
      <c r="E1540" s="346">
        <v>0</v>
      </c>
      <c r="F1540" s="346">
        <v>5</v>
      </c>
      <c r="G1540" s="347">
        <v>200</v>
      </c>
      <c r="H1540" s="346">
        <v>200</v>
      </c>
      <c r="I1540" s="17">
        <v>0</v>
      </c>
      <c r="J1540" s="347"/>
      <c r="K1540" s="346">
        <v>1</v>
      </c>
      <c r="L1540" s="738">
        <v>229</v>
      </c>
      <c r="M1540" s="738" t="s">
        <v>2933</v>
      </c>
      <c r="N1540" s="738">
        <v>229</v>
      </c>
      <c r="O1540" s="738" t="s">
        <v>5242</v>
      </c>
      <c r="Q1540" s="750"/>
      <c r="R1540" s="750"/>
      <c r="S1540" s="750"/>
      <c r="T1540" s="750"/>
      <c r="U1540" s="346">
        <v>1</v>
      </c>
      <c r="V1540" s="346">
        <v>1</v>
      </c>
      <c r="W1540" s="741"/>
      <c r="Z1540" s="742"/>
      <c r="AB1540" s="751"/>
      <c r="AC1540" s="751"/>
      <c r="AD1540" s="745" t="s">
        <v>2940</v>
      </c>
      <c r="AF1540" s="346" t="s">
        <v>7358</v>
      </c>
      <c r="AG1540" s="346" t="s">
        <v>2934</v>
      </c>
      <c r="AH1540" s="346" t="s">
        <v>2956</v>
      </c>
      <c r="AI1540" s="346" t="s">
        <v>2935</v>
      </c>
      <c r="AJ1540" s="346" t="s">
        <v>6504</v>
      </c>
      <c r="AL1540" s="347">
        <v>0</v>
      </c>
      <c r="AM1540" s="348" t="str">
        <f>"&lt;p&gt;
&lt;n&gt;  回复：&lt;/n&gt;&lt;goto id="""&amp;N1540&amp;""" mapid=""5"" flagpoint=""1"" taskid="""&amp;A1540&amp;"""/&gt;
&lt;/p&gt;"</f>
        <v>&lt;p&gt;
&lt;n&gt;  回复：&lt;/n&gt;&lt;goto id="229" mapid="5" flagpoint="1" taskid="30281"/&gt;
&lt;/p&gt;</v>
      </c>
      <c r="AN1540" s="348" t="str">
        <f>"&lt;p&gt;
&lt;n&gt;  交：&lt;/n&gt;&lt;goto id="""&amp;N1540&amp;""" mapid=""5"" flagpoint=""1"" taskid="""&amp;A1540&amp;"""/&gt;
&lt;/p&gt;"</f>
        <v>&lt;p&gt;
&lt;n&gt;  交：&lt;/n&gt;&lt;goto id="229" mapid="5" flagpoint="1" taskid="30281"/&gt;
&lt;/p&gt;</v>
      </c>
      <c r="AP1540" s="346">
        <v>1</v>
      </c>
      <c r="AQ1540" s="346">
        <v>0</v>
      </c>
      <c r="AR1540" s="346">
        <v>0</v>
      </c>
      <c r="AS1540" s="346">
        <v>0</v>
      </c>
      <c r="AU1540" s="226">
        <v>0</v>
      </c>
      <c r="AV1540" s="17">
        <f t="shared" si="217"/>
        <v>0</v>
      </c>
      <c r="AW1540" s="346" t="str">
        <f t="shared" si="221"/>
        <v>{s_taskTalk,{229,229}}</v>
      </c>
    </row>
    <row r="1541" spans="1:49" s="346" customFormat="1" ht="228" x14ac:dyDescent="0.15">
      <c r="A1541" s="755">
        <v>30282</v>
      </c>
      <c r="C1541" s="346" t="s">
        <v>2936</v>
      </c>
      <c r="D1541" s="346">
        <v>3</v>
      </c>
      <c r="E1541" s="346">
        <v>0</v>
      </c>
      <c r="F1541" s="346">
        <v>5</v>
      </c>
      <c r="G1541" s="347">
        <v>200</v>
      </c>
      <c r="H1541" s="346">
        <v>200</v>
      </c>
      <c r="I1541" s="17">
        <v>0</v>
      </c>
      <c r="J1541" s="347"/>
      <c r="K1541" s="346">
        <v>1</v>
      </c>
      <c r="L1541" s="738">
        <v>229</v>
      </c>
      <c r="M1541" s="738" t="s">
        <v>2933</v>
      </c>
      <c r="N1541" s="738">
        <v>229</v>
      </c>
      <c r="O1541" s="738" t="s">
        <v>5242</v>
      </c>
      <c r="Q1541" s="750"/>
      <c r="R1541" s="750"/>
      <c r="S1541" s="750"/>
      <c r="T1541" s="750"/>
      <c r="U1541" s="346">
        <v>1</v>
      </c>
      <c r="V1541" s="346">
        <v>0</v>
      </c>
      <c r="W1541" s="741"/>
      <c r="Z1541" s="742">
        <v>0</v>
      </c>
      <c r="AB1541" s="751"/>
      <c r="AC1541" s="751"/>
      <c r="AD1541" s="745"/>
      <c r="AE1541" s="745" t="s">
        <v>2941</v>
      </c>
      <c r="AF1541" s="346" t="s">
        <v>4122</v>
      </c>
      <c r="AG1541" s="346" t="s">
        <v>4123</v>
      </c>
      <c r="AH1541" s="346" t="s">
        <v>2957</v>
      </c>
      <c r="AI1541" s="346" t="s">
        <v>7359</v>
      </c>
      <c r="AJ1541" s="346" t="s">
        <v>6505</v>
      </c>
      <c r="AL1541" s="347">
        <v>0</v>
      </c>
      <c r="AM1541" s="348" t="str">
        <f>"&lt;p&gt;
&lt;n&gt;  邀请拥有营养晶果[B阶]的玩家合并后回复：&lt;/n&gt;&lt;goto id="""&amp;N1541&amp;""" mapid=""5"" flagpoint=""1"" taskid="""&amp;A1541&amp;"""/&gt;
&lt;/p&gt;"</f>
        <v>&lt;p&gt;
&lt;n&gt;  邀请拥有营养晶果[B阶]的玩家合并后回复：&lt;/n&gt;&lt;goto id="229" mapid="5" flagpoint="1" taskid="30282"/&gt;
&lt;/p&gt;</v>
      </c>
      <c r="AN1541" s="348" t="str">
        <f>"&lt;p&gt;
&lt;n&gt;  交：&lt;/n&gt;&lt;goto id="""&amp;N1541&amp;""" mapid=""5"" flagpoint=""1"" taskid="""&amp;A1541&amp;"""/&gt;
&lt;/p&gt;"</f>
        <v>&lt;p&gt;
&lt;n&gt;  交：&lt;/n&gt;&lt;goto id="229" mapid="5" flagpoint="1" taskid="30282"/&gt;
&lt;/p&gt;</v>
      </c>
      <c r="AO1541" s="754" t="s">
        <v>2943</v>
      </c>
      <c r="AP1541" s="346">
        <v>1</v>
      </c>
      <c r="AQ1541" s="346">
        <v>0</v>
      </c>
      <c r="AR1541" s="346">
        <v>0</v>
      </c>
      <c r="AS1541" s="346">
        <v>0</v>
      </c>
      <c r="AU1541" s="226">
        <v>0</v>
      </c>
      <c r="AV1541" s="17">
        <f t="shared" si="217"/>
        <v>0</v>
      </c>
      <c r="AW1541" s="346" t="str">
        <f t="shared" si="221"/>
        <v>{s_taskTalk,{229,229}}</v>
      </c>
    </row>
    <row r="1542" spans="1:49" s="346" customFormat="1" ht="216" x14ac:dyDescent="0.15">
      <c r="A1542" s="755">
        <v>30283</v>
      </c>
      <c r="C1542" s="346" t="s">
        <v>2937</v>
      </c>
      <c r="D1542" s="346">
        <v>3</v>
      </c>
      <c r="E1542" s="346">
        <v>0</v>
      </c>
      <c r="F1542" s="346">
        <v>3</v>
      </c>
      <c r="G1542" s="347">
        <v>200</v>
      </c>
      <c r="H1542" s="346">
        <v>60</v>
      </c>
      <c r="I1542" s="17">
        <v>0</v>
      </c>
      <c r="J1542" s="347"/>
      <c r="K1542" s="346">
        <v>1</v>
      </c>
      <c r="L1542" s="738">
        <v>229</v>
      </c>
      <c r="M1542" s="738" t="s">
        <v>2933</v>
      </c>
      <c r="N1542" s="738">
        <v>229</v>
      </c>
      <c r="O1542" s="738" t="s">
        <v>5242</v>
      </c>
      <c r="Q1542" s="750"/>
      <c r="R1542" s="750"/>
      <c r="S1542" s="750"/>
      <c r="T1542" s="750"/>
      <c r="U1542" s="346">
        <v>1</v>
      </c>
      <c r="V1542" s="346">
        <v>0</v>
      </c>
      <c r="W1542" s="741"/>
      <c r="Z1542" s="742">
        <v>0</v>
      </c>
      <c r="AB1542" s="751"/>
      <c r="AC1542" s="751"/>
      <c r="AD1542" s="745"/>
      <c r="AE1542" s="745" t="s">
        <v>2942</v>
      </c>
      <c r="AF1542" s="346" t="s">
        <v>4487</v>
      </c>
      <c r="AG1542" s="346" t="s">
        <v>4488</v>
      </c>
      <c r="AH1542" s="346" t="s">
        <v>2958</v>
      </c>
      <c r="AI1542" s="346" t="s">
        <v>2959</v>
      </c>
      <c r="AJ1542" s="346" t="s">
        <v>6506</v>
      </c>
      <c r="AL1542" s="347">
        <v>0</v>
      </c>
      <c r="AM1542" s="348" t="str">
        <f>"&lt;p&gt;
&lt;n&gt;  邀请拥有四叶草的玩家合并后回复：&lt;/n&gt;&lt;goto id="""&amp;N1542&amp;""" mapid=""5"" flagpoint=""1"" taskid="""&amp;A1542&amp;"""/&gt;
&lt;/p&gt;"</f>
        <v>&lt;p&gt;
&lt;n&gt;  邀请拥有四叶草的玩家合并后回复：&lt;/n&gt;&lt;goto id="229" mapid="5" flagpoint="1" taskid="30283"/&gt;
&lt;/p&gt;</v>
      </c>
      <c r="AN1542" s="348" t="str">
        <f>"&lt;p&gt;
&lt;n&gt;  交：&lt;/n&gt;&lt;goto id="""&amp;N1542&amp;""" mapid=""5"" flagpoint=""1"" taskid="""&amp;A1542&amp;"""/&gt;
&lt;/p&gt;"</f>
        <v>&lt;p&gt;
&lt;n&gt;  交：&lt;/n&gt;&lt;goto id="229" mapid="5" flagpoint="1" taskid="30283"/&gt;
&lt;/p&gt;</v>
      </c>
      <c r="AO1542" s="754" t="s">
        <v>2944</v>
      </c>
      <c r="AP1542" s="346">
        <v>1</v>
      </c>
      <c r="AQ1542" s="346">
        <v>0</v>
      </c>
      <c r="AR1542" s="346">
        <v>0</v>
      </c>
      <c r="AS1542" s="346">
        <v>0</v>
      </c>
      <c r="AU1542" s="226">
        <v>0</v>
      </c>
      <c r="AV1542" s="17">
        <f t="shared" si="217"/>
        <v>0</v>
      </c>
      <c r="AW1542" s="346" t="str">
        <f t="shared" si="221"/>
        <v>{s_taskTalk,{229,229}}</v>
      </c>
    </row>
    <row r="1543" spans="1:49" s="346" customFormat="1" ht="144" x14ac:dyDescent="0.15">
      <c r="A1543" s="755">
        <v>30284</v>
      </c>
      <c r="C1543" s="346" t="s">
        <v>2960</v>
      </c>
      <c r="D1543" s="346">
        <v>3</v>
      </c>
      <c r="E1543" s="346">
        <v>0</v>
      </c>
      <c r="F1543" s="346">
        <v>5</v>
      </c>
      <c r="G1543" s="347">
        <v>200</v>
      </c>
      <c r="H1543" s="346">
        <v>200</v>
      </c>
      <c r="I1543" s="17">
        <v>0</v>
      </c>
      <c r="J1543" s="347"/>
      <c r="K1543" s="346">
        <v>3</v>
      </c>
      <c r="L1543" s="738">
        <v>229</v>
      </c>
      <c r="M1543" s="738" t="s">
        <v>2933</v>
      </c>
      <c r="N1543" s="738">
        <v>229</v>
      </c>
      <c r="O1543" s="738" t="s">
        <v>5242</v>
      </c>
      <c r="Q1543" s="750"/>
      <c r="R1543" s="750"/>
      <c r="S1543" s="750"/>
      <c r="T1543" s="750"/>
      <c r="U1543" s="346">
        <v>1</v>
      </c>
      <c r="V1543" s="346">
        <v>0</v>
      </c>
      <c r="W1543" s="741"/>
      <c r="Z1543" s="742">
        <v>0</v>
      </c>
      <c r="AB1543" s="751"/>
      <c r="AC1543" s="751"/>
      <c r="AD1543" s="745"/>
      <c r="AE1543" s="745"/>
      <c r="AF1543" s="346" t="s">
        <v>4124</v>
      </c>
      <c r="AG1543" s="346" t="s">
        <v>2965</v>
      </c>
      <c r="AH1543" s="346" t="s">
        <v>2962</v>
      </c>
      <c r="AI1543" s="346" t="s">
        <v>2963</v>
      </c>
      <c r="AJ1543" s="346" t="s">
        <v>6507</v>
      </c>
      <c r="AL1543" s="347">
        <v>0</v>
      </c>
      <c r="AM1543" s="348" t="str">
        <f>"&lt;p&gt;
&lt;n&gt;  帮助别人合并获得1个“营养胶囊”后回复：&lt;/n&gt;&lt;goto id="""&amp;N1543&amp;""" mapid=""5"" flagpoint=""1"" taskid="""&amp;A1543&amp;"""/&gt;
&lt;/p&gt;"</f>
        <v>&lt;p&gt;
&lt;n&gt;  帮助别人合并获得1个“营养胶囊”后回复：&lt;/n&gt;&lt;goto id="229" mapid="5" flagpoint="1" taskid="30284"/&gt;
&lt;/p&gt;</v>
      </c>
      <c r="AN1543" s="348" t="str">
        <f>"&lt;p&gt;
&lt;n&gt;  交：&lt;/n&gt;&lt;goto id="""&amp;N1543&amp;""" mapid=""5"" flagpoint=""1"" taskid="""&amp;A1543&amp;"""/&gt;
&lt;/p&gt;"</f>
        <v>&lt;p&gt;
&lt;n&gt;  交：&lt;/n&gt;&lt;goto id="229" mapid="5" flagpoint="1" taskid="30284"/&gt;
&lt;/p&gt;</v>
      </c>
      <c r="AO1543" s="754" t="s">
        <v>2943</v>
      </c>
      <c r="AP1543" s="346">
        <v>1</v>
      </c>
      <c r="AQ1543" s="346">
        <v>0</v>
      </c>
      <c r="AR1543" s="346">
        <v>0</v>
      </c>
      <c r="AS1543" s="346">
        <v>0</v>
      </c>
      <c r="AU1543" s="226">
        <v>0</v>
      </c>
      <c r="AV1543" s="17">
        <f t="shared" si="217"/>
        <v>0</v>
      </c>
      <c r="AW1543" s="346" t="str">
        <f>"{s_taskTalk,{"&amp;L1543&amp;","&amp;N1543&amp;"}}"</f>
        <v>{s_taskTalk,{229,229}}</v>
      </c>
    </row>
    <row r="1544" spans="1:49" s="346" customFormat="1" ht="132" x14ac:dyDescent="0.15">
      <c r="A1544" s="755">
        <v>30285</v>
      </c>
      <c r="C1544" s="346" t="s">
        <v>2961</v>
      </c>
      <c r="D1544" s="346">
        <v>3</v>
      </c>
      <c r="E1544" s="346">
        <v>0</v>
      </c>
      <c r="F1544" s="346">
        <v>3</v>
      </c>
      <c r="G1544" s="347">
        <v>200</v>
      </c>
      <c r="H1544" s="346">
        <v>60</v>
      </c>
      <c r="I1544" s="17">
        <v>0</v>
      </c>
      <c r="J1544" s="347"/>
      <c r="K1544" s="346">
        <v>3</v>
      </c>
      <c r="L1544" s="738">
        <v>229</v>
      </c>
      <c r="M1544" s="738" t="s">
        <v>2933</v>
      </c>
      <c r="N1544" s="738">
        <v>229</v>
      </c>
      <c r="O1544" s="738" t="s">
        <v>5242</v>
      </c>
      <c r="Q1544" s="750"/>
      <c r="R1544" s="750"/>
      <c r="S1544" s="750"/>
      <c r="T1544" s="750"/>
      <c r="U1544" s="346">
        <v>1</v>
      </c>
      <c r="V1544" s="346">
        <v>0</v>
      </c>
      <c r="W1544" s="741"/>
      <c r="Z1544" s="742">
        <v>0</v>
      </c>
      <c r="AB1544" s="751"/>
      <c r="AC1544" s="751"/>
      <c r="AD1544" s="745"/>
      <c r="AE1544" s="745"/>
      <c r="AF1544" s="346" t="s">
        <v>4489</v>
      </c>
      <c r="AG1544" s="346" t="s">
        <v>7360</v>
      </c>
      <c r="AH1544" s="346" t="s">
        <v>2962</v>
      </c>
      <c r="AI1544" s="346" t="s">
        <v>2964</v>
      </c>
      <c r="AJ1544" s="346" t="s">
        <v>6508</v>
      </c>
      <c r="AL1544" s="347">
        <v>0</v>
      </c>
      <c r="AM1544" s="348" t="str">
        <f>"&lt;p&gt;
&lt;n&gt;  帮助别人合并获得1个“幸运瓶”后回复：&lt;/n&gt;&lt;goto id="""&amp;N1544&amp;""" mapid=""5"" flagpoint=""1"" taskid="""&amp;A1544&amp;"""/&gt;
&lt;/p&gt;"</f>
        <v>&lt;p&gt;
&lt;n&gt;  帮助别人合并获得1个“幸运瓶”后回复：&lt;/n&gt;&lt;goto id="229" mapid="5" flagpoint="1" taskid="30285"/&gt;
&lt;/p&gt;</v>
      </c>
      <c r="AN1544" s="348" t="str">
        <f>"&lt;p&gt;
&lt;n&gt;  交：&lt;/n&gt;&lt;goto id="""&amp;N1544&amp;""" mapid=""5"" flagpoint=""1"" taskid="""&amp;A1544&amp;"""/&gt;
&lt;/p&gt;"</f>
        <v>&lt;p&gt;
&lt;n&gt;  交：&lt;/n&gt;&lt;goto id="229" mapid="5" flagpoint="1" taskid="30285"/&gt;
&lt;/p&gt;</v>
      </c>
      <c r="AO1544" s="754" t="s">
        <v>2944</v>
      </c>
      <c r="AP1544" s="346">
        <v>1</v>
      </c>
      <c r="AQ1544" s="346">
        <v>0</v>
      </c>
      <c r="AR1544" s="346">
        <v>0</v>
      </c>
      <c r="AS1544" s="346">
        <v>0</v>
      </c>
      <c r="AU1544" s="226">
        <v>0</v>
      </c>
      <c r="AV1544" s="17">
        <f t="shared" si="217"/>
        <v>0</v>
      </c>
      <c r="AW1544" s="346" t="str">
        <f>"{s_taskTalk,{"&amp;L1544&amp;","&amp;N1544&amp;"}}"</f>
        <v>{s_taskTalk,{229,229}}</v>
      </c>
    </row>
    <row r="1545" spans="1:49" ht="144" x14ac:dyDescent="0.15">
      <c r="A1545" s="149">
        <v>30286</v>
      </c>
      <c r="B1545" s="226"/>
      <c r="C1545" s="226" t="s">
        <v>3273</v>
      </c>
      <c r="D1545" s="226">
        <v>3</v>
      </c>
      <c r="E1545" s="226">
        <v>0</v>
      </c>
      <c r="F1545" s="226">
        <v>1</v>
      </c>
      <c r="G1545" s="234">
        <v>200</v>
      </c>
      <c r="H1545" s="226">
        <v>200</v>
      </c>
      <c r="I1545" s="17">
        <v>0</v>
      </c>
      <c r="J1545" s="234">
        <v>0</v>
      </c>
      <c r="K1545" s="226">
        <v>1</v>
      </c>
      <c r="L1545" s="226">
        <v>60045</v>
      </c>
      <c r="M1545" s="226" t="s">
        <v>3274</v>
      </c>
      <c r="N1545" s="226">
        <v>60045</v>
      </c>
      <c r="O1545" s="226" t="s">
        <v>5127</v>
      </c>
      <c r="P1545" s="226"/>
      <c r="Q1545" s="228"/>
      <c r="R1545" s="228"/>
      <c r="S1545" s="228"/>
      <c r="T1545" s="228"/>
      <c r="U1545" s="226">
        <v>1</v>
      </c>
      <c r="V1545" s="226">
        <v>0</v>
      </c>
      <c r="W1545" s="226"/>
      <c r="X1545" s="226">
        <v>0</v>
      </c>
      <c r="Y1545" s="226"/>
      <c r="Z1545" s="230">
        <v>0</v>
      </c>
      <c r="AA1545" s="226"/>
      <c r="AB1545" s="231"/>
      <c r="AC1545" s="231"/>
      <c r="AD1545" s="226"/>
      <c r="AE1545" s="226"/>
      <c r="AF1545" s="226" t="s">
        <v>4177</v>
      </c>
      <c r="AG1545" s="226" t="s">
        <v>4169</v>
      </c>
      <c r="AH1545" s="226" t="s">
        <v>4170</v>
      </c>
      <c r="AI1545" s="226" t="s">
        <v>2461</v>
      </c>
      <c r="AJ1545" s="226" t="s">
        <v>6509</v>
      </c>
      <c r="AK1545" s="226"/>
      <c r="AL1545" s="234">
        <v>0</v>
      </c>
      <c r="AM1545" s="226" t="str">
        <f>"&lt;p&gt;
&lt;n&gt;  帮助别人合并获得1个“幸运瓶”后回复：&lt;/n&gt;&lt;goto id="""&amp;N1545&amp;""" mapid="""&amp;F1545&amp;""" flagpoint=""1"" taskid="""&amp;A1545&amp;"""/&gt;
&lt;/p&gt;"</f>
        <v>&lt;p&gt;
&lt;n&gt;  帮助别人合并获得1个“幸运瓶”后回复：&lt;/n&gt;&lt;goto id="60045" mapid="1" flagpoint="1" taskid="30286"/&gt;
&lt;/p&gt;</v>
      </c>
      <c r="AN1545" s="226" t="str">
        <f>"&lt;p&gt;
&lt;n&gt;  交：&lt;/n&gt;
 &lt;n&gt; &lt;/n&gt;&lt;goto id="""&amp;N1545&amp;""" mapid="""&amp;F1545&amp;""" flagpoint=""1""/&gt;
&lt;/p&gt;"</f>
        <v>&lt;p&gt;
&lt;n&gt;  交：&lt;/n&gt;
 &lt;n&gt; &lt;/n&gt;&lt;goto id="60045" mapid="1" flagpoint="1"/&gt;
&lt;/p&gt;</v>
      </c>
      <c r="AO1545" s="226"/>
      <c r="AP1545" s="226">
        <v>1</v>
      </c>
      <c r="AQ1545" s="226">
        <v>0</v>
      </c>
      <c r="AR1545" s="226">
        <v>0</v>
      </c>
      <c r="AS1545" s="226">
        <v>0</v>
      </c>
      <c r="AT1545" s="226">
        <v>0</v>
      </c>
      <c r="AU1545" s="226">
        <v>0</v>
      </c>
      <c r="AV1545" s="17">
        <f t="shared" si="217"/>
        <v>0</v>
      </c>
      <c r="AW1545" s="50" t="str">
        <f>"{s_taskTalk,{"&amp;L1545&amp;","&amp;N1545&amp;"}}"</f>
        <v>{s_taskTalk,{60045,60045}}</v>
      </c>
    </row>
    <row r="1546" spans="1:49" s="758" customFormat="1" ht="132" x14ac:dyDescent="0.15">
      <c r="A1546" s="755">
        <v>30287</v>
      </c>
      <c r="B1546" s="346"/>
      <c r="C1546" s="346" t="s">
        <v>3293</v>
      </c>
      <c r="D1546" s="346">
        <v>3</v>
      </c>
      <c r="E1546" s="346">
        <v>0</v>
      </c>
      <c r="F1546" s="346">
        <v>5</v>
      </c>
      <c r="G1546" s="347">
        <v>200</v>
      </c>
      <c r="H1546" s="346">
        <v>200</v>
      </c>
      <c r="I1546" s="17">
        <v>0</v>
      </c>
      <c r="J1546" s="347">
        <v>0</v>
      </c>
      <c r="K1546" s="346">
        <v>1</v>
      </c>
      <c r="L1546" s="346">
        <v>301</v>
      </c>
      <c r="M1546" s="346" t="s">
        <v>3292</v>
      </c>
      <c r="N1546" s="346">
        <v>301</v>
      </c>
      <c r="O1546" s="346" t="s">
        <v>5243</v>
      </c>
      <c r="P1546" s="346"/>
      <c r="Q1546" s="750"/>
      <c r="R1546" s="756"/>
      <c r="S1546" s="750"/>
      <c r="T1546" s="750">
        <v>31497</v>
      </c>
      <c r="U1546" s="346">
        <v>1</v>
      </c>
      <c r="V1546" s="346">
        <v>0</v>
      </c>
      <c r="W1546" s="346"/>
      <c r="X1546" s="346"/>
      <c r="Y1546" s="346"/>
      <c r="Z1546" s="742">
        <v>0</v>
      </c>
      <c r="AA1546" s="346"/>
      <c r="AB1546" s="751"/>
      <c r="AC1546" s="751"/>
      <c r="AD1546" s="745" t="s">
        <v>7361</v>
      </c>
      <c r="AE1546" s="346"/>
      <c r="AF1546" s="346" t="str">
        <f>"title("&amp;C1546&amp;")
body(hotyellow_3(任务进程:)newline()
   前往敌国hot(王城密道)找到该国goto(60831,162)拿到hot(5份城防资料碎片)，将碎片通过hot(合成)的方式拼接成hot(1份城防资料)，回复goto(301,5)。hot(（注意前往的是敌国，非本国及盟国，就是敌国哦）)blankline()
   通过敌国王城密道6号口可以秘密潜入密道中；小白鼠是在密道中随机跑动，要仔细寻找)"</f>
        <v>title([活动]特殊的信使)
body(hotyellow_3(任务进程:)newline()
   前往敌国hot(王城密道)找到该国goto(60831,162)拿到hot(5份城防资料碎片)，将碎片通过hot(合成)的方式拼接成hot(1份城防资料)，回复goto(301,5)。hot(（注意前往的是敌国，非本国及盟国，就是敌国哦）)blankline()
   通过敌国王城密道6号口可以秘密潜入密道中；小白鼠是在密道中随机跑动，要仔细寻找)</v>
      </c>
      <c r="AG1546" s="346" t="s">
        <v>3294</v>
      </c>
      <c r="AH1546" s="346" t="s">
        <v>3295</v>
      </c>
      <c r="AI1546" s="346" t="s">
        <v>4421</v>
      </c>
      <c r="AJ1546" s="346" t="s">
        <v>6510</v>
      </c>
      <c r="AK1546" s="757"/>
      <c r="AL1546" s="347">
        <v>0</v>
      </c>
      <c r="AM1546" s="348" t="str">
        <f>"&lt;p&gt;&lt;n&gt;  通过&lt;/n&gt;&lt;goto id=""126"" mapid=""7"" flagpoint=""1"" /&gt;&lt;newline/&gt;&lt;n&gt;  去敌国找&lt;/n&gt;&lt;goto id=""60831"" mapid=""162"" flagpoint=""1"" /&gt;&lt;newline/&gt;
&lt;n&gt;  收集5份城防资料碎片合成1份城防资料&lt;/n&gt;&lt;newline/&gt;
&lt;n&gt;  回复：&lt;/n&gt;&lt;goto id="""&amp;N1546&amp;""" mapid=""5"" flagpoint=""1"" taskid="""&amp;A1546&amp;"""/&gt;
&lt;/p&gt;"</f>
        <v>&lt;p&gt;&lt;n&gt;  通过&lt;/n&gt;&lt;goto id="126" mapid="7" flagpoint="1" /&gt;&lt;newline/&gt;&lt;n&gt;  去敌国找&lt;/n&gt;&lt;goto id="60831" mapid="162" flagpoint="1" /&gt;&lt;newline/&gt;
&lt;n&gt;  收集5份城防资料碎片合成1份城防资料&lt;/n&gt;&lt;newline/&gt;
&lt;n&gt;  回复：&lt;/n&gt;&lt;goto id="301" mapid="5" flagpoint="1" taskid="30287"/&gt;
&lt;/p&gt;</v>
      </c>
      <c r="AN1546" s="348" t="str">
        <f>"&lt;p&gt;
&lt;n&gt;  交：&lt;/n&gt;&lt;goto id="""&amp;N1546&amp;""" mapid=""5"" flagpoint=""1"" taskid="""&amp;A1546&amp;"""/&gt;
&lt;/p&gt;"</f>
        <v>&lt;p&gt;
&lt;n&gt;  交：&lt;/n&gt;&lt;goto id="301" mapid="5" flagpoint="1" taskid="30287"/&gt;
&lt;/p&gt;</v>
      </c>
      <c r="AO1546" s="346"/>
      <c r="AP1546" s="346">
        <v>0</v>
      </c>
      <c r="AQ1546" s="346">
        <v>0</v>
      </c>
      <c r="AR1546" s="346">
        <v>0</v>
      </c>
      <c r="AS1546" s="346">
        <v>0</v>
      </c>
      <c r="AT1546" s="346">
        <v>0</v>
      </c>
      <c r="AU1546" s="226">
        <v>0</v>
      </c>
      <c r="AV1546" s="17">
        <f t="shared" si="217"/>
        <v>0</v>
      </c>
      <c r="AW1546" s="346" t="str">
        <f>"{s_taskGather,{"&amp;L1546&amp;","&amp;N1546&amp;","&amp;T1546&amp;","&amp;U1546&amp;",0,0}}"</f>
        <v>{s_taskGather,{301,301,31497,1,0,0}}</v>
      </c>
    </row>
    <row r="1547" spans="1:49" s="346" customFormat="1" ht="96" x14ac:dyDescent="0.15">
      <c r="A1547" s="755">
        <v>30288</v>
      </c>
      <c r="C1547" s="346" t="s">
        <v>4221</v>
      </c>
      <c r="D1547" s="346">
        <v>3</v>
      </c>
      <c r="E1547" s="346">
        <v>0</v>
      </c>
      <c r="F1547" s="346">
        <v>5</v>
      </c>
      <c r="G1547" s="347">
        <v>200</v>
      </c>
      <c r="H1547" s="346">
        <v>200</v>
      </c>
      <c r="I1547" s="17">
        <v>0</v>
      </c>
      <c r="J1547" s="347"/>
      <c r="K1547" s="346">
        <v>1</v>
      </c>
      <c r="L1547" s="346">
        <v>301</v>
      </c>
      <c r="M1547" s="346" t="s">
        <v>3292</v>
      </c>
      <c r="N1547" s="346">
        <v>301</v>
      </c>
      <c r="O1547" s="346" t="s">
        <v>5243</v>
      </c>
      <c r="Q1547" s="750"/>
      <c r="R1547" s="750"/>
      <c r="S1547" s="750"/>
      <c r="T1547" s="750"/>
      <c r="U1547" s="346">
        <v>1</v>
      </c>
      <c r="V1547" s="346">
        <v>1</v>
      </c>
      <c r="W1547" s="741"/>
      <c r="Z1547" s="742"/>
      <c r="AB1547" s="751"/>
      <c r="AC1547" s="751"/>
      <c r="AD1547" s="745" t="s">
        <v>7362</v>
      </c>
      <c r="AF1547" s="346" t="str">
        <f>"title("&amp;C1547&amp;")
body(hotyellow_3(任务进程:)newline()
   亲爱的陛下player()，我为您铸造了一批勋章，每天可以领取108枚“君王的恩赐”，可交易或邮寄给那些今日为国家作出杰出贡献的国民。您的国民使用恩赐之后，在换取水晶时可以获得您的祝福，得到一个绿色水晶。（您可以将恩赐分给国家官员或者帮会长，授权他们去嘉奖各部的杰出国民）)
)"</f>
        <v>title([活动]君王的恩赐)
body(hotyellow_3(任务进程:)newline()
   亲爱的陛下player()，我为您铸造了一批勋章，每天可以领取108枚“君王的恩赐”，可交易或邮寄给那些今日为国家作出杰出贡献的国民。您的国民使用恩赐之后，在换取水晶时可以获得您的祝福，得到一个绿色水晶。（您可以将恩赐分给国家官员或者帮会长，授权他们去嘉奖各部的杰出国民）)
)</v>
      </c>
      <c r="AG1547" s="346" t="s">
        <v>4800</v>
      </c>
      <c r="AH1547" s="346" t="s">
        <v>4222</v>
      </c>
      <c r="AI1547" s="346" t="s">
        <v>4223</v>
      </c>
      <c r="AJ1547" s="346" t="s">
        <v>6511</v>
      </c>
      <c r="AL1547" s="347">
        <v>0</v>
      </c>
      <c r="AM1547" s="348" t="str">
        <f>"&lt;p&gt;
&lt;n&gt;  回复：&lt;/n&gt;&lt;goto id="""&amp;N1547&amp;""" mapid=""5"" flagpoint=""1"" taskid="""&amp;A1547&amp;"""/&gt;
&lt;/p&gt;"</f>
        <v>&lt;p&gt;
&lt;n&gt;  回复：&lt;/n&gt;&lt;goto id="301" mapid="5" flagpoint="1" taskid="30288"/&gt;
&lt;/p&gt;</v>
      </c>
      <c r="AN1547" s="348" t="str">
        <f>"&lt;p&gt;
&lt;n&gt;  交：&lt;/n&gt;&lt;goto id="""&amp;N1547&amp;""" mapid=""5"" flagpoint=""1"" taskid="""&amp;A1547&amp;"""/&gt;
&lt;/p&gt;"</f>
        <v>&lt;p&gt;
&lt;n&gt;  交：&lt;/n&gt;&lt;goto id="301" mapid="5" flagpoint="1" taskid="30288"/&gt;
&lt;/p&gt;</v>
      </c>
      <c r="AP1547" s="346">
        <v>1</v>
      </c>
      <c r="AQ1547" s="346">
        <v>0</v>
      </c>
      <c r="AR1547" s="346">
        <v>0</v>
      </c>
      <c r="AS1547" s="346">
        <v>0</v>
      </c>
      <c r="AU1547" s="226">
        <v>0</v>
      </c>
      <c r="AV1547" s="17">
        <f t="shared" si="217"/>
        <v>0</v>
      </c>
      <c r="AW1547" s="346" t="str">
        <f>"{s_taskTalk,{"&amp;L1547&amp;","&amp;N1547&amp;"}}"</f>
        <v>{s_taskTalk,{301,301}}</v>
      </c>
    </row>
    <row r="1548" spans="1:49" s="758" customFormat="1" ht="120" x14ac:dyDescent="0.15">
      <c r="A1548" s="755">
        <v>30289</v>
      </c>
      <c r="B1548" s="346"/>
      <c r="C1548" s="346" t="s">
        <v>3296</v>
      </c>
      <c r="D1548" s="346">
        <v>3</v>
      </c>
      <c r="E1548" s="346">
        <v>0</v>
      </c>
      <c r="F1548" s="346">
        <v>5</v>
      </c>
      <c r="G1548" s="347">
        <v>200</v>
      </c>
      <c r="H1548" s="346">
        <v>200</v>
      </c>
      <c r="I1548" s="17">
        <v>0</v>
      </c>
      <c r="J1548" s="347">
        <v>0</v>
      </c>
      <c r="K1548" s="346">
        <v>1</v>
      </c>
      <c r="L1548" s="346">
        <v>301</v>
      </c>
      <c r="M1548" s="346" t="s">
        <v>3292</v>
      </c>
      <c r="N1548" s="346">
        <v>301</v>
      </c>
      <c r="O1548" s="346" t="s">
        <v>5243</v>
      </c>
      <c r="P1548" s="346"/>
      <c r="Q1548" s="750"/>
      <c r="R1548" s="756"/>
      <c r="S1548" s="750"/>
      <c r="T1548" s="750">
        <v>29025</v>
      </c>
      <c r="U1548" s="346">
        <v>1</v>
      </c>
      <c r="V1548" s="346">
        <v>0</v>
      </c>
      <c r="W1548" s="346"/>
      <c r="X1548" s="346"/>
      <c r="Y1548" s="346"/>
      <c r="Z1548" s="742">
        <v>0</v>
      </c>
      <c r="AA1548" s="346"/>
      <c r="AB1548" s="751"/>
      <c r="AC1548" s="751"/>
      <c r="AD1548" s="745" t="s">
        <v>7363</v>
      </c>
      <c r="AE1548" s="346"/>
      <c r="AF1548" s="346" t="s">
        <v>4813</v>
      </c>
      <c r="AG1548" s="346" t="s">
        <v>4814</v>
      </c>
      <c r="AH1548" s="346" t="s">
        <v>3297</v>
      </c>
      <c r="AI1548" s="346" t="s">
        <v>4815</v>
      </c>
      <c r="AJ1548" s="346" t="s">
        <v>6512</v>
      </c>
      <c r="AK1548" s="757"/>
      <c r="AL1548" s="347">
        <v>0</v>
      </c>
      <c r="AM1548" s="348" t="str">
        <f>"&lt;p&gt;
&lt;dialog text=""战争兑换"" hotkeyid=""14"" AK781/&gt;&lt;n&gt;1个护国徽章&lt;/n&gt;&lt;newline/&gt;
&lt;n&gt;  回复：&lt;/n&gt;&lt;goto id="""&amp;N1548&amp;""" mapid=""5"" flagpoint=""1"" taskid="""&amp;A1548&amp;"""/&gt;
&lt;/p&gt;"</f>
        <v>&lt;p&gt;
&lt;dialog text="战争兑换" hotkeyid="14" AK781/&gt;&lt;n&gt;1个护国徽章&lt;/n&gt;&lt;newline/&gt;
&lt;n&gt;  回复：&lt;/n&gt;&lt;goto id="301" mapid="5" flagpoint="1" taskid="30289"/&gt;
&lt;/p&gt;</v>
      </c>
      <c r="AN1548" s="348" t="str">
        <f>"&lt;p&gt;
&lt;n&gt;  交：&lt;/n&gt;&lt;goto id="""&amp;N1548&amp;""" mapid=""5"" flagpoint=""1"" taskid="""&amp;A1548&amp;"""/&gt;
&lt;/p&gt;"</f>
        <v>&lt;p&gt;
&lt;n&gt;  交：&lt;/n&gt;&lt;goto id="301" mapid="5" flagpoint="1" taskid="30289"/&gt;
&lt;/p&gt;</v>
      </c>
      <c r="AO1548" s="346"/>
      <c r="AP1548" s="346">
        <v>0</v>
      </c>
      <c r="AQ1548" s="346">
        <v>0</v>
      </c>
      <c r="AR1548" s="346">
        <v>0</v>
      </c>
      <c r="AS1548" s="346">
        <v>0</v>
      </c>
      <c r="AT1548" s="346">
        <v>0</v>
      </c>
      <c r="AU1548" s="226">
        <v>0</v>
      </c>
      <c r="AV1548" s="17">
        <f t="shared" si="217"/>
        <v>0</v>
      </c>
      <c r="AW1548" s="346" t="str">
        <f>"{s_taskGather,{"&amp;L1548&amp;","&amp;N1548&amp;","&amp;T1548&amp;","&amp;U1548&amp;",0,0}}"</f>
        <v>{s_taskGather,{301,301,29025,1,0,0}}</v>
      </c>
    </row>
    <row r="1549" spans="1:49" s="758" customFormat="1" ht="132" x14ac:dyDescent="0.15">
      <c r="A1549" s="755">
        <v>30290</v>
      </c>
      <c r="B1549" s="346"/>
      <c r="C1549" s="346" t="s">
        <v>3304</v>
      </c>
      <c r="D1549" s="346">
        <v>3</v>
      </c>
      <c r="E1549" s="346">
        <v>0</v>
      </c>
      <c r="F1549" s="346">
        <v>5</v>
      </c>
      <c r="G1549" s="347">
        <v>200</v>
      </c>
      <c r="H1549" s="346">
        <v>200</v>
      </c>
      <c r="I1549" s="17">
        <v>0</v>
      </c>
      <c r="J1549" s="347">
        <v>0</v>
      </c>
      <c r="K1549" s="346">
        <v>1</v>
      </c>
      <c r="L1549" s="346">
        <v>301</v>
      </c>
      <c r="M1549" s="346" t="s">
        <v>3292</v>
      </c>
      <c r="N1549" s="346">
        <v>301</v>
      </c>
      <c r="O1549" s="346" t="s">
        <v>5243</v>
      </c>
      <c r="P1549" s="346"/>
      <c r="Q1549" s="750"/>
      <c r="R1549" s="756"/>
      <c r="S1549" s="750"/>
      <c r="T1549" s="750">
        <v>29531</v>
      </c>
      <c r="U1549" s="346">
        <v>1</v>
      </c>
      <c r="V1549" s="346">
        <v>0</v>
      </c>
      <c r="W1549" s="346"/>
      <c r="X1549" s="346"/>
      <c r="Y1549" s="346"/>
      <c r="Z1549" s="742">
        <v>0</v>
      </c>
      <c r="AA1549" s="346"/>
      <c r="AB1549" s="751"/>
      <c r="AC1549" s="751"/>
      <c r="AD1549" s="745" t="s">
        <v>7364</v>
      </c>
      <c r="AE1549" s="346"/>
      <c r="AF1549" s="346" t="s">
        <v>3305</v>
      </c>
      <c r="AG1549" s="346" t="s">
        <v>7365</v>
      </c>
      <c r="AH1549" s="346" t="s">
        <v>3298</v>
      </c>
      <c r="AI1549" s="346" t="s">
        <v>3302</v>
      </c>
      <c r="AJ1549" s="346" t="s">
        <v>6513</v>
      </c>
      <c r="AK1549" s="757"/>
      <c r="AL1549" s="347">
        <v>0</v>
      </c>
      <c r="AM1549" s="348" t="str">
        <f>"&lt;p&gt;
&lt;n&gt;  收集1枚国战勋章&lt;/n&gt;&lt;newline/&gt;
&lt;n&gt;  回复：&lt;/n&gt;&lt;goto id="""&amp;N1549&amp;""" mapid=""5"" flagpoint=""1"" taskid="""&amp;A1549&amp;"""/&gt;
&lt;/p&gt;"</f>
        <v>&lt;p&gt;
&lt;n&gt;  收集1枚国战勋章&lt;/n&gt;&lt;newline/&gt;
&lt;n&gt;  回复：&lt;/n&gt;&lt;goto id="301" mapid="5" flagpoint="1" taskid="30290"/&gt;
&lt;/p&gt;</v>
      </c>
      <c r="AN1549" s="348" t="str">
        <f>"&lt;p&gt;
&lt;n&gt;  交：&lt;/n&gt;&lt;goto id="""&amp;N1549&amp;""" mapid=""5"" flagpoint=""1"" taskid="""&amp;A1549&amp;"""/&gt;
&lt;/p&gt;"</f>
        <v>&lt;p&gt;
&lt;n&gt;  交：&lt;/n&gt;&lt;goto id="301" mapid="5" flagpoint="1" taskid="30290"/&gt;
&lt;/p&gt;</v>
      </c>
      <c r="AO1549" s="346"/>
      <c r="AP1549" s="346">
        <v>0</v>
      </c>
      <c r="AQ1549" s="346">
        <v>0</v>
      </c>
      <c r="AR1549" s="346">
        <v>0</v>
      </c>
      <c r="AS1549" s="346">
        <v>0</v>
      </c>
      <c r="AT1549" s="346">
        <v>0</v>
      </c>
      <c r="AU1549" s="226">
        <v>0</v>
      </c>
      <c r="AV1549" s="17">
        <f t="shared" si="217"/>
        <v>0</v>
      </c>
      <c r="AW1549" s="346" t="str">
        <f>"{s_taskGather,{"&amp;L1549&amp;","&amp;N1549&amp;","&amp;T1549&amp;","&amp;U1549&amp;",0,0}}"</f>
        <v>{s_taskGather,{301,301,29531,1,0,0}}</v>
      </c>
    </row>
    <row r="1550" spans="1:49" s="758" customFormat="1" ht="144" x14ac:dyDescent="0.15">
      <c r="A1550" s="755">
        <v>30291</v>
      </c>
      <c r="B1550" s="346"/>
      <c r="C1550" s="346" t="s">
        <v>3306</v>
      </c>
      <c r="D1550" s="346">
        <v>3</v>
      </c>
      <c r="E1550" s="346">
        <v>0</v>
      </c>
      <c r="F1550" s="346">
        <v>5</v>
      </c>
      <c r="G1550" s="347">
        <v>200</v>
      </c>
      <c r="H1550" s="346">
        <v>200</v>
      </c>
      <c r="I1550" s="17">
        <v>0</v>
      </c>
      <c r="J1550" s="347">
        <v>0</v>
      </c>
      <c r="K1550" s="346">
        <v>2</v>
      </c>
      <c r="L1550" s="346">
        <v>301</v>
      </c>
      <c r="M1550" s="346" t="s">
        <v>3292</v>
      </c>
      <c r="N1550" s="346">
        <v>301</v>
      </c>
      <c r="O1550" s="346" t="s">
        <v>5243</v>
      </c>
      <c r="P1550" s="346"/>
      <c r="Q1550" s="750"/>
      <c r="R1550" s="756"/>
      <c r="S1550" s="750"/>
      <c r="T1550" s="750">
        <v>31500</v>
      </c>
      <c r="U1550" s="346">
        <v>1</v>
      </c>
      <c r="V1550" s="346">
        <v>0</v>
      </c>
      <c r="W1550" s="346"/>
      <c r="X1550" s="346"/>
      <c r="Y1550" s="346"/>
      <c r="Z1550" s="742">
        <v>0</v>
      </c>
      <c r="AA1550" s="346"/>
      <c r="AB1550" s="751"/>
      <c r="AC1550" s="751"/>
      <c r="AD1550" s="745" t="s">
        <v>7366</v>
      </c>
      <c r="AE1550" s="346"/>
      <c r="AF1550" s="346" t="s">
        <v>4129</v>
      </c>
      <c r="AG1550" s="346" t="s">
        <v>7367</v>
      </c>
      <c r="AH1550" s="346" t="s">
        <v>3299</v>
      </c>
      <c r="AI1550" s="346" t="s">
        <v>4130</v>
      </c>
      <c r="AJ1550" s="346" t="s">
        <v>6514</v>
      </c>
      <c r="AK1550" s="757"/>
      <c r="AL1550" s="347">
        <v>0</v>
      </c>
      <c r="AM1550" s="348" t="str">
        <f>"&lt;p&gt;&lt;n&gt;  前往：&lt;/n&gt;&lt;goto id=""230"" mapid=""5"" flagpoint=""1"" /&gt;&lt;newline/&gt;
&lt;n&gt;  完成情缘任务任务，获取1个安妮公主的祝福&lt;/n&gt;&lt;newline/&gt;
&lt;n&gt;  回复：&lt;/n&gt;&lt;goto id="""&amp;N1550&amp;""" mapid=""5"" flagpoint=""1"" taskid="""&amp;A1550&amp;"""/&gt;
&lt;/p&gt;"</f>
        <v>&lt;p&gt;&lt;n&gt;  前往：&lt;/n&gt;&lt;goto id="230" mapid="5" flagpoint="1" /&gt;&lt;newline/&gt;
&lt;n&gt;  完成情缘任务任务，获取1个安妮公主的祝福&lt;/n&gt;&lt;newline/&gt;
&lt;n&gt;  回复：&lt;/n&gt;&lt;goto id="301" mapid="5" flagpoint="1" taskid="30291"/&gt;
&lt;/p&gt;</v>
      </c>
      <c r="AN1550" s="348" t="str">
        <f>"&lt;p&gt;
&lt;n&gt;  交：&lt;/n&gt;&lt;goto id="""&amp;N1550&amp;""" mapid=""5"" flagpoint=""1"" taskid="""&amp;A1550&amp;"""/&gt;
&lt;/p&gt;"</f>
        <v>&lt;p&gt;
&lt;n&gt;  交：&lt;/n&gt;&lt;goto id="301" mapid="5" flagpoint="1" taskid="30291"/&gt;
&lt;/p&gt;</v>
      </c>
      <c r="AO1550" s="346"/>
      <c r="AP1550" s="346">
        <v>0</v>
      </c>
      <c r="AQ1550" s="346">
        <v>0</v>
      </c>
      <c r="AR1550" s="346">
        <v>0</v>
      </c>
      <c r="AS1550" s="346">
        <v>0</v>
      </c>
      <c r="AT1550" s="346">
        <v>0</v>
      </c>
      <c r="AU1550" s="226">
        <v>0</v>
      </c>
      <c r="AV1550" s="17">
        <f t="shared" si="217"/>
        <v>0</v>
      </c>
      <c r="AW1550" s="346" t="str">
        <f>"{s_taskGather,{"&amp;L1550&amp;","&amp;N1550&amp;","&amp;T1550&amp;","&amp;U1550&amp;",0,0}}"</f>
        <v>{s_taskGather,{301,301,31500,1,0,0}}</v>
      </c>
    </row>
    <row r="1551" spans="1:49" s="346" customFormat="1" ht="84" x14ac:dyDescent="0.15">
      <c r="A1551" s="755">
        <v>30292</v>
      </c>
      <c r="C1551" s="346" t="s">
        <v>3300</v>
      </c>
      <c r="D1551" s="346">
        <v>3</v>
      </c>
      <c r="E1551" s="346">
        <v>0</v>
      </c>
      <c r="F1551" s="346">
        <v>5</v>
      </c>
      <c r="G1551" s="347">
        <v>200</v>
      </c>
      <c r="H1551" s="346">
        <v>200</v>
      </c>
      <c r="I1551" s="17">
        <v>0</v>
      </c>
      <c r="J1551" s="347"/>
      <c r="K1551" s="346">
        <v>1</v>
      </c>
      <c r="L1551" s="346">
        <v>301</v>
      </c>
      <c r="M1551" s="346" t="s">
        <v>3292</v>
      </c>
      <c r="N1551" s="346">
        <v>301</v>
      </c>
      <c r="O1551" s="346" t="s">
        <v>5243</v>
      </c>
      <c r="Q1551" s="750"/>
      <c r="R1551" s="750"/>
      <c r="S1551" s="750">
        <v>60842</v>
      </c>
      <c r="T1551" s="750"/>
      <c r="U1551" s="346">
        <v>1</v>
      </c>
      <c r="V1551" s="346">
        <v>0</v>
      </c>
      <c r="W1551" s="741"/>
      <c r="Z1551" s="742">
        <v>5000</v>
      </c>
      <c r="AB1551" s="751"/>
      <c r="AC1551" s="751"/>
      <c r="AD1551" s="745" t="s">
        <v>7368</v>
      </c>
      <c r="AF1551" s="346" t="str">
        <f>"title("&amp;C1551&amp;")
body(hotyellow_3(任务进程:)newline()
   进入单人副本，触发剧情，然后击杀目标怪。
blankline()hotyellow_3(任务描述:)newline() space()space()space()player()虽然表面上安妮强作着坚强，但是每晚她总重复着一个同样情景的梦，每次都从梦中哭醒，究竟是个怎样的梦？进入梦境，看看那天发生的事吧。)"</f>
        <v>title([活动]绯色的婚纱)
body(hotyellow_3(任务进程:)newline()
   进入单人副本，触发剧情，然后击杀目标怪。
blankline()hotyellow_3(任务描述:)newline() space()space()space()player()虽然表面上安妮强作着坚强，但是每晚她总重复着一个同样情景的梦，每次都从梦中哭醒，究竟是个怎样的梦？进入梦境，看看那天发生的事吧。)</v>
      </c>
      <c r="AG1551" s="346" t="s">
        <v>7369</v>
      </c>
      <c r="AH1551" s="346" t="s">
        <v>3303</v>
      </c>
      <c r="AI1551" s="346" t="s">
        <v>3301</v>
      </c>
      <c r="AJ1551" s="346" t="s">
        <v>6373</v>
      </c>
      <c r="AL1551" s="347">
        <v>0</v>
      </c>
      <c r="AM1551" s="348" t="str">
        <f>"&lt;p&gt;&lt;n&gt;  杀：魔帮会大将后&lt;/n&gt;&lt;newline/&gt;
&lt;n&gt;  回复：&lt;/n&gt;&lt;goto id="""&amp;N1551&amp;""" mapid=""5"" flagpoint=""1"" taskid="""&amp;A1551&amp;"""/&gt;
&lt;/p&gt;"</f>
        <v>&lt;p&gt;&lt;n&gt;  杀：魔帮会大将后&lt;/n&gt;&lt;newline/&gt;
&lt;n&gt;  回复：&lt;/n&gt;&lt;goto id="301" mapid="5" flagpoint="1" taskid="30292"/&gt;
&lt;/p&gt;</v>
      </c>
      <c r="AN1551" s="348" t="str">
        <f>"&lt;p&gt;&lt;n&gt;  与丘比特对话后&lt;/n&gt;&lt;newline/&gt;
&lt;n&gt;  交：&lt;/n&gt;&lt;goto id="""&amp;N1551&amp;""" mapid=""5"" flagpoint=""1"" taskid="""&amp;A1551&amp;"""/&gt;
&lt;/p&gt;"</f>
        <v>&lt;p&gt;&lt;n&gt;  与丘比特对话后&lt;/n&gt;&lt;newline/&gt;
&lt;n&gt;  交：&lt;/n&gt;&lt;goto id="301" mapid="5" flagpoint="1" taskid="30292"/&gt;
&lt;/p&gt;</v>
      </c>
      <c r="AP1551" s="346">
        <v>1</v>
      </c>
      <c r="AQ1551" s="346">
        <v>0</v>
      </c>
      <c r="AR1551" s="346">
        <v>0</v>
      </c>
      <c r="AS1551" s="346">
        <v>0</v>
      </c>
      <c r="AU1551" s="226">
        <v>0</v>
      </c>
      <c r="AV1551" s="17">
        <f t="shared" si="217"/>
        <v>0</v>
      </c>
      <c r="AW1551" s="602" t="str">
        <f>"{s_taskKillNpc, {"&amp;L1551&amp;","&amp;N1551&amp;","&amp;S1551&amp;","&amp;U1551&amp;"}}"</f>
        <v>{s_taskKillNpc, {301,301,60842,1}}</v>
      </c>
    </row>
    <row r="1552" spans="1:49" s="346" customFormat="1" ht="144" x14ac:dyDescent="0.15">
      <c r="A1552" s="755">
        <v>30293</v>
      </c>
      <c r="C1552" s="346" t="s">
        <v>3327</v>
      </c>
      <c r="D1552" s="346">
        <v>3</v>
      </c>
      <c r="E1552" s="346">
        <v>0</v>
      </c>
      <c r="F1552" s="346">
        <v>5</v>
      </c>
      <c r="G1552" s="347">
        <v>200</v>
      </c>
      <c r="H1552" s="346">
        <v>200</v>
      </c>
      <c r="I1552" s="17">
        <v>0</v>
      </c>
      <c r="J1552" s="347"/>
      <c r="K1552" s="346">
        <v>1</v>
      </c>
      <c r="L1552" s="346">
        <v>305</v>
      </c>
      <c r="M1552" s="346" t="s">
        <v>3320</v>
      </c>
      <c r="N1552" s="346">
        <v>305</v>
      </c>
      <c r="O1552" s="346" t="s">
        <v>5244</v>
      </c>
      <c r="Q1552" s="750"/>
      <c r="R1552" s="750"/>
      <c r="S1552" s="750"/>
      <c r="T1552" s="750"/>
      <c r="U1552" s="346">
        <v>1</v>
      </c>
      <c r="V1552" s="346">
        <v>1</v>
      </c>
      <c r="W1552" s="741"/>
      <c r="Z1552" s="742"/>
      <c r="AB1552" s="751"/>
      <c r="AC1552" s="751"/>
      <c r="AD1552" s="745" t="s">
        <v>3328</v>
      </c>
      <c r="AF1552" s="346" t="s">
        <v>3329</v>
      </c>
      <c r="AG1552" s="346" t="s">
        <v>7370</v>
      </c>
      <c r="AH1552" s="346" t="s">
        <v>3330</v>
      </c>
      <c r="AI1552" s="346" t="s">
        <v>3331</v>
      </c>
      <c r="AJ1552" s="346" t="s">
        <v>6515</v>
      </c>
      <c r="AL1552" s="347">
        <v>0</v>
      </c>
      <c r="AM1552" s="348" t="str">
        <f>"&lt;p&gt;
&lt;n&gt;  回复：&lt;/n&gt;&lt;goto id="""&amp;N1552&amp;""" mapid=""5"" flagpoint=""1"" taskid="""&amp;A1552&amp;"""/&gt;
&lt;/p&gt;"</f>
        <v>&lt;p&gt;
&lt;n&gt;  回复：&lt;/n&gt;&lt;goto id="305" mapid="5" flagpoint="1" taskid="30293"/&gt;
&lt;/p&gt;</v>
      </c>
      <c r="AN1552" s="348" t="str">
        <f t="shared" ref="AN1552:AN1575" si="222">"&lt;p&gt;
&lt;n&gt;  交：&lt;/n&gt;&lt;goto id="""&amp;N1552&amp;""" mapid=""5"" flagpoint=""1"" taskid="""&amp;A1552&amp;"""/&gt;
&lt;/p&gt;"</f>
        <v>&lt;p&gt;
&lt;n&gt;  交：&lt;/n&gt;&lt;goto id="305" mapid="5" flagpoint="1" taskid="30293"/&gt;
&lt;/p&gt;</v>
      </c>
      <c r="AP1552" s="346">
        <v>1</v>
      </c>
      <c r="AQ1552" s="346">
        <v>0</v>
      </c>
      <c r="AR1552" s="346">
        <v>0</v>
      </c>
      <c r="AS1552" s="346">
        <v>0</v>
      </c>
      <c r="AU1552" s="226">
        <v>0</v>
      </c>
      <c r="AV1552" s="17">
        <f t="shared" si="217"/>
        <v>0</v>
      </c>
      <c r="AW1552" s="346" t="str">
        <f t="shared" ref="AW1552" si="223">"{s_taskTalk,{"&amp;L1552&amp;","&amp;N1552&amp;"}}"</f>
        <v>{s_taskTalk,{305,305}}</v>
      </c>
    </row>
    <row r="1553" spans="1:49" s="346" customFormat="1" ht="156" x14ac:dyDescent="0.15">
      <c r="A1553" s="755">
        <v>30294</v>
      </c>
      <c r="C1553" s="346" t="s">
        <v>3431</v>
      </c>
      <c r="D1553" s="346">
        <v>3</v>
      </c>
      <c r="E1553" s="346">
        <v>0</v>
      </c>
      <c r="F1553" s="346">
        <v>5</v>
      </c>
      <c r="G1553" s="347">
        <v>200</v>
      </c>
      <c r="H1553" s="346">
        <v>200</v>
      </c>
      <c r="I1553" s="17">
        <v>0</v>
      </c>
      <c r="J1553" s="347"/>
      <c r="K1553" s="346">
        <v>1</v>
      </c>
      <c r="L1553" s="346">
        <v>313</v>
      </c>
      <c r="M1553" s="346" t="s">
        <v>3430</v>
      </c>
      <c r="N1553" s="346">
        <v>313</v>
      </c>
      <c r="O1553" s="346" t="s">
        <v>5245</v>
      </c>
      <c r="Q1553" s="750"/>
      <c r="R1553" s="750"/>
      <c r="S1553" s="750"/>
      <c r="T1553" s="750"/>
      <c r="U1553" s="346">
        <v>5</v>
      </c>
      <c r="V1553" s="346">
        <v>0</v>
      </c>
      <c r="W1553" s="741"/>
      <c r="Z1553" s="742">
        <v>0</v>
      </c>
      <c r="AB1553" s="751"/>
      <c r="AC1553" s="751"/>
      <c r="AD1553" s="745"/>
      <c r="AF1553" s="346" t="s">
        <v>3432</v>
      </c>
      <c r="AG1553" s="346" t="s">
        <v>3433</v>
      </c>
      <c r="AH1553" s="346" t="s">
        <v>3434</v>
      </c>
      <c r="AI1553" s="346" t="s">
        <v>3435</v>
      </c>
      <c r="AJ1553" s="346" t="s">
        <v>6516</v>
      </c>
      <c r="AL1553" s="347">
        <v>0</v>
      </c>
      <c r="AM1553" s="348" t="str">
        <f>"&lt;p&gt;&lt;n&gt;将5个足球踢入球门&lt;/n&gt;&lt;newline/&gt;&lt;dialog taskid="""&amp;A1553&amp;""" text=""学习踢球技能"" hotkeyid=""5"" tabid=""2-1""/&gt;
&lt;/p&gt;"</f>
        <v>&lt;p&gt;&lt;n&gt;将5个足球踢入球门&lt;/n&gt;&lt;newline/&gt;&lt;dialog taskid="30294" text="学习踢球技能" hotkeyid="5" tabid="2-1"/&gt;
&lt;/p&gt;</v>
      </c>
      <c r="AN1553" s="348" t="str">
        <f t="shared" si="222"/>
        <v>&lt;p&gt;
&lt;n&gt;  交：&lt;/n&gt;&lt;goto id="313" mapid="5" flagpoint="1" taskid="30294"/&gt;
&lt;/p&gt;</v>
      </c>
      <c r="AP1553" s="346">
        <v>1</v>
      </c>
      <c r="AQ1553" s="346">
        <v>0</v>
      </c>
      <c r="AR1553" s="346">
        <v>0</v>
      </c>
      <c r="AS1553" s="346">
        <v>0</v>
      </c>
      <c r="AU1553" s="226">
        <v>0</v>
      </c>
      <c r="AV1553" s="17">
        <f t="shared" si="217"/>
        <v>0</v>
      </c>
      <c r="AW1553" s="346" t="str">
        <f>"{s_taskCustom,{"&amp;L1553&amp;","&amp;N1553&amp;","&amp;U1553&amp;","&amp;V1553&amp;"}}"</f>
        <v>{s_taskCustom,{313,313,5,0}}</v>
      </c>
    </row>
    <row r="1554" spans="1:49" s="346" customFormat="1" ht="192" x14ac:dyDescent="0.15">
      <c r="A1554" s="755">
        <v>30300</v>
      </c>
      <c r="C1554" s="346" t="s">
        <v>3317</v>
      </c>
      <c r="D1554" s="346">
        <v>3</v>
      </c>
      <c r="E1554" s="346">
        <v>0</v>
      </c>
      <c r="F1554" s="346">
        <v>5</v>
      </c>
      <c r="G1554" s="347">
        <v>200</v>
      </c>
      <c r="H1554" s="346">
        <v>200</v>
      </c>
      <c r="I1554" s="17">
        <v>0</v>
      </c>
      <c r="J1554" s="347"/>
      <c r="K1554" s="346">
        <v>1</v>
      </c>
      <c r="L1554" s="346">
        <v>305</v>
      </c>
      <c r="M1554" s="346" t="s">
        <v>3320</v>
      </c>
      <c r="N1554" s="346">
        <v>305</v>
      </c>
      <c r="O1554" s="346" t="s">
        <v>5244</v>
      </c>
      <c r="Q1554" s="750"/>
      <c r="R1554" s="750"/>
      <c r="S1554" s="750"/>
      <c r="T1554" s="750"/>
      <c r="U1554" s="346">
        <v>1</v>
      </c>
      <c r="V1554" s="346">
        <v>0</v>
      </c>
      <c r="W1554" s="741"/>
      <c r="Z1554" s="742">
        <v>0</v>
      </c>
      <c r="AB1554" s="751"/>
      <c r="AC1554" s="751"/>
      <c r="AD1554" s="745"/>
      <c r="AF1554" s="346" t="s">
        <v>4422</v>
      </c>
      <c r="AG1554" s="346" t="s">
        <v>3332</v>
      </c>
      <c r="AH1554" s="346" t="s">
        <v>3332</v>
      </c>
      <c r="AI1554" s="346" t="s">
        <v>3333</v>
      </c>
      <c r="AJ1554" s="346" t="s">
        <v>6517</v>
      </c>
      <c r="AL1554" s="347">
        <v>0</v>
      </c>
      <c r="AM1554" s="348" t="str">
        <f>"&lt;p&gt;
&lt;n&gt;  回复：&lt;/n&gt;&lt;goto id="""&amp;N1554&amp;""" mapid=""5"" flagpoint=""1"" taskid="""&amp;A1554&amp;"""/&gt;
&lt;/p&gt;"</f>
        <v>&lt;p&gt;
&lt;n&gt;  回复：&lt;/n&gt;&lt;goto id="305" mapid="5" flagpoint="1" taskid="30300"/&gt;
&lt;/p&gt;</v>
      </c>
      <c r="AN1554" s="348" t="str">
        <f t="shared" si="222"/>
        <v>&lt;p&gt;
&lt;n&gt;  交：&lt;/n&gt;&lt;goto id="305" mapid="5" flagpoint="1" taskid="30300"/&gt;
&lt;/p&gt;</v>
      </c>
      <c r="AP1554" s="346">
        <v>0</v>
      </c>
      <c r="AQ1554" s="346">
        <v>0</v>
      </c>
      <c r="AR1554" s="346">
        <v>0</v>
      </c>
      <c r="AS1554" s="346">
        <v>0</v>
      </c>
      <c r="AU1554" s="226">
        <v>0</v>
      </c>
      <c r="AV1554" s="17">
        <f t="shared" si="217"/>
        <v>0</v>
      </c>
      <c r="AW1554" s="346" t="str">
        <f>"{s_taskTalk,{"&amp;L1554&amp;","&amp;N1554&amp;"}}"</f>
        <v>{s_taskTalk,{305,305}}</v>
      </c>
    </row>
    <row r="1555" spans="1:49" s="346" customFormat="1" ht="204" x14ac:dyDescent="0.15">
      <c r="A1555" s="755">
        <v>30301</v>
      </c>
      <c r="C1555" s="346" t="s">
        <v>3317</v>
      </c>
      <c r="D1555" s="346">
        <v>3</v>
      </c>
      <c r="E1555" s="346">
        <v>0</v>
      </c>
      <c r="F1555" s="346">
        <v>5</v>
      </c>
      <c r="G1555" s="347">
        <v>200</v>
      </c>
      <c r="H1555" s="346">
        <v>200</v>
      </c>
      <c r="I1555" s="17">
        <v>0</v>
      </c>
      <c r="J1555" s="347"/>
      <c r="K1555" s="346">
        <v>1</v>
      </c>
      <c r="L1555" s="346">
        <v>305</v>
      </c>
      <c r="M1555" s="346" t="s">
        <v>3320</v>
      </c>
      <c r="N1555" s="346">
        <v>305</v>
      </c>
      <c r="O1555" s="346" t="s">
        <v>5244</v>
      </c>
      <c r="Q1555" s="750"/>
      <c r="R1555" s="750"/>
      <c r="S1555" s="750"/>
      <c r="T1555" s="750"/>
      <c r="U1555" s="346">
        <v>1</v>
      </c>
      <c r="V1555" s="346">
        <v>0</v>
      </c>
      <c r="W1555" s="741"/>
      <c r="Z1555" s="742">
        <v>0</v>
      </c>
      <c r="AB1555" s="751"/>
      <c r="AC1555" s="751"/>
      <c r="AD1555" s="745" t="s">
        <v>7371</v>
      </c>
      <c r="AF1555" s="346" t="s">
        <v>4423</v>
      </c>
      <c r="AG1555" s="346" t="s">
        <v>3338</v>
      </c>
      <c r="AH1555" s="346" t="s">
        <v>3318</v>
      </c>
      <c r="AI1555" s="346" t="s">
        <v>3319</v>
      </c>
      <c r="AJ1555" s="346" t="s">
        <v>6518</v>
      </c>
      <c r="AL1555" s="347">
        <v>0</v>
      </c>
      <c r="AM1555" s="348" t="str">
        <f>"&lt;p&gt;&lt;n&gt;  使用1次猎命师手札后&lt;/n&gt;&lt;newline/&gt;
&lt;n&gt;  回复：&lt;/n&gt;&lt;goto id="""&amp;N1555&amp;""" mapid=""5"" flagpoint=""1"" taskid="""&amp;A1555&amp;"""/&gt;
&lt;/p&gt;"</f>
        <v>&lt;p&gt;&lt;n&gt;  使用1次猎命师手札后&lt;/n&gt;&lt;newline/&gt;
&lt;n&gt;  回复：&lt;/n&gt;&lt;goto id="305" mapid="5" flagpoint="1" taskid="30301"/&gt;
&lt;/p&gt;</v>
      </c>
      <c r="AN1555" s="348" t="str">
        <f t="shared" si="222"/>
        <v>&lt;p&gt;
&lt;n&gt;  交：&lt;/n&gt;&lt;goto id="305" mapid="5" flagpoint="1" taskid="30301"/&gt;
&lt;/p&gt;</v>
      </c>
      <c r="AP1555" s="346">
        <v>0</v>
      </c>
      <c r="AQ1555" s="346">
        <v>0</v>
      </c>
      <c r="AR1555" s="346">
        <v>0</v>
      </c>
      <c r="AS1555" s="346">
        <v>0</v>
      </c>
      <c r="AU1555" s="226">
        <v>0</v>
      </c>
      <c r="AV1555" s="17">
        <f t="shared" si="217"/>
        <v>0</v>
      </c>
      <c r="AW1555" s="346" t="str">
        <f>"{s_taskTalk,{"&amp;L1555&amp;","&amp;N1555&amp;"}}"</f>
        <v>{s_taskTalk,{305,305}}</v>
      </c>
    </row>
    <row r="1556" spans="1:49" s="346" customFormat="1" ht="204" x14ac:dyDescent="0.15">
      <c r="A1556" s="755">
        <v>30302</v>
      </c>
      <c r="C1556" s="346" t="s">
        <v>3317</v>
      </c>
      <c r="D1556" s="346">
        <v>3</v>
      </c>
      <c r="E1556" s="346">
        <v>0</v>
      </c>
      <c r="F1556" s="346">
        <v>5</v>
      </c>
      <c r="G1556" s="347">
        <v>200</v>
      </c>
      <c r="H1556" s="346">
        <v>200</v>
      </c>
      <c r="I1556" s="17">
        <v>0</v>
      </c>
      <c r="J1556" s="347"/>
      <c r="K1556" s="346">
        <v>1</v>
      </c>
      <c r="L1556" s="346">
        <v>305</v>
      </c>
      <c r="M1556" s="346" t="s">
        <v>3320</v>
      </c>
      <c r="N1556" s="346">
        <v>305</v>
      </c>
      <c r="O1556" s="346" t="s">
        <v>5244</v>
      </c>
      <c r="Q1556" s="750"/>
      <c r="R1556" s="750"/>
      <c r="S1556" s="750"/>
      <c r="T1556" s="750"/>
      <c r="U1556" s="346">
        <v>1</v>
      </c>
      <c r="V1556" s="346">
        <v>0</v>
      </c>
      <c r="W1556" s="741"/>
      <c r="Z1556" s="742">
        <v>0</v>
      </c>
      <c r="AB1556" s="751"/>
      <c r="AC1556" s="751"/>
      <c r="AD1556" s="745" t="s">
        <v>7371</v>
      </c>
      <c r="AF1556" s="346" t="s">
        <v>4424</v>
      </c>
      <c r="AG1556" s="346" t="s">
        <v>3339</v>
      </c>
      <c r="AH1556" s="346" t="s">
        <v>3318</v>
      </c>
      <c r="AI1556" s="346" t="s">
        <v>3321</v>
      </c>
      <c r="AJ1556" s="346" t="s">
        <v>6519</v>
      </c>
      <c r="AL1556" s="347">
        <v>0</v>
      </c>
      <c r="AM1556" s="348" t="str">
        <f>"&lt;p&gt;&lt;n&gt;  使用1次舞会门票后&lt;/n&gt;&lt;newline/&gt;
&lt;n&gt;  回复：&lt;/n&gt;&lt;goto id="""&amp;N1556&amp;""" mapid=""5"" flagpoint=""1"" taskid="""&amp;A1556&amp;"""/&gt;
&lt;/p&gt;"</f>
        <v>&lt;p&gt;&lt;n&gt;  使用1次舞会门票后&lt;/n&gt;&lt;newline/&gt;
&lt;n&gt;  回复：&lt;/n&gt;&lt;goto id="305" mapid="5" flagpoint="1" taskid="30302"/&gt;
&lt;/p&gt;</v>
      </c>
      <c r="AN1556" s="348" t="str">
        <f t="shared" si="222"/>
        <v>&lt;p&gt;
&lt;n&gt;  交：&lt;/n&gt;&lt;goto id="305" mapid="5" flagpoint="1" taskid="30302"/&gt;
&lt;/p&gt;</v>
      </c>
      <c r="AP1556" s="346">
        <v>0</v>
      </c>
      <c r="AQ1556" s="346">
        <v>0</v>
      </c>
      <c r="AR1556" s="346">
        <v>0</v>
      </c>
      <c r="AS1556" s="346">
        <v>0</v>
      </c>
      <c r="AU1556" s="226">
        <v>0</v>
      </c>
      <c r="AV1556" s="17">
        <f t="shared" si="217"/>
        <v>0</v>
      </c>
      <c r="AW1556" s="346" t="str">
        <f t="shared" ref="AW1556:AW1564" si="224">"{s_taskTalk,{"&amp;L1556&amp;","&amp;N1556&amp;"}}"</f>
        <v>{s_taskTalk,{305,305}}</v>
      </c>
    </row>
    <row r="1557" spans="1:49" s="346" customFormat="1" ht="204" x14ac:dyDescent="0.15">
      <c r="A1557" s="755">
        <v>30303</v>
      </c>
      <c r="C1557" s="346" t="s">
        <v>3317</v>
      </c>
      <c r="D1557" s="346">
        <v>3</v>
      </c>
      <c r="E1557" s="346">
        <v>0</v>
      </c>
      <c r="F1557" s="346">
        <v>5</v>
      </c>
      <c r="G1557" s="347">
        <v>200</v>
      </c>
      <c r="H1557" s="346">
        <v>200</v>
      </c>
      <c r="I1557" s="17">
        <v>0</v>
      </c>
      <c r="J1557" s="347"/>
      <c r="K1557" s="346">
        <v>1</v>
      </c>
      <c r="L1557" s="346">
        <v>305</v>
      </c>
      <c r="M1557" s="346" t="s">
        <v>3320</v>
      </c>
      <c r="N1557" s="346">
        <v>305</v>
      </c>
      <c r="O1557" s="346" t="s">
        <v>5244</v>
      </c>
      <c r="Q1557" s="750"/>
      <c r="R1557" s="750"/>
      <c r="S1557" s="750"/>
      <c r="T1557" s="750"/>
      <c r="U1557" s="346">
        <v>5</v>
      </c>
      <c r="V1557" s="346">
        <v>0</v>
      </c>
      <c r="W1557" s="741"/>
      <c r="Z1557" s="742">
        <v>0</v>
      </c>
      <c r="AB1557" s="751"/>
      <c r="AC1557" s="751"/>
      <c r="AD1557" s="745" t="s">
        <v>9017</v>
      </c>
      <c r="AF1557" s="346" t="s">
        <v>4425</v>
      </c>
      <c r="AG1557" s="346" t="s">
        <v>3340</v>
      </c>
      <c r="AH1557" s="346" t="s">
        <v>3318</v>
      </c>
      <c r="AI1557" s="346" t="s">
        <v>3337</v>
      </c>
      <c r="AJ1557" s="346" t="s">
        <v>6520</v>
      </c>
      <c r="AL1557" s="347">
        <v>0</v>
      </c>
      <c r="AM1557" s="348" t="str">
        <f>"&lt;p&gt;&lt;n&gt;  收集5个矿石(1级)&lt;/n&gt;&lt;newline/&gt;
&lt;n&gt;  回复：&lt;/n&gt;&lt;goto id="""&amp;N1557&amp;""" mapid=""5"" flagpoint=""1"" taskid="""&amp;A1557&amp;"""/&gt;
&lt;/p&gt;"</f>
        <v>&lt;p&gt;&lt;n&gt;  收集5个矿石(1级)&lt;/n&gt;&lt;newline/&gt;
&lt;n&gt;  回复：&lt;/n&gt;&lt;goto id="305" mapid="5" flagpoint="1" taskid="30303"/&gt;
&lt;/p&gt;</v>
      </c>
      <c r="AN1557" s="348" t="str">
        <f t="shared" si="222"/>
        <v>&lt;p&gt;
&lt;n&gt;  交：&lt;/n&gt;&lt;goto id="305" mapid="5" flagpoint="1" taskid="30303"/&gt;
&lt;/p&gt;</v>
      </c>
      <c r="AO1557" s="754" t="s">
        <v>3334</v>
      </c>
      <c r="AP1557" s="346">
        <v>0</v>
      </c>
      <c r="AQ1557" s="346">
        <v>0</v>
      </c>
      <c r="AR1557" s="346">
        <v>0</v>
      </c>
      <c r="AS1557" s="346">
        <v>0</v>
      </c>
      <c r="AU1557" s="226">
        <v>0</v>
      </c>
      <c r="AV1557" s="17">
        <f t="shared" si="217"/>
        <v>0</v>
      </c>
      <c r="AW1557" s="346" t="str">
        <f t="shared" si="224"/>
        <v>{s_taskTalk,{305,305}}</v>
      </c>
    </row>
    <row r="1558" spans="1:49" s="346" customFormat="1" ht="204" x14ac:dyDescent="0.15">
      <c r="A1558" s="755">
        <v>30304</v>
      </c>
      <c r="C1558" s="346" t="s">
        <v>3317</v>
      </c>
      <c r="D1558" s="346">
        <v>3</v>
      </c>
      <c r="E1558" s="346">
        <v>0</v>
      </c>
      <c r="F1558" s="346">
        <v>5</v>
      </c>
      <c r="G1558" s="347">
        <v>200</v>
      </c>
      <c r="H1558" s="346">
        <v>200</v>
      </c>
      <c r="I1558" s="17">
        <v>0</v>
      </c>
      <c r="J1558" s="347"/>
      <c r="K1558" s="346">
        <v>1</v>
      </c>
      <c r="L1558" s="346">
        <v>305</v>
      </c>
      <c r="M1558" s="346" t="s">
        <v>3320</v>
      </c>
      <c r="N1558" s="346">
        <v>305</v>
      </c>
      <c r="O1558" s="346" t="s">
        <v>5244</v>
      </c>
      <c r="Q1558" s="750"/>
      <c r="R1558" s="750"/>
      <c r="S1558" s="750"/>
      <c r="T1558" s="750"/>
      <c r="U1558" s="346">
        <v>5</v>
      </c>
      <c r="V1558" s="346">
        <v>0</v>
      </c>
      <c r="W1558" s="741"/>
      <c r="Z1558" s="742">
        <v>0</v>
      </c>
      <c r="AB1558" s="751"/>
      <c r="AC1558" s="751"/>
      <c r="AD1558" s="745" t="s">
        <v>7371</v>
      </c>
      <c r="AF1558" s="346" t="s">
        <v>4426</v>
      </c>
      <c r="AG1558" s="346" t="s">
        <v>3341</v>
      </c>
      <c r="AH1558" s="346" t="s">
        <v>3318</v>
      </c>
      <c r="AI1558" s="346" t="s">
        <v>3336</v>
      </c>
      <c r="AJ1558" s="346" t="s">
        <v>6521</v>
      </c>
      <c r="AL1558" s="347">
        <v>0</v>
      </c>
      <c r="AM1558" s="348" t="str">
        <f>"&lt;p&gt;&lt;n&gt;  收集5个药材(1级)&lt;/n&gt;&lt;newline/&gt;
&lt;n&gt;  回复：&lt;/n&gt;&lt;goto id="""&amp;N1558&amp;""" mapid=""5"" flagpoint=""1"" taskid="""&amp;A1558&amp;"""/&gt;
&lt;/p&gt;"</f>
        <v>&lt;p&gt;&lt;n&gt;  收集5个药材(1级)&lt;/n&gt;&lt;newline/&gt;
&lt;n&gt;  回复：&lt;/n&gt;&lt;goto id="305" mapid="5" flagpoint="1" taskid="30304"/&gt;
&lt;/p&gt;</v>
      </c>
      <c r="AN1558" s="348" t="str">
        <f t="shared" si="222"/>
        <v>&lt;p&gt;
&lt;n&gt;  交：&lt;/n&gt;&lt;goto id="305" mapid="5" flagpoint="1" taskid="30304"/&gt;
&lt;/p&gt;</v>
      </c>
      <c r="AO1558" s="754" t="s">
        <v>3335</v>
      </c>
      <c r="AP1558" s="346">
        <v>0</v>
      </c>
      <c r="AQ1558" s="346">
        <v>0</v>
      </c>
      <c r="AR1558" s="346">
        <v>0</v>
      </c>
      <c r="AS1558" s="346">
        <v>0</v>
      </c>
      <c r="AU1558" s="226">
        <v>0</v>
      </c>
      <c r="AV1558" s="17">
        <f t="shared" si="217"/>
        <v>0</v>
      </c>
      <c r="AW1558" s="346" t="str">
        <f t="shared" si="224"/>
        <v>{s_taskTalk,{305,305}}</v>
      </c>
    </row>
    <row r="1559" spans="1:49" s="346" customFormat="1" ht="204" x14ac:dyDescent="0.15">
      <c r="A1559" s="755">
        <v>30305</v>
      </c>
      <c r="C1559" s="346" t="s">
        <v>3317</v>
      </c>
      <c r="D1559" s="346">
        <v>3</v>
      </c>
      <c r="E1559" s="346">
        <v>0</v>
      </c>
      <c r="F1559" s="346">
        <v>5</v>
      </c>
      <c r="G1559" s="347">
        <v>200</v>
      </c>
      <c r="H1559" s="346">
        <v>200</v>
      </c>
      <c r="I1559" s="17">
        <v>0</v>
      </c>
      <c r="J1559" s="347"/>
      <c r="K1559" s="346">
        <v>1</v>
      </c>
      <c r="L1559" s="346">
        <v>305</v>
      </c>
      <c r="M1559" s="346" t="s">
        <v>3320</v>
      </c>
      <c r="N1559" s="346">
        <v>305</v>
      </c>
      <c r="O1559" s="346" t="s">
        <v>5244</v>
      </c>
      <c r="Q1559" s="750"/>
      <c r="R1559" s="750"/>
      <c r="S1559" s="750"/>
      <c r="T1559" s="750"/>
      <c r="U1559" s="346">
        <v>1</v>
      </c>
      <c r="V1559" s="346">
        <v>0</v>
      </c>
      <c r="W1559" s="741"/>
      <c r="Z1559" s="742">
        <v>0</v>
      </c>
      <c r="AB1559" s="751"/>
      <c r="AC1559" s="751"/>
      <c r="AD1559" s="745" t="s">
        <v>7371</v>
      </c>
      <c r="AF1559" s="346" t="s">
        <v>4490</v>
      </c>
      <c r="AG1559" s="346" t="s">
        <v>3342</v>
      </c>
      <c r="AH1559" s="346" t="s">
        <v>3318</v>
      </c>
      <c r="AI1559" s="346" t="s">
        <v>3326</v>
      </c>
      <c r="AJ1559" s="346" t="s">
        <v>6522</v>
      </c>
      <c r="AL1559" s="347">
        <v>0</v>
      </c>
      <c r="AM1559" s="348" t="str">
        <f>"&lt;p&gt;&lt;n&gt;  收集1个家族养殖水果后&lt;/n&gt;&lt;newline/&gt;
&lt;n&gt;  回复：&lt;/n&gt;&lt;goto id="""&amp;N1559&amp;""" mapid=""5"" flagpoint=""1"" taskid="""&amp;A1559&amp;"""/&gt;
&lt;/p&gt;"</f>
        <v>&lt;p&gt;&lt;n&gt;  收集1个家族养殖水果后&lt;/n&gt;&lt;newline/&gt;
&lt;n&gt;  回复：&lt;/n&gt;&lt;goto id="305" mapid="5" flagpoint="1" taskid="30305"/&gt;
&lt;/p&gt;</v>
      </c>
      <c r="AN1559" s="348" t="str">
        <f t="shared" si="222"/>
        <v>&lt;p&gt;
&lt;n&gt;  交：&lt;/n&gt;&lt;goto id="305" mapid="5" flagpoint="1" taskid="30305"/&gt;
&lt;/p&gt;</v>
      </c>
      <c r="AO1559" s="754" t="s">
        <v>3325</v>
      </c>
      <c r="AP1559" s="346">
        <v>0</v>
      </c>
      <c r="AQ1559" s="346">
        <v>0</v>
      </c>
      <c r="AR1559" s="346">
        <v>0</v>
      </c>
      <c r="AS1559" s="346">
        <v>0</v>
      </c>
      <c r="AU1559" s="226">
        <v>0</v>
      </c>
      <c r="AV1559" s="17">
        <f t="shared" si="217"/>
        <v>0</v>
      </c>
      <c r="AW1559" s="346" t="str">
        <f t="shared" si="224"/>
        <v>{s_taskTalk,{305,305}}</v>
      </c>
    </row>
    <row r="1560" spans="1:49" s="346" customFormat="1" ht="204" x14ac:dyDescent="0.15">
      <c r="A1560" s="755">
        <v>30306</v>
      </c>
      <c r="C1560" s="346" t="s">
        <v>3317</v>
      </c>
      <c r="D1560" s="346">
        <v>3</v>
      </c>
      <c r="E1560" s="346">
        <v>0</v>
      </c>
      <c r="F1560" s="346">
        <v>5</v>
      </c>
      <c r="G1560" s="347">
        <v>200</v>
      </c>
      <c r="H1560" s="346">
        <v>200</v>
      </c>
      <c r="I1560" s="17">
        <v>0</v>
      </c>
      <c r="J1560" s="347"/>
      <c r="K1560" s="346">
        <v>1</v>
      </c>
      <c r="L1560" s="346">
        <v>305</v>
      </c>
      <c r="M1560" s="346" t="s">
        <v>3320</v>
      </c>
      <c r="N1560" s="346">
        <v>305</v>
      </c>
      <c r="O1560" s="346" t="s">
        <v>5244</v>
      </c>
      <c r="Q1560" s="750"/>
      <c r="R1560" s="750"/>
      <c r="S1560" s="750"/>
      <c r="T1560" s="750"/>
      <c r="U1560" s="346">
        <v>1</v>
      </c>
      <c r="V1560" s="346">
        <v>0</v>
      </c>
      <c r="W1560" s="741"/>
      <c r="Z1560" s="742">
        <v>0</v>
      </c>
      <c r="AB1560" s="751"/>
      <c r="AC1560" s="751"/>
      <c r="AD1560" s="745" t="s">
        <v>7371</v>
      </c>
      <c r="AF1560" s="346" t="s">
        <v>4427</v>
      </c>
      <c r="AG1560" s="346" t="s">
        <v>3343</v>
      </c>
      <c r="AH1560" s="346" t="s">
        <v>3318</v>
      </c>
      <c r="AI1560" s="346" t="s">
        <v>3323</v>
      </c>
      <c r="AJ1560" s="346" t="s">
        <v>6523</v>
      </c>
      <c r="AL1560" s="347">
        <v>0</v>
      </c>
      <c r="AM1560" s="348" t="str">
        <f>"&lt;p&gt;&lt;n&gt;  杀：1个贪财小妖后&lt;/n&gt;&lt;newline/&gt;
&lt;n&gt;  回复：&lt;/n&gt;&lt;goto id="""&amp;N1560&amp;""" mapid=""5"" flagpoint=""1"" taskid="""&amp;A1560&amp;"""/&gt;
&lt;/p&gt;"</f>
        <v>&lt;p&gt;&lt;n&gt;  杀：1个贪财小妖后&lt;/n&gt;&lt;newline/&gt;
&lt;n&gt;  回复：&lt;/n&gt;&lt;goto id="305" mapid="5" flagpoint="1" taskid="30306"/&gt;
&lt;/p&gt;</v>
      </c>
      <c r="AN1560" s="348" t="str">
        <f t="shared" si="222"/>
        <v>&lt;p&gt;
&lt;n&gt;  交：&lt;/n&gt;&lt;goto id="305" mapid="5" flagpoint="1" taskid="30306"/&gt;
&lt;/p&gt;</v>
      </c>
      <c r="AP1560" s="346">
        <v>0</v>
      </c>
      <c r="AQ1560" s="346">
        <v>0</v>
      </c>
      <c r="AR1560" s="346">
        <v>0</v>
      </c>
      <c r="AS1560" s="346">
        <v>0</v>
      </c>
      <c r="AU1560" s="226">
        <v>0</v>
      </c>
      <c r="AV1560" s="17">
        <f t="shared" si="217"/>
        <v>0</v>
      </c>
      <c r="AW1560" s="346" t="str">
        <f t="shared" si="224"/>
        <v>{s_taskTalk,{305,305}}</v>
      </c>
    </row>
    <row r="1561" spans="1:49" s="346" customFormat="1" ht="204" x14ac:dyDescent="0.15">
      <c r="A1561" s="755">
        <v>30307</v>
      </c>
      <c r="C1561" s="346" t="s">
        <v>3317</v>
      </c>
      <c r="D1561" s="346">
        <v>3</v>
      </c>
      <c r="E1561" s="346">
        <v>0</v>
      </c>
      <c r="F1561" s="346">
        <v>5</v>
      </c>
      <c r="G1561" s="347">
        <v>200</v>
      </c>
      <c r="H1561" s="346">
        <v>200</v>
      </c>
      <c r="I1561" s="17">
        <v>0</v>
      </c>
      <c r="J1561" s="347"/>
      <c r="K1561" s="346">
        <v>1</v>
      </c>
      <c r="L1561" s="346">
        <v>305</v>
      </c>
      <c r="M1561" s="346" t="s">
        <v>3320</v>
      </c>
      <c r="N1561" s="346">
        <v>305</v>
      </c>
      <c r="O1561" s="346" t="s">
        <v>5244</v>
      </c>
      <c r="Q1561" s="750"/>
      <c r="R1561" s="750"/>
      <c r="S1561" s="750"/>
      <c r="T1561" s="750"/>
      <c r="U1561" s="346">
        <v>1</v>
      </c>
      <c r="V1561" s="346">
        <v>0</v>
      </c>
      <c r="W1561" s="741"/>
      <c r="Z1561" s="742">
        <v>0</v>
      </c>
      <c r="AB1561" s="751"/>
      <c r="AC1561" s="751"/>
      <c r="AD1561" s="745" t="s">
        <v>7371</v>
      </c>
      <c r="AF1561" s="346" t="s">
        <v>4428</v>
      </c>
      <c r="AG1561" s="346" t="s">
        <v>3344</v>
      </c>
      <c r="AH1561" s="346" t="s">
        <v>3318</v>
      </c>
      <c r="AI1561" s="346" t="s">
        <v>3324</v>
      </c>
      <c r="AJ1561" s="346" t="s">
        <v>6524</v>
      </c>
      <c r="AL1561" s="347">
        <v>0</v>
      </c>
      <c r="AM1561" s="348" t="str">
        <f>"&lt;p&gt;&lt;n&gt;  完成1次情报任务后&lt;/n&gt;&lt;newline/&gt;
&lt;n&gt;  回复：&lt;/n&gt;&lt;goto id="""&amp;N1561&amp;""" mapid=""5"" flagpoint=""1"" taskid="""&amp;A1561&amp;"""/&gt;
&lt;/p&gt;"</f>
        <v>&lt;p&gt;&lt;n&gt;  完成1次情报任务后&lt;/n&gt;&lt;newline/&gt;
&lt;n&gt;  回复：&lt;/n&gt;&lt;goto id="305" mapid="5" flagpoint="1" taskid="30307"/&gt;
&lt;/p&gt;</v>
      </c>
      <c r="AN1561" s="348" t="str">
        <f t="shared" si="222"/>
        <v>&lt;p&gt;
&lt;n&gt;  交：&lt;/n&gt;&lt;goto id="305" mapid="5" flagpoint="1" taskid="30307"/&gt;
&lt;/p&gt;</v>
      </c>
      <c r="AP1561" s="346">
        <v>0</v>
      </c>
      <c r="AQ1561" s="346">
        <v>0</v>
      </c>
      <c r="AR1561" s="346">
        <v>0</v>
      </c>
      <c r="AS1561" s="346">
        <v>0</v>
      </c>
      <c r="AU1561" s="226">
        <v>0</v>
      </c>
      <c r="AV1561" s="17">
        <f t="shared" si="217"/>
        <v>0</v>
      </c>
      <c r="AW1561" s="346" t="str">
        <f t="shared" si="224"/>
        <v>{s_taskTalk,{305,305}}</v>
      </c>
    </row>
    <row r="1562" spans="1:49" s="346" customFormat="1" ht="216" x14ac:dyDescent="0.15">
      <c r="A1562" s="755">
        <v>30308</v>
      </c>
      <c r="C1562" s="346" t="s">
        <v>3317</v>
      </c>
      <c r="D1562" s="346">
        <v>3</v>
      </c>
      <c r="E1562" s="346">
        <v>0</v>
      </c>
      <c r="F1562" s="346">
        <v>5</v>
      </c>
      <c r="G1562" s="347">
        <v>200</v>
      </c>
      <c r="H1562" s="346">
        <v>200</v>
      </c>
      <c r="I1562" s="17">
        <v>0</v>
      </c>
      <c r="J1562" s="347"/>
      <c r="K1562" s="346">
        <v>1</v>
      </c>
      <c r="L1562" s="346">
        <v>305</v>
      </c>
      <c r="M1562" s="346" t="s">
        <v>3320</v>
      </c>
      <c r="N1562" s="346">
        <v>305</v>
      </c>
      <c r="O1562" s="346" t="s">
        <v>5244</v>
      </c>
      <c r="Q1562" s="750"/>
      <c r="R1562" s="750"/>
      <c r="S1562" s="750"/>
      <c r="T1562" s="750"/>
      <c r="U1562" s="346">
        <v>1</v>
      </c>
      <c r="V1562" s="346">
        <v>0</v>
      </c>
      <c r="W1562" s="741"/>
      <c r="Z1562" s="742">
        <v>0</v>
      </c>
      <c r="AB1562" s="751"/>
      <c r="AC1562" s="751"/>
      <c r="AD1562" s="745" t="s">
        <v>7371</v>
      </c>
      <c r="AF1562" s="346" t="s">
        <v>4429</v>
      </c>
      <c r="AG1562" s="346" t="s">
        <v>4091</v>
      </c>
      <c r="AH1562" s="346" t="s">
        <v>3318</v>
      </c>
      <c r="AI1562" s="346" t="s">
        <v>4092</v>
      </c>
      <c r="AJ1562" s="346" t="s">
        <v>6525</v>
      </c>
      <c r="AL1562" s="347">
        <v>0</v>
      </c>
      <c r="AM1562" s="348" t="str">
        <f>"&lt;p&gt;&lt;n&gt;  完成1次运镖后&lt;/n&gt;&lt;newline/&gt;
&lt;n&gt;  回复：&lt;/n&gt;&lt;goto id="""&amp;N1562&amp;""" mapid=""5"" flagpoint=""1"" taskid="""&amp;A1562&amp;"""/&gt;
&lt;/p&gt;"</f>
        <v>&lt;p&gt;&lt;n&gt;  完成1次运镖后&lt;/n&gt;&lt;newline/&gt;
&lt;n&gt;  回复：&lt;/n&gt;&lt;goto id="305" mapid="5" flagpoint="1" taskid="30308"/&gt;
&lt;/p&gt;</v>
      </c>
      <c r="AN1562" s="348" t="str">
        <f t="shared" si="222"/>
        <v>&lt;p&gt;
&lt;n&gt;  交：&lt;/n&gt;&lt;goto id="305" mapid="5" flagpoint="1" taskid="30308"/&gt;
&lt;/p&gt;</v>
      </c>
      <c r="AP1562" s="346">
        <v>0</v>
      </c>
      <c r="AQ1562" s="346">
        <v>0</v>
      </c>
      <c r="AR1562" s="346">
        <v>0</v>
      </c>
      <c r="AS1562" s="346">
        <v>0</v>
      </c>
      <c r="AU1562" s="226">
        <v>0</v>
      </c>
      <c r="AV1562" s="17">
        <f t="shared" si="217"/>
        <v>0</v>
      </c>
      <c r="AW1562" s="346" t="str">
        <f t="shared" si="224"/>
        <v>{s_taskTalk,{305,305}}</v>
      </c>
    </row>
    <row r="1563" spans="1:49" s="346" customFormat="1" ht="216" x14ac:dyDescent="0.15">
      <c r="A1563" s="755">
        <v>30309</v>
      </c>
      <c r="C1563" s="346" t="s">
        <v>3317</v>
      </c>
      <c r="D1563" s="346">
        <v>3</v>
      </c>
      <c r="E1563" s="346">
        <v>0</v>
      </c>
      <c r="F1563" s="346">
        <v>5</v>
      </c>
      <c r="G1563" s="347">
        <v>200</v>
      </c>
      <c r="H1563" s="346">
        <v>200</v>
      </c>
      <c r="I1563" s="17">
        <v>0</v>
      </c>
      <c r="J1563" s="347"/>
      <c r="K1563" s="346">
        <v>1</v>
      </c>
      <c r="L1563" s="346">
        <v>305</v>
      </c>
      <c r="M1563" s="346" t="s">
        <v>3320</v>
      </c>
      <c r="N1563" s="346">
        <v>305</v>
      </c>
      <c r="O1563" s="346" t="s">
        <v>5244</v>
      </c>
      <c r="Q1563" s="750"/>
      <c r="R1563" s="750"/>
      <c r="S1563" s="750"/>
      <c r="T1563" s="750"/>
      <c r="U1563" s="346">
        <v>1</v>
      </c>
      <c r="V1563" s="346">
        <v>0</v>
      </c>
      <c r="W1563" s="741"/>
      <c r="Z1563" s="742">
        <v>0</v>
      </c>
      <c r="AB1563" s="751"/>
      <c r="AC1563" s="751"/>
      <c r="AD1563" s="745" t="s">
        <v>7371</v>
      </c>
      <c r="AF1563" s="346" t="s">
        <v>4430</v>
      </c>
      <c r="AG1563" s="346" t="s">
        <v>4119</v>
      </c>
      <c r="AH1563" s="346" t="s">
        <v>3318</v>
      </c>
      <c r="AI1563" s="346" t="s">
        <v>4120</v>
      </c>
      <c r="AJ1563" s="346" t="s">
        <v>6479</v>
      </c>
      <c r="AL1563" s="347">
        <v>0</v>
      </c>
      <c r="AM1563" s="348" t="str">
        <f>"&lt;p&gt;&lt;n&gt;  完成1次战阵夺营后&lt;/n&gt;&lt;newline/&gt;
&lt;n&gt;  回复：&lt;/n&gt;&lt;goto id="""&amp;N1563&amp;""" mapid=""5"" flagpoint=""1"" taskid="""&amp;A1563&amp;"""/&gt;
&lt;/p&gt;"</f>
        <v>&lt;p&gt;&lt;n&gt;  完成1次战阵夺营后&lt;/n&gt;&lt;newline/&gt;
&lt;n&gt;  回复：&lt;/n&gt;&lt;goto id="305" mapid="5" flagpoint="1" taskid="30309"/&gt;
&lt;/p&gt;</v>
      </c>
      <c r="AN1563" s="348" t="str">
        <f t="shared" si="222"/>
        <v>&lt;p&gt;
&lt;n&gt;  交：&lt;/n&gt;&lt;goto id="305" mapid="5" flagpoint="1" taskid="30309"/&gt;
&lt;/p&gt;</v>
      </c>
      <c r="AP1563" s="346">
        <v>0</v>
      </c>
      <c r="AQ1563" s="346">
        <v>0</v>
      </c>
      <c r="AR1563" s="346">
        <v>0</v>
      </c>
      <c r="AS1563" s="346">
        <v>0</v>
      </c>
      <c r="AU1563" s="226">
        <v>0</v>
      </c>
      <c r="AV1563" s="17">
        <f t="shared" si="217"/>
        <v>0</v>
      </c>
      <c r="AW1563" s="346" t="str">
        <f t="shared" si="224"/>
        <v>{s_taskTalk,{305,305}}</v>
      </c>
    </row>
    <row r="1564" spans="1:49" s="346" customFormat="1" ht="216" x14ac:dyDescent="0.15">
      <c r="A1564" s="755">
        <v>30310</v>
      </c>
      <c r="C1564" s="346" t="s">
        <v>3317</v>
      </c>
      <c r="D1564" s="346">
        <v>3</v>
      </c>
      <c r="E1564" s="346">
        <v>0</v>
      </c>
      <c r="F1564" s="346">
        <v>5</v>
      </c>
      <c r="G1564" s="347">
        <v>200</v>
      </c>
      <c r="H1564" s="346">
        <v>200</v>
      </c>
      <c r="I1564" s="17">
        <v>0</v>
      </c>
      <c r="J1564" s="347"/>
      <c r="K1564" s="346">
        <v>1</v>
      </c>
      <c r="L1564" s="346">
        <v>305</v>
      </c>
      <c r="M1564" s="346" t="s">
        <v>3320</v>
      </c>
      <c r="N1564" s="346">
        <v>305</v>
      </c>
      <c r="O1564" s="346" t="s">
        <v>5244</v>
      </c>
      <c r="Q1564" s="750"/>
      <c r="R1564" s="750"/>
      <c r="S1564" s="750"/>
      <c r="T1564" s="750"/>
      <c r="U1564" s="346">
        <v>1</v>
      </c>
      <c r="V1564" s="346">
        <v>0</v>
      </c>
      <c r="W1564" s="741"/>
      <c r="Z1564" s="742">
        <v>0</v>
      </c>
      <c r="AB1564" s="751"/>
      <c r="AC1564" s="751"/>
      <c r="AD1564" s="745" t="s">
        <v>7371</v>
      </c>
      <c r="AF1564" s="346" t="s">
        <v>4431</v>
      </c>
      <c r="AG1564" s="346" t="s">
        <v>4102</v>
      </c>
      <c r="AH1564" s="346" t="s">
        <v>3318</v>
      </c>
      <c r="AI1564" s="346" t="s">
        <v>4103</v>
      </c>
      <c r="AJ1564" s="346" t="s">
        <v>6526</v>
      </c>
      <c r="AL1564" s="347">
        <v>0</v>
      </c>
      <c r="AM1564" s="348" t="str">
        <f>"&lt;p&gt;&lt;n&gt;  完成1次讨伐逆贼后&lt;/n&gt;&lt;newline/&gt;
&lt;n&gt;  回复：&lt;/n&gt;&lt;goto id="""&amp;N1564&amp;""" mapid=""5"" flagpoint=""1"" taskid="""&amp;A1564&amp;"""/&gt;
&lt;/p&gt;"</f>
        <v>&lt;p&gt;&lt;n&gt;  完成1次讨伐逆贼后&lt;/n&gt;&lt;newline/&gt;
&lt;n&gt;  回复：&lt;/n&gt;&lt;goto id="305" mapid="5" flagpoint="1" taskid="30310"/&gt;
&lt;/p&gt;</v>
      </c>
      <c r="AN1564" s="348" t="str">
        <f t="shared" si="222"/>
        <v>&lt;p&gt;
&lt;n&gt;  交：&lt;/n&gt;&lt;goto id="305" mapid="5" flagpoint="1" taskid="30310"/&gt;
&lt;/p&gt;</v>
      </c>
      <c r="AP1564" s="346">
        <v>0</v>
      </c>
      <c r="AQ1564" s="346">
        <v>0</v>
      </c>
      <c r="AR1564" s="346">
        <v>0</v>
      </c>
      <c r="AS1564" s="346">
        <v>0</v>
      </c>
      <c r="AU1564" s="226">
        <v>0</v>
      </c>
      <c r="AV1564" s="17">
        <f t="shared" si="217"/>
        <v>0</v>
      </c>
      <c r="AW1564" s="346" t="str">
        <f t="shared" si="224"/>
        <v>{s_taskTalk,{305,305}}</v>
      </c>
    </row>
    <row r="1565" spans="1:49" s="346" customFormat="1" ht="180" x14ac:dyDescent="0.15">
      <c r="A1565" s="755">
        <v>30320</v>
      </c>
      <c r="C1565" s="346" t="s">
        <v>3418</v>
      </c>
      <c r="D1565" s="346">
        <v>3</v>
      </c>
      <c r="E1565" s="346">
        <v>0</v>
      </c>
      <c r="F1565" s="346">
        <v>5</v>
      </c>
      <c r="G1565" s="347">
        <v>200</v>
      </c>
      <c r="H1565" s="346">
        <v>200</v>
      </c>
      <c r="I1565" s="17">
        <v>0</v>
      </c>
      <c r="J1565" s="347"/>
      <c r="K1565" s="346">
        <v>1</v>
      </c>
      <c r="L1565" s="346">
        <v>313</v>
      </c>
      <c r="M1565" s="346" t="s">
        <v>3419</v>
      </c>
      <c r="N1565" s="346">
        <v>313</v>
      </c>
      <c r="O1565" s="346" t="s">
        <v>5245</v>
      </c>
      <c r="Q1565" s="750"/>
      <c r="R1565" s="750"/>
      <c r="S1565" s="750"/>
      <c r="T1565" s="750"/>
      <c r="U1565" s="346">
        <v>1</v>
      </c>
      <c r="V1565" s="346">
        <v>0</v>
      </c>
      <c r="W1565" s="741"/>
      <c r="Z1565" s="742">
        <v>0</v>
      </c>
      <c r="AB1565" s="751"/>
      <c r="AC1565" s="751"/>
      <c r="AD1565" s="745"/>
      <c r="AF1565" s="346" t="s">
        <v>4432</v>
      </c>
      <c r="AG1565" s="346" t="s">
        <v>3420</v>
      </c>
      <c r="AH1565" s="346" t="s">
        <v>3420</v>
      </c>
      <c r="AI1565" s="346" t="s">
        <v>3421</v>
      </c>
      <c r="AJ1565" s="346" t="s">
        <v>6527</v>
      </c>
      <c r="AL1565" s="347">
        <v>0</v>
      </c>
      <c r="AM1565" s="348" t="str">
        <f>"&lt;p&gt;
&lt;n&gt;  回复：&lt;/n&gt;&lt;goto id="""&amp;N1565&amp;""" mapid=""5"" flagpoint=""1"" taskid="""&amp;A1565&amp;"""/&gt;
&lt;/p&gt;"</f>
        <v>&lt;p&gt;
&lt;n&gt;  回复：&lt;/n&gt;&lt;goto id="313" mapid="5" flagpoint="1" taskid="30320"/&gt;
&lt;/p&gt;</v>
      </c>
      <c r="AN1565" s="348" t="str">
        <f t="shared" si="222"/>
        <v>&lt;p&gt;
&lt;n&gt;  交：&lt;/n&gt;&lt;goto id="313" mapid="5" flagpoint="1" taskid="30320"/&gt;
&lt;/p&gt;</v>
      </c>
      <c r="AP1565" s="346">
        <v>0</v>
      </c>
      <c r="AQ1565" s="346">
        <v>0</v>
      </c>
      <c r="AR1565" s="346">
        <v>0</v>
      </c>
      <c r="AS1565" s="346">
        <v>0</v>
      </c>
      <c r="AU1565" s="226">
        <v>0</v>
      </c>
      <c r="AV1565" s="17">
        <f t="shared" si="217"/>
        <v>0</v>
      </c>
      <c r="AW1565" s="346" t="str">
        <f>"{s_taskTalk,{"&amp;L1565&amp;","&amp;N1565&amp;"}}"</f>
        <v>{s_taskTalk,{313,313}}</v>
      </c>
    </row>
    <row r="1566" spans="1:49" s="346" customFormat="1" ht="192" x14ac:dyDescent="0.15">
      <c r="A1566" s="755">
        <v>30321</v>
      </c>
      <c r="C1566" s="346" t="s">
        <v>3418</v>
      </c>
      <c r="D1566" s="346">
        <v>3</v>
      </c>
      <c r="E1566" s="346">
        <v>0</v>
      </c>
      <c r="F1566" s="346">
        <v>5</v>
      </c>
      <c r="G1566" s="347">
        <v>200</v>
      </c>
      <c r="H1566" s="346">
        <v>200</v>
      </c>
      <c r="I1566" s="17">
        <v>0</v>
      </c>
      <c r="J1566" s="347"/>
      <c r="K1566" s="346">
        <v>1</v>
      </c>
      <c r="L1566" s="346">
        <v>313</v>
      </c>
      <c r="M1566" s="346" t="s">
        <v>3419</v>
      </c>
      <c r="N1566" s="346">
        <v>313</v>
      </c>
      <c r="O1566" s="346" t="s">
        <v>5245</v>
      </c>
      <c r="Q1566" s="750"/>
      <c r="R1566" s="750"/>
      <c r="S1566" s="750"/>
      <c r="T1566" s="750"/>
      <c r="U1566" s="346">
        <v>1</v>
      </c>
      <c r="V1566" s="346">
        <v>0</v>
      </c>
      <c r="W1566" s="741"/>
      <c r="Z1566" s="742">
        <v>0</v>
      </c>
      <c r="AB1566" s="751"/>
      <c r="AC1566" s="751"/>
      <c r="AD1566" s="745" t="s">
        <v>7372</v>
      </c>
      <c r="AF1566" s="346" t="s">
        <v>4433</v>
      </c>
      <c r="AG1566" s="346" t="s">
        <v>3422</v>
      </c>
      <c r="AH1566" s="346" t="s">
        <v>3423</v>
      </c>
      <c r="AI1566" s="346" t="s">
        <v>3319</v>
      </c>
      <c r="AJ1566" s="346" t="s">
        <v>6518</v>
      </c>
      <c r="AL1566" s="347">
        <v>0</v>
      </c>
      <c r="AM1566" s="348" t="str">
        <f>"&lt;p&gt;&lt;n&gt;  使用1次猎命师手札后&lt;/n&gt;&lt;newline/&gt;
&lt;n&gt;  回复：&lt;/n&gt;&lt;goto id="""&amp;N1566&amp;""" mapid=""5"" flagpoint=""1"" taskid="""&amp;A1566&amp;"""/&gt;
&lt;/p&gt;"</f>
        <v>&lt;p&gt;&lt;n&gt;  使用1次猎命师手札后&lt;/n&gt;&lt;newline/&gt;
&lt;n&gt;  回复：&lt;/n&gt;&lt;goto id="313" mapid="5" flagpoint="1" taskid="30321"/&gt;
&lt;/p&gt;</v>
      </c>
      <c r="AN1566" s="348" t="str">
        <f t="shared" si="222"/>
        <v>&lt;p&gt;
&lt;n&gt;  交：&lt;/n&gt;&lt;goto id="313" mapid="5" flagpoint="1" taskid="30321"/&gt;
&lt;/p&gt;</v>
      </c>
      <c r="AP1566" s="346">
        <v>0</v>
      </c>
      <c r="AQ1566" s="346">
        <v>0</v>
      </c>
      <c r="AR1566" s="346">
        <v>0</v>
      </c>
      <c r="AS1566" s="346">
        <v>0</v>
      </c>
      <c r="AU1566" s="226">
        <v>0</v>
      </c>
      <c r="AV1566" s="17">
        <f t="shared" si="217"/>
        <v>0</v>
      </c>
      <c r="AW1566" s="346" t="str">
        <f>"{s_taskTalk,{"&amp;L1566&amp;","&amp;N1566&amp;"}}"</f>
        <v>{s_taskTalk,{313,313}}</v>
      </c>
    </row>
    <row r="1567" spans="1:49" s="346" customFormat="1" ht="192" x14ac:dyDescent="0.15">
      <c r="A1567" s="755">
        <v>30322</v>
      </c>
      <c r="C1567" s="346" t="s">
        <v>3418</v>
      </c>
      <c r="D1567" s="346">
        <v>3</v>
      </c>
      <c r="E1567" s="346">
        <v>0</v>
      </c>
      <c r="F1567" s="346">
        <v>5</v>
      </c>
      <c r="G1567" s="347">
        <v>200</v>
      </c>
      <c r="H1567" s="346">
        <v>200</v>
      </c>
      <c r="I1567" s="17">
        <v>0</v>
      </c>
      <c r="J1567" s="347"/>
      <c r="K1567" s="346">
        <v>1</v>
      </c>
      <c r="L1567" s="346">
        <v>313</v>
      </c>
      <c r="M1567" s="346" t="s">
        <v>3419</v>
      </c>
      <c r="N1567" s="346">
        <v>313</v>
      </c>
      <c r="O1567" s="346" t="s">
        <v>5245</v>
      </c>
      <c r="Q1567" s="750"/>
      <c r="R1567" s="750"/>
      <c r="S1567" s="750"/>
      <c r="T1567" s="750"/>
      <c r="U1567" s="346">
        <v>1</v>
      </c>
      <c r="V1567" s="346">
        <v>0</v>
      </c>
      <c r="W1567" s="741"/>
      <c r="Z1567" s="742">
        <v>0</v>
      </c>
      <c r="AB1567" s="751"/>
      <c r="AC1567" s="751"/>
      <c r="AD1567" s="745" t="s">
        <v>7372</v>
      </c>
      <c r="AF1567" s="346" t="s">
        <v>4434</v>
      </c>
      <c r="AG1567" s="346" t="s">
        <v>3424</v>
      </c>
      <c r="AH1567" s="346" t="s">
        <v>3423</v>
      </c>
      <c r="AI1567" s="346" t="s">
        <v>3321</v>
      </c>
      <c r="AJ1567" s="346" t="s">
        <v>6519</v>
      </c>
      <c r="AL1567" s="347">
        <v>0</v>
      </c>
      <c r="AM1567" s="348" t="str">
        <f>"&lt;p&gt;&lt;n&gt;  使用1次舞会门票后&lt;/n&gt;&lt;newline/&gt;
&lt;n&gt;  回复：&lt;/n&gt;&lt;goto id="""&amp;N1567&amp;""" mapid=""5"" flagpoint=""1"" taskid="""&amp;A1567&amp;"""/&gt;
&lt;/p&gt;"</f>
        <v>&lt;p&gt;&lt;n&gt;  使用1次舞会门票后&lt;/n&gt;&lt;newline/&gt;
&lt;n&gt;  回复：&lt;/n&gt;&lt;goto id="313" mapid="5" flagpoint="1" taskid="30322"/&gt;
&lt;/p&gt;</v>
      </c>
      <c r="AN1567" s="348" t="str">
        <f t="shared" si="222"/>
        <v>&lt;p&gt;
&lt;n&gt;  交：&lt;/n&gt;&lt;goto id="313" mapid="5" flagpoint="1" taskid="30322"/&gt;
&lt;/p&gt;</v>
      </c>
      <c r="AP1567" s="346">
        <v>0</v>
      </c>
      <c r="AQ1567" s="346">
        <v>0</v>
      </c>
      <c r="AR1567" s="346">
        <v>0</v>
      </c>
      <c r="AS1567" s="346">
        <v>0</v>
      </c>
      <c r="AU1567" s="226">
        <v>0</v>
      </c>
      <c r="AV1567" s="17">
        <f t="shared" si="217"/>
        <v>0</v>
      </c>
      <c r="AW1567" s="346" t="str">
        <f t="shared" ref="AW1567:AW1575" si="225">"{s_taskTalk,{"&amp;L1567&amp;","&amp;N1567&amp;"}}"</f>
        <v>{s_taskTalk,{313,313}}</v>
      </c>
    </row>
    <row r="1568" spans="1:49" s="346" customFormat="1" ht="192" x14ac:dyDescent="0.15">
      <c r="A1568" s="755">
        <v>30323</v>
      </c>
      <c r="C1568" s="346" t="s">
        <v>3418</v>
      </c>
      <c r="D1568" s="346">
        <v>3</v>
      </c>
      <c r="E1568" s="346">
        <v>0</v>
      </c>
      <c r="F1568" s="346">
        <v>5</v>
      </c>
      <c r="G1568" s="347">
        <v>200</v>
      </c>
      <c r="H1568" s="346">
        <v>200</v>
      </c>
      <c r="I1568" s="17">
        <v>0</v>
      </c>
      <c r="J1568" s="347"/>
      <c r="K1568" s="346">
        <v>1</v>
      </c>
      <c r="L1568" s="346">
        <v>313</v>
      </c>
      <c r="M1568" s="346" t="s">
        <v>3419</v>
      </c>
      <c r="N1568" s="346">
        <v>313</v>
      </c>
      <c r="O1568" s="346" t="s">
        <v>5245</v>
      </c>
      <c r="Q1568" s="750"/>
      <c r="R1568" s="750"/>
      <c r="S1568" s="750"/>
      <c r="T1568" s="750"/>
      <c r="U1568" s="346">
        <v>5</v>
      </c>
      <c r="V1568" s="346">
        <v>0</v>
      </c>
      <c r="W1568" s="741"/>
      <c r="Z1568" s="742">
        <v>0</v>
      </c>
      <c r="AB1568" s="751"/>
      <c r="AC1568" s="751"/>
      <c r="AD1568" s="745" t="s">
        <v>7372</v>
      </c>
      <c r="AF1568" s="346" t="s">
        <v>4435</v>
      </c>
      <c r="AG1568" s="346" t="s">
        <v>3425</v>
      </c>
      <c r="AH1568" s="346" t="s">
        <v>3423</v>
      </c>
      <c r="AI1568" s="346" t="s">
        <v>3337</v>
      </c>
      <c r="AJ1568" s="346" t="s">
        <v>6520</v>
      </c>
      <c r="AL1568" s="347">
        <v>0</v>
      </c>
      <c r="AM1568" s="348" t="str">
        <f>"&lt;p&gt;&lt;n&gt;  收集5个矿石(1级)&lt;/n&gt;&lt;newline/&gt;
&lt;n&gt;  回复：&lt;/n&gt;&lt;goto id="""&amp;N1568&amp;""" mapid=""5"" flagpoint=""1"" taskid="""&amp;A1568&amp;"""/&gt;
&lt;/p&gt;"</f>
        <v>&lt;p&gt;&lt;n&gt;  收集5个矿石(1级)&lt;/n&gt;&lt;newline/&gt;
&lt;n&gt;  回复：&lt;/n&gt;&lt;goto id="313" mapid="5" flagpoint="1" taskid="30323"/&gt;
&lt;/p&gt;</v>
      </c>
      <c r="AN1568" s="348" t="str">
        <f t="shared" si="222"/>
        <v>&lt;p&gt;
&lt;n&gt;  交：&lt;/n&gt;&lt;goto id="313" mapid="5" flagpoint="1" taskid="30323"/&gt;
&lt;/p&gt;</v>
      </c>
      <c r="AO1568" s="754" t="s">
        <v>3334</v>
      </c>
      <c r="AP1568" s="346">
        <v>0</v>
      </c>
      <c r="AQ1568" s="346">
        <v>0</v>
      </c>
      <c r="AR1568" s="346">
        <v>0</v>
      </c>
      <c r="AS1568" s="346">
        <v>0</v>
      </c>
      <c r="AU1568" s="226">
        <v>0</v>
      </c>
      <c r="AV1568" s="17">
        <f t="shared" ref="AV1568:AV1633" si="226">IF(D1568 = 1,1,0)</f>
        <v>0</v>
      </c>
      <c r="AW1568" s="346" t="str">
        <f t="shared" si="225"/>
        <v>{s_taskTalk,{313,313}}</v>
      </c>
    </row>
    <row r="1569" spans="1:49" s="346" customFormat="1" ht="192" x14ac:dyDescent="0.15">
      <c r="A1569" s="755">
        <v>30324</v>
      </c>
      <c r="C1569" s="346" t="s">
        <v>3418</v>
      </c>
      <c r="D1569" s="346">
        <v>3</v>
      </c>
      <c r="E1569" s="346">
        <v>0</v>
      </c>
      <c r="F1569" s="346">
        <v>5</v>
      </c>
      <c r="G1569" s="347">
        <v>200</v>
      </c>
      <c r="H1569" s="346">
        <v>200</v>
      </c>
      <c r="I1569" s="17">
        <v>0</v>
      </c>
      <c r="J1569" s="347"/>
      <c r="K1569" s="346">
        <v>1</v>
      </c>
      <c r="L1569" s="346">
        <v>313</v>
      </c>
      <c r="M1569" s="346" t="s">
        <v>3419</v>
      </c>
      <c r="N1569" s="346">
        <v>313</v>
      </c>
      <c r="O1569" s="346" t="s">
        <v>5245</v>
      </c>
      <c r="Q1569" s="750"/>
      <c r="R1569" s="750"/>
      <c r="S1569" s="750"/>
      <c r="T1569" s="750"/>
      <c r="U1569" s="346">
        <v>5</v>
      </c>
      <c r="V1569" s="346">
        <v>0</v>
      </c>
      <c r="W1569" s="741"/>
      <c r="Z1569" s="742">
        <v>0</v>
      </c>
      <c r="AB1569" s="751"/>
      <c r="AC1569" s="751"/>
      <c r="AD1569" s="745" t="s">
        <v>7372</v>
      </c>
      <c r="AF1569" s="346" t="s">
        <v>4436</v>
      </c>
      <c r="AG1569" s="346" t="s">
        <v>3426</v>
      </c>
      <c r="AH1569" s="346" t="s">
        <v>3423</v>
      </c>
      <c r="AI1569" s="346" t="s">
        <v>3336</v>
      </c>
      <c r="AJ1569" s="346" t="s">
        <v>6521</v>
      </c>
      <c r="AL1569" s="347">
        <v>0</v>
      </c>
      <c r="AM1569" s="348" t="str">
        <f>"&lt;p&gt;&lt;n&gt;  收集5个药材(1级)&lt;/n&gt;&lt;newline/&gt;
&lt;n&gt;  回复：&lt;/n&gt;&lt;goto id="""&amp;N1569&amp;""" mapid=""5"" flagpoint=""1"" taskid="""&amp;A1569&amp;"""/&gt;
&lt;/p&gt;"</f>
        <v>&lt;p&gt;&lt;n&gt;  收集5个药材(1级)&lt;/n&gt;&lt;newline/&gt;
&lt;n&gt;  回复：&lt;/n&gt;&lt;goto id="313" mapid="5" flagpoint="1" taskid="30324"/&gt;
&lt;/p&gt;</v>
      </c>
      <c r="AN1569" s="348" t="str">
        <f t="shared" si="222"/>
        <v>&lt;p&gt;
&lt;n&gt;  交：&lt;/n&gt;&lt;goto id="313" mapid="5" flagpoint="1" taskid="30324"/&gt;
&lt;/p&gt;</v>
      </c>
      <c r="AO1569" s="754" t="s">
        <v>3335</v>
      </c>
      <c r="AP1569" s="346">
        <v>0</v>
      </c>
      <c r="AQ1569" s="346">
        <v>0</v>
      </c>
      <c r="AR1569" s="346">
        <v>0</v>
      </c>
      <c r="AS1569" s="346">
        <v>0</v>
      </c>
      <c r="AU1569" s="226">
        <v>0</v>
      </c>
      <c r="AV1569" s="17">
        <f t="shared" si="226"/>
        <v>0</v>
      </c>
      <c r="AW1569" s="346" t="str">
        <f t="shared" si="225"/>
        <v>{s_taskTalk,{313,313}}</v>
      </c>
    </row>
    <row r="1570" spans="1:49" s="346" customFormat="1" ht="192" x14ac:dyDescent="0.15">
      <c r="A1570" s="755">
        <v>30325</v>
      </c>
      <c r="C1570" s="346" t="s">
        <v>3418</v>
      </c>
      <c r="D1570" s="346">
        <v>3</v>
      </c>
      <c r="E1570" s="346">
        <v>0</v>
      </c>
      <c r="F1570" s="346">
        <v>5</v>
      </c>
      <c r="G1570" s="347">
        <v>200</v>
      </c>
      <c r="H1570" s="346">
        <v>200</v>
      </c>
      <c r="I1570" s="17">
        <v>0</v>
      </c>
      <c r="J1570" s="347"/>
      <c r="K1570" s="346">
        <v>1</v>
      </c>
      <c r="L1570" s="346">
        <v>313</v>
      </c>
      <c r="M1570" s="346" t="s">
        <v>3419</v>
      </c>
      <c r="N1570" s="346">
        <v>313</v>
      </c>
      <c r="O1570" s="346" t="s">
        <v>5245</v>
      </c>
      <c r="Q1570" s="750"/>
      <c r="R1570" s="750"/>
      <c r="S1570" s="750"/>
      <c r="T1570" s="750"/>
      <c r="U1570" s="346">
        <v>1</v>
      </c>
      <c r="V1570" s="346">
        <v>0</v>
      </c>
      <c r="W1570" s="741"/>
      <c r="Z1570" s="742">
        <v>0</v>
      </c>
      <c r="AB1570" s="751"/>
      <c r="AC1570" s="751"/>
      <c r="AD1570" s="745" t="s">
        <v>7372</v>
      </c>
      <c r="AF1570" s="346" t="s">
        <v>4491</v>
      </c>
      <c r="AG1570" s="346" t="s">
        <v>3427</v>
      </c>
      <c r="AH1570" s="346" t="s">
        <v>3423</v>
      </c>
      <c r="AI1570" s="346" t="s">
        <v>3326</v>
      </c>
      <c r="AJ1570" s="346" t="s">
        <v>6522</v>
      </c>
      <c r="AL1570" s="347">
        <v>0</v>
      </c>
      <c r="AM1570" s="348" t="str">
        <f>"&lt;p&gt;&lt;n&gt;  收集1个家族养殖水果后&lt;/n&gt;&lt;newline/&gt;
&lt;n&gt;  回复：&lt;/n&gt;&lt;goto id="""&amp;N1570&amp;""" mapid=""5"" flagpoint=""1"" taskid="""&amp;A1570&amp;"""/&gt;
&lt;/p&gt;"</f>
        <v>&lt;p&gt;&lt;n&gt;  收集1个家族养殖水果后&lt;/n&gt;&lt;newline/&gt;
&lt;n&gt;  回复：&lt;/n&gt;&lt;goto id="313" mapid="5" flagpoint="1" taskid="30325"/&gt;
&lt;/p&gt;</v>
      </c>
      <c r="AN1570" s="348" t="str">
        <f t="shared" si="222"/>
        <v>&lt;p&gt;
&lt;n&gt;  交：&lt;/n&gt;&lt;goto id="313" mapid="5" flagpoint="1" taskid="30325"/&gt;
&lt;/p&gt;</v>
      </c>
      <c r="AO1570" s="754" t="s">
        <v>3325</v>
      </c>
      <c r="AP1570" s="346">
        <v>0</v>
      </c>
      <c r="AQ1570" s="346">
        <v>0</v>
      </c>
      <c r="AR1570" s="346">
        <v>0</v>
      </c>
      <c r="AS1570" s="346">
        <v>0</v>
      </c>
      <c r="AU1570" s="226">
        <v>0</v>
      </c>
      <c r="AV1570" s="17">
        <f t="shared" si="226"/>
        <v>0</v>
      </c>
      <c r="AW1570" s="346" t="str">
        <f t="shared" si="225"/>
        <v>{s_taskTalk,{313,313}}</v>
      </c>
    </row>
    <row r="1571" spans="1:49" s="346" customFormat="1" ht="192" x14ac:dyDescent="0.15">
      <c r="A1571" s="755">
        <v>30326</v>
      </c>
      <c r="C1571" s="346" t="s">
        <v>3418</v>
      </c>
      <c r="D1571" s="346">
        <v>3</v>
      </c>
      <c r="E1571" s="346">
        <v>0</v>
      </c>
      <c r="F1571" s="346">
        <v>5</v>
      </c>
      <c r="G1571" s="347">
        <v>200</v>
      </c>
      <c r="H1571" s="346">
        <v>200</v>
      </c>
      <c r="I1571" s="17">
        <v>0</v>
      </c>
      <c r="J1571" s="347"/>
      <c r="K1571" s="346">
        <v>1</v>
      </c>
      <c r="L1571" s="346">
        <v>313</v>
      </c>
      <c r="M1571" s="346" t="s">
        <v>3419</v>
      </c>
      <c r="N1571" s="346">
        <v>313</v>
      </c>
      <c r="O1571" s="346" t="s">
        <v>5245</v>
      </c>
      <c r="Q1571" s="750"/>
      <c r="R1571" s="750"/>
      <c r="S1571" s="750"/>
      <c r="T1571" s="750"/>
      <c r="U1571" s="346">
        <v>1</v>
      </c>
      <c r="V1571" s="346">
        <v>0</v>
      </c>
      <c r="W1571" s="741"/>
      <c r="Z1571" s="742">
        <v>0</v>
      </c>
      <c r="AB1571" s="751"/>
      <c r="AC1571" s="751"/>
      <c r="AD1571" s="745" t="s">
        <v>7372</v>
      </c>
      <c r="AF1571" s="346" t="s">
        <v>4437</v>
      </c>
      <c r="AG1571" s="346" t="s">
        <v>3428</v>
      </c>
      <c r="AH1571" s="346" t="s">
        <v>3423</v>
      </c>
      <c r="AI1571" s="346" t="s">
        <v>3323</v>
      </c>
      <c r="AJ1571" s="346" t="s">
        <v>6523</v>
      </c>
      <c r="AL1571" s="347">
        <v>0</v>
      </c>
      <c r="AM1571" s="348" t="str">
        <f>"&lt;p&gt;&lt;n&gt;  杀：1个贪财小妖后&lt;/n&gt;&lt;newline/&gt;
&lt;n&gt;  回复：&lt;/n&gt;&lt;goto id="""&amp;N1571&amp;""" mapid=""5"" flagpoint=""1"" taskid="""&amp;A1571&amp;"""/&gt;
&lt;/p&gt;"</f>
        <v>&lt;p&gt;&lt;n&gt;  杀：1个贪财小妖后&lt;/n&gt;&lt;newline/&gt;
&lt;n&gt;  回复：&lt;/n&gt;&lt;goto id="313" mapid="5" flagpoint="1" taskid="30326"/&gt;
&lt;/p&gt;</v>
      </c>
      <c r="AN1571" s="348" t="str">
        <f t="shared" si="222"/>
        <v>&lt;p&gt;
&lt;n&gt;  交：&lt;/n&gt;&lt;goto id="313" mapid="5" flagpoint="1" taskid="30326"/&gt;
&lt;/p&gt;</v>
      </c>
      <c r="AP1571" s="346">
        <v>0</v>
      </c>
      <c r="AQ1571" s="346">
        <v>0</v>
      </c>
      <c r="AR1571" s="346">
        <v>0</v>
      </c>
      <c r="AS1571" s="346">
        <v>0</v>
      </c>
      <c r="AU1571" s="226">
        <v>0</v>
      </c>
      <c r="AV1571" s="17">
        <f t="shared" si="226"/>
        <v>0</v>
      </c>
      <c r="AW1571" s="346" t="str">
        <f t="shared" si="225"/>
        <v>{s_taskTalk,{313,313}}</v>
      </c>
    </row>
    <row r="1572" spans="1:49" s="346" customFormat="1" ht="192" x14ac:dyDescent="0.15">
      <c r="A1572" s="755">
        <v>30327</v>
      </c>
      <c r="C1572" s="346" t="s">
        <v>3418</v>
      </c>
      <c r="D1572" s="346">
        <v>3</v>
      </c>
      <c r="E1572" s="346">
        <v>0</v>
      </c>
      <c r="F1572" s="346">
        <v>5</v>
      </c>
      <c r="G1572" s="347">
        <v>200</v>
      </c>
      <c r="H1572" s="346">
        <v>200</v>
      </c>
      <c r="I1572" s="17">
        <v>0</v>
      </c>
      <c r="J1572" s="347"/>
      <c r="K1572" s="346">
        <v>1</v>
      </c>
      <c r="L1572" s="346">
        <v>313</v>
      </c>
      <c r="M1572" s="346" t="s">
        <v>3419</v>
      </c>
      <c r="N1572" s="346">
        <v>313</v>
      </c>
      <c r="O1572" s="346" t="s">
        <v>5245</v>
      </c>
      <c r="Q1572" s="750"/>
      <c r="R1572" s="750"/>
      <c r="S1572" s="750"/>
      <c r="T1572" s="750"/>
      <c r="U1572" s="346">
        <v>1</v>
      </c>
      <c r="V1572" s="346">
        <v>0</v>
      </c>
      <c r="W1572" s="741"/>
      <c r="Z1572" s="742">
        <v>0</v>
      </c>
      <c r="AB1572" s="751"/>
      <c r="AC1572" s="751"/>
      <c r="AD1572" s="745" t="s">
        <v>7372</v>
      </c>
      <c r="AF1572" s="346" t="s">
        <v>4438</v>
      </c>
      <c r="AG1572" s="346" t="s">
        <v>3429</v>
      </c>
      <c r="AH1572" s="346" t="s">
        <v>3423</v>
      </c>
      <c r="AI1572" s="346" t="s">
        <v>3324</v>
      </c>
      <c r="AJ1572" s="346" t="s">
        <v>6524</v>
      </c>
      <c r="AL1572" s="347">
        <v>0</v>
      </c>
      <c r="AM1572" s="348" t="str">
        <f>"&lt;p&gt;&lt;n&gt;  完成1次情报任务后&lt;/n&gt;&lt;newline/&gt;
&lt;n&gt;  回复：&lt;/n&gt;&lt;goto id="""&amp;N1572&amp;""" mapid=""5"" flagpoint=""1"" taskid="""&amp;A1572&amp;"""/&gt;
&lt;/p&gt;"</f>
        <v>&lt;p&gt;&lt;n&gt;  完成1次情报任务后&lt;/n&gt;&lt;newline/&gt;
&lt;n&gt;  回复：&lt;/n&gt;&lt;goto id="313" mapid="5" flagpoint="1" taskid="30327"/&gt;
&lt;/p&gt;</v>
      </c>
      <c r="AN1572" s="348" t="str">
        <f t="shared" si="222"/>
        <v>&lt;p&gt;
&lt;n&gt;  交：&lt;/n&gt;&lt;goto id="313" mapid="5" flagpoint="1" taskid="30327"/&gt;
&lt;/p&gt;</v>
      </c>
      <c r="AP1572" s="346">
        <v>0</v>
      </c>
      <c r="AQ1572" s="346">
        <v>0</v>
      </c>
      <c r="AR1572" s="346">
        <v>0</v>
      </c>
      <c r="AS1572" s="346">
        <v>0</v>
      </c>
      <c r="AU1572" s="226">
        <v>0</v>
      </c>
      <c r="AV1572" s="17">
        <f t="shared" si="226"/>
        <v>0</v>
      </c>
      <c r="AW1572" s="346" t="str">
        <f t="shared" si="225"/>
        <v>{s_taskTalk,{313,313}}</v>
      </c>
    </row>
    <row r="1573" spans="1:49" s="346" customFormat="1" ht="204" x14ac:dyDescent="0.15">
      <c r="A1573" s="755">
        <v>30328</v>
      </c>
      <c r="C1573" s="346" t="s">
        <v>3418</v>
      </c>
      <c r="D1573" s="346">
        <v>3</v>
      </c>
      <c r="E1573" s="346">
        <v>0</v>
      </c>
      <c r="F1573" s="346">
        <v>5</v>
      </c>
      <c r="G1573" s="347">
        <v>200</v>
      </c>
      <c r="H1573" s="346">
        <v>200</v>
      </c>
      <c r="I1573" s="17">
        <v>0</v>
      </c>
      <c r="J1573" s="347"/>
      <c r="K1573" s="346">
        <v>1</v>
      </c>
      <c r="L1573" s="346">
        <v>313</v>
      </c>
      <c r="M1573" s="346" t="s">
        <v>3419</v>
      </c>
      <c r="N1573" s="346">
        <v>313</v>
      </c>
      <c r="O1573" s="346" t="s">
        <v>5245</v>
      </c>
      <c r="Q1573" s="750"/>
      <c r="R1573" s="750"/>
      <c r="S1573" s="750"/>
      <c r="T1573" s="750"/>
      <c r="U1573" s="346">
        <v>1</v>
      </c>
      <c r="V1573" s="346">
        <v>0</v>
      </c>
      <c r="W1573" s="741"/>
      <c r="Z1573" s="742">
        <v>0</v>
      </c>
      <c r="AB1573" s="751"/>
      <c r="AC1573" s="751"/>
      <c r="AD1573" s="745" t="s">
        <v>7372</v>
      </c>
      <c r="AF1573" s="346" t="s">
        <v>4439</v>
      </c>
      <c r="AG1573" s="346" t="s">
        <v>4093</v>
      </c>
      <c r="AH1573" s="346" t="s">
        <v>3423</v>
      </c>
      <c r="AI1573" s="346" t="s">
        <v>4092</v>
      </c>
      <c r="AJ1573" s="346" t="s">
        <v>6525</v>
      </c>
      <c r="AL1573" s="347">
        <v>0</v>
      </c>
      <c r="AM1573" s="348" t="str">
        <f>"&lt;p&gt;&lt;n&gt;  完成1次运镖后&lt;/n&gt;&lt;newline/&gt;
&lt;n&gt;  回复：&lt;/n&gt;&lt;goto id="""&amp;N1573&amp;""" mapid=""5"" flagpoint=""1"" taskid="""&amp;A1573&amp;"""/&gt;
&lt;/p&gt;"</f>
        <v>&lt;p&gt;&lt;n&gt;  完成1次运镖后&lt;/n&gt;&lt;newline/&gt;
&lt;n&gt;  回复：&lt;/n&gt;&lt;goto id="313" mapid="5" flagpoint="1" taskid="30328"/&gt;
&lt;/p&gt;</v>
      </c>
      <c r="AN1573" s="348" t="str">
        <f t="shared" si="222"/>
        <v>&lt;p&gt;
&lt;n&gt;  交：&lt;/n&gt;&lt;goto id="313" mapid="5" flagpoint="1" taskid="30328"/&gt;
&lt;/p&gt;</v>
      </c>
      <c r="AP1573" s="346">
        <v>0</v>
      </c>
      <c r="AQ1573" s="346">
        <v>0</v>
      </c>
      <c r="AR1573" s="346">
        <v>0</v>
      </c>
      <c r="AS1573" s="346">
        <v>0</v>
      </c>
      <c r="AU1573" s="226">
        <v>0</v>
      </c>
      <c r="AV1573" s="17">
        <f t="shared" si="226"/>
        <v>0</v>
      </c>
      <c r="AW1573" s="346" t="str">
        <f t="shared" si="225"/>
        <v>{s_taskTalk,{313,313}}</v>
      </c>
    </row>
    <row r="1574" spans="1:49" s="346" customFormat="1" ht="204" x14ac:dyDescent="0.15">
      <c r="A1574" s="755">
        <v>30329</v>
      </c>
      <c r="C1574" s="346" t="s">
        <v>3418</v>
      </c>
      <c r="D1574" s="346">
        <v>3</v>
      </c>
      <c r="E1574" s="346">
        <v>0</v>
      </c>
      <c r="F1574" s="346">
        <v>5</v>
      </c>
      <c r="G1574" s="347">
        <v>200</v>
      </c>
      <c r="H1574" s="346">
        <v>200</v>
      </c>
      <c r="I1574" s="17">
        <v>0</v>
      </c>
      <c r="J1574" s="347"/>
      <c r="K1574" s="346">
        <v>1</v>
      </c>
      <c r="L1574" s="346">
        <v>313</v>
      </c>
      <c r="M1574" s="346" t="s">
        <v>3419</v>
      </c>
      <c r="N1574" s="346">
        <v>313</v>
      </c>
      <c r="O1574" s="346" t="s">
        <v>5245</v>
      </c>
      <c r="Q1574" s="750"/>
      <c r="R1574" s="750"/>
      <c r="S1574" s="750"/>
      <c r="T1574" s="750"/>
      <c r="U1574" s="346">
        <v>1</v>
      </c>
      <c r="V1574" s="346">
        <v>0</v>
      </c>
      <c r="W1574" s="741"/>
      <c r="Z1574" s="742">
        <v>0</v>
      </c>
      <c r="AB1574" s="751"/>
      <c r="AC1574" s="751"/>
      <c r="AD1574" s="745" t="s">
        <v>7372</v>
      </c>
      <c r="AF1574" s="346" t="s">
        <v>4440</v>
      </c>
      <c r="AG1574" s="346" t="s">
        <v>4121</v>
      </c>
      <c r="AH1574" s="346" t="s">
        <v>3423</v>
      </c>
      <c r="AI1574" s="346" t="s">
        <v>4120</v>
      </c>
      <c r="AJ1574" s="346" t="s">
        <v>6479</v>
      </c>
      <c r="AL1574" s="347">
        <v>0</v>
      </c>
      <c r="AM1574" s="348" t="str">
        <f>"&lt;p&gt;&lt;n&gt;  完成1次战阵夺营后&lt;/n&gt;&lt;newline/&gt;
&lt;n&gt;  回复：&lt;/n&gt;&lt;goto id="""&amp;N1574&amp;""" mapid=""5"" flagpoint=""1"" taskid="""&amp;A1574&amp;"""/&gt;
&lt;/p&gt;"</f>
        <v>&lt;p&gt;&lt;n&gt;  完成1次战阵夺营后&lt;/n&gt;&lt;newline/&gt;
&lt;n&gt;  回复：&lt;/n&gt;&lt;goto id="313" mapid="5" flagpoint="1" taskid="30329"/&gt;
&lt;/p&gt;</v>
      </c>
      <c r="AN1574" s="348" t="str">
        <f t="shared" si="222"/>
        <v>&lt;p&gt;
&lt;n&gt;  交：&lt;/n&gt;&lt;goto id="313" mapid="5" flagpoint="1" taskid="30329"/&gt;
&lt;/p&gt;</v>
      </c>
      <c r="AP1574" s="346">
        <v>0</v>
      </c>
      <c r="AQ1574" s="346">
        <v>0</v>
      </c>
      <c r="AR1574" s="346">
        <v>0</v>
      </c>
      <c r="AS1574" s="346">
        <v>0</v>
      </c>
      <c r="AU1574" s="226">
        <v>0</v>
      </c>
      <c r="AV1574" s="17">
        <f t="shared" si="226"/>
        <v>0</v>
      </c>
      <c r="AW1574" s="346" t="str">
        <f t="shared" si="225"/>
        <v>{s_taskTalk,{313,313}}</v>
      </c>
    </row>
    <row r="1575" spans="1:49" s="346" customFormat="1" ht="204" x14ac:dyDescent="0.15">
      <c r="A1575" s="755">
        <v>30330</v>
      </c>
      <c r="C1575" s="346" t="s">
        <v>3418</v>
      </c>
      <c r="D1575" s="346">
        <v>3</v>
      </c>
      <c r="E1575" s="346">
        <v>0</v>
      </c>
      <c r="F1575" s="346">
        <v>5</v>
      </c>
      <c r="G1575" s="347">
        <v>200</v>
      </c>
      <c r="H1575" s="346">
        <v>200</v>
      </c>
      <c r="I1575" s="17">
        <v>0</v>
      </c>
      <c r="J1575" s="347"/>
      <c r="K1575" s="346">
        <v>1</v>
      </c>
      <c r="L1575" s="346">
        <v>313</v>
      </c>
      <c r="M1575" s="346" t="s">
        <v>3419</v>
      </c>
      <c r="N1575" s="346">
        <v>313</v>
      </c>
      <c r="O1575" s="346" t="s">
        <v>5245</v>
      </c>
      <c r="Q1575" s="750"/>
      <c r="R1575" s="750"/>
      <c r="S1575" s="750"/>
      <c r="T1575" s="750"/>
      <c r="U1575" s="346">
        <v>1</v>
      </c>
      <c r="V1575" s="346">
        <v>0</v>
      </c>
      <c r="W1575" s="741"/>
      <c r="Z1575" s="742">
        <v>0</v>
      </c>
      <c r="AB1575" s="751"/>
      <c r="AC1575" s="751"/>
      <c r="AD1575" s="745" t="s">
        <v>7372</v>
      </c>
      <c r="AF1575" s="346" t="s">
        <v>4441</v>
      </c>
      <c r="AG1575" s="346" t="s">
        <v>4104</v>
      </c>
      <c r="AH1575" s="346" t="s">
        <v>3423</v>
      </c>
      <c r="AI1575" s="346" t="s">
        <v>4103</v>
      </c>
      <c r="AJ1575" s="346" t="s">
        <v>6526</v>
      </c>
      <c r="AL1575" s="347">
        <v>0</v>
      </c>
      <c r="AM1575" s="348" t="str">
        <f>"&lt;p&gt;&lt;n&gt;  完成1次讨伐逆贼后&lt;/n&gt;&lt;newline/&gt;
&lt;n&gt;  回复：&lt;/n&gt;&lt;goto id="""&amp;N1575&amp;""" mapid=""5"" flagpoint=""1"" taskid="""&amp;A1575&amp;"""/&gt;
&lt;/p&gt;"</f>
        <v>&lt;p&gt;&lt;n&gt;  完成1次讨伐逆贼后&lt;/n&gt;&lt;newline/&gt;
&lt;n&gt;  回复：&lt;/n&gt;&lt;goto id="313" mapid="5" flagpoint="1" taskid="30330"/&gt;
&lt;/p&gt;</v>
      </c>
      <c r="AN1575" s="348" t="str">
        <f t="shared" si="222"/>
        <v>&lt;p&gt;
&lt;n&gt;  交：&lt;/n&gt;&lt;goto id="313" mapid="5" flagpoint="1" taskid="30330"/&gt;
&lt;/p&gt;</v>
      </c>
      <c r="AP1575" s="346">
        <v>0</v>
      </c>
      <c r="AQ1575" s="346">
        <v>0</v>
      </c>
      <c r="AR1575" s="346">
        <v>0</v>
      </c>
      <c r="AS1575" s="346">
        <v>0</v>
      </c>
      <c r="AU1575" s="226">
        <v>0</v>
      </c>
      <c r="AV1575" s="17">
        <f t="shared" si="226"/>
        <v>0</v>
      </c>
      <c r="AW1575" s="346" t="str">
        <f t="shared" si="225"/>
        <v>{s_taskTalk,{313,313}}</v>
      </c>
    </row>
    <row r="1576" spans="1:49" s="348" customFormat="1" ht="156" x14ac:dyDescent="0.15">
      <c r="A1576" s="737">
        <v>30331</v>
      </c>
      <c r="C1576" s="348" t="s">
        <v>3502</v>
      </c>
      <c r="D1576" s="348">
        <v>3</v>
      </c>
      <c r="E1576" s="348">
        <v>0</v>
      </c>
      <c r="F1576" s="348">
        <v>3</v>
      </c>
      <c r="G1576" s="739">
        <v>200</v>
      </c>
      <c r="H1576" s="738">
        <v>200</v>
      </c>
      <c r="I1576" s="17">
        <v>0</v>
      </c>
      <c r="J1576" s="739"/>
      <c r="K1576" s="738">
        <v>1</v>
      </c>
      <c r="L1576" s="738">
        <v>320</v>
      </c>
      <c r="M1576" s="738" t="s">
        <v>3498</v>
      </c>
      <c r="N1576" s="738">
        <v>320</v>
      </c>
      <c r="O1576" s="738" t="s">
        <v>5246</v>
      </c>
      <c r="Q1576" s="750"/>
      <c r="R1576" s="750"/>
      <c r="S1576" s="750"/>
      <c r="T1576" s="750"/>
      <c r="U1576" s="348">
        <v>1</v>
      </c>
      <c r="V1576" s="348">
        <v>1</v>
      </c>
      <c r="W1576" s="741"/>
      <c r="Z1576" s="742"/>
      <c r="AB1576" s="751"/>
      <c r="AC1576" s="752"/>
      <c r="AD1576" s="745"/>
      <c r="AE1576" s="745"/>
      <c r="AF1576" s="753" t="s">
        <v>3515</v>
      </c>
      <c r="AG1576" s="753" t="s">
        <v>3517</v>
      </c>
      <c r="AH1576" s="753" t="s">
        <v>3501</v>
      </c>
      <c r="AI1576" s="753" t="s">
        <v>3499</v>
      </c>
      <c r="AJ1576" s="753" t="s">
        <v>6528</v>
      </c>
      <c r="AL1576" s="739">
        <v>0</v>
      </c>
      <c r="AM1576" s="348" t="s">
        <v>3500</v>
      </c>
      <c r="AN1576" s="348" t="s">
        <v>6071</v>
      </c>
      <c r="AO1576" s="754" t="s">
        <v>2833</v>
      </c>
      <c r="AP1576" s="348">
        <v>1</v>
      </c>
      <c r="AQ1576" s="348">
        <v>0</v>
      </c>
      <c r="AR1576" s="348">
        <v>0</v>
      </c>
      <c r="AS1576" s="348">
        <v>0</v>
      </c>
      <c r="AU1576" s="226">
        <v>0</v>
      </c>
      <c r="AV1576" s="17">
        <f t="shared" si="226"/>
        <v>0</v>
      </c>
      <c r="AW1576" s="346" t="str">
        <f>"{s_taskTalk,{"&amp;L1576&amp;","&amp;N1576&amp;"}}"</f>
        <v>{s_taskTalk,{320,320}}</v>
      </c>
    </row>
    <row r="1577" spans="1:49" s="758" customFormat="1" ht="168" x14ac:dyDescent="0.15">
      <c r="A1577" s="755">
        <v>30332</v>
      </c>
      <c r="B1577" s="346"/>
      <c r="C1577" s="346" t="s">
        <v>3516</v>
      </c>
      <c r="D1577" s="346">
        <v>3</v>
      </c>
      <c r="E1577" s="346">
        <v>0</v>
      </c>
      <c r="F1577" s="346">
        <v>5</v>
      </c>
      <c r="G1577" s="347">
        <v>200</v>
      </c>
      <c r="H1577" s="346">
        <v>200</v>
      </c>
      <c r="I1577" s="17">
        <v>0</v>
      </c>
      <c r="J1577" s="347">
        <v>0</v>
      </c>
      <c r="K1577" s="346">
        <v>2</v>
      </c>
      <c r="L1577" s="738">
        <v>320</v>
      </c>
      <c r="M1577" s="738" t="s">
        <v>3498</v>
      </c>
      <c r="N1577" s="738">
        <v>320</v>
      </c>
      <c r="O1577" s="738" t="s">
        <v>5246</v>
      </c>
      <c r="P1577" s="346"/>
      <c r="Q1577" s="750"/>
      <c r="R1577" s="756"/>
      <c r="S1577" s="750"/>
      <c r="T1577" s="750">
        <v>31541</v>
      </c>
      <c r="U1577" s="346">
        <v>1</v>
      </c>
      <c r="V1577" s="346">
        <v>0</v>
      </c>
      <c r="W1577" s="346"/>
      <c r="X1577" s="346"/>
      <c r="Y1577" s="346"/>
      <c r="Z1577" s="742">
        <v>0</v>
      </c>
      <c r="AA1577" s="346"/>
      <c r="AB1577" s="751"/>
      <c r="AC1577" s="751"/>
      <c r="AD1577" s="745" t="s">
        <v>7373</v>
      </c>
      <c r="AE1577" s="346"/>
      <c r="AF1577" s="346" t="s">
        <v>4131</v>
      </c>
      <c r="AG1577" s="346" t="s">
        <v>3503</v>
      </c>
      <c r="AH1577" s="346" t="s">
        <v>3299</v>
      </c>
      <c r="AI1577" s="346" t="s">
        <v>4132</v>
      </c>
      <c r="AJ1577" s="346" t="s">
        <v>6529</v>
      </c>
      <c r="AK1577" s="757"/>
      <c r="AL1577" s="347">
        <v>0</v>
      </c>
      <c r="AM1577" s="348" t="str">
        <f>"&lt;p&gt;&lt;n&gt;  前往：&lt;/n&gt;&lt;goto id=""230"" mapid=""5"" flagpoint=""1"" /&gt;&lt;newline/&gt;
&lt;n&gt;  完成情缘任务任务，获取1个七夕的祝福&lt;/n&gt;&lt;newline/&gt;
&lt;n&gt;  回复：&lt;/n&gt;&lt;goto id="""&amp;N1577&amp;""" mapid=""5"" flagpoint=""1"" taskid="""&amp;A1577&amp;"""/&gt;
&lt;/p&gt;"</f>
        <v>&lt;p&gt;&lt;n&gt;  前往：&lt;/n&gt;&lt;goto id="230" mapid="5" flagpoint="1" /&gt;&lt;newline/&gt;
&lt;n&gt;  完成情缘任务任务，获取1个七夕的祝福&lt;/n&gt;&lt;newline/&gt;
&lt;n&gt;  回复：&lt;/n&gt;&lt;goto id="320" mapid="5" flagpoint="1" taskid="30332"/&gt;
&lt;/p&gt;</v>
      </c>
      <c r="AN1577" s="348" t="str">
        <f>"&lt;p&gt;
&lt;n&gt;  交：&lt;/n&gt;&lt;goto id="""&amp;N1577&amp;""" mapid=""5"" flagpoint=""1"" taskid="""&amp;A1577&amp;"""/&gt;
&lt;/p&gt;"</f>
        <v>&lt;p&gt;
&lt;n&gt;  交：&lt;/n&gt;&lt;goto id="320" mapid="5" flagpoint="1" taskid="30332"/&gt;
&lt;/p&gt;</v>
      </c>
      <c r="AO1577" s="754" t="s">
        <v>3504</v>
      </c>
      <c r="AP1577" s="346">
        <v>1</v>
      </c>
      <c r="AQ1577" s="346">
        <v>0</v>
      </c>
      <c r="AR1577" s="346">
        <v>0</v>
      </c>
      <c r="AS1577" s="346">
        <v>0</v>
      </c>
      <c r="AT1577" s="346">
        <v>0</v>
      </c>
      <c r="AU1577" s="226">
        <v>0</v>
      </c>
      <c r="AV1577" s="17">
        <f t="shared" si="226"/>
        <v>0</v>
      </c>
      <c r="AW1577" s="346" t="str">
        <f>"{s_taskCustom,{"&amp;L1577&amp;","&amp;N1577&amp;","&amp;U1577&amp;","&amp;V1577&amp;"}}"</f>
        <v>{s_taskCustom,{320,320,1,0}}</v>
      </c>
    </row>
    <row r="1578" spans="1:49" s="346" customFormat="1" ht="144" x14ac:dyDescent="0.15">
      <c r="A1578" s="755">
        <v>30333</v>
      </c>
      <c r="C1578" s="346" t="s">
        <v>3505</v>
      </c>
      <c r="D1578" s="346">
        <v>3</v>
      </c>
      <c r="E1578" s="346">
        <v>0</v>
      </c>
      <c r="F1578" s="346">
        <v>5</v>
      </c>
      <c r="G1578" s="347">
        <v>200</v>
      </c>
      <c r="H1578" s="346">
        <v>200</v>
      </c>
      <c r="I1578" s="17">
        <v>0</v>
      </c>
      <c r="J1578" s="347"/>
      <c r="K1578" s="346">
        <v>1</v>
      </c>
      <c r="L1578" s="738">
        <v>320</v>
      </c>
      <c r="M1578" s="738" t="s">
        <v>3498</v>
      </c>
      <c r="N1578" s="738">
        <v>198</v>
      </c>
      <c r="O1578" s="738" t="s">
        <v>5215</v>
      </c>
      <c r="Q1578" s="750"/>
      <c r="R1578" s="750"/>
      <c r="S1578" s="750"/>
      <c r="T1578" s="750"/>
      <c r="U1578" s="346">
        <v>1</v>
      </c>
      <c r="V1578" s="346">
        <v>1</v>
      </c>
      <c r="W1578" s="741"/>
      <c r="Z1578" s="742">
        <v>0</v>
      </c>
      <c r="AB1578" s="751"/>
      <c r="AC1578" s="751"/>
      <c r="AD1578" s="745"/>
      <c r="AF1578" s="346" t="str">
        <f>"title("&amp;C1578&amp;")
body(hotyellow_3(任务进程:)newline()
   活动期间，情侣关系的玩家，可前往goto(198,3)处免费领取1次“织女的祝福”礼盒。newline()
hot(※恋人系统※说明)newline()
1.等级达到30级的玩家可以结为恋人。newline()
2. 互为好友的玩家组队寻找恋爱管理丘比特办理手续。newline()
3. 目前暂不支持异国和相同性别的恋爱……newline()
4.等级达到41级可前往婚礼殿堂领取小幸福、小甜蜜任务。
)"</f>
        <v>title([七夕]金风玉露一相逢)
body(hotyellow_3(任务进程:)newline()
   活动期间，情侣关系的玩家，可前往goto(198,3)处免费领取1次“织女的祝福”礼盒。newline()
hot(※恋人系统※说明)newline()
1.等级达到30级的玩家可以结为恋人。newline()
2. 互为好友的玩家组队寻找恋爱管理丘比特办理手续。newline()
3. 目前暂不支持异国和相同性别的恋爱……newline()
4.等级达到41级可前往婚礼殿堂领取小幸福、小甜蜜任务。
)</v>
      </c>
      <c r="AG1578" s="346" t="s">
        <v>7374</v>
      </c>
      <c r="AH1578" s="346" t="s">
        <v>3506</v>
      </c>
      <c r="AI1578" s="346" t="s">
        <v>3507</v>
      </c>
      <c r="AJ1578" s="346" t="s">
        <v>6530</v>
      </c>
      <c r="AL1578" s="347">
        <v>0</v>
      </c>
      <c r="AM1578" s="348" t="str">
        <f>"&lt;p&gt;
&lt;n&gt;  回复：&lt;/n&gt;&lt;goto id="""&amp;N1578&amp;""" mapid=""5"" flagpoint=""1"" taskid="""&amp;A1578&amp;"""/&gt;
&lt;/p&gt;"</f>
        <v>&lt;p&gt;
&lt;n&gt;  回复：&lt;/n&gt;&lt;goto id="198" mapid="5" flagpoint="1" taskid="30333"/&gt;
&lt;/p&gt;</v>
      </c>
      <c r="AN1578" s="348" t="str">
        <f>"&lt;p&gt;
&lt;n&gt;  交：&lt;/n&gt;&lt;goto id="""&amp;N1578&amp;""" mapid=""5"" flagpoint=""1"" taskid="""&amp;A1578&amp;"""/&gt;
&lt;/p&gt;"</f>
        <v>&lt;p&gt;
&lt;n&gt;  交：&lt;/n&gt;&lt;goto id="198" mapid="5" flagpoint="1" taskid="30333"/&gt;
&lt;/p&gt;</v>
      </c>
      <c r="AP1578" s="346">
        <v>1</v>
      </c>
      <c r="AQ1578" s="346">
        <v>0</v>
      </c>
      <c r="AR1578" s="346">
        <v>0</v>
      </c>
      <c r="AS1578" s="346">
        <v>0</v>
      </c>
      <c r="AU1578" s="226">
        <v>0</v>
      </c>
      <c r="AV1578" s="17">
        <f t="shared" si="226"/>
        <v>0</v>
      </c>
      <c r="AW1578" s="346" t="str">
        <f>"{s_taskTalk,{"&amp;L1578&amp;","&amp;N1578&amp;"}}"</f>
        <v>{s_taskTalk,{320,198}}</v>
      </c>
    </row>
    <row r="1579" spans="1:49" s="346" customFormat="1" ht="180" x14ac:dyDescent="0.15">
      <c r="A1579" s="755">
        <v>30334</v>
      </c>
      <c r="C1579" s="346" t="s">
        <v>3508</v>
      </c>
      <c r="D1579" s="346">
        <v>3</v>
      </c>
      <c r="E1579" s="346">
        <v>0</v>
      </c>
      <c r="F1579" s="346">
        <v>5</v>
      </c>
      <c r="G1579" s="347">
        <v>200</v>
      </c>
      <c r="H1579" s="346">
        <v>200</v>
      </c>
      <c r="I1579" s="17">
        <v>0</v>
      </c>
      <c r="J1579" s="347"/>
      <c r="K1579" s="346">
        <v>1</v>
      </c>
      <c r="L1579" s="738">
        <v>320</v>
      </c>
      <c r="M1579" s="738" t="s">
        <v>3498</v>
      </c>
      <c r="N1579" s="738">
        <v>199</v>
      </c>
      <c r="O1579" s="738" t="s">
        <v>5216</v>
      </c>
      <c r="Q1579" s="750"/>
      <c r="R1579" s="750"/>
      <c r="S1579" s="750"/>
      <c r="T1579" s="750"/>
      <c r="U1579" s="346">
        <v>1</v>
      </c>
      <c r="V1579" s="346">
        <v>1</v>
      </c>
      <c r="W1579" s="741"/>
      <c r="Z1579" s="742">
        <v>0</v>
      </c>
      <c r="AB1579" s="751"/>
      <c r="AC1579" s="751"/>
      <c r="AD1579" s="745"/>
      <c r="AF1579" s="346" t="s">
        <v>3514</v>
      </c>
      <c r="AG1579" s="346" t="s">
        <v>3513</v>
      </c>
      <c r="AH1579" s="346" t="s">
        <v>3510</v>
      </c>
      <c r="AI1579" s="346" t="s">
        <v>3509</v>
      </c>
      <c r="AJ1579" s="346" t="s">
        <v>6531</v>
      </c>
      <c r="AL1579" s="347">
        <v>0</v>
      </c>
      <c r="AM1579" s="348" t="str">
        <f>"&lt;p&gt;&lt;n&gt;  通过：&lt;/n&gt;&lt;goto id=""198"" mapid=""5"" flagpoint=""1"" /&gt;&lt;newline/&gt;
&lt;n&gt;  进入婚礼殿堂回复：&lt;/n&gt;&lt;newline/&gt;&lt;goto id="""&amp;N1579&amp;""" mapid=""156"" flagpoint=""1"" taskid="""&amp;A1579&amp;"""/&gt;
&lt;/p&gt;"</f>
        <v>&lt;p&gt;&lt;n&gt;  通过：&lt;/n&gt;&lt;goto id="198" mapid="5" flagpoint="1" /&gt;&lt;newline/&gt;
&lt;n&gt;  进入婚礼殿堂回复：&lt;/n&gt;&lt;newline/&gt;&lt;goto id="199" mapid="156" flagpoint="1" taskid="30334"/&gt;
&lt;/p&gt;</v>
      </c>
      <c r="AN1579" s="348" t="str">
        <f>"&lt;p&gt;&lt;n&gt;  通过：&lt;/n&gt;&lt;goto id=""198"" mapid=""5"" flagpoint=""1"" /&gt;&lt;newline/&gt;
&lt;n&gt;  进入婚礼殿堂交：&lt;/n&gt;&lt;newline/&gt;&lt;goto id="""&amp;N1579&amp;""" mapid=""5"" flagpoint=""1"" taskid="""&amp;A1579&amp;"""/&gt;
&lt;/p&gt;"</f>
        <v>&lt;p&gt;&lt;n&gt;  通过：&lt;/n&gt;&lt;goto id="198" mapid="5" flagpoint="1" /&gt;&lt;newline/&gt;
&lt;n&gt;  进入婚礼殿堂交：&lt;/n&gt;&lt;newline/&gt;&lt;goto id="199" mapid="5" flagpoint="1" taskid="30334"/&gt;
&lt;/p&gt;</v>
      </c>
      <c r="AP1579" s="346">
        <v>1</v>
      </c>
      <c r="AQ1579" s="346">
        <v>0</v>
      </c>
      <c r="AR1579" s="346">
        <v>0</v>
      </c>
      <c r="AS1579" s="346">
        <v>0</v>
      </c>
      <c r="AU1579" s="226">
        <v>0</v>
      </c>
      <c r="AV1579" s="17">
        <f t="shared" si="226"/>
        <v>0</v>
      </c>
      <c r="AW1579" s="346" t="str">
        <f>"{s_taskTalk,{"&amp;L1579&amp;","&amp;N1579&amp;"}}"</f>
        <v>{s_taskTalk,{320,199}}</v>
      </c>
    </row>
    <row r="1580" spans="1:49" s="758" customFormat="1" ht="120" x14ac:dyDescent="0.15">
      <c r="A1580" s="755">
        <v>30400</v>
      </c>
      <c r="B1580" s="346"/>
      <c r="C1580" s="346" t="s">
        <v>8749</v>
      </c>
      <c r="D1580" s="346">
        <v>3</v>
      </c>
      <c r="E1580" s="346">
        <v>0</v>
      </c>
      <c r="F1580" s="346">
        <v>5</v>
      </c>
      <c r="G1580" s="347">
        <v>61</v>
      </c>
      <c r="H1580" s="346">
        <v>200</v>
      </c>
      <c r="I1580" s="17">
        <v>0</v>
      </c>
      <c r="J1580" s="347"/>
      <c r="K1580" s="346">
        <v>1</v>
      </c>
      <c r="L1580" s="346">
        <v>0</v>
      </c>
      <c r="M1580" s="346"/>
      <c r="N1580" s="346">
        <v>535</v>
      </c>
      <c r="O1580" s="346"/>
      <c r="P1580" s="346"/>
      <c r="Q1580" s="750"/>
      <c r="R1580" s="756"/>
      <c r="S1580" s="750"/>
      <c r="T1580" s="750">
        <v>31653</v>
      </c>
      <c r="U1580" s="346">
        <v>1</v>
      </c>
      <c r="V1580" s="346">
        <v>0</v>
      </c>
      <c r="W1580" s="346"/>
      <c r="X1580" s="346"/>
      <c r="Y1580" s="346"/>
      <c r="Z1580" s="742">
        <v>0</v>
      </c>
      <c r="AA1580" s="346"/>
      <c r="AB1580" s="751"/>
      <c r="AC1580" s="751"/>
      <c r="AD1580" s="745"/>
      <c r="AE1580" s="745"/>
      <c r="AF1580" s="556" t="str">
        <f>"title("&amp;C1580&amp;")
body(hotyellow_3(任务进程:)newline()
   我的萌萌参加三国赛马后就没有回来。newline()
   周郎派人四处寻找，只找到萌萌的马绳盒。newline()
   space()space()space()player()，请根据马绳的线索尽快寻找萌萌吧。newline()
blankline()
   space()space()space()hot2(找到萌萌后,千万不要忘记交给goto(535,5)哦！))"</f>
        <v>title([日常]寻找萌萌)
body(hotyellow_3(任务进程:)newline()
   我的萌萌参加三国赛马后就没有回来。newline()
   周郎派人四处寻找，只找到萌萌的马绳盒。newline()
   space()space()space()player()，请根据马绳的线索尽快寻找萌萌吧。newline()
blankline()
   space()space()space()hot2(找到萌萌后,千万不要忘记交给goto(535,5)哦！))</v>
      </c>
      <c r="AG1580" s="346" t="s">
        <v>3406</v>
      </c>
      <c r="AH1580" s="346" t="s">
        <v>8992</v>
      </c>
      <c r="AI1580" s="346" t="s">
        <v>8993</v>
      </c>
      <c r="AJ1580" s="556" t="s">
        <v>9025</v>
      </c>
      <c r="AK1580" s="757"/>
      <c r="AL1580" s="347">
        <v>0</v>
      </c>
      <c r="AM1580" s="348" t="s">
        <v>8994</v>
      </c>
      <c r="AN1580" s="348" t="s">
        <v>8754</v>
      </c>
      <c r="AO1580" s="346"/>
      <c r="AP1580" s="346">
        <v>0</v>
      </c>
      <c r="AQ1580" s="346">
        <v>0</v>
      </c>
      <c r="AR1580" s="346">
        <v>0</v>
      </c>
      <c r="AS1580" s="346">
        <v>0</v>
      </c>
      <c r="AT1580" s="346">
        <v>0</v>
      </c>
      <c r="AU1580" s="226">
        <v>0</v>
      </c>
      <c r="AV1580" s="17">
        <f t="shared" si="226"/>
        <v>0</v>
      </c>
      <c r="AW1580" s="346" t="str">
        <f>"{s_taskGather,{"&amp;L1580&amp;","&amp;N1580&amp;","&amp;T1580&amp;","&amp;U1580&amp;",0,0}}"</f>
        <v>{s_taskGather,{0,535,31653,1,0,0}}</v>
      </c>
    </row>
    <row r="1581" spans="1:49" s="758" customFormat="1" ht="108" x14ac:dyDescent="0.15">
      <c r="A1581" s="755">
        <v>30401</v>
      </c>
      <c r="B1581" s="346"/>
      <c r="C1581" s="346" t="s">
        <v>8749</v>
      </c>
      <c r="D1581" s="346">
        <v>3</v>
      </c>
      <c r="E1581" s="346">
        <v>0</v>
      </c>
      <c r="F1581" s="346">
        <v>1</v>
      </c>
      <c r="G1581" s="347">
        <v>200</v>
      </c>
      <c r="H1581" s="346">
        <v>200</v>
      </c>
      <c r="I1581" s="17">
        <v>0</v>
      </c>
      <c r="J1581" s="347"/>
      <c r="K1581" s="346">
        <v>1</v>
      </c>
      <c r="L1581" s="346">
        <v>535</v>
      </c>
      <c r="M1581" s="346" t="s">
        <v>8750</v>
      </c>
      <c r="N1581" s="346">
        <v>0</v>
      </c>
      <c r="O1581" s="346" t="s">
        <v>8750</v>
      </c>
      <c r="P1581" s="346"/>
      <c r="Q1581" s="750"/>
      <c r="R1581" s="756"/>
      <c r="S1581" s="750"/>
      <c r="T1581" s="750">
        <v>31653</v>
      </c>
      <c r="U1581" s="346">
        <v>1</v>
      </c>
      <c r="V1581" s="346">
        <v>0</v>
      </c>
      <c r="W1581" s="346"/>
      <c r="X1581" s="346"/>
      <c r="Y1581" s="346"/>
      <c r="Z1581" s="742">
        <v>0</v>
      </c>
      <c r="AA1581" s="346"/>
      <c r="AB1581" s="751"/>
      <c r="AC1581" s="751"/>
      <c r="AD1581" s="745"/>
      <c r="AE1581" s="745"/>
      <c r="AF1581" s="556" t="str">
        <f>"title("&amp;C1581&amp;")
body(hotyellow_3(任务进程:)newline()
   我的萌萌参加三国赛马后就没有回来。newline()
   周郎派人四处寻找，只找到萌萌的马绳盒。newline()
   space()space()space()player()，请根据马绳的线索尽快寻找萌萌吧。newline()
blankline()
   space()space()space()hot2(找到萌萌后,千万不要忘记交给goto(535,5)哦！))"</f>
        <v>title([日常]寻找萌萌)
body(hotyellow_3(任务进程:)newline()
   我的萌萌参加三国赛马后就没有回来。newline()
   周郎派人四处寻找，只找到萌萌的马绳盒。newline()
   space()space()space()player()，请根据马绳的线索尽快寻找萌萌吧。newline()
blankline()
   space()space()space()hot2(找到萌萌后,千万不要忘记交给goto(535,5)哦！))</v>
      </c>
      <c r="AG1581" s="346" t="s">
        <v>3406</v>
      </c>
      <c r="AH1581" s="346" t="s">
        <v>7375</v>
      </c>
      <c r="AI1581" s="346" t="s">
        <v>3413</v>
      </c>
      <c r="AJ1581" s="556" t="s">
        <v>8751</v>
      </c>
      <c r="AK1581" s="757"/>
      <c r="AL1581" s="347">
        <v>0</v>
      </c>
      <c r="AM1581" s="348" t="s">
        <v>8752</v>
      </c>
      <c r="AN1581" s="348" t="s">
        <v>8755</v>
      </c>
      <c r="AO1581" s="346"/>
      <c r="AP1581" s="346">
        <v>0</v>
      </c>
      <c r="AQ1581" s="346">
        <v>0</v>
      </c>
      <c r="AR1581" s="346">
        <v>0</v>
      </c>
      <c r="AS1581" s="346">
        <v>0</v>
      </c>
      <c r="AT1581" s="346">
        <v>0</v>
      </c>
      <c r="AU1581" s="226">
        <v>0</v>
      </c>
      <c r="AV1581" s="17">
        <f t="shared" si="226"/>
        <v>0</v>
      </c>
      <c r="AW1581" s="346" t="str">
        <f>"{s_taskGather,{"&amp;L1581&amp;","&amp;N1581&amp;","&amp;T1581&amp;","&amp;U1581&amp;",0,0}}"</f>
        <v>{s_taskGather,{535,0,31653,1,0,0}}</v>
      </c>
    </row>
    <row r="1582" spans="1:49" s="758" customFormat="1" ht="108.75" thickBot="1" x14ac:dyDescent="0.2">
      <c r="A1582" s="755">
        <v>30402</v>
      </c>
      <c r="B1582" s="346"/>
      <c r="C1582" s="346" t="s">
        <v>8749</v>
      </c>
      <c r="D1582" s="346">
        <v>3</v>
      </c>
      <c r="E1582" s="346">
        <v>0</v>
      </c>
      <c r="F1582" s="346">
        <v>1</v>
      </c>
      <c r="G1582" s="347">
        <v>200</v>
      </c>
      <c r="H1582" s="346">
        <v>200</v>
      </c>
      <c r="I1582" s="17">
        <v>0</v>
      </c>
      <c r="J1582" s="347"/>
      <c r="K1582" s="346">
        <v>1</v>
      </c>
      <c r="L1582" s="346">
        <v>535</v>
      </c>
      <c r="M1582" s="346" t="s">
        <v>8750</v>
      </c>
      <c r="N1582" s="346">
        <v>0</v>
      </c>
      <c r="O1582" s="346" t="s">
        <v>8750</v>
      </c>
      <c r="P1582" s="346"/>
      <c r="Q1582" s="750"/>
      <c r="R1582" s="756"/>
      <c r="S1582" s="750"/>
      <c r="T1582" s="750">
        <v>31653</v>
      </c>
      <c r="U1582" s="346">
        <v>1</v>
      </c>
      <c r="V1582" s="346">
        <v>0</v>
      </c>
      <c r="W1582" s="346"/>
      <c r="X1582" s="346"/>
      <c r="Y1582" s="346"/>
      <c r="Z1582" s="742">
        <v>0</v>
      </c>
      <c r="AA1582" s="346"/>
      <c r="AB1582" s="751"/>
      <c r="AC1582" s="751"/>
      <c r="AD1582" s="745"/>
      <c r="AE1582" s="745"/>
      <c r="AF1582" s="556" t="str">
        <f>"title("&amp;C1582&amp;")
body(hotyellow_3(任务进程:)newline()
   我的萌萌参加三国赛马后就没有回来。newline()
   周郎派人四处寻找，只找到萌萌的马绳盒。newline()
   space()space()space()player()，请根据马绳的线索尽快寻找萌萌吧。newline()
blankline()
   space()space()space()hot2(找到萌萌后,千万不要忘记交给goto(535,5)哦！))"</f>
        <v>title([日常]寻找萌萌)
body(hotyellow_3(任务进程:)newline()
   我的萌萌参加三国赛马后就没有回来。newline()
   周郎派人四处寻找，只找到萌萌的马绳盒。newline()
   space()space()space()player()，请根据马绳的线索尽快寻找萌萌吧。newline()
blankline()
   space()space()space()hot2(找到萌萌后,千万不要忘记交给goto(535,5)哦！))</v>
      </c>
      <c r="AG1582" s="346" t="s">
        <v>3406</v>
      </c>
      <c r="AH1582" s="346" t="s">
        <v>7375</v>
      </c>
      <c r="AI1582" s="346" t="s">
        <v>3413</v>
      </c>
      <c r="AJ1582" s="556" t="s">
        <v>8751</v>
      </c>
      <c r="AK1582" s="757"/>
      <c r="AL1582" s="347">
        <v>0</v>
      </c>
      <c r="AM1582" s="348" t="s">
        <v>8753</v>
      </c>
      <c r="AN1582" s="348" t="s">
        <v>8756</v>
      </c>
      <c r="AO1582" s="346"/>
      <c r="AP1582" s="346">
        <v>0</v>
      </c>
      <c r="AQ1582" s="346">
        <v>0</v>
      </c>
      <c r="AR1582" s="346">
        <v>0</v>
      </c>
      <c r="AS1582" s="346">
        <v>0</v>
      </c>
      <c r="AT1582" s="346">
        <v>0</v>
      </c>
      <c r="AU1582" s="226">
        <v>0</v>
      </c>
      <c r="AV1582" s="17">
        <f t="shared" si="226"/>
        <v>0</v>
      </c>
      <c r="AW1582" s="346" t="str">
        <f>"{s_taskGather,{"&amp;L1582&amp;","&amp;N1582&amp;","&amp;T1582&amp;","&amp;U1582&amp;",0,0}}"</f>
        <v>{s_taskGather,{535,0,31653,1,0,0}}</v>
      </c>
    </row>
    <row r="1583" spans="1:49" s="769" customFormat="1" ht="108.75" thickBot="1" x14ac:dyDescent="0.2">
      <c r="A1583" s="759">
        <v>30405</v>
      </c>
      <c r="B1583" s="760" t="s">
        <v>171</v>
      </c>
      <c r="C1583" s="760" t="s">
        <v>3593</v>
      </c>
      <c r="D1583" s="761">
        <v>3</v>
      </c>
      <c r="E1583" s="761">
        <v>0</v>
      </c>
      <c r="F1583" s="760">
        <v>8</v>
      </c>
      <c r="G1583" s="890">
        <v>70</v>
      </c>
      <c r="H1583" s="760">
        <v>200</v>
      </c>
      <c r="I1583" s="17">
        <v>0</v>
      </c>
      <c r="J1583" s="762">
        <v>0</v>
      </c>
      <c r="K1583" s="760">
        <v>3</v>
      </c>
      <c r="L1583" s="760">
        <v>60886</v>
      </c>
      <c r="M1583" s="760" t="s">
        <v>3594</v>
      </c>
      <c r="N1583" s="760">
        <v>60887</v>
      </c>
      <c r="O1583" s="760" t="s">
        <v>5247</v>
      </c>
      <c r="P1583" s="760"/>
      <c r="Q1583" s="763"/>
      <c r="R1583" s="763">
        <v>60909</v>
      </c>
      <c r="S1583" s="763"/>
      <c r="T1583" s="763"/>
      <c r="U1583" s="760">
        <v>1</v>
      </c>
      <c r="V1583" s="760">
        <v>1</v>
      </c>
      <c r="W1583" s="760"/>
      <c r="X1583" s="760"/>
      <c r="Y1583" s="760"/>
      <c r="Z1583" s="764">
        <v>0</v>
      </c>
      <c r="AA1583" s="760"/>
      <c r="AB1583" s="765"/>
      <c r="AC1583" s="765"/>
      <c r="AD1583" s="766"/>
      <c r="AE1583" s="760"/>
      <c r="AF1583" s="767" t="s">
        <v>3621</v>
      </c>
      <c r="AG1583" s="768" t="s">
        <v>3595</v>
      </c>
      <c r="AH1583" s="768" t="s">
        <v>3596</v>
      </c>
      <c r="AI1583" s="767" t="s">
        <v>3622</v>
      </c>
      <c r="AJ1583" s="767" t="s">
        <v>6532</v>
      </c>
      <c r="AL1583" s="770">
        <v>0</v>
      </c>
      <c r="AM1583" s="767" t="s">
        <v>3620</v>
      </c>
      <c r="AN1583" s="767" t="s">
        <v>3620</v>
      </c>
      <c r="AO1583" s="767"/>
      <c r="AP1583" s="767">
        <v>0</v>
      </c>
      <c r="AQ1583" s="767">
        <v>0</v>
      </c>
      <c r="AR1583" s="767">
        <v>0</v>
      </c>
      <c r="AS1583" s="767">
        <v>0</v>
      </c>
      <c r="AU1583" s="346">
        <v>0</v>
      </c>
      <c r="AV1583" s="17">
        <f t="shared" si="226"/>
        <v>0</v>
      </c>
      <c r="AW1583" s="346" t="str">
        <f>"{s_taskGuard,{"&amp;L1583&amp;","&amp;N1583&amp;","&amp;R1583&amp;"}}"</f>
        <v>{s_taskGuard,{60886,60887,60909}}</v>
      </c>
    </row>
    <row r="1584" spans="1:49" s="769" customFormat="1" ht="12.75" thickBot="1" x14ac:dyDescent="0.2">
      <c r="A1584" s="759">
        <v>30406</v>
      </c>
      <c r="B1584" s="760" t="s">
        <v>171</v>
      </c>
      <c r="C1584" s="760" t="s">
        <v>3683</v>
      </c>
      <c r="D1584" s="761">
        <v>3</v>
      </c>
      <c r="E1584" s="761">
        <v>0</v>
      </c>
      <c r="F1584" s="760">
        <v>5</v>
      </c>
      <c r="G1584" s="890">
        <v>200</v>
      </c>
      <c r="H1584" s="760">
        <v>200</v>
      </c>
      <c r="I1584" s="17">
        <v>0</v>
      </c>
      <c r="J1584" s="762">
        <v>0</v>
      </c>
      <c r="K1584" s="760">
        <v>3</v>
      </c>
      <c r="L1584" s="760">
        <v>0</v>
      </c>
      <c r="M1584" s="760" t="s">
        <v>3681</v>
      </c>
      <c r="N1584" s="760">
        <v>0</v>
      </c>
      <c r="O1584" s="760" t="s">
        <v>5248</v>
      </c>
      <c r="P1584" s="760"/>
      <c r="Q1584" s="763"/>
      <c r="R1584" s="763"/>
      <c r="S1584" s="763"/>
      <c r="T1584" s="763"/>
      <c r="U1584" s="760">
        <v>0</v>
      </c>
      <c r="V1584" s="760">
        <v>1</v>
      </c>
      <c r="W1584" s="760"/>
      <c r="X1584" s="760"/>
      <c r="Y1584" s="760"/>
      <c r="Z1584" s="764">
        <v>0</v>
      </c>
      <c r="AA1584" s="760"/>
      <c r="AB1584" s="765"/>
      <c r="AC1584" s="765"/>
      <c r="AD1584" s="766"/>
      <c r="AE1584" s="760"/>
      <c r="AF1584" s="767"/>
      <c r="AG1584" s="768"/>
      <c r="AH1584" s="768"/>
      <c r="AI1584" s="767"/>
      <c r="AJ1584" s="767"/>
      <c r="AL1584" s="770">
        <v>0</v>
      </c>
      <c r="AM1584" s="767"/>
      <c r="AN1584" s="767"/>
      <c r="AO1584" s="767"/>
      <c r="AP1584" s="767">
        <v>0</v>
      </c>
      <c r="AQ1584" s="767">
        <v>0</v>
      </c>
      <c r="AR1584" s="767">
        <v>0</v>
      </c>
      <c r="AS1584" s="767">
        <v>0</v>
      </c>
      <c r="AU1584" s="346">
        <v>0</v>
      </c>
      <c r="AV1584" s="17">
        <f t="shared" si="226"/>
        <v>0</v>
      </c>
      <c r="AW1584" s="346" t="str">
        <f>"{s_taskCustom,{"&amp;L1584&amp;","&amp;N1584&amp;","&amp;U1584&amp;","&amp;V1584&amp;"}}"</f>
        <v>{s_taskCustom,{0,0,0,1}}</v>
      </c>
    </row>
    <row r="1585" spans="1:49" s="769" customFormat="1" ht="12.75" thickBot="1" x14ac:dyDescent="0.2">
      <c r="A1585" s="759">
        <v>30407</v>
      </c>
      <c r="B1585" s="760" t="s">
        <v>171</v>
      </c>
      <c r="C1585" s="760" t="s">
        <v>3683</v>
      </c>
      <c r="D1585" s="761">
        <v>3</v>
      </c>
      <c r="E1585" s="761">
        <v>0</v>
      </c>
      <c r="F1585" s="760">
        <v>5</v>
      </c>
      <c r="G1585" s="890">
        <v>200</v>
      </c>
      <c r="H1585" s="760">
        <v>200</v>
      </c>
      <c r="I1585" s="17">
        <v>0</v>
      </c>
      <c r="J1585" s="762">
        <v>0</v>
      </c>
      <c r="K1585" s="760">
        <v>3</v>
      </c>
      <c r="L1585" s="760">
        <v>0</v>
      </c>
      <c r="M1585" s="760" t="s">
        <v>3681</v>
      </c>
      <c r="N1585" s="760">
        <v>0</v>
      </c>
      <c r="O1585" s="760" t="s">
        <v>5248</v>
      </c>
      <c r="P1585" s="760"/>
      <c r="Q1585" s="763"/>
      <c r="R1585" s="763"/>
      <c r="S1585" s="763"/>
      <c r="T1585" s="763"/>
      <c r="U1585" s="760">
        <v>0</v>
      </c>
      <c r="V1585" s="760">
        <v>1</v>
      </c>
      <c r="W1585" s="760"/>
      <c r="X1585" s="760"/>
      <c r="Y1585" s="760"/>
      <c r="Z1585" s="764">
        <v>0</v>
      </c>
      <c r="AA1585" s="760"/>
      <c r="AB1585" s="765"/>
      <c r="AC1585" s="765"/>
      <c r="AD1585" s="766"/>
      <c r="AE1585" s="760"/>
      <c r="AF1585" s="767"/>
      <c r="AG1585" s="768"/>
      <c r="AH1585" s="768"/>
      <c r="AI1585" s="767"/>
      <c r="AJ1585" s="767"/>
      <c r="AL1585" s="770">
        <v>0</v>
      </c>
      <c r="AM1585" s="767"/>
      <c r="AN1585" s="767"/>
      <c r="AO1585" s="767"/>
      <c r="AP1585" s="767">
        <v>0</v>
      </c>
      <c r="AQ1585" s="767">
        <v>0</v>
      </c>
      <c r="AR1585" s="767">
        <v>0</v>
      </c>
      <c r="AS1585" s="767">
        <v>0</v>
      </c>
      <c r="AU1585" s="346">
        <v>0</v>
      </c>
      <c r="AV1585" s="17">
        <f t="shared" si="226"/>
        <v>0</v>
      </c>
      <c r="AW1585" s="346" t="str">
        <f>"{s_taskCustom,{"&amp;L1585&amp;","&amp;N1585&amp;","&amp;U1585&amp;","&amp;V1585&amp;"}}"</f>
        <v>{s_taskCustom,{0,0,0,1}}</v>
      </c>
    </row>
    <row r="1586" spans="1:49" s="769" customFormat="1" ht="12.75" thickBot="1" x14ac:dyDescent="0.2">
      <c r="A1586" s="759">
        <v>30408</v>
      </c>
      <c r="B1586" s="760" t="s">
        <v>171</v>
      </c>
      <c r="C1586" s="760" t="s">
        <v>3683</v>
      </c>
      <c r="D1586" s="761">
        <v>3</v>
      </c>
      <c r="E1586" s="761">
        <v>0</v>
      </c>
      <c r="F1586" s="760">
        <v>5</v>
      </c>
      <c r="G1586" s="890">
        <v>200</v>
      </c>
      <c r="H1586" s="760">
        <v>200</v>
      </c>
      <c r="I1586" s="17">
        <v>0</v>
      </c>
      <c r="J1586" s="762">
        <v>0</v>
      </c>
      <c r="K1586" s="760">
        <v>3</v>
      </c>
      <c r="L1586" s="760">
        <v>0</v>
      </c>
      <c r="M1586" s="760" t="s">
        <v>3681</v>
      </c>
      <c r="N1586" s="760">
        <v>0</v>
      </c>
      <c r="O1586" s="760" t="s">
        <v>5248</v>
      </c>
      <c r="P1586" s="760"/>
      <c r="Q1586" s="763"/>
      <c r="R1586" s="763"/>
      <c r="S1586" s="763"/>
      <c r="T1586" s="763"/>
      <c r="U1586" s="760">
        <v>0</v>
      </c>
      <c r="V1586" s="760">
        <v>1</v>
      </c>
      <c r="W1586" s="760"/>
      <c r="X1586" s="760"/>
      <c r="Y1586" s="760"/>
      <c r="Z1586" s="764">
        <v>0</v>
      </c>
      <c r="AA1586" s="760"/>
      <c r="AB1586" s="765"/>
      <c r="AC1586" s="765"/>
      <c r="AD1586" s="766"/>
      <c r="AE1586" s="760"/>
      <c r="AF1586" s="767"/>
      <c r="AG1586" s="768"/>
      <c r="AH1586" s="768"/>
      <c r="AI1586" s="767"/>
      <c r="AJ1586" s="767"/>
      <c r="AL1586" s="770">
        <v>0</v>
      </c>
      <c r="AM1586" s="767"/>
      <c r="AN1586" s="767"/>
      <c r="AO1586" s="767"/>
      <c r="AP1586" s="767">
        <v>0</v>
      </c>
      <c r="AQ1586" s="767">
        <v>0</v>
      </c>
      <c r="AR1586" s="767">
        <v>0</v>
      </c>
      <c r="AS1586" s="767">
        <v>0</v>
      </c>
      <c r="AU1586" s="346">
        <v>0</v>
      </c>
      <c r="AV1586" s="17">
        <f t="shared" si="226"/>
        <v>0</v>
      </c>
      <c r="AW1586" s="346" t="str">
        <f>"{s_taskCustom,{"&amp;L1586&amp;","&amp;N1586&amp;","&amp;U1586&amp;","&amp;V1586&amp;"}}"</f>
        <v>{s_taskCustom,{0,0,0,1}}</v>
      </c>
    </row>
    <row r="1587" spans="1:49" s="769" customFormat="1" ht="12.75" thickBot="1" x14ac:dyDescent="0.2">
      <c r="A1587" s="759">
        <v>30409</v>
      </c>
      <c r="B1587" s="760" t="s">
        <v>171</v>
      </c>
      <c r="C1587" s="760" t="s">
        <v>3683</v>
      </c>
      <c r="D1587" s="761">
        <v>3</v>
      </c>
      <c r="E1587" s="761">
        <v>0</v>
      </c>
      <c r="F1587" s="760">
        <v>5</v>
      </c>
      <c r="G1587" s="890">
        <v>200</v>
      </c>
      <c r="H1587" s="760">
        <v>200</v>
      </c>
      <c r="I1587" s="17">
        <v>0</v>
      </c>
      <c r="J1587" s="762">
        <v>0</v>
      </c>
      <c r="K1587" s="760">
        <v>3</v>
      </c>
      <c r="L1587" s="760">
        <v>0</v>
      </c>
      <c r="M1587" s="760" t="s">
        <v>3681</v>
      </c>
      <c r="N1587" s="760">
        <v>0</v>
      </c>
      <c r="O1587" s="760" t="s">
        <v>5248</v>
      </c>
      <c r="P1587" s="760"/>
      <c r="Q1587" s="763"/>
      <c r="R1587" s="763"/>
      <c r="S1587" s="763"/>
      <c r="T1587" s="763"/>
      <c r="U1587" s="760">
        <v>0</v>
      </c>
      <c r="V1587" s="760">
        <v>1</v>
      </c>
      <c r="W1587" s="760"/>
      <c r="X1587" s="760"/>
      <c r="Y1587" s="760"/>
      <c r="Z1587" s="764">
        <v>0</v>
      </c>
      <c r="AA1587" s="760"/>
      <c r="AB1587" s="765"/>
      <c r="AC1587" s="765"/>
      <c r="AD1587" s="766"/>
      <c r="AE1587" s="760"/>
      <c r="AF1587" s="767"/>
      <c r="AG1587" s="768"/>
      <c r="AH1587" s="768"/>
      <c r="AI1587" s="767"/>
      <c r="AJ1587" s="767"/>
      <c r="AL1587" s="770">
        <v>0</v>
      </c>
      <c r="AM1587" s="767"/>
      <c r="AN1587" s="767"/>
      <c r="AO1587" s="767"/>
      <c r="AP1587" s="767">
        <v>0</v>
      </c>
      <c r="AQ1587" s="767">
        <v>0</v>
      </c>
      <c r="AR1587" s="767">
        <v>0</v>
      </c>
      <c r="AS1587" s="767">
        <v>0</v>
      </c>
      <c r="AU1587" s="346">
        <v>0</v>
      </c>
      <c r="AV1587" s="17">
        <f t="shared" si="226"/>
        <v>0</v>
      </c>
      <c r="AW1587" s="346" t="str">
        <f>"{s_taskCustom,{"&amp;L1587&amp;","&amp;N1587&amp;","&amp;U1587&amp;","&amp;V1587&amp;"}}"</f>
        <v>{s_taskCustom,{0,0,0,1}}</v>
      </c>
    </row>
    <row r="1588" spans="1:49" s="769" customFormat="1" ht="132" x14ac:dyDescent="0.15">
      <c r="A1588" s="149">
        <v>30419</v>
      </c>
      <c r="B1588" s="226"/>
      <c r="C1588" s="226" t="s">
        <v>6599</v>
      </c>
      <c r="D1588" s="226">
        <v>3</v>
      </c>
      <c r="E1588" s="226">
        <v>0</v>
      </c>
      <c r="F1588" s="226">
        <v>8</v>
      </c>
      <c r="G1588" s="234">
        <v>81</v>
      </c>
      <c r="H1588" s="226">
        <v>200</v>
      </c>
      <c r="I1588" s="50">
        <v>0</v>
      </c>
      <c r="J1588" s="226">
        <v>0</v>
      </c>
      <c r="K1588" s="226">
        <v>1</v>
      </c>
      <c r="L1588" s="226">
        <v>0</v>
      </c>
      <c r="M1588" s="226" t="s">
        <v>6600</v>
      </c>
      <c r="N1588" s="226">
        <v>0</v>
      </c>
      <c r="O1588" s="226" t="s">
        <v>6601</v>
      </c>
      <c r="P1588" s="771"/>
      <c r="Q1588" s="772"/>
      <c r="R1588" s="773"/>
      <c r="S1588" s="772"/>
      <c r="T1588" s="772"/>
      <c r="U1588" s="226">
        <v>1</v>
      </c>
      <c r="V1588" s="226">
        <v>0</v>
      </c>
      <c r="W1588" s="226"/>
      <c r="X1588" s="226"/>
      <c r="Y1588" s="226"/>
      <c r="Z1588" s="287">
        <v>0</v>
      </c>
      <c r="AA1588" s="771"/>
      <c r="AB1588" s="774"/>
      <c r="AC1588" s="774"/>
      <c r="AD1588" s="771"/>
      <c r="AE1588" s="771"/>
      <c r="AF1588" s="226" t="s">
        <v>6602</v>
      </c>
      <c r="AG1588" s="226" t="s">
        <v>6603</v>
      </c>
      <c r="AH1588" s="226" t="s">
        <v>6604</v>
      </c>
      <c r="AI1588" s="226" t="s">
        <v>6605</v>
      </c>
      <c r="AJ1588" s="226" t="s">
        <v>6606</v>
      </c>
      <c r="AL1588" s="234">
        <v>0</v>
      </c>
      <c r="AM1588" s="226"/>
      <c r="AN1588" s="226" t="s">
        <v>6607</v>
      </c>
      <c r="AO1588" s="767"/>
      <c r="AP1588" s="226">
        <v>0</v>
      </c>
      <c r="AQ1588" s="226">
        <v>0</v>
      </c>
      <c r="AR1588" s="226">
        <v>0</v>
      </c>
      <c r="AS1588" s="226">
        <v>0</v>
      </c>
      <c r="AT1588" s="226">
        <v>0</v>
      </c>
      <c r="AU1588" s="226">
        <v>0</v>
      </c>
      <c r="AV1588" s="50">
        <f t="shared" si="226"/>
        <v>0</v>
      </c>
      <c r="AW1588" s="346" t="str">
        <f t="shared" ref="AW1588:AW1589" si="227">"{s_taskCustom,{"&amp;L1588&amp;","&amp;N1588&amp;","&amp;U1588&amp;","&amp;V1588&amp;"}}"</f>
        <v>{s_taskCustom,{0,0,1,0}}</v>
      </c>
    </row>
    <row r="1589" spans="1:49" s="769" customFormat="1" ht="132" x14ac:dyDescent="0.15">
      <c r="A1589" s="149">
        <v>30420</v>
      </c>
      <c r="B1589" s="226"/>
      <c r="C1589" s="226" t="s">
        <v>6608</v>
      </c>
      <c r="D1589" s="226">
        <v>3</v>
      </c>
      <c r="E1589" s="226">
        <v>0</v>
      </c>
      <c r="F1589" s="226">
        <v>8</v>
      </c>
      <c r="G1589" s="234">
        <v>81</v>
      </c>
      <c r="H1589" s="226">
        <v>200</v>
      </c>
      <c r="I1589" s="50">
        <v>0</v>
      </c>
      <c r="J1589" s="226">
        <v>0</v>
      </c>
      <c r="K1589" s="226">
        <v>1</v>
      </c>
      <c r="L1589" s="226">
        <v>0</v>
      </c>
      <c r="M1589" s="226" t="s">
        <v>6601</v>
      </c>
      <c r="N1589" s="226">
        <v>0</v>
      </c>
      <c r="O1589" s="226" t="s">
        <v>6601</v>
      </c>
      <c r="P1589" s="771"/>
      <c r="Q1589" s="772"/>
      <c r="R1589" s="773"/>
      <c r="S1589" s="772"/>
      <c r="T1589" s="772"/>
      <c r="U1589" s="226">
        <v>0</v>
      </c>
      <c r="V1589" s="226">
        <v>0</v>
      </c>
      <c r="W1589" s="226"/>
      <c r="X1589" s="226"/>
      <c r="Y1589" s="226"/>
      <c r="Z1589" s="287">
        <v>0</v>
      </c>
      <c r="AA1589" s="771"/>
      <c r="AB1589" s="774"/>
      <c r="AC1589" s="774"/>
      <c r="AD1589" s="771"/>
      <c r="AE1589" s="771"/>
      <c r="AF1589" s="226" t="s">
        <v>6609</v>
      </c>
      <c r="AG1589" s="226" t="s">
        <v>6610</v>
      </c>
      <c r="AH1589" s="226" t="s">
        <v>6611</v>
      </c>
      <c r="AI1589" s="226" t="s">
        <v>6612</v>
      </c>
      <c r="AJ1589" s="226" t="s">
        <v>6613</v>
      </c>
      <c r="AL1589" s="234">
        <v>0</v>
      </c>
      <c r="AM1589" s="226" t="s">
        <v>6614</v>
      </c>
      <c r="AN1589" s="226" t="s">
        <v>6615</v>
      </c>
      <c r="AO1589" s="767"/>
      <c r="AP1589" s="226">
        <v>0</v>
      </c>
      <c r="AQ1589" s="226">
        <v>0</v>
      </c>
      <c r="AR1589" s="226">
        <v>0</v>
      </c>
      <c r="AS1589" s="226">
        <v>0</v>
      </c>
      <c r="AT1589" s="226">
        <v>0</v>
      </c>
      <c r="AU1589" s="226">
        <v>0</v>
      </c>
      <c r="AV1589" s="50">
        <f t="shared" si="226"/>
        <v>0</v>
      </c>
      <c r="AW1589" s="346" t="str">
        <f t="shared" si="227"/>
        <v>{s_taskCustom,{0,0,0,0}}</v>
      </c>
    </row>
    <row r="1590" spans="1:49" s="778" customFormat="1" x14ac:dyDescent="0.15">
      <c r="A1590" s="686">
        <v>30500</v>
      </c>
      <c r="B1590" s="687"/>
      <c r="C1590" s="775" t="s">
        <v>3436</v>
      </c>
      <c r="D1590" s="687">
        <v>3</v>
      </c>
      <c r="E1590" s="687">
        <v>0</v>
      </c>
      <c r="F1590" s="687">
        <v>1</v>
      </c>
      <c r="G1590" s="688">
        <v>200</v>
      </c>
      <c r="H1590" s="687">
        <v>200</v>
      </c>
      <c r="I1590" s="17">
        <v>0</v>
      </c>
      <c r="J1590" s="688"/>
      <c r="K1590" s="687">
        <v>1</v>
      </c>
      <c r="L1590" s="687"/>
      <c r="M1590" s="687"/>
      <c r="N1590" s="687"/>
      <c r="O1590" s="687"/>
      <c r="P1590" s="687"/>
      <c r="Q1590" s="689"/>
      <c r="R1590" s="776"/>
      <c r="S1590" s="689"/>
      <c r="T1590" s="689"/>
      <c r="U1590" s="687"/>
      <c r="V1590" s="687"/>
      <c r="W1590" s="687"/>
      <c r="X1590" s="687"/>
      <c r="Y1590" s="687"/>
      <c r="Z1590" s="690">
        <v>0</v>
      </c>
      <c r="AA1590" s="687"/>
      <c r="AB1590" s="691"/>
      <c r="AC1590" s="691"/>
      <c r="AD1590" s="777"/>
      <c r="AE1590" s="687"/>
      <c r="AF1590" s="775" t="s">
        <v>3436</v>
      </c>
      <c r="AG1590" s="687"/>
      <c r="AH1590" s="687"/>
      <c r="AI1590" s="687"/>
      <c r="AJ1590" s="687"/>
      <c r="AK1590" s="693"/>
      <c r="AL1590" s="688"/>
      <c r="AM1590" s="692"/>
      <c r="AN1590" s="692"/>
      <c r="AO1590" s="687"/>
      <c r="AP1590" s="687">
        <v>0</v>
      </c>
      <c r="AQ1590" s="687"/>
      <c r="AR1590" s="687"/>
      <c r="AS1590" s="687"/>
      <c r="AT1590" s="687"/>
      <c r="AU1590" s="226">
        <v>0</v>
      </c>
      <c r="AV1590" s="17">
        <f t="shared" si="226"/>
        <v>0</v>
      </c>
      <c r="AW1590" s="775"/>
    </row>
    <row r="1591" spans="1:49" s="778" customFormat="1" x14ac:dyDescent="0.15">
      <c r="A1591" s="686">
        <v>30501</v>
      </c>
      <c r="B1591" s="687"/>
      <c r="C1591" s="775" t="s">
        <v>3437</v>
      </c>
      <c r="D1591" s="687">
        <v>3</v>
      </c>
      <c r="E1591" s="687">
        <v>0</v>
      </c>
      <c r="F1591" s="687">
        <v>1</v>
      </c>
      <c r="G1591" s="688">
        <v>200</v>
      </c>
      <c r="H1591" s="687">
        <v>200</v>
      </c>
      <c r="I1591" s="17">
        <v>0</v>
      </c>
      <c r="J1591" s="688"/>
      <c r="K1591" s="687">
        <v>0</v>
      </c>
      <c r="L1591" s="687"/>
      <c r="M1591" s="687"/>
      <c r="N1591" s="687"/>
      <c r="O1591" s="687"/>
      <c r="P1591" s="687"/>
      <c r="Q1591" s="689"/>
      <c r="R1591" s="776"/>
      <c r="S1591" s="689"/>
      <c r="T1591" s="689"/>
      <c r="U1591" s="687"/>
      <c r="V1591" s="687"/>
      <c r="W1591" s="687"/>
      <c r="X1591" s="687"/>
      <c r="Y1591" s="687"/>
      <c r="Z1591" s="690">
        <v>0</v>
      </c>
      <c r="AA1591" s="687"/>
      <c r="AB1591" s="691"/>
      <c r="AC1591" s="691"/>
      <c r="AD1591" s="777"/>
      <c r="AE1591" s="687"/>
      <c r="AF1591" s="775" t="s">
        <v>3437</v>
      </c>
      <c r="AG1591" s="687"/>
      <c r="AH1591" s="687"/>
      <c r="AI1591" s="687"/>
      <c r="AJ1591" s="687"/>
      <c r="AK1591" s="693"/>
      <c r="AL1591" s="688"/>
      <c r="AM1591" s="692"/>
      <c r="AN1591" s="692"/>
      <c r="AO1591" s="687"/>
      <c r="AP1591" s="687">
        <v>0</v>
      </c>
      <c r="AQ1591" s="687"/>
      <c r="AR1591" s="687"/>
      <c r="AS1591" s="687"/>
      <c r="AT1591" s="687"/>
      <c r="AU1591" s="226">
        <v>0</v>
      </c>
      <c r="AV1591" s="17">
        <f t="shared" si="226"/>
        <v>0</v>
      </c>
      <c r="AW1591" s="775"/>
    </row>
    <row r="1592" spans="1:49" s="778" customFormat="1" x14ac:dyDescent="0.15">
      <c r="A1592" s="686">
        <v>30502</v>
      </c>
      <c r="B1592" s="687"/>
      <c r="C1592" s="775" t="s">
        <v>3438</v>
      </c>
      <c r="D1592" s="687">
        <v>3</v>
      </c>
      <c r="E1592" s="687">
        <v>0</v>
      </c>
      <c r="F1592" s="687">
        <v>1</v>
      </c>
      <c r="G1592" s="688">
        <v>200</v>
      </c>
      <c r="H1592" s="687">
        <v>200</v>
      </c>
      <c r="I1592" s="17">
        <v>0</v>
      </c>
      <c r="J1592" s="688"/>
      <c r="K1592" s="687">
        <v>0</v>
      </c>
      <c r="L1592" s="687"/>
      <c r="M1592" s="687"/>
      <c r="N1592" s="687"/>
      <c r="O1592" s="687"/>
      <c r="P1592" s="687"/>
      <c r="Q1592" s="689"/>
      <c r="R1592" s="776"/>
      <c r="S1592" s="689"/>
      <c r="T1592" s="689"/>
      <c r="U1592" s="687"/>
      <c r="V1592" s="687"/>
      <c r="W1592" s="687"/>
      <c r="X1592" s="687"/>
      <c r="Y1592" s="687"/>
      <c r="Z1592" s="690">
        <v>0</v>
      </c>
      <c r="AA1592" s="687"/>
      <c r="AB1592" s="691"/>
      <c r="AC1592" s="691"/>
      <c r="AD1592" s="777"/>
      <c r="AE1592" s="687"/>
      <c r="AF1592" s="775" t="s">
        <v>3438</v>
      </c>
      <c r="AG1592" s="687"/>
      <c r="AH1592" s="687"/>
      <c r="AI1592" s="687"/>
      <c r="AJ1592" s="687"/>
      <c r="AK1592" s="693"/>
      <c r="AL1592" s="688"/>
      <c r="AM1592" s="692"/>
      <c r="AN1592" s="692"/>
      <c r="AO1592" s="687"/>
      <c r="AP1592" s="687">
        <v>0</v>
      </c>
      <c r="AQ1592" s="687"/>
      <c r="AR1592" s="687"/>
      <c r="AS1592" s="687"/>
      <c r="AT1592" s="687"/>
      <c r="AU1592" s="226">
        <v>0</v>
      </c>
      <c r="AV1592" s="17">
        <f t="shared" si="226"/>
        <v>0</v>
      </c>
      <c r="AW1592" s="775"/>
    </row>
    <row r="1593" spans="1:49" s="778" customFormat="1" x14ac:dyDescent="0.15">
      <c r="A1593" s="686">
        <v>30503</v>
      </c>
      <c r="B1593" s="687"/>
      <c r="C1593" s="775" t="s">
        <v>3439</v>
      </c>
      <c r="D1593" s="687">
        <v>3</v>
      </c>
      <c r="E1593" s="687">
        <v>0</v>
      </c>
      <c r="F1593" s="687">
        <v>1</v>
      </c>
      <c r="G1593" s="688">
        <v>200</v>
      </c>
      <c r="H1593" s="687">
        <v>200</v>
      </c>
      <c r="I1593" s="17">
        <v>0</v>
      </c>
      <c r="J1593" s="688"/>
      <c r="K1593" s="687">
        <v>0</v>
      </c>
      <c r="L1593" s="687"/>
      <c r="M1593" s="687"/>
      <c r="N1593" s="687"/>
      <c r="O1593" s="687"/>
      <c r="P1593" s="687"/>
      <c r="Q1593" s="689"/>
      <c r="R1593" s="776"/>
      <c r="S1593" s="689"/>
      <c r="T1593" s="689"/>
      <c r="U1593" s="687"/>
      <c r="V1593" s="687"/>
      <c r="W1593" s="687"/>
      <c r="X1593" s="687"/>
      <c r="Y1593" s="687"/>
      <c r="Z1593" s="690">
        <v>0</v>
      </c>
      <c r="AA1593" s="687"/>
      <c r="AB1593" s="691"/>
      <c r="AC1593" s="691"/>
      <c r="AD1593" s="777"/>
      <c r="AE1593" s="687"/>
      <c r="AF1593" s="775" t="s">
        <v>3439</v>
      </c>
      <c r="AG1593" s="687"/>
      <c r="AH1593" s="687"/>
      <c r="AI1593" s="687"/>
      <c r="AJ1593" s="687"/>
      <c r="AK1593" s="693"/>
      <c r="AL1593" s="688"/>
      <c r="AM1593" s="692"/>
      <c r="AN1593" s="692"/>
      <c r="AO1593" s="687"/>
      <c r="AP1593" s="687">
        <v>0</v>
      </c>
      <c r="AQ1593" s="687"/>
      <c r="AR1593" s="687"/>
      <c r="AS1593" s="687"/>
      <c r="AT1593" s="687"/>
      <c r="AU1593" s="226">
        <v>0</v>
      </c>
      <c r="AV1593" s="17">
        <f t="shared" si="226"/>
        <v>0</v>
      </c>
      <c r="AW1593" s="775"/>
    </row>
    <row r="1594" spans="1:49" s="778" customFormat="1" x14ac:dyDescent="0.15">
      <c r="A1594" s="686">
        <v>30504</v>
      </c>
      <c r="B1594" s="687"/>
      <c r="C1594" s="775" t="s">
        <v>3482</v>
      </c>
      <c r="D1594" s="687">
        <v>3</v>
      </c>
      <c r="E1594" s="687">
        <v>0</v>
      </c>
      <c r="F1594" s="687">
        <v>1</v>
      </c>
      <c r="G1594" s="688">
        <v>200</v>
      </c>
      <c r="H1594" s="687">
        <v>200</v>
      </c>
      <c r="I1594" s="17">
        <v>0</v>
      </c>
      <c r="J1594" s="688"/>
      <c r="K1594" s="687">
        <v>0</v>
      </c>
      <c r="L1594" s="687"/>
      <c r="M1594" s="687"/>
      <c r="N1594" s="687"/>
      <c r="O1594" s="687"/>
      <c r="P1594" s="687"/>
      <c r="Q1594" s="689"/>
      <c r="R1594" s="776"/>
      <c r="S1594" s="689"/>
      <c r="T1594" s="689"/>
      <c r="U1594" s="687"/>
      <c r="V1594" s="687"/>
      <c r="W1594" s="687"/>
      <c r="X1594" s="687"/>
      <c r="Y1594" s="687"/>
      <c r="Z1594" s="690">
        <v>0</v>
      </c>
      <c r="AA1594" s="687"/>
      <c r="AB1594" s="691"/>
      <c r="AC1594" s="691"/>
      <c r="AD1594" s="777"/>
      <c r="AE1594" s="687"/>
      <c r="AF1594" s="775" t="s">
        <v>3440</v>
      </c>
      <c r="AG1594" s="687"/>
      <c r="AH1594" s="687"/>
      <c r="AI1594" s="687"/>
      <c r="AJ1594" s="687"/>
      <c r="AK1594" s="693"/>
      <c r="AL1594" s="688"/>
      <c r="AM1594" s="692"/>
      <c r="AN1594" s="692"/>
      <c r="AO1594" s="687"/>
      <c r="AP1594" s="687">
        <v>0</v>
      </c>
      <c r="AQ1594" s="687"/>
      <c r="AR1594" s="687"/>
      <c r="AS1594" s="687"/>
      <c r="AT1594" s="687"/>
      <c r="AU1594" s="226">
        <v>0</v>
      </c>
      <c r="AV1594" s="17">
        <f t="shared" si="226"/>
        <v>0</v>
      </c>
      <c r="AW1594" s="775"/>
    </row>
    <row r="1595" spans="1:49" s="778" customFormat="1" x14ac:dyDescent="0.15">
      <c r="A1595" s="686">
        <v>30505</v>
      </c>
      <c r="B1595" s="687"/>
      <c r="C1595" s="775" t="s">
        <v>3441</v>
      </c>
      <c r="D1595" s="687">
        <v>3</v>
      </c>
      <c r="E1595" s="687">
        <v>0</v>
      </c>
      <c r="F1595" s="687">
        <v>1</v>
      </c>
      <c r="G1595" s="688">
        <v>200</v>
      </c>
      <c r="H1595" s="687">
        <v>200</v>
      </c>
      <c r="I1595" s="17">
        <v>0</v>
      </c>
      <c r="J1595" s="688"/>
      <c r="K1595" s="687">
        <v>0</v>
      </c>
      <c r="L1595" s="687"/>
      <c r="M1595" s="687"/>
      <c r="N1595" s="687"/>
      <c r="O1595" s="687"/>
      <c r="P1595" s="687"/>
      <c r="Q1595" s="689"/>
      <c r="R1595" s="776"/>
      <c r="S1595" s="689"/>
      <c r="T1595" s="689"/>
      <c r="U1595" s="687"/>
      <c r="V1595" s="687"/>
      <c r="W1595" s="687"/>
      <c r="X1595" s="687"/>
      <c r="Y1595" s="687"/>
      <c r="Z1595" s="690">
        <v>0</v>
      </c>
      <c r="AA1595" s="687"/>
      <c r="AB1595" s="691"/>
      <c r="AC1595" s="691"/>
      <c r="AD1595" s="777"/>
      <c r="AE1595" s="687"/>
      <c r="AF1595" s="775" t="s">
        <v>3441</v>
      </c>
      <c r="AG1595" s="687"/>
      <c r="AH1595" s="687"/>
      <c r="AI1595" s="687"/>
      <c r="AJ1595" s="687"/>
      <c r="AK1595" s="693"/>
      <c r="AL1595" s="688"/>
      <c r="AM1595" s="692"/>
      <c r="AN1595" s="692"/>
      <c r="AO1595" s="687"/>
      <c r="AP1595" s="687">
        <v>0</v>
      </c>
      <c r="AQ1595" s="687"/>
      <c r="AR1595" s="687"/>
      <c r="AS1595" s="687"/>
      <c r="AT1595" s="687"/>
      <c r="AU1595" s="226">
        <v>0</v>
      </c>
      <c r="AV1595" s="17">
        <f t="shared" si="226"/>
        <v>0</v>
      </c>
      <c r="AW1595" s="775"/>
    </row>
    <row r="1596" spans="1:49" s="778" customFormat="1" x14ac:dyDescent="0.15">
      <c r="A1596" s="686">
        <v>30506</v>
      </c>
      <c r="B1596" s="687"/>
      <c r="C1596" s="775" t="s">
        <v>3494</v>
      </c>
      <c r="D1596" s="687">
        <v>3</v>
      </c>
      <c r="E1596" s="687">
        <v>0</v>
      </c>
      <c r="F1596" s="687">
        <v>1</v>
      </c>
      <c r="G1596" s="688">
        <v>200</v>
      </c>
      <c r="H1596" s="687">
        <v>200</v>
      </c>
      <c r="I1596" s="17">
        <v>0</v>
      </c>
      <c r="J1596" s="688"/>
      <c r="K1596" s="687">
        <v>0</v>
      </c>
      <c r="L1596" s="687"/>
      <c r="M1596" s="687"/>
      <c r="N1596" s="687"/>
      <c r="O1596" s="687"/>
      <c r="P1596" s="687"/>
      <c r="Q1596" s="689"/>
      <c r="R1596" s="776"/>
      <c r="S1596" s="689"/>
      <c r="T1596" s="689"/>
      <c r="U1596" s="687"/>
      <c r="V1596" s="687"/>
      <c r="W1596" s="687"/>
      <c r="X1596" s="687"/>
      <c r="Y1596" s="687"/>
      <c r="Z1596" s="690">
        <v>0</v>
      </c>
      <c r="AA1596" s="687"/>
      <c r="AB1596" s="691"/>
      <c r="AC1596" s="691"/>
      <c r="AD1596" s="777"/>
      <c r="AE1596" s="687"/>
      <c r="AF1596" s="775" t="s">
        <v>3441</v>
      </c>
      <c r="AG1596" s="687"/>
      <c r="AH1596" s="687"/>
      <c r="AI1596" s="687"/>
      <c r="AJ1596" s="687"/>
      <c r="AK1596" s="693"/>
      <c r="AL1596" s="688"/>
      <c r="AM1596" s="692"/>
      <c r="AN1596" s="692"/>
      <c r="AO1596" s="687"/>
      <c r="AP1596" s="687">
        <v>0</v>
      </c>
      <c r="AQ1596" s="687"/>
      <c r="AR1596" s="687"/>
      <c r="AS1596" s="687"/>
      <c r="AT1596" s="687"/>
      <c r="AU1596" s="226">
        <v>0</v>
      </c>
      <c r="AV1596" s="17">
        <f t="shared" si="226"/>
        <v>0</v>
      </c>
      <c r="AW1596" s="775"/>
    </row>
    <row r="1597" spans="1:49" s="790" customFormat="1" x14ac:dyDescent="0.15">
      <c r="A1597" s="779">
        <v>30550</v>
      </c>
      <c r="B1597" s="780" t="s">
        <v>3462</v>
      </c>
      <c r="C1597" s="781" t="s">
        <v>3442</v>
      </c>
      <c r="D1597" s="780">
        <v>3</v>
      </c>
      <c r="E1597" s="780">
        <v>0</v>
      </c>
      <c r="F1597" s="780">
        <v>4</v>
      </c>
      <c r="G1597" s="782">
        <v>70</v>
      </c>
      <c r="H1597" s="780">
        <v>200</v>
      </c>
      <c r="I1597" s="17">
        <v>0</v>
      </c>
      <c r="J1597" s="782"/>
      <c r="K1597" s="780">
        <v>0</v>
      </c>
      <c r="L1597" s="780"/>
      <c r="M1597" s="780"/>
      <c r="N1597" s="780"/>
      <c r="O1597" s="780"/>
      <c r="P1597" s="780"/>
      <c r="Q1597" s="783"/>
      <c r="R1597" s="784"/>
      <c r="S1597" s="783"/>
      <c r="T1597" s="783"/>
      <c r="U1597" s="780"/>
      <c r="V1597" s="780"/>
      <c r="W1597" s="780"/>
      <c r="X1597" s="780"/>
      <c r="Y1597" s="780"/>
      <c r="Z1597" s="785">
        <v>0</v>
      </c>
      <c r="AA1597" s="780"/>
      <c r="AB1597" s="786"/>
      <c r="AC1597" s="786"/>
      <c r="AD1597" s="787"/>
      <c r="AE1597" s="780"/>
      <c r="AF1597" s="781" t="s">
        <v>3443</v>
      </c>
      <c r="AG1597" s="780"/>
      <c r="AH1597" s="780"/>
      <c r="AI1597" s="780"/>
      <c r="AJ1597" s="780"/>
      <c r="AK1597" s="788"/>
      <c r="AL1597" s="782"/>
      <c r="AM1597" s="780"/>
      <c r="AN1597" s="780"/>
      <c r="AO1597" s="780"/>
      <c r="AP1597" s="780">
        <v>0</v>
      </c>
      <c r="AQ1597" s="780"/>
      <c r="AR1597" s="780"/>
      <c r="AS1597" s="780"/>
      <c r="AT1597" s="780"/>
      <c r="AU1597" s="789">
        <v>1</v>
      </c>
      <c r="AV1597" s="17">
        <f t="shared" si="226"/>
        <v>0</v>
      </c>
      <c r="AW1597" s="781"/>
    </row>
    <row r="1598" spans="1:49" s="794" customFormat="1" x14ac:dyDescent="0.15">
      <c r="A1598" s="791">
        <v>30551</v>
      </c>
      <c r="B1598" s="692" t="s">
        <v>3461</v>
      </c>
      <c r="C1598" s="792" t="s">
        <v>4608</v>
      </c>
      <c r="D1598" s="692">
        <v>3</v>
      </c>
      <c r="E1598" s="692">
        <v>0</v>
      </c>
      <c r="F1598" s="692">
        <v>4</v>
      </c>
      <c r="G1598" s="793">
        <v>70</v>
      </c>
      <c r="H1598" s="692">
        <v>200</v>
      </c>
      <c r="I1598" s="17">
        <v>0</v>
      </c>
      <c r="J1598" s="793"/>
      <c r="K1598" s="692">
        <v>0</v>
      </c>
      <c r="L1598" s="692"/>
      <c r="M1598" s="692"/>
      <c r="N1598" s="692"/>
      <c r="O1598" s="692"/>
      <c r="P1598" s="692"/>
      <c r="Q1598" s="689"/>
      <c r="R1598" s="776"/>
      <c r="S1598" s="689"/>
      <c r="T1598" s="689"/>
      <c r="U1598" s="692"/>
      <c r="V1598" s="692"/>
      <c r="W1598" s="692"/>
      <c r="X1598" s="692"/>
      <c r="Y1598" s="692"/>
      <c r="Z1598" s="690">
        <v>0</v>
      </c>
      <c r="AA1598" s="692"/>
      <c r="AB1598" s="691"/>
      <c r="AC1598" s="691"/>
      <c r="AD1598" s="777"/>
      <c r="AE1598" s="692"/>
      <c r="AF1598" s="792" t="s">
        <v>4609</v>
      </c>
      <c r="AG1598" s="692"/>
      <c r="AH1598" s="692"/>
      <c r="AI1598" s="692"/>
      <c r="AJ1598" s="692"/>
      <c r="AK1598" s="693"/>
      <c r="AL1598" s="793"/>
      <c r="AM1598" s="692"/>
      <c r="AN1598" s="692"/>
      <c r="AO1598" s="692"/>
      <c r="AP1598" s="692">
        <v>0</v>
      </c>
      <c r="AQ1598" s="692"/>
      <c r="AR1598" s="692"/>
      <c r="AS1598" s="692"/>
      <c r="AT1598" s="692"/>
      <c r="AU1598" s="235">
        <v>1</v>
      </c>
      <c r="AV1598" s="17">
        <f t="shared" si="226"/>
        <v>0</v>
      </c>
      <c r="AW1598" s="792"/>
    </row>
    <row r="1599" spans="1:49" s="794" customFormat="1" x14ac:dyDescent="0.15">
      <c r="A1599" s="791">
        <v>30552</v>
      </c>
      <c r="B1599" s="692" t="s">
        <v>3461</v>
      </c>
      <c r="C1599" s="792" t="s">
        <v>3444</v>
      </c>
      <c r="D1599" s="692">
        <v>3</v>
      </c>
      <c r="E1599" s="692">
        <v>0</v>
      </c>
      <c r="F1599" s="692">
        <v>4</v>
      </c>
      <c r="G1599" s="793">
        <v>70</v>
      </c>
      <c r="H1599" s="692">
        <v>200</v>
      </c>
      <c r="I1599" s="17">
        <v>0</v>
      </c>
      <c r="J1599" s="793"/>
      <c r="K1599" s="692">
        <v>0</v>
      </c>
      <c r="L1599" s="692"/>
      <c r="M1599" s="692"/>
      <c r="N1599" s="692"/>
      <c r="O1599" s="692"/>
      <c r="P1599" s="692"/>
      <c r="Q1599" s="689"/>
      <c r="R1599" s="776"/>
      <c r="S1599" s="689"/>
      <c r="T1599" s="689"/>
      <c r="U1599" s="692"/>
      <c r="V1599" s="692"/>
      <c r="W1599" s="692"/>
      <c r="X1599" s="692"/>
      <c r="Y1599" s="692"/>
      <c r="Z1599" s="690">
        <v>0</v>
      </c>
      <c r="AA1599" s="692"/>
      <c r="AB1599" s="691"/>
      <c r="AC1599" s="691"/>
      <c r="AD1599" s="777"/>
      <c r="AE1599" s="692"/>
      <c r="AF1599" s="792" t="s">
        <v>3469</v>
      </c>
      <c r="AG1599" s="692"/>
      <c r="AH1599" s="692"/>
      <c r="AI1599" s="692"/>
      <c r="AJ1599" s="692"/>
      <c r="AK1599" s="693"/>
      <c r="AL1599" s="793"/>
      <c r="AM1599" s="692"/>
      <c r="AN1599" s="692"/>
      <c r="AO1599" s="692"/>
      <c r="AP1599" s="692">
        <v>0</v>
      </c>
      <c r="AQ1599" s="692"/>
      <c r="AR1599" s="692"/>
      <c r="AS1599" s="692"/>
      <c r="AT1599" s="692"/>
      <c r="AU1599" s="235">
        <v>1</v>
      </c>
      <c r="AV1599" s="17">
        <f t="shared" si="226"/>
        <v>0</v>
      </c>
      <c r="AW1599" s="792"/>
    </row>
    <row r="1600" spans="1:49" s="794" customFormat="1" x14ac:dyDescent="0.15">
      <c r="A1600" s="791">
        <v>30553</v>
      </c>
      <c r="B1600" s="692" t="s">
        <v>3461</v>
      </c>
      <c r="C1600" s="792" t="s">
        <v>3470</v>
      </c>
      <c r="D1600" s="692">
        <v>3</v>
      </c>
      <c r="E1600" s="692">
        <v>0</v>
      </c>
      <c r="F1600" s="692">
        <v>4</v>
      </c>
      <c r="G1600" s="793">
        <v>70</v>
      </c>
      <c r="H1600" s="692">
        <v>200</v>
      </c>
      <c r="I1600" s="17">
        <v>0</v>
      </c>
      <c r="J1600" s="793"/>
      <c r="K1600" s="692">
        <v>0</v>
      </c>
      <c r="L1600" s="692"/>
      <c r="M1600" s="692"/>
      <c r="N1600" s="692"/>
      <c r="O1600" s="692"/>
      <c r="P1600" s="692"/>
      <c r="Q1600" s="689"/>
      <c r="R1600" s="776"/>
      <c r="S1600" s="689"/>
      <c r="T1600" s="689"/>
      <c r="U1600" s="692"/>
      <c r="V1600" s="692"/>
      <c r="W1600" s="692"/>
      <c r="X1600" s="692"/>
      <c r="Y1600" s="692"/>
      <c r="Z1600" s="690">
        <v>0</v>
      </c>
      <c r="AA1600" s="692"/>
      <c r="AB1600" s="691"/>
      <c r="AC1600" s="691"/>
      <c r="AD1600" s="777"/>
      <c r="AE1600" s="692"/>
      <c r="AF1600" s="792" t="s">
        <v>3471</v>
      </c>
      <c r="AG1600" s="692"/>
      <c r="AH1600" s="692"/>
      <c r="AI1600" s="692"/>
      <c r="AJ1600" s="692"/>
      <c r="AK1600" s="693"/>
      <c r="AL1600" s="793"/>
      <c r="AM1600" s="692"/>
      <c r="AN1600" s="692"/>
      <c r="AO1600" s="692"/>
      <c r="AP1600" s="692">
        <v>0</v>
      </c>
      <c r="AQ1600" s="692"/>
      <c r="AR1600" s="692"/>
      <c r="AS1600" s="692"/>
      <c r="AT1600" s="692"/>
      <c r="AU1600" s="235">
        <v>1</v>
      </c>
      <c r="AV1600" s="17">
        <f t="shared" si="226"/>
        <v>0</v>
      </c>
      <c r="AW1600" s="792"/>
    </row>
    <row r="1601" spans="1:49" s="794" customFormat="1" x14ac:dyDescent="0.15">
      <c r="A1601" s="791">
        <v>30554</v>
      </c>
      <c r="B1601" s="692" t="s">
        <v>3461</v>
      </c>
      <c r="C1601" s="792" t="s">
        <v>3446</v>
      </c>
      <c r="D1601" s="692">
        <v>3</v>
      </c>
      <c r="E1601" s="692">
        <v>0</v>
      </c>
      <c r="F1601" s="692">
        <v>4</v>
      </c>
      <c r="G1601" s="793">
        <v>70</v>
      </c>
      <c r="H1601" s="692">
        <v>200</v>
      </c>
      <c r="I1601" s="17">
        <v>0</v>
      </c>
      <c r="J1601" s="793"/>
      <c r="K1601" s="692">
        <v>0</v>
      </c>
      <c r="L1601" s="692"/>
      <c r="M1601" s="692"/>
      <c r="N1601" s="692"/>
      <c r="O1601" s="692"/>
      <c r="P1601" s="692"/>
      <c r="Q1601" s="689"/>
      <c r="R1601" s="776"/>
      <c r="S1601" s="689"/>
      <c r="T1601" s="689"/>
      <c r="U1601" s="692"/>
      <c r="V1601" s="692"/>
      <c r="W1601" s="692"/>
      <c r="X1601" s="692"/>
      <c r="Y1601" s="692"/>
      <c r="Z1601" s="690">
        <v>0</v>
      </c>
      <c r="AA1601" s="692"/>
      <c r="AB1601" s="691"/>
      <c r="AC1601" s="691"/>
      <c r="AD1601" s="777"/>
      <c r="AE1601" s="692"/>
      <c r="AF1601" s="792" t="s">
        <v>3472</v>
      </c>
      <c r="AG1601" s="692"/>
      <c r="AH1601" s="692"/>
      <c r="AI1601" s="692"/>
      <c r="AJ1601" s="692"/>
      <c r="AK1601" s="693"/>
      <c r="AL1601" s="793"/>
      <c r="AM1601" s="692"/>
      <c r="AN1601" s="692"/>
      <c r="AO1601" s="692"/>
      <c r="AP1601" s="692">
        <v>0</v>
      </c>
      <c r="AQ1601" s="692"/>
      <c r="AR1601" s="692"/>
      <c r="AS1601" s="692"/>
      <c r="AT1601" s="692"/>
      <c r="AU1601" s="235">
        <v>1</v>
      </c>
      <c r="AV1601" s="17">
        <f t="shared" si="226"/>
        <v>0</v>
      </c>
      <c r="AW1601" s="792"/>
    </row>
    <row r="1602" spans="1:49" s="794" customFormat="1" x14ac:dyDescent="0.15">
      <c r="A1602" s="791">
        <v>30555</v>
      </c>
      <c r="B1602" s="692" t="s">
        <v>3461</v>
      </c>
      <c r="C1602" s="792" t="s">
        <v>4094</v>
      </c>
      <c r="D1602" s="692">
        <v>3</v>
      </c>
      <c r="E1602" s="692">
        <v>0</v>
      </c>
      <c r="F1602" s="692">
        <v>4</v>
      </c>
      <c r="G1602" s="793">
        <v>70</v>
      </c>
      <c r="H1602" s="692">
        <v>200</v>
      </c>
      <c r="I1602" s="17">
        <v>0</v>
      </c>
      <c r="J1602" s="793"/>
      <c r="K1602" s="692">
        <v>0</v>
      </c>
      <c r="L1602" s="692"/>
      <c r="M1602" s="692"/>
      <c r="N1602" s="692"/>
      <c r="O1602" s="692"/>
      <c r="P1602" s="692"/>
      <c r="Q1602" s="689"/>
      <c r="R1602" s="776"/>
      <c r="S1602" s="689"/>
      <c r="T1602" s="689"/>
      <c r="U1602" s="692"/>
      <c r="V1602" s="692"/>
      <c r="W1602" s="692"/>
      <c r="X1602" s="692"/>
      <c r="Y1602" s="692"/>
      <c r="Z1602" s="690">
        <v>0</v>
      </c>
      <c r="AA1602" s="692"/>
      <c r="AB1602" s="691"/>
      <c r="AC1602" s="691"/>
      <c r="AD1602" s="777"/>
      <c r="AE1602" s="692"/>
      <c r="AF1602" s="792" t="s">
        <v>4095</v>
      </c>
      <c r="AG1602" s="692"/>
      <c r="AH1602" s="692"/>
      <c r="AI1602" s="692"/>
      <c r="AJ1602" s="692"/>
      <c r="AK1602" s="693"/>
      <c r="AL1602" s="793"/>
      <c r="AM1602" s="692"/>
      <c r="AN1602" s="692"/>
      <c r="AO1602" s="692"/>
      <c r="AP1602" s="692">
        <v>0</v>
      </c>
      <c r="AQ1602" s="692"/>
      <c r="AR1602" s="692"/>
      <c r="AS1602" s="692"/>
      <c r="AT1602" s="692"/>
      <c r="AU1602" s="235">
        <v>0</v>
      </c>
      <c r="AV1602" s="17">
        <f t="shared" si="226"/>
        <v>0</v>
      </c>
      <c r="AW1602" s="792"/>
    </row>
    <row r="1603" spans="1:49" s="794" customFormat="1" x14ac:dyDescent="0.15">
      <c r="A1603" s="791">
        <v>30556</v>
      </c>
      <c r="B1603" s="692" t="s">
        <v>3461</v>
      </c>
      <c r="C1603" s="792" t="s">
        <v>3447</v>
      </c>
      <c r="D1603" s="692">
        <v>3</v>
      </c>
      <c r="E1603" s="692">
        <v>0</v>
      </c>
      <c r="F1603" s="692">
        <v>4</v>
      </c>
      <c r="G1603" s="793">
        <v>70</v>
      </c>
      <c r="H1603" s="692">
        <v>200</v>
      </c>
      <c r="I1603" s="17">
        <v>0</v>
      </c>
      <c r="J1603" s="793"/>
      <c r="K1603" s="692">
        <v>0</v>
      </c>
      <c r="L1603" s="692"/>
      <c r="M1603" s="692"/>
      <c r="N1603" s="692"/>
      <c r="O1603" s="692"/>
      <c r="P1603" s="692"/>
      <c r="Q1603" s="689"/>
      <c r="R1603" s="776"/>
      <c r="S1603" s="689"/>
      <c r="T1603" s="689"/>
      <c r="U1603" s="692"/>
      <c r="V1603" s="692"/>
      <c r="W1603" s="692"/>
      <c r="X1603" s="692"/>
      <c r="Y1603" s="692"/>
      <c r="Z1603" s="690">
        <v>0</v>
      </c>
      <c r="AA1603" s="692"/>
      <c r="AB1603" s="691"/>
      <c r="AC1603" s="691"/>
      <c r="AD1603" s="777"/>
      <c r="AE1603" s="692"/>
      <c r="AF1603" s="792" t="s">
        <v>4133</v>
      </c>
      <c r="AG1603" s="692"/>
      <c r="AH1603" s="692"/>
      <c r="AI1603" s="692"/>
      <c r="AJ1603" s="692"/>
      <c r="AK1603" s="693"/>
      <c r="AL1603" s="793"/>
      <c r="AM1603" s="692"/>
      <c r="AN1603" s="692"/>
      <c r="AO1603" s="692"/>
      <c r="AP1603" s="692">
        <v>0</v>
      </c>
      <c r="AQ1603" s="692"/>
      <c r="AR1603" s="692"/>
      <c r="AS1603" s="692"/>
      <c r="AT1603" s="692"/>
      <c r="AU1603" s="235">
        <v>0</v>
      </c>
      <c r="AV1603" s="17">
        <f t="shared" si="226"/>
        <v>0</v>
      </c>
      <c r="AW1603" s="792"/>
    </row>
    <row r="1604" spans="1:49" s="794" customFormat="1" x14ac:dyDescent="0.15">
      <c r="A1604" s="791">
        <v>30557</v>
      </c>
      <c r="B1604" s="692" t="s">
        <v>3461</v>
      </c>
      <c r="C1604" s="792" t="s">
        <v>4599</v>
      </c>
      <c r="D1604" s="692">
        <v>3</v>
      </c>
      <c r="E1604" s="692">
        <v>0</v>
      </c>
      <c r="F1604" s="692">
        <v>4</v>
      </c>
      <c r="G1604" s="793">
        <v>70</v>
      </c>
      <c r="H1604" s="692">
        <v>200</v>
      </c>
      <c r="I1604" s="17">
        <v>0</v>
      </c>
      <c r="J1604" s="793"/>
      <c r="K1604" s="692">
        <v>0</v>
      </c>
      <c r="L1604" s="692"/>
      <c r="M1604" s="692"/>
      <c r="N1604" s="692"/>
      <c r="O1604" s="692"/>
      <c r="P1604" s="692"/>
      <c r="Q1604" s="689"/>
      <c r="R1604" s="776"/>
      <c r="S1604" s="689"/>
      <c r="T1604" s="689"/>
      <c r="U1604" s="692"/>
      <c r="V1604" s="692"/>
      <c r="W1604" s="692"/>
      <c r="X1604" s="692"/>
      <c r="Y1604" s="692"/>
      <c r="Z1604" s="690">
        <v>0</v>
      </c>
      <c r="AA1604" s="692"/>
      <c r="AB1604" s="691"/>
      <c r="AC1604" s="691"/>
      <c r="AD1604" s="777"/>
      <c r="AE1604" s="692"/>
      <c r="AF1604" s="792" t="s">
        <v>4600</v>
      </c>
      <c r="AG1604" s="692"/>
      <c r="AH1604" s="692"/>
      <c r="AI1604" s="692"/>
      <c r="AJ1604" s="692"/>
      <c r="AK1604" s="693"/>
      <c r="AL1604" s="793"/>
      <c r="AM1604" s="692"/>
      <c r="AN1604" s="692"/>
      <c r="AO1604" s="692"/>
      <c r="AP1604" s="692">
        <v>0</v>
      </c>
      <c r="AQ1604" s="692"/>
      <c r="AR1604" s="692"/>
      <c r="AS1604" s="692"/>
      <c r="AT1604" s="692"/>
      <c r="AU1604" s="235">
        <v>0</v>
      </c>
      <c r="AV1604" s="17">
        <f t="shared" si="226"/>
        <v>0</v>
      </c>
      <c r="AW1604" s="792"/>
    </row>
    <row r="1605" spans="1:49" s="794" customFormat="1" x14ac:dyDescent="0.15">
      <c r="A1605" s="791">
        <v>30558</v>
      </c>
      <c r="B1605" s="692" t="s">
        <v>3461</v>
      </c>
      <c r="C1605" s="792" t="s">
        <v>3448</v>
      </c>
      <c r="D1605" s="692">
        <v>3</v>
      </c>
      <c r="E1605" s="692">
        <v>0</v>
      </c>
      <c r="F1605" s="692">
        <v>4</v>
      </c>
      <c r="G1605" s="793">
        <v>70</v>
      </c>
      <c r="H1605" s="692">
        <v>200</v>
      </c>
      <c r="I1605" s="17">
        <v>0</v>
      </c>
      <c r="J1605" s="793"/>
      <c r="K1605" s="692">
        <v>0</v>
      </c>
      <c r="L1605" s="692"/>
      <c r="M1605" s="692"/>
      <c r="N1605" s="692"/>
      <c r="O1605" s="692"/>
      <c r="P1605" s="692"/>
      <c r="Q1605" s="689"/>
      <c r="R1605" s="776"/>
      <c r="S1605" s="689"/>
      <c r="T1605" s="689"/>
      <c r="U1605" s="692"/>
      <c r="V1605" s="692"/>
      <c r="W1605" s="692"/>
      <c r="X1605" s="692"/>
      <c r="Y1605" s="692"/>
      <c r="Z1605" s="690">
        <v>0</v>
      </c>
      <c r="AA1605" s="692"/>
      <c r="AB1605" s="691"/>
      <c r="AC1605" s="691"/>
      <c r="AD1605" s="777"/>
      <c r="AE1605" s="692"/>
      <c r="AF1605" s="792" t="s">
        <v>3449</v>
      </c>
      <c r="AG1605" s="692"/>
      <c r="AH1605" s="692"/>
      <c r="AI1605" s="692"/>
      <c r="AJ1605" s="692"/>
      <c r="AK1605" s="693"/>
      <c r="AL1605" s="793"/>
      <c r="AM1605" s="692"/>
      <c r="AN1605" s="692"/>
      <c r="AO1605" s="692"/>
      <c r="AP1605" s="692">
        <v>0</v>
      </c>
      <c r="AQ1605" s="692"/>
      <c r="AR1605" s="692"/>
      <c r="AS1605" s="692"/>
      <c r="AT1605" s="692"/>
      <c r="AU1605" s="235">
        <v>1</v>
      </c>
      <c r="AV1605" s="17">
        <f t="shared" si="226"/>
        <v>0</v>
      </c>
      <c r="AW1605" s="792"/>
    </row>
    <row r="1606" spans="1:49" s="794" customFormat="1" x14ac:dyDescent="0.15">
      <c r="A1606" s="791">
        <v>30559</v>
      </c>
      <c r="B1606" s="692" t="s">
        <v>3461</v>
      </c>
      <c r="C1606" s="792" t="s">
        <v>3478</v>
      </c>
      <c r="D1606" s="692">
        <v>3</v>
      </c>
      <c r="E1606" s="692">
        <v>0</v>
      </c>
      <c r="F1606" s="692">
        <v>4</v>
      </c>
      <c r="G1606" s="793">
        <v>70</v>
      </c>
      <c r="H1606" s="692">
        <v>200</v>
      </c>
      <c r="I1606" s="17">
        <v>0</v>
      </c>
      <c r="J1606" s="793"/>
      <c r="K1606" s="692">
        <v>0</v>
      </c>
      <c r="L1606" s="692"/>
      <c r="M1606" s="692"/>
      <c r="N1606" s="692"/>
      <c r="O1606" s="692"/>
      <c r="P1606" s="692"/>
      <c r="Q1606" s="689"/>
      <c r="R1606" s="776"/>
      <c r="S1606" s="689"/>
      <c r="T1606" s="689"/>
      <c r="U1606" s="692"/>
      <c r="V1606" s="692"/>
      <c r="W1606" s="692"/>
      <c r="X1606" s="692"/>
      <c r="Y1606" s="692"/>
      <c r="Z1606" s="690">
        <v>0</v>
      </c>
      <c r="AA1606" s="692"/>
      <c r="AB1606" s="691"/>
      <c r="AC1606" s="691"/>
      <c r="AD1606" s="777"/>
      <c r="AE1606" s="692"/>
      <c r="AF1606" s="792" t="s">
        <v>3474</v>
      </c>
      <c r="AG1606" s="692"/>
      <c r="AH1606" s="692"/>
      <c r="AI1606" s="692"/>
      <c r="AJ1606" s="692"/>
      <c r="AK1606" s="693"/>
      <c r="AL1606" s="793"/>
      <c r="AM1606" s="692"/>
      <c r="AN1606" s="692"/>
      <c r="AO1606" s="692"/>
      <c r="AP1606" s="692">
        <v>0</v>
      </c>
      <c r="AQ1606" s="692"/>
      <c r="AR1606" s="692"/>
      <c r="AS1606" s="692"/>
      <c r="AT1606" s="692"/>
      <c r="AU1606" s="235">
        <v>0</v>
      </c>
      <c r="AV1606" s="17">
        <f t="shared" si="226"/>
        <v>0</v>
      </c>
      <c r="AW1606" s="792"/>
    </row>
    <row r="1607" spans="1:49" s="790" customFormat="1" x14ac:dyDescent="0.15">
      <c r="A1607" s="779">
        <v>30560</v>
      </c>
      <c r="B1607" s="780" t="s">
        <v>3466</v>
      </c>
      <c r="C1607" s="781" t="s">
        <v>3442</v>
      </c>
      <c r="D1607" s="780">
        <v>3</v>
      </c>
      <c r="E1607" s="780">
        <v>0</v>
      </c>
      <c r="F1607" s="780">
        <v>4</v>
      </c>
      <c r="G1607" s="782">
        <v>70</v>
      </c>
      <c r="H1607" s="780">
        <v>200</v>
      </c>
      <c r="I1607" s="17">
        <v>0</v>
      </c>
      <c r="J1607" s="782"/>
      <c r="K1607" s="780">
        <v>0</v>
      </c>
      <c r="L1607" s="780"/>
      <c r="M1607" s="780"/>
      <c r="N1607" s="780"/>
      <c r="O1607" s="780"/>
      <c r="P1607" s="780"/>
      <c r="Q1607" s="783"/>
      <c r="R1607" s="784"/>
      <c r="S1607" s="783"/>
      <c r="T1607" s="783"/>
      <c r="U1607" s="780"/>
      <c r="V1607" s="780"/>
      <c r="W1607" s="780"/>
      <c r="X1607" s="780"/>
      <c r="Y1607" s="780"/>
      <c r="Z1607" s="785">
        <v>0</v>
      </c>
      <c r="AA1607" s="780"/>
      <c r="AB1607" s="786"/>
      <c r="AC1607" s="786"/>
      <c r="AD1607" s="787"/>
      <c r="AE1607" s="780"/>
      <c r="AF1607" s="781" t="s">
        <v>3443</v>
      </c>
      <c r="AG1607" s="780"/>
      <c r="AH1607" s="780"/>
      <c r="AI1607" s="780"/>
      <c r="AJ1607" s="780"/>
      <c r="AK1607" s="788"/>
      <c r="AL1607" s="782"/>
      <c r="AM1607" s="780"/>
      <c r="AN1607" s="780"/>
      <c r="AO1607" s="780"/>
      <c r="AP1607" s="780">
        <v>0</v>
      </c>
      <c r="AQ1607" s="780"/>
      <c r="AR1607" s="780"/>
      <c r="AS1607" s="780"/>
      <c r="AT1607" s="780"/>
      <c r="AU1607" s="789">
        <v>1</v>
      </c>
      <c r="AV1607" s="17">
        <f t="shared" si="226"/>
        <v>0</v>
      </c>
      <c r="AW1607" s="781"/>
    </row>
    <row r="1608" spans="1:49" s="794" customFormat="1" x14ac:dyDescent="0.15">
      <c r="A1608" s="791">
        <v>30561</v>
      </c>
      <c r="B1608" s="692" t="s">
        <v>3463</v>
      </c>
      <c r="C1608" s="792" t="s">
        <v>4608</v>
      </c>
      <c r="D1608" s="692">
        <v>3</v>
      </c>
      <c r="E1608" s="692">
        <v>0</v>
      </c>
      <c r="F1608" s="692">
        <v>4</v>
      </c>
      <c r="G1608" s="793">
        <v>70</v>
      </c>
      <c r="H1608" s="692">
        <v>200</v>
      </c>
      <c r="I1608" s="17">
        <v>0</v>
      </c>
      <c r="J1608" s="793"/>
      <c r="K1608" s="692">
        <v>0</v>
      </c>
      <c r="L1608" s="692"/>
      <c r="M1608" s="692"/>
      <c r="N1608" s="692"/>
      <c r="O1608" s="692"/>
      <c r="P1608" s="692"/>
      <c r="Q1608" s="689"/>
      <c r="R1608" s="776"/>
      <c r="S1608" s="689"/>
      <c r="T1608" s="689"/>
      <c r="U1608" s="692"/>
      <c r="V1608" s="692"/>
      <c r="W1608" s="692"/>
      <c r="X1608" s="692"/>
      <c r="Y1608" s="692"/>
      <c r="Z1608" s="690">
        <v>0</v>
      </c>
      <c r="AA1608" s="692"/>
      <c r="AB1608" s="691"/>
      <c r="AC1608" s="691"/>
      <c r="AD1608" s="777"/>
      <c r="AE1608" s="692"/>
      <c r="AF1608" s="792" t="s">
        <v>4609</v>
      </c>
      <c r="AG1608" s="692"/>
      <c r="AH1608" s="692"/>
      <c r="AI1608" s="692"/>
      <c r="AJ1608" s="692"/>
      <c r="AK1608" s="693"/>
      <c r="AL1608" s="793"/>
      <c r="AM1608" s="692"/>
      <c r="AN1608" s="692"/>
      <c r="AO1608" s="692"/>
      <c r="AP1608" s="692">
        <v>0</v>
      </c>
      <c r="AQ1608" s="692"/>
      <c r="AR1608" s="692"/>
      <c r="AS1608" s="692"/>
      <c r="AT1608" s="692"/>
      <c r="AU1608" s="235">
        <v>1</v>
      </c>
      <c r="AV1608" s="17">
        <f t="shared" si="226"/>
        <v>0</v>
      </c>
      <c r="AW1608" s="792"/>
    </row>
    <row r="1609" spans="1:49" s="794" customFormat="1" x14ac:dyDescent="0.15">
      <c r="A1609" s="791">
        <v>30562</v>
      </c>
      <c r="B1609" s="692" t="s">
        <v>3463</v>
      </c>
      <c r="C1609" s="792" t="s">
        <v>3444</v>
      </c>
      <c r="D1609" s="692">
        <v>3</v>
      </c>
      <c r="E1609" s="692">
        <v>0</v>
      </c>
      <c r="F1609" s="692">
        <v>4</v>
      </c>
      <c r="G1609" s="793">
        <v>70</v>
      </c>
      <c r="H1609" s="692">
        <v>200</v>
      </c>
      <c r="I1609" s="17">
        <v>0</v>
      </c>
      <c r="J1609" s="793"/>
      <c r="K1609" s="692">
        <v>0</v>
      </c>
      <c r="L1609" s="692"/>
      <c r="M1609" s="692"/>
      <c r="N1609" s="692"/>
      <c r="O1609" s="692"/>
      <c r="P1609" s="692"/>
      <c r="Q1609" s="689"/>
      <c r="R1609" s="776"/>
      <c r="S1609" s="689"/>
      <c r="T1609" s="689"/>
      <c r="U1609" s="692"/>
      <c r="V1609" s="692"/>
      <c r="W1609" s="692"/>
      <c r="X1609" s="692"/>
      <c r="Y1609" s="692"/>
      <c r="Z1609" s="690">
        <v>0</v>
      </c>
      <c r="AA1609" s="692"/>
      <c r="AB1609" s="691"/>
      <c r="AC1609" s="691"/>
      <c r="AD1609" s="777"/>
      <c r="AE1609" s="692"/>
      <c r="AF1609" s="792" t="s">
        <v>3469</v>
      </c>
      <c r="AG1609" s="692"/>
      <c r="AH1609" s="692"/>
      <c r="AI1609" s="692"/>
      <c r="AJ1609" s="692"/>
      <c r="AK1609" s="693"/>
      <c r="AL1609" s="793"/>
      <c r="AM1609" s="692"/>
      <c r="AN1609" s="692"/>
      <c r="AO1609" s="692"/>
      <c r="AP1609" s="692">
        <v>0</v>
      </c>
      <c r="AQ1609" s="692"/>
      <c r="AR1609" s="692"/>
      <c r="AS1609" s="692"/>
      <c r="AT1609" s="692"/>
      <c r="AU1609" s="235">
        <v>1</v>
      </c>
      <c r="AV1609" s="17">
        <f t="shared" si="226"/>
        <v>0</v>
      </c>
      <c r="AW1609" s="792"/>
    </row>
    <row r="1610" spans="1:49" s="794" customFormat="1" x14ac:dyDescent="0.15">
      <c r="A1610" s="791">
        <v>30563</v>
      </c>
      <c r="B1610" s="692" t="s">
        <v>3463</v>
      </c>
      <c r="C1610" s="792" t="s">
        <v>3445</v>
      </c>
      <c r="D1610" s="692">
        <v>3</v>
      </c>
      <c r="E1610" s="692">
        <v>0</v>
      </c>
      <c r="F1610" s="692">
        <v>4</v>
      </c>
      <c r="G1610" s="793">
        <v>70</v>
      </c>
      <c r="H1610" s="692">
        <v>200</v>
      </c>
      <c r="I1610" s="17">
        <v>0</v>
      </c>
      <c r="J1610" s="793"/>
      <c r="K1610" s="692">
        <v>0</v>
      </c>
      <c r="L1610" s="692"/>
      <c r="M1610" s="692"/>
      <c r="N1610" s="692"/>
      <c r="O1610" s="692"/>
      <c r="P1610" s="692"/>
      <c r="Q1610" s="689"/>
      <c r="R1610" s="776"/>
      <c r="S1610" s="689"/>
      <c r="T1610" s="689"/>
      <c r="U1610" s="692"/>
      <c r="V1610" s="692"/>
      <c r="W1610" s="692"/>
      <c r="X1610" s="692"/>
      <c r="Y1610" s="692"/>
      <c r="Z1610" s="690">
        <v>0</v>
      </c>
      <c r="AA1610" s="692"/>
      <c r="AB1610" s="691"/>
      <c r="AC1610" s="691"/>
      <c r="AD1610" s="777"/>
      <c r="AE1610" s="692"/>
      <c r="AF1610" s="792" t="s">
        <v>3471</v>
      </c>
      <c r="AG1610" s="692"/>
      <c r="AH1610" s="692"/>
      <c r="AI1610" s="692"/>
      <c r="AJ1610" s="692"/>
      <c r="AK1610" s="693"/>
      <c r="AL1610" s="793"/>
      <c r="AM1610" s="692"/>
      <c r="AN1610" s="692"/>
      <c r="AO1610" s="692"/>
      <c r="AP1610" s="692">
        <v>0</v>
      </c>
      <c r="AQ1610" s="692"/>
      <c r="AR1610" s="692"/>
      <c r="AS1610" s="692"/>
      <c r="AT1610" s="692"/>
      <c r="AU1610" s="235">
        <v>1</v>
      </c>
      <c r="AV1610" s="17">
        <f t="shared" si="226"/>
        <v>0</v>
      </c>
      <c r="AW1610" s="792"/>
    </row>
    <row r="1611" spans="1:49" s="794" customFormat="1" x14ac:dyDescent="0.15">
      <c r="A1611" s="791">
        <v>30564</v>
      </c>
      <c r="B1611" s="692" t="s">
        <v>3463</v>
      </c>
      <c r="C1611" s="792" t="s">
        <v>3446</v>
      </c>
      <c r="D1611" s="692">
        <v>3</v>
      </c>
      <c r="E1611" s="692">
        <v>0</v>
      </c>
      <c r="F1611" s="692">
        <v>4</v>
      </c>
      <c r="G1611" s="793">
        <v>70</v>
      </c>
      <c r="H1611" s="692">
        <v>200</v>
      </c>
      <c r="I1611" s="17">
        <v>0</v>
      </c>
      <c r="J1611" s="793"/>
      <c r="K1611" s="692">
        <v>0</v>
      </c>
      <c r="L1611" s="692"/>
      <c r="M1611" s="692"/>
      <c r="N1611" s="692"/>
      <c r="O1611" s="692"/>
      <c r="P1611" s="692"/>
      <c r="Q1611" s="689"/>
      <c r="R1611" s="776"/>
      <c r="S1611" s="689"/>
      <c r="T1611" s="689"/>
      <c r="U1611" s="692"/>
      <c r="V1611" s="692"/>
      <c r="W1611" s="692"/>
      <c r="X1611" s="692"/>
      <c r="Y1611" s="692"/>
      <c r="Z1611" s="690">
        <v>0</v>
      </c>
      <c r="AA1611" s="692"/>
      <c r="AB1611" s="691"/>
      <c r="AC1611" s="691"/>
      <c r="AD1611" s="777"/>
      <c r="AE1611" s="692"/>
      <c r="AF1611" s="792" t="s">
        <v>3472</v>
      </c>
      <c r="AG1611" s="692"/>
      <c r="AH1611" s="692"/>
      <c r="AI1611" s="692"/>
      <c r="AJ1611" s="692"/>
      <c r="AK1611" s="693"/>
      <c r="AL1611" s="793"/>
      <c r="AM1611" s="692"/>
      <c r="AN1611" s="692"/>
      <c r="AO1611" s="692"/>
      <c r="AP1611" s="692">
        <v>0</v>
      </c>
      <c r="AQ1611" s="692"/>
      <c r="AR1611" s="692"/>
      <c r="AS1611" s="692"/>
      <c r="AT1611" s="692"/>
      <c r="AU1611" s="235">
        <v>1</v>
      </c>
      <c r="AV1611" s="17">
        <f t="shared" si="226"/>
        <v>0</v>
      </c>
      <c r="AW1611" s="792"/>
    </row>
    <row r="1612" spans="1:49" s="794" customFormat="1" x14ac:dyDescent="0.15">
      <c r="A1612" s="791">
        <v>30565</v>
      </c>
      <c r="B1612" s="692" t="s">
        <v>3463</v>
      </c>
      <c r="C1612" s="792" t="s">
        <v>4094</v>
      </c>
      <c r="D1612" s="692">
        <v>3</v>
      </c>
      <c r="E1612" s="692">
        <v>0</v>
      </c>
      <c r="F1612" s="692">
        <v>4</v>
      </c>
      <c r="G1612" s="793">
        <v>70</v>
      </c>
      <c r="H1612" s="692">
        <v>200</v>
      </c>
      <c r="I1612" s="17">
        <v>0</v>
      </c>
      <c r="J1612" s="793"/>
      <c r="K1612" s="692">
        <v>0</v>
      </c>
      <c r="L1612" s="692"/>
      <c r="M1612" s="692"/>
      <c r="N1612" s="692"/>
      <c r="O1612" s="692"/>
      <c r="P1612" s="692"/>
      <c r="Q1612" s="689"/>
      <c r="R1612" s="776"/>
      <c r="S1612" s="689"/>
      <c r="T1612" s="689"/>
      <c r="U1612" s="692"/>
      <c r="V1612" s="692"/>
      <c r="W1612" s="692"/>
      <c r="X1612" s="692"/>
      <c r="Y1612" s="692"/>
      <c r="Z1612" s="690">
        <v>0</v>
      </c>
      <c r="AA1612" s="692"/>
      <c r="AB1612" s="691"/>
      <c r="AC1612" s="691"/>
      <c r="AD1612" s="777"/>
      <c r="AE1612" s="692"/>
      <c r="AF1612" s="792" t="s">
        <v>4095</v>
      </c>
      <c r="AG1612" s="692"/>
      <c r="AH1612" s="692"/>
      <c r="AI1612" s="692"/>
      <c r="AJ1612" s="692"/>
      <c r="AK1612" s="693"/>
      <c r="AL1612" s="793"/>
      <c r="AM1612" s="692"/>
      <c r="AN1612" s="692"/>
      <c r="AO1612" s="692"/>
      <c r="AP1612" s="692">
        <v>0</v>
      </c>
      <c r="AQ1612" s="692"/>
      <c r="AR1612" s="692"/>
      <c r="AS1612" s="692"/>
      <c r="AT1612" s="692"/>
      <c r="AU1612" s="235">
        <v>0</v>
      </c>
      <c r="AV1612" s="17">
        <f t="shared" si="226"/>
        <v>0</v>
      </c>
      <c r="AW1612" s="792"/>
    </row>
    <row r="1613" spans="1:49" s="794" customFormat="1" x14ac:dyDescent="0.15">
      <c r="A1613" s="791">
        <v>30566</v>
      </c>
      <c r="B1613" s="692" t="s">
        <v>3463</v>
      </c>
      <c r="C1613" s="792" t="s">
        <v>3447</v>
      </c>
      <c r="D1613" s="692">
        <v>3</v>
      </c>
      <c r="E1613" s="692">
        <v>0</v>
      </c>
      <c r="F1613" s="692">
        <v>4</v>
      </c>
      <c r="G1613" s="793">
        <v>70</v>
      </c>
      <c r="H1613" s="692">
        <v>200</v>
      </c>
      <c r="I1613" s="17">
        <v>0</v>
      </c>
      <c r="J1613" s="793"/>
      <c r="K1613" s="692">
        <v>0</v>
      </c>
      <c r="L1613" s="692"/>
      <c r="M1613" s="692"/>
      <c r="N1613" s="692"/>
      <c r="O1613" s="692"/>
      <c r="P1613" s="692"/>
      <c r="Q1613" s="689"/>
      <c r="R1613" s="776"/>
      <c r="S1613" s="689"/>
      <c r="T1613" s="689"/>
      <c r="U1613" s="692"/>
      <c r="V1613" s="692"/>
      <c r="W1613" s="692"/>
      <c r="X1613" s="692"/>
      <c r="Y1613" s="692"/>
      <c r="Z1613" s="690">
        <v>0</v>
      </c>
      <c r="AA1613" s="692"/>
      <c r="AB1613" s="691"/>
      <c r="AC1613" s="691"/>
      <c r="AD1613" s="777"/>
      <c r="AE1613" s="692"/>
      <c r="AF1613" s="792" t="s">
        <v>4133</v>
      </c>
      <c r="AG1613" s="692"/>
      <c r="AH1613" s="692"/>
      <c r="AI1613" s="692"/>
      <c r="AJ1613" s="692"/>
      <c r="AK1613" s="693"/>
      <c r="AL1613" s="793"/>
      <c r="AM1613" s="692"/>
      <c r="AN1613" s="692"/>
      <c r="AO1613" s="692"/>
      <c r="AP1613" s="692">
        <v>0</v>
      </c>
      <c r="AQ1613" s="692"/>
      <c r="AR1613" s="692"/>
      <c r="AS1613" s="692"/>
      <c r="AT1613" s="692"/>
      <c r="AU1613" s="235">
        <v>0</v>
      </c>
      <c r="AV1613" s="17">
        <f t="shared" si="226"/>
        <v>0</v>
      </c>
      <c r="AW1613" s="792"/>
    </row>
    <row r="1614" spans="1:49" s="794" customFormat="1" x14ac:dyDescent="0.15">
      <c r="A1614" s="791">
        <v>30567</v>
      </c>
      <c r="B1614" s="692" t="s">
        <v>3463</v>
      </c>
      <c r="C1614" s="792" t="s">
        <v>4599</v>
      </c>
      <c r="D1614" s="692">
        <v>3</v>
      </c>
      <c r="E1614" s="692">
        <v>0</v>
      </c>
      <c r="F1614" s="692">
        <v>4</v>
      </c>
      <c r="G1614" s="793">
        <v>70</v>
      </c>
      <c r="H1614" s="692">
        <v>200</v>
      </c>
      <c r="I1614" s="17">
        <v>0</v>
      </c>
      <c r="J1614" s="793"/>
      <c r="K1614" s="692">
        <v>0</v>
      </c>
      <c r="L1614" s="692"/>
      <c r="M1614" s="692"/>
      <c r="N1614" s="692"/>
      <c r="O1614" s="692"/>
      <c r="P1614" s="692"/>
      <c r="Q1614" s="689"/>
      <c r="R1614" s="776"/>
      <c r="S1614" s="689"/>
      <c r="T1614" s="689"/>
      <c r="U1614" s="692"/>
      <c r="V1614" s="692"/>
      <c r="W1614" s="692"/>
      <c r="X1614" s="692"/>
      <c r="Y1614" s="692"/>
      <c r="Z1614" s="690">
        <v>0</v>
      </c>
      <c r="AA1614" s="692"/>
      <c r="AB1614" s="691"/>
      <c r="AC1614" s="691"/>
      <c r="AD1614" s="777"/>
      <c r="AE1614" s="692"/>
      <c r="AF1614" s="792" t="s">
        <v>4600</v>
      </c>
      <c r="AG1614" s="692"/>
      <c r="AH1614" s="692"/>
      <c r="AI1614" s="692"/>
      <c r="AJ1614" s="692"/>
      <c r="AK1614" s="693"/>
      <c r="AL1614" s="793"/>
      <c r="AM1614" s="692"/>
      <c r="AN1614" s="692"/>
      <c r="AO1614" s="692"/>
      <c r="AP1614" s="692">
        <v>0</v>
      </c>
      <c r="AQ1614" s="692"/>
      <c r="AR1614" s="692"/>
      <c r="AS1614" s="692"/>
      <c r="AT1614" s="692"/>
      <c r="AU1614" s="235">
        <v>0</v>
      </c>
      <c r="AV1614" s="17">
        <f t="shared" si="226"/>
        <v>0</v>
      </c>
      <c r="AW1614" s="792"/>
    </row>
    <row r="1615" spans="1:49" s="794" customFormat="1" x14ac:dyDescent="0.15">
      <c r="A1615" s="791">
        <v>30568</v>
      </c>
      <c r="B1615" s="692" t="s">
        <v>3463</v>
      </c>
      <c r="C1615" s="792" t="s">
        <v>3448</v>
      </c>
      <c r="D1615" s="692">
        <v>3</v>
      </c>
      <c r="E1615" s="692">
        <v>0</v>
      </c>
      <c r="F1615" s="692">
        <v>4</v>
      </c>
      <c r="G1615" s="793">
        <v>70</v>
      </c>
      <c r="H1615" s="692">
        <v>200</v>
      </c>
      <c r="I1615" s="17">
        <v>0</v>
      </c>
      <c r="J1615" s="793"/>
      <c r="K1615" s="692">
        <v>0</v>
      </c>
      <c r="L1615" s="692"/>
      <c r="M1615" s="692"/>
      <c r="N1615" s="692"/>
      <c r="O1615" s="692"/>
      <c r="P1615" s="692"/>
      <c r="Q1615" s="689"/>
      <c r="R1615" s="776"/>
      <c r="S1615" s="689"/>
      <c r="T1615" s="689"/>
      <c r="U1615" s="692"/>
      <c r="V1615" s="692"/>
      <c r="W1615" s="692"/>
      <c r="X1615" s="692"/>
      <c r="Y1615" s="692"/>
      <c r="Z1615" s="690">
        <v>0</v>
      </c>
      <c r="AA1615" s="692"/>
      <c r="AB1615" s="691"/>
      <c r="AC1615" s="691"/>
      <c r="AD1615" s="777"/>
      <c r="AE1615" s="692"/>
      <c r="AF1615" s="792" t="s">
        <v>3449</v>
      </c>
      <c r="AG1615" s="692"/>
      <c r="AH1615" s="692"/>
      <c r="AI1615" s="692"/>
      <c r="AJ1615" s="692"/>
      <c r="AK1615" s="693"/>
      <c r="AL1615" s="793"/>
      <c r="AM1615" s="692"/>
      <c r="AN1615" s="692"/>
      <c r="AO1615" s="692"/>
      <c r="AP1615" s="692">
        <v>0</v>
      </c>
      <c r="AQ1615" s="692"/>
      <c r="AR1615" s="692"/>
      <c r="AS1615" s="692"/>
      <c r="AT1615" s="692"/>
      <c r="AU1615" s="235">
        <v>1</v>
      </c>
      <c r="AV1615" s="17">
        <f t="shared" si="226"/>
        <v>0</v>
      </c>
      <c r="AW1615" s="792"/>
    </row>
    <row r="1616" spans="1:49" s="794" customFormat="1" x14ac:dyDescent="0.15">
      <c r="A1616" s="791">
        <v>30569</v>
      </c>
      <c r="B1616" s="692" t="s">
        <v>3463</v>
      </c>
      <c r="C1616" s="792" t="s">
        <v>3478</v>
      </c>
      <c r="D1616" s="692">
        <v>3</v>
      </c>
      <c r="E1616" s="692">
        <v>0</v>
      </c>
      <c r="F1616" s="692">
        <v>4</v>
      </c>
      <c r="G1616" s="793">
        <v>70</v>
      </c>
      <c r="H1616" s="692">
        <v>200</v>
      </c>
      <c r="I1616" s="17">
        <v>0</v>
      </c>
      <c r="J1616" s="793"/>
      <c r="K1616" s="692">
        <v>0</v>
      </c>
      <c r="L1616" s="692"/>
      <c r="M1616" s="692"/>
      <c r="N1616" s="692"/>
      <c r="O1616" s="692"/>
      <c r="P1616" s="692"/>
      <c r="Q1616" s="689"/>
      <c r="R1616" s="776"/>
      <c r="S1616" s="689"/>
      <c r="T1616" s="689"/>
      <c r="U1616" s="692"/>
      <c r="V1616" s="692"/>
      <c r="W1616" s="692"/>
      <c r="X1616" s="692"/>
      <c r="Y1616" s="692"/>
      <c r="Z1616" s="690">
        <v>0</v>
      </c>
      <c r="AA1616" s="692"/>
      <c r="AB1616" s="691"/>
      <c r="AC1616" s="691"/>
      <c r="AD1616" s="777"/>
      <c r="AE1616" s="692"/>
      <c r="AF1616" s="792" t="s">
        <v>3473</v>
      </c>
      <c r="AG1616" s="692"/>
      <c r="AH1616" s="692"/>
      <c r="AI1616" s="692"/>
      <c r="AJ1616" s="692"/>
      <c r="AK1616" s="693"/>
      <c r="AL1616" s="793"/>
      <c r="AM1616" s="692"/>
      <c r="AN1616" s="692"/>
      <c r="AO1616" s="692"/>
      <c r="AP1616" s="692">
        <v>0</v>
      </c>
      <c r="AQ1616" s="692"/>
      <c r="AR1616" s="692"/>
      <c r="AS1616" s="692"/>
      <c r="AT1616" s="692"/>
      <c r="AU1616" s="235">
        <v>0</v>
      </c>
      <c r="AV1616" s="17">
        <f t="shared" si="226"/>
        <v>0</v>
      </c>
      <c r="AW1616" s="792"/>
    </row>
    <row r="1617" spans="1:49" s="790" customFormat="1" x14ac:dyDescent="0.15">
      <c r="A1617" s="779">
        <v>30570</v>
      </c>
      <c r="B1617" s="780" t="s">
        <v>3467</v>
      </c>
      <c r="C1617" s="781" t="s">
        <v>3442</v>
      </c>
      <c r="D1617" s="780">
        <v>3</v>
      </c>
      <c r="E1617" s="780">
        <v>0</v>
      </c>
      <c r="F1617" s="780">
        <v>4</v>
      </c>
      <c r="G1617" s="782">
        <v>70</v>
      </c>
      <c r="H1617" s="780">
        <v>200</v>
      </c>
      <c r="I1617" s="17">
        <v>0</v>
      </c>
      <c r="J1617" s="782"/>
      <c r="K1617" s="780">
        <v>0</v>
      </c>
      <c r="L1617" s="780"/>
      <c r="M1617" s="780"/>
      <c r="N1617" s="780"/>
      <c r="O1617" s="780"/>
      <c r="P1617" s="780"/>
      <c r="Q1617" s="783"/>
      <c r="R1617" s="784"/>
      <c r="S1617" s="783"/>
      <c r="T1617" s="783"/>
      <c r="U1617" s="780"/>
      <c r="V1617" s="780"/>
      <c r="W1617" s="780"/>
      <c r="X1617" s="780"/>
      <c r="Y1617" s="780"/>
      <c r="Z1617" s="785">
        <v>0</v>
      </c>
      <c r="AA1617" s="780"/>
      <c r="AB1617" s="786"/>
      <c r="AC1617" s="786"/>
      <c r="AD1617" s="787"/>
      <c r="AE1617" s="780"/>
      <c r="AF1617" s="781" t="s">
        <v>3443</v>
      </c>
      <c r="AG1617" s="780"/>
      <c r="AH1617" s="780"/>
      <c r="AI1617" s="780"/>
      <c r="AJ1617" s="780"/>
      <c r="AK1617" s="788"/>
      <c r="AL1617" s="782"/>
      <c r="AM1617" s="780"/>
      <c r="AN1617" s="780"/>
      <c r="AO1617" s="780"/>
      <c r="AP1617" s="780">
        <v>0</v>
      </c>
      <c r="AQ1617" s="780"/>
      <c r="AR1617" s="780"/>
      <c r="AS1617" s="780"/>
      <c r="AT1617" s="780"/>
      <c r="AU1617" s="789">
        <v>1</v>
      </c>
      <c r="AV1617" s="17">
        <f t="shared" si="226"/>
        <v>0</v>
      </c>
      <c r="AW1617" s="781"/>
    </row>
    <row r="1618" spans="1:49" s="794" customFormat="1" x14ac:dyDescent="0.15">
      <c r="A1618" s="791">
        <v>30571</v>
      </c>
      <c r="B1618" s="692" t="s">
        <v>3464</v>
      </c>
      <c r="C1618" s="792" t="s">
        <v>4608</v>
      </c>
      <c r="D1618" s="692">
        <v>3</v>
      </c>
      <c r="E1618" s="692">
        <v>0</v>
      </c>
      <c r="F1618" s="692">
        <v>4</v>
      </c>
      <c r="G1618" s="793">
        <v>70</v>
      </c>
      <c r="H1618" s="692">
        <v>200</v>
      </c>
      <c r="I1618" s="17">
        <v>0</v>
      </c>
      <c r="J1618" s="793"/>
      <c r="K1618" s="692">
        <v>0</v>
      </c>
      <c r="L1618" s="692"/>
      <c r="M1618" s="692"/>
      <c r="N1618" s="692"/>
      <c r="O1618" s="692"/>
      <c r="P1618" s="692"/>
      <c r="Q1618" s="689"/>
      <c r="R1618" s="776"/>
      <c r="S1618" s="689"/>
      <c r="T1618" s="689"/>
      <c r="U1618" s="692"/>
      <c r="V1618" s="692"/>
      <c r="W1618" s="692"/>
      <c r="X1618" s="692"/>
      <c r="Y1618" s="692"/>
      <c r="Z1618" s="690">
        <v>0</v>
      </c>
      <c r="AA1618" s="692"/>
      <c r="AB1618" s="691"/>
      <c r="AC1618" s="691"/>
      <c r="AD1618" s="777"/>
      <c r="AE1618" s="692"/>
      <c r="AF1618" s="792" t="s">
        <v>4609</v>
      </c>
      <c r="AG1618" s="692"/>
      <c r="AH1618" s="692"/>
      <c r="AI1618" s="692"/>
      <c r="AJ1618" s="692"/>
      <c r="AK1618" s="693"/>
      <c r="AL1618" s="793"/>
      <c r="AM1618" s="692"/>
      <c r="AN1618" s="692"/>
      <c r="AO1618" s="692"/>
      <c r="AP1618" s="692">
        <v>0</v>
      </c>
      <c r="AQ1618" s="692"/>
      <c r="AR1618" s="692"/>
      <c r="AS1618" s="692"/>
      <c r="AT1618" s="692"/>
      <c r="AU1618" s="235">
        <v>1</v>
      </c>
      <c r="AV1618" s="17">
        <f t="shared" si="226"/>
        <v>0</v>
      </c>
      <c r="AW1618" s="792"/>
    </row>
    <row r="1619" spans="1:49" s="794" customFormat="1" x14ac:dyDescent="0.15">
      <c r="A1619" s="791">
        <v>30572</v>
      </c>
      <c r="B1619" s="692" t="s">
        <v>3464</v>
      </c>
      <c r="C1619" s="792" t="s">
        <v>3444</v>
      </c>
      <c r="D1619" s="692">
        <v>3</v>
      </c>
      <c r="E1619" s="692">
        <v>0</v>
      </c>
      <c r="F1619" s="692">
        <v>4</v>
      </c>
      <c r="G1619" s="793">
        <v>70</v>
      </c>
      <c r="H1619" s="692">
        <v>200</v>
      </c>
      <c r="I1619" s="17">
        <v>0</v>
      </c>
      <c r="J1619" s="793"/>
      <c r="K1619" s="692">
        <v>0</v>
      </c>
      <c r="L1619" s="692"/>
      <c r="M1619" s="692"/>
      <c r="N1619" s="692"/>
      <c r="O1619" s="692"/>
      <c r="P1619" s="692"/>
      <c r="Q1619" s="689"/>
      <c r="R1619" s="776"/>
      <c r="S1619" s="689"/>
      <c r="T1619" s="689"/>
      <c r="U1619" s="692"/>
      <c r="V1619" s="692"/>
      <c r="W1619" s="692"/>
      <c r="X1619" s="692"/>
      <c r="Y1619" s="692"/>
      <c r="Z1619" s="690">
        <v>0</v>
      </c>
      <c r="AA1619" s="692"/>
      <c r="AB1619" s="691"/>
      <c r="AC1619" s="691"/>
      <c r="AD1619" s="777"/>
      <c r="AE1619" s="692"/>
      <c r="AF1619" s="792" t="s">
        <v>3469</v>
      </c>
      <c r="AG1619" s="692"/>
      <c r="AH1619" s="692"/>
      <c r="AI1619" s="692"/>
      <c r="AJ1619" s="692"/>
      <c r="AK1619" s="693"/>
      <c r="AL1619" s="793"/>
      <c r="AM1619" s="692"/>
      <c r="AN1619" s="692"/>
      <c r="AO1619" s="692"/>
      <c r="AP1619" s="692">
        <v>0</v>
      </c>
      <c r="AQ1619" s="692"/>
      <c r="AR1619" s="692"/>
      <c r="AS1619" s="692"/>
      <c r="AT1619" s="692"/>
      <c r="AU1619" s="235">
        <v>1</v>
      </c>
      <c r="AV1619" s="17">
        <f t="shared" si="226"/>
        <v>0</v>
      </c>
      <c r="AW1619" s="792"/>
    </row>
    <row r="1620" spans="1:49" s="794" customFormat="1" x14ac:dyDescent="0.15">
      <c r="A1620" s="791">
        <v>30573</v>
      </c>
      <c r="B1620" s="692" t="s">
        <v>3464</v>
      </c>
      <c r="C1620" s="792" t="s">
        <v>3445</v>
      </c>
      <c r="D1620" s="692">
        <v>3</v>
      </c>
      <c r="E1620" s="692">
        <v>0</v>
      </c>
      <c r="F1620" s="692">
        <v>4</v>
      </c>
      <c r="G1620" s="793">
        <v>70</v>
      </c>
      <c r="H1620" s="692">
        <v>200</v>
      </c>
      <c r="I1620" s="17">
        <v>0</v>
      </c>
      <c r="J1620" s="793"/>
      <c r="K1620" s="692">
        <v>0</v>
      </c>
      <c r="L1620" s="692"/>
      <c r="M1620" s="692"/>
      <c r="N1620" s="692"/>
      <c r="O1620" s="692"/>
      <c r="P1620" s="692"/>
      <c r="Q1620" s="689"/>
      <c r="R1620" s="776"/>
      <c r="S1620" s="689"/>
      <c r="T1620" s="689"/>
      <c r="U1620" s="692"/>
      <c r="V1620" s="692"/>
      <c r="W1620" s="692"/>
      <c r="X1620" s="692"/>
      <c r="Y1620" s="692"/>
      <c r="Z1620" s="690">
        <v>0</v>
      </c>
      <c r="AA1620" s="692"/>
      <c r="AB1620" s="691"/>
      <c r="AC1620" s="691"/>
      <c r="AD1620" s="777"/>
      <c r="AE1620" s="692"/>
      <c r="AF1620" s="792" t="s">
        <v>3471</v>
      </c>
      <c r="AG1620" s="692"/>
      <c r="AH1620" s="692"/>
      <c r="AI1620" s="692"/>
      <c r="AJ1620" s="692"/>
      <c r="AK1620" s="693"/>
      <c r="AL1620" s="793"/>
      <c r="AM1620" s="692"/>
      <c r="AN1620" s="692"/>
      <c r="AO1620" s="692"/>
      <c r="AP1620" s="692">
        <v>0</v>
      </c>
      <c r="AQ1620" s="692"/>
      <c r="AR1620" s="692"/>
      <c r="AS1620" s="692"/>
      <c r="AT1620" s="692"/>
      <c r="AU1620" s="235">
        <v>1</v>
      </c>
      <c r="AV1620" s="17">
        <f t="shared" si="226"/>
        <v>0</v>
      </c>
      <c r="AW1620" s="792"/>
    </row>
    <row r="1621" spans="1:49" s="794" customFormat="1" x14ac:dyDescent="0.15">
      <c r="A1621" s="791">
        <v>30574</v>
      </c>
      <c r="B1621" s="692" t="s">
        <v>3464</v>
      </c>
      <c r="C1621" s="792" t="s">
        <v>3446</v>
      </c>
      <c r="D1621" s="692">
        <v>3</v>
      </c>
      <c r="E1621" s="692">
        <v>0</v>
      </c>
      <c r="F1621" s="692">
        <v>4</v>
      </c>
      <c r="G1621" s="793">
        <v>70</v>
      </c>
      <c r="H1621" s="692">
        <v>200</v>
      </c>
      <c r="I1621" s="17">
        <v>0</v>
      </c>
      <c r="J1621" s="793"/>
      <c r="K1621" s="692">
        <v>0</v>
      </c>
      <c r="L1621" s="692"/>
      <c r="M1621" s="692"/>
      <c r="N1621" s="692"/>
      <c r="O1621" s="692"/>
      <c r="P1621" s="692"/>
      <c r="Q1621" s="689"/>
      <c r="R1621" s="776"/>
      <c r="S1621" s="689"/>
      <c r="T1621" s="689"/>
      <c r="U1621" s="692"/>
      <c r="V1621" s="692"/>
      <c r="W1621" s="692"/>
      <c r="X1621" s="692"/>
      <c r="Y1621" s="692"/>
      <c r="Z1621" s="690">
        <v>0</v>
      </c>
      <c r="AA1621" s="692"/>
      <c r="AB1621" s="691"/>
      <c r="AC1621" s="691"/>
      <c r="AD1621" s="777"/>
      <c r="AE1621" s="692"/>
      <c r="AF1621" s="792" t="s">
        <v>3472</v>
      </c>
      <c r="AG1621" s="692"/>
      <c r="AH1621" s="692"/>
      <c r="AI1621" s="692"/>
      <c r="AJ1621" s="692"/>
      <c r="AK1621" s="693"/>
      <c r="AL1621" s="793"/>
      <c r="AM1621" s="692"/>
      <c r="AN1621" s="692"/>
      <c r="AO1621" s="692"/>
      <c r="AP1621" s="692">
        <v>0</v>
      </c>
      <c r="AQ1621" s="692"/>
      <c r="AR1621" s="692"/>
      <c r="AS1621" s="692"/>
      <c r="AT1621" s="692"/>
      <c r="AU1621" s="235">
        <v>1</v>
      </c>
      <c r="AV1621" s="17">
        <f t="shared" si="226"/>
        <v>0</v>
      </c>
      <c r="AW1621" s="792"/>
    </row>
    <row r="1622" spans="1:49" s="794" customFormat="1" x14ac:dyDescent="0.15">
      <c r="A1622" s="791">
        <v>30575</v>
      </c>
      <c r="B1622" s="692" t="s">
        <v>3464</v>
      </c>
      <c r="C1622" s="792" t="s">
        <v>4094</v>
      </c>
      <c r="D1622" s="692">
        <v>3</v>
      </c>
      <c r="E1622" s="692">
        <v>0</v>
      </c>
      <c r="F1622" s="692">
        <v>4</v>
      </c>
      <c r="G1622" s="793">
        <v>70</v>
      </c>
      <c r="H1622" s="692">
        <v>200</v>
      </c>
      <c r="I1622" s="17">
        <v>0</v>
      </c>
      <c r="J1622" s="793"/>
      <c r="K1622" s="692">
        <v>0</v>
      </c>
      <c r="L1622" s="692"/>
      <c r="M1622" s="692"/>
      <c r="N1622" s="692"/>
      <c r="O1622" s="692"/>
      <c r="P1622" s="692"/>
      <c r="Q1622" s="689"/>
      <c r="R1622" s="776"/>
      <c r="S1622" s="689"/>
      <c r="T1622" s="689"/>
      <c r="U1622" s="692"/>
      <c r="V1622" s="692"/>
      <c r="W1622" s="692"/>
      <c r="X1622" s="692"/>
      <c r="Y1622" s="692"/>
      <c r="Z1622" s="690">
        <v>0</v>
      </c>
      <c r="AA1622" s="692"/>
      <c r="AB1622" s="691"/>
      <c r="AC1622" s="691"/>
      <c r="AD1622" s="777"/>
      <c r="AE1622" s="692"/>
      <c r="AF1622" s="792" t="s">
        <v>4095</v>
      </c>
      <c r="AG1622" s="692"/>
      <c r="AH1622" s="692"/>
      <c r="AI1622" s="692"/>
      <c r="AJ1622" s="692"/>
      <c r="AK1622" s="693"/>
      <c r="AL1622" s="793"/>
      <c r="AM1622" s="692"/>
      <c r="AN1622" s="692"/>
      <c r="AO1622" s="692"/>
      <c r="AP1622" s="692">
        <v>0</v>
      </c>
      <c r="AQ1622" s="692"/>
      <c r="AR1622" s="692"/>
      <c r="AS1622" s="692"/>
      <c r="AT1622" s="692"/>
      <c r="AU1622" s="235">
        <v>0</v>
      </c>
      <c r="AV1622" s="17">
        <f t="shared" si="226"/>
        <v>0</v>
      </c>
      <c r="AW1622" s="792"/>
    </row>
    <row r="1623" spans="1:49" s="794" customFormat="1" x14ac:dyDescent="0.15">
      <c r="A1623" s="791">
        <v>30576</v>
      </c>
      <c r="B1623" s="692" t="s">
        <v>3464</v>
      </c>
      <c r="C1623" s="792" t="s">
        <v>3447</v>
      </c>
      <c r="D1623" s="692">
        <v>3</v>
      </c>
      <c r="E1623" s="692">
        <v>0</v>
      </c>
      <c r="F1623" s="692">
        <v>4</v>
      </c>
      <c r="G1623" s="793">
        <v>70</v>
      </c>
      <c r="H1623" s="692">
        <v>200</v>
      </c>
      <c r="I1623" s="17">
        <v>0</v>
      </c>
      <c r="J1623" s="793"/>
      <c r="K1623" s="692">
        <v>0</v>
      </c>
      <c r="L1623" s="692"/>
      <c r="M1623" s="692"/>
      <c r="N1623" s="692"/>
      <c r="O1623" s="692"/>
      <c r="P1623" s="692"/>
      <c r="Q1623" s="689"/>
      <c r="R1623" s="776"/>
      <c r="S1623" s="689"/>
      <c r="T1623" s="689"/>
      <c r="U1623" s="692"/>
      <c r="V1623" s="692"/>
      <c r="W1623" s="692"/>
      <c r="X1623" s="692"/>
      <c r="Y1623" s="692"/>
      <c r="Z1623" s="690">
        <v>0</v>
      </c>
      <c r="AA1623" s="692"/>
      <c r="AB1623" s="691"/>
      <c r="AC1623" s="691"/>
      <c r="AD1623" s="777"/>
      <c r="AE1623" s="692"/>
      <c r="AF1623" s="792" t="s">
        <v>4133</v>
      </c>
      <c r="AG1623" s="692"/>
      <c r="AH1623" s="692"/>
      <c r="AI1623" s="692"/>
      <c r="AJ1623" s="692"/>
      <c r="AK1623" s="693"/>
      <c r="AL1623" s="793"/>
      <c r="AM1623" s="692"/>
      <c r="AN1623" s="692"/>
      <c r="AO1623" s="692"/>
      <c r="AP1623" s="692">
        <v>0</v>
      </c>
      <c r="AQ1623" s="692"/>
      <c r="AR1623" s="692"/>
      <c r="AS1623" s="692"/>
      <c r="AT1623" s="692"/>
      <c r="AU1623" s="235">
        <v>0</v>
      </c>
      <c r="AV1623" s="17">
        <f t="shared" si="226"/>
        <v>0</v>
      </c>
      <c r="AW1623" s="792"/>
    </row>
    <row r="1624" spans="1:49" s="794" customFormat="1" x14ac:dyDescent="0.15">
      <c r="A1624" s="791">
        <v>30577</v>
      </c>
      <c r="B1624" s="692" t="s">
        <v>3464</v>
      </c>
      <c r="C1624" s="792" t="s">
        <v>4599</v>
      </c>
      <c r="D1624" s="692">
        <v>3</v>
      </c>
      <c r="E1624" s="692">
        <v>0</v>
      </c>
      <c r="F1624" s="692">
        <v>4</v>
      </c>
      <c r="G1624" s="793">
        <v>70</v>
      </c>
      <c r="H1624" s="692">
        <v>200</v>
      </c>
      <c r="I1624" s="17">
        <v>0</v>
      </c>
      <c r="J1624" s="793"/>
      <c r="K1624" s="692">
        <v>0</v>
      </c>
      <c r="L1624" s="692"/>
      <c r="M1624" s="692"/>
      <c r="N1624" s="692"/>
      <c r="O1624" s="692"/>
      <c r="P1624" s="692"/>
      <c r="Q1624" s="689"/>
      <c r="R1624" s="776"/>
      <c r="S1624" s="689"/>
      <c r="T1624" s="689"/>
      <c r="U1624" s="692"/>
      <c r="V1624" s="692"/>
      <c r="W1624" s="692"/>
      <c r="X1624" s="692"/>
      <c r="Y1624" s="692"/>
      <c r="Z1624" s="690">
        <v>0</v>
      </c>
      <c r="AA1624" s="692"/>
      <c r="AB1624" s="691"/>
      <c r="AC1624" s="691"/>
      <c r="AD1624" s="777"/>
      <c r="AE1624" s="692"/>
      <c r="AF1624" s="792" t="s">
        <v>4600</v>
      </c>
      <c r="AG1624" s="692"/>
      <c r="AH1624" s="692"/>
      <c r="AI1624" s="692"/>
      <c r="AJ1624" s="692"/>
      <c r="AK1624" s="693"/>
      <c r="AL1624" s="793"/>
      <c r="AM1624" s="692"/>
      <c r="AN1624" s="692"/>
      <c r="AO1624" s="692"/>
      <c r="AP1624" s="692">
        <v>0</v>
      </c>
      <c r="AQ1624" s="692"/>
      <c r="AR1624" s="692"/>
      <c r="AS1624" s="692"/>
      <c r="AT1624" s="692"/>
      <c r="AU1624" s="235">
        <v>0</v>
      </c>
      <c r="AV1624" s="17">
        <f t="shared" si="226"/>
        <v>0</v>
      </c>
      <c r="AW1624" s="792"/>
    </row>
    <row r="1625" spans="1:49" s="794" customFormat="1" x14ac:dyDescent="0.15">
      <c r="A1625" s="791">
        <v>30578</v>
      </c>
      <c r="B1625" s="692" t="s">
        <v>3464</v>
      </c>
      <c r="C1625" s="792" t="s">
        <v>3448</v>
      </c>
      <c r="D1625" s="692">
        <v>3</v>
      </c>
      <c r="E1625" s="692">
        <v>0</v>
      </c>
      <c r="F1625" s="692">
        <v>4</v>
      </c>
      <c r="G1625" s="793">
        <v>70</v>
      </c>
      <c r="H1625" s="692">
        <v>200</v>
      </c>
      <c r="I1625" s="17">
        <v>0</v>
      </c>
      <c r="J1625" s="793"/>
      <c r="K1625" s="692">
        <v>0</v>
      </c>
      <c r="L1625" s="692"/>
      <c r="M1625" s="692"/>
      <c r="N1625" s="692"/>
      <c r="O1625" s="692"/>
      <c r="P1625" s="692"/>
      <c r="Q1625" s="689"/>
      <c r="R1625" s="776"/>
      <c r="S1625" s="689"/>
      <c r="T1625" s="689"/>
      <c r="U1625" s="692"/>
      <c r="V1625" s="692"/>
      <c r="W1625" s="692"/>
      <c r="X1625" s="692"/>
      <c r="Y1625" s="692"/>
      <c r="Z1625" s="690">
        <v>0</v>
      </c>
      <c r="AA1625" s="692"/>
      <c r="AB1625" s="691"/>
      <c r="AC1625" s="691"/>
      <c r="AD1625" s="777"/>
      <c r="AE1625" s="692"/>
      <c r="AF1625" s="792" t="s">
        <v>3449</v>
      </c>
      <c r="AG1625" s="692"/>
      <c r="AH1625" s="692"/>
      <c r="AI1625" s="692"/>
      <c r="AJ1625" s="692"/>
      <c r="AK1625" s="693"/>
      <c r="AL1625" s="793"/>
      <c r="AM1625" s="692"/>
      <c r="AN1625" s="692"/>
      <c r="AO1625" s="692"/>
      <c r="AP1625" s="692">
        <v>0</v>
      </c>
      <c r="AQ1625" s="692"/>
      <c r="AR1625" s="692"/>
      <c r="AS1625" s="692"/>
      <c r="AT1625" s="692"/>
      <c r="AU1625" s="235">
        <v>1</v>
      </c>
      <c r="AV1625" s="17">
        <f t="shared" si="226"/>
        <v>0</v>
      </c>
      <c r="AW1625" s="792"/>
    </row>
    <row r="1626" spans="1:49" s="794" customFormat="1" x14ac:dyDescent="0.15">
      <c r="A1626" s="791">
        <v>30579</v>
      </c>
      <c r="B1626" s="692" t="s">
        <v>3464</v>
      </c>
      <c r="C1626" s="792" t="s">
        <v>3478</v>
      </c>
      <c r="D1626" s="692">
        <v>3</v>
      </c>
      <c r="E1626" s="692">
        <v>0</v>
      </c>
      <c r="F1626" s="692">
        <v>4</v>
      </c>
      <c r="G1626" s="793">
        <v>70</v>
      </c>
      <c r="H1626" s="692">
        <v>200</v>
      </c>
      <c r="I1626" s="17">
        <v>0</v>
      </c>
      <c r="J1626" s="793"/>
      <c r="K1626" s="692">
        <v>0</v>
      </c>
      <c r="L1626" s="692"/>
      <c r="M1626" s="692"/>
      <c r="N1626" s="692"/>
      <c r="O1626" s="692"/>
      <c r="P1626" s="692"/>
      <c r="Q1626" s="689"/>
      <c r="R1626" s="776"/>
      <c r="S1626" s="689"/>
      <c r="T1626" s="689"/>
      <c r="U1626" s="692"/>
      <c r="V1626" s="692"/>
      <c r="W1626" s="692"/>
      <c r="X1626" s="692"/>
      <c r="Y1626" s="692"/>
      <c r="Z1626" s="690">
        <v>0</v>
      </c>
      <c r="AA1626" s="692"/>
      <c r="AB1626" s="691"/>
      <c r="AC1626" s="691"/>
      <c r="AD1626" s="777"/>
      <c r="AE1626" s="692"/>
      <c r="AF1626" s="792" t="s">
        <v>3473</v>
      </c>
      <c r="AG1626" s="692"/>
      <c r="AH1626" s="692"/>
      <c r="AI1626" s="692"/>
      <c r="AJ1626" s="692"/>
      <c r="AK1626" s="693"/>
      <c r="AL1626" s="793"/>
      <c r="AM1626" s="692"/>
      <c r="AN1626" s="692"/>
      <c r="AO1626" s="692"/>
      <c r="AP1626" s="692">
        <v>0</v>
      </c>
      <c r="AQ1626" s="692"/>
      <c r="AR1626" s="692"/>
      <c r="AS1626" s="692"/>
      <c r="AT1626" s="692"/>
      <c r="AU1626" s="235">
        <v>0</v>
      </c>
      <c r="AV1626" s="17">
        <f t="shared" si="226"/>
        <v>0</v>
      </c>
      <c r="AW1626" s="792"/>
    </row>
    <row r="1627" spans="1:49" s="790" customFormat="1" x14ac:dyDescent="0.15">
      <c r="A1627" s="779">
        <v>30580</v>
      </c>
      <c r="B1627" s="780" t="s">
        <v>3468</v>
      </c>
      <c r="C1627" s="781" t="s">
        <v>3442</v>
      </c>
      <c r="D1627" s="780">
        <v>3</v>
      </c>
      <c r="E1627" s="780">
        <v>0</v>
      </c>
      <c r="F1627" s="780">
        <v>4</v>
      </c>
      <c r="G1627" s="782">
        <v>70</v>
      </c>
      <c r="H1627" s="780">
        <v>200</v>
      </c>
      <c r="I1627" s="17">
        <v>0</v>
      </c>
      <c r="J1627" s="782"/>
      <c r="K1627" s="780">
        <v>0</v>
      </c>
      <c r="L1627" s="780"/>
      <c r="M1627" s="780"/>
      <c r="N1627" s="780"/>
      <c r="O1627" s="780"/>
      <c r="P1627" s="780"/>
      <c r="Q1627" s="783"/>
      <c r="R1627" s="784"/>
      <c r="S1627" s="783"/>
      <c r="T1627" s="783"/>
      <c r="U1627" s="780"/>
      <c r="V1627" s="780"/>
      <c r="W1627" s="780"/>
      <c r="X1627" s="780"/>
      <c r="Y1627" s="780"/>
      <c r="Z1627" s="785">
        <v>0</v>
      </c>
      <c r="AA1627" s="780"/>
      <c r="AB1627" s="786"/>
      <c r="AC1627" s="786"/>
      <c r="AD1627" s="787"/>
      <c r="AE1627" s="780"/>
      <c r="AF1627" s="781" t="s">
        <v>3443</v>
      </c>
      <c r="AG1627" s="780"/>
      <c r="AH1627" s="780"/>
      <c r="AI1627" s="780"/>
      <c r="AJ1627" s="780"/>
      <c r="AK1627" s="788"/>
      <c r="AL1627" s="782"/>
      <c r="AM1627" s="780"/>
      <c r="AN1627" s="780"/>
      <c r="AO1627" s="780"/>
      <c r="AP1627" s="780">
        <v>0</v>
      </c>
      <c r="AQ1627" s="780"/>
      <c r="AR1627" s="780"/>
      <c r="AS1627" s="780"/>
      <c r="AT1627" s="780"/>
      <c r="AU1627" s="789">
        <v>1</v>
      </c>
      <c r="AV1627" s="17">
        <f t="shared" si="226"/>
        <v>0</v>
      </c>
      <c r="AW1627" s="781"/>
    </row>
    <row r="1628" spans="1:49" s="794" customFormat="1" x14ac:dyDescent="0.15">
      <c r="A1628" s="791">
        <v>30581</v>
      </c>
      <c r="B1628" s="692" t="s">
        <v>3465</v>
      </c>
      <c r="C1628" s="792" t="s">
        <v>4608</v>
      </c>
      <c r="D1628" s="692">
        <v>3</v>
      </c>
      <c r="E1628" s="692">
        <v>0</v>
      </c>
      <c r="F1628" s="692">
        <v>4</v>
      </c>
      <c r="G1628" s="793">
        <v>70</v>
      </c>
      <c r="H1628" s="692">
        <v>200</v>
      </c>
      <c r="I1628" s="17">
        <v>0</v>
      </c>
      <c r="J1628" s="793"/>
      <c r="K1628" s="692">
        <v>0</v>
      </c>
      <c r="L1628" s="692"/>
      <c r="M1628" s="692"/>
      <c r="N1628" s="692"/>
      <c r="O1628" s="692"/>
      <c r="P1628" s="692"/>
      <c r="Q1628" s="689"/>
      <c r="R1628" s="776"/>
      <c r="S1628" s="689"/>
      <c r="T1628" s="689"/>
      <c r="U1628" s="692"/>
      <c r="V1628" s="692"/>
      <c r="W1628" s="692"/>
      <c r="X1628" s="692"/>
      <c r="Y1628" s="692"/>
      <c r="Z1628" s="690">
        <v>0</v>
      </c>
      <c r="AA1628" s="692"/>
      <c r="AB1628" s="691"/>
      <c r="AC1628" s="691"/>
      <c r="AD1628" s="777"/>
      <c r="AE1628" s="692"/>
      <c r="AF1628" s="792" t="s">
        <v>4609</v>
      </c>
      <c r="AG1628" s="692"/>
      <c r="AH1628" s="692"/>
      <c r="AI1628" s="692"/>
      <c r="AJ1628" s="692"/>
      <c r="AK1628" s="693"/>
      <c r="AL1628" s="793"/>
      <c r="AM1628" s="692"/>
      <c r="AN1628" s="692"/>
      <c r="AO1628" s="692"/>
      <c r="AP1628" s="692">
        <v>0</v>
      </c>
      <c r="AQ1628" s="692"/>
      <c r="AR1628" s="692"/>
      <c r="AS1628" s="692"/>
      <c r="AT1628" s="692"/>
      <c r="AU1628" s="235">
        <v>1</v>
      </c>
      <c r="AV1628" s="17">
        <f t="shared" si="226"/>
        <v>0</v>
      </c>
      <c r="AW1628" s="792"/>
    </row>
    <row r="1629" spans="1:49" s="794" customFormat="1" x14ac:dyDescent="0.15">
      <c r="A1629" s="791">
        <v>30582</v>
      </c>
      <c r="B1629" s="692" t="s">
        <v>3465</v>
      </c>
      <c r="C1629" s="792" t="s">
        <v>3444</v>
      </c>
      <c r="D1629" s="692">
        <v>3</v>
      </c>
      <c r="E1629" s="692">
        <v>0</v>
      </c>
      <c r="F1629" s="692">
        <v>4</v>
      </c>
      <c r="G1629" s="793">
        <v>70</v>
      </c>
      <c r="H1629" s="692">
        <v>200</v>
      </c>
      <c r="I1629" s="17">
        <v>0</v>
      </c>
      <c r="J1629" s="793"/>
      <c r="K1629" s="692">
        <v>0</v>
      </c>
      <c r="L1629" s="692"/>
      <c r="M1629" s="692"/>
      <c r="N1629" s="692"/>
      <c r="O1629" s="692"/>
      <c r="P1629" s="692"/>
      <c r="Q1629" s="689"/>
      <c r="R1629" s="776"/>
      <c r="S1629" s="689"/>
      <c r="T1629" s="689"/>
      <c r="U1629" s="692"/>
      <c r="V1629" s="692"/>
      <c r="W1629" s="692"/>
      <c r="X1629" s="692"/>
      <c r="Y1629" s="692"/>
      <c r="Z1629" s="690">
        <v>0</v>
      </c>
      <c r="AA1629" s="692"/>
      <c r="AB1629" s="691"/>
      <c r="AC1629" s="691"/>
      <c r="AD1629" s="777"/>
      <c r="AE1629" s="692"/>
      <c r="AF1629" s="792" t="s">
        <v>3469</v>
      </c>
      <c r="AG1629" s="692"/>
      <c r="AH1629" s="692"/>
      <c r="AI1629" s="692"/>
      <c r="AJ1629" s="692"/>
      <c r="AK1629" s="693"/>
      <c r="AL1629" s="793"/>
      <c r="AM1629" s="692"/>
      <c r="AN1629" s="692"/>
      <c r="AO1629" s="692"/>
      <c r="AP1629" s="692">
        <v>0</v>
      </c>
      <c r="AQ1629" s="692"/>
      <c r="AR1629" s="692"/>
      <c r="AS1629" s="692"/>
      <c r="AT1629" s="692"/>
      <c r="AU1629" s="235">
        <v>1</v>
      </c>
      <c r="AV1629" s="17">
        <f t="shared" si="226"/>
        <v>0</v>
      </c>
      <c r="AW1629" s="792"/>
    </row>
    <row r="1630" spans="1:49" s="794" customFormat="1" x14ac:dyDescent="0.15">
      <c r="A1630" s="791">
        <v>30583</v>
      </c>
      <c r="B1630" s="692" t="s">
        <v>3465</v>
      </c>
      <c r="C1630" s="792" t="s">
        <v>3445</v>
      </c>
      <c r="D1630" s="692">
        <v>3</v>
      </c>
      <c r="E1630" s="692">
        <v>0</v>
      </c>
      <c r="F1630" s="692">
        <v>4</v>
      </c>
      <c r="G1630" s="793">
        <v>70</v>
      </c>
      <c r="H1630" s="692">
        <v>200</v>
      </c>
      <c r="I1630" s="17">
        <v>0</v>
      </c>
      <c r="J1630" s="793"/>
      <c r="K1630" s="692">
        <v>0</v>
      </c>
      <c r="L1630" s="692"/>
      <c r="M1630" s="692"/>
      <c r="N1630" s="692"/>
      <c r="O1630" s="692"/>
      <c r="P1630" s="692"/>
      <c r="Q1630" s="689"/>
      <c r="R1630" s="776"/>
      <c r="S1630" s="689"/>
      <c r="T1630" s="689"/>
      <c r="U1630" s="692"/>
      <c r="V1630" s="692"/>
      <c r="W1630" s="692"/>
      <c r="X1630" s="692"/>
      <c r="Y1630" s="692"/>
      <c r="Z1630" s="690">
        <v>0</v>
      </c>
      <c r="AA1630" s="692"/>
      <c r="AB1630" s="691"/>
      <c r="AC1630" s="691"/>
      <c r="AD1630" s="777"/>
      <c r="AE1630" s="692"/>
      <c r="AF1630" s="792" t="s">
        <v>3471</v>
      </c>
      <c r="AG1630" s="692"/>
      <c r="AH1630" s="692"/>
      <c r="AI1630" s="692"/>
      <c r="AJ1630" s="692"/>
      <c r="AK1630" s="693"/>
      <c r="AL1630" s="793"/>
      <c r="AM1630" s="692"/>
      <c r="AN1630" s="692"/>
      <c r="AO1630" s="692"/>
      <c r="AP1630" s="692">
        <v>0</v>
      </c>
      <c r="AQ1630" s="692"/>
      <c r="AR1630" s="692"/>
      <c r="AS1630" s="692"/>
      <c r="AT1630" s="692"/>
      <c r="AU1630" s="235">
        <v>1</v>
      </c>
      <c r="AV1630" s="17">
        <f t="shared" si="226"/>
        <v>0</v>
      </c>
      <c r="AW1630" s="792"/>
    </row>
    <row r="1631" spans="1:49" s="794" customFormat="1" x14ac:dyDescent="0.15">
      <c r="A1631" s="791">
        <v>30584</v>
      </c>
      <c r="B1631" s="692" t="s">
        <v>3465</v>
      </c>
      <c r="C1631" s="792" t="s">
        <v>3446</v>
      </c>
      <c r="D1631" s="692">
        <v>3</v>
      </c>
      <c r="E1631" s="692">
        <v>0</v>
      </c>
      <c r="F1631" s="692">
        <v>4</v>
      </c>
      <c r="G1631" s="793">
        <v>70</v>
      </c>
      <c r="H1631" s="692">
        <v>200</v>
      </c>
      <c r="I1631" s="17">
        <v>0</v>
      </c>
      <c r="J1631" s="793"/>
      <c r="K1631" s="692">
        <v>0</v>
      </c>
      <c r="L1631" s="692"/>
      <c r="M1631" s="692"/>
      <c r="N1631" s="692"/>
      <c r="O1631" s="692"/>
      <c r="P1631" s="692"/>
      <c r="Q1631" s="689"/>
      <c r="R1631" s="776"/>
      <c r="S1631" s="689"/>
      <c r="T1631" s="689"/>
      <c r="U1631" s="692"/>
      <c r="V1631" s="692"/>
      <c r="W1631" s="692"/>
      <c r="X1631" s="692"/>
      <c r="Y1631" s="692"/>
      <c r="Z1631" s="690">
        <v>0</v>
      </c>
      <c r="AA1631" s="692"/>
      <c r="AB1631" s="691"/>
      <c r="AC1631" s="691"/>
      <c r="AD1631" s="777"/>
      <c r="AE1631" s="692"/>
      <c r="AF1631" s="792" t="s">
        <v>3472</v>
      </c>
      <c r="AG1631" s="692"/>
      <c r="AH1631" s="692"/>
      <c r="AI1631" s="692"/>
      <c r="AJ1631" s="692"/>
      <c r="AK1631" s="693"/>
      <c r="AL1631" s="793"/>
      <c r="AM1631" s="692"/>
      <c r="AN1631" s="692"/>
      <c r="AO1631" s="692"/>
      <c r="AP1631" s="692">
        <v>0</v>
      </c>
      <c r="AQ1631" s="692"/>
      <c r="AR1631" s="692"/>
      <c r="AS1631" s="692"/>
      <c r="AT1631" s="692"/>
      <c r="AU1631" s="235">
        <v>1</v>
      </c>
      <c r="AV1631" s="17">
        <f t="shared" si="226"/>
        <v>0</v>
      </c>
      <c r="AW1631" s="792"/>
    </row>
    <row r="1632" spans="1:49" s="794" customFormat="1" x14ac:dyDescent="0.15">
      <c r="A1632" s="791">
        <v>30585</v>
      </c>
      <c r="B1632" s="692" t="s">
        <v>3465</v>
      </c>
      <c r="C1632" s="792" t="s">
        <v>4094</v>
      </c>
      <c r="D1632" s="692">
        <v>3</v>
      </c>
      <c r="E1632" s="692">
        <v>0</v>
      </c>
      <c r="F1632" s="692">
        <v>4</v>
      </c>
      <c r="G1632" s="793">
        <v>70</v>
      </c>
      <c r="H1632" s="692">
        <v>200</v>
      </c>
      <c r="I1632" s="17">
        <v>0</v>
      </c>
      <c r="J1632" s="793"/>
      <c r="K1632" s="692">
        <v>0</v>
      </c>
      <c r="L1632" s="692"/>
      <c r="M1632" s="692"/>
      <c r="N1632" s="692"/>
      <c r="O1632" s="692"/>
      <c r="P1632" s="692"/>
      <c r="Q1632" s="689"/>
      <c r="R1632" s="776"/>
      <c r="S1632" s="689"/>
      <c r="T1632" s="689"/>
      <c r="U1632" s="692"/>
      <c r="V1632" s="692"/>
      <c r="W1632" s="692"/>
      <c r="X1632" s="692"/>
      <c r="Y1632" s="692"/>
      <c r="Z1632" s="690">
        <v>0</v>
      </c>
      <c r="AA1632" s="692"/>
      <c r="AB1632" s="691"/>
      <c r="AC1632" s="691"/>
      <c r="AD1632" s="777"/>
      <c r="AE1632" s="692"/>
      <c r="AF1632" s="792" t="s">
        <v>4095</v>
      </c>
      <c r="AG1632" s="692"/>
      <c r="AH1632" s="692"/>
      <c r="AI1632" s="692"/>
      <c r="AJ1632" s="692"/>
      <c r="AK1632" s="693"/>
      <c r="AL1632" s="793"/>
      <c r="AM1632" s="692"/>
      <c r="AN1632" s="692"/>
      <c r="AO1632" s="692"/>
      <c r="AP1632" s="692">
        <v>0</v>
      </c>
      <c r="AQ1632" s="692"/>
      <c r="AR1632" s="692"/>
      <c r="AS1632" s="692"/>
      <c r="AT1632" s="692"/>
      <c r="AU1632" s="235">
        <v>0</v>
      </c>
      <c r="AV1632" s="17">
        <f t="shared" si="226"/>
        <v>0</v>
      </c>
      <c r="AW1632" s="792"/>
    </row>
    <row r="1633" spans="1:49" s="794" customFormat="1" x14ac:dyDescent="0.15">
      <c r="A1633" s="791">
        <v>30586</v>
      </c>
      <c r="B1633" s="692" t="s">
        <v>3465</v>
      </c>
      <c r="C1633" s="792" t="s">
        <v>3447</v>
      </c>
      <c r="D1633" s="692">
        <v>3</v>
      </c>
      <c r="E1633" s="692">
        <v>0</v>
      </c>
      <c r="F1633" s="692">
        <v>4</v>
      </c>
      <c r="G1633" s="793">
        <v>70</v>
      </c>
      <c r="H1633" s="692">
        <v>200</v>
      </c>
      <c r="I1633" s="17">
        <v>0</v>
      </c>
      <c r="J1633" s="793"/>
      <c r="K1633" s="692">
        <v>0</v>
      </c>
      <c r="L1633" s="692"/>
      <c r="M1633" s="692"/>
      <c r="N1633" s="692"/>
      <c r="O1633" s="692"/>
      <c r="P1633" s="692"/>
      <c r="Q1633" s="689"/>
      <c r="R1633" s="776"/>
      <c r="S1633" s="689"/>
      <c r="T1633" s="689"/>
      <c r="U1633" s="692"/>
      <c r="V1633" s="692"/>
      <c r="W1633" s="692"/>
      <c r="X1633" s="692"/>
      <c r="Y1633" s="692"/>
      <c r="Z1633" s="690">
        <v>0</v>
      </c>
      <c r="AA1633" s="692"/>
      <c r="AB1633" s="691"/>
      <c r="AC1633" s="691"/>
      <c r="AD1633" s="777"/>
      <c r="AE1633" s="692"/>
      <c r="AF1633" s="792" t="s">
        <v>4133</v>
      </c>
      <c r="AG1633" s="692"/>
      <c r="AH1633" s="692"/>
      <c r="AI1633" s="692"/>
      <c r="AJ1633" s="692"/>
      <c r="AK1633" s="693"/>
      <c r="AL1633" s="793"/>
      <c r="AM1633" s="692"/>
      <c r="AN1633" s="692"/>
      <c r="AO1633" s="692"/>
      <c r="AP1633" s="692">
        <v>0</v>
      </c>
      <c r="AQ1633" s="692"/>
      <c r="AR1633" s="692"/>
      <c r="AS1633" s="692"/>
      <c r="AT1633" s="692"/>
      <c r="AU1633" s="235">
        <v>0</v>
      </c>
      <c r="AV1633" s="17">
        <f t="shared" si="226"/>
        <v>0</v>
      </c>
      <c r="AW1633" s="792"/>
    </row>
    <row r="1634" spans="1:49" s="794" customFormat="1" x14ac:dyDescent="0.15">
      <c r="A1634" s="791">
        <v>30587</v>
      </c>
      <c r="B1634" s="692" t="s">
        <v>3465</v>
      </c>
      <c r="C1634" s="792" t="s">
        <v>4599</v>
      </c>
      <c r="D1634" s="692">
        <v>3</v>
      </c>
      <c r="E1634" s="692">
        <v>0</v>
      </c>
      <c r="F1634" s="692">
        <v>4</v>
      </c>
      <c r="G1634" s="793">
        <v>70</v>
      </c>
      <c r="H1634" s="692">
        <v>200</v>
      </c>
      <c r="I1634" s="17">
        <v>0</v>
      </c>
      <c r="J1634" s="793"/>
      <c r="K1634" s="692">
        <v>0</v>
      </c>
      <c r="L1634" s="692"/>
      <c r="M1634" s="692"/>
      <c r="N1634" s="692"/>
      <c r="O1634" s="692"/>
      <c r="P1634" s="692"/>
      <c r="Q1634" s="689"/>
      <c r="R1634" s="776"/>
      <c r="S1634" s="689"/>
      <c r="T1634" s="689"/>
      <c r="U1634" s="692"/>
      <c r="V1634" s="692"/>
      <c r="W1634" s="692"/>
      <c r="X1634" s="692"/>
      <c r="Y1634" s="692"/>
      <c r="Z1634" s="690">
        <v>0</v>
      </c>
      <c r="AA1634" s="692"/>
      <c r="AB1634" s="691"/>
      <c r="AC1634" s="691"/>
      <c r="AD1634" s="777"/>
      <c r="AE1634" s="692"/>
      <c r="AF1634" s="792" t="s">
        <v>4600</v>
      </c>
      <c r="AG1634" s="692"/>
      <c r="AH1634" s="692"/>
      <c r="AI1634" s="692"/>
      <c r="AJ1634" s="692"/>
      <c r="AK1634" s="693"/>
      <c r="AL1634" s="793"/>
      <c r="AM1634" s="692"/>
      <c r="AN1634" s="692"/>
      <c r="AO1634" s="692"/>
      <c r="AP1634" s="692">
        <v>0</v>
      </c>
      <c r="AQ1634" s="692"/>
      <c r="AR1634" s="692"/>
      <c r="AS1634" s="692"/>
      <c r="AT1634" s="692"/>
      <c r="AU1634" s="235">
        <v>0</v>
      </c>
      <c r="AV1634" s="17">
        <f t="shared" ref="AV1634:AV1697" si="228">IF(D1634 = 1,1,0)</f>
        <v>0</v>
      </c>
      <c r="AW1634" s="792"/>
    </row>
    <row r="1635" spans="1:49" s="794" customFormat="1" x14ac:dyDescent="0.15">
      <c r="A1635" s="791">
        <v>30588</v>
      </c>
      <c r="B1635" s="692" t="s">
        <v>3465</v>
      </c>
      <c r="C1635" s="792" t="s">
        <v>3448</v>
      </c>
      <c r="D1635" s="692">
        <v>3</v>
      </c>
      <c r="E1635" s="692">
        <v>0</v>
      </c>
      <c r="F1635" s="692">
        <v>4</v>
      </c>
      <c r="G1635" s="793">
        <v>70</v>
      </c>
      <c r="H1635" s="692">
        <v>200</v>
      </c>
      <c r="I1635" s="17">
        <v>0</v>
      </c>
      <c r="J1635" s="793"/>
      <c r="K1635" s="692">
        <v>0</v>
      </c>
      <c r="L1635" s="692"/>
      <c r="M1635" s="692"/>
      <c r="N1635" s="692"/>
      <c r="O1635" s="692"/>
      <c r="P1635" s="692"/>
      <c r="Q1635" s="689"/>
      <c r="R1635" s="776"/>
      <c r="S1635" s="689"/>
      <c r="T1635" s="689"/>
      <c r="U1635" s="692"/>
      <c r="V1635" s="692"/>
      <c r="W1635" s="692"/>
      <c r="X1635" s="692"/>
      <c r="Y1635" s="692"/>
      <c r="Z1635" s="690">
        <v>0</v>
      </c>
      <c r="AA1635" s="692"/>
      <c r="AB1635" s="691"/>
      <c r="AC1635" s="691"/>
      <c r="AD1635" s="777"/>
      <c r="AE1635" s="692"/>
      <c r="AF1635" s="792" t="s">
        <v>3449</v>
      </c>
      <c r="AG1635" s="692"/>
      <c r="AH1635" s="692"/>
      <c r="AI1635" s="692"/>
      <c r="AJ1635" s="692"/>
      <c r="AK1635" s="693"/>
      <c r="AL1635" s="793"/>
      <c r="AM1635" s="692"/>
      <c r="AN1635" s="692"/>
      <c r="AO1635" s="692"/>
      <c r="AP1635" s="692">
        <v>0</v>
      </c>
      <c r="AQ1635" s="692"/>
      <c r="AR1635" s="692"/>
      <c r="AS1635" s="692"/>
      <c r="AT1635" s="692"/>
      <c r="AU1635" s="235">
        <v>1</v>
      </c>
      <c r="AV1635" s="17">
        <f t="shared" si="228"/>
        <v>0</v>
      </c>
      <c r="AW1635" s="792"/>
    </row>
    <row r="1636" spans="1:49" s="806" customFormat="1" x14ac:dyDescent="0.15">
      <c r="A1636" s="795">
        <v>30589</v>
      </c>
      <c r="B1636" s="692" t="s">
        <v>3465</v>
      </c>
      <c r="C1636" s="792" t="s">
        <v>3478</v>
      </c>
      <c r="D1636" s="796">
        <v>3</v>
      </c>
      <c r="E1636" s="796">
        <v>0</v>
      </c>
      <c r="F1636" s="796">
        <v>4</v>
      </c>
      <c r="G1636" s="797">
        <v>70</v>
      </c>
      <c r="H1636" s="796">
        <v>200</v>
      </c>
      <c r="I1636" s="17">
        <v>0</v>
      </c>
      <c r="J1636" s="797"/>
      <c r="K1636" s="796">
        <v>0</v>
      </c>
      <c r="L1636" s="796"/>
      <c r="M1636" s="796"/>
      <c r="N1636" s="796"/>
      <c r="O1636" s="796"/>
      <c r="P1636" s="796"/>
      <c r="Q1636" s="798"/>
      <c r="R1636" s="799"/>
      <c r="S1636" s="798"/>
      <c r="T1636" s="798"/>
      <c r="U1636" s="796"/>
      <c r="V1636" s="796"/>
      <c r="W1636" s="796"/>
      <c r="X1636" s="796"/>
      <c r="Y1636" s="796"/>
      <c r="Z1636" s="800">
        <v>0</v>
      </c>
      <c r="AA1636" s="796"/>
      <c r="AB1636" s="801"/>
      <c r="AC1636" s="801"/>
      <c r="AD1636" s="802"/>
      <c r="AE1636" s="796"/>
      <c r="AF1636" s="792" t="s">
        <v>3473</v>
      </c>
      <c r="AG1636" s="796"/>
      <c r="AH1636" s="796"/>
      <c r="AI1636" s="796"/>
      <c r="AJ1636" s="796"/>
      <c r="AK1636" s="803"/>
      <c r="AL1636" s="797"/>
      <c r="AM1636" s="796"/>
      <c r="AN1636" s="796"/>
      <c r="AO1636" s="796"/>
      <c r="AP1636" s="796">
        <v>0</v>
      </c>
      <c r="AQ1636" s="796"/>
      <c r="AR1636" s="796"/>
      <c r="AS1636" s="796"/>
      <c r="AT1636" s="796"/>
      <c r="AU1636" s="804">
        <v>0</v>
      </c>
      <c r="AV1636" s="17">
        <f t="shared" si="228"/>
        <v>0</v>
      </c>
      <c r="AW1636" s="805"/>
    </row>
    <row r="1637" spans="1:49" s="790" customFormat="1" x14ac:dyDescent="0.15">
      <c r="A1637" s="779">
        <v>30590</v>
      </c>
      <c r="B1637" s="780" t="s">
        <v>3467</v>
      </c>
      <c r="C1637" s="781" t="s">
        <v>3450</v>
      </c>
      <c r="D1637" s="780">
        <v>3</v>
      </c>
      <c r="E1637" s="780">
        <v>0</v>
      </c>
      <c r="F1637" s="780">
        <v>4</v>
      </c>
      <c r="G1637" s="782">
        <v>70</v>
      </c>
      <c r="H1637" s="780">
        <v>200</v>
      </c>
      <c r="I1637" s="17">
        <v>0</v>
      </c>
      <c r="J1637" s="782"/>
      <c r="K1637" s="780">
        <v>0</v>
      </c>
      <c r="L1637" s="780"/>
      <c r="M1637" s="780"/>
      <c r="N1637" s="780"/>
      <c r="O1637" s="780"/>
      <c r="P1637" s="780"/>
      <c r="Q1637" s="783"/>
      <c r="R1637" s="784"/>
      <c r="S1637" s="783"/>
      <c r="T1637" s="783"/>
      <c r="U1637" s="780"/>
      <c r="V1637" s="780"/>
      <c r="W1637" s="780"/>
      <c r="X1637" s="780"/>
      <c r="Y1637" s="780"/>
      <c r="Z1637" s="785">
        <v>0</v>
      </c>
      <c r="AA1637" s="780"/>
      <c r="AB1637" s="786"/>
      <c r="AC1637" s="786"/>
      <c r="AD1637" s="787"/>
      <c r="AE1637" s="780"/>
      <c r="AF1637" s="781" t="s">
        <v>3451</v>
      </c>
      <c r="AG1637" s="780"/>
      <c r="AH1637" s="780"/>
      <c r="AI1637" s="780"/>
      <c r="AJ1637" s="780"/>
      <c r="AK1637" s="788"/>
      <c r="AL1637" s="782"/>
      <c r="AM1637" s="780"/>
      <c r="AN1637" s="780"/>
      <c r="AO1637" s="780"/>
      <c r="AP1637" s="780">
        <v>0</v>
      </c>
      <c r="AQ1637" s="780"/>
      <c r="AR1637" s="780"/>
      <c r="AS1637" s="780"/>
      <c r="AT1637" s="780"/>
      <c r="AU1637" s="789">
        <v>0</v>
      </c>
      <c r="AV1637" s="17">
        <f t="shared" si="228"/>
        <v>0</v>
      </c>
      <c r="AW1637" s="781"/>
    </row>
    <row r="1638" spans="1:49" s="794" customFormat="1" x14ac:dyDescent="0.15">
      <c r="A1638" s="791">
        <v>30591</v>
      </c>
      <c r="B1638" s="692" t="s">
        <v>3464</v>
      </c>
      <c r="C1638" s="792" t="s">
        <v>3452</v>
      </c>
      <c r="D1638" s="692">
        <v>3</v>
      </c>
      <c r="E1638" s="692">
        <v>0</v>
      </c>
      <c r="F1638" s="692">
        <v>4</v>
      </c>
      <c r="G1638" s="793">
        <v>70</v>
      </c>
      <c r="H1638" s="692">
        <v>200</v>
      </c>
      <c r="I1638" s="17">
        <v>0</v>
      </c>
      <c r="J1638" s="793"/>
      <c r="K1638" s="692">
        <v>0</v>
      </c>
      <c r="L1638" s="692"/>
      <c r="M1638" s="692"/>
      <c r="N1638" s="692"/>
      <c r="O1638" s="692"/>
      <c r="P1638" s="692"/>
      <c r="Q1638" s="689"/>
      <c r="R1638" s="776"/>
      <c r="S1638" s="689"/>
      <c r="T1638" s="689"/>
      <c r="U1638" s="692"/>
      <c r="V1638" s="692"/>
      <c r="W1638" s="692"/>
      <c r="X1638" s="692"/>
      <c r="Y1638" s="692"/>
      <c r="Z1638" s="690">
        <v>0</v>
      </c>
      <c r="AA1638" s="692"/>
      <c r="AB1638" s="691"/>
      <c r="AC1638" s="691"/>
      <c r="AD1638" s="777"/>
      <c r="AE1638" s="692"/>
      <c r="AF1638" s="792" t="s">
        <v>3453</v>
      </c>
      <c r="AG1638" s="692"/>
      <c r="AH1638" s="692"/>
      <c r="AI1638" s="692"/>
      <c r="AJ1638" s="692"/>
      <c r="AK1638" s="693"/>
      <c r="AL1638" s="793"/>
      <c r="AM1638" s="692"/>
      <c r="AN1638" s="692"/>
      <c r="AO1638" s="692"/>
      <c r="AP1638" s="692">
        <v>0</v>
      </c>
      <c r="AQ1638" s="692"/>
      <c r="AR1638" s="692"/>
      <c r="AS1638" s="692"/>
      <c r="AT1638" s="692"/>
      <c r="AU1638" s="235">
        <v>0</v>
      </c>
      <c r="AV1638" s="17">
        <f t="shared" si="228"/>
        <v>0</v>
      </c>
      <c r="AW1638" s="792"/>
    </row>
    <row r="1639" spans="1:49" s="794" customFormat="1" x14ac:dyDescent="0.15">
      <c r="A1639" s="791">
        <v>30592</v>
      </c>
      <c r="B1639" s="692" t="s">
        <v>3464</v>
      </c>
      <c r="C1639" s="792" t="s">
        <v>3454</v>
      </c>
      <c r="D1639" s="692">
        <v>3</v>
      </c>
      <c r="E1639" s="692">
        <v>0</v>
      </c>
      <c r="F1639" s="692">
        <v>4</v>
      </c>
      <c r="G1639" s="793">
        <v>70</v>
      </c>
      <c r="H1639" s="692">
        <v>200</v>
      </c>
      <c r="I1639" s="17">
        <v>0</v>
      </c>
      <c r="J1639" s="793"/>
      <c r="K1639" s="692">
        <v>0</v>
      </c>
      <c r="L1639" s="692"/>
      <c r="M1639" s="692"/>
      <c r="N1639" s="692"/>
      <c r="O1639" s="692"/>
      <c r="P1639" s="692"/>
      <c r="Q1639" s="689"/>
      <c r="R1639" s="776"/>
      <c r="S1639" s="689"/>
      <c r="T1639" s="689"/>
      <c r="U1639" s="692"/>
      <c r="V1639" s="692"/>
      <c r="W1639" s="692"/>
      <c r="X1639" s="692"/>
      <c r="Y1639" s="692"/>
      <c r="Z1639" s="690">
        <v>0</v>
      </c>
      <c r="AA1639" s="692"/>
      <c r="AB1639" s="691"/>
      <c r="AC1639" s="691"/>
      <c r="AD1639" s="777"/>
      <c r="AE1639" s="692"/>
      <c r="AF1639" s="792" t="s">
        <v>3455</v>
      </c>
      <c r="AG1639" s="692"/>
      <c r="AH1639" s="692"/>
      <c r="AI1639" s="692"/>
      <c r="AJ1639" s="692"/>
      <c r="AK1639" s="693"/>
      <c r="AL1639" s="793"/>
      <c r="AM1639" s="692"/>
      <c r="AN1639" s="692"/>
      <c r="AO1639" s="692"/>
      <c r="AP1639" s="692">
        <v>0</v>
      </c>
      <c r="AQ1639" s="692"/>
      <c r="AR1639" s="692"/>
      <c r="AS1639" s="692"/>
      <c r="AT1639" s="692"/>
      <c r="AU1639" s="235">
        <v>1</v>
      </c>
      <c r="AV1639" s="17">
        <f t="shared" si="228"/>
        <v>0</v>
      </c>
      <c r="AW1639" s="792"/>
    </row>
    <row r="1640" spans="1:49" s="794" customFormat="1" x14ac:dyDescent="0.15">
      <c r="A1640" s="791">
        <v>30593</v>
      </c>
      <c r="B1640" s="692" t="s">
        <v>3464</v>
      </c>
      <c r="C1640" s="792" t="s">
        <v>3480</v>
      </c>
      <c r="D1640" s="692">
        <v>3</v>
      </c>
      <c r="E1640" s="692">
        <v>0</v>
      </c>
      <c r="F1640" s="692">
        <v>4</v>
      </c>
      <c r="G1640" s="793">
        <v>70</v>
      </c>
      <c r="H1640" s="692">
        <v>200</v>
      </c>
      <c r="I1640" s="17">
        <v>0</v>
      </c>
      <c r="J1640" s="793"/>
      <c r="K1640" s="692">
        <v>0</v>
      </c>
      <c r="L1640" s="692"/>
      <c r="M1640" s="692"/>
      <c r="N1640" s="692"/>
      <c r="O1640" s="692"/>
      <c r="P1640" s="692"/>
      <c r="Q1640" s="689"/>
      <c r="R1640" s="776"/>
      <c r="S1640" s="689"/>
      <c r="T1640" s="689"/>
      <c r="U1640" s="692"/>
      <c r="V1640" s="692"/>
      <c r="W1640" s="692"/>
      <c r="X1640" s="692"/>
      <c r="Y1640" s="692"/>
      <c r="Z1640" s="690">
        <v>0</v>
      </c>
      <c r="AA1640" s="692"/>
      <c r="AB1640" s="691"/>
      <c r="AC1640" s="691"/>
      <c r="AD1640" s="777"/>
      <c r="AE1640" s="692"/>
      <c r="AF1640" s="792" t="s">
        <v>3481</v>
      </c>
      <c r="AG1640" s="692"/>
      <c r="AH1640" s="692"/>
      <c r="AI1640" s="692"/>
      <c r="AJ1640" s="692"/>
      <c r="AK1640" s="693"/>
      <c r="AL1640" s="793"/>
      <c r="AM1640" s="692"/>
      <c r="AN1640" s="692"/>
      <c r="AO1640" s="692"/>
      <c r="AP1640" s="692">
        <v>0</v>
      </c>
      <c r="AQ1640" s="692"/>
      <c r="AR1640" s="692"/>
      <c r="AS1640" s="692"/>
      <c r="AT1640" s="692"/>
      <c r="AU1640" s="235">
        <v>0</v>
      </c>
      <c r="AV1640" s="17">
        <f t="shared" si="228"/>
        <v>0</v>
      </c>
      <c r="AW1640" s="792"/>
    </row>
    <row r="1641" spans="1:49" s="794" customFormat="1" x14ac:dyDescent="0.15">
      <c r="A1641" s="791">
        <v>30594</v>
      </c>
      <c r="B1641" s="692" t="s">
        <v>3464</v>
      </c>
      <c r="C1641" s="792" t="s">
        <v>4178</v>
      </c>
      <c r="D1641" s="692">
        <v>3</v>
      </c>
      <c r="E1641" s="692">
        <v>0</v>
      </c>
      <c r="F1641" s="692">
        <v>4</v>
      </c>
      <c r="G1641" s="793">
        <v>70</v>
      </c>
      <c r="H1641" s="692">
        <v>200</v>
      </c>
      <c r="I1641" s="17">
        <v>0</v>
      </c>
      <c r="J1641" s="793"/>
      <c r="K1641" s="692">
        <v>0</v>
      </c>
      <c r="L1641" s="692"/>
      <c r="M1641" s="692"/>
      <c r="N1641" s="692"/>
      <c r="O1641" s="692"/>
      <c r="P1641" s="692"/>
      <c r="Q1641" s="689"/>
      <c r="R1641" s="776"/>
      <c r="S1641" s="689"/>
      <c r="T1641" s="689"/>
      <c r="U1641" s="692"/>
      <c r="V1641" s="692"/>
      <c r="W1641" s="692"/>
      <c r="X1641" s="692"/>
      <c r="Y1641" s="692"/>
      <c r="Z1641" s="690">
        <v>0</v>
      </c>
      <c r="AA1641" s="692"/>
      <c r="AB1641" s="691"/>
      <c r="AC1641" s="691"/>
      <c r="AD1641" s="777"/>
      <c r="AE1641" s="692"/>
      <c r="AF1641" s="792" t="s">
        <v>4179</v>
      </c>
      <c r="AG1641" s="692"/>
      <c r="AH1641" s="692"/>
      <c r="AI1641" s="692"/>
      <c r="AJ1641" s="692"/>
      <c r="AK1641" s="693"/>
      <c r="AL1641" s="793"/>
      <c r="AM1641" s="692"/>
      <c r="AN1641" s="692"/>
      <c r="AO1641" s="692"/>
      <c r="AP1641" s="692">
        <v>0</v>
      </c>
      <c r="AQ1641" s="692"/>
      <c r="AR1641" s="692"/>
      <c r="AS1641" s="692"/>
      <c r="AT1641" s="692"/>
      <c r="AU1641" s="235">
        <v>0</v>
      </c>
      <c r="AV1641" s="17">
        <f t="shared" si="228"/>
        <v>0</v>
      </c>
      <c r="AW1641" s="792"/>
    </row>
    <row r="1642" spans="1:49" s="794" customFormat="1" x14ac:dyDescent="0.15">
      <c r="A1642" s="791">
        <v>30595</v>
      </c>
      <c r="B1642" s="692" t="s">
        <v>3464</v>
      </c>
      <c r="C1642" s="792" t="s">
        <v>3456</v>
      </c>
      <c r="D1642" s="692">
        <v>3</v>
      </c>
      <c r="E1642" s="692">
        <v>0</v>
      </c>
      <c r="F1642" s="692">
        <v>4</v>
      </c>
      <c r="G1642" s="793">
        <v>70</v>
      </c>
      <c r="H1642" s="692">
        <v>200</v>
      </c>
      <c r="I1642" s="17">
        <v>0</v>
      </c>
      <c r="J1642" s="793"/>
      <c r="K1642" s="692">
        <v>0</v>
      </c>
      <c r="L1642" s="692"/>
      <c r="M1642" s="692"/>
      <c r="N1642" s="692"/>
      <c r="O1642" s="692"/>
      <c r="P1642" s="692"/>
      <c r="Q1642" s="689"/>
      <c r="R1642" s="776"/>
      <c r="S1642" s="689"/>
      <c r="T1642" s="689"/>
      <c r="U1642" s="692"/>
      <c r="V1642" s="692"/>
      <c r="W1642" s="692"/>
      <c r="X1642" s="692"/>
      <c r="Y1642" s="692"/>
      <c r="Z1642" s="690">
        <v>0</v>
      </c>
      <c r="AA1642" s="692"/>
      <c r="AB1642" s="691"/>
      <c r="AC1642" s="691"/>
      <c r="AD1642" s="777"/>
      <c r="AE1642" s="692"/>
      <c r="AF1642" s="792" t="s">
        <v>3475</v>
      </c>
      <c r="AG1642" s="692"/>
      <c r="AH1642" s="692"/>
      <c r="AI1642" s="692"/>
      <c r="AJ1642" s="692"/>
      <c r="AK1642" s="693"/>
      <c r="AL1642" s="793"/>
      <c r="AM1642" s="692"/>
      <c r="AN1642" s="692"/>
      <c r="AO1642" s="692"/>
      <c r="AP1642" s="692">
        <v>0</v>
      </c>
      <c r="AQ1642" s="692"/>
      <c r="AR1642" s="692"/>
      <c r="AS1642" s="692"/>
      <c r="AT1642" s="692"/>
      <c r="AU1642" s="235">
        <v>1</v>
      </c>
      <c r="AV1642" s="17">
        <f t="shared" si="228"/>
        <v>0</v>
      </c>
      <c r="AW1642" s="792"/>
    </row>
    <row r="1643" spans="1:49" s="794" customFormat="1" x14ac:dyDescent="0.15">
      <c r="A1643" s="791">
        <v>30596</v>
      </c>
      <c r="B1643" s="692" t="s">
        <v>3464</v>
      </c>
      <c r="C1643" s="792" t="s">
        <v>3457</v>
      </c>
      <c r="D1643" s="692">
        <v>3</v>
      </c>
      <c r="E1643" s="692">
        <v>0</v>
      </c>
      <c r="F1643" s="692">
        <v>4</v>
      </c>
      <c r="G1643" s="793">
        <v>70</v>
      </c>
      <c r="H1643" s="692">
        <v>200</v>
      </c>
      <c r="I1643" s="17">
        <v>0</v>
      </c>
      <c r="J1643" s="793"/>
      <c r="K1643" s="692">
        <v>0</v>
      </c>
      <c r="L1643" s="692"/>
      <c r="M1643" s="692"/>
      <c r="N1643" s="692"/>
      <c r="O1643" s="692"/>
      <c r="P1643" s="692"/>
      <c r="Q1643" s="689"/>
      <c r="R1643" s="776"/>
      <c r="S1643" s="689"/>
      <c r="T1643" s="689"/>
      <c r="U1643" s="692"/>
      <c r="V1643" s="692"/>
      <c r="W1643" s="692"/>
      <c r="X1643" s="692"/>
      <c r="Y1643" s="692"/>
      <c r="Z1643" s="690">
        <v>0</v>
      </c>
      <c r="AA1643" s="692"/>
      <c r="AB1643" s="691"/>
      <c r="AC1643" s="691"/>
      <c r="AD1643" s="777"/>
      <c r="AE1643" s="692"/>
      <c r="AF1643" s="792" t="s">
        <v>3477</v>
      </c>
      <c r="AG1643" s="692"/>
      <c r="AH1643" s="692"/>
      <c r="AI1643" s="692"/>
      <c r="AJ1643" s="692"/>
      <c r="AK1643" s="693"/>
      <c r="AL1643" s="793"/>
      <c r="AM1643" s="692"/>
      <c r="AN1643" s="692"/>
      <c r="AO1643" s="692"/>
      <c r="AP1643" s="692">
        <v>0</v>
      </c>
      <c r="AQ1643" s="692"/>
      <c r="AR1643" s="692"/>
      <c r="AS1643" s="692"/>
      <c r="AT1643" s="692"/>
      <c r="AU1643" s="235">
        <v>1</v>
      </c>
      <c r="AV1643" s="17">
        <f t="shared" si="228"/>
        <v>0</v>
      </c>
      <c r="AW1643" s="792"/>
    </row>
    <row r="1644" spans="1:49" s="806" customFormat="1" x14ac:dyDescent="0.15">
      <c r="A1644" s="795">
        <v>30597</v>
      </c>
      <c r="B1644" s="692" t="s">
        <v>3464</v>
      </c>
      <c r="C1644" s="805" t="s">
        <v>4138</v>
      </c>
      <c r="D1644" s="796">
        <v>3</v>
      </c>
      <c r="E1644" s="796">
        <v>0</v>
      </c>
      <c r="F1644" s="796">
        <v>4</v>
      </c>
      <c r="G1644" s="797">
        <v>70</v>
      </c>
      <c r="H1644" s="796">
        <v>200</v>
      </c>
      <c r="I1644" s="17">
        <v>0</v>
      </c>
      <c r="J1644" s="797"/>
      <c r="K1644" s="796">
        <v>0</v>
      </c>
      <c r="L1644" s="796"/>
      <c r="M1644" s="796"/>
      <c r="N1644" s="796"/>
      <c r="O1644" s="796"/>
      <c r="P1644" s="796"/>
      <c r="Q1644" s="798"/>
      <c r="R1644" s="799"/>
      <c r="S1644" s="798"/>
      <c r="T1644" s="798"/>
      <c r="U1644" s="796"/>
      <c r="V1644" s="796"/>
      <c r="W1644" s="796"/>
      <c r="X1644" s="796"/>
      <c r="Y1644" s="796"/>
      <c r="Z1644" s="800">
        <v>0</v>
      </c>
      <c r="AA1644" s="796"/>
      <c r="AB1644" s="801"/>
      <c r="AC1644" s="801"/>
      <c r="AD1644" s="802"/>
      <c r="AE1644" s="796"/>
      <c r="AF1644" s="805" t="s">
        <v>4139</v>
      </c>
      <c r="AG1644" s="796"/>
      <c r="AH1644" s="796"/>
      <c r="AI1644" s="796"/>
      <c r="AJ1644" s="796"/>
      <c r="AK1644" s="803"/>
      <c r="AL1644" s="797"/>
      <c r="AM1644" s="796"/>
      <c r="AN1644" s="796"/>
      <c r="AO1644" s="796"/>
      <c r="AP1644" s="796">
        <v>0</v>
      </c>
      <c r="AQ1644" s="796"/>
      <c r="AR1644" s="796"/>
      <c r="AS1644" s="796"/>
      <c r="AT1644" s="796"/>
      <c r="AU1644" s="804">
        <v>1</v>
      </c>
      <c r="AV1644" s="17">
        <f t="shared" si="228"/>
        <v>0</v>
      </c>
      <c r="AW1644" s="805"/>
    </row>
    <row r="1645" spans="1:49" s="794" customFormat="1" x14ac:dyDescent="0.15">
      <c r="A1645" s="791">
        <v>30600</v>
      </c>
      <c r="B1645" s="692" t="s">
        <v>3468</v>
      </c>
      <c r="C1645" s="792" t="s">
        <v>3450</v>
      </c>
      <c r="D1645" s="692">
        <v>3</v>
      </c>
      <c r="E1645" s="692">
        <v>0</v>
      </c>
      <c r="F1645" s="692">
        <v>4</v>
      </c>
      <c r="G1645" s="793">
        <v>70</v>
      </c>
      <c r="H1645" s="692">
        <v>200</v>
      </c>
      <c r="I1645" s="17">
        <v>0</v>
      </c>
      <c r="J1645" s="793"/>
      <c r="K1645" s="692">
        <v>0</v>
      </c>
      <c r="L1645" s="692"/>
      <c r="M1645" s="692"/>
      <c r="N1645" s="692"/>
      <c r="O1645" s="692"/>
      <c r="P1645" s="692"/>
      <c r="Q1645" s="689"/>
      <c r="R1645" s="776"/>
      <c r="S1645" s="689"/>
      <c r="T1645" s="689"/>
      <c r="U1645" s="692"/>
      <c r="V1645" s="692"/>
      <c r="W1645" s="692"/>
      <c r="X1645" s="692"/>
      <c r="Y1645" s="692"/>
      <c r="Z1645" s="690">
        <v>0</v>
      </c>
      <c r="AA1645" s="692"/>
      <c r="AB1645" s="691"/>
      <c r="AC1645" s="691"/>
      <c r="AD1645" s="777"/>
      <c r="AE1645" s="692"/>
      <c r="AF1645" s="792" t="s">
        <v>3451</v>
      </c>
      <c r="AG1645" s="692"/>
      <c r="AH1645" s="692"/>
      <c r="AI1645" s="692"/>
      <c r="AJ1645" s="692"/>
      <c r="AK1645" s="693"/>
      <c r="AL1645" s="793"/>
      <c r="AM1645" s="692"/>
      <c r="AN1645" s="692"/>
      <c r="AO1645" s="692"/>
      <c r="AP1645" s="692">
        <v>0</v>
      </c>
      <c r="AQ1645" s="692"/>
      <c r="AR1645" s="692"/>
      <c r="AS1645" s="692"/>
      <c r="AT1645" s="692"/>
      <c r="AU1645" s="235">
        <v>0</v>
      </c>
      <c r="AV1645" s="17">
        <f t="shared" si="228"/>
        <v>0</v>
      </c>
      <c r="AW1645" s="792"/>
    </row>
    <row r="1646" spans="1:49" s="794" customFormat="1" x14ac:dyDescent="0.15">
      <c r="A1646" s="791">
        <v>30601</v>
      </c>
      <c r="B1646" s="692" t="s">
        <v>3468</v>
      </c>
      <c r="C1646" s="792" t="s">
        <v>3452</v>
      </c>
      <c r="D1646" s="692">
        <v>3</v>
      </c>
      <c r="E1646" s="692">
        <v>0</v>
      </c>
      <c r="F1646" s="692">
        <v>4</v>
      </c>
      <c r="G1646" s="793">
        <v>70</v>
      </c>
      <c r="H1646" s="692">
        <v>200</v>
      </c>
      <c r="I1646" s="17">
        <v>0</v>
      </c>
      <c r="J1646" s="793"/>
      <c r="K1646" s="692">
        <v>0</v>
      </c>
      <c r="L1646" s="692"/>
      <c r="M1646" s="692"/>
      <c r="N1646" s="692"/>
      <c r="O1646" s="692"/>
      <c r="P1646" s="692"/>
      <c r="Q1646" s="689"/>
      <c r="R1646" s="776"/>
      <c r="S1646" s="689"/>
      <c r="T1646" s="689"/>
      <c r="U1646" s="692"/>
      <c r="V1646" s="692"/>
      <c r="W1646" s="692"/>
      <c r="X1646" s="692"/>
      <c r="Y1646" s="692"/>
      <c r="Z1646" s="690">
        <v>0</v>
      </c>
      <c r="AA1646" s="692"/>
      <c r="AB1646" s="691"/>
      <c r="AC1646" s="691"/>
      <c r="AD1646" s="777"/>
      <c r="AE1646" s="692"/>
      <c r="AF1646" s="792" t="s">
        <v>3453</v>
      </c>
      <c r="AG1646" s="692"/>
      <c r="AH1646" s="692"/>
      <c r="AI1646" s="692"/>
      <c r="AJ1646" s="692"/>
      <c r="AK1646" s="693"/>
      <c r="AL1646" s="793"/>
      <c r="AM1646" s="692"/>
      <c r="AN1646" s="692"/>
      <c r="AO1646" s="692"/>
      <c r="AP1646" s="692">
        <v>0</v>
      </c>
      <c r="AQ1646" s="692"/>
      <c r="AR1646" s="692"/>
      <c r="AS1646" s="692"/>
      <c r="AT1646" s="692"/>
      <c r="AU1646" s="235">
        <v>0</v>
      </c>
      <c r="AV1646" s="17">
        <f t="shared" si="228"/>
        <v>0</v>
      </c>
      <c r="AW1646" s="792"/>
    </row>
    <row r="1647" spans="1:49" s="794" customFormat="1" x14ac:dyDescent="0.15">
      <c r="A1647" s="791">
        <v>30602</v>
      </c>
      <c r="B1647" s="692" t="s">
        <v>3468</v>
      </c>
      <c r="C1647" s="792" t="s">
        <v>3454</v>
      </c>
      <c r="D1647" s="692">
        <v>3</v>
      </c>
      <c r="E1647" s="692">
        <v>0</v>
      </c>
      <c r="F1647" s="692">
        <v>4</v>
      </c>
      <c r="G1647" s="793">
        <v>70</v>
      </c>
      <c r="H1647" s="692">
        <v>200</v>
      </c>
      <c r="I1647" s="17">
        <v>0</v>
      </c>
      <c r="J1647" s="793"/>
      <c r="K1647" s="692">
        <v>0</v>
      </c>
      <c r="L1647" s="692"/>
      <c r="M1647" s="692"/>
      <c r="N1647" s="692"/>
      <c r="O1647" s="692"/>
      <c r="P1647" s="692"/>
      <c r="Q1647" s="689"/>
      <c r="R1647" s="776"/>
      <c r="S1647" s="689"/>
      <c r="T1647" s="689"/>
      <c r="U1647" s="692"/>
      <c r="V1647" s="692"/>
      <c r="W1647" s="692"/>
      <c r="X1647" s="692"/>
      <c r="Y1647" s="692"/>
      <c r="Z1647" s="690">
        <v>0</v>
      </c>
      <c r="AA1647" s="692"/>
      <c r="AB1647" s="691"/>
      <c r="AC1647" s="691"/>
      <c r="AD1647" s="777"/>
      <c r="AE1647" s="692"/>
      <c r="AF1647" s="792" t="s">
        <v>3455</v>
      </c>
      <c r="AG1647" s="692"/>
      <c r="AH1647" s="692"/>
      <c r="AI1647" s="692"/>
      <c r="AJ1647" s="692"/>
      <c r="AK1647" s="693"/>
      <c r="AL1647" s="793"/>
      <c r="AM1647" s="692"/>
      <c r="AN1647" s="692"/>
      <c r="AO1647" s="692"/>
      <c r="AP1647" s="692">
        <v>0</v>
      </c>
      <c r="AQ1647" s="692"/>
      <c r="AR1647" s="692"/>
      <c r="AS1647" s="692"/>
      <c r="AT1647" s="692"/>
      <c r="AU1647" s="235">
        <v>1</v>
      </c>
      <c r="AV1647" s="17">
        <f t="shared" si="228"/>
        <v>0</v>
      </c>
      <c r="AW1647" s="792"/>
    </row>
    <row r="1648" spans="1:49" s="794" customFormat="1" x14ac:dyDescent="0.15">
      <c r="A1648" s="791">
        <v>30603</v>
      </c>
      <c r="B1648" s="692" t="s">
        <v>3468</v>
      </c>
      <c r="C1648" s="792" t="s">
        <v>3479</v>
      </c>
      <c r="D1648" s="692">
        <v>3</v>
      </c>
      <c r="E1648" s="692">
        <v>0</v>
      </c>
      <c r="F1648" s="692">
        <v>4</v>
      </c>
      <c r="G1648" s="793">
        <v>70</v>
      </c>
      <c r="H1648" s="692">
        <v>200</v>
      </c>
      <c r="I1648" s="17">
        <v>0</v>
      </c>
      <c r="J1648" s="793"/>
      <c r="K1648" s="692">
        <v>0</v>
      </c>
      <c r="L1648" s="692"/>
      <c r="M1648" s="692"/>
      <c r="N1648" s="692"/>
      <c r="O1648" s="692"/>
      <c r="P1648" s="692"/>
      <c r="Q1648" s="689"/>
      <c r="R1648" s="776"/>
      <c r="S1648" s="689"/>
      <c r="T1648" s="689"/>
      <c r="U1648" s="692"/>
      <c r="V1648" s="692"/>
      <c r="W1648" s="692"/>
      <c r="X1648" s="692"/>
      <c r="Y1648" s="692"/>
      <c r="Z1648" s="690">
        <v>0</v>
      </c>
      <c r="AA1648" s="692"/>
      <c r="AB1648" s="691"/>
      <c r="AC1648" s="691"/>
      <c r="AD1648" s="777"/>
      <c r="AE1648" s="692"/>
      <c r="AF1648" s="792" t="s">
        <v>3481</v>
      </c>
      <c r="AG1648" s="692"/>
      <c r="AH1648" s="692"/>
      <c r="AI1648" s="692"/>
      <c r="AJ1648" s="692"/>
      <c r="AK1648" s="693"/>
      <c r="AL1648" s="793"/>
      <c r="AM1648" s="692"/>
      <c r="AN1648" s="692"/>
      <c r="AO1648" s="692"/>
      <c r="AP1648" s="692">
        <v>0</v>
      </c>
      <c r="AQ1648" s="692"/>
      <c r="AR1648" s="692"/>
      <c r="AS1648" s="692"/>
      <c r="AT1648" s="692"/>
      <c r="AU1648" s="235">
        <v>0</v>
      </c>
      <c r="AV1648" s="17">
        <f t="shared" si="228"/>
        <v>0</v>
      </c>
      <c r="AW1648" s="792"/>
    </row>
    <row r="1649" spans="1:49" s="794" customFormat="1" x14ac:dyDescent="0.15">
      <c r="A1649" s="791">
        <v>30604</v>
      </c>
      <c r="B1649" s="692" t="s">
        <v>3468</v>
      </c>
      <c r="C1649" s="792" t="s">
        <v>4178</v>
      </c>
      <c r="D1649" s="692">
        <v>3</v>
      </c>
      <c r="E1649" s="692">
        <v>0</v>
      </c>
      <c r="F1649" s="692">
        <v>4</v>
      </c>
      <c r="G1649" s="793">
        <v>70</v>
      </c>
      <c r="H1649" s="692">
        <v>200</v>
      </c>
      <c r="I1649" s="17">
        <v>0</v>
      </c>
      <c r="J1649" s="793"/>
      <c r="K1649" s="692">
        <v>0</v>
      </c>
      <c r="L1649" s="692"/>
      <c r="M1649" s="692"/>
      <c r="N1649" s="692"/>
      <c r="O1649" s="692"/>
      <c r="P1649" s="692"/>
      <c r="Q1649" s="689"/>
      <c r="R1649" s="776"/>
      <c r="S1649" s="689"/>
      <c r="T1649" s="689"/>
      <c r="U1649" s="692"/>
      <c r="V1649" s="692"/>
      <c r="W1649" s="692"/>
      <c r="X1649" s="692"/>
      <c r="Y1649" s="692"/>
      <c r="Z1649" s="690">
        <v>0</v>
      </c>
      <c r="AA1649" s="692"/>
      <c r="AB1649" s="691"/>
      <c r="AC1649" s="691"/>
      <c r="AD1649" s="777"/>
      <c r="AE1649" s="692"/>
      <c r="AF1649" s="792" t="s">
        <v>4179</v>
      </c>
      <c r="AG1649" s="692"/>
      <c r="AH1649" s="692"/>
      <c r="AI1649" s="692"/>
      <c r="AJ1649" s="692"/>
      <c r="AK1649" s="693"/>
      <c r="AL1649" s="793"/>
      <c r="AM1649" s="692"/>
      <c r="AN1649" s="692"/>
      <c r="AO1649" s="692"/>
      <c r="AP1649" s="692">
        <v>0</v>
      </c>
      <c r="AQ1649" s="692"/>
      <c r="AR1649" s="692"/>
      <c r="AS1649" s="692"/>
      <c r="AT1649" s="692"/>
      <c r="AU1649" s="235">
        <v>0</v>
      </c>
      <c r="AV1649" s="17">
        <f t="shared" si="228"/>
        <v>0</v>
      </c>
      <c r="AW1649" s="792"/>
    </row>
    <row r="1650" spans="1:49" s="794" customFormat="1" x14ac:dyDescent="0.15">
      <c r="A1650" s="791">
        <v>30605</v>
      </c>
      <c r="B1650" s="692" t="s">
        <v>3468</v>
      </c>
      <c r="C1650" s="792" t="s">
        <v>3456</v>
      </c>
      <c r="D1650" s="692">
        <v>3</v>
      </c>
      <c r="E1650" s="692">
        <v>0</v>
      </c>
      <c r="F1650" s="692">
        <v>4</v>
      </c>
      <c r="G1650" s="793">
        <v>70</v>
      </c>
      <c r="H1650" s="692">
        <v>200</v>
      </c>
      <c r="I1650" s="17">
        <v>0</v>
      </c>
      <c r="J1650" s="793"/>
      <c r="K1650" s="692">
        <v>0</v>
      </c>
      <c r="L1650" s="692"/>
      <c r="M1650" s="692"/>
      <c r="N1650" s="692"/>
      <c r="O1650" s="692"/>
      <c r="P1650" s="692"/>
      <c r="Q1650" s="689"/>
      <c r="R1650" s="776"/>
      <c r="S1650" s="689"/>
      <c r="T1650" s="689"/>
      <c r="U1650" s="692"/>
      <c r="V1650" s="692"/>
      <c r="W1650" s="692"/>
      <c r="X1650" s="692"/>
      <c r="Y1650" s="692"/>
      <c r="Z1650" s="690">
        <v>0</v>
      </c>
      <c r="AA1650" s="692"/>
      <c r="AB1650" s="691"/>
      <c r="AC1650" s="691"/>
      <c r="AD1650" s="777"/>
      <c r="AE1650" s="692"/>
      <c r="AF1650" s="792" t="s">
        <v>3475</v>
      </c>
      <c r="AG1650" s="692"/>
      <c r="AH1650" s="692"/>
      <c r="AI1650" s="692"/>
      <c r="AJ1650" s="692"/>
      <c r="AK1650" s="693"/>
      <c r="AL1650" s="793"/>
      <c r="AM1650" s="692"/>
      <c r="AN1650" s="692"/>
      <c r="AO1650" s="692"/>
      <c r="AP1650" s="692">
        <v>0</v>
      </c>
      <c r="AQ1650" s="692"/>
      <c r="AR1650" s="692"/>
      <c r="AS1650" s="692"/>
      <c r="AT1650" s="692"/>
      <c r="AU1650" s="235">
        <v>1</v>
      </c>
      <c r="AV1650" s="17">
        <f t="shared" si="228"/>
        <v>0</v>
      </c>
      <c r="AW1650" s="792"/>
    </row>
    <row r="1651" spans="1:49" s="794" customFormat="1" x14ac:dyDescent="0.15">
      <c r="A1651" s="791">
        <v>30606</v>
      </c>
      <c r="B1651" s="692" t="s">
        <v>3468</v>
      </c>
      <c r="C1651" s="792" t="s">
        <v>3457</v>
      </c>
      <c r="D1651" s="692">
        <v>3</v>
      </c>
      <c r="E1651" s="692">
        <v>0</v>
      </c>
      <c r="F1651" s="692">
        <v>4</v>
      </c>
      <c r="G1651" s="793">
        <v>70</v>
      </c>
      <c r="H1651" s="692">
        <v>200</v>
      </c>
      <c r="I1651" s="17">
        <v>0</v>
      </c>
      <c r="J1651" s="793"/>
      <c r="K1651" s="692">
        <v>0</v>
      </c>
      <c r="L1651" s="692"/>
      <c r="M1651" s="692"/>
      <c r="N1651" s="692"/>
      <c r="O1651" s="692"/>
      <c r="P1651" s="692"/>
      <c r="Q1651" s="689"/>
      <c r="R1651" s="776"/>
      <c r="S1651" s="689"/>
      <c r="T1651" s="689"/>
      <c r="U1651" s="692"/>
      <c r="V1651" s="692"/>
      <c r="W1651" s="692"/>
      <c r="X1651" s="692"/>
      <c r="Y1651" s="692"/>
      <c r="Z1651" s="690">
        <v>0</v>
      </c>
      <c r="AA1651" s="692"/>
      <c r="AB1651" s="691"/>
      <c r="AC1651" s="691"/>
      <c r="AD1651" s="777"/>
      <c r="AE1651" s="692"/>
      <c r="AF1651" s="792" t="s">
        <v>3476</v>
      </c>
      <c r="AG1651" s="692"/>
      <c r="AH1651" s="692"/>
      <c r="AI1651" s="692"/>
      <c r="AJ1651" s="692"/>
      <c r="AK1651" s="693"/>
      <c r="AL1651" s="793"/>
      <c r="AM1651" s="692"/>
      <c r="AN1651" s="692"/>
      <c r="AO1651" s="692"/>
      <c r="AP1651" s="692">
        <v>0</v>
      </c>
      <c r="AQ1651" s="692"/>
      <c r="AR1651" s="692"/>
      <c r="AS1651" s="692"/>
      <c r="AT1651" s="692"/>
      <c r="AU1651" s="235">
        <v>1</v>
      </c>
      <c r="AV1651" s="17">
        <f t="shared" si="228"/>
        <v>0</v>
      </c>
      <c r="AW1651" s="792"/>
    </row>
    <row r="1652" spans="1:49" s="806" customFormat="1" x14ac:dyDescent="0.15">
      <c r="A1652" s="791">
        <v>30607</v>
      </c>
      <c r="B1652" s="692" t="s">
        <v>3468</v>
      </c>
      <c r="C1652" s="805" t="s">
        <v>4138</v>
      </c>
      <c r="D1652" s="796">
        <v>3</v>
      </c>
      <c r="E1652" s="796">
        <v>0</v>
      </c>
      <c r="F1652" s="796">
        <v>4</v>
      </c>
      <c r="G1652" s="797">
        <v>70</v>
      </c>
      <c r="H1652" s="796">
        <v>200</v>
      </c>
      <c r="I1652" s="17">
        <v>0</v>
      </c>
      <c r="J1652" s="797"/>
      <c r="K1652" s="796">
        <v>0</v>
      </c>
      <c r="L1652" s="796"/>
      <c r="M1652" s="796"/>
      <c r="N1652" s="796"/>
      <c r="O1652" s="796"/>
      <c r="P1652" s="796"/>
      <c r="Q1652" s="798"/>
      <c r="R1652" s="799"/>
      <c r="S1652" s="798"/>
      <c r="T1652" s="798"/>
      <c r="U1652" s="796"/>
      <c r="V1652" s="796"/>
      <c r="W1652" s="796"/>
      <c r="X1652" s="796"/>
      <c r="Y1652" s="796"/>
      <c r="Z1652" s="800">
        <v>0</v>
      </c>
      <c r="AA1652" s="796"/>
      <c r="AB1652" s="801"/>
      <c r="AC1652" s="801"/>
      <c r="AD1652" s="802"/>
      <c r="AE1652" s="796"/>
      <c r="AF1652" s="805" t="s">
        <v>4139</v>
      </c>
      <c r="AG1652" s="796"/>
      <c r="AH1652" s="796"/>
      <c r="AI1652" s="796"/>
      <c r="AJ1652" s="796"/>
      <c r="AK1652" s="803"/>
      <c r="AL1652" s="797"/>
      <c r="AM1652" s="796"/>
      <c r="AN1652" s="796"/>
      <c r="AO1652" s="796"/>
      <c r="AP1652" s="796">
        <v>0</v>
      </c>
      <c r="AQ1652" s="796"/>
      <c r="AR1652" s="796"/>
      <c r="AS1652" s="796"/>
      <c r="AT1652" s="796"/>
      <c r="AU1652" s="804">
        <v>1</v>
      </c>
      <c r="AV1652" s="17">
        <f t="shared" si="228"/>
        <v>0</v>
      </c>
      <c r="AW1652" s="805"/>
    </row>
    <row r="1653" spans="1:49" s="790" customFormat="1" x14ac:dyDescent="0.15">
      <c r="A1653" s="779">
        <v>30610</v>
      </c>
      <c r="B1653" s="780" t="s">
        <v>3484</v>
      </c>
      <c r="C1653" s="781" t="s">
        <v>3442</v>
      </c>
      <c r="D1653" s="780">
        <v>3</v>
      </c>
      <c r="E1653" s="780">
        <v>0</v>
      </c>
      <c r="F1653" s="780">
        <v>4</v>
      </c>
      <c r="G1653" s="782">
        <v>70</v>
      </c>
      <c r="H1653" s="780">
        <v>200</v>
      </c>
      <c r="I1653" s="17">
        <v>0</v>
      </c>
      <c r="J1653" s="782"/>
      <c r="K1653" s="780">
        <v>0</v>
      </c>
      <c r="L1653" s="780"/>
      <c r="M1653" s="780"/>
      <c r="N1653" s="780"/>
      <c r="O1653" s="780"/>
      <c r="P1653" s="780"/>
      <c r="Q1653" s="783"/>
      <c r="R1653" s="784"/>
      <c r="S1653" s="783"/>
      <c r="T1653" s="783"/>
      <c r="U1653" s="780"/>
      <c r="V1653" s="780"/>
      <c r="W1653" s="780"/>
      <c r="X1653" s="780"/>
      <c r="Y1653" s="780"/>
      <c r="Z1653" s="785">
        <v>0</v>
      </c>
      <c r="AA1653" s="780"/>
      <c r="AB1653" s="786"/>
      <c r="AC1653" s="786"/>
      <c r="AD1653" s="787"/>
      <c r="AE1653" s="780"/>
      <c r="AF1653" s="781" t="s">
        <v>3443</v>
      </c>
      <c r="AG1653" s="780"/>
      <c r="AH1653" s="780"/>
      <c r="AI1653" s="780"/>
      <c r="AJ1653" s="780"/>
      <c r="AK1653" s="788"/>
      <c r="AL1653" s="782"/>
      <c r="AM1653" s="780"/>
      <c r="AN1653" s="780"/>
      <c r="AO1653" s="780"/>
      <c r="AP1653" s="780">
        <v>0</v>
      </c>
      <c r="AQ1653" s="780"/>
      <c r="AR1653" s="780"/>
      <c r="AS1653" s="780"/>
      <c r="AT1653" s="780"/>
      <c r="AU1653" s="789">
        <v>1</v>
      </c>
      <c r="AV1653" s="17">
        <f t="shared" si="228"/>
        <v>0</v>
      </c>
      <c r="AW1653" s="781"/>
    </row>
    <row r="1654" spans="1:49" s="794" customFormat="1" x14ac:dyDescent="0.15">
      <c r="A1654" s="791">
        <v>30611</v>
      </c>
      <c r="B1654" s="692" t="s">
        <v>3485</v>
      </c>
      <c r="C1654" s="792" t="s">
        <v>4608</v>
      </c>
      <c r="D1654" s="692">
        <v>3</v>
      </c>
      <c r="E1654" s="692">
        <v>0</v>
      </c>
      <c r="F1654" s="692">
        <v>4</v>
      </c>
      <c r="G1654" s="793">
        <v>70</v>
      </c>
      <c r="H1654" s="692">
        <v>200</v>
      </c>
      <c r="I1654" s="17">
        <v>0</v>
      </c>
      <c r="J1654" s="793"/>
      <c r="K1654" s="692">
        <v>0</v>
      </c>
      <c r="L1654" s="692"/>
      <c r="M1654" s="692"/>
      <c r="N1654" s="692"/>
      <c r="O1654" s="692"/>
      <c r="P1654" s="692"/>
      <c r="Q1654" s="689"/>
      <c r="R1654" s="776"/>
      <c r="S1654" s="689"/>
      <c r="T1654" s="689"/>
      <c r="U1654" s="692"/>
      <c r="V1654" s="692"/>
      <c r="W1654" s="692"/>
      <c r="X1654" s="692"/>
      <c r="Y1654" s="692"/>
      <c r="Z1654" s="690">
        <v>0</v>
      </c>
      <c r="AA1654" s="692"/>
      <c r="AB1654" s="691"/>
      <c r="AC1654" s="691"/>
      <c r="AD1654" s="777"/>
      <c r="AE1654" s="692"/>
      <c r="AF1654" s="792" t="s">
        <v>4609</v>
      </c>
      <c r="AG1654" s="692"/>
      <c r="AH1654" s="692"/>
      <c r="AI1654" s="692"/>
      <c r="AJ1654" s="692"/>
      <c r="AK1654" s="693"/>
      <c r="AL1654" s="793"/>
      <c r="AM1654" s="692"/>
      <c r="AN1654" s="692"/>
      <c r="AO1654" s="692"/>
      <c r="AP1654" s="692">
        <v>0</v>
      </c>
      <c r="AQ1654" s="692"/>
      <c r="AR1654" s="692"/>
      <c r="AS1654" s="692"/>
      <c r="AT1654" s="692"/>
      <c r="AU1654" s="235">
        <v>1</v>
      </c>
      <c r="AV1654" s="17">
        <f t="shared" si="228"/>
        <v>0</v>
      </c>
      <c r="AW1654" s="792"/>
    </row>
    <row r="1655" spans="1:49" s="794" customFormat="1" x14ac:dyDescent="0.15">
      <c r="A1655" s="791">
        <v>30612</v>
      </c>
      <c r="B1655" s="692" t="s">
        <v>3483</v>
      </c>
      <c r="C1655" s="792" t="s">
        <v>3444</v>
      </c>
      <c r="D1655" s="692">
        <v>3</v>
      </c>
      <c r="E1655" s="692">
        <v>0</v>
      </c>
      <c r="F1655" s="692">
        <v>4</v>
      </c>
      <c r="G1655" s="793">
        <v>70</v>
      </c>
      <c r="H1655" s="692">
        <v>200</v>
      </c>
      <c r="I1655" s="17">
        <v>0</v>
      </c>
      <c r="J1655" s="793"/>
      <c r="K1655" s="692">
        <v>0</v>
      </c>
      <c r="L1655" s="692"/>
      <c r="M1655" s="692"/>
      <c r="N1655" s="692"/>
      <c r="O1655" s="692"/>
      <c r="P1655" s="692"/>
      <c r="Q1655" s="689"/>
      <c r="R1655" s="776"/>
      <c r="S1655" s="689"/>
      <c r="T1655" s="689"/>
      <c r="U1655" s="692"/>
      <c r="V1655" s="692"/>
      <c r="W1655" s="692"/>
      <c r="X1655" s="692"/>
      <c r="Y1655" s="692"/>
      <c r="Z1655" s="690">
        <v>0</v>
      </c>
      <c r="AA1655" s="692"/>
      <c r="AB1655" s="691"/>
      <c r="AC1655" s="691"/>
      <c r="AD1655" s="777"/>
      <c r="AE1655" s="692"/>
      <c r="AF1655" s="792" t="s">
        <v>3469</v>
      </c>
      <c r="AG1655" s="692"/>
      <c r="AH1655" s="692"/>
      <c r="AI1655" s="692"/>
      <c r="AJ1655" s="692"/>
      <c r="AK1655" s="693"/>
      <c r="AL1655" s="793"/>
      <c r="AM1655" s="692"/>
      <c r="AN1655" s="692"/>
      <c r="AO1655" s="692"/>
      <c r="AP1655" s="692">
        <v>0</v>
      </c>
      <c r="AQ1655" s="692"/>
      <c r="AR1655" s="692"/>
      <c r="AS1655" s="692"/>
      <c r="AT1655" s="692"/>
      <c r="AU1655" s="235">
        <v>1</v>
      </c>
      <c r="AV1655" s="17">
        <f t="shared" si="228"/>
        <v>0</v>
      </c>
      <c r="AW1655" s="792"/>
    </row>
    <row r="1656" spans="1:49" s="794" customFormat="1" x14ac:dyDescent="0.15">
      <c r="A1656" s="791">
        <v>30613</v>
      </c>
      <c r="B1656" s="692" t="s">
        <v>3483</v>
      </c>
      <c r="C1656" s="792" t="s">
        <v>3445</v>
      </c>
      <c r="D1656" s="692">
        <v>3</v>
      </c>
      <c r="E1656" s="692">
        <v>0</v>
      </c>
      <c r="F1656" s="692">
        <v>4</v>
      </c>
      <c r="G1656" s="793">
        <v>70</v>
      </c>
      <c r="H1656" s="692">
        <v>200</v>
      </c>
      <c r="I1656" s="17">
        <v>0</v>
      </c>
      <c r="J1656" s="793"/>
      <c r="K1656" s="692">
        <v>0</v>
      </c>
      <c r="L1656" s="692"/>
      <c r="M1656" s="692"/>
      <c r="N1656" s="692"/>
      <c r="O1656" s="692"/>
      <c r="P1656" s="692"/>
      <c r="Q1656" s="689"/>
      <c r="R1656" s="776"/>
      <c r="S1656" s="689"/>
      <c r="T1656" s="689"/>
      <c r="U1656" s="692"/>
      <c r="V1656" s="692"/>
      <c r="W1656" s="692"/>
      <c r="X1656" s="692"/>
      <c r="Y1656" s="692"/>
      <c r="Z1656" s="690">
        <v>0</v>
      </c>
      <c r="AA1656" s="692"/>
      <c r="AB1656" s="691"/>
      <c r="AC1656" s="691"/>
      <c r="AD1656" s="777"/>
      <c r="AE1656" s="692"/>
      <c r="AF1656" s="792" t="s">
        <v>3471</v>
      </c>
      <c r="AG1656" s="692"/>
      <c r="AH1656" s="692"/>
      <c r="AI1656" s="692"/>
      <c r="AJ1656" s="692"/>
      <c r="AK1656" s="693"/>
      <c r="AL1656" s="793"/>
      <c r="AM1656" s="692"/>
      <c r="AN1656" s="692"/>
      <c r="AO1656" s="692"/>
      <c r="AP1656" s="692">
        <v>0</v>
      </c>
      <c r="AQ1656" s="692"/>
      <c r="AR1656" s="692"/>
      <c r="AS1656" s="692"/>
      <c r="AT1656" s="692"/>
      <c r="AU1656" s="235">
        <v>1</v>
      </c>
      <c r="AV1656" s="17">
        <f t="shared" si="228"/>
        <v>0</v>
      </c>
      <c r="AW1656" s="792"/>
    </row>
    <row r="1657" spans="1:49" s="794" customFormat="1" x14ac:dyDescent="0.15">
      <c r="A1657" s="791">
        <v>30614</v>
      </c>
      <c r="B1657" s="692" t="s">
        <v>3483</v>
      </c>
      <c r="C1657" s="792" t="s">
        <v>3446</v>
      </c>
      <c r="D1657" s="692">
        <v>3</v>
      </c>
      <c r="E1657" s="692">
        <v>0</v>
      </c>
      <c r="F1657" s="692">
        <v>4</v>
      </c>
      <c r="G1657" s="793">
        <v>70</v>
      </c>
      <c r="H1657" s="692">
        <v>200</v>
      </c>
      <c r="I1657" s="17">
        <v>0</v>
      </c>
      <c r="J1657" s="793"/>
      <c r="K1657" s="692">
        <v>0</v>
      </c>
      <c r="L1657" s="692"/>
      <c r="M1657" s="692"/>
      <c r="N1657" s="692"/>
      <c r="O1657" s="692"/>
      <c r="P1657" s="692"/>
      <c r="Q1657" s="689"/>
      <c r="R1657" s="776"/>
      <c r="S1657" s="689"/>
      <c r="T1657" s="689"/>
      <c r="U1657" s="692"/>
      <c r="V1657" s="692"/>
      <c r="W1657" s="692"/>
      <c r="X1657" s="692"/>
      <c r="Y1657" s="692"/>
      <c r="Z1657" s="690">
        <v>0</v>
      </c>
      <c r="AA1657" s="692"/>
      <c r="AB1657" s="691"/>
      <c r="AC1657" s="691"/>
      <c r="AD1657" s="777"/>
      <c r="AE1657" s="692"/>
      <c r="AF1657" s="792" t="s">
        <v>3472</v>
      </c>
      <c r="AG1657" s="692"/>
      <c r="AH1657" s="692"/>
      <c r="AI1657" s="692"/>
      <c r="AJ1657" s="692"/>
      <c r="AK1657" s="693"/>
      <c r="AL1657" s="793"/>
      <c r="AM1657" s="692"/>
      <c r="AN1657" s="692"/>
      <c r="AO1657" s="692"/>
      <c r="AP1657" s="692">
        <v>0</v>
      </c>
      <c r="AQ1657" s="692"/>
      <c r="AR1657" s="692"/>
      <c r="AS1657" s="692"/>
      <c r="AT1657" s="692"/>
      <c r="AU1657" s="235">
        <v>1</v>
      </c>
      <c r="AV1657" s="17">
        <f t="shared" si="228"/>
        <v>0</v>
      </c>
      <c r="AW1657" s="792"/>
    </row>
    <row r="1658" spans="1:49" s="794" customFormat="1" x14ac:dyDescent="0.15">
      <c r="A1658" s="791">
        <v>30615</v>
      </c>
      <c r="B1658" s="692" t="s">
        <v>3483</v>
      </c>
      <c r="C1658" s="792" t="s">
        <v>4094</v>
      </c>
      <c r="D1658" s="692">
        <v>3</v>
      </c>
      <c r="E1658" s="692">
        <v>0</v>
      </c>
      <c r="F1658" s="692">
        <v>4</v>
      </c>
      <c r="G1658" s="793">
        <v>70</v>
      </c>
      <c r="H1658" s="692">
        <v>200</v>
      </c>
      <c r="I1658" s="17">
        <v>0</v>
      </c>
      <c r="J1658" s="793"/>
      <c r="K1658" s="692">
        <v>0</v>
      </c>
      <c r="L1658" s="692"/>
      <c r="M1658" s="692"/>
      <c r="N1658" s="692"/>
      <c r="O1658" s="692"/>
      <c r="P1658" s="692"/>
      <c r="Q1658" s="689"/>
      <c r="R1658" s="776"/>
      <c r="S1658" s="689"/>
      <c r="T1658" s="689"/>
      <c r="U1658" s="692"/>
      <c r="V1658" s="692"/>
      <c r="W1658" s="692"/>
      <c r="X1658" s="692"/>
      <c r="Y1658" s="692"/>
      <c r="Z1658" s="690">
        <v>0</v>
      </c>
      <c r="AA1658" s="692"/>
      <c r="AB1658" s="691"/>
      <c r="AC1658" s="691"/>
      <c r="AD1658" s="777"/>
      <c r="AE1658" s="692"/>
      <c r="AF1658" s="792" t="s">
        <v>4095</v>
      </c>
      <c r="AG1658" s="692"/>
      <c r="AH1658" s="692"/>
      <c r="AI1658" s="692"/>
      <c r="AJ1658" s="692"/>
      <c r="AK1658" s="693"/>
      <c r="AL1658" s="793"/>
      <c r="AM1658" s="692"/>
      <c r="AN1658" s="692"/>
      <c r="AO1658" s="692"/>
      <c r="AP1658" s="692">
        <v>0</v>
      </c>
      <c r="AQ1658" s="692"/>
      <c r="AR1658" s="692"/>
      <c r="AS1658" s="692"/>
      <c r="AT1658" s="692"/>
      <c r="AU1658" s="235">
        <v>0</v>
      </c>
      <c r="AV1658" s="17">
        <f t="shared" si="228"/>
        <v>0</v>
      </c>
      <c r="AW1658" s="792"/>
    </row>
    <row r="1659" spans="1:49" s="794" customFormat="1" x14ac:dyDescent="0.15">
      <c r="A1659" s="791">
        <v>30616</v>
      </c>
      <c r="B1659" s="692" t="s">
        <v>3483</v>
      </c>
      <c r="C1659" s="792" t="s">
        <v>3447</v>
      </c>
      <c r="D1659" s="692">
        <v>3</v>
      </c>
      <c r="E1659" s="692">
        <v>0</v>
      </c>
      <c r="F1659" s="692">
        <v>4</v>
      </c>
      <c r="G1659" s="793">
        <v>70</v>
      </c>
      <c r="H1659" s="692">
        <v>200</v>
      </c>
      <c r="I1659" s="17">
        <v>0</v>
      </c>
      <c r="J1659" s="793"/>
      <c r="K1659" s="692">
        <v>0</v>
      </c>
      <c r="L1659" s="692"/>
      <c r="M1659" s="692"/>
      <c r="N1659" s="692"/>
      <c r="O1659" s="692"/>
      <c r="P1659" s="692"/>
      <c r="Q1659" s="689"/>
      <c r="R1659" s="776"/>
      <c r="S1659" s="689"/>
      <c r="T1659" s="689"/>
      <c r="U1659" s="692"/>
      <c r="V1659" s="692"/>
      <c r="W1659" s="692"/>
      <c r="X1659" s="692"/>
      <c r="Y1659" s="692"/>
      <c r="Z1659" s="690">
        <v>0</v>
      </c>
      <c r="AA1659" s="692"/>
      <c r="AB1659" s="691"/>
      <c r="AC1659" s="691"/>
      <c r="AD1659" s="777"/>
      <c r="AE1659" s="692"/>
      <c r="AF1659" s="792" t="s">
        <v>4133</v>
      </c>
      <c r="AG1659" s="692"/>
      <c r="AH1659" s="692"/>
      <c r="AI1659" s="692"/>
      <c r="AJ1659" s="692"/>
      <c r="AK1659" s="693"/>
      <c r="AL1659" s="793"/>
      <c r="AM1659" s="692"/>
      <c r="AN1659" s="692"/>
      <c r="AO1659" s="692"/>
      <c r="AP1659" s="692">
        <v>0</v>
      </c>
      <c r="AQ1659" s="692"/>
      <c r="AR1659" s="692"/>
      <c r="AS1659" s="692"/>
      <c r="AT1659" s="692"/>
      <c r="AU1659" s="235">
        <v>0</v>
      </c>
      <c r="AV1659" s="17">
        <f t="shared" si="228"/>
        <v>0</v>
      </c>
      <c r="AW1659" s="792"/>
    </row>
    <row r="1660" spans="1:49" s="794" customFormat="1" x14ac:dyDescent="0.15">
      <c r="A1660" s="791">
        <v>30617</v>
      </c>
      <c r="B1660" s="692" t="s">
        <v>3483</v>
      </c>
      <c r="C1660" s="792" t="s">
        <v>4599</v>
      </c>
      <c r="D1660" s="692">
        <v>3</v>
      </c>
      <c r="E1660" s="692">
        <v>0</v>
      </c>
      <c r="F1660" s="692">
        <v>4</v>
      </c>
      <c r="G1660" s="793">
        <v>70</v>
      </c>
      <c r="H1660" s="692">
        <v>200</v>
      </c>
      <c r="I1660" s="17">
        <v>0</v>
      </c>
      <c r="J1660" s="793"/>
      <c r="K1660" s="692">
        <v>0</v>
      </c>
      <c r="L1660" s="692"/>
      <c r="M1660" s="692"/>
      <c r="N1660" s="692"/>
      <c r="O1660" s="692"/>
      <c r="P1660" s="692"/>
      <c r="Q1660" s="689"/>
      <c r="R1660" s="776"/>
      <c r="S1660" s="689"/>
      <c r="T1660" s="689"/>
      <c r="U1660" s="692"/>
      <c r="V1660" s="692"/>
      <c r="W1660" s="692"/>
      <c r="X1660" s="692"/>
      <c r="Y1660" s="692"/>
      <c r="Z1660" s="690">
        <v>0</v>
      </c>
      <c r="AA1660" s="692"/>
      <c r="AB1660" s="691"/>
      <c r="AC1660" s="691"/>
      <c r="AD1660" s="777"/>
      <c r="AE1660" s="692"/>
      <c r="AF1660" s="792" t="s">
        <v>4600</v>
      </c>
      <c r="AG1660" s="692"/>
      <c r="AH1660" s="692"/>
      <c r="AI1660" s="692"/>
      <c r="AJ1660" s="692"/>
      <c r="AK1660" s="693"/>
      <c r="AL1660" s="793"/>
      <c r="AM1660" s="692"/>
      <c r="AN1660" s="692"/>
      <c r="AO1660" s="692"/>
      <c r="AP1660" s="692">
        <v>0</v>
      </c>
      <c r="AQ1660" s="692"/>
      <c r="AR1660" s="692"/>
      <c r="AS1660" s="692"/>
      <c r="AT1660" s="692"/>
      <c r="AU1660" s="235">
        <v>0</v>
      </c>
      <c r="AV1660" s="17">
        <f t="shared" si="228"/>
        <v>0</v>
      </c>
      <c r="AW1660" s="792"/>
    </row>
    <row r="1661" spans="1:49" s="794" customFormat="1" x14ac:dyDescent="0.15">
      <c r="A1661" s="791">
        <v>30618</v>
      </c>
      <c r="B1661" s="692" t="s">
        <v>3483</v>
      </c>
      <c r="C1661" s="792" t="s">
        <v>3448</v>
      </c>
      <c r="D1661" s="692">
        <v>3</v>
      </c>
      <c r="E1661" s="692">
        <v>0</v>
      </c>
      <c r="F1661" s="692">
        <v>4</v>
      </c>
      <c r="G1661" s="793">
        <v>70</v>
      </c>
      <c r="H1661" s="692">
        <v>200</v>
      </c>
      <c r="I1661" s="17">
        <v>0</v>
      </c>
      <c r="J1661" s="793"/>
      <c r="K1661" s="692">
        <v>0</v>
      </c>
      <c r="L1661" s="692"/>
      <c r="M1661" s="692"/>
      <c r="N1661" s="692"/>
      <c r="O1661" s="692"/>
      <c r="P1661" s="692"/>
      <c r="Q1661" s="689"/>
      <c r="R1661" s="776"/>
      <c r="S1661" s="689"/>
      <c r="T1661" s="689"/>
      <c r="U1661" s="692"/>
      <c r="V1661" s="692"/>
      <c r="W1661" s="692"/>
      <c r="X1661" s="692"/>
      <c r="Y1661" s="692"/>
      <c r="Z1661" s="690">
        <v>0</v>
      </c>
      <c r="AA1661" s="692"/>
      <c r="AB1661" s="691"/>
      <c r="AC1661" s="691"/>
      <c r="AD1661" s="777"/>
      <c r="AE1661" s="692"/>
      <c r="AF1661" s="792" t="s">
        <v>3449</v>
      </c>
      <c r="AG1661" s="692"/>
      <c r="AH1661" s="692"/>
      <c r="AI1661" s="692"/>
      <c r="AJ1661" s="692"/>
      <c r="AK1661" s="693"/>
      <c r="AL1661" s="793"/>
      <c r="AM1661" s="692"/>
      <c r="AN1661" s="692"/>
      <c r="AO1661" s="692"/>
      <c r="AP1661" s="692">
        <v>0</v>
      </c>
      <c r="AQ1661" s="692"/>
      <c r="AR1661" s="692"/>
      <c r="AS1661" s="692"/>
      <c r="AT1661" s="692"/>
      <c r="AU1661" s="235">
        <v>1</v>
      </c>
      <c r="AV1661" s="17">
        <f t="shared" si="228"/>
        <v>0</v>
      </c>
      <c r="AW1661" s="792"/>
    </row>
    <row r="1662" spans="1:49" s="806" customFormat="1" x14ac:dyDescent="0.15">
      <c r="A1662" s="791">
        <v>30619</v>
      </c>
      <c r="B1662" s="692" t="s">
        <v>3483</v>
      </c>
      <c r="C1662" s="792" t="s">
        <v>3478</v>
      </c>
      <c r="D1662" s="796">
        <v>3</v>
      </c>
      <c r="E1662" s="796">
        <v>0</v>
      </c>
      <c r="F1662" s="796">
        <v>4</v>
      </c>
      <c r="G1662" s="797">
        <v>70</v>
      </c>
      <c r="H1662" s="796">
        <v>200</v>
      </c>
      <c r="I1662" s="17">
        <v>0</v>
      </c>
      <c r="J1662" s="797"/>
      <c r="K1662" s="796">
        <v>0</v>
      </c>
      <c r="L1662" s="796"/>
      <c r="M1662" s="796"/>
      <c r="N1662" s="796"/>
      <c r="O1662" s="796"/>
      <c r="P1662" s="796"/>
      <c r="Q1662" s="798"/>
      <c r="R1662" s="799"/>
      <c r="S1662" s="798"/>
      <c r="T1662" s="798"/>
      <c r="U1662" s="796"/>
      <c r="V1662" s="796"/>
      <c r="W1662" s="796"/>
      <c r="X1662" s="796"/>
      <c r="Y1662" s="796"/>
      <c r="Z1662" s="800">
        <v>0</v>
      </c>
      <c r="AA1662" s="796"/>
      <c r="AB1662" s="801"/>
      <c r="AC1662" s="801"/>
      <c r="AD1662" s="802"/>
      <c r="AE1662" s="796"/>
      <c r="AF1662" s="792" t="s">
        <v>3473</v>
      </c>
      <c r="AG1662" s="796"/>
      <c r="AH1662" s="796"/>
      <c r="AI1662" s="796"/>
      <c r="AJ1662" s="796"/>
      <c r="AK1662" s="803"/>
      <c r="AL1662" s="797"/>
      <c r="AM1662" s="796"/>
      <c r="AN1662" s="796"/>
      <c r="AO1662" s="796"/>
      <c r="AP1662" s="796">
        <v>0</v>
      </c>
      <c r="AQ1662" s="796"/>
      <c r="AR1662" s="796"/>
      <c r="AS1662" s="796"/>
      <c r="AT1662" s="796"/>
      <c r="AU1662" s="804">
        <v>0</v>
      </c>
      <c r="AV1662" s="17">
        <f t="shared" si="228"/>
        <v>0</v>
      </c>
      <c r="AW1662" s="805"/>
    </row>
    <row r="1663" spans="1:49" s="790" customFormat="1" x14ac:dyDescent="0.15">
      <c r="A1663" s="779">
        <v>30620</v>
      </c>
      <c r="B1663" s="780" t="s">
        <v>3484</v>
      </c>
      <c r="C1663" s="781" t="s">
        <v>3450</v>
      </c>
      <c r="D1663" s="780">
        <v>3</v>
      </c>
      <c r="E1663" s="780">
        <v>0</v>
      </c>
      <c r="F1663" s="780">
        <v>4</v>
      </c>
      <c r="G1663" s="782">
        <v>70</v>
      </c>
      <c r="H1663" s="780">
        <v>200</v>
      </c>
      <c r="I1663" s="17">
        <v>0</v>
      </c>
      <c r="J1663" s="782"/>
      <c r="K1663" s="780">
        <v>0</v>
      </c>
      <c r="L1663" s="780"/>
      <c r="M1663" s="780"/>
      <c r="N1663" s="780"/>
      <c r="O1663" s="780"/>
      <c r="P1663" s="780"/>
      <c r="Q1663" s="783"/>
      <c r="R1663" s="784"/>
      <c r="S1663" s="783"/>
      <c r="T1663" s="783"/>
      <c r="U1663" s="780"/>
      <c r="V1663" s="780"/>
      <c r="W1663" s="780"/>
      <c r="X1663" s="780"/>
      <c r="Y1663" s="780"/>
      <c r="Z1663" s="785">
        <v>0</v>
      </c>
      <c r="AA1663" s="780"/>
      <c r="AB1663" s="786"/>
      <c r="AC1663" s="786"/>
      <c r="AD1663" s="787"/>
      <c r="AE1663" s="780"/>
      <c r="AF1663" s="781" t="s">
        <v>3451</v>
      </c>
      <c r="AG1663" s="780"/>
      <c r="AH1663" s="780"/>
      <c r="AI1663" s="780"/>
      <c r="AJ1663" s="780"/>
      <c r="AK1663" s="788"/>
      <c r="AL1663" s="782"/>
      <c r="AM1663" s="780"/>
      <c r="AN1663" s="780"/>
      <c r="AO1663" s="780"/>
      <c r="AP1663" s="780">
        <v>0</v>
      </c>
      <c r="AQ1663" s="780"/>
      <c r="AR1663" s="780"/>
      <c r="AS1663" s="780"/>
      <c r="AT1663" s="780"/>
      <c r="AU1663" s="789">
        <v>0</v>
      </c>
      <c r="AV1663" s="17">
        <f t="shared" si="228"/>
        <v>0</v>
      </c>
      <c r="AW1663" s="781"/>
    </row>
    <row r="1664" spans="1:49" s="794" customFormat="1" x14ac:dyDescent="0.15">
      <c r="A1664" s="791">
        <v>30621</v>
      </c>
      <c r="B1664" s="692" t="s">
        <v>3485</v>
      </c>
      <c r="C1664" s="792" t="s">
        <v>3452</v>
      </c>
      <c r="D1664" s="692">
        <v>3</v>
      </c>
      <c r="E1664" s="692">
        <v>0</v>
      </c>
      <c r="F1664" s="692">
        <v>4</v>
      </c>
      <c r="G1664" s="793">
        <v>70</v>
      </c>
      <c r="H1664" s="692">
        <v>200</v>
      </c>
      <c r="I1664" s="17">
        <v>0</v>
      </c>
      <c r="J1664" s="793"/>
      <c r="K1664" s="692">
        <v>0</v>
      </c>
      <c r="L1664" s="692"/>
      <c r="M1664" s="692"/>
      <c r="N1664" s="692"/>
      <c r="O1664" s="692"/>
      <c r="P1664" s="692"/>
      <c r="Q1664" s="689"/>
      <c r="R1664" s="776"/>
      <c r="S1664" s="689"/>
      <c r="T1664" s="689"/>
      <c r="U1664" s="692"/>
      <c r="V1664" s="692"/>
      <c r="W1664" s="692"/>
      <c r="X1664" s="692"/>
      <c r="Y1664" s="692"/>
      <c r="Z1664" s="690">
        <v>0</v>
      </c>
      <c r="AA1664" s="692"/>
      <c r="AB1664" s="691"/>
      <c r="AC1664" s="691"/>
      <c r="AD1664" s="777"/>
      <c r="AE1664" s="692"/>
      <c r="AF1664" s="792" t="s">
        <v>3453</v>
      </c>
      <c r="AG1664" s="692"/>
      <c r="AH1664" s="692"/>
      <c r="AI1664" s="692"/>
      <c r="AJ1664" s="692"/>
      <c r="AK1664" s="693"/>
      <c r="AL1664" s="793"/>
      <c r="AM1664" s="692"/>
      <c r="AN1664" s="692"/>
      <c r="AO1664" s="692"/>
      <c r="AP1664" s="692">
        <v>0</v>
      </c>
      <c r="AQ1664" s="692"/>
      <c r="AR1664" s="692"/>
      <c r="AS1664" s="692"/>
      <c r="AT1664" s="692"/>
      <c r="AU1664" s="235">
        <v>0</v>
      </c>
      <c r="AV1664" s="17">
        <f t="shared" si="228"/>
        <v>0</v>
      </c>
      <c r="AW1664" s="792"/>
    </row>
    <row r="1665" spans="1:49" s="794" customFormat="1" x14ac:dyDescent="0.15">
      <c r="A1665" s="791">
        <v>30622</v>
      </c>
      <c r="B1665" s="692" t="s">
        <v>3485</v>
      </c>
      <c r="C1665" s="792" t="s">
        <v>3454</v>
      </c>
      <c r="D1665" s="692">
        <v>3</v>
      </c>
      <c r="E1665" s="692">
        <v>0</v>
      </c>
      <c r="F1665" s="692">
        <v>4</v>
      </c>
      <c r="G1665" s="793">
        <v>70</v>
      </c>
      <c r="H1665" s="692">
        <v>200</v>
      </c>
      <c r="I1665" s="17">
        <v>0</v>
      </c>
      <c r="J1665" s="793"/>
      <c r="K1665" s="692">
        <v>0</v>
      </c>
      <c r="L1665" s="692"/>
      <c r="M1665" s="692"/>
      <c r="N1665" s="692"/>
      <c r="O1665" s="692"/>
      <c r="P1665" s="692"/>
      <c r="Q1665" s="689"/>
      <c r="R1665" s="776"/>
      <c r="S1665" s="689"/>
      <c r="T1665" s="689"/>
      <c r="U1665" s="692"/>
      <c r="V1665" s="692"/>
      <c r="W1665" s="692"/>
      <c r="X1665" s="692"/>
      <c r="Y1665" s="692"/>
      <c r="Z1665" s="690">
        <v>0</v>
      </c>
      <c r="AA1665" s="692"/>
      <c r="AB1665" s="691"/>
      <c r="AC1665" s="691"/>
      <c r="AD1665" s="777"/>
      <c r="AE1665" s="692"/>
      <c r="AF1665" s="792" t="s">
        <v>3455</v>
      </c>
      <c r="AG1665" s="692"/>
      <c r="AH1665" s="692"/>
      <c r="AI1665" s="692"/>
      <c r="AJ1665" s="692"/>
      <c r="AK1665" s="693"/>
      <c r="AL1665" s="793"/>
      <c r="AM1665" s="692"/>
      <c r="AN1665" s="692"/>
      <c r="AO1665" s="692"/>
      <c r="AP1665" s="692">
        <v>0</v>
      </c>
      <c r="AQ1665" s="692"/>
      <c r="AR1665" s="692"/>
      <c r="AS1665" s="692"/>
      <c r="AT1665" s="692"/>
      <c r="AU1665" s="235">
        <v>1</v>
      </c>
      <c r="AV1665" s="17">
        <f t="shared" si="228"/>
        <v>0</v>
      </c>
      <c r="AW1665" s="792"/>
    </row>
    <row r="1666" spans="1:49" s="794" customFormat="1" x14ac:dyDescent="0.15">
      <c r="A1666" s="791">
        <v>30623</v>
      </c>
      <c r="B1666" s="692" t="s">
        <v>3483</v>
      </c>
      <c r="C1666" s="792" t="s">
        <v>3479</v>
      </c>
      <c r="D1666" s="692">
        <v>3</v>
      </c>
      <c r="E1666" s="692">
        <v>0</v>
      </c>
      <c r="F1666" s="692">
        <v>4</v>
      </c>
      <c r="G1666" s="793">
        <v>70</v>
      </c>
      <c r="H1666" s="692">
        <v>200</v>
      </c>
      <c r="I1666" s="17">
        <v>0</v>
      </c>
      <c r="J1666" s="793"/>
      <c r="K1666" s="692">
        <v>0</v>
      </c>
      <c r="L1666" s="692"/>
      <c r="M1666" s="692"/>
      <c r="N1666" s="692"/>
      <c r="O1666" s="692"/>
      <c r="P1666" s="692"/>
      <c r="Q1666" s="689"/>
      <c r="R1666" s="776"/>
      <c r="S1666" s="689"/>
      <c r="T1666" s="689"/>
      <c r="U1666" s="692"/>
      <c r="V1666" s="692"/>
      <c r="W1666" s="692"/>
      <c r="X1666" s="692"/>
      <c r="Y1666" s="692"/>
      <c r="Z1666" s="690">
        <v>0</v>
      </c>
      <c r="AA1666" s="692"/>
      <c r="AB1666" s="691"/>
      <c r="AC1666" s="691"/>
      <c r="AD1666" s="777"/>
      <c r="AE1666" s="692"/>
      <c r="AF1666" s="792" t="s">
        <v>3481</v>
      </c>
      <c r="AG1666" s="692"/>
      <c r="AH1666" s="692"/>
      <c r="AI1666" s="692"/>
      <c r="AJ1666" s="692"/>
      <c r="AK1666" s="693"/>
      <c r="AL1666" s="793"/>
      <c r="AM1666" s="692"/>
      <c r="AN1666" s="692"/>
      <c r="AO1666" s="692"/>
      <c r="AP1666" s="692">
        <v>0</v>
      </c>
      <c r="AQ1666" s="692"/>
      <c r="AR1666" s="692"/>
      <c r="AS1666" s="692"/>
      <c r="AT1666" s="692"/>
      <c r="AU1666" s="235">
        <v>0</v>
      </c>
      <c r="AV1666" s="17">
        <f t="shared" si="228"/>
        <v>0</v>
      </c>
      <c r="AW1666" s="792"/>
    </row>
    <row r="1667" spans="1:49" s="794" customFormat="1" x14ac:dyDescent="0.15">
      <c r="A1667" s="791">
        <v>30624</v>
      </c>
      <c r="B1667" s="692" t="s">
        <v>3483</v>
      </c>
      <c r="C1667" s="792" t="s">
        <v>4178</v>
      </c>
      <c r="D1667" s="692">
        <v>3</v>
      </c>
      <c r="E1667" s="692">
        <v>0</v>
      </c>
      <c r="F1667" s="692">
        <v>4</v>
      </c>
      <c r="G1667" s="793">
        <v>70</v>
      </c>
      <c r="H1667" s="692">
        <v>200</v>
      </c>
      <c r="I1667" s="17">
        <v>0</v>
      </c>
      <c r="J1667" s="793"/>
      <c r="K1667" s="692">
        <v>0</v>
      </c>
      <c r="L1667" s="692"/>
      <c r="M1667" s="692"/>
      <c r="N1667" s="692"/>
      <c r="O1667" s="692"/>
      <c r="P1667" s="692"/>
      <c r="Q1667" s="689"/>
      <c r="R1667" s="776"/>
      <c r="S1667" s="689"/>
      <c r="T1667" s="689"/>
      <c r="U1667" s="692"/>
      <c r="V1667" s="692"/>
      <c r="W1667" s="692"/>
      <c r="X1667" s="692"/>
      <c r="Y1667" s="692"/>
      <c r="Z1667" s="690">
        <v>0</v>
      </c>
      <c r="AA1667" s="692"/>
      <c r="AB1667" s="691"/>
      <c r="AC1667" s="691"/>
      <c r="AD1667" s="777"/>
      <c r="AE1667" s="692"/>
      <c r="AF1667" s="792" t="s">
        <v>4179</v>
      </c>
      <c r="AG1667" s="692"/>
      <c r="AH1667" s="692"/>
      <c r="AI1667" s="692"/>
      <c r="AJ1667" s="692"/>
      <c r="AK1667" s="693"/>
      <c r="AL1667" s="793"/>
      <c r="AM1667" s="692"/>
      <c r="AN1667" s="692"/>
      <c r="AO1667" s="692"/>
      <c r="AP1667" s="692">
        <v>0</v>
      </c>
      <c r="AQ1667" s="692"/>
      <c r="AR1667" s="692"/>
      <c r="AS1667" s="692"/>
      <c r="AT1667" s="692"/>
      <c r="AU1667" s="235">
        <v>0</v>
      </c>
      <c r="AV1667" s="17">
        <f t="shared" si="228"/>
        <v>0</v>
      </c>
      <c r="AW1667" s="792"/>
    </row>
    <row r="1668" spans="1:49" s="794" customFormat="1" x14ac:dyDescent="0.15">
      <c r="A1668" s="791">
        <v>30625</v>
      </c>
      <c r="B1668" s="692" t="s">
        <v>3483</v>
      </c>
      <c r="C1668" s="792" t="s">
        <v>3456</v>
      </c>
      <c r="D1668" s="692">
        <v>3</v>
      </c>
      <c r="E1668" s="692">
        <v>0</v>
      </c>
      <c r="F1668" s="692">
        <v>4</v>
      </c>
      <c r="G1668" s="793">
        <v>70</v>
      </c>
      <c r="H1668" s="692">
        <v>200</v>
      </c>
      <c r="I1668" s="17">
        <v>0</v>
      </c>
      <c r="J1668" s="793"/>
      <c r="K1668" s="692">
        <v>0</v>
      </c>
      <c r="L1668" s="692"/>
      <c r="M1668" s="692"/>
      <c r="N1668" s="692"/>
      <c r="O1668" s="692"/>
      <c r="P1668" s="692"/>
      <c r="Q1668" s="689"/>
      <c r="R1668" s="776"/>
      <c r="S1668" s="689"/>
      <c r="T1668" s="689"/>
      <c r="U1668" s="692"/>
      <c r="V1668" s="692"/>
      <c r="W1668" s="692"/>
      <c r="X1668" s="692"/>
      <c r="Y1668" s="692"/>
      <c r="Z1668" s="690">
        <v>0</v>
      </c>
      <c r="AA1668" s="692"/>
      <c r="AB1668" s="691"/>
      <c r="AC1668" s="691"/>
      <c r="AD1668" s="777"/>
      <c r="AE1668" s="692"/>
      <c r="AF1668" s="792" t="s">
        <v>3475</v>
      </c>
      <c r="AG1668" s="692"/>
      <c r="AH1668" s="692"/>
      <c r="AI1668" s="692"/>
      <c r="AJ1668" s="692"/>
      <c r="AK1668" s="693"/>
      <c r="AL1668" s="793"/>
      <c r="AM1668" s="692"/>
      <c r="AN1668" s="692"/>
      <c r="AO1668" s="692"/>
      <c r="AP1668" s="692">
        <v>0</v>
      </c>
      <c r="AQ1668" s="692"/>
      <c r="AR1668" s="692"/>
      <c r="AS1668" s="692"/>
      <c r="AT1668" s="692"/>
      <c r="AU1668" s="235">
        <v>1</v>
      </c>
      <c r="AV1668" s="17">
        <f t="shared" si="228"/>
        <v>0</v>
      </c>
      <c r="AW1668" s="792"/>
    </row>
    <row r="1669" spans="1:49" s="794" customFormat="1" x14ac:dyDescent="0.15">
      <c r="A1669" s="791">
        <v>30626</v>
      </c>
      <c r="B1669" s="692" t="s">
        <v>3483</v>
      </c>
      <c r="C1669" s="792" t="s">
        <v>3457</v>
      </c>
      <c r="D1669" s="692">
        <v>3</v>
      </c>
      <c r="E1669" s="692">
        <v>0</v>
      </c>
      <c r="F1669" s="692">
        <v>4</v>
      </c>
      <c r="G1669" s="793">
        <v>70</v>
      </c>
      <c r="H1669" s="692">
        <v>200</v>
      </c>
      <c r="I1669" s="17">
        <v>0</v>
      </c>
      <c r="J1669" s="793"/>
      <c r="K1669" s="692">
        <v>0</v>
      </c>
      <c r="L1669" s="692"/>
      <c r="M1669" s="692"/>
      <c r="N1669" s="692"/>
      <c r="O1669" s="692"/>
      <c r="P1669" s="692"/>
      <c r="Q1669" s="689"/>
      <c r="R1669" s="776"/>
      <c r="S1669" s="689"/>
      <c r="T1669" s="689"/>
      <c r="U1669" s="692"/>
      <c r="V1669" s="692"/>
      <c r="W1669" s="692"/>
      <c r="X1669" s="692"/>
      <c r="Y1669" s="692"/>
      <c r="Z1669" s="690">
        <v>0</v>
      </c>
      <c r="AA1669" s="692"/>
      <c r="AB1669" s="691"/>
      <c r="AC1669" s="691"/>
      <c r="AD1669" s="777"/>
      <c r="AE1669" s="692"/>
      <c r="AF1669" s="792" t="s">
        <v>3477</v>
      </c>
      <c r="AG1669" s="692"/>
      <c r="AH1669" s="692"/>
      <c r="AI1669" s="692"/>
      <c r="AJ1669" s="692"/>
      <c r="AK1669" s="693"/>
      <c r="AL1669" s="793"/>
      <c r="AM1669" s="692"/>
      <c r="AN1669" s="692"/>
      <c r="AO1669" s="692"/>
      <c r="AP1669" s="692">
        <v>0</v>
      </c>
      <c r="AQ1669" s="692"/>
      <c r="AR1669" s="692"/>
      <c r="AS1669" s="692"/>
      <c r="AT1669" s="692"/>
      <c r="AU1669" s="235">
        <v>1</v>
      </c>
      <c r="AV1669" s="17">
        <f t="shared" si="228"/>
        <v>0</v>
      </c>
      <c r="AW1669" s="792"/>
    </row>
    <row r="1670" spans="1:49" s="806" customFormat="1" x14ac:dyDescent="0.15">
      <c r="A1670" s="791">
        <v>30627</v>
      </c>
      <c r="B1670" s="692" t="s">
        <v>3483</v>
      </c>
      <c r="C1670" s="805" t="s">
        <v>4138</v>
      </c>
      <c r="D1670" s="796">
        <v>3</v>
      </c>
      <c r="E1670" s="796">
        <v>0</v>
      </c>
      <c r="F1670" s="796">
        <v>4</v>
      </c>
      <c r="G1670" s="797">
        <v>70</v>
      </c>
      <c r="H1670" s="796">
        <v>200</v>
      </c>
      <c r="I1670" s="17">
        <v>0</v>
      </c>
      <c r="J1670" s="797"/>
      <c r="K1670" s="796">
        <v>0</v>
      </c>
      <c r="L1670" s="796"/>
      <c r="M1670" s="796"/>
      <c r="N1670" s="796"/>
      <c r="O1670" s="796"/>
      <c r="P1670" s="796"/>
      <c r="Q1670" s="798"/>
      <c r="R1670" s="799"/>
      <c r="S1670" s="798"/>
      <c r="T1670" s="798"/>
      <c r="U1670" s="796"/>
      <c r="V1670" s="796"/>
      <c r="W1670" s="796"/>
      <c r="X1670" s="796"/>
      <c r="Y1670" s="796"/>
      <c r="Z1670" s="800">
        <v>0</v>
      </c>
      <c r="AA1670" s="796"/>
      <c r="AB1670" s="801"/>
      <c r="AC1670" s="801"/>
      <c r="AD1670" s="802"/>
      <c r="AE1670" s="796"/>
      <c r="AF1670" s="805" t="s">
        <v>4139</v>
      </c>
      <c r="AG1670" s="796"/>
      <c r="AH1670" s="796"/>
      <c r="AI1670" s="796"/>
      <c r="AJ1670" s="796"/>
      <c r="AK1670" s="803"/>
      <c r="AL1670" s="797"/>
      <c r="AM1670" s="796"/>
      <c r="AN1670" s="796"/>
      <c r="AO1670" s="796"/>
      <c r="AP1670" s="796">
        <v>0</v>
      </c>
      <c r="AQ1670" s="796"/>
      <c r="AR1670" s="796"/>
      <c r="AS1670" s="796"/>
      <c r="AT1670" s="796"/>
      <c r="AU1670" s="804">
        <v>1</v>
      </c>
      <c r="AV1670" s="17">
        <f t="shared" si="228"/>
        <v>0</v>
      </c>
      <c r="AW1670" s="805"/>
    </row>
    <row r="1671" spans="1:49" s="790" customFormat="1" x14ac:dyDescent="0.15">
      <c r="A1671" s="779">
        <v>30630</v>
      </c>
      <c r="B1671" s="692" t="s">
        <v>3495</v>
      </c>
      <c r="C1671" s="781" t="s">
        <v>3442</v>
      </c>
      <c r="D1671" s="780">
        <v>3</v>
      </c>
      <c r="E1671" s="780">
        <v>0</v>
      </c>
      <c r="F1671" s="780">
        <v>4</v>
      </c>
      <c r="G1671" s="782">
        <v>41</v>
      </c>
      <c r="H1671" s="780">
        <v>200</v>
      </c>
      <c r="I1671" s="17">
        <v>0</v>
      </c>
      <c r="J1671" s="782"/>
      <c r="K1671" s="780">
        <v>0</v>
      </c>
      <c r="L1671" s="780"/>
      <c r="M1671" s="780"/>
      <c r="N1671" s="780"/>
      <c r="O1671" s="780"/>
      <c r="P1671" s="780"/>
      <c r="Q1671" s="783"/>
      <c r="R1671" s="784"/>
      <c r="S1671" s="783"/>
      <c r="T1671" s="783"/>
      <c r="U1671" s="780"/>
      <c r="V1671" s="780"/>
      <c r="W1671" s="780"/>
      <c r="X1671" s="780"/>
      <c r="Y1671" s="780"/>
      <c r="Z1671" s="785">
        <v>0</v>
      </c>
      <c r="AA1671" s="780"/>
      <c r="AB1671" s="786"/>
      <c r="AC1671" s="786"/>
      <c r="AD1671" s="787"/>
      <c r="AE1671" s="780"/>
      <c r="AF1671" s="781" t="s">
        <v>3443</v>
      </c>
      <c r="AG1671" s="780"/>
      <c r="AH1671" s="780"/>
      <c r="AI1671" s="780"/>
      <c r="AJ1671" s="780"/>
      <c r="AK1671" s="788"/>
      <c r="AL1671" s="782"/>
      <c r="AM1671" s="780"/>
      <c r="AN1671" s="780"/>
      <c r="AO1671" s="780"/>
      <c r="AP1671" s="780">
        <v>0</v>
      </c>
      <c r="AQ1671" s="780"/>
      <c r="AR1671" s="780"/>
      <c r="AS1671" s="780"/>
      <c r="AT1671" s="780"/>
      <c r="AU1671" s="789">
        <v>1</v>
      </c>
      <c r="AV1671" s="17">
        <f t="shared" si="228"/>
        <v>0</v>
      </c>
      <c r="AW1671" s="781"/>
    </row>
    <row r="1672" spans="1:49" s="794" customFormat="1" x14ac:dyDescent="0.15">
      <c r="A1672" s="791">
        <v>30631</v>
      </c>
      <c r="B1672" s="692" t="s">
        <v>3495</v>
      </c>
      <c r="C1672" s="792" t="s">
        <v>4608</v>
      </c>
      <c r="D1672" s="692">
        <v>3</v>
      </c>
      <c r="E1672" s="692">
        <v>0</v>
      </c>
      <c r="F1672" s="692">
        <v>4</v>
      </c>
      <c r="G1672" s="793">
        <v>41</v>
      </c>
      <c r="H1672" s="692">
        <v>200</v>
      </c>
      <c r="I1672" s="17">
        <v>0</v>
      </c>
      <c r="J1672" s="793"/>
      <c r="K1672" s="692">
        <v>0</v>
      </c>
      <c r="L1672" s="692"/>
      <c r="M1672" s="692"/>
      <c r="N1672" s="692"/>
      <c r="O1672" s="692"/>
      <c r="P1672" s="692"/>
      <c r="Q1672" s="689"/>
      <c r="R1672" s="776"/>
      <c r="S1672" s="689"/>
      <c r="T1672" s="689"/>
      <c r="U1672" s="692"/>
      <c r="V1672" s="692"/>
      <c r="W1672" s="692"/>
      <c r="X1672" s="692"/>
      <c r="Y1672" s="692"/>
      <c r="Z1672" s="690">
        <v>0</v>
      </c>
      <c r="AA1672" s="692"/>
      <c r="AB1672" s="691"/>
      <c r="AC1672" s="691"/>
      <c r="AD1672" s="777"/>
      <c r="AE1672" s="692"/>
      <c r="AF1672" s="792" t="s">
        <v>4609</v>
      </c>
      <c r="AG1672" s="692"/>
      <c r="AH1672" s="692"/>
      <c r="AI1672" s="692"/>
      <c r="AJ1672" s="692"/>
      <c r="AK1672" s="693"/>
      <c r="AL1672" s="793"/>
      <c r="AM1672" s="692"/>
      <c r="AN1672" s="692"/>
      <c r="AO1672" s="692"/>
      <c r="AP1672" s="692">
        <v>0</v>
      </c>
      <c r="AQ1672" s="692"/>
      <c r="AR1672" s="692"/>
      <c r="AS1672" s="692"/>
      <c r="AT1672" s="692"/>
      <c r="AU1672" s="235">
        <v>1</v>
      </c>
      <c r="AV1672" s="17">
        <f t="shared" si="228"/>
        <v>0</v>
      </c>
      <c r="AW1672" s="792"/>
    </row>
    <row r="1673" spans="1:49" s="794" customFormat="1" x14ac:dyDescent="0.15">
      <c r="A1673" s="791">
        <v>30632</v>
      </c>
      <c r="B1673" s="692" t="s">
        <v>3495</v>
      </c>
      <c r="C1673" s="792" t="s">
        <v>3444</v>
      </c>
      <c r="D1673" s="692">
        <v>3</v>
      </c>
      <c r="E1673" s="692">
        <v>0</v>
      </c>
      <c r="F1673" s="692">
        <v>4</v>
      </c>
      <c r="G1673" s="793">
        <v>41</v>
      </c>
      <c r="H1673" s="692">
        <v>200</v>
      </c>
      <c r="I1673" s="17">
        <v>0</v>
      </c>
      <c r="J1673" s="793"/>
      <c r="K1673" s="692">
        <v>0</v>
      </c>
      <c r="L1673" s="692"/>
      <c r="M1673" s="692"/>
      <c r="N1673" s="692"/>
      <c r="O1673" s="692"/>
      <c r="P1673" s="692"/>
      <c r="Q1673" s="689"/>
      <c r="R1673" s="776"/>
      <c r="S1673" s="689"/>
      <c r="T1673" s="689"/>
      <c r="U1673" s="692"/>
      <c r="V1673" s="692"/>
      <c r="W1673" s="692"/>
      <c r="X1673" s="692"/>
      <c r="Y1673" s="692"/>
      <c r="Z1673" s="690">
        <v>0</v>
      </c>
      <c r="AA1673" s="692"/>
      <c r="AB1673" s="691"/>
      <c r="AC1673" s="691"/>
      <c r="AD1673" s="777"/>
      <c r="AE1673" s="692"/>
      <c r="AF1673" s="792" t="s">
        <v>3469</v>
      </c>
      <c r="AG1673" s="692"/>
      <c r="AH1673" s="692"/>
      <c r="AI1673" s="692"/>
      <c r="AJ1673" s="692"/>
      <c r="AK1673" s="693"/>
      <c r="AL1673" s="793"/>
      <c r="AM1673" s="692"/>
      <c r="AN1673" s="692"/>
      <c r="AO1673" s="692"/>
      <c r="AP1673" s="692">
        <v>0</v>
      </c>
      <c r="AQ1673" s="692"/>
      <c r="AR1673" s="692"/>
      <c r="AS1673" s="692"/>
      <c r="AT1673" s="692"/>
      <c r="AU1673" s="235">
        <v>1</v>
      </c>
      <c r="AV1673" s="17">
        <f t="shared" si="228"/>
        <v>0</v>
      </c>
      <c r="AW1673" s="792"/>
    </row>
    <row r="1674" spans="1:49" s="794" customFormat="1" x14ac:dyDescent="0.15">
      <c r="A1674" s="791">
        <v>30633</v>
      </c>
      <c r="B1674" s="692" t="s">
        <v>3495</v>
      </c>
      <c r="C1674" s="792" t="s">
        <v>3445</v>
      </c>
      <c r="D1674" s="692">
        <v>3</v>
      </c>
      <c r="E1674" s="692">
        <v>0</v>
      </c>
      <c r="F1674" s="692">
        <v>4</v>
      </c>
      <c r="G1674" s="793">
        <v>41</v>
      </c>
      <c r="H1674" s="692">
        <v>200</v>
      </c>
      <c r="I1674" s="17">
        <v>0</v>
      </c>
      <c r="J1674" s="793"/>
      <c r="K1674" s="692">
        <v>0</v>
      </c>
      <c r="L1674" s="692"/>
      <c r="M1674" s="692"/>
      <c r="N1674" s="692"/>
      <c r="O1674" s="692"/>
      <c r="P1674" s="692"/>
      <c r="Q1674" s="689"/>
      <c r="R1674" s="776"/>
      <c r="S1674" s="689"/>
      <c r="T1674" s="689"/>
      <c r="U1674" s="692"/>
      <c r="V1674" s="692"/>
      <c r="W1674" s="692"/>
      <c r="X1674" s="692"/>
      <c r="Y1674" s="692"/>
      <c r="Z1674" s="690">
        <v>0</v>
      </c>
      <c r="AA1674" s="692"/>
      <c r="AB1674" s="691"/>
      <c r="AC1674" s="691"/>
      <c r="AD1674" s="777"/>
      <c r="AE1674" s="692"/>
      <c r="AF1674" s="792" t="s">
        <v>3471</v>
      </c>
      <c r="AG1674" s="692"/>
      <c r="AH1674" s="692"/>
      <c r="AI1674" s="692"/>
      <c r="AJ1674" s="692"/>
      <c r="AK1674" s="693"/>
      <c r="AL1674" s="793"/>
      <c r="AM1674" s="692"/>
      <c r="AN1674" s="692"/>
      <c r="AO1674" s="692"/>
      <c r="AP1674" s="692">
        <v>0</v>
      </c>
      <c r="AQ1674" s="692"/>
      <c r="AR1674" s="692"/>
      <c r="AS1674" s="692"/>
      <c r="AT1674" s="692"/>
      <c r="AU1674" s="235">
        <v>1</v>
      </c>
      <c r="AV1674" s="17">
        <f t="shared" si="228"/>
        <v>0</v>
      </c>
      <c r="AW1674" s="792"/>
    </row>
    <row r="1675" spans="1:49" s="794" customFormat="1" x14ac:dyDescent="0.15">
      <c r="A1675" s="791">
        <v>30634</v>
      </c>
      <c r="B1675" s="692" t="s">
        <v>3495</v>
      </c>
      <c r="C1675" s="792" t="s">
        <v>3446</v>
      </c>
      <c r="D1675" s="692">
        <v>3</v>
      </c>
      <c r="E1675" s="692">
        <v>0</v>
      </c>
      <c r="F1675" s="692">
        <v>4</v>
      </c>
      <c r="G1675" s="793">
        <v>41</v>
      </c>
      <c r="H1675" s="692">
        <v>200</v>
      </c>
      <c r="I1675" s="17">
        <v>0</v>
      </c>
      <c r="J1675" s="793"/>
      <c r="K1675" s="692">
        <v>0</v>
      </c>
      <c r="L1675" s="692"/>
      <c r="M1675" s="692"/>
      <c r="N1675" s="692"/>
      <c r="O1675" s="692"/>
      <c r="P1675" s="692"/>
      <c r="Q1675" s="689"/>
      <c r="R1675" s="776"/>
      <c r="S1675" s="689"/>
      <c r="T1675" s="689"/>
      <c r="U1675" s="692"/>
      <c r="V1675" s="692"/>
      <c r="W1675" s="692"/>
      <c r="X1675" s="692"/>
      <c r="Y1675" s="692"/>
      <c r="Z1675" s="690">
        <v>0</v>
      </c>
      <c r="AA1675" s="692"/>
      <c r="AB1675" s="691"/>
      <c r="AC1675" s="691"/>
      <c r="AD1675" s="777"/>
      <c r="AE1675" s="692"/>
      <c r="AF1675" s="792" t="s">
        <v>3472</v>
      </c>
      <c r="AG1675" s="692"/>
      <c r="AH1675" s="692"/>
      <c r="AI1675" s="692"/>
      <c r="AJ1675" s="692"/>
      <c r="AK1675" s="693"/>
      <c r="AL1675" s="793"/>
      <c r="AM1675" s="692"/>
      <c r="AN1675" s="692"/>
      <c r="AO1675" s="692"/>
      <c r="AP1675" s="692">
        <v>0</v>
      </c>
      <c r="AQ1675" s="692"/>
      <c r="AR1675" s="692"/>
      <c r="AS1675" s="692"/>
      <c r="AT1675" s="692"/>
      <c r="AU1675" s="235">
        <v>1</v>
      </c>
      <c r="AV1675" s="17">
        <f t="shared" si="228"/>
        <v>0</v>
      </c>
      <c r="AW1675" s="792"/>
    </row>
    <row r="1676" spans="1:49" s="794" customFormat="1" x14ac:dyDescent="0.15">
      <c r="A1676" s="791">
        <v>30635</v>
      </c>
      <c r="B1676" s="692" t="s">
        <v>3495</v>
      </c>
      <c r="C1676" s="792" t="s">
        <v>4094</v>
      </c>
      <c r="D1676" s="692">
        <v>3</v>
      </c>
      <c r="E1676" s="692">
        <v>0</v>
      </c>
      <c r="F1676" s="692">
        <v>4</v>
      </c>
      <c r="G1676" s="793">
        <v>41</v>
      </c>
      <c r="H1676" s="692">
        <v>200</v>
      </c>
      <c r="I1676" s="17">
        <v>0</v>
      </c>
      <c r="J1676" s="793"/>
      <c r="K1676" s="692">
        <v>0</v>
      </c>
      <c r="L1676" s="692"/>
      <c r="M1676" s="692"/>
      <c r="N1676" s="692"/>
      <c r="O1676" s="692"/>
      <c r="P1676" s="692"/>
      <c r="Q1676" s="689"/>
      <c r="R1676" s="776"/>
      <c r="S1676" s="689"/>
      <c r="T1676" s="689"/>
      <c r="U1676" s="692"/>
      <c r="V1676" s="692"/>
      <c r="W1676" s="692"/>
      <c r="X1676" s="692"/>
      <c r="Y1676" s="692"/>
      <c r="Z1676" s="690">
        <v>0</v>
      </c>
      <c r="AA1676" s="692"/>
      <c r="AB1676" s="691"/>
      <c r="AC1676" s="691"/>
      <c r="AD1676" s="777"/>
      <c r="AE1676" s="692"/>
      <c r="AF1676" s="792" t="s">
        <v>4095</v>
      </c>
      <c r="AG1676" s="692"/>
      <c r="AH1676" s="692"/>
      <c r="AI1676" s="692"/>
      <c r="AJ1676" s="692"/>
      <c r="AK1676" s="693"/>
      <c r="AL1676" s="793"/>
      <c r="AM1676" s="692"/>
      <c r="AN1676" s="692"/>
      <c r="AO1676" s="692"/>
      <c r="AP1676" s="692">
        <v>0</v>
      </c>
      <c r="AQ1676" s="692"/>
      <c r="AR1676" s="692"/>
      <c r="AS1676" s="692"/>
      <c r="AT1676" s="692"/>
      <c r="AU1676" s="235">
        <v>0</v>
      </c>
      <c r="AV1676" s="17">
        <f t="shared" si="228"/>
        <v>0</v>
      </c>
      <c r="AW1676" s="792"/>
    </row>
    <row r="1677" spans="1:49" s="794" customFormat="1" x14ac:dyDescent="0.15">
      <c r="A1677" s="791">
        <v>30636</v>
      </c>
      <c r="B1677" s="692" t="s">
        <v>3495</v>
      </c>
      <c r="C1677" s="792" t="s">
        <v>3447</v>
      </c>
      <c r="D1677" s="692">
        <v>3</v>
      </c>
      <c r="E1677" s="692">
        <v>0</v>
      </c>
      <c r="F1677" s="692">
        <v>4</v>
      </c>
      <c r="G1677" s="793">
        <v>41</v>
      </c>
      <c r="H1677" s="692">
        <v>200</v>
      </c>
      <c r="I1677" s="17">
        <v>0</v>
      </c>
      <c r="J1677" s="793"/>
      <c r="K1677" s="692">
        <v>0</v>
      </c>
      <c r="L1677" s="692"/>
      <c r="M1677" s="692"/>
      <c r="N1677" s="692"/>
      <c r="O1677" s="692"/>
      <c r="P1677" s="692"/>
      <c r="Q1677" s="689"/>
      <c r="R1677" s="776"/>
      <c r="S1677" s="689"/>
      <c r="T1677" s="689"/>
      <c r="U1677" s="692"/>
      <c r="V1677" s="692"/>
      <c r="W1677" s="692"/>
      <c r="X1677" s="692"/>
      <c r="Y1677" s="692"/>
      <c r="Z1677" s="690">
        <v>0</v>
      </c>
      <c r="AA1677" s="692"/>
      <c r="AB1677" s="691"/>
      <c r="AC1677" s="691"/>
      <c r="AD1677" s="777"/>
      <c r="AE1677" s="692"/>
      <c r="AF1677" s="792" t="s">
        <v>4133</v>
      </c>
      <c r="AG1677" s="692"/>
      <c r="AH1677" s="692"/>
      <c r="AI1677" s="692"/>
      <c r="AJ1677" s="692"/>
      <c r="AK1677" s="693"/>
      <c r="AL1677" s="793"/>
      <c r="AM1677" s="692"/>
      <c r="AN1677" s="692"/>
      <c r="AO1677" s="692"/>
      <c r="AP1677" s="692">
        <v>0</v>
      </c>
      <c r="AQ1677" s="692"/>
      <c r="AR1677" s="692"/>
      <c r="AS1677" s="692"/>
      <c r="AT1677" s="692"/>
      <c r="AU1677" s="235">
        <v>0</v>
      </c>
      <c r="AV1677" s="17">
        <f t="shared" si="228"/>
        <v>0</v>
      </c>
      <c r="AW1677" s="792"/>
    </row>
    <row r="1678" spans="1:49" s="794" customFormat="1" x14ac:dyDescent="0.15">
      <c r="A1678" s="791">
        <v>30637</v>
      </c>
      <c r="B1678" s="692" t="s">
        <v>3495</v>
      </c>
      <c r="C1678" s="792" t="s">
        <v>4599</v>
      </c>
      <c r="D1678" s="692">
        <v>3</v>
      </c>
      <c r="E1678" s="692">
        <v>0</v>
      </c>
      <c r="F1678" s="692">
        <v>4</v>
      </c>
      <c r="G1678" s="793">
        <v>41</v>
      </c>
      <c r="H1678" s="692">
        <v>200</v>
      </c>
      <c r="I1678" s="17">
        <v>0</v>
      </c>
      <c r="J1678" s="793"/>
      <c r="K1678" s="692">
        <v>0</v>
      </c>
      <c r="L1678" s="692"/>
      <c r="M1678" s="692"/>
      <c r="N1678" s="692"/>
      <c r="O1678" s="692"/>
      <c r="P1678" s="692"/>
      <c r="Q1678" s="689"/>
      <c r="R1678" s="776"/>
      <c r="S1678" s="689"/>
      <c r="T1678" s="689"/>
      <c r="U1678" s="692"/>
      <c r="V1678" s="692"/>
      <c r="W1678" s="692"/>
      <c r="X1678" s="692"/>
      <c r="Y1678" s="692"/>
      <c r="Z1678" s="690">
        <v>0</v>
      </c>
      <c r="AA1678" s="692"/>
      <c r="AB1678" s="691"/>
      <c r="AC1678" s="691"/>
      <c r="AD1678" s="777"/>
      <c r="AE1678" s="692"/>
      <c r="AF1678" s="792" t="s">
        <v>4600</v>
      </c>
      <c r="AG1678" s="692"/>
      <c r="AH1678" s="692"/>
      <c r="AI1678" s="692"/>
      <c r="AJ1678" s="692"/>
      <c r="AK1678" s="693"/>
      <c r="AL1678" s="793"/>
      <c r="AM1678" s="692"/>
      <c r="AN1678" s="692"/>
      <c r="AO1678" s="692"/>
      <c r="AP1678" s="692">
        <v>0</v>
      </c>
      <c r="AQ1678" s="692"/>
      <c r="AR1678" s="692"/>
      <c r="AS1678" s="692"/>
      <c r="AT1678" s="692"/>
      <c r="AU1678" s="235">
        <v>0</v>
      </c>
      <c r="AV1678" s="17">
        <f t="shared" si="228"/>
        <v>0</v>
      </c>
      <c r="AW1678" s="792"/>
    </row>
    <row r="1679" spans="1:49" s="794" customFormat="1" x14ac:dyDescent="0.15">
      <c r="A1679" s="791">
        <v>30638</v>
      </c>
      <c r="B1679" s="692" t="s">
        <v>3495</v>
      </c>
      <c r="C1679" s="792" t="s">
        <v>3448</v>
      </c>
      <c r="D1679" s="692">
        <v>3</v>
      </c>
      <c r="E1679" s="692">
        <v>0</v>
      </c>
      <c r="F1679" s="692">
        <v>4</v>
      </c>
      <c r="G1679" s="793">
        <v>41</v>
      </c>
      <c r="H1679" s="692">
        <v>200</v>
      </c>
      <c r="I1679" s="17">
        <v>0</v>
      </c>
      <c r="J1679" s="793"/>
      <c r="K1679" s="692">
        <v>0</v>
      </c>
      <c r="L1679" s="692"/>
      <c r="M1679" s="692"/>
      <c r="N1679" s="692"/>
      <c r="O1679" s="692"/>
      <c r="P1679" s="692"/>
      <c r="Q1679" s="689"/>
      <c r="R1679" s="776"/>
      <c r="S1679" s="689"/>
      <c r="T1679" s="689"/>
      <c r="U1679" s="692"/>
      <c r="V1679" s="692"/>
      <c r="W1679" s="692"/>
      <c r="X1679" s="692"/>
      <c r="Y1679" s="692"/>
      <c r="Z1679" s="690">
        <v>0</v>
      </c>
      <c r="AA1679" s="692"/>
      <c r="AB1679" s="691"/>
      <c r="AC1679" s="691"/>
      <c r="AD1679" s="777"/>
      <c r="AE1679" s="692"/>
      <c r="AF1679" s="792" t="s">
        <v>3449</v>
      </c>
      <c r="AG1679" s="692"/>
      <c r="AH1679" s="692"/>
      <c r="AI1679" s="692"/>
      <c r="AJ1679" s="692"/>
      <c r="AK1679" s="693"/>
      <c r="AL1679" s="793"/>
      <c r="AM1679" s="692"/>
      <c r="AN1679" s="692"/>
      <c r="AO1679" s="692"/>
      <c r="AP1679" s="692">
        <v>0</v>
      </c>
      <c r="AQ1679" s="692"/>
      <c r="AR1679" s="692"/>
      <c r="AS1679" s="692"/>
      <c r="AT1679" s="692"/>
      <c r="AU1679" s="235">
        <v>1</v>
      </c>
      <c r="AV1679" s="17">
        <f t="shared" si="228"/>
        <v>0</v>
      </c>
      <c r="AW1679" s="792"/>
    </row>
    <row r="1680" spans="1:49" s="806" customFormat="1" x14ac:dyDescent="0.15">
      <c r="A1680" s="791">
        <v>30639</v>
      </c>
      <c r="B1680" s="692" t="s">
        <v>3495</v>
      </c>
      <c r="C1680" s="792" t="s">
        <v>3496</v>
      </c>
      <c r="D1680" s="796">
        <v>3</v>
      </c>
      <c r="E1680" s="796">
        <v>0</v>
      </c>
      <c r="F1680" s="796">
        <v>4</v>
      </c>
      <c r="G1680" s="797">
        <v>41</v>
      </c>
      <c r="H1680" s="796">
        <v>200</v>
      </c>
      <c r="I1680" s="17">
        <v>0</v>
      </c>
      <c r="J1680" s="797"/>
      <c r="K1680" s="796">
        <v>0</v>
      </c>
      <c r="L1680" s="796"/>
      <c r="M1680" s="796"/>
      <c r="N1680" s="796"/>
      <c r="O1680" s="796"/>
      <c r="P1680" s="796"/>
      <c r="Q1680" s="798"/>
      <c r="R1680" s="799"/>
      <c r="S1680" s="798"/>
      <c r="T1680" s="798"/>
      <c r="U1680" s="796"/>
      <c r="V1680" s="796"/>
      <c r="W1680" s="796"/>
      <c r="X1680" s="796"/>
      <c r="Y1680" s="796"/>
      <c r="Z1680" s="800">
        <v>0</v>
      </c>
      <c r="AA1680" s="796"/>
      <c r="AB1680" s="801"/>
      <c r="AC1680" s="801"/>
      <c r="AD1680" s="802"/>
      <c r="AE1680" s="796"/>
      <c r="AF1680" s="792" t="s">
        <v>3497</v>
      </c>
      <c r="AG1680" s="796"/>
      <c r="AH1680" s="796"/>
      <c r="AI1680" s="796"/>
      <c r="AJ1680" s="796"/>
      <c r="AK1680" s="803"/>
      <c r="AL1680" s="797"/>
      <c r="AM1680" s="796"/>
      <c r="AN1680" s="796"/>
      <c r="AO1680" s="796"/>
      <c r="AP1680" s="796">
        <v>0</v>
      </c>
      <c r="AQ1680" s="796"/>
      <c r="AR1680" s="796"/>
      <c r="AS1680" s="796"/>
      <c r="AT1680" s="796"/>
      <c r="AU1680" s="804">
        <v>0</v>
      </c>
      <c r="AV1680" s="17">
        <f t="shared" si="228"/>
        <v>0</v>
      </c>
      <c r="AW1680" s="805"/>
    </row>
    <row r="1681" spans="1:49" x14ac:dyDescent="0.15">
      <c r="A1681" s="149">
        <v>31000</v>
      </c>
      <c r="B1681" s="226"/>
      <c r="C1681" s="226" t="s">
        <v>4125</v>
      </c>
      <c r="D1681" s="226">
        <v>3</v>
      </c>
      <c r="E1681" s="226">
        <v>0</v>
      </c>
      <c r="F1681" s="226">
        <v>5</v>
      </c>
      <c r="G1681" s="234">
        <v>200</v>
      </c>
      <c r="H1681" s="226">
        <v>200</v>
      </c>
      <c r="I1681" s="17">
        <v>0</v>
      </c>
      <c r="J1681" s="234">
        <v>0</v>
      </c>
      <c r="K1681" s="226">
        <v>1</v>
      </c>
      <c r="L1681" s="50">
        <v>60789</v>
      </c>
      <c r="M1681" s="50" t="s">
        <v>2834</v>
      </c>
      <c r="N1681" s="50">
        <v>60789</v>
      </c>
      <c r="O1681" s="50" t="s">
        <v>5228</v>
      </c>
      <c r="P1681" s="226"/>
      <c r="Q1681" s="228"/>
      <c r="R1681" s="672"/>
      <c r="S1681" s="228"/>
      <c r="T1681" s="228"/>
      <c r="U1681" s="226">
        <v>1</v>
      </c>
      <c r="V1681" s="226">
        <v>0</v>
      </c>
      <c r="W1681" s="226"/>
      <c r="X1681" s="226"/>
      <c r="Y1681" s="226"/>
      <c r="Z1681" s="230">
        <v>0</v>
      </c>
      <c r="AA1681" s="226"/>
      <c r="AB1681" s="231"/>
      <c r="AC1681" s="231"/>
      <c r="AD1681" s="226"/>
      <c r="AE1681" s="226"/>
      <c r="AF1681" s="226"/>
      <c r="AG1681" s="226"/>
      <c r="AH1681" s="226"/>
      <c r="AI1681" s="226"/>
      <c r="AJ1681" s="226"/>
      <c r="AK1681" s="226"/>
      <c r="AL1681" s="234"/>
      <c r="AM1681" s="226"/>
      <c r="AN1681" s="226"/>
      <c r="AO1681" s="226"/>
      <c r="AP1681" s="226">
        <v>1</v>
      </c>
      <c r="AQ1681" s="226">
        <v>0</v>
      </c>
      <c r="AR1681" s="226">
        <v>0</v>
      </c>
      <c r="AS1681" s="226">
        <v>0</v>
      </c>
      <c r="AT1681" s="226">
        <v>0</v>
      </c>
      <c r="AU1681" s="226">
        <v>0</v>
      </c>
      <c r="AV1681" s="17">
        <f t="shared" si="228"/>
        <v>0</v>
      </c>
      <c r="AW1681" s="50"/>
    </row>
    <row r="1682" spans="1:49" s="808" customFormat="1" ht="24" x14ac:dyDescent="0.15">
      <c r="A1682" s="72">
        <v>31500</v>
      </c>
      <c r="B1682" s="73" t="s">
        <v>2855</v>
      </c>
      <c r="C1682" s="73" t="s">
        <v>2862</v>
      </c>
      <c r="D1682" s="73">
        <v>3</v>
      </c>
      <c r="E1682" s="73">
        <v>0</v>
      </c>
      <c r="F1682" s="73">
        <v>5</v>
      </c>
      <c r="G1682" s="80">
        <v>70</v>
      </c>
      <c r="H1682" s="73">
        <v>200</v>
      </c>
      <c r="I1682" s="17">
        <v>0</v>
      </c>
      <c r="J1682" s="80">
        <v>0</v>
      </c>
      <c r="K1682" s="73">
        <v>1</v>
      </c>
      <c r="L1682" s="73">
        <v>60789</v>
      </c>
      <c r="M1682" s="73" t="s">
        <v>2834</v>
      </c>
      <c r="N1682" s="73">
        <v>60789</v>
      </c>
      <c r="O1682" s="73" t="s">
        <v>5228</v>
      </c>
      <c r="P1682" s="73"/>
      <c r="Q1682" s="140"/>
      <c r="R1682" s="807">
        <v>61078</v>
      </c>
      <c r="S1682" s="140"/>
      <c r="T1682" s="140"/>
      <c r="U1682" s="73">
        <v>1</v>
      </c>
      <c r="V1682" s="73">
        <v>0</v>
      </c>
      <c r="W1682" s="73"/>
      <c r="X1682" s="73"/>
      <c r="Y1682" s="73"/>
      <c r="Z1682" s="142">
        <v>0</v>
      </c>
      <c r="AA1682" s="73"/>
      <c r="AB1682" s="143"/>
      <c r="AC1682" s="143"/>
      <c r="AD1682" s="73"/>
      <c r="AE1682" s="73"/>
      <c r="AF1682" s="73"/>
      <c r="AG1682" s="73"/>
      <c r="AH1682" s="73"/>
      <c r="AI1682" s="73"/>
      <c r="AJ1682" s="73"/>
      <c r="AK1682" s="73"/>
      <c r="AL1682" s="80">
        <v>0</v>
      </c>
      <c r="AM1682" s="73"/>
      <c r="AN1682" s="73"/>
      <c r="AO1682" s="73"/>
      <c r="AP1682" s="73">
        <v>0</v>
      </c>
      <c r="AQ1682" s="73">
        <v>0</v>
      </c>
      <c r="AR1682" s="73">
        <v>0</v>
      </c>
      <c r="AS1682" s="73">
        <v>0</v>
      </c>
      <c r="AT1682" s="73">
        <v>0</v>
      </c>
      <c r="AU1682" s="226">
        <v>0</v>
      </c>
      <c r="AV1682" s="17">
        <f t="shared" si="228"/>
        <v>0</v>
      </c>
      <c r="AW1682" s="50" t="str">
        <f>"{s_taskGuard,{"&amp;L1682&amp;","&amp;N1682&amp;","&amp;R1682&amp;",0}}"</f>
        <v>{s_taskGuard,{60789,60789,61078,0}}</v>
      </c>
    </row>
    <row r="1683" spans="1:49" s="808" customFormat="1" x14ac:dyDescent="0.15">
      <c r="A1683" s="72">
        <v>31502</v>
      </c>
      <c r="B1683" s="73" t="s">
        <v>2855</v>
      </c>
      <c r="C1683" s="73" t="s">
        <v>2921</v>
      </c>
      <c r="D1683" s="73">
        <v>3</v>
      </c>
      <c r="E1683" s="73">
        <v>0</v>
      </c>
      <c r="F1683" s="73">
        <v>5</v>
      </c>
      <c r="G1683" s="80">
        <v>70</v>
      </c>
      <c r="H1683" s="73">
        <v>200</v>
      </c>
      <c r="I1683" s="17">
        <v>0</v>
      </c>
      <c r="J1683" s="80">
        <v>0</v>
      </c>
      <c r="K1683" s="73">
        <v>1</v>
      </c>
      <c r="L1683" s="73">
        <v>60789</v>
      </c>
      <c r="M1683" s="73" t="s">
        <v>2834</v>
      </c>
      <c r="N1683" s="73">
        <v>60797</v>
      </c>
      <c r="O1683" s="73" t="s">
        <v>5249</v>
      </c>
      <c r="P1683" s="73"/>
      <c r="Q1683" s="140"/>
      <c r="R1683" s="807"/>
      <c r="S1683" s="140"/>
      <c r="T1683" s="140"/>
      <c r="U1683" s="73">
        <v>1</v>
      </c>
      <c r="V1683" s="73">
        <v>1</v>
      </c>
      <c r="W1683" s="73"/>
      <c r="X1683" s="73"/>
      <c r="Y1683" s="73"/>
      <c r="Z1683" s="142">
        <v>0</v>
      </c>
      <c r="AA1683" s="73"/>
      <c r="AB1683" s="143"/>
      <c r="AC1683" s="143"/>
      <c r="AD1683" s="73"/>
      <c r="AE1683" s="73"/>
      <c r="AF1683" s="73"/>
      <c r="AG1683" s="73"/>
      <c r="AH1683" s="73"/>
      <c r="AI1683" s="73"/>
      <c r="AJ1683" s="73"/>
      <c r="AK1683" s="73"/>
      <c r="AL1683" s="80">
        <v>0</v>
      </c>
      <c r="AM1683" s="73"/>
      <c r="AN1683" s="73"/>
      <c r="AO1683" s="73"/>
      <c r="AP1683" s="73">
        <v>0</v>
      </c>
      <c r="AQ1683" s="73">
        <v>0</v>
      </c>
      <c r="AR1683" s="73">
        <v>0</v>
      </c>
      <c r="AS1683" s="73">
        <v>0</v>
      </c>
      <c r="AT1683" s="73">
        <v>0</v>
      </c>
      <c r="AU1683" s="226">
        <v>0</v>
      </c>
      <c r="AV1683" s="17">
        <f t="shared" si="228"/>
        <v>0</v>
      </c>
      <c r="AW1683" s="50" t="str">
        <f>"{s_taskTalk,{"&amp;L1683&amp;","&amp;N1683&amp;"}}"</f>
        <v>{s_taskTalk,{60789,60797}}</v>
      </c>
    </row>
    <row r="1684" spans="1:49" s="808" customFormat="1" x14ac:dyDescent="0.15">
      <c r="A1684" s="72">
        <v>31503</v>
      </c>
      <c r="B1684" s="73" t="s">
        <v>2855</v>
      </c>
      <c r="C1684" s="73" t="s">
        <v>2921</v>
      </c>
      <c r="D1684" s="73">
        <v>3</v>
      </c>
      <c r="E1684" s="73">
        <v>0</v>
      </c>
      <c r="F1684" s="73">
        <v>5</v>
      </c>
      <c r="G1684" s="80">
        <v>70</v>
      </c>
      <c r="H1684" s="73">
        <v>200</v>
      </c>
      <c r="I1684" s="17">
        <v>0</v>
      </c>
      <c r="J1684" s="80">
        <v>0</v>
      </c>
      <c r="K1684" s="73">
        <v>1</v>
      </c>
      <c r="L1684" s="73">
        <v>60789</v>
      </c>
      <c r="M1684" s="73" t="s">
        <v>2834</v>
      </c>
      <c r="N1684" s="73">
        <v>60798</v>
      </c>
      <c r="O1684" s="73" t="s">
        <v>5250</v>
      </c>
      <c r="P1684" s="73"/>
      <c r="Q1684" s="140"/>
      <c r="R1684" s="807"/>
      <c r="S1684" s="140"/>
      <c r="T1684" s="140"/>
      <c r="U1684" s="73">
        <v>1</v>
      </c>
      <c r="V1684" s="73">
        <v>1</v>
      </c>
      <c r="W1684" s="73"/>
      <c r="X1684" s="73"/>
      <c r="Y1684" s="73"/>
      <c r="Z1684" s="142">
        <v>0</v>
      </c>
      <c r="AA1684" s="73"/>
      <c r="AB1684" s="143"/>
      <c r="AC1684" s="143"/>
      <c r="AD1684" s="73"/>
      <c r="AE1684" s="73"/>
      <c r="AF1684" s="73"/>
      <c r="AG1684" s="73"/>
      <c r="AH1684" s="73"/>
      <c r="AI1684" s="73"/>
      <c r="AJ1684" s="73"/>
      <c r="AK1684" s="73"/>
      <c r="AL1684" s="80">
        <v>0</v>
      </c>
      <c r="AM1684" s="73"/>
      <c r="AN1684" s="73"/>
      <c r="AO1684" s="73"/>
      <c r="AP1684" s="73">
        <v>0</v>
      </c>
      <c r="AQ1684" s="73">
        <v>0</v>
      </c>
      <c r="AR1684" s="73">
        <v>0</v>
      </c>
      <c r="AS1684" s="73">
        <v>0</v>
      </c>
      <c r="AT1684" s="73">
        <v>0</v>
      </c>
      <c r="AU1684" s="226">
        <v>0</v>
      </c>
      <c r="AV1684" s="17">
        <f t="shared" si="228"/>
        <v>0</v>
      </c>
      <c r="AW1684" s="50" t="str">
        <f t="shared" ref="AW1684:AW1691" si="229">"{s_taskTalk,{"&amp;L1684&amp;","&amp;N1684&amp;"}}"</f>
        <v>{s_taskTalk,{60789,60798}}</v>
      </c>
    </row>
    <row r="1685" spans="1:49" s="808" customFormat="1" x14ac:dyDescent="0.15">
      <c r="A1685" s="72">
        <v>31504</v>
      </c>
      <c r="B1685" s="73" t="s">
        <v>2855</v>
      </c>
      <c r="C1685" s="73" t="s">
        <v>2921</v>
      </c>
      <c r="D1685" s="73">
        <v>3</v>
      </c>
      <c r="E1685" s="73">
        <v>0</v>
      </c>
      <c r="F1685" s="73">
        <v>5</v>
      </c>
      <c r="G1685" s="80">
        <v>70</v>
      </c>
      <c r="H1685" s="73">
        <v>200</v>
      </c>
      <c r="I1685" s="17">
        <v>0</v>
      </c>
      <c r="J1685" s="80">
        <v>0</v>
      </c>
      <c r="K1685" s="73">
        <v>1</v>
      </c>
      <c r="L1685" s="73">
        <v>60789</v>
      </c>
      <c r="M1685" s="73" t="s">
        <v>2834</v>
      </c>
      <c r="N1685" s="73">
        <v>60799</v>
      </c>
      <c r="O1685" s="73" t="s">
        <v>5251</v>
      </c>
      <c r="P1685" s="73"/>
      <c r="Q1685" s="140"/>
      <c r="R1685" s="807"/>
      <c r="S1685" s="140"/>
      <c r="T1685" s="140"/>
      <c r="U1685" s="73">
        <v>1</v>
      </c>
      <c r="V1685" s="73">
        <v>1</v>
      </c>
      <c r="W1685" s="73"/>
      <c r="X1685" s="73"/>
      <c r="Y1685" s="73"/>
      <c r="Z1685" s="142">
        <v>0</v>
      </c>
      <c r="AA1685" s="73"/>
      <c r="AB1685" s="143"/>
      <c r="AC1685" s="143"/>
      <c r="AD1685" s="73"/>
      <c r="AE1685" s="73"/>
      <c r="AF1685" s="73"/>
      <c r="AG1685" s="73"/>
      <c r="AH1685" s="73"/>
      <c r="AI1685" s="73"/>
      <c r="AJ1685" s="73"/>
      <c r="AK1685" s="73"/>
      <c r="AL1685" s="80">
        <v>0</v>
      </c>
      <c r="AM1685" s="73"/>
      <c r="AN1685" s="73"/>
      <c r="AO1685" s="73"/>
      <c r="AP1685" s="73">
        <v>0</v>
      </c>
      <c r="AQ1685" s="73">
        <v>0</v>
      </c>
      <c r="AR1685" s="73">
        <v>0</v>
      </c>
      <c r="AS1685" s="73">
        <v>0</v>
      </c>
      <c r="AT1685" s="73">
        <v>0</v>
      </c>
      <c r="AU1685" s="226">
        <v>0</v>
      </c>
      <c r="AV1685" s="17">
        <f t="shared" si="228"/>
        <v>0</v>
      </c>
      <c r="AW1685" s="50" t="str">
        <f t="shared" si="229"/>
        <v>{s_taskTalk,{60789,60799}}</v>
      </c>
    </row>
    <row r="1686" spans="1:49" s="808" customFormat="1" x14ac:dyDescent="0.15">
      <c r="A1686" s="72">
        <v>31505</v>
      </c>
      <c r="B1686" s="73" t="s">
        <v>2855</v>
      </c>
      <c r="C1686" s="73" t="s">
        <v>2921</v>
      </c>
      <c r="D1686" s="73">
        <v>3</v>
      </c>
      <c r="E1686" s="73">
        <v>0</v>
      </c>
      <c r="F1686" s="73">
        <v>5</v>
      </c>
      <c r="G1686" s="80">
        <v>70</v>
      </c>
      <c r="H1686" s="73">
        <v>200</v>
      </c>
      <c r="I1686" s="17">
        <v>0</v>
      </c>
      <c r="J1686" s="80">
        <v>0</v>
      </c>
      <c r="K1686" s="73">
        <v>1</v>
      </c>
      <c r="L1686" s="73">
        <v>60789</v>
      </c>
      <c r="M1686" s="73" t="s">
        <v>2834</v>
      </c>
      <c r="N1686" s="73">
        <v>60800</v>
      </c>
      <c r="O1686" s="73" t="s">
        <v>5252</v>
      </c>
      <c r="P1686" s="73"/>
      <c r="Q1686" s="140"/>
      <c r="R1686" s="807"/>
      <c r="S1686" s="140"/>
      <c r="T1686" s="140"/>
      <c r="U1686" s="73">
        <v>1</v>
      </c>
      <c r="V1686" s="73">
        <v>1</v>
      </c>
      <c r="W1686" s="73"/>
      <c r="X1686" s="73"/>
      <c r="Y1686" s="73"/>
      <c r="Z1686" s="142">
        <v>0</v>
      </c>
      <c r="AA1686" s="73"/>
      <c r="AB1686" s="143"/>
      <c r="AC1686" s="143"/>
      <c r="AD1686" s="73"/>
      <c r="AE1686" s="73"/>
      <c r="AF1686" s="73"/>
      <c r="AG1686" s="73"/>
      <c r="AH1686" s="73"/>
      <c r="AI1686" s="73"/>
      <c r="AJ1686" s="73"/>
      <c r="AK1686" s="73"/>
      <c r="AL1686" s="80">
        <v>0</v>
      </c>
      <c r="AM1686" s="73"/>
      <c r="AN1686" s="73"/>
      <c r="AO1686" s="73"/>
      <c r="AP1686" s="73">
        <v>0</v>
      </c>
      <c r="AQ1686" s="73">
        <v>0</v>
      </c>
      <c r="AR1686" s="73">
        <v>0</v>
      </c>
      <c r="AS1686" s="73">
        <v>0</v>
      </c>
      <c r="AT1686" s="73">
        <v>0</v>
      </c>
      <c r="AU1686" s="226">
        <v>0</v>
      </c>
      <c r="AV1686" s="17">
        <f t="shared" si="228"/>
        <v>0</v>
      </c>
      <c r="AW1686" s="50" t="str">
        <f t="shared" si="229"/>
        <v>{s_taskTalk,{60789,60800}}</v>
      </c>
    </row>
    <row r="1687" spans="1:49" s="808" customFormat="1" x14ac:dyDescent="0.15">
      <c r="A1687" s="72">
        <v>31506</v>
      </c>
      <c r="B1687" s="73" t="s">
        <v>2855</v>
      </c>
      <c r="C1687" s="73" t="s">
        <v>2921</v>
      </c>
      <c r="D1687" s="73">
        <v>3</v>
      </c>
      <c r="E1687" s="73">
        <v>0</v>
      </c>
      <c r="F1687" s="73">
        <v>5</v>
      </c>
      <c r="G1687" s="80">
        <v>70</v>
      </c>
      <c r="H1687" s="73">
        <v>200</v>
      </c>
      <c r="I1687" s="17">
        <v>0</v>
      </c>
      <c r="J1687" s="80">
        <v>0</v>
      </c>
      <c r="K1687" s="73">
        <v>1</v>
      </c>
      <c r="L1687" s="73">
        <v>60789</v>
      </c>
      <c r="M1687" s="73" t="s">
        <v>2834</v>
      </c>
      <c r="N1687" s="73">
        <v>60801</v>
      </c>
      <c r="O1687" s="73" t="s">
        <v>5253</v>
      </c>
      <c r="P1687" s="73"/>
      <c r="Q1687" s="140"/>
      <c r="R1687" s="807"/>
      <c r="S1687" s="140"/>
      <c r="T1687" s="140"/>
      <c r="U1687" s="73">
        <v>1</v>
      </c>
      <c r="V1687" s="73">
        <v>1</v>
      </c>
      <c r="W1687" s="73"/>
      <c r="X1687" s="73"/>
      <c r="Y1687" s="73"/>
      <c r="Z1687" s="142">
        <v>0</v>
      </c>
      <c r="AA1687" s="73"/>
      <c r="AB1687" s="143"/>
      <c r="AC1687" s="143"/>
      <c r="AD1687" s="73"/>
      <c r="AE1687" s="73"/>
      <c r="AF1687" s="73"/>
      <c r="AG1687" s="73"/>
      <c r="AH1687" s="73"/>
      <c r="AI1687" s="73"/>
      <c r="AJ1687" s="73"/>
      <c r="AK1687" s="73"/>
      <c r="AL1687" s="80">
        <v>0</v>
      </c>
      <c r="AM1687" s="73"/>
      <c r="AN1687" s="73"/>
      <c r="AO1687" s="73"/>
      <c r="AP1687" s="73">
        <v>0</v>
      </c>
      <c r="AQ1687" s="73">
        <v>0</v>
      </c>
      <c r="AR1687" s="73">
        <v>0</v>
      </c>
      <c r="AS1687" s="73">
        <v>0</v>
      </c>
      <c r="AT1687" s="73">
        <v>0</v>
      </c>
      <c r="AU1687" s="226">
        <v>0</v>
      </c>
      <c r="AV1687" s="17">
        <f t="shared" si="228"/>
        <v>0</v>
      </c>
      <c r="AW1687" s="50" t="str">
        <f t="shared" si="229"/>
        <v>{s_taskTalk,{60789,60801}}</v>
      </c>
    </row>
    <row r="1688" spans="1:49" s="808" customFormat="1" x14ac:dyDescent="0.15">
      <c r="A1688" s="72">
        <v>31507</v>
      </c>
      <c r="B1688" s="73" t="s">
        <v>2855</v>
      </c>
      <c r="C1688" s="73" t="s">
        <v>2921</v>
      </c>
      <c r="D1688" s="73">
        <v>3</v>
      </c>
      <c r="E1688" s="73">
        <v>0</v>
      </c>
      <c r="F1688" s="73">
        <v>5</v>
      </c>
      <c r="G1688" s="80">
        <v>70</v>
      </c>
      <c r="H1688" s="73">
        <v>200</v>
      </c>
      <c r="I1688" s="17">
        <v>0</v>
      </c>
      <c r="J1688" s="80">
        <v>0</v>
      </c>
      <c r="K1688" s="73">
        <v>1</v>
      </c>
      <c r="L1688" s="73">
        <v>60789</v>
      </c>
      <c r="M1688" s="73" t="s">
        <v>2834</v>
      </c>
      <c r="N1688" s="73">
        <v>60802</v>
      </c>
      <c r="O1688" s="73" t="s">
        <v>5254</v>
      </c>
      <c r="P1688" s="73"/>
      <c r="Q1688" s="140"/>
      <c r="R1688" s="807"/>
      <c r="S1688" s="140"/>
      <c r="T1688" s="140"/>
      <c r="U1688" s="73">
        <v>1</v>
      </c>
      <c r="V1688" s="73">
        <v>1</v>
      </c>
      <c r="W1688" s="73"/>
      <c r="X1688" s="73"/>
      <c r="Y1688" s="73"/>
      <c r="Z1688" s="142">
        <v>0</v>
      </c>
      <c r="AA1688" s="73"/>
      <c r="AB1688" s="143"/>
      <c r="AC1688" s="143"/>
      <c r="AD1688" s="73"/>
      <c r="AE1688" s="73"/>
      <c r="AF1688" s="73"/>
      <c r="AG1688" s="73"/>
      <c r="AH1688" s="73"/>
      <c r="AI1688" s="73"/>
      <c r="AJ1688" s="73"/>
      <c r="AK1688" s="73"/>
      <c r="AL1688" s="80">
        <v>0</v>
      </c>
      <c r="AM1688" s="73"/>
      <c r="AN1688" s="73"/>
      <c r="AO1688" s="73"/>
      <c r="AP1688" s="73">
        <v>0</v>
      </c>
      <c r="AQ1688" s="73">
        <v>0</v>
      </c>
      <c r="AR1688" s="73">
        <v>0</v>
      </c>
      <c r="AS1688" s="73">
        <v>0</v>
      </c>
      <c r="AT1688" s="73">
        <v>0</v>
      </c>
      <c r="AU1688" s="226">
        <v>0</v>
      </c>
      <c r="AV1688" s="17">
        <f t="shared" si="228"/>
        <v>0</v>
      </c>
      <c r="AW1688" s="50" t="str">
        <f t="shared" si="229"/>
        <v>{s_taskTalk,{60789,60802}}</v>
      </c>
    </row>
    <row r="1689" spans="1:49" s="808" customFormat="1" x14ac:dyDescent="0.15">
      <c r="A1689" s="72">
        <v>31508</v>
      </c>
      <c r="B1689" s="73" t="s">
        <v>2855</v>
      </c>
      <c r="C1689" s="73" t="s">
        <v>2921</v>
      </c>
      <c r="D1689" s="73">
        <v>3</v>
      </c>
      <c r="E1689" s="73">
        <v>0</v>
      </c>
      <c r="F1689" s="73">
        <v>5</v>
      </c>
      <c r="G1689" s="80">
        <v>70</v>
      </c>
      <c r="H1689" s="73">
        <v>200</v>
      </c>
      <c r="I1689" s="17">
        <v>0</v>
      </c>
      <c r="J1689" s="80">
        <v>0</v>
      </c>
      <c r="K1689" s="73">
        <v>1</v>
      </c>
      <c r="L1689" s="73">
        <v>60789</v>
      </c>
      <c r="M1689" s="73" t="s">
        <v>2834</v>
      </c>
      <c r="N1689" s="73">
        <v>60803</v>
      </c>
      <c r="O1689" s="73" t="s">
        <v>5255</v>
      </c>
      <c r="P1689" s="73"/>
      <c r="Q1689" s="140"/>
      <c r="R1689" s="807"/>
      <c r="S1689" s="140"/>
      <c r="T1689" s="140"/>
      <c r="U1689" s="73">
        <v>1</v>
      </c>
      <c r="V1689" s="73">
        <v>1</v>
      </c>
      <c r="W1689" s="73"/>
      <c r="X1689" s="73"/>
      <c r="Y1689" s="73"/>
      <c r="Z1689" s="142">
        <v>0</v>
      </c>
      <c r="AA1689" s="73"/>
      <c r="AB1689" s="143"/>
      <c r="AC1689" s="143"/>
      <c r="AD1689" s="73"/>
      <c r="AE1689" s="73"/>
      <c r="AF1689" s="73"/>
      <c r="AG1689" s="73"/>
      <c r="AH1689" s="73"/>
      <c r="AI1689" s="73"/>
      <c r="AJ1689" s="73"/>
      <c r="AK1689" s="73"/>
      <c r="AL1689" s="80">
        <v>0</v>
      </c>
      <c r="AM1689" s="73"/>
      <c r="AN1689" s="73"/>
      <c r="AO1689" s="73"/>
      <c r="AP1689" s="73">
        <v>0</v>
      </c>
      <c r="AQ1689" s="73">
        <v>0</v>
      </c>
      <c r="AR1689" s="73">
        <v>0</v>
      </c>
      <c r="AS1689" s="73">
        <v>0</v>
      </c>
      <c r="AT1689" s="73">
        <v>0</v>
      </c>
      <c r="AU1689" s="226">
        <v>0</v>
      </c>
      <c r="AV1689" s="17">
        <f t="shared" si="228"/>
        <v>0</v>
      </c>
      <c r="AW1689" s="50" t="str">
        <f t="shared" si="229"/>
        <v>{s_taskTalk,{60789,60803}}</v>
      </c>
    </row>
    <row r="1690" spans="1:49" s="808" customFormat="1" x14ac:dyDescent="0.15">
      <c r="A1690" s="72">
        <v>31509</v>
      </c>
      <c r="B1690" s="73" t="s">
        <v>2855</v>
      </c>
      <c r="C1690" s="73" t="s">
        <v>2921</v>
      </c>
      <c r="D1690" s="73">
        <v>3</v>
      </c>
      <c r="E1690" s="73">
        <v>0</v>
      </c>
      <c r="F1690" s="73">
        <v>5</v>
      </c>
      <c r="G1690" s="80">
        <v>70</v>
      </c>
      <c r="H1690" s="73">
        <v>200</v>
      </c>
      <c r="I1690" s="17">
        <v>0</v>
      </c>
      <c r="J1690" s="80">
        <v>0</v>
      </c>
      <c r="K1690" s="73">
        <v>1</v>
      </c>
      <c r="L1690" s="73">
        <v>60789</v>
      </c>
      <c r="M1690" s="73" t="s">
        <v>2834</v>
      </c>
      <c r="N1690" s="73">
        <v>60804</v>
      </c>
      <c r="O1690" s="73" t="s">
        <v>5256</v>
      </c>
      <c r="P1690" s="73"/>
      <c r="Q1690" s="140"/>
      <c r="R1690" s="807"/>
      <c r="S1690" s="140"/>
      <c r="T1690" s="140"/>
      <c r="U1690" s="73">
        <v>1</v>
      </c>
      <c r="V1690" s="73">
        <v>1</v>
      </c>
      <c r="W1690" s="73"/>
      <c r="X1690" s="73"/>
      <c r="Y1690" s="73"/>
      <c r="Z1690" s="142">
        <v>0</v>
      </c>
      <c r="AA1690" s="73"/>
      <c r="AB1690" s="143"/>
      <c r="AC1690" s="143"/>
      <c r="AD1690" s="73"/>
      <c r="AE1690" s="73"/>
      <c r="AF1690" s="73"/>
      <c r="AG1690" s="73"/>
      <c r="AH1690" s="73"/>
      <c r="AI1690" s="73"/>
      <c r="AJ1690" s="73"/>
      <c r="AK1690" s="73"/>
      <c r="AL1690" s="80">
        <v>0</v>
      </c>
      <c r="AM1690" s="73"/>
      <c r="AN1690" s="73"/>
      <c r="AO1690" s="73"/>
      <c r="AP1690" s="73">
        <v>0</v>
      </c>
      <c r="AQ1690" s="73">
        <v>0</v>
      </c>
      <c r="AR1690" s="73">
        <v>0</v>
      </c>
      <c r="AS1690" s="73">
        <v>0</v>
      </c>
      <c r="AT1690" s="73">
        <v>0</v>
      </c>
      <c r="AU1690" s="226">
        <v>0</v>
      </c>
      <c r="AV1690" s="17">
        <f t="shared" si="228"/>
        <v>0</v>
      </c>
      <c r="AW1690" s="50" t="str">
        <f t="shared" si="229"/>
        <v>{s_taskTalk,{60789,60804}}</v>
      </c>
    </row>
    <row r="1691" spans="1:49" s="808" customFormat="1" x14ac:dyDescent="0.15">
      <c r="A1691" s="72">
        <v>31510</v>
      </c>
      <c r="B1691" s="73" t="s">
        <v>2855</v>
      </c>
      <c r="C1691" s="73" t="s">
        <v>2921</v>
      </c>
      <c r="D1691" s="73">
        <v>3</v>
      </c>
      <c r="E1691" s="73">
        <v>0</v>
      </c>
      <c r="F1691" s="73">
        <v>5</v>
      </c>
      <c r="G1691" s="80">
        <v>70</v>
      </c>
      <c r="H1691" s="73">
        <v>200</v>
      </c>
      <c r="I1691" s="17">
        <v>0</v>
      </c>
      <c r="J1691" s="80">
        <v>0</v>
      </c>
      <c r="K1691" s="73">
        <v>1</v>
      </c>
      <c r="L1691" s="73">
        <v>60789</v>
      </c>
      <c r="M1691" s="73" t="s">
        <v>2834</v>
      </c>
      <c r="N1691" s="73">
        <v>60805</v>
      </c>
      <c r="O1691" s="73" t="s">
        <v>5257</v>
      </c>
      <c r="P1691" s="73"/>
      <c r="Q1691" s="140"/>
      <c r="R1691" s="807"/>
      <c r="S1691" s="140"/>
      <c r="T1691" s="140"/>
      <c r="U1691" s="73">
        <v>1</v>
      </c>
      <c r="V1691" s="73">
        <v>1</v>
      </c>
      <c r="W1691" s="73"/>
      <c r="X1691" s="73"/>
      <c r="Y1691" s="73"/>
      <c r="Z1691" s="142">
        <v>0</v>
      </c>
      <c r="AA1691" s="73"/>
      <c r="AB1691" s="143"/>
      <c r="AC1691" s="143"/>
      <c r="AD1691" s="73"/>
      <c r="AE1691" s="73"/>
      <c r="AF1691" s="73"/>
      <c r="AG1691" s="73"/>
      <c r="AH1691" s="73"/>
      <c r="AI1691" s="73"/>
      <c r="AJ1691" s="73"/>
      <c r="AK1691" s="73"/>
      <c r="AL1691" s="80">
        <v>0</v>
      </c>
      <c r="AM1691" s="73"/>
      <c r="AN1691" s="73"/>
      <c r="AO1691" s="73"/>
      <c r="AP1691" s="73">
        <v>0</v>
      </c>
      <c r="AQ1691" s="73">
        <v>0</v>
      </c>
      <c r="AR1691" s="73">
        <v>0</v>
      </c>
      <c r="AS1691" s="73">
        <v>0</v>
      </c>
      <c r="AT1691" s="73">
        <v>0</v>
      </c>
      <c r="AU1691" s="226">
        <v>0</v>
      </c>
      <c r="AV1691" s="17">
        <f t="shared" si="228"/>
        <v>0</v>
      </c>
      <c r="AW1691" s="50" t="str">
        <f t="shared" si="229"/>
        <v>{s_taskTalk,{60789,60805}}</v>
      </c>
    </row>
    <row r="1692" spans="1:49" s="808" customFormat="1" ht="156" x14ac:dyDescent="0.15">
      <c r="A1692" s="72">
        <v>31511</v>
      </c>
      <c r="B1692" s="73" t="s">
        <v>2855</v>
      </c>
      <c r="C1692" s="73" t="s">
        <v>2922</v>
      </c>
      <c r="D1692" s="73">
        <v>3</v>
      </c>
      <c r="E1692" s="73">
        <v>0</v>
      </c>
      <c r="F1692" s="73">
        <v>5</v>
      </c>
      <c r="G1692" s="80">
        <v>70</v>
      </c>
      <c r="H1692" s="73">
        <v>200</v>
      </c>
      <c r="I1692" s="17">
        <v>0</v>
      </c>
      <c r="J1692" s="80">
        <v>0</v>
      </c>
      <c r="K1692" s="73">
        <v>1</v>
      </c>
      <c r="L1692" s="73">
        <v>60789</v>
      </c>
      <c r="M1692" s="73" t="s">
        <v>2834</v>
      </c>
      <c r="N1692" s="73">
        <v>60789</v>
      </c>
      <c r="O1692" s="73" t="s">
        <v>5228</v>
      </c>
      <c r="P1692" s="73"/>
      <c r="Q1692" s="140"/>
      <c r="R1692" s="807"/>
      <c r="S1692" s="140"/>
      <c r="T1692" s="140">
        <v>31439</v>
      </c>
      <c r="U1692" s="73">
        <v>1</v>
      </c>
      <c r="V1692" s="73">
        <v>0</v>
      </c>
      <c r="W1692" s="73"/>
      <c r="X1692" s="73"/>
      <c r="Y1692" s="73"/>
      <c r="Z1692" s="142">
        <v>0</v>
      </c>
      <c r="AA1692" s="73"/>
      <c r="AB1692" s="143"/>
      <c r="AC1692" s="143"/>
      <c r="AD1692" s="73"/>
      <c r="AE1692" s="73"/>
      <c r="AF1692" s="556" t="str">
        <f>"title("&amp;C1692&amp;")
body(hotyellow_3(任务进程:)newline()
   前往敌国hot(五丈原)找到该国goto(60807,7)拿到hot("&amp;U1692&amp;"个白品质酒杯)，回复goto(60789,5)。hot(（非本国及盟国即是敌国哦）)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前往敌国hot(五丈原)找到该国goto(60807,7)拿到hot(1个白品质酒杯)，回复goto(60789,5)。hot(（非本国及盟国即是敌国哦）)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v>
      </c>
      <c r="AG1692" s="556" t="s">
        <v>2899</v>
      </c>
      <c r="AH1692" s="556" t="s">
        <v>2900</v>
      </c>
      <c r="AI1692" s="556" t="s">
        <v>110</v>
      </c>
      <c r="AJ1692" s="556" t="s">
        <v>6533</v>
      </c>
      <c r="AK1692" s="683" t="str">
        <f>"收集"&amp;U1692&amp;"个白品质酒杯"</f>
        <v>收集1个白品质酒杯</v>
      </c>
      <c r="AL1692" s="678">
        <v>0</v>
      </c>
      <c r="AM1692" s="683" t="str">
        <f>"&lt;p&gt;&lt;n&gt;  通过&lt;/n&gt;&lt;goto id=""126"" mapid=""7"" flagpoint=""1"" /&gt;&lt;newline/&gt;&lt;n&gt;  去敌国找&lt;/n&gt;&lt;goto id=""60807"" mapid=""7"" flagpoint=""1"" /&gt;&lt;newline/&gt;
&lt;n&gt;  收集1个白品质酒杯&lt;/n&gt;&lt;newline/&gt;
&lt;n&gt;  回复：&lt;/n&gt;&lt;goto id="""&amp;N1692&amp;""" mapid=""5"" flagpoint=""1"" taskid="""&amp;A1692&amp;"""/&gt;
&lt;/p&gt;"</f>
        <v>&lt;p&gt;&lt;n&gt;  通过&lt;/n&gt;&lt;goto id="126" mapid="7" flagpoint="1" /&gt;&lt;newline/&gt;&lt;n&gt;  去敌国找&lt;/n&gt;&lt;goto id="60807" mapid="7" flagpoint="1" /&gt;&lt;newline/&gt;
&lt;n&gt;  收集1个白品质酒杯&lt;/n&gt;&lt;newline/&gt;
&lt;n&gt;  回复：&lt;/n&gt;&lt;goto id="60789" mapid="5" flagpoint="1" taskid="31511"/&gt;
&lt;/p&gt;</v>
      </c>
      <c r="AN1692" s="683" t="str">
        <f t="shared" ref="AN1692:AN1699" si="230">"&lt;p&gt;
&lt;n&gt;  交：&lt;/n&gt;&lt;goto id="""&amp;N1692&amp;""" mapid=""5"" flagpoint=""1"" taskid="""&amp;A1692&amp;"""/&gt;
&lt;/p&gt;"</f>
        <v>&lt;p&gt;
&lt;n&gt;  交：&lt;/n&gt;&lt;goto id="60789" mapid="5" flagpoint="1" taskid="31511"/&gt;
&lt;/p&gt;</v>
      </c>
      <c r="AO1692" s="556"/>
      <c r="AP1692" s="556">
        <v>0</v>
      </c>
      <c r="AQ1692" s="556">
        <v>0</v>
      </c>
      <c r="AR1692" s="556">
        <v>0</v>
      </c>
      <c r="AS1692" s="556">
        <v>0</v>
      </c>
      <c r="AT1692" s="556">
        <v>0</v>
      </c>
      <c r="AU1692" s="226">
        <v>0</v>
      </c>
      <c r="AV1692" s="17">
        <f t="shared" si="228"/>
        <v>0</v>
      </c>
      <c r="AW1692" s="556" t="str">
        <f>"{s_taskGather,{"&amp;L1692&amp;","&amp;N1692&amp;","&amp;T1692&amp;","&amp;U1692&amp;",0,0}}"</f>
        <v>{s_taskGather,{60789,60789,31439,1,0,0}}</v>
      </c>
    </row>
    <row r="1693" spans="1:49" s="808" customFormat="1" ht="156" x14ac:dyDescent="0.15">
      <c r="A1693" s="72">
        <v>31512</v>
      </c>
      <c r="B1693" s="73" t="s">
        <v>2855</v>
      </c>
      <c r="C1693" s="73" t="s">
        <v>2922</v>
      </c>
      <c r="D1693" s="73">
        <v>3</v>
      </c>
      <c r="E1693" s="73">
        <v>0</v>
      </c>
      <c r="F1693" s="73">
        <v>5</v>
      </c>
      <c r="G1693" s="80">
        <v>70</v>
      </c>
      <c r="H1693" s="73">
        <v>200</v>
      </c>
      <c r="I1693" s="17">
        <v>0</v>
      </c>
      <c r="J1693" s="80">
        <v>0</v>
      </c>
      <c r="K1693" s="73">
        <v>1</v>
      </c>
      <c r="L1693" s="73">
        <v>60789</v>
      </c>
      <c r="M1693" s="73" t="s">
        <v>2834</v>
      </c>
      <c r="N1693" s="73">
        <v>60789</v>
      </c>
      <c r="O1693" s="73" t="s">
        <v>5228</v>
      </c>
      <c r="P1693" s="73"/>
      <c r="Q1693" s="140"/>
      <c r="R1693" s="807"/>
      <c r="S1693" s="140"/>
      <c r="T1693" s="140">
        <v>31439</v>
      </c>
      <c r="U1693" s="73">
        <v>1</v>
      </c>
      <c r="V1693" s="73">
        <v>0</v>
      </c>
      <c r="W1693" s="73"/>
      <c r="X1693" s="73"/>
      <c r="Y1693" s="73"/>
      <c r="Z1693" s="142">
        <v>0</v>
      </c>
      <c r="AA1693" s="73"/>
      <c r="AB1693" s="143"/>
      <c r="AC1693" s="143"/>
      <c r="AD1693" s="73"/>
      <c r="AE1693" s="73"/>
      <c r="AF1693" s="556" t="str">
        <f>"title("&amp;C1693&amp;")
body(hotyellow_3(任务进程:)newline()
   前往敌国hot(五丈原)找到该国goto(60807,7)拿到hot("&amp;U1693&amp;"个蓝品质酒杯)，回复goto(60789,5)。hot(（非本国及盟国即是敌国哦）)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前往敌国hot(五丈原)找到该国goto(60807,7)拿到hot(1个蓝品质酒杯)，回复goto(60789,5)。hot(（非本国及盟国即是敌国哦）)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v>
      </c>
      <c r="AG1693" s="556" t="s">
        <v>2901</v>
      </c>
      <c r="AH1693" s="556" t="s">
        <v>2900</v>
      </c>
      <c r="AI1693" s="556" t="s">
        <v>110</v>
      </c>
      <c r="AJ1693" s="556" t="s">
        <v>6533</v>
      </c>
      <c r="AK1693" s="683" t="str">
        <f>"收集"&amp;U1693&amp;"个蓝品质酒杯"</f>
        <v>收集1个蓝品质酒杯</v>
      </c>
      <c r="AL1693" s="678">
        <v>0</v>
      </c>
      <c r="AM1693" s="683" t="str">
        <f>"&lt;p&gt;&lt;n&gt;  通过&lt;/n&gt;&lt;goto id=""126"" mapid=""7"" flagpoint=""1"" /&gt;&lt;newline/&gt;&lt;n&gt;  去敌国找&lt;/n&gt;&lt;goto id=""60807"" mapid=""7"" flagpoint=""1"" /&gt;&lt;newline/&gt;
&lt;n&gt;  收集1个蓝品质酒杯&lt;/n&gt;&lt;newline/&gt;
&lt;n&gt;  回复：&lt;/n&gt;&lt;goto id="""&amp;N1693&amp;""" mapid=""5"" flagpoint=""1"" taskid="""&amp;A1693&amp;"""/&gt;
&lt;/p&gt;"</f>
        <v>&lt;p&gt;&lt;n&gt;  通过&lt;/n&gt;&lt;goto id="126" mapid="7" flagpoint="1" /&gt;&lt;newline/&gt;&lt;n&gt;  去敌国找&lt;/n&gt;&lt;goto id="60807" mapid="7" flagpoint="1" /&gt;&lt;newline/&gt;
&lt;n&gt;  收集1个蓝品质酒杯&lt;/n&gt;&lt;newline/&gt;
&lt;n&gt;  回复：&lt;/n&gt;&lt;goto id="60789" mapid="5" flagpoint="1" taskid="31512"/&gt;
&lt;/p&gt;</v>
      </c>
      <c r="AN1693" s="683" t="str">
        <f t="shared" si="230"/>
        <v>&lt;p&gt;
&lt;n&gt;  交：&lt;/n&gt;&lt;goto id="60789" mapid="5" flagpoint="1" taskid="31512"/&gt;
&lt;/p&gt;</v>
      </c>
      <c r="AO1693" s="556"/>
      <c r="AP1693" s="556">
        <v>0</v>
      </c>
      <c r="AQ1693" s="556">
        <v>0</v>
      </c>
      <c r="AR1693" s="556">
        <v>0</v>
      </c>
      <c r="AS1693" s="556">
        <v>0</v>
      </c>
      <c r="AT1693" s="556">
        <v>0</v>
      </c>
      <c r="AU1693" s="226">
        <v>0</v>
      </c>
      <c r="AV1693" s="17">
        <f t="shared" si="228"/>
        <v>0</v>
      </c>
      <c r="AW1693" s="556" t="str">
        <f>"{s_taskGather,{"&amp;L1693&amp;","&amp;N1693&amp;","&amp;T1693&amp;","&amp;U1693&amp;",0,1}}"</f>
        <v>{s_taskGather,{60789,60789,31439,1,0,1}}</v>
      </c>
    </row>
    <row r="1694" spans="1:49" s="808" customFormat="1" ht="156" x14ac:dyDescent="0.15">
      <c r="A1694" s="72">
        <v>31513</v>
      </c>
      <c r="B1694" s="73" t="s">
        <v>2855</v>
      </c>
      <c r="C1694" s="73" t="s">
        <v>2922</v>
      </c>
      <c r="D1694" s="73">
        <v>3</v>
      </c>
      <c r="E1694" s="73">
        <v>0</v>
      </c>
      <c r="F1694" s="73">
        <v>5</v>
      </c>
      <c r="G1694" s="80">
        <v>70</v>
      </c>
      <c r="H1694" s="73">
        <v>200</v>
      </c>
      <c r="I1694" s="17">
        <v>0</v>
      </c>
      <c r="J1694" s="80">
        <v>0</v>
      </c>
      <c r="K1694" s="73">
        <v>1</v>
      </c>
      <c r="L1694" s="73">
        <v>60789</v>
      </c>
      <c r="M1694" s="73" t="s">
        <v>2834</v>
      </c>
      <c r="N1694" s="73">
        <v>60789</v>
      </c>
      <c r="O1694" s="73" t="s">
        <v>5228</v>
      </c>
      <c r="P1694" s="73"/>
      <c r="Q1694" s="140"/>
      <c r="R1694" s="807"/>
      <c r="S1694" s="140"/>
      <c r="T1694" s="140">
        <v>31438</v>
      </c>
      <c r="U1694" s="73">
        <v>1</v>
      </c>
      <c r="V1694" s="73">
        <v>0</v>
      </c>
      <c r="W1694" s="73"/>
      <c r="X1694" s="73"/>
      <c r="Y1694" s="73"/>
      <c r="Z1694" s="142">
        <v>0</v>
      </c>
      <c r="AA1694" s="73"/>
      <c r="AB1694" s="143"/>
      <c r="AC1694" s="143"/>
      <c r="AD1694" s="73"/>
      <c r="AE1694" s="73"/>
      <c r="AF1694" s="556" t="str">
        <f>"title("&amp;C1694&amp;")
body(hotyellow_3(任务进程:)newline()
   前往敌国hot(王城)找到该国goto(60806,5)拿到hot("&amp;U1694&amp;"个白品质美酒)，回复goto(60789,5)。hot(（非本国及盟国即是敌国哦）)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前往敌国hot(王城)找到该国goto(60806,5)拿到hot(1个白品质美酒)，回复goto(60789,5)。hot(（非本国及盟国即是敌国哦）)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v>
      </c>
      <c r="AG1694" s="556" t="s">
        <v>2903</v>
      </c>
      <c r="AH1694" s="556" t="s">
        <v>2900</v>
      </c>
      <c r="AI1694" s="556" t="s">
        <v>110</v>
      </c>
      <c r="AJ1694" s="556" t="s">
        <v>6534</v>
      </c>
      <c r="AK1694" s="683" t="str">
        <f>"收集"&amp;U1694&amp;"个白品质美酒"</f>
        <v>收集1个白品质美酒</v>
      </c>
      <c r="AL1694" s="678">
        <v>0</v>
      </c>
      <c r="AM1694" s="683" t="str">
        <f>"&lt;p&gt;&lt;n&gt;  通过&lt;/n&gt;&lt;goto id=""126"" mapid=""7"" flagpoint=""1"" /&gt;&lt;newline/&gt;&lt;n&gt;  去敌国找&lt;/n&gt;&lt;goto id=""60806"" mapid=""5"" flagpoint=""1"" /&gt;&lt;newline/&gt;
&lt;n&gt;  收集1个白品质美酒&lt;/n&gt;&lt;newline/&gt;
&lt;n&gt;  回复：&lt;/n&gt;&lt;goto id="""&amp;N1694&amp;""" mapid=""5"" flagpoint=""1"" taskid="""&amp;A1694&amp;"""/&gt;
&lt;/p&gt;"</f>
        <v>&lt;p&gt;&lt;n&gt;  通过&lt;/n&gt;&lt;goto id="126" mapid="7" flagpoint="1" /&gt;&lt;newline/&gt;&lt;n&gt;  去敌国找&lt;/n&gt;&lt;goto id="60806" mapid="5" flagpoint="1" /&gt;&lt;newline/&gt;
&lt;n&gt;  收集1个白品质美酒&lt;/n&gt;&lt;newline/&gt;
&lt;n&gt;  回复：&lt;/n&gt;&lt;goto id="60789" mapid="5" flagpoint="1" taskid="31513"/&gt;
&lt;/p&gt;</v>
      </c>
      <c r="AN1694" s="683" t="str">
        <f t="shared" si="230"/>
        <v>&lt;p&gt;
&lt;n&gt;  交：&lt;/n&gt;&lt;goto id="60789" mapid="5" flagpoint="1" taskid="31513"/&gt;
&lt;/p&gt;</v>
      </c>
      <c r="AO1694" s="556"/>
      <c r="AP1694" s="556">
        <v>0</v>
      </c>
      <c r="AQ1694" s="556">
        <v>0</v>
      </c>
      <c r="AR1694" s="556">
        <v>0</v>
      </c>
      <c r="AS1694" s="556">
        <v>0</v>
      </c>
      <c r="AT1694" s="556">
        <v>0</v>
      </c>
      <c r="AU1694" s="226">
        <v>0</v>
      </c>
      <c r="AV1694" s="17">
        <f t="shared" si="228"/>
        <v>0</v>
      </c>
      <c r="AW1694" s="556" t="str">
        <f>"{s_taskGather,{"&amp;L1694&amp;","&amp;N1694&amp;","&amp;T1694&amp;","&amp;U1694&amp;",0,1}}"</f>
        <v>{s_taskGather,{60789,60789,31438,1,0,1}}</v>
      </c>
    </row>
    <row r="1695" spans="1:49" s="808" customFormat="1" ht="156" x14ac:dyDescent="0.15">
      <c r="A1695" s="72">
        <v>31514</v>
      </c>
      <c r="B1695" s="73" t="s">
        <v>2855</v>
      </c>
      <c r="C1695" s="73" t="s">
        <v>2922</v>
      </c>
      <c r="D1695" s="73">
        <v>3</v>
      </c>
      <c r="E1695" s="73">
        <v>0</v>
      </c>
      <c r="F1695" s="73">
        <v>5</v>
      </c>
      <c r="G1695" s="80">
        <v>70</v>
      </c>
      <c r="H1695" s="73">
        <v>200</v>
      </c>
      <c r="I1695" s="17">
        <v>0</v>
      </c>
      <c r="J1695" s="80">
        <v>0</v>
      </c>
      <c r="K1695" s="73">
        <v>1</v>
      </c>
      <c r="L1695" s="73">
        <v>60789</v>
      </c>
      <c r="M1695" s="73" t="s">
        <v>2834</v>
      </c>
      <c r="N1695" s="73">
        <v>60789</v>
      </c>
      <c r="O1695" s="73" t="s">
        <v>5228</v>
      </c>
      <c r="P1695" s="73"/>
      <c r="Q1695" s="140"/>
      <c r="R1695" s="807"/>
      <c r="S1695" s="140"/>
      <c r="T1695" s="140">
        <v>31438</v>
      </c>
      <c r="U1695" s="73">
        <v>1</v>
      </c>
      <c r="V1695" s="73">
        <v>0</v>
      </c>
      <c r="W1695" s="73"/>
      <c r="X1695" s="73"/>
      <c r="Y1695" s="73"/>
      <c r="Z1695" s="142">
        <v>0</v>
      </c>
      <c r="AA1695" s="73"/>
      <c r="AB1695" s="143"/>
      <c r="AC1695" s="143"/>
      <c r="AD1695" s="73"/>
      <c r="AE1695" s="73"/>
      <c r="AF1695" s="556" t="str">
        <f>"title("&amp;C1695&amp;")
body(hotyellow_3(任务进程:)newline()
   前往敌国hot(王城)找到该国goto(60806,5)拿到hot("&amp;U1695&amp;"个蓝品质美酒)，回复goto(60789,5)。hot(（非本国及盟国即是敌国哦）)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前往敌国hot(王城)找到该国goto(60806,5)拿到hot(1个蓝品质美酒)，回复goto(60789,5)。hot(（非本国及盟国即是敌国哦）)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v>
      </c>
      <c r="AG1695" s="556" t="s">
        <v>2902</v>
      </c>
      <c r="AH1695" s="556" t="s">
        <v>2900</v>
      </c>
      <c r="AI1695" s="556" t="s">
        <v>110</v>
      </c>
      <c r="AJ1695" s="556" t="s">
        <v>6534</v>
      </c>
      <c r="AK1695" s="683" t="str">
        <f>"收集"&amp;U1695&amp;"个蓝品质美酒"</f>
        <v>收集1个蓝品质美酒</v>
      </c>
      <c r="AL1695" s="678">
        <v>0</v>
      </c>
      <c r="AM1695" s="683" t="str">
        <f>"&lt;p&gt;&lt;n&gt;  通过&lt;/n&gt;&lt;goto id=""126"" mapid=""7"" flagpoint=""1"" /&gt;&lt;newline/&gt;&lt;n&gt;  去敌国找&lt;/n&gt;&lt;goto id=""60806"" mapid=""5"" flagpoint=""1"" /&gt;&lt;newline/&gt;
&lt;n&gt;  收集1个蓝品质美酒&lt;/n&gt;&lt;newline/&gt;
&lt;n&gt;  回复：&lt;/n&gt;&lt;goto id="""&amp;N1695&amp;""" mapid=""5"" flagpoint=""1"" taskid="""&amp;A1695&amp;"""/&gt;
&lt;/p&gt;"</f>
        <v>&lt;p&gt;&lt;n&gt;  通过&lt;/n&gt;&lt;goto id="126" mapid="7" flagpoint="1" /&gt;&lt;newline/&gt;&lt;n&gt;  去敌国找&lt;/n&gt;&lt;goto id="60806" mapid="5" flagpoint="1" /&gt;&lt;newline/&gt;
&lt;n&gt;  收集1个蓝品质美酒&lt;/n&gt;&lt;newline/&gt;
&lt;n&gt;  回复：&lt;/n&gt;&lt;goto id="60789" mapid="5" flagpoint="1" taskid="31514"/&gt;
&lt;/p&gt;</v>
      </c>
      <c r="AN1695" s="683" t="str">
        <f t="shared" si="230"/>
        <v>&lt;p&gt;
&lt;n&gt;  交：&lt;/n&gt;&lt;goto id="60789" mapid="5" flagpoint="1" taskid="31514"/&gt;
&lt;/p&gt;</v>
      </c>
      <c r="AO1695" s="556"/>
      <c r="AP1695" s="556">
        <v>0</v>
      </c>
      <c r="AQ1695" s="556">
        <v>0</v>
      </c>
      <c r="AR1695" s="556">
        <v>0</v>
      </c>
      <c r="AS1695" s="556">
        <v>0</v>
      </c>
      <c r="AT1695" s="556">
        <v>0</v>
      </c>
      <c r="AU1695" s="226">
        <v>0</v>
      </c>
      <c r="AV1695" s="17">
        <f t="shared" si="228"/>
        <v>0</v>
      </c>
      <c r="AW1695" s="556" t="str">
        <f>"{s_taskGather,{"&amp;L1695&amp;","&amp;N1695&amp;","&amp;T1695&amp;","&amp;U1695&amp;",0,1}}"</f>
        <v>{s_taskGather,{60789,60789,31438,1,0,1}}</v>
      </c>
    </row>
    <row r="1696" spans="1:49" s="808" customFormat="1" ht="144" x14ac:dyDescent="0.15">
      <c r="A1696" s="72">
        <v>31515</v>
      </c>
      <c r="B1696" s="73" t="s">
        <v>2855</v>
      </c>
      <c r="C1696" s="73" t="s">
        <v>2923</v>
      </c>
      <c r="D1696" s="73">
        <v>3</v>
      </c>
      <c r="E1696" s="73">
        <v>0</v>
      </c>
      <c r="F1696" s="73">
        <v>5</v>
      </c>
      <c r="G1696" s="80">
        <v>70</v>
      </c>
      <c r="H1696" s="73">
        <v>200</v>
      </c>
      <c r="I1696" s="17">
        <v>0</v>
      </c>
      <c r="J1696" s="80">
        <v>0</v>
      </c>
      <c r="K1696" s="73">
        <v>1</v>
      </c>
      <c r="L1696" s="73">
        <v>60789</v>
      </c>
      <c r="M1696" s="73" t="s">
        <v>2834</v>
      </c>
      <c r="N1696" s="73">
        <v>60789</v>
      </c>
      <c r="O1696" s="73" t="s">
        <v>5228</v>
      </c>
      <c r="P1696" s="73"/>
      <c r="Q1696" s="140"/>
      <c r="R1696" s="807"/>
      <c r="S1696" s="140">
        <v>60808</v>
      </c>
      <c r="T1696" s="140"/>
      <c r="U1696" s="73">
        <v>1</v>
      </c>
      <c r="V1696" s="73">
        <v>0</v>
      </c>
      <c r="W1696" s="73"/>
      <c r="X1696" s="73"/>
      <c r="Y1696" s="73"/>
      <c r="Z1696" s="142">
        <v>0</v>
      </c>
      <c r="AA1696" s="73"/>
      <c r="AB1696" s="143"/>
      <c r="AC1696" s="143"/>
      <c r="AD1696" s="73"/>
      <c r="AE1696" s="745" t="s">
        <v>2917</v>
      </c>
      <c r="AF1696" s="556" t="str">
        <f>"title("&amp;C1696&amp;")
body(hotyellow_3(任务进程:)newline()
   使用任务给予的单兵火箭筒前往敌国hot(五丈原)破坏1个goto(60808,7)，回复goto(60789,5)。hot(（非本国及盟国即是敌国哦）)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使用任务给予的单兵火箭筒前往敌国hot(五丈原)破坏1个goto(60808,7)，回复goto(60789,5)。hot(（非本国及盟国即是敌国哦）)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696" s="556" t="s">
        <v>2918</v>
      </c>
      <c r="AH1696" s="556" t="s">
        <v>2916</v>
      </c>
      <c r="AI1696" s="556" t="s">
        <v>110</v>
      </c>
      <c r="AJ1696" s="556" t="s">
        <v>6535</v>
      </c>
      <c r="AK1696" s="683" t="str">
        <f>"破坏"&amp;U1696&amp;"个沙地型补给艇"</f>
        <v>破坏1个沙地型补给艇</v>
      </c>
      <c r="AL1696" s="678">
        <v>0</v>
      </c>
      <c r="AM1696" s="683" t="str">
        <f>"&lt;p&gt;&lt;n&gt;  通过&lt;/n&gt;&lt;goto id=""126"" mapid=""7"" flagpoint=""1"" /&gt;&lt;newline/&gt;&lt;n&gt;  去敌国使用火箭筒破坏1个&lt;/n&gt;&lt;goto id="""&amp;S1696&amp;""" mapid=""7"" flagpoint=""1"" /&gt;&lt;newline/&gt;
&lt;n&gt;  回复：&lt;/n&gt;&lt;goto id="""&amp;N1696&amp;""" mapid=""5"" flagpoint=""1"" taskid="""&amp;A1696&amp;"""/&gt;
&lt;/p&gt;"</f>
        <v>&lt;p&gt;&lt;n&gt;  通过&lt;/n&gt;&lt;goto id="126" mapid="7" flagpoint="1" /&gt;&lt;newline/&gt;&lt;n&gt;  去敌国使用火箭筒破坏1个&lt;/n&gt;&lt;goto id="60808" mapid="7" flagpoint="1" /&gt;&lt;newline/&gt;
&lt;n&gt;  回复：&lt;/n&gt;&lt;goto id="60789" mapid="5" flagpoint="1" taskid="31515"/&gt;
&lt;/p&gt;</v>
      </c>
      <c r="AN1696" s="683" t="str">
        <f t="shared" si="230"/>
        <v>&lt;p&gt;
&lt;n&gt;  交：&lt;/n&gt;&lt;goto id="60789" mapid="5" flagpoint="1" taskid="31515"/&gt;
&lt;/p&gt;</v>
      </c>
      <c r="AO1696" s="556"/>
      <c r="AP1696" s="556">
        <v>0</v>
      </c>
      <c r="AQ1696" s="556">
        <v>0</v>
      </c>
      <c r="AR1696" s="556">
        <v>0</v>
      </c>
      <c r="AS1696" s="556">
        <v>0</v>
      </c>
      <c r="AT1696" s="556">
        <v>0</v>
      </c>
      <c r="AU1696" s="226">
        <v>0</v>
      </c>
      <c r="AV1696" s="17">
        <f t="shared" si="228"/>
        <v>0</v>
      </c>
      <c r="AW1696" s="50" t="str">
        <f>"{s_taskKillNpc, {"&amp;L1696&amp;","&amp;N1696&amp;","&amp;S1696&amp;","&amp;U1696&amp;"}}"</f>
        <v>{s_taskKillNpc, {60789,60789,60808,1}}</v>
      </c>
    </row>
    <row r="1697" spans="1:49" s="808" customFormat="1" ht="144" x14ac:dyDescent="0.15">
      <c r="A1697" s="72">
        <v>31516</v>
      </c>
      <c r="B1697" s="73" t="s">
        <v>2855</v>
      </c>
      <c r="C1697" s="73" t="s">
        <v>2923</v>
      </c>
      <c r="D1697" s="73">
        <v>3</v>
      </c>
      <c r="E1697" s="73">
        <v>0</v>
      </c>
      <c r="F1697" s="73">
        <v>5</v>
      </c>
      <c r="G1697" s="80">
        <v>70</v>
      </c>
      <c r="H1697" s="73">
        <v>200</v>
      </c>
      <c r="I1697" s="17">
        <v>0</v>
      </c>
      <c r="J1697" s="80">
        <v>0</v>
      </c>
      <c r="K1697" s="73">
        <v>1</v>
      </c>
      <c r="L1697" s="73">
        <v>60789</v>
      </c>
      <c r="M1697" s="73" t="s">
        <v>2834</v>
      </c>
      <c r="N1697" s="73">
        <v>60789</v>
      </c>
      <c r="O1697" s="73" t="s">
        <v>5228</v>
      </c>
      <c r="P1697" s="73"/>
      <c r="Q1697" s="140"/>
      <c r="R1697" s="807"/>
      <c r="S1697" s="140">
        <v>60808</v>
      </c>
      <c r="T1697" s="140"/>
      <c r="U1697" s="73">
        <v>3</v>
      </c>
      <c r="V1697" s="73">
        <v>0</v>
      </c>
      <c r="W1697" s="73"/>
      <c r="X1697" s="73"/>
      <c r="Y1697" s="73"/>
      <c r="Z1697" s="142">
        <v>0</v>
      </c>
      <c r="AA1697" s="73"/>
      <c r="AB1697" s="143"/>
      <c r="AC1697" s="143"/>
      <c r="AD1697" s="73"/>
      <c r="AE1697" s="745" t="s">
        <v>2917</v>
      </c>
      <c r="AF1697" s="556" t="str">
        <f>"title("&amp;C1697&amp;")
body(hotyellow_3(任务进程:)newline()
   使用任务给予的单兵火箭筒前往敌国hot(五丈原)破坏3个goto(60808,7)，回复goto(60789,5)。hot(（非本国及盟国即是敌国哦）)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使用任务给予的单兵火箭筒前往敌国hot(五丈原)破坏3个goto(60808,7)，回复goto(60789,5)。hot(（非本国及盟国即是敌国哦）)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697" s="556" t="s">
        <v>2919</v>
      </c>
      <c r="AH1697" s="556" t="s">
        <v>2916</v>
      </c>
      <c r="AI1697" s="556" t="s">
        <v>110</v>
      </c>
      <c r="AJ1697" s="556" t="s">
        <v>6535</v>
      </c>
      <c r="AK1697" s="683" t="str">
        <f>"破坏"&amp;U1697&amp;"个沙地型补给艇"</f>
        <v>破坏3个沙地型补给艇</v>
      </c>
      <c r="AL1697" s="678">
        <v>0</v>
      </c>
      <c r="AM1697" s="683" t="str">
        <f>"&lt;p&gt;&lt;n&gt;  通过&lt;/n&gt;&lt;goto id=""126"" mapid=""7"" flagpoint=""1"" /&gt;&lt;newline/&gt;&lt;n&gt;  去敌国使用火箭筒破坏3个&lt;/n&gt;&lt;goto id="""&amp;S1697&amp;""" mapid=""7"" flagpoint=""1"" /&gt;&lt;newline/&gt;
&lt;n&gt;  回复：&lt;/n&gt;&lt;goto id="""&amp;N1697&amp;""" mapid=""5"" flagpoint=""1"" taskid="""&amp;A1697&amp;"""/&gt;
&lt;/p&gt;"</f>
        <v>&lt;p&gt;&lt;n&gt;  通过&lt;/n&gt;&lt;goto id="126" mapid="7" flagpoint="1" /&gt;&lt;newline/&gt;&lt;n&gt;  去敌国使用火箭筒破坏3个&lt;/n&gt;&lt;goto id="60808" mapid="7" flagpoint="1" /&gt;&lt;newline/&gt;
&lt;n&gt;  回复：&lt;/n&gt;&lt;goto id="60789" mapid="5" flagpoint="1" taskid="31516"/&gt;
&lt;/p&gt;</v>
      </c>
      <c r="AN1697" s="683" t="str">
        <f t="shared" si="230"/>
        <v>&lt;p&gt;
&lt;n&gt;  交：&lt;/n&gt;&lt;goto id="60789" mapid="5" flagpoint="1" taskid="31516"/&gt;
&lt;/p&gt;</v>
      </c>
      <c r="AO1697" s="556"/>
      <c r="AP1697" s="556">
        <v>0</v>
      </c>
      <c r="AQ1697" s="556">
        <v>0</v>
      </c>
      <c r="AR1697" s="556">
        <v>0</v>
      </c>
      <c r="AS1697" s="556">
        <v>0</v>
      </c>
      <c r="AT1697" s="556">
        <v>0</v>
      </c>
      <c r="AU1697" s="226">
        <v>0</v>
      </c>
      <c r="AV1697" s="17">
        <f t="shared" si="228"/>
        <v>0</v>
      </c>
      <c r="AW1697" s="50" t="str">
        <f>"{s_taskKillNpc, {"&amp;L1697&amp;","&amp;N1697&amp;","&amp;S1697&amp;","&amp;U1697&amp;"}}"</f>
        <v>{s_taskKillNpc, {60789,60789,60808,3}}</v>
      </c>
    </row>
    <row r="1698" spans="1:49" s="808" customFormat="1" ht="144" x14ac:dyDescent="0.15">
      <c r="A1698" s="72">
        <v>31517</v>
      </c>
      <c r="B1698" s="73" t="s">
        <v>2855</v>
      </c>
      <c r="C1698" s="73" t="s">
        <v>2923</v>
      </c>
      <c r="D1698" s="73">
        <v>3</v>
      </c>
      <c r="E1698" s="73">
        <v>0</v>
      </c>
      <c r="F1698" s="73">
        <v>5</v>
      </c>
      <c r="G1698" s="80">
        <v>70</v>
      </c>
      <c r="H1698" s="73">
        <v>200</v>
      </c>
      <c r="I1698" s="17">
        <v>0</v>
      </c>
      <c r="J1698" s="80">
        <v>0</v>
      </c>
      <c r="K1698" s="73">
        <v>1</v>
      </c>
      <c r="L1698" s="73">
        <v>60789</v>
      </c>
      <c r="M1698" s="73" t="s">
        <v>2834</v>
      </c>
      <c r="N1698" s="73">
        <v>60789</v>
      </c>
      <c r="O1698" s="73" t="s">
        <v>5228</v>
      </c>
      <c r="P1698" s="73"/>
      <c r="Q1698" s="140"/>
      <c r="R1698" s="807"/>
      <c r="S1698" s="140">
        <v>60809</v>
      </c>
      <c r="T1698" s="140"/>
      <c r="U1698" s="73">
        <v>1</v>
      </c>
      <c r="V1698" s="73">
        <v>0</v>
      </c>
      <c r="W1698" s="73"/>
      <c r="X1698" s="73"/>
      <c r="Y1698" s="73"/>
      <c r="Z1698" s="142">
        <v>0</v>
      </c>
      <c r="AA1698" s="73"/>
      <c r="AB1698" s="143"/>
      <c r="AC1698" s="143"/>
      <c r="AD1698" s="73"/>
      <c r="AE1698" s="745" t="s">
        <v>2917</v>
      </c>
      <c r="AF1698" s="556" t="str">
        <f>"title("&amp;C1698&amp;")
body(hotyellow_3(任务进程:)newline()
   使用任务给予的单兵火箭筒前往敌国hot(王城)破坏1个goto(60809,5)，回复goto(60789,5)。hot(（非本国及盟国即是敌国哦）)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使用任务给予的单兵火箭筒前往敌国hot(王城)破坏1个goto(60809,5)，回复goto(60789,5)。hot(（非本国及盟国即是敌国哦）)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698" s="556" t="s">
        <v>4801</v>
      </c>
      <c r="AH1698" s="556" t="s">
        <v>2916</v>
      </c>
      <c r="AI1698" s="556" t="s">
        <v>110</v>
      </c>
      <c r="AJ1698" s="556" t="s">
        <v>6536</v>
      </c>
      <c r="AK1698" s="683" t="str">
        <f>"破坏"&amp;U1698&amp;"个帮会需补给艇"</f>
        <v>破坏1个帮会需补给艇</v>
      </c>
      <c r="AL1698" s="678">
        <v>0</v>
      </c>
      <c r="AM1698" s="683" t="str">
        <f>"&lt;p&gt;&lt;n&gt;  通过&lt;/n&gt;&lt;goto id=""126"" mapid=""7"" flagpoint=""1"" /&gt;&lt;newline/&gt;&lt;n&gt;  去敌国使用火箭筒破坏1个&lt;/n&gt;&lt;goto id="""&amp;S1698&amp;""" mapid=""5"" flagpoint=""1"" /&gt;&lt;newline/&gt;
&lt;n&gt;  回复：&lt;/n&gt;&lt;goto id="""&amp;N1698&amp;""" mapid=""5"" flagpoint=""1"" taskid="""&amp;A1698&amp;"""/&gt;
&lt;/p&gt;"</f>
        <v>&lt;p&gt;&lt;n&gt;  通过&lt;/n&gt;&lt;goto id="126" mapid="7" flagpoint="1" /&gt;&lt;newline/&gt;&lt;n&gt;  去敌国使用火箭筒破坏1个&lt;/n&gt;&lt;goto id="60809" mapid="5" flagpoint="1" /&gt;&lt;newline/&gt;
&lt;n&gt;  回复：&lt;/n&gt;&lt;goto id="60789" mapid="5" flagpoint="1" taskid="31517"/&gt;
&lt;/p&gt;</v>
      </c>
      <c r="AN1698" s="683" t="str">
        <f t="shared" si="230"/>
        <v>&lt;p&gt;
&lt;n&gt;  交：&lt;/n&gt;&lt;goto id="60789" mapid="5" flagpoint="1" taskid="31517"/&gt;
&lt;/p&gt;</v>
      </c>
      <c r="AO1698" s="556"/>
      <c r="AP1698" s="556">
        <v>0</v>
      </c>
      <c r="AQ1698" s="556">
        <v>0</v>
      </c>
      <c r="AR1698" s="556">
        <v>0</v>
      </c>
      <c r="AS1698" s="556">
        <v>0</v>
      </c>
      <c r="AT1698" s="556">
        <v>0</v>
      </c>
      <c r="AU1698" s="226">
        <v>0</v>
      </c>
      <c r="AV1698" s="17">
        <f t="shared" ref="AV1698:AV1761" si="231">IF(D1698 = 1,1,0)</f>
        <v>0</v>
      </c>
      <c r="AW1698" s="50" t="str">
        <f>"{s_taskKillNpc, {"&amp;L1698&amp;","&amp;N1698&amp;","&amp;S1698&amp;","&amp;U1698&amp;"}}"</f>
        <v>{s_taskKillNpc, {60789,60789,60809,1}}</v>
      </c>
    </row>
    <row r="1699" spans="1:49" s="808" customFormat="1" ht="144" x14ac:dyDescent="0.15">
      <c r="A1699" s="72">
        <v>31518</v>
      </c>
      <c r="B1699" s="73" t="s">
        <v>2855</v>
      </c>
      <c r="C1699" s="73" t="s">
        <v>2923</v>
      </c>
      <c r="D1699" s="73">
        <v>3</v>
      </c>
      <c r="E1699" s="73">
        <v>0</v>
      </c>
      <c r="F1699" s="73">
        <v>5</v>
      </c>
      <c r="G1699" s="80">
        <v>70</v>
      </c>
      <c r="H1699" s="73">
        <v>200</v>
      </c>
      <c r="I1699" s="17">
        <v>0</v>
      </c>
      <c r="J1699" s="80">
        <v>0</v>
      </c>
      <c r="K1699" s="73">
        <v>1</v>
      </c>
      <c r="L1699" s="73">
        <v>60789</v>
      </c>
      <c r="M1699" s="73" t="s">
        <v>2834</v>
      </c>
      <c r="N1699" s="73">
        <v>60789</v>
      </c>
      <c r="O1699" s="73" t="s">
        <v>5228</v>
      </c>
      <c r="P1699" s="73"/>
      <c r="Q1699" s="140"/>
      <c r="R1699" s="807"/>
      <c r="S1699" s="140">
        <v>60809</v>
      </c>
      <c r="T1699" s="140"/>
      <c r="U1699" s="73">
        <v>3</v>
      </c>
      <c r="V1699" s="73">
        <v>0</v>
      </c>
      <c r="W1699" s="73"/>
      <c r="X1699" s="73"/>
      <c r="Y1699" s="73"/>
      <c r="Z1699" s="142">
        <v>0</v>
      </c>
      <c r="AA1699" s="73"/>
      <c r="AB1699" s="143"/>
      <c r="AC1699" s="143"/>
      <c r="AD1699" s="73"/>
      <c r="AE1699" s="745" t="s">
        <v>2917</v>
      </c>
      <c r="AF1699" s="556" t="str">
        <f>"title("&amp;C1699&amp;")
body(hotyellow_3(任务进程:)newline()
   使用任务给予的单兵火箭筒前往敌国hot(王城)破坏3个goto(60809,5)，回复goto(60789,5)。hot(（非本国及盟国即是敌国哦）)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使用任务给予的单兵火箭筒前往敌国hot(王城)破坏3个goto(60809,5)，回复goto(60789,5)。hot(（非本国及盟国即是敌国哦）)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699" s="556" t="s">
        <v>4801</v>
      </c>
      <c r="AH1699" s="556" t="s">
        <v>2916</v>
      </c>
      <c r="AI1699" s="556" t="s">
        <v>110</v>
      </c>
      <c r="AJ1699" s="556" t="s">
        <v>6536</v>
      </c>
      <c r="AK1699" s="683" t="str">
        <f>"破坏"&amp;U1699&amp;"个帮会需补给艇"</f>
        <v>破坏3个帮会需补给艇</v>
      </c>
      <c r="AL1699" s="678">
        <v>0</v>
      </c>
      <c r="AM1699" s="683" t="str">
        <f>"&lt;p&gt;&lt;n&gt;  通过&lt;/n&gt;&lt;goto id=""126"" mapid=""7"" flagpoint=""1"" /&gt;&lt;newline/&gt;&lt;n&gt;  去敌国使用火箭筒破坏3个&lt;/n&gt;&lt;goto id="""&amp;S1699&amp;""" mapid=""5"" flagpoint=""1"" /&gt;&lt;newline/&gt;
&lt;n&gt;  回复：&lt;/n&gt;&lt;goto id="""&amp;N1699&amp;""" mapid=""5"" flagpoint=""1"" taskid="""&amp;A1699&amp;"""/&gt;
&lt;/p&gt;"</f>
        <v>&lt;p&gt;&lt;n&gt;  通过&lt;/n&gt;&lt;goto id="126" mapid="7" flagpoint="1" /&gt;&lt;newline/&gt;&lt;n&gt;  去敌国使用火箭筒破坏3个&lt;/n&gt;&lt;goto id="60809" mapid="5" flagpoint="1" /&gt;&lt;newline/&gt;
&lt;n&gt;  回复：&lt;/n&gt;&lt;goto id="60789" mapid="5" flagpoint="1" taskid="31518"/&gt;
&lt;/p&gt;</v>
      </c>
      <c r="AN1699" s="683" t="str">
        <f t="shared" si="230"/>
        <v>&lt;p&gt;
&lt;n&gt;  交：&lt;/n&gt;&lt;goto id="60789" mapid="5" flagpoint="1" taskid="31518"/&gt;
&lt;/p&gt;</v>
      </c>
      <c r="AO1699" s="556"/>
      <c r="AP1699" s="556">
        <v>0</v>
      </c>
      <c r="AQ1699" s="556">
        <v>0</v>
      </c>
      <c r="AR1699" s="556">
        <v>0</v>
      </c>
      <c r="AS1699" s="556">
        <v>0</v>
      </c>
      <c r="AT1699" s="556">
        <v>0</v>
      </c>
      <c r="AU1699" s="226">
        <v>0</v>
      </c>
      <c r="AV1699" s="17">
        <f t="shared" si="231"/>
        <v>0</v>
      </c>
      <c r="AW1699" s="50" t="str">
        <f>"{s_taskKillNpc, {"&amp;L1699&amp;","&amp;N1699&amp;","&amp;S1699&amp;","&amp;U1699&amp;"}}"</f>
        <v>{s_taskKillNpc, {60789,60789,60809,3}}</v>
      </c>
    </row>
    <row r="1700" spans="1:49" s="808" customFormat="1" x14ac:dyDescent="0.15">
      <c r="A1700" s="72">
        <v>31519</v>
      </c>
      <c r="B1700" s="73" t="s">
        <v>2855</v>
      </c>
      <c r="C1700" s="73" t="s">
        <v>3407</v>
      </c>
      <c r="D1700" s="73">
        <v>3</v>
      </c>
      <c r="E1700" s="73">
        <v>0</v>
      </c>
      <c r="F1700" s="73">
        <v>5</v>
      </c>
      <c r="G1700" s="80">
        <v>70</v>
      </c>
      <c r="H1700" s="73">
        <v>200</v>
      </c>
      <c r="I1700" s="17">
        <v>0</v>
      </c>
      <c r="J1700" s="80">
        <v>0</v>
      </c>
      <c r="K1700" s="73">
        <v>1</v>
      </c>
      <c r="L1700" s="73">
        <v>60789</v>
      </c>
      <c r="M1700" s="73" t="s">
        <v>2834</v>
      </c>
      <c r="N1700" s="73">
        <v>203</v>
      </c>
      <c r="O1700" s="73" t="s">
        <v>5258</v>
      </c>
      <c r="P1700" s="73"/>
      <c r="Q1700" s="140"/>
      <c r="R1700" s="807"/>
      <c r="S1700" s="140"/>
      <c r="T1700" s="140"/>
      <c r="U1700" s="73">
        <v>1</v>
      </c>
      <c r="V1700" s="73">
        <v>1</v>
      </c>
      <c r="W1700" s="73"/>
      <c r="X1700" s="73"/>
      <c r="Y1700" s="73"/>
      <c r="Z1700" s="142">
        <v>0</v>
      </c>
      <c r="AA1700" s="73"/>
      <c r="AB1700" s="143"/>
      <c r="AC1700" s="143"/>
      <c r="AD1700" s="73"/>
      <c r="AE1700" s="73"/>
      <c r="AF1700" s="73"/>
      <c r="AG1700" s="73"/>
      <c r="AH1700" s="73"/>
      <c r="AI1700" s="73"/>
      <c r="AJ1700" s="73"/>
      <c r="AK1700" s="73"/>
      <c r="AL1700" s="80">
        <v>0</v>
      </c>
      <c r="AM1700" s="73"/>
      <c r="AN1700" s="73"/>
      <c r="AO1700" s="73"/>
      <c r="AP1700" s="73">
        <v>0</v>
      </c>
      <c r="AQ1700" s="73">
        <v>0</v>
      </c>
      <c r="AR1700" s="73">
        <v>0</v>
      </c>
      <c r="AS1700" s="73">
        <v>0</v>
      </c>
      <c r="AT1700" s="73">
        <v>0</v>
      </c>
      <c r="AU1700" s="226">
        <v>0</v>
      </c>
      <c r="AV1700" s="17">
        <f t="shared" si="231"/>
        <v>0</v>
      </c>
      <c r="AW1700" s="50" t="str">
        <f t="shared" ref="AW1700" si="232">"{s_taskTalk,{"&amp;L1700&amp;","&amp;N1700&amp;"}}"</f>
        <v>{s_taskTalk,{60789,203}}</v>
      </c>
    </row>
    <row r="1701" spans="1:49" s="808" customFormat="1" ht="132" x14ac:dyDescent="0.15">
      <c r="A1701" s="72">
        <v>31520</v>
      </c>
      <c r="B1701" s="73" t="s">
        <v>2855</v>
      </c>
      <c r="C1701" s="73" t="s">
        <v>3412</v>
      </c>
      <c r="D1701" s="73">
        <v>3</v>
      </c>
      <c r="E1701" s="73">
        <v>0</v>
      </c>
      <c r="F1701" s="73">
        <v>5</v>
      </c>
      <c r="G1701" s="80">
        <v>70</v>
      </c>
      <c r="H1701" s="73">
        <v>200</v>
      </c>
      <c r="I1701" s="17">
        <v>0</v>
      </c>
      <c r="J1701" s="80">
        <v>0</v>
      </c>
      <c r="K1701" s="73">
        <v>1</v>
      </c>
      <c r="L1701" s="73">
        <v>60789</v>
      </c>
      <c r="M1701" s="73" t="s">
        <v>2834</v>
      </c>
      <c r="N1701" s="73">
        <v>60789</v>
      </c>
      <c r="O1701" s="73" t="s">
        <v>5228</v>
      </c>
      <c r="P1701" s="73"/>
      <c r="Q1701" s="140"/>
      <c r="R1701" s="807"/>
      <c r="S1701" s="140">
        <v>60866</v>
      </c>
      <c r="T1701" s="140"/>
      <c r="U1701" s="73">
        <v>1</v>
      </c>
      <c r="V1701" s="73">
        <v>0</v>
      </c>
      <c r="W1701" s="73"/>
      <c r="X1701" s="73"/>
      <c r="Y1701" s="73"/>
      <c r="Z1701" s="142">
        <v>0</v>
      </c>
      <c r="AA1701" s="73"/>
      <c r="AB1701" s="143"/>
      <c r="AC1701" s="143"/>
      <c r="AD1701" s="73"/>
      <c r="AE1701" s="745"/>
      <c r="AF1701" s="556" t="str">
        <f>"title("&amp;C1701&amp;")
body(hotyellow_3(任务进程:)newline()
   邀请一个70级以上玩家组队，通过与goto(60789,5)对话，选择hot(进入‘维多利亚’战役),杀死goto(60866,143)，回复goto(60789,5)。newline()
◆进入限制newline()
1、必须有且只有2人组队newline()
2、任务的协助者今天未进入过该副本，且在您附近newline()
3、2人必须都大于等于70级
)"</f>
        <v>title([随机]戎装公主)
body(hotyellow_3(任务进程:)newline()
   邀请一个70级以上玩家组队，通过与goto(60789,5)对话，选择hot(进入‘维多利亚’战役),杀死goto(60866,143)，回复goto(60789,5)。newline()
◆进入限制newline()
1、必须有且只有2人组队newline()
2、任务的协助者今天未进入过该副本，且在您附近newline()
3、2人必须都大于等于70级
)</v>
      </c>
      <c r="AG1701" s="556" t="s">
        <v>4802</v>
      </c>
      <c r="AH1701" s="556" t="s">
        <v>2916</v>
      </c>
      <c r="AI1701" s="556" t="s">
        <v>110</v>
      </c>
      <c r="AJ1701" s="556" t="s">
        <v>6537</v>
      </c>
      <c r="AK1701" s="683" t="str">
        <f>"杀死"&amp;U1701&amp;"梦之黑魔"</f>
        <v>杀死1梦之黑魔</v>
      </c>
      <c r="AL1701" s="678">
        <v>0</v>
      </c>
      <c r="AM1701" s="683" t="str">
        <f>"&lt;p&gt;&lt;n&gt;  通过&lt;/n&gt;&lt;goto id=""60789"" mapid=""5"" flagpoint=""1"" /&gt;&lt;newline/&gt;&lt;n&gt;  选择‘维多利亚’战役&lt;/n&gt;&lt;newline/&gt;
&lt;n&gt;  杀：梦之黑魔后，回复：&lt;/n&gt;&lt;goto id="""&amp;N1701&amp;""" mapid=""5"" flagpoint=""1"" taskid="""&amp;A1701&amp;"""/&gt;
&lt;/p&gt;"</f>
        <v>&lt;p&gt;&lt;n&gt;  通过&lt;/n&gt;&lt;goto id="60789" mapid="5" flagpoint="1" /&gt;&lt;newline/&gt;&lt;n&gt;  选择‘维多利亚’战役&lt;/n&gt;&lt;newline/&gt;
&lt;n&gt;  杀：梦之黑魔后，回复：&lt;/n&gt;&lt;goto id="60789" mapid="5" flagpoint="1" taskid="31520"/&gt;
&lt;/p&gt;</v>
      </c>
      <c r="AN1701" s="683" t="str">
        <f>"&lt;p&gt;&lt;n&gt;  通过&lt;/n&gt;&lt;goto id=""60789"" mapid=""5"" flagpoint=""1"" /&gt;&lt;newline/&gt;&lt;n&gt;  选择‘维多利亚’战役&lt;/n&gt;&lt;newline/&gt;
&lt;n&gt;  杀死梦之黑魔后，交：&lt;/n&gt;&lt;goto id="""&amp;N1701&amp;""" mapid=""5"" flagpoint=""1"" taskid="""&amp;B1701&amp;"""/&gt;
&lt;/p&gt;"</f>
        <v>&lt;p&gt;&lt;n&gt;  通过&lt;/n&gt;&lt;goto id="60789" mapid="5" flagpoint="1" /&gt;&lt;newline/&gt;&lt;n&gt;  选择‘维多利亚’战役&lt;/n&gt;&lt;newline/&gt;
&lt;n&gt;  杀死梦之黑魔后，交：&lt;/n&gt;&lt;goto id="60789" mapid="5" flagpoint="1" taskid="白"/&gt;
&lt;/p&gt;</v>
      </c>
      <c r="AO1701" s="556"/>
      <c r="AP1701" s="556">
        <v>0</v>
      </c>
      <c r="AQ1701" s="556">
        <v>0</v>
      </c>
      <c r="AR1701" s="556">
        <v>0</v>
      </c>
      <c r="AS1701" s="556">
        <v>0</v>
      </c>
      <c r="AT1701" s="556">
        <v>0</v>
      </c>
      <c r="AU1701" s="226">
        <v>0</v>
      </c>
      <c r="AV1701" s="17">
        <f t="shared" si="231"/>
        <v>0</v>
      </c>
      <c r="AW1701" s="50" t="str">
        <f>"{s_taskKillNpc, {"&amp;L1701&amp;","&amp;N1701&amp;","&amp;S1701&amp;","&amp;U1701&amp;"}}"</f>
        <v>{s_taskKillNpc, {60789,60789,60866,1}}</v>
      </c>
    </row>
    <row r="1702" spans="1:49" s="808" customFormat="1" ht="24" x14ac:dyDescent="0.15">
      <c r="A1702" s="72">
        <v>32000</v>
      </c>
      <c r="B1702" s="73" t="s">
        <v>2856</v>
      </c>
      <c r="C1702" s="73" t="s">
        <v>2849</v>
      </c>
      <c r="D1702" s="73">
        <v>3</v>
      </c>
      <c r="E1702" s="73">
        <v>0</v>
      </c>
      <c r="F1702" s="73">
        <v>5</v>
      </c>
      <c r="G1702" s="80">
        <v>70</v>
      </c>
      <c r="H1702" s="73">
        <v>200</v>
      </c>
      <c r="I1702" s="17">
        <v>0</v>
      </c>
      <c r="J1702" s="80">
        <v>0</v>
      </c>
      <c r="K1702" s="73">
        <v>1</v>
      </c>
      <c r="L1702" s="73">
        <v>60789</v>
      </c>
      <c r="M1702" s="73" t="s">
        <v>2834</v>
      </c>
      <c r="N1702" s="73">
        <v>60789</v>
      </c>
      <c r="O1702" s="73" t="s">
        <v>5228</v>
      </c>
      <c r="P1702" s="73"/>
      <c r="Q1702" s="140"/>
      <c r="R1702" s="807">
        <v>61077</v>
      </c>
      <c r="S1702" s="140"/>
      <c r="T1702" s="140"/>
      <c r="U1702" s="73">
        <v>1</v>
      </c>
      <c r="V1702" s="73">
        <v>0</v>
      </c>
      <c r="W1702" s="73"/>
      <c r="X1702" s="73"/>
      <c r="Y1702" s="73"/>
      <c r="Z1702" s="142">
        <v>0</v>
      </c>
      <c r="AA1702" s="73"/>
      <c r="AB1702" s="143"/>
      <c r="AC1702" s="143"/>
      <c r="AD1702" s="73"/>
      <c r="AE1702" s="73"/>
      <c r="AF1702" s="73"/>
      <c r="AG1702" s="73"/>
      <c r="AH1702" s="73"/>
      <c r="AI1702" s="73"/>
      <c r="AJ1702" s="73"/>
      <c r="AK1702" s="73"/>
      <c r="AL1702" s="80">
        <v>0</v>
      </c>
      <c r="AM1702" s="73"/>
      <c r="AN1702" s="73"/>
      <c r="AO1702" s="73"/>
      <c r="AP1702" s="73">
        <v>0</v>
      </c>
      <c r="AQ1702" s="73">
        <v>0</v>
      </c>
      <c r="AR1702" s="73">
        <v>0</v>
      </c>
      <c r="AS1702" s="73">
        <v>0</v>
      </c>
      <c r="AT1702" s="73">
        <v>0</v>
      </c>
      <c r="AU1702" s="226">
        <v>0</v>
      </c>
      <c r="AV1702" s="17">
        <f t="shared" si="231"/>
        <v>0</v>
      </c>
      <c r="AW1702" s="50" t="str">
        <f>"{s_taskGuard,{"&amp;L1702&amp;","&amp;N1702&amp;","&amp;R1702&amp;",0}}"</f>
        <v>{s_taskGuard,{60789,60789,61077,0}}</v>
      </c>
    </row>
    <row r="1703" spans="1:49" s="808" customFormat="1" x14ac:dyDescent="0.15">
      <c r="A1703" s="72">
        <v>32002</v>
      </c>
      <c r="B1703" s="73" t="s">
        <v>2856</v>
      </c>
      <c r="C1703" s="73" t="s">
        <v>2924</v>
      </c>
      <c r="D1703" s="73">
        <v>3</v>
      </c>
      <c r="E1703" s="73">
        <v>0</v>
      </c>
      <c r="F1703" s="73">
        <v>5</v>
      </c>
      <c r="G1703" s="80">
        <v>70</v>
      </c>
      <c r="H1703" s="73">
        <v>200</v>
      </c>
      <c r="I1703" s="17">
        <v>0</v>
      </c>
      <c r="J1703" s="80">
        <v>0</v>
      </c>
      <c r="K1703" s="73">
        <v>1</v>
      </c>
      <c r="L1703" s="73">
        <v>60789</v>
      </c>
      <c r="M1703" s="73" t="s">
        <v>2834</v>
      </c>
      <c r="N1703" s="73">
        <v>60797</v>
      </c>
      <c r="O1703" s="73" t="s">
        <v>5249</v>
      </c>
      <c r="P1703" s="73"/>
      <c r="Q1703" s="140"/>
      <c r="R1703" s="807"/>
      <c r="S1703" s="140"/>
      <c r="T1703" s="140"/>
      <c r="U1703" s="73">
        <v>1</v>
      </c>
      <c r="V1703" s="73">
        <v>1</v>
      </c>
      <c r="W1703" s="73"/>
      <c r="X1703" s="73"/>
      <c r="Y1703" s="73"/>
      <c r="Z1703" s="142">
        <v>0</v>
      </c>
      <c r="AA1703" s="73"/>
      <c r="AB1703" s="143"/>
      <c r="AC1703" s="143"/>
      <c r="AD1703" s="73"/>
      <c r="AE1703" s="73"/>
      <c r="AF1703" s="73"/>
      <c r="AG1703" s="73"/>
      <c r="AH1703" s="73"/>
      <c r="AI1703" s="73"/>
      <c r="AJ1703" s="73"/>
      <c r="AK1703" s="73"/>
      <c r="AL1703" s="80">
        <v>0</v>
      </c>
      <c r="AM1703" s="73"/>
      <c r="AN1703" s="73"/>
      <c r="AO1703" s="73"/>
      <c r="AP1703" s="73">
        <v>0</v>
      </c>
      <c r="AQ1703" s="73">
        <v>0</v>
      </c>
      <c r="AR1703" s="73">
        <v>0</v>
      </c>
      <c r="AS1703" s="73">
        <v>0</v>
      </c>
      <c r="AT1703" s="73">
        <v>0</v>
      </c>
      <c r="AU1703" s="226">
        <v>0</v>
      </c>
      <c r="AV1703" s="17">
        <f t="shared" si="231"/>
        <v>0</v>
      </c>
      <c r="AW1703" s="50" t="str">
        <f>"{s_taskTalk,{"&amp;L1703&amp;","&amp;N1703&amp;"}}"</f>
        <v>{s_taskTalk,{60789,60797}}</v>
      </c>
    </row>
    <row r="1704" spans="1:49" s="808" customFormat="1" x14ac:dyDescent="0.15">
      <c r="A1704" s="72">
        <v>32003</v>
      </c>
      <c r="B1704" s="73" t="s">
        <v>2856</v>
      </c>
      <c r="C1704" s="73" t="s">
        <v>2924</v>
      </c>
      <c r="D1704" s="73">
        <v>3</v>
      </c>
      <c r="E1704" s="73">
        <v>0</v>
      </c>
      <c r="F1704" s="73">
        <v>5</v>
      </c>
      <c r="G1704" s="80">
        <v>70</v>
      </c>
      <c r="H1704" s="73">
        <v>200</v>
      </c>
      <c r="I1704" s="17">
        <v>0</v>
      </c>
      <c r="J1704" s="80">
        <v>0</v>
      </c>
      <c r="K1704" s="73">
        <v>1</v>
      </c>
      <c r="L1704" s="73">
        <v>60789</v>
      </c>
      <c r="M1704" s="73" t="s">
        <v>2834</v>
      </c>
      <c r="N1704" s="73">
        <v>60798</v>
      </c>
      <c r="O1704" s="73" t="s">
        <v>5250</v>
      </c>
      <c r="P1704" s="73"/>
      <c r="Q1704" s="140"/>
      <c r="R1704" s="807"/>
      <c r="S1704" s="140"/>
      <c r="T1704" s="140"/>
      <c r="U1704" s="73">
        <v>1</v>
      </c>
      <c r="V1704" s="73">
        <v>1</v>
      </c>
      <c r="W1704" s="73"/>
      <c r="X1704" s="73"/>
      <c r="Y1704" s="73"/>
      <c r="Z1704" s="142">
        <v>0</v>
      </c>
      <c r="AA1704" s="73"/>
      <c r="AB1704" s="143"/>
      <c r="AC1704" s="143"/>
      <c r="AD1704" s="73"/>
      <c r="AE1704" s="73"/>
      <c r="AF1704" s="73"/>
      <c r="AG1704" s="73"/>
      <c r="AH1704" s="73"/>
      <c r="AI1704" s="73"/>
      <c r="AJ1704" s="73"/>
      <c r="AK1704" s="73"/>
      <c r="AL1704" s="80">
        <v>0</v>
      </c>
      <c r="AM1704" s="73"/>
      <c r="AN1704" s="73"/>
      <c r="AO1704" s="73"/>
      <c r="AP1704" s="73">
        <v>0</v>
      </c>
      <c r="AQ1704" s="73">
        <v>0</v>
      </c>
      <c r="AR1704" s="73">
        <v>0</v>
      </c>
      <c r="AS1704" s="73">
        <v>0</v>
      </c>
      <c r="AT1704" s="73">
        <v>0</v>
      </c>
      <c r="AU1704" s="226">
        <v>0</v>
      </c>
      <c r="AV1704" s="17">
        <f t="shared" si="231"/>
        <v>0</v>
      </c>
      <c r="AW1704" s="50" t="str">
        <f t="shared" ref="AW1704:AW1711" si="233">"{s_taskTalk,{"&amp;L1704&amp;","&amp;N1704&amp;"}}"</f>
        <v>{s_taskTalk,{60789,60798}}</v>
      </c>
    </row>
    <row r="1705" spans="1:49" s="808" customFormat="1" x14ac:dyDescent="0.15">
      <c r="A1705" s="72">
        <v>32004</v>
      </c>
      <c r="B1705" s="73" t="s">
        <v>2856</v>
      </c>
      <c r="C1705" s="73" t="s">
        <v>2924</v>
      </c>
      <c r="D1705" s="73">
        <v>3</v>
      </c>
      <c r="E1705" s="73">
        <v>0</v>
      </c>
      <c r="F1705" s="73">
        <v>5</v>
      </c>
      <c r="G1705" s="80">
        <v>70</v>
      </c>
      <c r="H1705" s="73">
        <v>200</v>
      </c>
      <c r="I1705" s="17">
        <v>0</v>
      </c>
      <c r="J1705" s="80">
        <v>0</v>
      </c>
      <c r="K1705" s="73">
        <v>1</v>
      </c>
      <c r="L1705" s="73">
        <v>60789</v>
      </c>
      <c r="M1705" s="73" t="s">
        <v>2834</v>
      </c>
      <c r="N1705" s="73">
        <v>60799</v>
      </c>
      <c r="O1705" s="73" t="s">
        <v>5251</v>
      </c>
      <c r="P1705" s="73"/>
      <c r="Q1705" s="140"/>
      <c r="R1705" s="807"/>
      <c r="S1705" s="140"/>
      <c r="T1705" s="140"/>
      <c r="U1705" s="73">
        <v>1</v>
      </c>
      <c r="V1705" s="73">
        <v>1</v>
      </c>
      <c r="W1705" s="73"/>
      <c r="X1705" s="73"/>
      <c r="Y1705" s="73"/>
      <c r="Z1705" s="142">
        <v>0</v>
      </c>
      <c r="AA1705" s="73"/>
      <c r="AB1705" s="143"/>
      <c r="AC1705" s="143"/>
      <c r="AD1705" s="73"/>
      <c r="AE1705" s="73"/>
      <c r="AF1705" s="73"/>
      <c r="AG1705" s="73"/>
      <c r="AH1705" s="73"/>
      <c r="AI1705" s="73"/>
      <c r="AJ1705" s="73"/>
      <c r="AK1705" s="73"/>
      <c r="AL1705" s="80">
        <v>0</v>
      </c>
      <c r="AM1705" s="73"/>
      <c r="AN1705" s="73"/>
      <c r="AO1705" s="73"/>
      <c r="AP1705" s="73">
        <v>0</v>
      </c>
      <c r="AQ1705" s="73">
        <v>0</v>
      </c>
      <c r="AR1705" s="73">
        <v>0</v>
      </c>
      <c r="AS1705" s="73">
        <v>0</v>
      </c>
      <c r="AT1705" s="73">
        <v>0</v>
      </c>
      <c r="AU1705" s="226">
        <v>0</v>
      </c>
      <c r="AV1705" s="17">
        <f t="shared" si="231"/>
        <v>0</v>
      </c>
      <c r="AW1705" s="50" t="str">
        <f t="shared" si="233"/>
        <v>{s_taskTalk,{60789,60799}}</v>
      </c>
    </row>
    <row r="1706" spans="1:49" s="808" customFormat="1" x14ac:dyDescent="0.15">
      <c r="A1706" s="72">
        <v>32005</v>
      </c>
      <c r="B1706" s="73" t="s">
        <v>2856</v>
      </c>
      <c r="C1706" s="73" t="s">
        <v>2924</v>
      </c>
      <c r="D1706" s="73">
        <v>3</v>
      </c>
      <c r="E1706" s="73">
        <v>0</v>
      </c>
      <c r="F1706" s="73">
        <v>5</v>
      </c>
      <c r="G1706" s="80">
        <v>70</v>
      </c>
      <c r="H1706" s="73">
        <v>200</v>
      </c>
      <c r="I1706" s="17">
        <v>0</v>
      </c>
      <c r="J1706" s="80">
        <v>0</v>
      </c>
      <c r="K1706" s="73">
        <v>1</v>
      </c>
      <c r="L1706" s="73">
        <v>60789</v>
      </c>
      <c r="M1706" s="73" t="s">
        <v>2834</v>
      </c>
      <c r="N1706" s="73">
        <v>60800</v>
      </c>
      <c r="O1706" s="73" t="s">
        <v>5252</v>
      </c>
      <c r="P1706" s="73"/>
      <c r="Q1706" s="140"/>
      <c r="R1706" s="807"/>
      <c r="S1706" s="140"/>
      <c r="T1706" s="140"/>
      <c r="U1706" s="73">
        <v>1</v>
      </c>
      <c r="V1706" s="73">
        <v>1</v>
      </c>
      <c r="W1706" s="73"/>
      <c r="X1706" s="73"/>
      <c r="Y1706" s="73"/>
      <c r="Z1706" s="142">
        <v>0</v>
      </c>
      <c r="AA1706" s="73"/>
      <c r="AB1706" s="143"/>
      <c r="AC1706" s="143"/>
      <c r="AD1706" s="73"/>
      <c r="AE1706" s="73"/>
      <c r="AF1706" s="73"/>
      <c r="AG1706" s="73"/>
      <c r="AH1706" s="73"/>
      <c r="AI1706" s="73"/>
      <c r="AJ1706" s="73"/>
      <c r="AK1706" s="73"/>
      <c r="AL1706" s="80">
        <v>0</v>
      </c>
      <c r="AM1706" s="73"/>
      <c r="AN1706" s="73"/>
      <c r="AO1706" s="73"/>
      <c r="AP1706" s="73">
        <v>0</v>
      </c>
      <c r="AQ1706" s="73">
        <v>0</v>
      </c>
      <c r="AR1706" s="73">
        <v>0</v>
      </c>
      <c r="AS1706" s="73">
        <v>0</v>
      </c>
      <c r="AT1706" s="73">
        <v>0</v>
      </c>
      <c r="AU1706" s="226">
        <v>0</v>
      </c>
      <c r="AV1706" s="17">
        <f t="shared" si="231"/>
        <v>0</v>
      </c>
      <c r="AW1706" s="50" t="str">
        <f t="shared" si="233"/>
        <v>{s_taskTalk,{60789,60800}}</v>
      </c>
    </row>
    <row r="1707" spans="1:49" s="808" customFormat="1" x14ac:dyDescent="0.15">
      <c r="A1707" s="72">
        <v>32006</v>
      </c>
      <c r="B1707" s="73" t="s">
        <v>2856</v>
      </c>
      <c r="C1707" s="73" t="s">
        <v>2924</v>
      </c>
      <c r="D1707" s="73">
        <v>3</v>
      </c>
      <c r="E1707" s="73">
        <v>0</v>
      </c>
      <c r="F1707" s="73">
        <v>5</v>
      </c>
      <c r="G1707" s="80">
        <v>70</v>
      </c>
      <c r="H1707" s="73">
        <v>200</v>
      </c>
      <c r="I1707" s="17">
        <v>0</v>
      </c>
      <c r="J1707" s="80">
        <v>0</v>
      </c>
      <c r="K1707" s="73">
        <v>1</v>
      </c>
      <c r="L1707" s="73">
        <v>60789</v>
      </c>
      <c r="M1707" s="73" t="s">
        <v>2834</v>
      </c>
      <c r="N1707" s="73">
        <v>60801</v>
      </c>
      <c r="O1707" s="73" t="s">
        <v>5253</v>
      </c>
      <c r="P1707" s="73"/>
      <c r="Q1707" s="140"/>
      <c r="R1707" s="807"/>
      <c r="S1707" s="140"/>
      <c r="T1707" s="140"/>
      <c r="U1707" s="73">
        <v>1</v>
      </c>
      <c r="V1707" s="73">
        <v>1</v>
      </c>
      <c r="W1707" s="73"/>
      <c r="X1707" s="73"/>
      <c r="Y1707" s="73"/>
      <c r="Z1707" s="142">
        <v>0</v>
      </c>
      <c r="AA1707" s="73"/>
      <c r="AB1707" s="143"/>
      <c r="AC1707" s="143"/>
      <c r="AD1707" s="73"/>
      <c r="AE1707" s="73"/>
      <c r="AF1707" s="73"/>
      <c r="AG1707" s="73"/>
      <c r="AH1707" s="73"/>
      <c r="AI1707" s="73"/>
      <c r="AJ1707" s="73"/>
      <c r="AK1707" s="73"/>
      <c r="AL1707" s="80">
        <v>0</v>
      </c>
      <c r="AM1707" s="73"/>
      <c r="AN1707" s="73"/>
      <c r="AO1707" s="73"/>
      <c r="AP1707" s="73">
        <v>0</v>
      </c>
      <c r="AQ1707" s="73">
        <v>0</v>
      </c>
      <c r="AR1707" s="73">
        <v>0</v>
      </c>
      <c r="AS1707" s="73">
        <v>0</v>
      </c>
      <c r="AT1707" s="73">
        <v>0</v>
      </c>
      <c r="AU1707" s="226">
        <v>0</v>
      </c>
      <c r="AV1707" s="17">
        <f t="shared" si="231"/>
        <v>0</v>
      </c>
      <c r="AW1707" s="50" t="str">
        <f t="shared" si="233"/>
        <v>{s_taskTalk,{60789,60801}}</v>
      </c>
    </row>
    <row r="1708" spans="1:49" s="808" customFormat="1" x14ac:dyDescent="0.15">
      <c r="A1708" s="72">
        <v>32007</v>
      </c>
      <c r="B1708" s="73" t="s">
        <v>2856</v>
      </c>
      <c r="C1708" s="73" t="s">
        <v>2924</v>
      </c>
      <c r="D1708" s="73">
        <v>3</v>
      </c>
      <c r="E1708" s="73">
        <v>0</v>
      </c>
      <c r="F1708" s="73">
        <v>5</v>
      </c>
      <c r="G1708" s="80">
        <v>70</v>
      </c>
      <c r="H1708" s="73">
        <v>200</v>
      </c>
      <c r="I1708" s="17">
        <v>0</v>
      </c>
      <c r="J1708" s="80">
        <v>0</v>
      </c>
      <c r="K1708" s="73">
        <v>1</v>
      </c>
      <c r="L1708" s="73">
        <v>60789</v>
      </c>
      <c r="M1708" s="73" t="s">
        <v>2834</v>
      </c>
      <c r="N1708" s="73">
        <v>60802</v>
      </c>
      <c r="O1708" s="73" t="s">
        <v>5254</v>
      </c>
      <c r="P1708" s="73"/>
      <c r="Q1708" s="140"/>
      <c r="R1708" s="807"/>
      <c r="S1708" s="140"/>
      <c r="T1708" s="140"/>
      <c r="U1708" s="73">
        <v>1</v>
      </c>
      <c r="V1708" s="73">
        <v>1</v>
      </c>
      <c r="W1708" s="73"/>
      <c r="X1708" s="73"/>
      <c r="Y1708" s="73"/>
      <c r="Z1708" s="142">
        <v>0</v>
      </c>
      <c r="AA1708" s="73"/>
      <c r="AB1708" s="143"/>
      <c r="AC1708" s="143"/>
      <c r="AD1708" s="73"/>
      <c r="AE1708" s="73"/>
      <c r="AF1708" s="73"/>
      <c r="AG1708" s="73"/>
      <c r="AH1708" s="73"/>
      <c r="AI1708" s="73"/>
      <c r="AJ1708" s="73"/>
      <c r="AK1708" s="73"/>
      <c r="AL1708" s="80">
        <v>0</v>
      </c>
      <c r="AM1708" s="73"/>
      <c r="AN1708" s="73"/>
      <c r="AO1708" s="73"/>
      <c r="AP1708" s="73">
        <v>0</v>
      </c>
      <c r="AQ1708" s="73">
        <v>0</v>
      </c>
      <c r="AR1708" s="73">
        <v>0</v>
      </c>
      <c r="AS1708" s="73">
        <v>0</v>
      </c>
      <c r="AT1708" s="73">
        <v>0</v>
      </c>
      <c r="AU1708" s="226">
        <v>0</v>
      </c>
      <c r="AV1708" s="17">
        <f t="shared" si="231"/>
        <v>0</v>
      </c>
      <c r="AW1708" s="50" t="str">
        <f t="shared" si="233"/>
        <v>{s_taskTalk,{60789,60802}}</v>
      </c>
    </row>
    <row r="1709" spans="1:49" s="808" customFormat="1" x14ac:dyDescent="0.15">
      <c r="A1709" s="72">
        <v>32008</v>
      </c>
      <c r="B1709" s="73" t="s">
        <v>2856</v>
      </c>
      <c r="C1709" s="73" t="s">
        <v>2924</v>
      </c>
      <c r="D1709" s="73">
        <v>3</v>
      </c>
      <c r="E1709" s="73">
        <v>0</v>
      </c>
      <c r="F1709" s="73">
        <v>5</v>
      </c>
      <c r="G1709" s="80">
        <v>70</v>
      </c>
      <c r="H1709" s="73">
        <v>200</v>
      </c>
      <c r="I1709" s="17">
        <v>0</v>
      </c>
      <c r="J1709" s="80">
        <v>0</v>
      </c>
      <c r="K1709" s="73">
        <v>1</v>
      </c>
      <c r="L1709" s="73">
        <v>60789</v>
      </c>
      <c r="M1709" s="73" t="s">
        <v>2834</v>
      </c>
      <c r="N1709" s="73">
        <v>60803</v>
      </c>
      <c r="O1709" s="73" t="s">
        <v>5255</v>
      </c>
      <c r="P1709" s="73"/>
      <c r="Q1709" s="140"/>
      <c r="R1709" s="807"/>
      <c r="S1709" s="140"/>
      <c r="T1709" s="140"/>
      <c r="U1709" s="73">
        <v>1</v>
      </c>
      <c r="V1709" s="73">
        <v>1</v>
      </c>
      <c r="W1709" s="73"/>
      <c r="X1709" s="73"/>
      <c r="Y1709" s="73"/>
      <c r="Z1709" s="142">
        <v>0</v>
      </c>
      <c r="AA1709" s="73"/>
      <c r="AB1709" s="143"/>
      <c r="AC1709" s="143"/>
      <c r="AD1709" s="73"/>
      <c r="AE1709" s="73"/>
      <c r="AF1709" s="73"/>
      <c r="AG1709" s="73"/>
      <c r="AH1709" s="73"/>
      <c r="AI1709" s="73"/>
      <c r="AJ1709" s="73"/>
      <c r="AK1709" s="73"/>
      <c r="AL1709" s="80">
        <v>0</v>
      </c>
      <c r="AM1709" s="73"/>
      <c r="AN1709" s="73"/>
      <c r="AO1709" s="73"/>
      <c r="AP1709" s="73">
        <v>0</v>
      </c>
      <c r="AQ1709" s="73">
        <v>0</v>
      </c>
      <c r="AR1709" s="73">
        <v>0</v>
      </c>
      <c r="AS1709" s="73">
        <v>0</v>
      </c>
      <c r="AT1709" s="73">
        <v>0</v>
      </c>
      <c r="AU1709" s="226">
        <v>0</v>
      </c>
      <c r="AV1709" s="17">
        <f t="shared" si="231"/>
        <v>0</v>
      </c>
      <c r="AW1709" s="50" t="str">
        <f t="shared" si="233"/>
        <v>{s_taskTalk,{60789,60803}}</v>
      </c>
    </row>
    <row r="1710" spans="1:49" s="808" customFormat="1" x14ac:dyDescent="0.15">
      <c r="A1710" s="72">
        <v>32009</v>
      </c>
      <c r="B1710" s="73" t="s">
        <v>2856</v>
      </c>
      <c r="C1710" s="73" t="s">
        <v>2924</v>
      </c>
      <c r="D1710" s="73">
        <v>3</v>
      </c>
      <c r="E1710" s="73">
        <v>0</v>
      </c>
      <c r="F1710" s="73">
        <v>5</v>
      </c>
      <c r="G1710" s="80">
        <v>70</v>
      </c>
      <c r="H1710" s="73">
        <v>200</v>
      </c>
      <c r="I1710" s="17">
        <v>0</v>
      </c>
      <c r="J1710" s="80">
        <v>0</v>
      </c>
      <c r="K1710" s="73">
        <v>1</v>
      </c>
      <c r="L1710" s="73">
        <v>60789</v>
      </c>
      <c r="M1710" s="73" t="s">
        <v>2834</v>
      </c>
      <c r="N1710" s="73">
        <v>60804</v>
      </c>
      <c r="O1710" s="73" t="s">
        <v>5256</v>
      </c>
      <c r="P1710" s="73"/>
      <c r="Q1710" s="140"/>
      <c r="R1710" s="807"/>
      <c r="S1710" s="140"/>
      <c r="T1710" s="140"/>
      <c r="U1710" s="73">
        <v>1</v>
      </c>
      <c r="V1710" s="73">
        <v>1</v>
      </c>
      <c r="W1710" s="73"/>
      <c r="X1710" s="73"/>
      <c r="Y1710" s="73"/>
      <c r="Z1710" s="142">
        <v>0</v>
      </c>
      <c r="AA1710" s="73"/>
      <c r="AB1710" s="143"/>
      <c r="AC1710" s="143"/>
      <c r="AD1710" s="73"/>
      <c r="AE1710" s="73"/>
      <c r="AF1710" s="73"/>
      <c r="AG1710" s="73"/>
      <c r="AH1710" s="73"/>
      <c r="AI1710" s="73"/>
      <c r="AJ1710" s="73"/>
      <c r="AK1710" s="73"/>
      <c r="AL1710" s="80">
        <v>0</v>
      </c>
      <c r="AM1710" s="73"/>
      <c r="AN1710" s="73"/>
      <c r="AO1710" s="73"/>
      <c r="AP1710" s="73">
        <v>0</v>
      </c>
      <c r="AQ1710" s="73">
        <v>0</v>
      </c>
      <c r="AR1710" s="73">
        <v>0</v>
      </c>
      <c r="AS1710" s="73">
        <v>0</v>
      </c>
      <c r="AT1710" s="73">
        <v>0</v>
      </c>
      <c r="AU1710" s="226">
        <v>0</v>
      </c>
      <c r="AV1710" s="17">
        <f t="shared" si="231"/>
        <v>0</v>
      </c>
      <c r="AW1710" s="50" t="str">
        <f t="shared" si="233"/>
        <v>{s_taskTalk,{60789,60804}}</v>
      </c>
    </row>
    <row r="1711" spans="1:49" s="808" customFormat="1" x14ac:dyDescent="0.15">
      <c r="A1711" s="72">
        <v>32010</v>
      </c>
      <c r="B1711" s="73" t="s">
        <v>2856</v>
      </c>
      <c r="C1711" s="73" t="s">
        <v>2924</v>
      </c>
      <c r="D1711" s="73">
        <v>3</v>
      </c>
      <c r="E1711" s="73">
        <v>0</v>
      </c>
      <c r="F1711" s="73">
        <v>5</v>
      </c>
      <c r="G1711" s="80">
        <v>70</v>
      </c>
      <c r="H1711" s="73">
        <v>200</v>
      </c>
      <c r="I1711" s="17">
        <v>0</v>
      </c>
      <c r="J1711" s="80">
        <v>0</v>
      </c>
      <c r="K1711" s="73">
        <v>1</v>
      </c>
      <c r="L1711" s="73">
        <v>60789</v>
      </c>
      <c r="M1711" s="73" t="s">
        <v>2834</v>
      </c>
      <c r="N1711" s="73">
        <v>60805</v>
      </c>
      <c r="O1711" s="73" t="s">
        <v>5257</v>
      </c>
      <c r="P1711" s="73"/>
      <c r="Q1711" s="140"/>
      <c r="R1711" s="807"/>
      <c r="S1711" s="140"/>
      <c r="T1711" s="140"/>
      <c r="U1711" s="73">
        <v>1</v>
      </c>
      <c r="V1711" s="73">
        <v>1</v>
      </c>
      <c r="W1711" s="73"/>
      <c r="X1711" s="73"/>
      <c r="Y1711" s="73"/>
      <c r="Z1711" s="142">
        <v>0</v>
      </c>
      <c r="AA1711" s="73"/>
      <c r="AB1711" s="143"/>
      <c r="AC1711" s="143"/>
      <c r="AD1711" s="73"/>
      <c r="AE1711" s="73"/>
      <c r="AF1711" s="73"/>
      <c r="AG1711" s="73"/>
      <c r="AH1711" s="73"/>
      <c r="AI1711" s="73"/>
      <c r="AJ1711" s="73"/>
      <c r="AK1711" s="73"/>
      <c r="AL1711" s="80">
        <v>0</v>
      </c>
      <c r="AM1711" s="73"/>
      <c r="AN1711" s="73"/>
      <c r="AO1711" s="73"/>
      <c r="AP1711" s="73">
        <v>0</v>
      </c>
      <c r="AQ1711" s="73">
        <v>0</v>
      </c>
      <c r="AR1711" s="73">
        <v>0</v>
      </c>
      <c r="AS1711" s="73">
        <v>0</v>
      </c>
      <c r="AT1711" s="73">
        <v>0</v>
      </c>
      <c r="AU1711" s="226">
        <v>0</v>
      </c>
      <c r="AV1711" s="17">
        <f t="shared" si="231"/>
        <v>0</v>
      </c>
      <c r="AW1711" s="50" t="str">
        <f t="shared" si="233"/>
        <v>{s_taskTalk,{60789,60805}}</v>
      </c>
    </row>
    <row r="1712" spans="1:49" s="808" customFormat="1" ht="156" x14ac:dyDescent="0.15">
      <c r="A1712" s="72">
        <v>32011</v>
      </c>
      <c r="B1712" s="73" t="s">
        <v>2895</v>
      </c>
      <c r="C1712" s="73" t="s">
        <v>2925</v>
      </c>
      <c r="D1712" s="73">
        <v>3</v>
      </c>
      <c r="E1712" s="73">
        <v>0</v>
      </c>
      <c r="F1712" s="73">
        <v>5</v>
      </c>
      <c r="G1712" s="80">
        <v>70</v>
      </c>
      <c r="H1712" s="73">
        <v>200</v>
      </c>
      <c r="I1712" s="17">
        <v>0</v>
      </c>
      <c r="J1712" s="80">
        <v>0</v>
      </c>
      <c r="K1712" s="73">
        <v>1</v>
      </c>
      <c r="L1712" s="73">
        <v>60789</v>
      </c>
      <c r="M1712" s="73" t="s">
        <v>2834</v>
      </c>
      <c r="N1712" s="73">
        <v>60789</v>
      </c>
      <c r="O1712" s="73" t="s">
        <v>5228</v>
      </c>
      <c r="P1712" s="73"/>
      <c r="Q1712" s="140"/>
      <c r="R1712" s="807"/>
      <c r="S1712" s="140"/>
      <c r="T1712" s="140">
        <v>31439</v>
      </c>
      <c r="U1712" s="73">
        <v>1</v>
      </c>
      <c r="V1712" s="73">
        <v>0</v>
      </c>
      <c r="W1712" s="73"/>
      <c r="X1712" s="73"/>
      <c r="Y1712" s="73"/>
      <c r="Z1712" s="142">
        <v>0</v>
      </c>
      <c r="AA1712" s="73"/>
      <c r="AB1712" s="143"/>
      <c r="AC1712" s="143"/>
      <c r="AD1712" s="73"/>
      <c r="AE1712" s="73"/>
      <c r="AF1712" s="556" t="str">
        <f>"title("&amp;C1712&amp;")
body(hotyellow_3(任务进程:)newline()
   前往敌国hot(五丈原)找到该国goto(60807,7)拿到hot("&amp;U1712&amp;"个白品质酒杯)，回复goto(60789,5)。hot(（非本国及盟国即是敌国哦）)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前往敌国hot(五丈原)找到该国goto(60807,7)拿到hot(1个白品质酒杯)，回复goto(60789,5)。hot(（非本国及盟国即是敌国哦）)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v>
      </c>
      <c r="AG1712" s="556" t="s">
        <v>2899</v>
      </c>
      <c r="AH1712" s="556" t="s">
        <v>2900</v>
      </c>
      <c r="AI1712" s="556" t="s">
        <v>110</v>
      </c>
      <c r="AJ1712" s="556" t="s">
        <v>6533</v>
      </c>
      <c r="AK1712" s="683" t="str">
        <f>"收集"&amp;U1712&amp;"个白品质酒杯"</f>
        <v>收集1个白品质酒杯</v>
      </c>
      <c r="AL1712" s="678">
        <v>0</v>
      </c>
      <c r="AM1712" s="683" t="str">
        <f>"&lt;p&gt;&lt;n&gt;  通过&lt;/n&gt;&lt;goto id=""126"" mapid=""7"" flagpoint=""1"" /&gt;&lt;newline/&gt;&lt;n&gt;  去敌国找&lt;/n&gt;&lt;goto id=""60807"" mapid=""7"" flagpoint=""1"" /&gt;&lt;newline/&gt;
&lt;n&gt;  收集1个白品质酒杯&lt;/n&gt;&lt;newline/&gt;
&lt;n&gt;  回复：&lt;/n&gt;&lt;goto id="""&amp;N1712&amp;""" mapid=""5"" flagpoint=""1"" taskid="""&amp;A1712&amp;"""/&gt;
&lt;/p&gt;"</f>
        <v>&lt;p&gt;&lt;n&gt;  通过&lt;/n&gt;&lt;goto id="126" mapid="7" flagpoint="1" /&gt;&lt;newline/&gt;&lt;n&gt;  去敌国找&lt;/n&gt;&lt;goto id="60807" mapid="7" flagpoint="1" /&gt;&lt;newline/&gt;
&lt;n&gt;  收集1个白品质酒杯&lt;/n&gt;&lt;newline/&gt;
&lt;n&gt;  回复：&lt;/n&gt;&lt;goto id="60789" mapid="5" flagpoint="1" taskid="32011"/&gt;
&lt;/p&gt;</v>
      </c>
      <c r="AN1712" s="683" t="str">
        <f t="shared" ref="AN1712:AN1719" si="234">"&lt;p&gt;
&lt;n&gt;  交：&lt;/n&gt;&lt;goto id="""&amp;N1712&amp;""" mapid=""5"" flagpoint=""1"" taskid="""&amp;A1712&amp;"""/&gt;
&lt;/p&gt;"</f>
        <v>&lt;p&gt;
&lt;n&gt;  交：&lt;/n&gt;&lt;goto id="60789" mapid="5" flagpoint="1" taskid="32011"/&gt;
&lt;/p&gt;</v>
      </c>
      <c r="AO1712" s="556"/>
      <c r="AP1712" s="556">
        <v>0</v>
      </c>
      <c r="AQ1712" s="556">
        <v>0</v>
      </c>
      <c r="AR1712" s="556">
        <v>0</v>
      </c>
      <c r="AS1712" s="556">
        <v>0</v>
      </c>
      <c r="AT1712" s="556">
        <v>0</v>
      </c>
      <c r="AU1712" s="226">
        <v>0</v>
      </c>
      <c r="AV1712" s="17">
        <f t="shared" si="231"/>
        <v>0</v>
      </c>
      <c r="AW1712" s="556" t="str">
        <f>"{s_taskGather,{"&amp;L1712&amp;","&amp;N1712&amp;","&amp;T1712&amp;","&amp;U1712&amp;",0,0}}"</f>
        <v>{s_taskGather,{60789,60789,31439,1,0,0}}</v>
      </c>
    </row>
    <row r="1713" spans="1:49" s="808" customFormat="1" ht="156" x14ac:dyDescent="0.15">
      <c r="A1713" s="72">
        <v>32012</v>
      </c>
      <c r="B1713" s="73" t="s">
        <v>2856</v>
      </c>
      <c r="C1713" s="73" t="s">
        <v>2925</v>
      </c>
      <c r="D1713" s="73">
        <v>3</v>
      </c>
      <c r="E1713" s="73">
        <v>0</v>
      </c>
      <c r="F1713" s="73">
        <v>5</v>
      </c>
      <c r="G1713" s="80">
        <v>70</v>
      </c>
      <c r="H1713" s="73">
        <v>200</v>
      </c>
      <c r="I1713" s="17">
        <v>0</v>
      </c>
      <c r="J1713" s="80">
        <v>0</v>
      </c>
      <c r="K1713" s="73">
        <v>1</v>
      </c>
      <c r="L1713" s="73">
        <v>60789</v>
      </c>
      <c r="M1713" s="73" t="s">
        <v>2834</v>
      </c>
      <c r="N1713" s="73">
        <v>60789</v>
      </c>
      <c r="O1713" s="73" t="s">
        <v>5228</v>
      </c>
      <c r="P1713" s="73"/>
      <c r="Q1713" s="140"/>
      <c r="R1713" s="807"/>
      <c r="S1713" s="140"/>
      <c r="T1713" s="140">
        <v>31439</v>
      </c>
      <c r="U1713" s="73">
        <v>1</v>
      </c>
      <c r="V1713" s="73">
        <v>0</v>
      </c>
      <c r="W1713" s="73"/>
      <c r="X1713" s="73"/>
      <c r="Y1713" s="73"/>
      <c r="Z1713" s="142">
        <v>0</v>
      </c>
      <c r="AA1713" s="73"/>
      <c r="AB1713" s="143"/>
      <c r="AC1713" s="143"/>
      <c r="AD1713" s="73"/>
      <c r="AE1713" s="73"/>
      <c r="AF1713" s="556" t="str">
        <f>"title("&amp;C1713&amp;")
body(hotyellow_3(任务进程:)newline()
   前往敌国hot(五丈原)找到该国goto(60807,7)拿到hot("&amp;U1713&amp;"个蓝品质酒杯)，回复goto(60789,5)。hot(（非本国及盟国即是敌国哦）)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前往敌国hot(五丈原)找到该国goto(60807,7)拿到hot(1个蓝品质酒杯)，回复goto(60789,5)。hot(（非本国及盟国即是敌国哦）)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v>
      </c>
      <c r="AG1713" s="556" t="s">
        <v>2901</v>
      </c>
      <c r="AH1713" s="556" t="s">
        <v>2900</v>
      </c>
      <c r="AI1713" s="556" t="s">
        <v>110</v>
      </c>
      <c r="AJ1713" s="556" t="s">
        <v>6533</v>
      </c>
      <c r="AK1713" s="683" t="str">
        <f>"收集"&amp;U1713&amp;"个蓝品质酒杯"</f>
        <v>收集1个蓝品质酒杯</v>
      </c>
      <c r="AL1713" s="678">
        <v>0</v>
      </c>
      <c r="AM1713" s="683" t="str">
        <f>"&lt;p&gt;&lt;n&gt;  通过&lt;/n&gt;&lt;goto id=""126"" mapid=""7"" flagpoint=""1"" /&gt;&lt;newline/&gt;&lt;n&gt;  去敌国找&lt;/n&gt;&lt;goto id=""60807"" mapid=""7"" flagpoint=""1"" /&gt;&lt;newline/&gt;
&lt;n&gt;  收集1个蓝品质酒杯&lt;/n&gt;&lt;newline/&gt;
&lt;n&gt;  回复：&lt;/n&gt;&lt;goto id="""&amp;N1713&amp;""" mapid=""5"" flagpoint=""1"" taskid="""&amp;A1713&amp;"""/&gt;
&lt;/p&gt;"</f>
        <v>&lt;p&gt;&lt;n&gt;  通过&lt;/n&gt;&lt;goto id="126" mapid="7" flagpoint="1" /&gt;&lt;newline/&gt;&lt;n&gt;  去敌国找&lt;/n&gt;&lt;goto id="60807" mapid="7" flagpoint="1" /&gt;&lt;newline/&gt;
&lt;n&gt;  收集1个蓝品质酒杯&lt;/n&gt;&lt;newline/&gt;
&lt;n&gt;  回复：&lt;/n&gt;&lt;goto id="60789" mapid="5" flagpoint="1" taskid="32012"/&gt;
&lt;/p&gt;</v>
      </c>
      <c r="AN1713" s="683" t="str">
        <f t="shared" si="234"/>
        <v>&lt;p&gt;
&lt;n&gt;  交：&lt;/n&gt;&lt;goto id="60789" mapid="5" flagpoint="1" taskid="32012"/&gt;
&lt;/p&gt;</v>
      </c>
      <c r="AO1713" s="556"/>
      <c r="AP1713" s="556">
        <v>0</v>
      </c>
      <c r="AQ1713" s="556">
        <v>0</v>
      </c>
      <c r="AR1713" s="556">
        <v>0</v>
      </c>
      <c r="AS1713" s="556">
        <v>0</v>
      </c>
      <c r="AT1713" s="556">
        <v>0</v>
      </c>
      <c r="AU1713" s="226">
        <v>0</v>
      </c>
      <c r="AV1713" s="17">
        <f t="shared" si="231"/>
        <v>0</v>
      </c>
      <c r="AW1713" s="556" t="str">
        <f>"{s_taskGather,{"&amp;L1713&amp;","&amp;N1713&amp;","&amp;T1713&amp;","&amp;U1713&amp;",0,1}}"</f>
        <v>{s_taskGather,{60789,60789,31439,1,0,1}}</v>
      </c>
    </row>
    <row r="1714" spans="1:49" s="808" customFormat="1" ht="156" x14ac:dyDescent="0.15">
      <c r="A1714" s="72">
        <v>32013</v>
      </c>
      <c r="B1714" s="73" t="s">
        <v>2856</v>
      </c>
      <c r="C1714" s="73" t="s">
        <v>2925</v>
      </c>
      <c r="D1714" s="73">
        <v>3</v>
      </c>
      <c r="E1714" s="73">
        <v>0</v>
      </c>
      <c r="F1714" s="73">
        <v>5</v>
      </c>
      <c r="G1714" s="80">
        <v>70</v>
      </c>
      <c r="H1714" s="73">
        <v>200</v>
      </c>
      <c r="I1714" s="17">
        <v>0</v>
      </c>
      <c r="J1714" s="80">
        <v>0</v>
      </c>
      <c r="K1714" s="73">
        <v>1</v>
      </c>
      <c r="L1714" s="73">
        <v>60789</v>
      </c>
      <c r="M1714" s="73" t="s">
        <v>2834</v>
      </c>
      <c r="N1714" s="73">
        <v>60789</v>
      </c>
      <c r="O1714" s="73" t="s">
        <v>5228</v>
      </c>
      <c r="P1714" s="73"/>
      <c r="Q1714" s="140"/>
      <c r="R1714" s="807"/>
      <c r="S1714" s="140"/>
      <c r="T1714" s="140">
        <v>31438</v>
      </c>
      <c r="U1714" s="73">
        <v>1</v>
      </c>
      <c r="V1714" s="73">
        <v>0</v>
      </c>
      <c r="W1714" s="73"/>
      <c r="X1714" s="73"/>
      <c r="Y1714" s="73"/>
      <c r="Z1714" s="142">
        <v>0</v>
      </c>
      <c r="AA1714" s="73"/>
      <c r="AB1714" s="143"/>
      <c r="AC1714" s="143"/>
      <c r="AD1714" s="73"/>
      <c r="AE1714" s="73"/>
      <c r="AF1714" s="556" t="str">
        <f>"title("&amp;C1714&amp;")
body(hotyellow_3(任务进程:)newline()
   前往敌国hot(王城)找到该国goto(60806,5)拿到hot("&amp;U1714&amp;"个白品质美酒)，回复goto(60789,5)。hot(（非本国及盟国即是敌国哦）)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前往敌国hot(王城)找到该国goto(60806,5)拿到hot(1个白品质美酒)，回复goto(60789,5)。hot(（非本国及盟国即是敌国哦）)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v>
      </c>
      <c r="AG1714" s="556" t="s">
        <v>2903</v>
      </c>
      <c r="AH1714" s="556" t="s">
        <v>2900</v>
      </c>
      <c r="AI1714" s="556" t="s">
        <v>110</v>
      </c>
      <c r="AJ1714" s="556" t="s">
        <v>6534</v>
      </c>
      <c r="AK1714" s="683" t="str">
        <f>"收集"&amp;U1714&amp;"个白品质美酒"</f>
        <v>收集1个白品质美酒</v>
      </c>
      <c r="AL1714" s="678">
        <v>0</v>
      </c>
      <c r="AM1714" s="683" t="str">
        <f>"&lt;p&gt;&lt;n&gt;  通过&lt;/n&gt;&lt;goto id=""126"" mapid=""7"" flagpoint=""1"" /&gt;&lt;newline/&gt;&lt;n&gt;  去敌国找&lt;/n&gt;&lt;goto id=""60806"" mapid=""5"" flagpoint=""1"" /&gt;&lt;newline/&gt;
&lt;n&gt;  收集1个白品质美酒&lt;/n&gt;&lt;newline/&gt;
&lt;n&gt;  回复：&lt;/n&gt;&lt;goto id="""&amp;N1714&amp;""" mapid=""5"" flagpoint=""1"" taskid="""&amp;A1714&amp;"""/&gt;
&lt;/p&gt;"</f>
        <v>&lt;p&gt;&lt;n&gt;  通过&lt;/n&gt;&lt;goto id="126" mapid="7" flagpoint="1" /&gt;&lt;newline/&gt;&lt;n&gt;  去敌国找&lt;/n&gt;&lt;goto id="60806" mapid="5" flagpoint="1" /&gt;&lt;newline/&gt;
&lt;n&gt;  收集1个白品质美酒&lt;/n&gt;&lt;newline/&gt;
&lt;n&gt;  回复：&lt;/n&gt;&lt;goto id="60789" mapid="5" flagpoint="1" taskid="32013"/&gt;
&lt;/p&gt;</v>
      </c>
      <c r="AN1714" s="683" t="str">
        <f t="shared" si="234"/>
        <v>&lt;p&gt;
&lt;n&gt;  交：&lt;/n&gt;&lt;goto id="60789" mapid="5" flagpoint="1" taskid="32013"/&gt;
&lt;/p&gt;</v>
      </c>
      <c r="AO1714" s="556"/>
      <c r="AP1714" s="556">
        <v>0</v>
      </c>
      <c r="AQ1714" s="556">
        <v>0</v>
      </c>
      <c r="AR1714" s="556">
        <v>0</v>
      </c>
      <c r="AS1714" s="556">
        <v>0</v>
      </c>
      <c r="AT1714" s="556">
        <v>0</v>
      </c>
      <c r="AU1714" s="226">
        <v>0</v>
      </c>
      <c r="AV1714" s="17">
        <f t="shared" si="231"/>
        <v>0</v>
      </c>
      <c r="AW1714" s="556" t="str">
        <f>"{s_taskGather,{"&amp;L1714&amp;","&amp;N1714&amp;","&amp;T1714&amp;","&amp;U1714&amp;",0,1}}"</f>
        <v>{s_taskGather,{60789,60789,31438,1,0,1}}</v>
      </c>
    </row>
    <row r="1715" spans="1:49" s="808" customFormat="1" ht="156" x14ac:dyDescent="0.15">
      <c r="A1715" s="72">
        <v>32014</v>
      </c>
      <c r="B1715" s="73" t="s">
        <v>2856</v>
      </c>
      <c r="C1715" s="73" t="s">
        <v>2925</v>
      </c>
      <c r="D1715" s="73">
        <v>3</v>
      </c>
      <c r="E1715" s="73">
        <v>0</v>
      </c>
      <c r="F1715" s="73">
        <v>5</v>
      </c>
      <c r="G1715" s="80">
        <v>70</v>
      </c>
      <c r="H1715" s="73">
        <v>200</v>
      </c>
      <c r="I1715" s="17">
        <v>0</v>
      </c>
      <c r="J1715" s="80">
        <v>0</v>
      </c>
      <c r="K1715" s="73">
        <v>1</v>
      </c>
      <c r="L1715" s="73">
        <v>60789</v>
      </c>
      <c r="M1715" s="73" t="s">
        <v>2834</v>
      </c>
      <c r="N1715" s="73">
        <v>60789</v>
      </c>
      <c r="O1715" s="73" t="s">
        <v>5228</v>
      </c>
      <c r="P1715" s="73"/>
      <c r="Q1715" s="140"/>
      <c r="R1715" s="807"/>
      <c r="S1715" s="140"/>
      <c r="T1715" s="140">
        <v>31438</v>
      </c>
      <c r="U1715" s="73">
        <v>1</v>
      </c>
      <c r="V1715" s="73">
        <v>0</v>
      </c>
      <c r="W1715" s="73"/>
      <c r="X1715" s="73"/>
      <c r="Y1715" s="73"/>
      <c r="Z1715" s="142">
        <v>0</v>
      </c>
      <c r="AA1715" s="73"/>
      <c r="AB1715" s="143"/>
      <c r="AC1715" s="143"/>
      <c r="AD1715" s="73"/>
      <c r="AE1715" s="73"/>
      <c r="AF1715" s="556" t="str">
        <f>"title("&amp;C1715&amp;")
body(hotyellow_3(任务进程:)newline()
   前往敌国hot(王城)找到该国goto(60806,5)拿到hot("&amp;U1715&amp;"个蓝品质美酒)，回复goto(60789,5)。hot(（非本国及盟国即是敌国哦）)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前往敌国hot(王城)找到该国goto(60806,5)拿到hot(1个蓝品质美酒)，回复goto(60789,5)。hot(（非本国及盟国即是敌国哦）)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v>
      </c>
      <c r="AG1715" s="556" t="s">
        <v>2902</v>
      </c>
      <c r="AH1715" s="556" t="s">
        <v>2900</v>
      </c>
      <c r="AI1715" s="556" t="s">
        <v>110</v>
      </c>
      <c r="AJ1715" s="556" t="s">
        <v>6534</v>
      </c>
      <c r="AK1715" s="683" t="str">
        <f>"收集"&amp;U1715&amp;"个蓝品质美酒"</f>
        <v>收集1个蓝品质美酒</v>
      </c>
      <c r="AL1715" s="678">
        <v>0</v>
      </c>
      <c r="AM1715" s="683" t="str">
        <f>"&lt;p&gt;&lt;n&gt;  通过&lt;/n&gt;&lt;goto id=""126"" mapid=""7"" flagpoint=""1"" /&gt;&lt;newline/&gt;&lt;n&gt;  去敌国找&lt;/n&gt;&lt;goto id=""60806"" mapid=""5"" flagpoint=""1"" /&gt;&lt;newline/&gt;
&lt;n&gt;  收集1个蓝品质美酒&lt;/n&gt;&lt;newline/&gt;
&lt;n&gt;  回复：&lt;/n&gt;&lt;goto id="""&amp;N1715&amp;""" mapid=""5"" flagpoint=""1"" taskid="""&amp;A1715&amp;"""/&gt;
&lt;/p&gt;"</f>
        <v>&lt;p&gt;&lt;n&gt;  通过&lt;/n&gt;&lt;goto id="126" mapid="7" flagpoint="1" /&gt;&lt;newline/&gt;&lt;n&gt;  去敌国找&lt;/n&gt;&lt;goto id="60806" mapid="5" flagpoint="1" /&gt;&lt;newline/&gt;
&lt;n&gt;  收集1个蓝品质美酒&lt;/n&gt;&lt;newline/&gt;
&lt;n&gt;  回复：&lt;/n&gt;&lt;goto id="60789" mapid="5" flagpoint="1" taskid="32014"/&gt;
&lt;/p&gt;</v>
      </c>
      <c r="AN1715" s="683" t="str">
        <f t="shared" si="234"/>
        <v>&lt;p&gt;
&lt;n&gt;  交：&lt;/n&gt;&lt;goto id="60789" mapid="5" flagpoint="1" taskid="32014"/&gt;
&lt;/p&gt;</v>
      </c>
      <c r="AO1715" s="556"/>
      <c r="AP1715" s="556">
        <v>0</v>
      </c>
      <c r="AQ1715" s="556">
        <v>0</v>
      </c>
      <c r="AR1715" s="556">
        <v>0</v>
      </c>
      <c r="AS1715" s="556">
        <v>0</v>
      </c>
      <c r="AT1715" s="556">
        <v>0</v>
      </c>
      <c r="AU1715" s="226">
        <v>0</v>
      </c>
      <c r="AV1715" s="17">
        <f t="shared" si="231"/>
        <v>0</v>
      </c>
      <c r="AW1715" s="556" t="str">
        <f>"{s_taskGather,{"&amp;L1715&amp;","&amp;N1715&amp;","&amp;T1715&amp;","&amp;U1715&amp;",0,1}}"</f>
        <v>{s_taskGather,{60789,60789,31438,1,0,1}}</v>
      </c>
    </row>
    <row r="1716" spans="1:49" s="808" customFormat="1" ht="144" x14ac:dyDescent="0.15">
      <c r="A1716" s="72">
        <v>32015</v>
      </c>
      <c r="B1716" s="73" t="s">
        <v>2856</v>
      </c>
      <c r="C1716" s="73" t="s">
        <v>2926</v>
      </c>
      <c r="D1716" s="73">
        <v>3</v>
      </c>
      <c r="E1716" s="73">
        <v>0</v>
      </c>
      <c r="F1716" s="73">
        <v>5</v>
      </c>
      <c r="G1716" s="80">
        <v>70</v>
      </c>
      <c r="H1716" s="73">
        <v>200</v>
      </c>
      <c r="I1716" s="17">
        <v>0</v>
      </c>
      <c r="J1716" s="80">
        <v>0</v>
      </c>
      <c r="K1716" s="73">
        <v>1</v>
      </c>
      <c r="L1716" s="73">
        <v>60789</v>
      </c>
      <c r="M1716" s="73" t="s">
        <v>2834</v>
      </c>
      <c r="N1716" s="73">
        <v>60789</v>
      </c>
      <c r="O1716" s="73" t="s">
        <v>5228</v>
      </c>
      <c r="P1716" s="73"/>
      <c r="Q1716" s="140"/>
      <c r="R1716" s="807"/>
      <c r="S1716" s="140">
        <v>60808</v>
      </c>
      <c r="T1716" s="140"/>
      <c r="U1716" s="73">
        <v>1</v>
      </c>
      <c r="V1716" s="73">
        <v>0</v>
      </c>
      <c r="W1716" s="73"/>
      <c r="X1716" s="73"/>
      <c r="Y1716" s="73"/>
      <c r="Z1716" s="142">
        <v>0</v>
      </c>
      <c r="AA1716" s="73"/>
      <c r="AB1716" s="143"/>
      <c r="AC1716" s="143"/>
      <c r="AD1716" s="73"/>
      <c r="AE1716" s="745" t="s">
        <v>2917</v>
      </c>
      <c r="AF1716" s="556" t="str">
        <f>"title("&amp;C1716&amp;")
body(hotyellow_3(任务进程:)newline()
   使用任务给予的单兵火箭筒前往敌国hot(五丈原)破坏1个goto(60808,7)，回复goto(60789,5)。hot(（非本国及盟国即是敌国哦）)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使用任务给予的单兵火箭筒前往敌国hot(五丈原)破坏1个goto(60808,7)，回复goto(60789,5)。hot(（非本国及盟国即是敌国哦）)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16" s="556" t="s">
        <v>2918</v>
      </c>
      <c r="AH1716" s="556" t="s">
        <v>2916</v>
      </c>
      <c r="AI1716" s="556" t="s">
        <v>110</v>
      </c>
      <c r="AJ1716" s="556" t="s">
        <v>6535</v>
      </c>
      <c r="AK1716" s="683" t="str">
        <f>"破坏"&amp;U1716&amp;"个沙地型补给艇"</f>
        <v>破坏1个沙地型补给艇</v>
      </c>
      <c r="AL1716" s="678">
        <v>0</v>
      </c>
      <c r="AM1716" s="683" t="str">
        <f>"&lt;p&gt;&lt;n&gt;  通过&lt;/n&gt;&lt;goto id=""126"" mapid=""7"" flagpoint=""1"" /&gt;&lt;newline/&gt;&lt;n&gt;  去敌国使用火箭筒破坏1个&lt;/n&gt;&lt;goto id="""&amp;S1716&amp;""" mapid=""7"" flagpoint=""1"" /&gt;&lt;newline/&gt;
&lt;n&gt;  回复：&lt;/n&gt;&lt;goto id="""&amp;N1716&amp;""" mapid=""5"" flagpoint=""1"" taskid="""&amp;A1716&amp;"""/&gt;
&lt;/p&gt;"</f>
        <v>&lt;p&gt;&lt;n&gt;  通过&lt;/n&gt;&lt;goto id="126" mapid="7" flagpoint="1" /&gt;&lt;newline/&gt;&lt;n&gt;  去敌国使用火箭筒破坏1个&lt;/n&gt;&lt;goto id="60808" mapid="7" flagpoint="1" /&gt;&lt;newline/&gt;
&lt;n&gt;  回复：&lt;/n&gt;&lt;goto id="60789" mapid="5" flagpoint="1" taskid="32015"/&gt;
&lt;/p&gt;</v>
      </c>
      <c r="AN1716" s="683" t="str">
        <f t="shared" si="234"/>
        <v>&lt;p&gt;
&lt;n&gt;  交：&lt;/n&gt;&lt;goto id="60789" mapid="5" flagpoint="1" taskid="32015"/&gt;
&lt;/p&gt;</v>
      </c>
      <c r="AO1716" s="556"/>
      <c r="AP1716" s="556">
        <v>0</v>
      </c>
      <c r="AQ1716" s="556">
        <v>0</v>
      </c>
      <c r="AR1716" s="556">
        <v>0</v>
      </c>
      <c r="AS1716" s="556">
        <v>0</v>
      </c>
      <c r="AT1716" s="556">
        <v>0</v>
      </c>
      <c r="AU1716" s="226">
        <v>0</v>
      </c>
      <c r="AV1716" s="17">
        <f t="shared" si="231"/>
        <v>0</v>
      </c>
      <c r="AW1716" s="50" t="str">
        <f>"{s_taskKillNpc, {"&amp;L1716&amp;","&amp;N1716&amp;","&amp;S1716&amp;","&amp;U1716&amp;"}}"</f>
        <v>{s_taskKillNpc, {60789,60789,60808,1}}</v>
      </c>
    </row>
    <row r="1717" spans="1:49" s="808" customFormat="1" ht="144" x14ac:dyDescent="0.15">
      <c r="A1717" s="72">
        <v>32016</v>
      </c>
      <c r="B1717" s="73" t="s">
        <v>2856</v>
      </c>
      <c r="C1717" s="73" t="s">
        <v>2926</v>
      </c>
      <c r="D1717" s="73">
        <v>3</v>
      </c>
      <c r="E1717" s="73">
        <v>0</v>
      </c>
      <c r="F1717" s="73">
        <v>5</v>
      </c>
      <c r="G1717" s="80">
        <v>70</v>
      </c>
      <c r="H1717" s="73">
        <v>200</v>
      </c>
      <c r="I1717" s="17">
        <v>0</v>
      </c>
      <c r="J1717" s="80">
        <v>0</v>
      </c>
      <c r="K1717" s="73">
        <v>1</v>
      </c>
      <c r="L1717" s="73">
        <v>60789</v>
      </c>
      <c r="M1717" s="73" t="s">
        <v>2834</v>
      </c>
      <c r="N1717" s="73">
        <v>60789</v>
      </c>
      <c r="O1717" s="73" t="s">
        <v>5228</v>
      </c>
      <c r="P1717" s="73"/>
      <c r="Q1717" s="140"/>
      <c r="R1717" s="807"/>
      <c r="S1717" s="140">
        <v>60808</v>
      </c>
      <c r="T1717" s="140"/>
      <c r="U1717" s="73">
        <v>3</v>
      </c>
      <c r="V1717" s="73">
        <v>0</v>
      </c>
      <c r="W1717" s="73"/>
      <c r="X1717" s="73"/>
      <c r="Y1717" s="73"/>
      <c r="Z1717" s="142">
        <v>0</v>
      </c>
      <c r="AA1717" s="73"/>
      <c r="AB1717" s="143"/>
      <c r="AC1717" s="143"/>
      <c r="AD1717" s="73"/>
      <c r="AE1717" s="745" t="s">
        <v>2917</v>
      </c>
      <c r="AF1717" s="556" t="str">
        <f>"title("&amp;C1717&amp;")
body(hotyellow_3(任务进程:)newline()
   使用任务给予的单兵火箭筒前往敌国hot(五丈原)破坏3个goto(60808,7)，回复goto(60789,5)。hot(（非本国及盟国即是敌国哦）)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使用任务给予的单兵火箭筒前往敌国hot(五丈原)破坏3个goto(60808,7)，回复goto(60789,5)。hot(（非本国及盟国即是敌国哦）)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17" s="556" t="s">
        <v>2919</v>
      </c>
      <c r="AH1717" s="556" t="s">
        <v>2916</v>
      </c>
      <c r="AI1717" s="556" t="s">
        <v>110</v>
      </c>
      <c r="AJ1717" s="556" t="s">
        <v>6535</v>
      </c>
      <c r="AK1717" s="683" t="str">
        <f>"破坏"&amp;U1717&amp;"个沙地型补给艇"</f>
        <v>破坏3个沙地型补给艇</v>
      </c>
      <c r="AL1717" s="678">
        <v>0</v>
      </c>
      <c r="AM1717" s="683" t="str">
        <f>"&lt;p&gt;&lt;n&gt;  通过&lt;/n&gt;&lt;goto id=""126"" mapid=""7"" flagpoint=""1"" /&gt;&lt;newline/&gt;&lt;n&gt;  去敌国使用火箭筒破坏3个&lt;/n&gt;&lt;goto id="""&amp;S1717&amp;""" mapid=""7"" flagpoint=""1"" /&gt;&lt;newline/&gt;
&lt;n&gt;  回复：&lt;/n&gt;&lt;goto id="""&amp;N1717&amp;""" mapid=""5"" flagpoint=""1"" taskid="""&amp;A1717&amp;"""/&gt;
&lt;/p&gt;"</f>
        <v>&lt;p&gt;&lt;n&gt;  通过&lt;/n&gt;&lt;goto id="126" mapid="7" flagpoint="1" /&gt;&lt;newline/&gt;&lt;n&gt;  去敌国使用火箭筒破坏3个&lt;/n&gt;&lt;goto id="60808" mapid="7" flagpoint="1" /&gt;&lt;newline/&gt;
&lt;n&gt;  回复：&lt;/n&gt;&lt;goto id="60789" mapid="5" flagpoint="1" taskid="32016"/&gt;
&lt;/p&gt;</v>
      </c>
      <c r="AN1717" s="683" t="str">
        <f t="shared" si="234"/>
        <v>&lt;p&gt;
&lt;n&gt;  交：&lt;/n&gt;&lt;goto id="60789" mapid="5" flagpoint="1" taskid="32016"/&gt;
&lt;/p&gt;</v>
      </c>
      <c r="AO1717" s="556"/>
      <c r="AP1717" s="556">
        <v>0</v>
      </c>
      <c r="AQ1717" s="556">
        <v>0</v>
      </c>
      <c r="AR1717" s="556">
        <v>0</v>
      </c>
      <c r="AS1717" s="556">
        <v>0</v>
      </c>
      <c r="AT1717" s="556">
        <v>0</v>
      </c>
      <c r="AU1717" s="226">
        <v>0</v>
      </c>
      <c r="AV1717" s="17">
        <f t="shared" si="231"/>
        <v>0</v>
      </c>
      <c r="AW1717" s="50" t="str">
        <f>"{s_taskKillNpc, {"&amp;L1717&amp;","&amp;N1717&amp;","&amp;S1717&amp;","&amp;U1717&amp;"}}"</f>
        <v>{s_taskKillNpc, {60789,60789,60808,3}}</v>
      </c>
    </row>
    <row r="1718" spans="1:49" s="808" customFormat="1" ht="144" x14ac:dyDescent="0.15">
      <c r="A1718" s="72">
        <v>32017</v>
      </c>
      <c r="B1718" s="73" t="s">
        <v>2856</v>
      </c>
      <c r="C1718" s="73" t="s">
        <v>2926</v>
      </c>
      <c r="D1718" s="73">
        <v>3</v>
      </c>
      <c r="E1718" s="73">
        <v>0</v>
      </c>
      <c r="F1718" s="73">
        <v>5</v>
      </c>
      <c r="G1718" s="80">
        <v>70</v>
      </c>
      <c r="H1718" s="73">
        <v>200</v>
      </c>
      <c r="I1718" s="17">
        <v>0</v>
      </c>
      <c r="J1718" s="80">
        <v>0</v>
      </c>
      <c r="K1718" s="73">
        <v>1</v>
      </c>
      <c r="L1718" s="73">
        <v>60789</v>
      </c>
      <c r="M1718" s="73" t="s">
        <v>2834</v>
      </c>
      <c r="N1718" s="73">
        <v>60789</v>
      </c>
      <c r="O1718" s="73" t="s">
        <v>5228</v>
      </c>
      <c r="P1718" s="73"/>
      <c r="Q1718" s="140"/>
      <c r="R1718" s="807"/>
      <c r="S1718" s="140">
        <v>60809</v>
      </c>
      <c r="T1718" s="140"/>
      <c r="U1718" s="73">
        <v>1</v>
      </c>
      <c r="V1718" s="73">
        <v>0</v>
      </c>
      <c r="W1718" s="73"/>
      <c r="X1718" s="73"/>
      <c r="Y1718" s="73"/>
      <c r="Z1718" s="142">
        <v>0</v>
      </c>
      <c r="AA1718" s="73"/>
      <c r="AB1718" s="143"/>
      <c r="AC1718" s="143"/>
      <c r="AD1718" s="73"/>
      <c r="AE1718" s="745" t="s">
        <v>2917</v>
      </c>
      <c r="AF1718" s="556" t="str">
        <f>"title("&amp;C1718&amp;")
body(hotyellow_3(任务进程:)newline()
   使用任务给予的单兵火箭筒前往敌国hot(王城)破坏1个goto(60809,5)，回复goto(60789,5)。hot(（非本国及盟国即是敌国哦）)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使用任务给予的单兵火箭筒前往敌国hot(王城)破坏1个goto(60809,5)，回复goto(60789,5)。hot(（非本国及盟国即是敌国哦）)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18" s="556" t="s">
        <v>4801</v>
      </c>
      <c r="AH1718" s="556" t="s">
        <v>2916</v>
      </c>
      <c r="AI1718" s="556" t="s">
        <v>110</v>
      </c>
      <c r="AJ1718" s="556" t="s">
        <v>6536</v>
      </c>
      <c r="AK1718" s="683" t="str">
        <f>"破坏"&amp;U1718&amp;"个帮会需补给艇"</f>
        <v>破坏1个帮会需补给艇</v>
      </c>
      <c r="AL1718" s="678">
        <v>0</v>
      </c>
      <c r="AM1718" s="683" t="str">
        <f>"&lt;p&gt;&lt;n&gt;  通过&lt;/n&gt;&lt;goto id=""126"" mapid=""7"" flagpoint=""1"" /&gt;&lt;newline/&gt;&lt;n&gt;  去敌国使用火箭筒破坏1个&lt;/n&gt;&lt;goto id="""&amp;S1718&amp;""" mapid=""5"" flagpoint=""1"" /&gt;&lt;newline/&gt;
&lt;n&gt;  回复：&lt;/n&gt;&lt;goto id="""&amp;N1718&amp;""" mapid=""5"" flagpoint=""1"" taskid="""&amp;A1718&amp;"""/&gt;
&lt;/p&gt;"</f>
        <v>&lt;p&gt;&lt;n&gt;  通过&lt;/n&gt;&lt;goto id="126" mapid="7" flagpoint="1" /&gt;&lt;newline/&gt;&lt;n&gt;  去敌国使用火箭筒破坏1个&lt;/n&gt;&lt;goto id="60809" mapid="5" flagpoint="1" /&gt;&lt;newline/&gt;
&lt;n&gt;  回复：&lt;/n&gt;&lt;goto id="60789" mapid="5" flagpoint="1" taskid="32017"/&gt;
&lt;/p&gt;</v>
      </c>
      <c r="AN1718" s="683" t="str">
        <f t="shared" si="234"/>
        <v>&lt;p&gt;
&lt;n&gt;  交：&lt;/n&gt;&lt;goto id="60789" mapid="5" flagpoint="1" taskid="32017"/&gt;
&lt;/p&gt;</v>
      </c>
      <c r="AO1718" s="556"/>
      <c r="AP1718" s="556">
        <v>0</v>
      </c>
      <c r="AQ1718" s="556">
        <v>0</v>
      </c>
      <c r="AR1718" s="556">
        <v>0</v>
      </c>
      <c r="AS1718" s="556">
        <v>0</v>
      </c>
      <c r="AT1718" s="556">
        <v>0</v>
      </c>
      <c r="AU1718" s="226">
        <v>0</v>
      </c>
      <c r="AV1718" s="17">
        <f t="shared" si="231"/>
        <v>0</v>
      </c>
      <c r="AW1718" s="50" t="str">
        <f>"{s_taskKillNpc, {"&amp;L1718&amp;","&amp;N1718&amp;","&amp;S1718&amp;","&amp;U1718&amp;"}}"</f>
        <v>{s_taskKillNpc, {60789,60789,60809,1}}</v>
      </c>
    </row>
    <row r="1719" spans="1:49" s="808" customFormat="1" ht="144" x14ac:dyDescent="0.15">
      <c r="A1719" s="72">
        <v>32018</v>
      </c>
      <c r="B1719" s="73" t="s">
        <v>2856</v>
      </c>
      <c r="C1719" s="73" t="s">
        <v>2926</v>
      </c>
      <c r="D1719" s="73">
        <v>3</v>
      </c>
      <c r="E1719" s="73">
        <v>0</v>
      </c>
      <c r="F1719" s="73">
        <v>5</v>
      </c>
      <c r="G1719" s="80">
        <v>70</v>
      </c>
      <c r="H1719" s="73">
        <v>200</v>
      </c>
      <c r="I1719" s="17">
        <v>0</v>
      </c>
      <c r="J1719" s="80">
        <v>0</v>
      </c>
      <c r="K1719" s="73">
        <v>1</v>
      </c>
      <c r="L1719" s="73">
        <v>60789</v>
      </c>
      <c r="M1719" s="73" t="s">
        <v>2834</v>
      </c>
      <c r="N1719" s="73">
        <v>60789</v>
      </c>
      <c r="O1719" s="73" t="s">
        <v>5228</v>
      </c>
      <c r="P1719" s="73"/>
      <c r="Q1719" s="140"/>
      <c r="R1719" s="807"/>
      <c r="S1719" s="140">
        <v>60809</v>
      </c>
      <c r="T1719" s="140"/>
      <c r="U1719" s="73">
        <v>3</v>
      </c>
      <c r="V1719" s="73">
        <v>0</v>
      </c>
      <c r="W1719" s="73"/>
      <c r="X1719" s="73"/>
      <c r="Y1719" s="73"/>
      <c r="Z1719" s="142">
        <v>0</v>
      </c>
      <c r="AA1719" s="73"/>
      <c r="AB1719" s="143"/>
      <c r="AC1719" s="143"/>
      <c r="AD1719" s="73"/>
      <c r="AE1719" s="745" t="s">
        <v>2917</v>
      </c>
      <c r="AF1719" s="556" t="str">
        <f>"title("&amp;C1719&amp;")
body(hotyellow_3(任务进程:)newline()
   使用任务给予的单兵火箭筒前往敌国hot(王城)破坏3个goto(60809,5)，回复goto(60789,5)。hot(（非本国及盟国即是敌国哦）)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使用任务给予的单兵火箭筒前往敌国hot(王城)破坏3个goto(60809,5)，回复goto(60789,5)。hot(（非本国及盟国即是敌国哦）)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19" s="556" t="s">
        <v>4801</v>
      </c>
      <c r="AH1719" s="556" t="s">
        <v>2916</v>
      </c>
      <c r="AI1719" s="556" t="s">
        <v>110</v>
      </c>
      <c r="AJ1719" s="556" t="s">
        <v>6536</v>
      </c>
      <c r="AK1719" s="683" t="str">
        <f>"破坏"&amp;U1719&amp;"个帮会需补给艇"</f>
        <v>破坏3个帮会需补给艇</v>
      </c>
      <c r="AL1719" s="678">
        <v>0</v>
      </c>
      <c r="AM1719" s="683" t="str">
        <f>"&lt;p&gt;&lt;n&gt;  通过&lt;/n&gt;&lt;goto id=""126"" mapid=""7"" flagpoint=""1"" /&gt;&lt;newline/&gt;&lt;n&gt;  去敌国使用火箭筒破坏3个&lt;/n&gt;&lt;goto id="""&amp;S1719&amp;""" mapid=""5"" flagpoint=""1"" /&gt;&lt;newline/&gt;
&lt;n&gt;  回复：&lt;/n&gt;&lt;goto id="""&amp;N1719&amp;""" mapid=""5"" flagpoint=""1"" taskid="""&amp;A1719&amp;"""/&gt;
&lt;/p&gt;"</f>
        <v>&lt;p&gt;&lt;n&gt;  通过&lt;/n&gt;&lt;goto id="126" mapid="7" flagpoint="1" /&gt;&lt;newline/&gt;&lt;n&gt;  去敌国使用火箭筒破坏3个&lt;/n&gt;&lt;goto id="60809" mapid="5" flagpoint="1" /&gt;&lt;newline/&gt;
&lt;n&gt;  回复：&lt;/n&gt;&lt;goto id="60789" mapid="5" flagpoint="1" taskid="32018"/&gt;
&lt;/p&gt;</v>
      </c>
      <c r="AN1719" s="683" t="str">
        <f t="shared" si="234"/>
        <v>&lt;p&gt;
&lt;n&gt;  交：&lt;/n&gt;&lt;goto id="60789" mapid="5" flagpoint="1" taskid="32018"/&gt;
&lt;/p&gt;</v>
      </c>
      <c r="AO1719" s="556"/>
      <c r="AP1719" s="556">
        <v>0</v>
      </c>
      <c r="AQ1719" s="556">
        <v>0</v>
      </c>
      <c r="AR1719" s="556">
        <v>0</v>
      </c>
      <c r="AS1719" s="556">
        <v>0</v>
      </c>
      <c r="AT1719" s="556">
        <v>0</v>
      </c>
      <c r="AU1719" s="226">
        <v>0</v>
      </c>
      <c r="AV1719" s="17">
        <f t="shared" si="231"/>
        <v>0</v>
      </c>
      <c r="AW1719" s="50" t="str">
        <f>"{s_taskKillNpc, {"&amp;L1719&amp;","&amp;N1719&amp;","&amp;S1719&amp;","&amp;U1719&amp;"}}"</f>
        <v>{s_taskKillNpc, {60789,60789,60809,3}}</v>
      </c>
    </row>
    <row r="1720" spans="1:49" s="808" customFormat="1" x14ac:dyDescent="0.15">
      <c r="A1720" s="72">
        <v>32019</v>
      </c>
      <c r="B1720" s="73" t="s">
        <v>2856</v>
      </c>
      <c r="C1720" s="73" t="s">
        <v>3407</v>
      </c>
      <c r="D1720" s="73">
        <v>3</v>
      </c>
      <c r="E1720" s="73">
        <v>0</v>
      </c>
      <c r="F1720" s="73">
        <v>5</v>
      </c>
      <c r="G1720" s="80">
        <v>70</v>
      </c>
      <c r="H1720" s="73">
        <v>200</v>
      </c>
      <c r="I1720" s="17">
        <v>0</v>
      </c>
      <c r="J1720" s="80">
        <v>0</v>
      </c>
      <c r="K1720" s="73">
        <v>1</v>
      </c>
      <c r="L1720" s="73">
        <v>60789</v>
      </c>
      <c r="M1720" s="73" t="s">
        <v>2834</v>
      </c>
      <c r="N1720" s="73">
        <v>203</v>
      </c>
      <c r="O1720" s="73" t="s">
        <v>5258</v>
      </c>
      <c r="P1720" s="73"/>
      <c r="Q1720" s="140"/>
      <c r="R1720" s="807"/>
      <c r="S1720" s="140"/>
      <c r="T1720" s="140"/>
      <c r="U1720" s="73">
        <v>1</v>
      </c>
      <c r="V1720" s="73">
        <v>1</v>
      </c>
      <c r="W1720" s="73"/>
      <c r="X1720" s="73"/>
      <c r="Y1720" s="73"/>
      <c r="Z1720" s="142">
        <v>0</v>
      </c>
      <c r="AA1720" s="73"/>
      <c r="AB1720" s="143"/>
      <c r="AC1720" s="143"/>
      <c r="AD1720" s="73"/>
      <c r="AE1720" s="73"/>
      <c r="AF1720" s="73"/>
      <c r="AG1720" s="73"/>
      <c r="AH1720" s="73"/>
      <c r="AI1720" s="73"/>
      <c r="AJ1720" s="73"/>
      <c r="AK1720" s="73"/>
      <c r="AL1720" s="80">
        <v>0</v>
      </c>
      <c r="AM1720" s="73"/>
      <c r="AN1720" s="73"/>
      <c r="AO1720" s="73"/>
      <c r="AP1720" s="73">
        <v>0</v>
      </c>
      <c r="AQ1720" s="73">
        <v>0</v>
      </c>
      <c r="AR1720" s="73">
        <v>0</v>
      </c>
      <c r="AS1720" s="73">
        <v>0</v>
      </c>
      <c r="AT1720" s="73">
        <v>0</v>
      </c>
      <c r="AU1720" s="226">
        <v>0</v>
      </c>
      <c r="AV1720" s="17">
        <f t="shared" si="231"/>
        <v>0</v>
      </c>
      <c r="AW1720" s="50" t="str">
        <f t="shared" ref="AW1720" si="235">"{s_taskTalk,{"&amp;L1720&amp;","&amp;N1720&amp;"}}"</f>
        <v>{s_taskTalk,{60789,203}}</v>
      </c>
    </row>
    <row r="1721" spans="1:49" s="808" customFormat="1" ht="132" x14ac:dyDescent="0.15">
      <c r="A1721" s="72">
        <v>32020</v>
      </c>
      <c r="B1721" s="73" t="s">
        <v>3408</v>
      </c>
      <c r="C1721" s="73" t="s">
        <v>3412</v>
      </c>
      <c r="D1721" s="73">
        <v>3</v>
      </c>
      <c r="E1721" s="73">
        <v>0</v>
      </c>
      <c r="F1721" s="73">
        <v>5</v>
      </c>
      <c r="G1721" s="80">
        <v>70</v>
      </c>
      <c r="H1721" s="73">
        <v>200</v>
      </c>
      <c r="I1721" s="17">
        <v>0</v>
      </c>
      <c r="J1721" s="80">
        <v>0</v>
      </c>
      <c r="K1721" s="73">
        <v>1</v>
      </c>
      <c r="L1721" s="73">
        <v>60789</v>
      </c>
      <c r="M1721" s="73" t="s">
        <v>2834</v>
      </c>
      <c r="N1721" s="73">
        <v>60789</v>
      </c>
      <c r="O1721" s="73" t="s">
        <v>5228</v>
      </c>
      <c r="P1721" s="73"/>
      <c r="Q1721" s="140"/>
      <c r="R1721" s="807"/>
      <c r="S1721" s="140">
        <v>60866</v>
      </c>
      <c r="T1721" s="140"/>
      <c r="U1721" s="73">
        <v>1</v>
      </c>
      <c r="V1721" s="73">
        <v>0</v>
      </c>
      <c r="W1721" s="73"/>
      <c r="X1721" s="73"/>
      <c r="Y1721" s="73"/>
      <c r="Z1721" s="142">
        <v>0</v>
      </c>
      <c r="AA1721" s="73"/>
      <c r="AB1721" s="143"/>
      <c r="AC1721" s="143"/>
      <c r="AD1721" s="73"/>
      <c r="AE1721" s="745"/>
      <c r="AF1721" s="556" t="str">
        <f>"title("&amp;C1721&amp;")
body(hotyellow_3(任务进程:)newline()
   邀请一个70级以上玩家组队，通过与goto(60789,5)对话，选择hot(进入‘维多利亚’战役),杀死goto(60866,143)，回复goto(60789,5)。newline()
◆进入限制newline()
1、必须有且只有2人组队newline()
2、任务的协助者今天未进入过该副本，且在您附近newline()
3、2人必须都大于等于70级
)"</f>
        <v>title([随机]戎装公主)
body(hotyellow_3(任务进程:)newline()
   邀请一个70级以上玩家组队，通过与goto(60789,5)对话，选择hot(进入‘维多利亚’战役),杀死goto(60866,143)，回复goto(60789,5)。newline()
◆进入限制newline()
1、必须有且只有2人组队newline()
2、任务的协助者今天未进入过该副本，且在您附近newline()
3、2人必须都大于等于70级
)</v>
      </c>
      <c r="AG1721" s="556" t="s">
        <v>4802</v>
      </c>
      <c r="AH1721" s="556" t="s">
        <v>2916</v>
      </c>
      <c r="AI1721" s="556" t="s">
        <v>110</v>
      </c>
      <c r="AJ1721" s="556" t="s">
        <v>6537</v>
      </c>
      <c r="AK1721" s="683" t="str">
        <f>"杀死"&amp;U1721&amp;"梦之黑魔"</f>
        <v>杀死1梦之黑魔</v>
      </c>
      <c r="AL1721" s="678">
        <v>0</v>
      </c>
      <c r="AM1721" s="683" t="str">
        <f>"&lt;p&gt;&lt;n&gt;  通过&lt;/n&gt;&lt;goto id=""60789"" mapid=""5"" flagpoint=""1"" /&gt;&lt;newline/&gt;&lt;n&gt;  选择‘维多利亚’战役&lt;/n&gt;&lt;newline/&gt;
&lt;n&gt;  杀：梦之黑魔后，回复：&lt;/n&gt;&lt;goto id="""&amp;N1721&amp;""" mapid=""5"" flagpoint=""1"" taskid="""&amp;A1721&amp;"""/&gt;
&lt;/p&gt;"</f>
        <v>&lt;p&gt;&lt;n&gt;  通过&lt;/n&gt;&lt;goto id="60789" mapid="5" flagpoint="1" /&gt;&lt;newline/&gt;&lt;n&gt;  选择‘维多利亚’战役&lt;/n&gt;&lt;newline/&gt;
&lt;n&gt;  杀：梦之黑魔后，回复：&lt;/n&gt;&lt;goto id="60789" mapid="5" flagpoint="1" taskid="32020"/&gt;
&lt;/p&gt;</v>
      </c>
      <c r="AN1721" s="683" t="str">
        <f>"&lt;p&gt;&lt;n&gt;  通过&lt;/n&gt;&lt;goto id=""60789"" mapid=""5"" flagpoint=""1"" /&gt;&lt;newline/&gt;&lt;n&gt;  选择‘维多利亚’战役&lt;/n&gt;&lt;newline/&gt;
&lt;n&gt;  杀死梦之黑魔后，交：&lt;/n&gt;&lt;goto id="""&amp;N1721&amp;""" mapid=""5"" flagpoint=""1"" taskid="""&amp;B1721&amp;"""/&gt;
&lt;/p&gt;"</f>
        <v>&lt;p&gt;&lt;n&gt;  通过&lt;/n&gt;&lt;goto id="60789" mapid="5" flagpoint="1" /&gt;&lt;newline/&gt;&lt;n&gt;  选择‘维多利亚’战役&lt;/n&gt;&lt;newline/&gt;
&lt;n&gt;  杀死梦之黑魔后，交：&lt;/n&gt;&lt;goto id="60789" mapid="5" flagpoint="1" taskid="蓝"/&gt;
&lt;/p&gt;</v>
      </c>
      <c r="AO1721" s="556"/>
      <c r="AP1721" s="556">
        <v>0</v>
      </c>
      <c r="AQ1721" s="556">
        <v>0</v>
      </c>
      <c r="AR1721" s="556">
        <v>0</v>
      </c>
      <c r="AS1721" s="556">
        <v>0</v>
      </c>
      <c r="AT1721" s="556">
        <v>0</v>
      </c>
      <c r="AU1721" s="226">
        <v>0</v>
      </c>
      <c r="AV1721" s="17">
        <f t="shared" si="231"/>
        <v>0</v>
      </c>
      <c r="AW1721" s="50" t="str">
        <f>"{s_taskKillNpc, {"&amp;L1721&amp;","&amp;N1721&amp;","&amp;S1721&amp;","&amp;U1721&amp;"}}"</f>
        <v>{s_taskKillNpc, {60789,60789,60866,1}}</v>
      </c>
    </row>
    <row r="1722" spans="1:49" s="808" customFormat="1" ht="24" x14ac:dyDescent="0.15">
      <c r="A1722" s="72">
        <v>32500</v>
      </c>
      <c r="B1722" s="73" t="s">
        <v>2857</v>
      </c>
      <c r="C1722" s="73" t="s">
        <v>2850</v>
      </c>
      <c r="D1722" s="73">
        <v>3</v>
      </c>
      <c r="E1722" s="73">
        <v>0</v>
      </c>
      <c r="F1722" s="73">
        <v>5</v>
      </c>
      <c r="G1722" s="80">
        <v>70</v>
      </c>
      <c r="H1722" s="73">
        <v>200</v>
      </c>
      <c r="I1722" s="17">
        <v>0</v>
      </c>
      <c r="J1722" s="80">
        <v>0</v>
      </c>
      <c r="K1722" s="73">
        <v>1</v>
      </c>
      <c r="L1722" s="73">
        <v>60789</v>
      </c>
      <c r="M1722" s="73" t="s">
        <v>2834</v>
      </c>
      <c r="N1722" s="73">
        <v>60789</v>
      </c>
      <c r="O1722" s="73" t="s">
        <v>5228</v>
      </c>
      <c r="P1722" s="73"/>
      <c r="Q1722" s="140"/>
      <c r="R1722" s="807">
        <v>61079</v>
      </c>
      <c r="S1722" s="140"/>
      <c r="T1722" s="140"/>
      <c r="U1722" s="73">
        <v>1</v>
      </c>
      <c r="V1722" s="73">
        <v>0</v>
      </c>
      <c r="W1722" s="73"/>
      <c r="X1722" s="73"/>
      <c r="Y1722" s="73"/>
      <c r="Z1722" s="142">
        <v>0</v>
      </c>
      <c r="AA1722" s="73"/>
      <c r="AB1722" s="143"/>
      <c r="AC1722" s="143"/>
      <c r="AD1722" s="73"/>
      <c r="AE1722" s="73"/>
      <c r="AF1722" s="73"/>
      <c r="AG1722" s="73"/>
      <c r="AH1722" s="73"/>
      <c r="AI1722" s="73"/>
      <c r="AJ1722" s="73"/>
      <c r="AK1722" s="73"/>
      <c r="AL1722" s="80">
        <v>0</v>
      </c>
      <c r="AM1722" s="73"/>
      <c r="AN1722" s="73"/>
      <c r="AO1722" s="73"/>
      <c r="AP1722" s="73">
        <v>0</v>
      </c>
      <c r="AQ1722" s="73">
        <v>0</v>
      </c>
      <c r="AR1722" s="73">
        <v>0</v>
      </c>
      <c r="AS1722" s="73">
        <v>0</v>
      </c>
      <c r="AT1722" s="73">
        <v>0</v>
      </c>
      <c r="AU1722" s="226">
        <v>0</v>
      </c>
      <c r="AV1722" s="17">
        <f t="shared" si="231"/>
        <v>0</v>
      </c>
      <c r="AW1722" s="50" t="str">
        <f>"{s_taskGuard,{"&amp;L1722&amp;","&amp;N1722&amp;","&amp;R1722&amp;",0}}"</f>
        <v>{s_taskGuard,{60789,60789,61079,0}}</v>
      </c>
    </row>
    <row r="1723" spans="1:49" s="808" customFormat="1" x14ac:dyDescent="0.15">
      <c r="A1723" s="72">
        <v>32502</v>
      </c>
      <c r="B1723" s="73" t="s">
        <v>2857</v>
      </c>
      <c r="C1723" s="73" t="s">
        <v>2927</v>
      </c>
      <c r="D1723" s="73">
        <v>3</v>
      </c>
      <c r="E1723" s="73">
        <v>0</v>
      </c>
      <c r="F1723" s="73">
        <v>5</v>
      </c>
      <c r="G1723" s="80">
        <v>70</v>
      </c>
      <c r="H1723" s="73">
        <v>200</v>
      </c>
      <c r="I1723" s="17">
        <v>0</v>
      </c>
      <c r="J1723" s="80">
        <v>0</v>
      </c>
      <c r="K1723" s="73">
        <v>1</v>
      </c>
      <c r="L1723" s="73">
        <v>60789</v>
      </c>
      <c r="M1723" s="73" t="s">
        <v>2834</v>
      </c>
      <c r="N1723" s="73">
        <v>60797</v>
      </c>
      <c r="O1723" s="73" t="s">
        <v>5249</v>
      </c>
      <c r="P1723" s="73"/>
      <c r="Q1723" s="140"/>
      <c r="R1723" s="807"/>
      <c r="S1723" s="140"/>
      <c r="T1723" s="140"/>
      <c r="U1723" s="73">
        <v>1</v>
      </c>
      <c r="V1723" s="73">
        <v>1</v>
      </c>
      <c r="W1723" s="73"/>
      <c r="X1723" s="73"/>
      <c r="Y1723" s="73"/>
      <c r="Z1723" s="142">
        <v>0</v>
      </c>
      <c r="AA1723" s="73"/>
      <c r="AB1723" s="143"/>
      <c r="AC1723" s="143"/>
      <c r="AD1723" s="73"/>
      <c r="AE1723" s="73"/>
      <c r="AF1723" s="73"/>
      <c r="AG1723" s="73"/>
      <c r="AH1723" s="73"/>
      <c r="AI1723" s="73"/>
      <c r="AJ1723" s="73"/>
      <c r="AK1723" s="73"/>
      <c r="AL1723" s="80">
        <v>0</v>
      </c>
      <c r="AM1723" s="73"/>
      <c r="AN1723" s="73"/>
      <c r="AO1723" s="73"/>
      <c r="AP1723" s="73">
        <v>0</v>
      </c>
      <c r="AQ1723" s="73">
        <v>0</v>
      </c>
      <c r="AR1723" s="73">
        <v>0</v>
      </c>
      <c r="AS1723" s="73">
        <v>0</v>
      </c>
      <c r="AT1723" s="73">
        <v>0</v>
      </c>
      <c r="AU1723" s="226">
        <v>0</v>
      </c>
      <c r="AV1723" s="17">
        <f t="shared" si="231"/>
        <v>0</v>
      </c>
      <c r="AW1723" s="50" t="str">
        <f>"{s_taskTalk,{"&amp;L1723&amp;","&amp;N1723&amp;"}}"</f>
        <v>{s_taskTalk,{60789,60797}}</v>
      </c>
    </row>
    <row r="1724" spans="1:49" s="808" customFormat="1" x14ac:dyDescent="0.15">
      <c r="A1724" s="72">
        <v>32503</v>
      </c>
      <c r="B1724" s="73" t="s">
        <v>2857</v>
      </c>
      <c r="C1724" s="73" t="s">
        <v>2927</v>
      </c>
      <c r="D1724" s="73">
        <v>3</v>
      </c>
      <c r="E1724" s="73">
        <v>0</v>
      </c>
      <c r="F1724" s="73">
        <v>5</v>
      </c>
      <c r="G1724" s="80">
        <v>70</v>
      </c>
      <c r="H1724" s="73">
        <v>200</v>
      </c>
      <c r="I1724" s="17">
        <v>0</v>
      </c>
      <c r="J1724" s="80">
        <v>0</v>
      </c>
      <c r="K1724" s="73">
        <v>1</v>
      </c>
      <c r="L1724" s="73">
        <v>60789</v>
      </c>
      <c r="M1724" s="73" t="s">
        <v>2834</v>
      </c>
      <c r="N1724" s="73">
        <v>60798</v>
      </c>
      <c r="O1724" s="73" t="s">
        <v>5250</v>
      </c>
      <c r="P1724" s="73"/>
      <c r="Q1724" s="140"/>
      <c r="R1724" s="807"/>
      <c r="S1724" s="140"/>
      <c r="T1724" s="140"/>
      <c r="U1724" s="73">
        <v>1</v>
      </c>
      <c r="V1724" s="73">
        <v>1</v>
      </c>
      <c r="W1724" s="73"/>
      <c r="X1724" s="73"/>
      <c r="Y1724" s="73"/>
      <c r="Z1724" s="142">
        <v>0</v>
      </c>
      <c r="AA1724" s="73"/>
      <c r="AB1724" s="143"/>
      <c r="AC1724" s="143"/>
      <c r="AD1724" s="73"/>
      <c r="AE1724" s="73"/>
      <c r="AF1724" s="73"/>
      <c r="AG1724" s="73"/>
      <c r="AH1724" s="73"/>
      <c r="AI1724" s="73"/>
      <c r="AJ1724" s="73"/>
      <c r="AK1724" s="73"/>
      <c r="AL1724" s="80">
        <v>0</v>
      </c>
      <c r="AM1724" s="73"/>
      <c r="AN1724" s="73"/>
      <c r="AO1724" s="73"/>
      <c r="AP1724" s="73">
        <v>0</v>
      </c>
      <c r="AQ1724" s="73">
        <v>0</v>
      </c>
      <c r="AR1724" s="73">
        <v>0</v>
      </c>
      <c r="AS1724" s="73">
        <v>0</v>
      </c>
      <c r="AT1724" s="73">
        <v>0</v>
      </c>
      <c r="AU1724" s="226">
        <v>0</v>
      </c>
      <c r="AV1724" s="17">
        <f t="shared" si="231"/>
        <v>0</v>
      </c>
      <c r="AW1724" s="50" t="str">
        <f t="shared" ref="AW1724:AW1731" si="236">"{s_taskTalk,{"&amp;L1724&amp;","&amp;N1724&amp;"}}"</f>
        <v>{s_taskTalk,{60789,60798}}</v>
      </c>
    </row>
    <row r="1725" spans="1:49" s="808" customFormat="1" x14ac:dyDescent="0.15">
      <c r="A1725" s="72">
        <v>32504</v>
      </c>
      <c r="B1725" s="73" t="s">
        <v>2857</v>
      </c>
      <c r="C1725" s="73" t="s">
        <v>2927</v>
      </c>
      <c r="D1725" s="73">
        <v>3</v>
      </c>
      <c r="E1725" s="73">
        <v>0</v>
      </c>
      <c r="F1725" s="73">
        <v>5</v>
      </c>
      <c r="G1725" s="80">
        <v>70</v>
      </c>
      <c r="H1725" s="73">
        <v>200</v>
      </c>
      <c r="I1725" s="17">
        <v>0</v>
      </c>
      <c r="J1725" s="80">
        <v>0</v>
      </c>
      <c r="K1725" s="73">
        <v>1</v>
      </c>
      <c r="L1725" s="73">
        <v>60789</v>
      </c>
      <c r="M1725" s="73" t="s">
        <v>2834</v>
      </c>
      <c r="N1725" s="73">
        <v>60799</v>
      </c>
      <c r="O1725" s="73" t="s">
        <v>5251</v>
      </c>
      <c r="P1725" s="73"/>
      <c r="Q1725" s="140"/>
      <c r="R1725" s="807"/>
      <c r="S1725" s="140"/>
      <c r="T1725" s="140"/>
      <c r="U1725" s="73">
        <v>1</v>
      </c>
      <c r="V1725" s="73">
        <v>1</v>
      </c>
      <c r="W1725" s="73"/>
      <c r="X1725" s="73"/>
      <c r="Y1725" s="73"/>
      <c r="Z1725" s="142">
        <v>0</v>
      </c>
      <c r="AA1725" s="73"/>
      <c r="AB1725" s="143"/>
      <c r="AC1725" s="143"/>
      <c r="AD1725" s="73"/>
      <c r="AE1725" s="73"/>
      <c r="AF1725" s="73"/>
      <c r="AG1725" s="73"/>
      <c r="AH1725" s="73"/>
      <c r="AI1725" s="73"/>
      <c r="AJ1725" s="73"/>
      <c r="AK1725" s="73"/>
      <c r="AL1725" s="80">
        <v>0</v>
      </c>
      <c r="AM1725" s="73"/>
      <c r="AN1725" s="73"/>
      <c r="AO1725" s="73"/>
      <c r="AP1725" s="73">
        <v>0</v>
      </c>
      <c r="AQ1725" s="73">
        <v>0</v>
      </c>
      <c r="AR1725" s="73">
        <v>0</v>
      </c>
      <c r="AS1725" s="73">
        <v>0</v>
      </c>
      <c r="AT1725" s="73">
        <v>0</v>
      </c>
      <c r="AU1725" s="226">
        <v>0</v>
      </c>
      <c r="AV1725" s="17">
        <f t="shared" si="231"/>
        <v>0</v>
      </c>
      <c r="AW1725" s="50" t="str">
        <f t="shared" si="236"/>
        <v>{s_taskTalk,{60789,60799}}</v>
      </c>
    </row>
    <row r="1726" spans="1:49" s="808" customFormat="1" x14ac:dyDescent="0.15">
      <c r="A1726" s="72">
        <v>32505</v>
      </c>
      <c r="B1726" s="73" t="s">
        <v>2857</v>
      </c>
      <c r="C1726" s="73" t="s">
        <v>2927</v>
      </c>
      <c r="D1726" s="73">
        <v>3</v>
      </c>
      <c r="E1726" s="73">
        <v>0</v>
      </c>
      <c r="F1726" s="73">
        <v>5</v>
      </c>
      <c r="G1726" s="80">
        <v>70</v>
      </c>
      <c r="H1726" s="73">
        <v>200</v>
      </c>
      <c r="I1726" s="17">
        <v>0</v>
      </c>
      <c r="J1726" s="80">
        <v>0</v>
      </c>
      <c r="K1726" s="73">
        <v>1</v>
      </c>
      <c r="L1726" s="73">
        <v>60789</v>
      </c>
      <c r="M1726" s="73" t="s">
        <v>2834</v>
      </c>
      <c r="N1726" s="73">
        <v>60800</v>
      </c>
      <c r="O1726" s="73" t="s">
        <v>5252</v>
      </c>
      <c r="P1726" s="73"/>
      <c r="Q1726" s="140"/>
      <c r="R1726" s="807"/>
      <c r="S1726" s="140"/>
      <c r="T1726" s="140"/>
      <c r="U1726" s="73">
        <v>1</v>
      </c>
      <c r="V1726" s="73">
        <v>1</v>
      </c>
      <c r="W1726" s="73"/>
      <c r="X1726" s="73"/>
      <c r="Y1726" s="73"/>
      <c r="Z1726" s="142">
        <v>0</v>
      </c>
      <c r="AA1726" s="73"/>
      <c r="AB1726" s="143"/>
      <c r="AC1726" s="143"/>
      <c r="AD1726" s="73"/>
      <c r="AE1726" s="73"/>
      <c r="AF1726" s="73"/>
      <c r="AG1726" s="73"/>
      <c r="AH1726" s="73"/>
      <c r="AI1726" s="73"/>
      <c r="AJ1726" s="73"/>
      <c r="AK1726" s="73"/>
      <c r="AL1726" s="80">
        <v>0</v>
      </c>
      <c r="AM1726" s="73"/>
      <c r="AN1726" s="73"/>
      <c r="AO1726" s="73"/>
      <c r="AP1726" s="73">
        <v>0</v>
      </c>
      <c r="AQ1726" s="73">
        <v>0</v>
      </c>
      <c r="AR1726" s="73">
        <v>0</v>
      </c>
      <c r="AS1726" s="73">
        <v>0</v>
      </c>
      <c r="AT1726" s="73">
        <v>0</v>
      </c>
      <c r="AU1726" s="226">
        <v>0</v>
      </c>
      <c r="AV1726" s="17">
        <f t="shared" si="231"/>
        <v>0</v>
      </c>
      <c r="AW1726" s="50" t="str">
        <f t="shared" si="236"/>
        <v>{s_taskTalk,{60789,60800}}</v>
      </c>
    </row>
    <row r="1727" spans="1:49" s="808" customFormat="1" x14ac:dyDescent="0.15">
      <c r="A1727" s="72">
        <v>32506</v>
      </c>
      <c r="B1727" s="73" t="s">
        <v>2857</v>
      </c>
      <c r="C1727" s="73" t="s">
        <v>2927</v>
      </c>
      <c r="D1727" s="73">
        <v>3</v>
      </c>
      <c r="E1727" s="73">
        <v>0</v>
      </c>
      <c r="F1727" s="73">
        <v>5</v>
      </c>
      <c r="G1727" s="80">
        <v>70</v>
      </c>
      <c r="H1727" s="73">
        <v>200</v>
      </c>
      <c r="I1727" s="17">
        <v>0</v>
      </c>
      <c r="J1727" s="80">
        <v>0</v>
      </c>
      <c r="K1727" s="73">
        <v>1</v>
      </c>
      <c r="L1727" s="73">
        <v>60789</v>
      </c>
      <c r="M1727" s="73" t="s">
        <v>2834</v>
      </c>
      <c r="N1727" s="73">
        <v>60801</v>
      </c>
      <c r="O1727" s="73" t="s">
        <v>5253</v>
      </c>
      <c r="P1727" s="73"/>
      <c r="Q1727" s="140"/>
      <c r="R1727" s="807"/>
      <c r="S1727" s="140"/>
      <c r="T1727" s="140"/>
      <c r="U1727" s="73">
        <v>1</v>
      </c>
      <c r="V1727" s="73">
        <v>1</v>
      </c>
      <c r="W1727" s="73"/>
      <c r="X1727" s="73"/>
      <c r="Y1727" s="73"/>
      <c r="Z1727" s="142">
        <v>0</v>
      </c>
      <c r="AA1727" s="73"/>
      <c r="AB1727" s="143"/>
      <c r="AC1727" s="143"/>
      <c r="AD1727" s="73"/>
      <c r="AE1727" s="73"/>
      <c r="AF1727" s="73"/>
      <c r="AG1727" s="73"/>
      <c r="AH1727" s="73"/>
      <c r="AI1727" s="73"/>
      <c r="AJ1727" s="73"/>
      <c r="AK1727" s="73"/>
      <c r="AL1727" s="80">
        <v>0</v>
      </c>
      <c r="AM1727" s="73"/>
      <c r="AN1727" s="73"/>
      <c r="AO1727" s="73"/>
      <c r="AP1727" s="73">
        <v>0</v>
      </c>
      <c r="AQ1727" s="73">
        <v>0</v>
      </c>
      <c r="AR1727" s="73">
        <v>0</v>
      </c>
      <c r="AS1727" s="73">
        <v>0</v>
      </c>
      <c r="AT1727" s="73">
        <v>0</v>
      </c>
      <c r="AU1727" s="226">
        <v>0</v>
      </c>
      <c r="AV1727" s="17">
        <f t="shared" si="231"/>
        <v>0</v>
      </c>
      <c r="AW1727" s="50" t="str">
        <f t="shared" si="236"/>
        <v>{s_taskTalk,{60789,60801}}</v>
      </c>
    </row>
    <row r="1728" spans="1:49" s="808" customFormat="1" x14ac:dyDescent="0.15">
      <c r="A1728" s="72">
        <v>32507</v>
      </c>
      <c r="B1728" s="73" t="s">
        <v>2857</v>
      </c>
      <c r="C1728" s="73" t="s">
        <v>2927</v>
      </c>
      <c r="D1728" s="73">
        <v>3</v>
      </c>
      <c r="E1728" s="73">
        <v>0</v>
      </c>
      <c r="F1728" s="73">
        <v>5</v>
      </c>
      <c r="G1728" s="80">
        <v>70</v>
      </c>
      <c r="H1728" s="73">
        <v>200</v>
      </c>
      <c r="I1728" s="17">
        <v>0</v>
      </c>
      <c r="J1728" s="80">
        <v>0</v>
      </c>
      <c r="K1728" s="73">
        <v>1</v>
      </c>
      <c r="L1728" s="73">
        <v>60789</v>
      </c>
      <c r="M1728" s="73" t="s">
        <v>2834</v>
      </c>
      <c r="N1728" s="73">
        <v>60802</v>
      </c>
      <c r="O1728" s="73" t="s">
        <v>5254</v>
      </c>
      <c r="P1728" s="73"/>
      <c r="Q1728" s="140"/>
      <c r="R1728" s="807"/>
      <c r="S1728" s="140"/>
      <c r="T1728" s="140"/>
      <c r="U1728" s="73">
        <v>1</v>
      </c>
      <c r="V1728" s="73">
        <v>1</v>
      </c>
      <c r="W1728" s="73"/>
      <c r="X1728" s="73"/>
      <c r="Y1728" s="73"/>
      <c r="Z1728" s="142">
        <v>0</v>
      </c>
      <c r="AA1728" s="73"/>
      <c r="AB1728" s="143"/>
      <c r="AC1728" s="143"/>
      <c r="AD1728" s="73"/>
      <c r="AE1728" s="73"/>
      <c r="AF1728" s="73"/>
      <c r="AG1728" s="73"/>
      <c r="AH1728" s="73"/>
      <c r="AI1728" s="73"/>
      <c r="AJ1728" s="73"/>
      <c r="AK1728" s="73"/>
      <c r="AL1728" s="80">
        <v>0</v>
      </c>
      <c r="AM1728" s="73"/>
      <c r="AN1728" s="73"/>
      <c r="AO1728" s="73"/>
      <c r="AP1728" s="73">
        <v>0</v>
      </c>
      <c r="AQ1728" s="73">
        <v>0</v>
      </c>
      <c r="AR1728" s="73">
        <v>0</v>
      </c>
      <c r="AS1728" s="73">
        <v>0</v>
      </c>
      <c r="AT1728" s="73">
        <v>0</v>
      </c>
      <c r="AU1728" s="226">
        <v>0</v>
      </c>
      <c r="AV1728" s="17">
        <f t="shared" si="231"/>
        <v>0</v>
      </c>
      <c r="AW1728" s="50" t="str">
        <f t="shared" si="236"/>
        <v>{s_taskTalk,{60789,60802}}</v>
      </c>
    </row>
    <row r="1729" spans="1:49" s="808" customFormat="1" x14ac:dyDescent="0.15">
      <c r="A1729" s="72">
        <v>32508</v>
      </c>
      <c r="B1729" s="73" t="s">
        <v>2857</v>
      </c>
      <c r="C1729" s="73" t="s">
        <v>2927</v>
      </c>
      <c r="D1729" s="73">
        <v>3</v>
      </c>
      <c r="E1729" s="73">
        <v>0</v>
      </c>
      <c r="F1729" s="73">
        <v>5</v>
      </c>
      <c r="G1729" s="80">
        <v>70</v>
      </c>
      <c r="H1729" s="73">
        <v>200</v>
      </c>
      <c r="I1729" s="17">
        <v>0</v>
      </c>
      <c r="J1729" s="80">
        <v>0</v>
      </c>
      <c r="K1729" s="73">
        <v>1</v>
      </c>
      <c r="L1729" s="73">
        <v>60789</v>
      </c>
      <c r="M1729" s="73" t="s">
        <v>2834</v>
      </c>
      <c r="N1729" s="73">
        <v>60803</v>
      </c>
      <c r="O1729" s="73" t="s">
        <v>5255</v>
      </c>
      <c r="P1729" s="73"/>
      <c r="Q1729" s="140"/>
      <c r="R1729" s="807"/>
      <c r="S1729" s="140"/>
      <c r="T1729" s="140"/>
      <c r="U1729" s="73">
        <v>1</v>
      </c>
      <c r="V1729" s="73">
        <v>1</v>
      </c>
      <c r="W1729" s="73"/>
      <c r="X1729" s="73"/>
      <c r="Y1729" s="73"/>
      <c r="Z1729" s="142">
        <v>0</v>
      </c>
      <c r="AA1729" s="73"/>
      <c r="AB1729" s="143"/>
      <c r="AC1729" s="143"/>
      <c r="AD1729" s="73"/>
      <c r="AE1729" s="73"/>
      <c r="AF1729" s="73"/>
      <c r="AG1729" s="73"/>
      <c r="AH1729" s="73"/>
      <c r="AI1729" s="73"/>
      <c r="AJ1729" s="73"/>
      <c r="AK1729" s="73"/>
      <c r="AL1729" s="80">
        <v>0</v>
      </c>
      <c r="AM1729" s="73"/>
      <c r="AN1729" s="73"/>
      <c r="AO1729" s="73"/>
      <c r="AP1729" s="73">
        <v>0</v>
      </c>
      <c r="AQ1729" s="73">
        <v>0</v>
      </c>
      <c r="AR1729" s="73">
        <v>0</v>
      </c>
      <c r="AS1729" s="73">
        <v>0</v>
      </c>
      <c r="AT1729" s="73">
        <v>0</v>
      </c>
      <c r="AU1729" s="226">
        <v>0</v>
      </c>
      <c r="AV1729" s="17">
        <f t="shared" si="231"/>
        <v>0</v>
      </c>
      <c r="AW1729" s="50" t="str">
        <f t="shared" si="236"/>
        <v>{s_taskTalk,{60789,60803}}</v>
      </c>
    </row>
    <row r="1730" spans="1:49" s="808" customFormat="1" x14ac:dyDescent="0.15">
      <c r="A1730" s="72">
        <v>32509</v>
      </c>
      <c r="B1730" s="73" t="s">
        <v>2857</v>
      </c>
      <c r="C1730" s="73" t="s">
        <v>2927</v>
      </c>
      <c r="D1730" s="73">
        <v>3</v>
      </c>
      <c r="E1730" s="73">
        <v>0</v>
      </c>
      <c r="F1730" s="73">
        <v>5</v>
      </c>
      <c r="G1730" s="80">
        <v>70</v>
      </c>
      <c r="H1730" s="73">
        <v>200</v>
      </c>
      <c r="I1730" s="17">
        <v>0</v>
      </c>
      <c r="J1730" s="80">
        <v>0</v>
      </c>
      <c r="K1730" s="73">
        <v>1</v>
      </c>
      <c r="L1730" s="73">
        <v>60789</v>
      </c>
      <c r="M1730" s="73" t="s">
        <v>2834</v>
      </c>
      <c r="N1730" s="73">
        <v>60804</v>
      </c>
      <c r="O1730" s="73" t="s">
        <v>5256</v>
      </c>
      <c r="P1730" s="73"/>
      <c r="Q1730" s="140"/>
      <c r="R1730" s="807"/>
      <c r="S1730" s="140"/>
      <c r="T1730" s="140"/>
      <c r="U1730" s="73">
        <v>1</v>
      </c>
      <c r="V1730" s="73">
        <v>1</v>
      </c>
      <c r="W1730" s="73"/>
      <c r="X1730" s="73"/>
      <c r="Y1730" s="73"/>
      <c r="Z1730" s="142">
        <v>0</v>
      </c>
      <c r="AA1730" s="73"/>
      <c r="AB1730" s="143"/>
      <c r="AC1730" s="143"/>
      <c r="AD1730" s="73"/>
      <c r="AE1730" s="73"/>
      <c r="AF1730" s="73"/>
      <c r="AG1730" s="73"/>
      <c r="AH1730" s="73"/>
      <c r="AI1730" s="73"/>
      <c r="AJ1730" s="73"/>
      <c r="AK1730" s="73"/>
      <c r="AL1730" s="80">
        <v>0</v>
      </c>
      <c r="AM1730" s="73"/>
      <c r="AN1730" s="73"/>
      <c r="AO1730" s="73"/>
      <c r="AP1730" s="73">
        <v>0</v>
      </c>
      <c r="AQ1730" s="73">
        <v>0</v>
      </c>
      <c r="AR1730" s="73">
        <v>0</v>
      </c>
      <c r="AS1730" s="73">
        <v>0</v>
      </c>
      <c r="AT1730" s="73">
        <v>0</v>
      </c>
      <c r="AU1730" s="226">
        <v>0</v>
      </c>
      <c r="AV1730" s="17">
        <f t="shared" si="231"/>
        <v>0</v>
      </c>
      <c r="AW1730" s="50" t="str">
        <f t="shared" si="236"/>
        <v>{s_taskTalk,{60789,60804}}</v>
      </c>
    </row>
    <row r="1731" spans="1:49" s="808" customFormat="1" x14ac:dyDescent="0.15">
      <c r="A1731" s="72">
        <v>32510</v>
      </c>
      <c r="B1731" s="73" t="s">
        <v>2857</v>
      </c>
      <c r="C1731" s="73" t="s">
        <v>2927</v>
      </c>
      <c r="D1731" s="73">
        <v>3</v>
      </c>
      <c r="E1731" s="73">
        <v>0</v>
      </c>
      <c r="F1731" s="73">
        <v>5</v>
      </c>
      <c r="G1731" s="80">
        <v>70</v>
      </c>
      <c r="H1731" s="73">
        <v>200</v>
      </c>
      <c r="I1731" s="17">
        <v>0</v>
      </c>
      <c r="J1731" s="80">
        <v>0</v>
      </c>
      <c r="K1731" s="73">
        <v>1</v>
      </c>
      <c r="L1731" s="73">
        <v>60789</v>
      </c>
      <c r="M1731" s="73" t="s">
        <v>2834</v>
      </c>
      <c r="N1731" s="73">
        <v>60805</v>
      </c>
      <c r="O1731" s="73" t="s">
        <v>5257</v>
      </c>
      <c r="P1731" s="73"/>
      <c r="Q1731" s="140"/>
      <c r="R1731" s="807"/>
      <c r="S1731" s="140"/>
      <c r="T1731" s="140"/>
      <c r="U1731" s="73">
        <v>1</v>
      </c>
      <c r="V1731" s="73">
        <v>1</v>
      </c>
      <c r="W1731" s="73"/>
      <c r="X1731" s="73"/>
      <c r="Y1731" s="73"/>
      <c r="Z1731" s="142">
        <v>0</v>
      </c>
      <c r="AA1731" s="73"/>
      <c r="AB1731" s="143"/>
      <c r="AC1731" s="143"/>
      <c r="AD1731" s="73"/>
      <c r="AE1731" s="73"/>
      <c r="AF1731" s="73"/>
      <c r="AG1731" s="73"/>
      <c r="AH1731" s="73"/>
      <c r="AI1731" s="73"/>
      <c r="AJ1731" s="73"/>
      <c r="AK1731" s="73"/>
      <c r="AL1731" s="80">
        <v>0</v>
      </c>
      <c r="AM1731" s="73"/>
      <c r="AN1731" s="73"/>
      <c r="AO1731" s="73"/>
      <c r="AP1731" s="73">
        <v>0</v>
      </c>
      <c r="AQ1731" s="73">
        <v>0</v>
      </c>
      <c r="AR1731" s="73">
        <v>0</v>
      </c>
      <c r="AS1731" s="73">
        <v>0</v>
      </c>
      <c r="AT1731" s="73">
        <v>0</v>
      </c>
      <c r="AU1731" s="226">
        <v>0</v>
      </c>
      <c r="AV1731" s="17">
        <f t="shared" si="231"/>
        <v>0</v>
      </c>
      <c r="AW1731" s="50" t="str">
        <f t="shared" si="236"/>
        <v>{s_taskTalk,{60789,60805}}</v>
      </c>
    </row>
    <row r="1732" spans="1:49" s="808" customFormat="1" ht="156" x14ac:dyDescent="0.15">
      <c r="A1732" s="72">
        <v>32511</v>
      </c>
      <c r="B1732" s="73" t="s">
        <v>2896</v>
      </c>
      <c r="C1732" s="73" t="s">
        <v>2928</v>
      </c>
      <c r="D1732" s="73">
        <v>3</v>
      </c>
      <c r="E1732" s="73">
        <v>0</v>
      </c>
      <c r="F1732" s="73">
        <v>5</v>
      </c>
      <c r="G1732" s="80">
        <v>70</v>
      </c>
      <c r="H1732" s="73">
        <v>200</v>
      </c>
      <c r="I1732" s="17">
        <v>0</v>
      </c>
      <c r="J1732" s="80">
        <v>0</v>
      </c>
      <c r="K1732" s="73">
        <v>1</v>
      </c>
      <c r="L1732" s="73">
        <v>60789</v>
      </c>
      <c r="M1732" s="73" t="s">
        <v>2834</v>
      </c>
      <c r="N1732" s="73">
        <v>60789</v>
      </c>
      <c r="O1732" s="73" t="s">
        <v>5228</v>
      </c>
      <c r="P1732" s="73"/>
      <c r="Q1732" s="140"/>
      <c r="R1732" s="807"/>
      <c r="S1732" s="140"/>
      <c r="T1732" s="140">
        <v>31439</v>
      </c>
      <c r="U1732" s="73">
        <v>1</v>
      </c>
      <c r="V1732" s="73">
        <v>0</v>
      </c>
      <c r="W1732" s="73"/>
      <c r="X1732" s="73"/>
      <c r="Y1732" s="73"/>
      <c r="Z1732" s="142">
        <v>0</v>
      </c>
      <c r="AA1732" s="73"/>
      <c r="AB1732" s="143"/>
      <c r="AC1732" s="143"/>
      <c r="AD1732" s="73"/>
      <c r="AE1732" s="73"/>
      <c r="AF1732" s="556" t="str">
        <f>"title("&amp;C1732&amp;")
body(hotyellow_3(任务进程:)newline()
   前往敌国hot(五丈原)找到该国goto(60807,7)拿到hot("&amp;U1732&amp;"个白品质酒杯)，回复goto(60789,5)。hot(（非本国及盟国即是敌国哦）)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前往敌国hot(五丈原)找到该国goto(60807,7)拿到hot(1个白品质酒杯)，回复goto(60789,5)。hot(（非本国及盟国即是敌国哦）)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v>
      </c>
      <c r="AG1732" s="556" t="s">
        <v>2899</v>
      </c>
      <c r="AH1732" s="556" t="s">
        <v>2900</v>
      </c>
      <c r="AI1732" s="556" t="s">
        <v>110</v>
      </c>
      <c r="AJ1732" s="556" t="s">
        <v>6533</v>
      </c>
      <c r="AK1732" s="683" t="str">
        <f>"收集"&amp;U1732&amp;"个白品质酒杯"</f>
        <v>收集1个白品质酒杯</v>
      </c>
      <c r="AL1732" s="678">
        <v>0</v>
      </c>
      <c r="AM1732" s="683" t="str">
        <f>"&lt;p&gt;&lt;n&gt;  通过&lt;/n&gt;&lt;goto id=""126"" mapid=""7"" flagpoint=""1"" /&gt;&lt;newline/&gt;&lt;n&gt;  去敌国找&lt;/n&gt;&lt;goto id=""60807"" mapid=""7"" flagpoint=""1"" /&gt;&lt;newline/&gt;
&lt;n&gt;  收集1个白品质酒杯&lt;/n&gt;&lt;newline/&gt;
&lt;n&gt;  回复：&lt;/n&gt;&lt;goto id="""&amp;N1732&amp;""" mapid=""5"" flagpoint=""1"" taskid="""&amp;A1732&amp;"""/&gt;
&lt;/p&gt;"</f>
        <v>&lt;p&gt;&lt;n&gt;  通过&lt;/n&gt;&lt;goto id="126" mapid="7" flagpoint="1" /&gt;&lt;newline/&gt;&lt;n&gt;  去敌国找&lt;/n&gt;&lt;goto id="60807" mapid="7" flagpoint="1" /&gt;&lt;newline/&gt;
&lt;n&gt;  收集1个白品质酒杯&lt;/n&gt;&lt;newline/&gt;
&lt;n&gt;  回复：&lt;/n&gt;&lt;goto id="60789" mapid="5" flagpoint="1" taskid="32511"/&gt;
&lt;/p&gt;</v>
      </c>
      <c r="AN1732" s="683" t="str">
        <f t="shared" ref="AN1732:AN1739" si="237">"&lt;p&gt;
&lt;n&gt;  交：&lt;/n&gt;&lt;goto id="""&amp;N1732&amp;""" mapid=""5"" flagpoint=""1"" taskid="""&amp;A1732&amp;"""/&gt;
&lt;/p&gt;"</f>
        <v>&lt;p&gt;
&lt;n&gt;  交：&lt;/n&gt;&lt;goto id="60789" mapid="5" flagpoint="1" taskid="32511"/&gt;
&lt;/p&gt;</v>
      </c>
      <c r="AO1732" s="556"/>
      <c r="AP1732" s="556">
        <v>0</v>
      </c>
      <c r="AQ1732" s="556">
        <v>0</v>
      </c>
      <c r="AR1732" s="556">
        <v>0</v>
      </c>
      <c r="AS1732" s="556">
        <v>0</v>
      </c>
      <c r="AT1732" s="556">
        <v>0</v>
      </c>
      <c r="AU1732" s="226">
        <v>0</v>
      </c>
      <c r="AV1732" s="17">
        <f t="shared" si="231"/>
        <v>0</v>
      </c>
      <c r="AW1732" s="556" t="str">
        <f>"{s_taskGather,{"&amp;L1732&amp;","&amp;N1732&amp;","&amp;T1732&amp;","&amp;U1732&amp;",0,0}}"</f>
        <v>{s_taskGather,{60789,60789,31439,1,0,0}}</v>
      </c>
    </row>
    <row r="1733" spans="1:49" s="808" customFormat="1" ht="156" x14ac:dyDescent="0.15">
      <c r="A1733" s="72">
        <v>32512</v>
      </c>
      <c r="B1733" s="73" t="s">
        <v>2857</v>
      </c>
      <c r="C1733" s="73" t="s">
        <v>2928</v>
      </c>
      <c r="D1733" s="73">
        <v>3</v>
      </c>
      <c r="E1733" s="73">
        <v>0</v>
      </c>
      <c r="F1733" s="73">
        <v>5</v>
      </c>
      <c r="G1733" s="80">
        <v>70</v>
      </c>
      <c r="H1733" s="73">
        <v>200</v>
      </c>
      <c r="I1733" s="17">
        <v>0</v>
      </c>
      <c r="J1733" s="80">
        <v>0</v>
      </c>
      <c r="K1733" s="73">
        <v>1</v>
      </c>
      <c r="L1733" s="73">
        <v>60789</v>
      </c>
      <c r="M1733" s="73" t="s">
        <v>2834</v>
      </c>
      <c r="N1733" s="73">
        <v>60789</v>
      </c>
      <c r="O1733" s="73" t="s">
        <v>5228</v>
      </c>
      <c r="P1733" s="73"/>
      <c r="Q1733" s="140"/>
      <c r="R1733" s="807"/>
      <c r="S1733" s="140"/>
      <c r="T1733" s="140">
        <v>31439</v>
      </c>
      <c r="U1733" s="73">
        <v>1</v>
      </c>
      <c r="V1733" s="73">
        <v>0</v>
      </c>
      <c r="W1733" s="73"/>
      <c r="X1733" s="73"/>
      <c r="Y1733" s="73"/>
      <c r="Z1733" s="142">
        <v>0</v>
      </c>
      <c r="AA1733" s="73"/>
      <c r="AB1733" s="143"/>
      <c r="AC1733" s="143"/>
      <c r="AD1733" s="73"/>
      <c r="AE1733" s="73"/>
      <c r="AF1733" s="556" t="str">
        <f>"title("&amp;C1733&amp;")
body(hotyellow_3(任务进程:)newline()
   前往敌国hot(五丈原)找到该国goto(60807,7)拿到hot("&amp;U1733&amp;"个蓝品质酒杯)，回复goto(60789,5)。hot(（非本国及盟国即是敌国哦）)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前往敌国hot(五丈原)找到该国goto(60807,7)拿到hot(1个蓝品质酒杯)，回复goto(60789,5)。hot(（非本国及盟国即是敌国哦）)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v>
      </c>
      <c r="AG1733" s="556" t="s">
        <v>2901</v>
      </c>
      <c r="AH1733" s="556" t="s">
        <v>2900</v>
      </c>
      <c r="AI1733" s="556" t="s">
        <v>110</v>
      </c>
      <c r="AJ1733" s="556" t="s">
        <v>6533</v>
      </c>
      <c r="AK1733" s="683" t="str">
        <f>"收集"&amp;U1733&amp;"个蓝品质酒杯"</f>
        <v>收集1个蓝品质酒杯</v>
      </c>
      <c r="AL1733" s="678">
        <v>0</v>
      </c>
      <c r="AM1733" s="683" t="str">
        <f>"&lt;p&gt;&lt;n&gt;  通过&lt;/n&gt;&lt;goto id=""126"" mapid=""7"" flagpoint=""1"" /&gt;&lt;newline/&gt;&lt;n&gt;  去敌国找&lt;/n&gt;&lt;goto id=""60807"" mapid=""7"" flagpoint=""1"" /&gt;&lt;newline/&gt;
&lt;n&gt;  收集1个蓝品质酒杯&lt;/n&gt;&lt;newline/&gt;
&lt;n&gt;  回复：&lt;/n&gt;&lt;goto id="""&amp;N1733&amp;""" mapid=""5"" flagpoint=""1"" taskid="""&amp;A1733&amp;"""/&gt;
&lt;/p&gt;"</f>
        <v>&lt;p&gt;&lt;n&gt;  通过&lt;/n&gt;&lt;goto id="126" mapid="7" flagpoint="1" /&gt;&lt;newline/&gt;&lt;n&gt;  去敌国找&lt;/n&gt;&lt;goto id="60807" mapid="7" flagpoint="1" /&gt;&lt;newline/&gt;
&lt;n&gt;  收集1个蓝品质酒杯&lt;/n&gt;&lt;newline/&gt;
&lt;n&gt;  回复：&lt;/n&gt;&lt;goto id="60789" mapid="5" flagpoint="1" taskid="32512"/&gt;
&lt;/p&gt;</v>
      </c>
      <c r="AN1733" s="683" t="str">
        <f t="shared" si="237"/>
        <v>&lt;p&gt;
&lt;n&gt;  交：&lt;/n&gt;&lt;goto id="60789" mapid="5" flagpoint="1" taskid="32512"/&gt;
&lt;/p&gt;</v>
      </c>
      <c r="AO1733" s="556"/>
      <c r="AP1733" s="556">
        <v>0</v>
      </c>
      <c r="AQ1733" s="556">
        <v>0</v>
      </c>
      <c r="AR1733" s="556">
        <v>0</v>
      </c>
      <c r="AS1733" s="556">
        <v>0</v>
      </c>
      <c r="AT1733" s="556">
        <v>0</v>
      </c>
      <c r="AU1733" s="226">
        <v>0</v>
      </c>
      <c r="AV1733" s="17">
        <f t="shared" si="231"/>
        <v>0</v>
      </c>
      <c r="AW1733" s="556" t="str">
        <f>"{s_taskGather,{"&amp;L1733&amp;","&amp;N1733&amp;","&amp;T1733&amp;","&amp;U1733&amp;",0,1}}"</f>
        <v>{s_taskGather,{60789,60789,31439,1,0,1}}</v>
      </c>
    </row>
    <row r="1734" spans="1:49" s="808" customFormat="1" ht="156" x14ac:dyDescent="0.15">
      <c r="A1734" s="72">
        <v>32513</v>
      </c>
      <c r="B1734" s="73" t="s">
        <v>2857</v>
      </c>
      <c r="C1734" s="73" t="s">
        <v>2928</v>
      </c>
      <c r="D1734" s="73">
        <v>3</v>
      </c>
      <c r="E1734" s="73">
        <v>0</v>
      </c>
      <c r="F1734" s="73">
        <v>5</v>
      </c>
      <c r="G1734" s="80">
        <v>70</v>
      </c>
      <c r="H1734" s="73">
        <v>200</v>
      </c>
      <c r="I1734" s="17">
        <v>0</v>
      </c>
      <c r="J1734" s="80">
        <v>0</v>
      </c>
      <c r="K1734" s="73">
        <v>1</v>
      </c>
      <c r="L1734" s="73">
        <v>60789</v>
      </c>
      <c r="M1734" s="73" t="s">
        <v>2834</v>
      </c>
      <c r="N1734" s="73">
        <v>60789</v>
      </c>
      <c r="O1734" s="73" t="s">
        <v>5228</v>
      </c>
      <c r="P1734" s="73"/>
      <c r="Q1734" s="140"/>
      <c r="R1734" s="807"/>
      <c r="S1734" s="140"/>
      <c r="T1734" s="140">
        <v>31438</v>
      </c>
      <c r="U1734" s="73">
        <v>1</v>
      </c>
      <c r="V1734" s="73">
        <v>0</v>
      </c>
      <c r="W1734" s="73"/>
      <c r="X1734" s="73"/>
      <c r="Y1734" s="73"/>
      <c r="Z1734" s="142">
        <v>0</v>
      </c>
      <c r="AA1734" s="73"/>
      <c r="AB1734" s="143"/>
      <c r="AC1734" s="143"/>
      <c r="AD1734" s="73"/>
      <c r="AE1734" s="73"/>
      <c r="AF1734" s="556" t="str">
        <f>"title("&amp;C1734&amp;")
body(hotyellow_3(任务进程:)newline()
   前往敌国hot(王城)找到该国goto(60806,5)拿到hot("&amp;U1734&amp;"个白品质美酒)，回复goto(60789,5)。hot(（非本国及盟国即是敌国哦）)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前往敌国hot(王城)找到该国goto(60806,5)拿到hot(1个白品质美酒)，回复goto(60789,5)。hot(（非本国及盟国即是敌国哦）)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v>
      </c>
      <c r="AG1734" s="556" t="s">
        <v>2903</v>
      </c>
      <c r="AH1734" s="556" t="s">
        <v>2900</v>
      </c>
      <c r="AI1734" s="556" t="s">
        <v>110</v>
      </c>
      <c r="AJ1734" s="556" t="s">
        <v>6534</v>
      </c>
      <c r="AK1734" s="683" t="str">
        <f>"收集"&amp;U1734&amp;"个白品质美酒"</f>
        <v>收集1个白品质美酒</v>
      </c>
      <c r="AL1734" s="678">
        <v>0</v>
      </c>
      <c r="AM1734" s="683" t="str">
        <f>"&lt;p&gt;&lt;n&gt;  通过&lt;/n&gt;&lt;goto id=""126"" mapid=""7"" flagpoint=""1"" /&gt;&lt;newline/&gt;&lt;n&gt;  去敌国找&lt;/n&gt;&lt;goto id=""60806"" mapid=""5"" flagpoint=""1"" /&gt;&lt;newline/&gt;
&lt;n&gt;  收集1个白品质美酒&lt;/n&gt;&lt;newline/&gt;
&lt;n&gt;  回复：&lt;/n&gt;&lt;goto id="""&amp;N1734&amp;""" mapid=""5"" flagpoint=""1"" taskid="""&amp;A1734&amp;"""/&gt;
&lt;/p&gt;"</f>
        <v>&lt;p&gt;&lt;n&gt;  通过&lt;/n&gt;&lt;goto id="126" mapid="7" flagpoint="1" /&gt;&lt;newline/&gt;&lt;n&gt;  去敌国找&lt;/n&gt;&lt;goto id="60806" mapid="5" flagpoint="1" /&gt;&lt;newline/&gt;
&lt;n&gt;  收集1个白品质美酒&lt;/n&gt;&lt;newline/&gt;
&lt;n&gt;  回复：&lt;/n&gt;&lt;goto id="60789" mapid="5" flagpoint="1" taskid="32513"/&gt;
&lt;/p&gt;</v>
      </c>
      <c r="AN1734" s="683" t="str">
        <f t="shared" si="237"/>
        <v>&lt;p&gt;
&lt;n&gt;  交：&lt;/n&gt;&lt;goto id="60789" mapid="5" flagpoint="1" taskid="32513"/&gt;
&lt;/p&gt;</v>
      </c>
      <c r="AO1734" s="556"/>
      <c r="AP1734" s="556">
        <v>0</v>
      </c>
      <c r="AQ1734" s="556">
        <v>0</v>
      </c>
      <c r="AR1734" s="556">
        <v>0</v>
      </c>
      <c r="AS1734" s="556">
        <v>0</v>
      </c>
      <c r="AT1734" s="556">
        <v>0</v>
      </c>
      <c r="AU1734" s="226">
        <v>0</v>
      </c>
      <c r="AV1734" s="17">
        <f t="shared" si="231"/>
        <v>0</v>
      </c>
      <c r="AW1734" s="556" t="str">
        <f>"{s_taskGather,{"&amp;L1734&amp;","&amp;N1734&amp;","&amp;T1734&amp;","&amp;U1734&amp;",0,1}}"</f>
        <v>{s_taskGather,{60789,60789,31438,1,0,1}}</v>
      </c>
    </row>
    <row r="1735" spans="1:49" s="808" customFormat="1" ht="156" x14ac:dyDescent="0.15">
      <c r="A1735" s="72">
        <v>32514</v>
      </c>
      <c r="B1735" s="73" t="s">
        <v>2904</v>
      </c>
      <c r="C1735" s="73" t="s">
        <v>2928</v>
      </c>
      <c r="D1735" s="73">
        <v>3</v>
      </c>
      <c r="E1735" s="73">
        <v>0</v>
      </c>
      <c r="F1735" s="73">
        <v>5</v>
      </c>
      <c r="G1735" s="80">
        <v>70</v>
      </c>
      <c r="H1735" s="73">
        <v>200</v>
      </c>
      <c r="I1735" s="17">
        <v>0</v>
      </c>
      <c r="J1735" s="80">
        <v>0</v>
      </c>
      <c r="K1735" s="73">
        <v>1</v>
      </c>
      <c r="L1735" s="73">
        <v>60789</v>
      </c>
      <c r="M1735" s="73" t="s">
        <v>2834</v>
      </c>
      <c r="N1735" s="73">
        <v>60789</v>
      </c>
      <c r="O1735" s="73" t="s">
        <v>5228</v>
      </c>
      <c r="P1735" s="73"/>
      <c r="Q1735" s="140"/>
      <c r="R1735" s="807"/>
      <c r="S1735" s="140"/>
      <c r="T1735" s="140">
        <v>31438</v>
      </c>
      <c r="U1735" s="73">
        <v>1</v>
      </c>
      <c r="V1735" s="73">
        <v>0</v>
      </c>
      <c r="W1735" s="73"/>
      <c r="X1735" s="73"/>
      <c r="Y1735" s="73"/>
      <c r="Z1735" s="142">
        <v>0</v>
      </c>
      <c r="AA1735" s="73"/>
      <c r="AB1735" s="143"/>
      <c r="AC1735" s="143"/>
      <c r="AD1735" s="73"/>
      <c r="AE1735" s="73"/>
      <c r="AF1735" s="556" t="str">
        <f>"title("&amp;C1735&amp;")
body(hotyellow_3(任务进程:)newline()
   前往敌国hot(王城)找到该国goto(60806,5)拿到hot("&amp;U1735&amp;"个蓝品质美酒)，回复goto(60789,5)。hot(（非本国及盟国即是敌国哦）)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前往敌国hot(王城)找到该国goto(60806,5)拿到hot(1个蓝品质美酒)，回复goto(60789,5)。hot(（非本国及盟国即是敌国哦）)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v>
      </c>
      <c r="AG1735" s="556" t="s">
        <v>2902</v>
      </c>
      <c r="AH1735" s="556" t="s">
        <v>2900</v>
      </c>
      <c r="AI1735" s="556" t="s">
        <v>110</v>
      </c>
      <c r="AJ1735" s="556" t="s">
        <v>6534</v>
      </c>
      <c r="AK1735" s="683" t="str">
        <f>"收集"&amp;U1735&amp;"个蓝品质美酒"</f>
        <v>收集1个蓝品质美酒</v>
      </c>
      <c r="AL1735" s="678">
        <v>0</v>
      </c>
      <c r="AM1735" s="683" t="str">
        <f>"&lt;p&gt;&lt;n&gt;  通过&lt;/n&gt;&lt;goto id=""126"" mapid=""7"" flagpoint=""1"" /&gt;&lt;newline/&gt;&lt;n&gt;  去敌国找&lt;/n&gt;&lt;goto id=""60806"" mapid=""5"" flagpoint=""1"" /&gt;&lt;newline/&gt;
&lt;n&gt;  收集1个蓝品质美酒&lt;/n&gt;&lt;newline/&gt;
&lt;n&gt;  回复：&lt;/n&gt;&lt;goto id="""&amp;N1735&amp;""" mapid=""5"" flagpoint=""1"" taskid="""&amp;A1735&amp;"""/&gt;
&lt;/p&gt;"</f>
        <v>&lt;p&gt;&lt;n&gt;  通过&lt;/n&gt;&lt;goto id="126" mapid="7" flagpoint="1" /&gt;&lt;newline/&gt;&lt;n&gt;  去敌国找&lt;/n&gt;&lt;goto id="60806" mapid="5" flagpoint="1" /&gt;&lt;newline/&gt;
&lt;n&gt;  收集1个蓝品质美酒&lt;/n&gt;&lt;newline/&gt;
&lt;n&gt;  回复：&lt;/n&gt;&lt;goto id="60789" mapid="5" flagpoint="1" taskid="32514"/&gt;
&lt;/p&gt;</v>
      </c>
      <c r="AN1735" s="683" t="str">
        <f t="shared" si="237"/>
        <v>&lt;p&gt;
&lt;n&gt;  交：&lt;/n&gt;&lt;goto id="60789" mapid="5" flagpoint="1" taskid="32514"/&gt;
&lt;/p&gt;</v>
      </c>
      <c r="AO1735" s="556"/>
      <c r="AP1735" s="556">
        <v>0</v>
      </c>
      <c r="AQ1735" s="556">
        <v>0</v>
      </c>
      <c r="AR1735" s="556">
        <v>0</v>
      </c>
      <c r="AS1735" s="556">
        <v>0</v>
      </c>
      <c r="AT1735" s="556">
        <v>0</v>
      </c>
      <c r="AU1735" s="226">
        <v>0</v>
      </c>
      <c r="AV1735" s="17">
        <f t="shared" si="231"/>
        <v>0</v>
      </c>
      <c r="AW1735" s="556" t="str">
        <f>"{s_taskGather,{"&amp;L1735&amp;","&amp;N1735&amp;","&amp;T1735&amp;","&amp;U1735&amp;",0,1}}"</f>
        <v>{s_taskGather,{60789,60789,31438,1,0,1}}</v>
      </c>
    </row>
    <row r="1736" spans="1:49" s="808" customFormat="1" ht="144" x14ac:dyDescent="0.15">
      <c r="A1736" s="72">
        <v>32515</v>
      </c>
      <c r="B1736" s="73" t="s">
        <v>2857</v>
      </c>
      <c r="C1736" s="73" t="s">
        <v>2926</v>
      </c>
      <c r="D1736" s="73">
        <v>3</v>
      </c>
      <c r="E1736" s="73">
        <v>0</v>
      </c>
      <c r="F1736" s="73">
        <v>5</v>
      </c>
      <c r="G1736" s="80">
        <v>70</v>
      </c>
      <c r="H1736" s="73">
        <v>200</v>
      </c>
      <c r="I1736" s="17">
        <v>0</v>
      </c>
      <c r="J1736" s="80">
        <v>0</v>
      </c>
      <c r="K1736" s="73">
        <v>1</v>
      </c>
      <c r="L1736" s="73">
        <v>60789</v>
      </c>
      <c r="M1736" s="73" t="s">
        <v>2834</v>
      </c>
      <c r="N1736" s="73">
        <v>60789</v>
      </c>
      <c r="O1736" s="73" t="s">
        <v>5228</v>
      </c>
      <c r="P1736" s="73"/>
      <c r="Q1736" s="140"/>
      <c r="R1736" s="807"/>
      <c r="S1736" s="140">
        <v>60808</v>
      </c>
      <c r="T1736" s="140"/>
      <c r="U1736" s="73">
        <v>1</v>
      </c>
      <c r="V1736" s="73">
        <v>0</v>
      </c>
      <c r="W1736" s="73"/>
      <c r="X1736" s="73"/>
      <c r="Y1736" s="73"/>
      <c r="Z1736" s="142">
        <v>0</v>
      </c>
      <c r="AA1736" s="73"/>
      <c r="AB1736" s="143"/>
      <c r="AC1736" s="143"/>
      <c r="AD1736" s="73"/>
      <c r="AE1736" s="745" t="s">
        <v>2917</v>
      </c>
      <c r="AF1736" s="556" t="str">
        <f>"title("&amp;C1736&amp;")
body(hotyellow_3(任务进程:)newline()
   使用任务给予的单兵火箭筒前往敌国hot(五丈原)破坏1个goto(60808,7)，回复goto(60789,5)。hot(（非本国及盟国即是敌国哦）)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使用任务给予的单兵火箭筒前往敌国hot(五丈原)破坏1个goto(60808,7)，回复goto(60789,5)。hot(（非本国及盟国即是敌国哦）)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36" s="556" t="s">
        <v>2918</v>
      </c>
      <c r="AH1736" s="556" t="s">
        <v>2916</v>
      </c>
      <c r="AI1736" s="556" t="s">
        <v>110</v>
      </c>
      <c r="AJ1736" s="556" t="s">
        <v>6535</v>
      </c>
      <c r="AK1736" s="683" t="str">
        <f>"破坏"&amp;U1736&amp;"个沙地型补给艇"</f>
        <v>破坏1个沙地型补给艇</v>
      </c>
      <c r="AL1736" s="678">
        <v>0</v>
      </c>
      <c r="AM1736" s="683" t="str">
        <f>"&lt;p&gt;&lt;n&gt;  通过&lt;/n&gt;&lt;goto id=""126"" mapid=""7"" flagpoint=""1"" /&gt;&lt;newline/&gt;&lt;n&gt;  去敌国使用火箭筒破坏1个&lt;/n&gt;&lt;goto id="""&amp;S1736&amp;""" mapid=""7"" flagpoint=""1"" /&gt;&lt;newline/&gt;
&lt;n&gt;  回复：&lt;/n&gt;&lt;goto id="""&amp;N1736&amp;""" mapid=""5"" flagpoint=""1"" taskid="""&amp;A1736&amp;"""/&gt;
&lt;/p&gt;"</f>
        <v>&lt;p&gt;&lt;n&gt;  通过&lt;/n&gt;&lt;goto id="126" mapid="7" flagpoint="1" /&gt;&lt;newline/&gt;&lt;n&gt;  去敌国使用火箭筒破坏1个&lt;/n&gt;&lt;goto id="60808" mapid="7" flagpoint="1" /&gt;&lt;newline/&gt;
&lt;n&gt;  回复：&lt;/n&gt;&lt;goto id="60789" mapid="5" flagpoint="1" taskid="32515"/&gt;
&lt;/p&gt;</v>
      </c>
      <c r="AN1736" s="683" t="str">
        <f t="shared" si="237"/>
        <v>&lt;p&gt;
&lt;n&gt;  交：&lt;/n&gt;&lt;goto id="60789" mapid="5" flagpoint="1" taskid="32515"/&gt;
&lt;/p&gt;</v>
      </c>
      <c r="AO1736" s="556"/>
      <c r="AP1736" s="556">
        <v>0</v>
      </c>
      <c r="AQ1736" s="556">
        <v>0</v>
      </c>
      <c r="AR1736" s="556">
        <v>0</v>
      </c>
      <c r="AS1736" s="556">
        <v>0</v>
      </c>
      <c r="AT1736" s="556">
        <v>0</v>
      </c>
      <c r="AU1736" s="226">
        <v>0</v>
      </c>
      <c r="AV1736" s="17">
        <f t="shared" si="231"/>
        <v>0</v>
      </c>
      <c r="AW1736" s="50" t="str">
        <f>"{s_taskKillNpc, {"&amp;L1736&amp;","&amp;N1736&amp;","&amp;S1736&amp;","&amp;U1736&amp;"}}"</f>
        <v>{s_taskKillNpc, {60789,60789,60808,1}}</v>
      </c>
    </row>
    <row r="1737" spans="1:49" s="808" customFormat="1" ht="144" x14ac:dyDescent="0.15">
      <c r="A1737" s="72">
        <v>32516</v>
      </c>
      <c r="B1737" s="73" t="s">
        <v>2857</v>
      </c>
      <c r="C1737" s="73" t="s">
        <v>2926</v>
      </c>
      <c r="D1737" s="73">
        <v>3</v>
      </c>
      <c r="E1737" s="73">
        <v>0</v>
      </c>
      <c r="F1737" s="73">
        <v>5</v>
      </c>
      <c r="G1737" s="80">
        <v>70</v>
      </c>
      <c r="H1737" s="73">
        <v>200</v>
      </c>
      <c r="I1737" s="17">
        <v>0</v>
      </c>
      <c r="J1737" s="80">
        <v>0</v>
      </c>
      <c r="K1737" s="73">
        <v>1</v>
      </c>
      <c r="L1737" s="73">
        <v>60789</v>
      </c>
      <c r="M1737" s="73" t="s">
        <v>2834</v>
      </c>
      <c r="N1737" s="73">
        <v>60789</v>
      </c>
      <c r="O1737" s="73" t="s">
        <v>5228</v>
      </c>
      <c r="P1737" s="73"/>
      <c r="Q1737" s="140"/>
      <c r="R1737" s="807"/>
      <c r="S1737" s="140">
        <v>60808</v>
      </c>
      <c r="T1737" s="140"/>
      <c r="U1737" s="73">
        <v>3</v>
      </c>
      <c r="V1737" s="73">
        <v>0</v>
      </c>
      <c r="W1737" s="73"/>
      <c r="X1737" s="73"/>
      <c r="Y1737" s="73"/>
      <c r="Z1737" s="142">
        <v>0</v>
      </c>
      <c r="AA1737" s="73"/>
      <c r="AB1737" s="143"/>
      <c r="AC1737" s="143"/>
      <c r="AD1737" s="73"/>
      <c r="AE1737" s="745" t="s">
        <v>2917</v>
      </c>
      <c r="AF1737" s="556" t="str">
        <f>"title("&amp;C1737&amp;")
body(hotyellow_3(任务进程:)newline()
   使用任务给予的单兵火箭筒前往敌国hot(五丈原)破坏3个goto(60808,7)，回复goto(60789,5)。hot(（非本国及盟国即是敌国哦）)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使用任务给予的单兵火箭筒前往敌国hot(五丈原)破坏3个goto(60808,7)，回复goto(60789,5)。hot(（非本国及盟国即是敌国哦）)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37" s="556" t="s">
        <v>2919</v>
      </c>
      <c r="AH1737" s="556" t="s">
        <v>2916</v>
      </c>
      <c r="AI1737" s="556" t="s">
        <v>110</v>
      </c>
      <c r="AJ1737" s="556" t="s">
        <v>6535</v>
      </c>
      <c r="AK1737" s="683" t="str">
        <f>"破坏"&amp;U1737&amp;"个沙地型补给艇"</f>
        <v>破坏3个沙地型补给艇</v>
      </c>
      <c r="AL1737" s="678">
        <v>0</v>
      </c>
      <c r="AM1737" s="683" t="str">
        <f>"&lt;p&gt;&lt;n&gt;  通过&lt;/n&gt;&lt;goto id=""126"" mapid=""7"" flagpoint=""1"" /&gt;&lt;newline/&gt;&lt;n&gt;  去敌国使用火箭筒破坏3个&lt;/n&gt;&lt;goto id="""&amp;S1737&amp;""" mapid=""7"" flagpoint=""1"" /&gt;&lt;newline/&gt;
&lt;n&gt;  回复：&lt;/n&gt;&lt;goto id="""&amp;N1737&amp;""" mapid=""5"" flagpoint=""1"" taskid="""&amp;A1737&amp;"""/&gt;
&lt;/p&gt;"</f>
        <v>&lt;p&gt;&lt;n&gt;  通过&lt;/n&gt;&lt;goto id="126" mapid="7" flagpoint="1" /&gt;&lt;newline/&gt;&lt;n&gt;  去敌国使用火箭筒破坏3个&lt;/n&gt;&lt;goto id="60808" mapid="7" flagpoint="1" /&gt;&lt;newline/&gt;
&lt;n&gt;  回复：&lt;/n&gt;&lt;goto id="60789" mapid="5" flagpoint="1" taskid="32516"/&gt;
&lt;/p&gt;</v>
      </c>
      <c r="AN1737" s="683" t="str">
        <f t="shared" si="237"/>
        <v>&lt;p&gt;
&lt;n&gt;  交：&lt;/n&gt;&lt;goto id="60789" mapid="5" flagpoint="1" taskid="32516"/&gt;
&lt;/p&gt;</v>
      </c>
      <c r="AO1737" s="556"/>
      <c r="AP1737" s="556">
        <v>0</v>
      </c>
      <c r="AQ1737" s="556">
        <v>0</v>
      </c>
      <c r="AR1737" s="556">
        <v>0</v>
      </c>
      <c r="AS1737" s="556">
        <v>0</v>
      </c>
      <c r="AT1737" s="556">
        <v>0</v>
      </c>
      <c r="AU1737" s="226">
        <v>0</v>
      </c>
      <c r="AV1737" s="17">
        <f t="shared" si="231"/>
        <v>0</v>
      </c>
      <c r="AW1737" s="50" t="str">
        <f>"{s_taskKillNpc, {"&amp;L1737&amp;","&amp;N1737&amp;","&amp;S1737&amp;","&amp;U1737&amp;"}}"</f>
        <v>{s_taskKillNpc, {60789,60789,60808,3}}</v>
      </c>
    </row>
    <row r="1738" spans="1:49" s="808" customFormat="1" ht="144" x14ac:dyDescent="0.15">
      <c r="A1738" s="72">
        <v>32517</v>
      </c>
      <c r="B1738" s="73" t="s">
        <v>2857</v>
      </c>
      <c r="C1738" s="73" t="s">
        <v>2926</v>
      </c>
      <c r="D1738" s="73">
        <v>3</v>
      </c>
      <c r="E1738" s="73">
        <v>0</v>
      </c>
      <c r="F1738" s="73">
        <v>5</v>
      </c>
      <c r="G1738" s="80">
        <v>70</v>
      </c>
      <c r="H1738" s="73">
        <v>200</v>
      </c>
      <c r="I1738" s="17">
        <v>0</v>
      </c>
      <c r="J1738" s="80">
        <v>0</v>
      </c>
      <c r="K1738" s="73">
        <v>1</v>
      </c>
      <c r="L1738" s="73">
        <v>60789</v>
      </c>
      <c r="M1738" s="73" t="s">
        <v>2834</v>
      </c>
      <c r="N1738" s="73">
        <v>60789</v>
      </c>
      <c r="O1738" s="73" t="s">
        <v>5228</v>
      </c>
      <c r="P1738" s="73"/>
      <c r="Q1738" s="140"/>
      <c r="R1738" s="807"/>
      <c r="S1738" s="140">
        <v>60809</v>
      </c>
      <c r="T1738" s="140"/>
      <c r="U1738" s="73">
        <v>1</v>
      </c>
      <c r="V1738" s="73">
        <v>0</v>
      </c>
      <c r="W1738" s="73"/>
      <c r="X1738" s="73"/>
      <c r="Y1738" s="73"/>
      <c r="Z1738" s="142">
        <v>0</v>
      </c>
      <c r="AA1738" s="73"/>
      <c r="AB1738" s="143"/>
      <c r="AC1738" s="143"/>
      <c r="AD1738" s="73"/>
      <c r="AE1738" s="745" t="s">
        <v>2917</v>
      </c>
      <c r="AF1738" s="556" t="str">
        <f>"title("&amp;C1738&amp;")
body(hotyellow_3(任务进程:)newline()
   使用任务给予的单兵火箭筒前往敌国hot(王城)破坏1个goto(60809,5)，回复goto(60789,5)。hot(（非本国及盟国即是敌国哦）)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使用任务给予的单兵火箭筒前往敌国hot(王城)破坏1个goto(60809,5)，回复goto(60789,5)。hot(（非本国及盟国即是敌国哦）)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38" s="556" t="s">
        <v>4801</v>
      </c>
      <c r="AH1738" s="556" t="s">
        <v>2916</v>
      </c>
      <c r="AI1738" s="556" t="s">
        <v>110</v>
      </c>
      <c r="AJ1738" s="556" t="s">
        <v>6536</v>
      </c>
      <c r="AK1738" s="683" t="str">
        <f>"破坏"&amp;U1738&amp;"个帮会需补给艇"</f>
        <v>破坏1个帮会需补给艇</v>
      </c>
      <c r="AL1738" s="678">
        <v>0</v>
      </c>
      <c r="AM1738" s="683" t="str">
        <f>"&lt;p&gt;&lt;n&gt;  通过&lt;/n&gt;&lt;goto id=""126"" mapid=""7"" flagpoint=""1"" /&gt;&lt;newline/&gt;&lt;n&gt;  去敌国使用火箭筒破坏1个&lt;/n&gt;&lt;goto id="""&amp;S1738&amp;""" mapid=""5"" flagpoint=""1"" /&gt;&lt;newline/&gt;
&lt;n&gt;  回复：&lt;/n&gt;&lt;goto id="""&amp;N1738&amp;""" mapid=""5"" flagpoint=""1"" taskid="""&amp;A1738&amp;"""/&gt;
&lt;/p&gt;"</f>
        <v>&lt;p&gt;&lt;n&gt;  通过&lt;/n&gt;&lt;goto id="126" mapid="7" flagpoint="1" /&gt;&lt;newline/&gt;&lt;n&gt;  去敌国使用火箭筒破坏1个&lt;/n&gt;&lt;goto id="60809" mapid="5" flagpoint="1" /&gt;&lt;newline/&gt;
&lt;n&gt;  回复：&lt;/n&gt;&lt;goto id="60789" mapid="5" flagpoint="1" taskid="32517"/&gt;
&lt;/p&gt;</v>
      </c>
      <c r="AN1738" s="683" t="str">
        <f t="shared" si="237"/>
        <v>&lt;p&gt;
&lt;n&gt;  交：&lt;/n&gt;&lt;goto id="60789" mapid="5" flagpoint="1" taskid="32517"/&gt;
&lt;/p&gt;</v>
      </c>
      <c r="AO1738" s="556"/>
      <c r="AP1738" s="556">
        <v>0</v>
      </c>
      <c r="AQ1738" s="556">
        <v>0</v>
      </c>
      <c r="AR1738" s="556">
        <v>0</v>
      </c>
      <c r="AS1738" s="556">
        <v>0</v>
      </c>
      <c r="AT1738" s="556">
        <v>0</v>
      </c>
      <c r="AU1738" s="226">
        <v>0</v>
      </c>
      <c r="AV1738" s="17">
        <f t="shared" si="231"/>
        <v>0</v>
      </c>
      <c r="AW1738" s="50" t="str">
        <f>"{s_taskKillNpc, {"&amp;L1738&amp;","&amp;N1738&amp;","&amp;S1738&amp;","&amp;U1738&amp;"}}"</f>
        <v>{s_taskKillNpc, {60789,60789,60809,1}}</v>
      </c>
    </row>
    <row r="1739" spans="1:49" s="808" customFormat="1" ht="144" x14ac:dyDescent="0.15">
      <c r="A1739" s="72">
        <v>32518</v>
      </c>
      <c r="B1739" s="73" t="s">
        <v>2857</v>
      </c>
      <c r="C1739" s="73" t="s">
        <v>2926</v>
      </c>
      <c r="D1739" s="73">
        <v>3</v>
      </c>
      <c r="E1739" s="73">
        <v>0</v>
      </c>
      <c r="F1739" s="73">
        <v>5</v>
      </c>
      <c r="G1739" s="80">
        <v>70</v>
      </c>
      <c r="H1739" s="73">
        <v>200</v>
      </c>
      <c r="I1739" s="17">
        <v>0</v>
      </c>
      <c r="J1739" s="80">
        <v>0</v>
      </c>
      <c r="K1739" s="73">
        <v>1</v>
      </c>
      <c r="L1739" s="73">
        <v>60789</v>
      </c>
      <c r="M1739" s="73" t="s">
        <v>2834</v>
      </c>
      <c r="N1739" s="73">
        <v>60789</v>
      </c>
      <c r="O1739" s="73" t="s">
        <v>5228</v>
      </c>
      <c r="P1739" s="73"/>
      <c r="Q1739" s="140"/>
      <c r="R1739" s="807"/>
      <c r="S1739" s="140">
        <v>60809</v>
      </c>
      <c r="T1739" s="140"/>
      <c r="U1739" s="73">
        <v>3</v>
      </c>
      <c r="V1739" s="73">
        <v>0</v>
      </c>
      <c r="W1739" s="73"/>
      <c r="X1739" s="73"/>
      <c r="Y1739" s="73"/>
      <c r="Z1739" s="142">
        <v>0</v>
      </c>
      <c r="AA1739" s="73"/>
      <c r="AB1739" s="143"/>
      <c r="AC1739" s="143"/>
      <c r="AD1739" s="73"/>
      <c r="AE1739" s="745" t="s">
        <v>2917</v>
      </c>
      <c r="AF1739" s="556" t="str">
        <f>"title("&amp;C1739&amp;")
body(hotyellow_3(任务进程:)newline()
   使用任务给予的单兵火箭筒前往敌国hot(王城)破坏3个goto(60809,5)，回复goto(60789,5)。hot(（非本国及盟国即是敌国哦）)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使用任务给予的单兵火箭筒前往敌国hot(王城)破坏3个goto(60809,5)，回复goto(60789,5)。hot(（非本国及盟国即是敌国哦）)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39" s="556" t="s">
        <v>4801</v>
      </c>
      <c r="AH1739" s="556" t="s">
        <v>2916</v>
      </c>
      <c r="AI1739" s="556" t="s">
        <v>110</v>
      </c>
      <c r="AJ1739" s="556" t="s">
        <v>6536</v>
      </c>
      <c r="AK1739" s="683" t="str">
        <f>"破坏"&amp;U1739&amp;"个帮会需补给艇"</f>
        <v>破坏3个帮会需补给艇</v>
      </c>
      <c r="AL1739" s="678">
        <v>0</v>
      </c>
      <c r="AM1739" s="683" t="str">
        <f>"&lt;p&gt;&lt;n&gt;  通过&lt;/n&gt;&lt;goto id=""126"" mapid=""7"" flagpoint=""1"" /&gt;&lt;newline/&gt;&lt;n&gt;  去敌国使用火箭筒破坏3个&lt;/n&gt;&lt;goto id="""&amp;S1739&amp;""" mapid=""5"" flagpoint=""1"" /&gt;&lt;newline/&gt;
&lt;n&gt;  回复：&lt;/n&gt;&lt;goto id="""&amp;N1739&amp;""" mapid=""5"" flagpoint=""1"" taskid="""&amp;A1739&amp;"""/&gt;
&lt;/p&gt;"</f>
        <v>&lt;p&gt;&lt;n&gt;  通过&lt;/n&gt;&lt;goto id="126" mapid="7" flagpoint="1" /&gt;&lt;newline/&gt;&lt;n&gt;  去敌国使用火箭筒破坏3个&lt;/n&gt;&lt;goto id="60809" mapid="5" flagpoint="1" /&gt;&lt;newline/&gt;
&lt;n&gt;  回复：&lt;/n&gt;&lt;goto id="60789" mapid="5" flagpoint="1" taskid="32518"/&gt;
&lt;/p&gt;</v>
      </c>
      <c r="AN1739" s="683" t="str">
        <f t="shared" si="237"/>
        <v>&lt;p&gt;
&lt;n&gt;  交：&lt;/n&gt;&lt;goto id="60789" mapid="5" flagpoint="1" taskid="32518"/&gt;
&lt;/p&gt;</v>
      </c>
      <c r="AO1739" s="556"/>
      <c r="AP1739" s="556">
        <v>0</v>
      </c>
      <c r="AQ1739" s="556">
        <v>0</v>
      </c>
      <c r="AR1739" s="556">
        <v>0</v>
      </c>
      <c r="AS1739" s="556">
        <v>0</v>
      </c>
      <c r="AT1739" s="556">
        <v>0</v>
      </c>
      <c r="AU1739" s="226">
        <v>0</v>
      </c>
      <c r="AV1739" s="17">
        <f t="shared" si="231"/>
        <v>0</v>
      </c>
      <c r="AW1739" s="50" t="str">
        <f>"{s_taskKillNpc, {"&amp;L1739&amp;","&amp;N1739&amp;","&amp;S1739&amp;","&amp;U1739&amp;"}}"</f>
        <v>{s_taskKillNpc, {60789,60789,60809,3}}</v>
      </c>
    </row>
    <row r="1740" spans="1:49" s="808" customFormat="1" x14ac:dyDescent="0.15">
      <c r="A1740" s="72">
        <v>32519</v>
      </c>
      <c r="B1740" s="73" t="s">
        <v>3409</v>
      </c>
      <c r="C1740" s="73" t="s">
        <v>3407</v>
      </c>
      <c r="D1740" s="73">
        <v>3</v>
      </c>
      <c r="E1740" s="73">
        <v>0</v>
      </c>
      <c r="F1740" s="73">
        <v>5</v>
      </c>
      <c r="G1740" s="80">
        <v>70</v>
      </c>
      <c r="H1740" s="73">
        <v>200</v>
      </c>
      <c r="I1740" s="17">
        <v>0</v>
      </c>
      <c r="J1740" s="80">
        <v>0</v>
      </c>
      <c r="K1740" s="73">
        <v>1</v>
      </c>
      <c r="L1740" s="73">
        <v>60789</v>
      </c>
      <c r="M1740" s="73" t="s">
        <v>2834</v>
      </c>
      <c r="N1740" s="73">
        <v>203</v>
      </c>
      <c r="O1740" s="73" t="s">
        <v>5258</v>
      </c>
      <c r="P1740" s="73"/>
      <c r="Q1740" s="140"/>
      <c r="R1740" s="807"/>
      <c r="S1740" s="140"/>
      <c r="T1740" s="140"/>
      <c r="U1740" s="73">
        <v>1</v>
      </c>
      <c r="V1740" s="73">
        <v>1</v>
      </c>
      <c r="W1740" s="73"/>
      <c r="X1740" s="73"/>
      <c r="Y1740" s="73"/>
      <c r="Z1740" s="142">
        <v>0</v>
      </c>
      <c r="AA1740" s="73"/>
      <c r="AB1740" s="143"/>
      <c r="AC1740" s="143"/>
      <c r="AD1740" s="73"/>
      <c r="AE1740" s="73"/>
      <c r="AF1740" s="73"/>
      <c r="AG1740" s="73"/>
      <c r="AH1740" s="73"/>
      <c r="AI1740" s="73"/>
      <c r="AJ1740" s="73"/>
      <c r="AK1740" s="73"/>
      <c r="AL1740" s="80">
        <v>0</v>
      </c>
      <c r="AM1740" s="73"/>
      <c r="AN1740" s="73"/>
      <c r="AO1740" s="73"/>
      <c r="AP1740" s="73">
        <v>0</v>
      </c>
      <c r="AQ1740" s="73">
        <v>0</v>
      </c>
      <c r="AR1740" s="73">
        <v>0</v>
      </c>
      <c r="AS1740" s="73">
        <v>0</v>
      </c>
      <c r="AT1740" s="73">
        <v>0</v>
      </c>
      <c r="AU1740" s="226">
        <v>0</v>
      </c>
      <c r="AV1740" s="17">
        <f t="shared" si="231"/>
        <v>0</v>
      </c>
      <c r="AW1740" s="50" t="str">
        <f t="shared" ref="AW1740" si="238">"{s_taskTalk,{"&amp;L1740&amp;","&amp;N1740&amp;"}}"</f>
        <v>{s_taskTalk,{60789,203}}</v>
      </c>
    </row>
    <row r="1741" spans="1:49" s="808" customFormat="1" ht="132" x14ac:dyDescent="0.15">
      <c r="A1741" s="72">
        <v>32520</v>
      </c>
      <c r="B1741" s="73" t="s">
        <v>3409</v>
      </c>
      <c r="C1741" s="73" t="s">
        <v>3412</v>
      </c>
      <c r="D1741" s="73">
        <v>3</v>
      </c>
      <c r="E1741" s="73">
        <v>0</v>
      </c>
      <c r="F1741" s="73">
        <v>5</v>
      </c>
      <c r="G1741" s="80">
        <v>70</v>
      </c>
      <c r="H1741" s="73">
        <v>200</v>
      </c>
      <c r="I1741" s="17">
        <v>0</v>
      </c>
      <c r="J1741" s="80">
        <v>0</v>
      </c>
      <c r="K1741" s="73">
        <v>1</v>
      </c>
      <c r="L1741" s="73">
        <v>60789</v>
      </c>
      <c r="M1741" s="73" t="s">
        <v>2834</v>
      </c>
      <c r="N1741" s="73">
        <v>60789</v>
      </c>
      <c r="O1741" s="73" t="s">
        <v>5228</v>
      </c>
      <c r="P1741" s="73"/>
      <c r="Q1741" s="140"/>
      <c r="R1741" s="807"/>
      <c r="S1741" s="140">
        <v>60866</v>
      </c>
      <c r="T1741" s="140"/>
      <c r="U1741" s="73">
        <v>1</v>
      </c>
      <c r="V1741" s="73">
        <v>0</v>
      </c>
      <c r="W1741" s="73"/>
      <c r="X1741" s="73"/>
      <c r="Y1741" s="73"/>
      <c r="Z1741" s="142">
        <v>0</v>
      </c>
      <c r="AA1741" s="73"/>
      <c r="AB1741" s="143"/>
      <c r="AC1741" s="143"/>
      <c r="AD1741" s="73"/>
      <c r="AE1741" s="745"/>
      <c r="AF1741" s="556" t="str">
        <f>"title("&amp;C1741&amp;")
body(hotyellow_3(任务进程:)newline()
   邀请一个70级以上玩家组队，通过与goto(60789,5)对话，选择hot(进入‘维多利亚’战役),杀死goto(60866,143)，回复goto(60789,5)。newline()
◆进入限制newline()
1、必须有且只有2人组队newline()
2、任务的协助者今天未进入过该副本，且在您附近newline()
3、2人必须都大于等于70级
)"</f>
        <v>title([随机]戎装公主)
body(hotyellow_3(任务进程:)newline()
   邀请一个70级以上玩家组队，通过与goto(60789,5)对话，选择hot(进入‘维多利亚’战役),杀死goto(60866,143)，回复goto(60789,5)。newline()
◆进入限制newline()
1、必须有且只有2人组队newline()
2、任务的协助者今天未进入过该副本，且在您附近newline()
3、2人必须都大于等于70级
)</v>
      </c>
      <c r="AG1741" s="556" t="s">
        <v>4802</v>
      </c>
      <c r="AH1741" s="556" t="s">
        <v>2916</v>
      </c>
      <c r="AI1741" s="556" t="s">
        <v>110</v>
      </c>
      <c r="AJ1741" s="556" t="s">
        <v>6537</v>
      </c>
      <c r="AK1741" s="683" t="str">
        <f>"杀死"&amp;U1741&amp;"梦之黑魔"</f>
        <v>杀死1梦之黑魔</v>
      </c>
      <c r="AL1741" s="678">
        <v>0</v>
      </c>
      <c r="AM1741" s="683" t="str">
        <f>"&lt;p&gt;&lt;n&gt;  通过&lt;/n&gt;&lt;goto id=""60789"" mapid=""5"" flagpoint=""1"" /&gt;&lt;newline/&gt;&lt;n&gt;  选择‘维多利亚’战役&lt;/n&gt;&lt;newline/&gt;
&lt;n&gt;  杀：梦之黑魔后，回复：&lt;/n&gt;&lt;goto id="""&amp;N1741&amp;""" mapid=""5"" flagpoint=""1"" taskid="""&amp;A1741&amp;"""/&gt;
&lt;/p&gt;"</f>
        <v>&lt;p&gt;&lt;n&gt;  通过&lt;/n&gt;&lt;goto id="60789" mapid="5" flagpoint="1" /&gt;&lt;newline/&gt;&lt;n&gt;  选择‘维多利亚’战役&lt;/n&gt;&lt;newline/&gt;
&lt;n&gt;  杀：梦之黑魔后，回复：&lt;/n&gt;&lt;goto id="60789" mapid="5" flagpoint="1" taskid="32520"/&gt;
&lt;/p&gt;</v>
      </c>
      <c r="AN1741" s="683" t="str">
        <f>"&lt;p&gt;&lt;n&gt;  通过&lt;/n&gt;&lt;goto id=""60789"" mapid=""5"" flagpoint=""1"" /&gt;&lt;newline/&gt;&lt;n&gt;  选择‘维多利亚’战役&lt;/n&gt;&lt;newline/&gt;
&lt;n&gt;  杀死梦之黑魔后，交：&lt;/n&gt;&lt;goto id="""&amp;N1741&amp;""" mapid=""5"" flagpoint=""1"" taskid="""&amp;B1741&amp;"""/&gt;
&lt;/p&gt;"</f>
        <v>&lt;p&gt;&lt;n&gt;  通过&lt;/n&gt;&lt;goto id="60789" mapid="5" flagpoint="1" /&gt;&lt;newline/&gt;&lt;n&gt;  选择‘维多利亚’战役&lt;/n&gt;&lt;newline/&gt;
&lt;n&gt;  杀死梦之黑魔后，交：&lt;/n&gt;&lt;goto id="60789" mapid="5" flagpoint="1" taskid="黄"/&gt;
&lt;/p&gt;</v>
      </c>
      <c r="AO1741" s="556"/>
      <c r="AP1741" s="556">
        <v>0</v>
      </c>
      <c r="AQ1741" s="556">
        <v>0</v>
      </c>
      <c r="AR1741" s="556">
        <v>0</v>
      </c>
      <c r="AS1741" s="556">
        <v>0</v>
      </c>
      <c r="AT1741" s="556">
        <v>0</v>
      </c>
      <c r="AU1741" s="226">
        <v>0</v>
      </c>
      <c r="AV1741" s="17">
        <f t="shared" si="231"/>
        <v>0</v>
      </c>
      <c r="AW1741" s="50" t="str">
        <f>"{s_taskKillNpc, {"&amp;L1741&amp;","&amp;N1741&amp;","&amp;S1741&amp;","&amp;U1741&amp;"}}"</f>
        <v>{s_taskKillNpc, {60789,60789,60866,1}}</v>
      </c>
    </row>
    <row r="1742" spans="1:49" s="808" customFormat="1" ht="24" x14ac:dyDescent="0.15">
      <c r="A1742" s="72">
        <v>33000</v>
      </c>
      <c r="B1742" s="73" t="s">
        <v>2858</v>
      </c>
      <c r="C1742" s="73" t="s">
        <v>2851</v>
      </c>
      <c r="D1742" s="73">
        <v>3</v>
      </c>
      <c r="E1742" s="73">
        <v>0</v>
      </c>
      <c r="F1742" s="73">
        <v>5</v>
      </c>
      <c r="G1742" s="80">
        <v>70</v>
      </c>
      <c r="H1742" s="73">
        <v>200</v>
      </c>
      <c r="I1742" s="17">
        <v>0</v>
      </c>
      <c r="J1742" s="80">
        <v>0</v>
      </c>
      <c r="K1742" s="73">
        <v>1</v>
      </c>
      <c r="L1742" s="73">
        <v>60789</v>
      </c>
      <c r="M1742" s="73" t="s">
        <v>2834</v>
      </c>
      <c r="N1742" s="73">
        <v>60789</v>
      </c>
      <c r="O1742" s="73" t="s">
        <v>5228</v>
      </c>
      <c r="P1742" s="73"/>
      <c r="Q1742" s="140"/>
      <c r="R1742" s="807">
        <v>61080</v>
      </c>
      <c r="S1742" s="140"/>
      <c r="T1742" s="140"/>
      <c r="U1742" s="73">
        <v>1</v>
      </c>
      <c r="V1742" s="73">
        <v>0</v>
      </c>
      <c r="W1742" s="73"/>
      <c r="X1742" s="73"/>
      <c r="Y1742" s="73"/>
      <c r="Z1742" s="142">
        <v>0</v>
      </c>
      <c r="AA1742" s="73"/>
      <c r="AB1742" s="143"/>
      <c r="AC1742" s="143"/>
      <c r="AD1742" s="73"/>
      <c r="AE1742" s="73"/>
      <c r="AF1742" s="73"/>
      <c r="AG1742" s="73"/>
      <c r="AH1742" s="73"/>
      <c r="AI1742" s="73"/>
      <c r="AJ1742" s="73"/>
      <c r="AK1742" s="73"/>
      <c r="AL1742" s="80">
        <v>0</v>
      </c>
      <c r="AM1742" s="73"/>
      <c r="AN1742" s="73"/>
      <c r="AO1742" s="73"/>
      <c r="AP1742" s="73">
        <v>0</v>
      </c>
      <c r="AQ1742" s="73">
        <v>0</v>
      </c>
      <c r="AR1742" s="73">
        <v>0</v>
      </c>
      <c r="AS1742" s="73">
        <v>0</v>
      </c>
      <c r="AT1742" s="73">
        <v>0</v>
      </c>
      <c r="AU1742" s="226">
        <v>0</v>
      </c>
      <c r="AV1742" s="17">
        <f t="shared" si="231"/>
        <v>0</v>
      </c>
      <c r="AW1742" s="50" t="str">
        <f>"{s_taskGuard,{"&amp;L1742&amp;","&amp;N1742&amp;","&amp;R1742&amp;",0}}"</f>
        <v>{s_taskGuard,{60789,60789,61080,0}}</v>
      </c>
    </row>
    <row r="1743" spans="1:49" s="808" customFormat="1" ht="24" x14ac:dyDescent="0.15">
      <c r="A1743" s="72">
        <v>33001</v>
      </c>
      <c r="B1743" s="73" t="s">
        <v>2858</v>
      </c>
      <c r="C1743" s="73" t="s">
        <v>2854</v>
      </c>
      <c r="D1743" s="73">
        <v>3</v>
      </c>
      <c r="E1743" s="73">
        <v>0</v>
      </c>
      <c r="F1743" s="73">
        <v>5</v>
      </c>
      <c r="G1743" s="80">
        <v>70</v>
      </c>
      <c r="H1743" s="73">
        <v>200</v>
      </c>
      <c r="I1743" s="17">
        <v>0</v>
      </c>
      <c r="J1743" s="80">
        <v>0</v>
      </c>
      <c r="K1743" s="73">
        <v>1</v>
      </c>
      <c r="L1743" s="73">
        <v>60789</v>
      </c>
      <c r="M1743" s="73" t="s">
        <v>2834</v>
      </c>
      <c r="N1743" s="73">
        <v>60789</v>
      </c>
      <c r="O1743" s="73" t="s">
        <v>5228</v>
      </c>
      <c r="P1743" s="73"/>
      <c r="Q1743" s="140"/>
      <c r="R1743" s="807">
        <v>61081</v>
      </c>
      <c r="S1743" s="140"/>
      <c r="T1743" s="140"/>
      <c r="U1743" s="73">
        <v>1</v>
      </c>
      <c r="V1743" s="73">
        <v>0</v>
      </c>
      <c r="W1743" s="73"/>
      <c r="X1743" s="73"/>
      <c r="Y1743" s="73"/>
      <c r="Z1743" s="142">
        <v>0</v>
      </c>
      <c r="AA1743" s="73"/>
      <c r="AB1743" s="143"/>
      <c r="AC1743" s="143"/>
      <c r="AD1743" s="73"/>
      <c r="AE1743" s="73"/>
      <c r="AF1743" s="73"/>
      <c r="AG1743" s="73"/>
      <c r="AH1743" s="73"/>
      <c r="AI1743" s="73"/>
      <c r="AJ1743" s="73"/>
      <c r="AK1743" s="73"/>
      <c r="AL1743" s="80">
        <v>0</v>
      </c>
      <c r="AM1743" s="73"/>
      <c r="AN1743" s="73"/>
      <c r="AO1743" s="73"/>
      <c r="AP1743" s="73">
        <v>0</v>
      </c>
      <c r="AQ1743" s="73">
        <v>0</v>
      </c>
      <c r="AR1743" s="73">
        <v>0</v>
      </c>
      <c r="AS1743" s="73">
        <v>0</v>
      </c>
      <c r="AT1743" s="73">
        <v>0</v>
      </c>
      <c r="AU1743" s="226">
        <v>0</v>
      </c>
      <c r="AV1743" s="17">
        <f t="shared" si="231"/>
        <v>0</v>
      </c>
      <c r="AW1743" s="50" t="str">
        <f>"{s_taskGuard,{"&amp;L1743&amp;","&amp;N1743&amp;","&amp;R1743&amp;",0}}"</f>
        <v>{s_taskGuard,{60789,60789,61081,0}}</v>
      </c>
    </row>
    <row r="1744" spans="1:49" s="808" customFormat="1" x14ac:dyDescent="0.15">
      <c r="A1744" s="72">
        <v>33002</v>
      </c>
      <c r="B1744" s="73" t="s">
        <v>2858</v>
      </c>
      <c r="C1744" s="73" t="s">
        <v>2929</v>
      </c>
      <c r="D1744" s="73">
        <v>3</v>
      </c>
      <c r="E1744" s="73">
        <v>0</v>
      </c>
      <c r="F1744" s="73">
        <v>5</v>
      </c>
      <c r="G1744" s="80">
        <v>70</v>
      </c>
      <c r="H1744" s="73">
        <v>200</v>
      </c>
      <c r="I1744" s="17">
        <v>0</v>
      </c>
      <c r="J1744" s="80">
        <v>0</v>
      </c>
      <c r="K1744" s="73">
        <v>1</v>
      </c>
      <c r="L1744" s="73">
        <v>60789</v>
      </c>
      <c r="M1744" s="73" t="s">
        <v>2834</v>
      </c>
      <c r="N1744" s="73">
        <v>60797</v>
      </c>
      <c r="O1744" s="73" t="s">
        <v>5249</v>
      </c>
      <c r="P1744" s="73"/>
      <c r="Q1744" s="140"/>
      <c r="R1744" s="807"/>
      <c r="S1744" s="140"/>
      <c r="T1744" s="140"/>
      <c r="U1744" s="73">
        <v>1</v>
      </c>
      <c r="V1744" s="73">
        <v>1</v>
      </c>
      <c r="W1744" s="73"/>
      <c r="X1744" s="73"/>
      <c r="Y1744" s="73"/>
      <c r="Z1744" s="142">
        <v>0</v>
      </c>
      <c r="AA1744" s="73"/>
      <c r="AB1744" s="143"/>
      <c r="AC1744" s="143"/>
      <c r="AD1744" s="73"/>
      <c r="AE1744" s="73"/>
      <c r="AF1744" s="73"/>
      <c r="AG1744" s="73"/>
      <c r="AH1744" s="73"/>
      <c r="AI1744" s="73"/>
      <c r="AJ1744" s="73"/>
      <c r="AK1744" s="73"/>
      <c r="AL1744" s="80">
        <v>0</v>
      </c>
      <c r="AM1744" s="73"/>
      <c r="AN1744" s="73"/>
      <c r="AO1744" s="73"/>
      <c r="AP1744" s="73">
        <v>0</v>
      </c>
      <c r="AQ1744" s="73">
        <v>0</v>
      </c>
      <c r="AR1744" s="73">
        <v>0</v>
      </c>
      <c r="AS1744" s="73">
        <v>0</v>
      </c>
      <c r="AT1744" s="73">
        <v>0</v>
      </c>
      <c r="AU1744" s="226">
        <v>0</v>
      </c>
      <c r="AV1744" s="17">
        <f t="shared" si="231"/>
        <v>0</v>
      </c>
      <c r="AW1744" s="50" t="str">
        <f>"{s_taskTalk,{"&amp;L1744&amp;","&amp;N1744&amp;"}}"</f>
        <v>{s_taskTalk,{60789,60797}}</v>
      </c>
    </row>
    <row r="1745" spans="1:49" s="808" customFormat="1" x14ac:dyDescent="0.15">
      <c r="A1745" s="72">
        <v>33003</v>
      </c>
      <c r="B1745" s="73" t="s">
        <v>2858</v>
      </c>
      <c r="C1745" s="73" t="s">
        <v>2929</v>
      </c>
      <c r="D1745" s="73">
        <v>3</v>
      </c>
      <c r="E1745" s="73">
        <v>0</v>
      </c>
      <c r="F1745" s="73">
        <v>5</v>
      </c>
      <c r="G1745" s="80">
        <v>70</v>
      </c>
      <c r="H1745" s="73">
        <v>200</v>
      </c>
      <c r="I1745" s="17">
        <v>0</v>
      </c>
      <c r="J1745" s="80">
        <v>0</v>
      </c>
      <c r="K1745" s="73">
        <v>1</v>
      </c>
      <c r="L1745" s="73">
        <v>60789</v>
      </c>
      <c r="M1745" s="73" t="s">
        <v>2834</v>
      </c>
      <c r="N1745" s="73">
        <v>60798</v>
      </c>
      <c r="O1745" s="73" t="s">
        <v>5250</v>
      </c>
      <c r="P1745" s="73"/>
      <c r="Q1745" s="140"/>
      <c r="R1745" s="807"/>
      <c r="S1745" s="140"/>
      <c r="T1745" s="140"/>
      <c r="U1745" s="73">
        <v>1</v>
      </c>
      <c r="V1745" s="73">
        <v>1</v>
      </c>
      <c r="W1745" s="73"/>
      <c r="X1745" s="73"/>
      <c r="Y1745" s="73"/>
      <c r="Z1745" s="142">
        <v>0</v>
      </c>
      <c r="AA1745" s="73"/>
      <c r="AB1745" s="143"/>
      <c r="AC1745" s="143"/>
      <c r="AD1745" s="73"/>
      <c r="AE1745" s="73"/>
      <c r="AF1745" s="73"/>
      <c r="AG1745" s="73"/>
      <c r="AH1745" s="73"/>
      <c r="AI1745" s="73"/>
      <c r="AJ1745" s="73"/>
      <c r="AK1745" s="73"/>
      <c r="AL1745" s="80">
        <v>0</v>
      </c>
      <c r="AM1745" s="73"/>
      <c r="AN1745" s="73"/>
      <c r="AO1745" s="73"/>
      <c r="AP1745" s="73">
        <v>0</v>
      </c>
      <c r="AQ1745" s="73">
        <v>0</v>
      </c>
      <c r="AR1745" s="73">
        <v>0</v>
      </c>
      <c r="AS1745" s="73">
        <v>0</v>
      </c>
      <c r="AT1745" s="73">
        <v>0</v>
      </c>
      <c r="AU1745" s="226">
        <v>0</v>
      </c>
      <c r="AV1745" s="17">
        <f t="shared" si="231"/>
        <v>0</v>
      </c>
      <c r="AW1745" s="50" t="str">
        <f t="shared" ref="AW1745:AW1752" si="239">"{s_taskTalk,{"&amp;L1745&amp;","&amp;N1745&amp;"}}"</f>
        <v>{s_taskTalk,{60789,60798}}</v>
      </c>
    </row>
    <row r="1746" spans="1:49" s="808" customFormat="1" x14ac:dyDescent="0.15">
      <c r="A1746" s="72">
        <v>33004</v>
      </c>
      <c r="B1746" s="73" t="s">
        <v>2858</v>
      </c>
      <c r="C1746" s="73" t="s">
        <v>2929</v>
      </c>
      <c r="D1746" s="73">
        <v>3</v>
      </c>
      <c r="E1746" s="73">
        <v>0</v>
      </c>
      <c r="F1746" s="73">
        <v>5</v>
      </c>
      <c r="G1746" s="80">
        <v>70</v>
      </c>
      <c r="H1746" s="73">
        <v>200</v>
      </c>
      <c r="I1746" s="17">
        <v>0</v>
      </c>
      <c r="J1746" s="80">
        <v>0</v>
      </c>
      <c r="K1746" s="73">
        <v>1</v>
      </c>
      <c r="L1746" s="73">
        <v>60789</v>
      </c>
      <c r="M1746" s="73" t="s">
        <v>2834</v>
      </c>
      <c r="N1746" s="73">
        <v>60799</v>
      </c>
      <c r="O1746" s="73" t="s">
        <v>5251</v>
      </c>
      <c r="P1746" s="73"/>
      <c r="Q1746" s="140"/>
      <c r="R1746" s="807"/>
      <c r="S1746" s="140"/>
      <c r="T1746" s="140"/>
      <c r="U1746" s="73">
        <v>1</v>
      </c>
      <c r="V1746" s="73">
        <v>1</v>
      </c>
      <c r="W1746" s="73"/>
      <c r="X1746" s="73"/>
      <c r="Y1746" s="73"/>
      <c r="Z1746" s="142">
        <v>0</v>
      </c>
      <c r="AA1746" s="73"/>
      <c r="AB1746" s="143"/>
      <c r="AC1746" s="143"/>
      <c r="AD1746" s="73"/>
      <c r="AE1746" s="73"/>
      <c r="AF1746" s="73"/>
      <c r="AG1746" s="73"/>
      <c r="AH1746" s="73"/>
      <c r="AI1746" s="73"/>
      <c r="AJ1746" s="73"/>
      <c r="AK1746" s="73"/>
      <c r="AL1746" s="80">
        <v>0</v>
      </c>
      <c r="AM1746" s="73"/>
      <c r="AN1746" s="73"/>
      <c r="AO1746" s="73"/>
      <c r="AP1746" s="73">
        <v>0</v>
      </c>
      <c r="AQ1746" s="73">
        <v>0</v>
      </c>
      <c r="AR1746" s="73">
        <v>0</v>
      </c>
      <c r="AS1746" s="73">
        <v>0</v>
      </c>
      <c r="AT1746" s="73">
        <v>0</v>
      </c>
      <c r="AU1746" s="226">
        <v>0</v>
      </c>
      <c r="AV1746" s="17">
        <f t="shared" si="231"/>
        <v>0</v>
      </c>
      <c r="AW1746" s="50" t="str">
        <f t="shared" si="239"/>
        <v>{s_taskTalk,{60789,60799}}</v>
      </c>
    </row>
    <row r="1747" spans="1:49" s="808" customFormat="1" x14ac:dyDescent="0.15">
      <c r="A1747" s="72">
        <v>33005</v>
      </c>
      <c r="B1747" s="73" t="s">
        <v>2858</v>
      </c>
      <c r="C1747" s="73" t="s">
        <v>2929</v>
      </c>
      <c r="D1747" s="73">
        <v>3</v>
      </c>
      <c r="E1747" s="73">
        <v>0</v>
      </c>
      <c r="F1747" s="73">
        <v>5</v>
      </c>
      <c r="G1747" s="80">
        <v>70</v>
      </c>
      <c r="H1747" s="73">
        <v>200</v>
      </c>
      <c r="I1747" s="17">
        <v>0</v>
      </c>
      <c r="J1747" s="80">
        <v>0</v>
      </c>
      <c r="K1747" s="73">
        <v>1</v>
      </c>
      <c r="L1747" s="73">
        <v>60789</v>
      </c>
      <c r="M1747" s="73" t="s">
        <v>2834</v>
      </c>
      <c r="N1747" s="73">
        <v>60800</v>
      </c>
      <c r="O1747" s="73" t="s">
        <v>5252</v>
      </c>
      <c r="P1747" s="73"/>
      <c r="Q1747" s="140"/>
      <c r="R1747" s="807"/>
      <c r="S1747" s="140"/>
      <c r="T1747" s="140"/>
      <c r="U1747" s="73">
        <v>1</v>
      </c>
      <c r="V1747" s="73">
        <v>1</v>
      </c>
      <c r="W1747" s="73"/>
      <c r="X1747" s="73"/>
      <c r="Y1747" s="73"/>
      <c r="Z1747" s="142">
        <v>0</v>
      </c>
      <c r="AA1747" s="73"/>
      <c r="AB1747" s="143"/>
      <c r="AC1747" s="143"/>
      <c r="AD1747" s="73"/>
      <c r="AE1747" s="73"/>
      <c r="AF1747" s="73"/>
      <c r="AG1747" s="73"/>
      <c r="AH1747" s="73"/>
      <c r="AI1747" s="73"/>
      <c r="AJ1747" s="73"/>
      <c r="AK1747" s="73"/>
      <c r="AL1747" s="80">
        <v>0</v>
      </c>
      <c r="AM1747" s="73"/>
      <c r="AN1747" s="73"/>
      <c r="AO1747" s="73"/>
      <c r="AP1747" s="73">
        <v>0</v>
      </c>
      <c r="AQ1747" s="73">
        <v>0</v>
      </c>
      <c r="AR1747" s="73">
        <v>0</v>
      </c>
      <c r="AS1747" s="73">
        <v>0</v>
      </c>
      <c r="AT1747" s="73">
        <v>0</v>
      </c>
      <c r="AU1747" s="226">
        <v>0</v>
      </c>
      <c r="AV1747" s="17">
        <f t="shared" si="231"/>
        <v>0</v>
      </c>
      <c r="AW1747" s="50" t="str">
        <f t="shared" si="239"/>
        <v>{s_taskTalk,{60789,60800}}</v>
      </c>
    </row>
    <row r="1748" spans="1:49" s="808" customFormat="1" x14ac:dyDescent="0.15">
      <c r="A1748" s="72">
        <v>33006</v>
      </c>
      <c r="B1748" s="73" t="s">
        <v>2858</v>
      </c>
      <c r="C1748" s="73" t="s">
        <v>2929</v>
      </c>
      <c r="D1748" s="73">
        <v>3</v>
      </c>
      <c r="E1748" s="73">
        <v>0</v>
      </c>
      <c r="F1748" s="73">
        <v>5</v>
      </c>
      <c r="G1748" s="80">
        <v>70</v>
      </c>
      <c r="H1748" s="73">
        <v>200</v>
      </c>
      <c r="I1748" s="17">
        <v>0</v>
      </c>
      <c r="J1748" s="80">
        <v>0</v>
      </c>
      <c r="K1748" s="73">
        <v>1</v>
      </c>
      <c r="L1748" s="73">
        <v>60789</v>
      </c>
      <c r="M1748" s="73" t="s">
        <v>2834</v>
      </c>
      <c r="N1748" s="73">
        <v>60801</v>
      </c>
      <c r="O1748" s="73" t="s">
        <v>5253</v>
      </c>
      <c r="P1748" s="73"/>
      <c r="Q1748" s="140"/>
      <c r="R1748" s="807"/>
      <c r="S1748" s="140"/>
      <c r="T1748" s="140"/>
      <c r="U1748" s="73">
        <v>1</v>
      </c>
      <c r="V1748" s="73">
        <v>1</v>
      </c>
      <c r="W1748" s="73"/>
      <c r="X1748" s="73"/>
      <c r="Y1748" s="73"/>
      <c r="Z1748" s="142">
        <v>0</v>
      </c>
      <c r="AA1748" s="73"/>
      <c r="AB1748" s="143"/>
      <c r="AC1748" s="143"/>
      <c r="AD1748" s="73"/>
      <c r="AE1748" s="73"/>
      <c r="AF1748" s="73"/>
      <c r="AG1748" s="73"/>
      <c r="AH1748" s="73"/>
      <c r="AI1748" s="73"/>
      <c r="AJ1748" s="73"/>
      <c r="AK1748" s="73"/>
      <c r="AL1748" s="80">
        <v>0</v>
      </c>
      <c r="AM1748" s="73"/>
      <c r="AN1748" s="73"/>
      <c r="AO1748" s="73"/>
      <c r="AP1748" s="73">
        <v>0</v>
      </c>
      <c r="AQ1748" s="73">
        <v>0</v>
      </c>
      <c r="AR1748" s="73">
        <v>0</v>
      </c>
      <c r="AS1748" s="73">
        <v>0</v>
      </c>
      <c r="AT1748" s="73">
        <v>0</v>
      </c>
      <c r="AU1748" s="226">
        <v>0</v>
      </c>
      <c r="AV1748" s="17">
        <f t="shared" si="231"/>
        <v>0</v>
      </c>
      <c r="AW1748" s="50" t="str">
        <f t="shared" si="239"/>
        <v>{s_taskTalk,{60789,60801}}</v>
      </c>
    </row>
    <row r="1749" spans="1:49" s="808" customFormat="1" x14ac:dyDescent="0.15">
      <c r="A1749" s="72">
        <v>33007</v>
      </c>
      <c r="B1749" s="73" t="s">
        <v>2858</v>
      </c>
      <c r="C1749" s="73" t="s">
        <v>2929</v>
      </c>
      <c r="D1749" s="73">
        <v>3</v>
      </c>
      <c r="E1749" s="73">
        <v>0</v>
      </c>
      <c r="F1749" s="73">
        <v>5</v>
      </c>
      <c r="G1749" s="80">
        <v>70</v>
      </c>
      <c r="H1749" s="73">
        <v>200</v>
      </c>
      <c r="I1749" s="17">
        <v>0</v>
      </c>
      <c r="J1749" s="80">
        <v>0</v>
      </c>
      <c r="K1749" s="73">
        <v>1</v>
      </c>
      <c r="L1749" s="73">
        <v>60789</v>
      </c>
      <c r="M1749" s="73" t="s">
        <v>2834</v>
      </c>
      <c r="N1749" s="73">
        <v>60802</v>
      </c>
      <c r="O1749" s="73" t="s">
        <v>5254</v>
      </c>
      <c r="P1749" s="73"/>
      <c r="Q1749" s="140"/>
      <c r="R1749" s="807"/>
      <c r="S1749" s="140"/>
      <c r="T1749" s="140"/>
      <c r="U1749" s="73">
        <v>1</v>
      </c>
      <c r="V1749" s="73">
        <v>1</v>
      </c>
      <c r="W1749" s="73"/>
      <c r="X1749" s="73"/>
      <c r="Y1749" s="73"/>
      <c r="Z1749" s="142">
        <v>0</v>
      </c>
      <c r="AA1749" s="73"/>
      <c r="AB1749" s="143"/>
      <c r="AC1749" s="143"/>
      <c r="AD1749" s="73"/>
      <c r="AE1749" s="73"/>
      <c r="AF1749" s="73"/>
      <c r="AG1749" s="73"/>
      <c r="AH1749" s="73"/>
      <c r="AI1749" s="73"/>
      <c r="AJ1749" s="73"/>
      <c r="AK1749" s="73"/>
      <c r="AL1749" s="80">
        <v>0</v>
      </c>
      <c r="AM1749" s="73"/>
      <c r="AN1749" s="73"/>
      <c r="AO1749" s="73"/>
      <c r="AP1749" s="73">
        <v>0</v>
      </c>
      <c r="AQ1749" s="73">
        <v>0</v>
      </c>
      <c r="AR1749" s="73">
        <v>0</v>
      </c>
      <c r="AS1749" s="73">
        <v>0</v>
      </c>
      <c r="AT1749" s="73">
        <v>0</v>
      </c>
      <c r="AU1749" s="226">
        <v>0</v>
      </c>
      <c r="AV1749" s="17">
        <f t="shared" si="231"/>
        <v>0</v>
      </c>
      <c r="AW1749" s="50" t="str">
        <f t="shared" si="239"/>
        <v>{s_taskTalk,{60789,60802}}</v>
      </c>
    </row>
    <row r="1750" spans="1:49" s="808" customFormat="1" x14ac:dyDescent="0.15">
      <c r="A1750" s="72">
        <v>33008</v>
      </c>
      <c r="B1750" s="73" t="s">
        <v>2858</v>
      </c>
      <c r="C1750" s="73" t="s">
        <v>2929</v>
      </c>
      <c r="D1750" s="73">
        <v>3</v>
      </c>
      <c r="E1750" s="73">
        <v>0</v>
      </c>
      <c r="F1750" s="73">
        <v>5</v>
      </c>
      <c r="G1750" s="80">
        <v>70</v>
      </c>
      <c r="H1750" s="73">
        <v>200</v>
      </c>
      <c r="I1750" s="17">
        <v>0</v>
      </c>
      <c r="J1750" s="80">
        <v>0</v>
      </c>
      <c r="K1750" s="73">
        <v>1</v>
      </c>
      <c r="L1750" s="73">
        <v>60789</v>
      </c>
      <c r="M1750" s="73" t="s">
        <v>2834</v>
      </c>
      <c r="N1750" s="73">
        <v>60803</v>
      </c>
      <c r="O1750" s="73" t="s">
        <v>5255</v>
      </c>
      <c r="P1750" s="73"/>
      <c r="Q1750" s="140"/>
      <c r="R1750" s="807"/>
      <c r="S1750" s="140"/>
      <c r="T1750" s="140"/>
      <c r="U1750" s="73">
        <v>1</v>
      </c>
      <c r="V1750" s="73">
        <v>1</v>
      </c>
      <c r="W1750" s="73"/>
      <c r="X1750" s="73"/>
      <c r="Y1750" s="73"/>
      <c r="Z1750" s="142">
        <v>0</v>
      </c>
      <c r="AA1750" s="73"/>
      <c r="AB1750" s="143"/>
      <c r="AC1750" s="143"/>
      <c r="AD1750" s="73"/>
      <c r="AE1750" s="73"/>
      <c r="AF1750" s="73"/>
      <c r="AG1750" s="73"/>
      <c r="AH1750" s="73"/>
      <c r="AI1750" s="73"/>
      <c r="AJ1750" s="73"/>
      <c r="AK1750" s="73"/>
      <c r="AL1750" s="80">
        <v>0</v>
      </c>
      <c r="AM1750" s="73"/>
      <c r="AN1750" s="73"/>
      <c r="AO1750" s="73"/>
      <c r="AP1750" s="73">
        <v>0</v>
      </c>
      <c r="AQ1750" s="73">
        <v>0</v>
      </c>
      <c r="AR1750" s="73">
        <v>0</v>
      </c>
      <c r="AS1750" s="73">
        <v>0</v>
      </c>
      <c r="AT1750" s="73">
        <v>0</v>
      </c>
      <c r="AU1750" s="226">
        <v>0</v>
      </c>
      <c r="AV1750" s="17">
        <f t="shared" si="231"/>
        <v>0</v>
      </c>
      <c r="AW1750" s="50" t="str">
        <f t="shared" si="239"/>
        <v>{s_taskTalk,{60789,60803}}</v>
      </c>
    </row>
    <row r="1751" spans="1:49" s="808" customFormat="1" x14ac:dyDescent="0.15">
      <c r="A1751" s="72">
        <v>33009</v>
      </c>
      <c r="B1751" s="73" t="s">
        <v>2858</v>
      </c>
      <c r="C1751" s="73" t="s">
        <v>2929</v>
      </c>
      <c r="D1751" s="73">
        <v>3</v>
      </c>
      <c r="E1751" s="73">
        <v>0</v>
      </c>
      <c r="F1751" s="73">
        <v>5</v>
      </c>
      <c r="G1751" s="80">
        <v>70</v>
      </c>
      <c r="H1751" s="73">
        <v>200</v>
      </c>
      <c r="I1751" s="17">
        <v>0</v>
      </c>
      <c r="J1751" s="80">
        <v>0</v>
      </c>
      <c r="K1751" s="73">
        <v>1</v>
      </c>
      <c r="L1751" s="73">
        <v>60789</v>
      </c>
      <c r="M1751" s="73" t="s">
        <v>2834</v>
      </c>
      <c r="N1751" s="73">
        <v>60804</v>
      </c>
      <c r="O1751" s="73" t="s">
        <v>5256</v>
      </c>
      <c r="P1751" s="73"/>
      <c r="Q1751" s="140"/>
      <c r="R1751" s="807"/>
      <c r="S1751" s="140"/>
      <c r="T1751" s="140"/>
      <c r="U1751" s="73">
        <v>1</v>
      </c>
      <c r="V1751" s="73">
        <v>1</v>
      </c>
      <c r="W1751" s="73"/>
      <c r="X1751" s="73"/>
      <c r="Y1751" s="73"/>
      <c r="Z1751" s="142">
        <v>0</v>
      </c>
      <c r="AA1751" s="73"/>
      <c r="AB1751" s="143"/>
      <c r="AC1751" s="143"/>
      <c r="AD1751" s="73"/>
      <c r="AE1751" s="73"/>
      <c r="AF1751" s="73"/>
      <c r="AG1751" s="73"/>
      <c r="AH1751" s="73"/>
      <c r="AI1751" s="73"/>
      <c r="AJ1751" s="73"/>
      <c r="AK1751" s="73"/>
      <c r="AL1751" s="80">
        <v>0</v>
      </c>
      <c r="AM1751" s="73"/>
      <c r="AN1751" s="73"/>
      <c r="AO1751" s="73"/>
      <c r="AP1751" s="73">
        <v>0</v>
      </c>
      <c r="AQ1751" s="73">
        <v>0</v>
      </c>
      <c r="AR1751" s="73">
        <v>0</v>
      </c>
      <c r="AS1751" s="73">
        <v>0</v>
      </c>
      <c r="AT1751" s="73">
        <v>0</v>
      </c>
      <c r="AU1751" s="226">
        <v>0</v>
      </c>
      <c r="AV1751" s="17">
        <f t="shared" si="231"/>
        <v>0</v>
      </c>
      <c r="AW1751" s="50" t="str">
        <f t="shared" si="239"/>
        <v>{s_taskTalk,{60789,60804}}</v>
      </c>
    </row>
    <row r="1752" spans="1:49" s="808" customFormat="1" x14ac:dyDescent="0.15">
      <c r="A1752" s="72">
        <v>33010</v>
      </c>
      <c r="B1752" s="73" t="s">
        <v>2858</v>
      </c>
      <c r="C1752" s="73" t="s">
        <v>2929</v>
      </c>
      <c r="D1752" s="73">
        <v>3</v>
      </c>
      <c r="E1752" s="73">
        <v>0</v>
      </c>
      <c r="F1752" s="73">
        <v>5</v>
      </c>
      <c r="G1752" s="80">
        <v>70</v>
      </c>
      <c r="H1752" s="73">
        <v>200</v>
      </c>
      <c r="I1752" s="17">
        <v>0</v>
      </c>
      <c r="J1752" s="80">
        <v>0</v>
      </c>
      <c r="K1752" s="73">
        <v>1</v>
      </c>
      <c r="L1752" s="73">
        <v>60789</v>
      </c>
      <c r="M1752" s="73" t="s">
        <v>2834</v>
      </c>
      <c r="N1752" s="73">
        <v>60805</v>
      </c>
      <c r="O1752" s="73" t="s">
        <v>5257</v>
      </c>
      <c r="P1752" s="73"/>
      <c r="Q1752" s="140"/>
      <c r="R1752" s="807"/>
      <c r="S1752" s="140"/>
      <c r="T1752" s="140"/>
      <c r="U1752" s="73">
        <v>1</v>
      </c>
      <c r="V1752" s="73">
        <v>1</v>
      </c>
      <c r="W1752" s="73"/>
      <c r="X1752" s="73"/>
      <c r="Y1752" s="73"/>
      <c r="Z1752" s="142">
        <v>0</v>
      </c>
      <c r="AA1752" s="73"/>
      <c r="AB1752" s="143"/>
      <c r="AC1752" s="143"/>
      <c r="AD1752" s="73"/>
      <c r="AE1752" s="73"/>
      <c r="AF1752" s="73"/>
      <c r="AG1752" s="73"/>
      <c r="AH1752" s="73"/>
      <c r="AI1752" s="73"/>
      <c r="AJ1752" s="73"/>
      <c r="AK1752" s="73"/>
      <c r="AL1752" s="80">
        <v>0</v>
      </c>
      <c r="AM1752" s="73"/>
      <c r="AN1752" s="73"/>
      <c r="AO1752" s="73"/>
      <c r="AP1752" s="73">
        <v>0</v>
      </c>
      <c r="AQ1752" s="73">
        <v>0</v>
      </c>
      <c r="AR1752" s="73">
        <v>0</v>
      </c>
      <c r="AS1752" s="73">
        <v>0</v>
      </c>
      <c r="AT1752" s="73">
        <v>0</v>
      </c>
      <c r="AU1752" s="226">
        <v>0</v>
      </c>
      <c r="AV1752" s="17">
        <f t="shared" si="231"/>
        <v>0</v>
      </c>
      <c r="AW1752" s="50" t="str">
        <f t="shared" si="239"/>
        <v>{s_taskTalk,{60789,60805}}</v>
      </c>
    </row>
    <row r="1753" spans="1:49" s="808" customFormat="1" ht="156" x14ac:dyDescent="0.15">
      <c r="A1753" s="72">
        <v>33011</v>
      </c>
      <c r="B1753" s="73" t="s">
        <v>2897</v>
      </c>
      <c r="C1753" s="73" t="s">
        <v>2930</v>
      </c>
      <c r="D1753" s="73">
        <v>3</v>
      </c>
      <c r="E1753" s="73">
        <v>0</v>
      </c>
      <c r="F1753" s="73">
        <v>5</v>
      </c>
      <c r="G1753" s="80">
        <v>70</v>
      </c>
      <c r="H1753" s="73">
        <v>200</v>
      </c>
      <c r="I1753" s="17">
        <v>0</v>
      </c>
      <c r="J1753" s="80">
        <v>0</v>
      </c>
      <c r="K1753" s="73">
        <v>1</v>
      </c>
      <c r="L1753" s="73">
        <v>60789</v>
      </c>
      <c r="M1753" s="73" t="s">
        <v>2834</v>
      </c>
      <c r="N1753" s="73">
        <v>60789</v>
      </c>
      <c r="O1753" s="73" t="s">
        <v>5228</v>
      </c>
      <c r="P1753" s="73"/>
      <c r="Q1753" s="140"/>
      <c r="R1753" s="807"/>
      <c r="S1753" s="140"/>
      <c r="T1753" s="140">
        <v>31439</v>
      </c>
      <c r="U1753" s="73">
        <v>1</v>
      </c>
      <c r="V1753" s="73">
        <v>0</v>
      </c>
      <c r="W1753" s="73"/>
      <c r="X1753" s="73"/>
      <c r="Y1753" s="73"/>
      <c r="Z1753" s="142">
        <v>0</v>
      </c>
      <c r="AA1753" s="73"/>
      <c r="AB1753" s="143"/>
      <c r="AC1753" s="143"/>
      <c r="AD1753" s="73"/>
      <c r="AE1753" s="73"/>
      <c r="AF1753" s="556" t="str">
        <f>"title("&amp;C1753&amp;")
body(hotyellow_3(任务进程:)newline()
   前往敌国hot(五丈原)找到该国goto(60807,7)拿到hot("&amp;U1753&amp;"个白品质酒杯)，回复goto(60789,5)。hot(（非本国及盟国即是敌国哦）)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前往敌国hot(五丈原)找到该国goto(60807,7)拿到hot(1个白品质酒杯)，回复goto(60789,5)。hot(（非本国及盟国即是敌国哦）)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v>
      </c>
      <c r="AG1753" s="556" t="s">
        <v>2899</v>
      </c>
      <c r="AH1753" s="556" t="s">
        <v>2900</v>
      </c>
      <c r="AI1753" s="556" t="s">
        <v>110</v>
      </c>
      <c r="AJ1753" s="556" t="s">
        <v>6533</v>
      </c>
      <c r="AK1753" s="683" t="str">
        <f>"收集"&amp;U1753&amp;"个白品质酒杯"</f>
        <v>收集1个白品质酒杯</v>
      </c>
      <c r="AL1753" s="678">
        <v>0</v>
      </c>
      <c r="AM1753" s="683" t="str">
        <f>"&lt;p&gt;&lt;n&gt;  通过&lt;/n&gt;&lt;goto id=""126"" mapid=""7"" flagpoint=""1"" /&gt;&lt;newline/&gt;&lt;n&gt;  去敌国找&lt;/n&gt;&lt;goto id=""60807"" mapid=""7"" flagpoint=""1"" /&gt;&lt;newline/&gt;
&lt;n&gt;  收集1个白品质酒杯&lt;/n&gt;&lt;newline/&gt;
&lt;n&gt;  回复：&lt;/n&gt;&lt;goto id="""&amp;N1753&amp;""" mapid=""5"" flagpoint=""1"" taskid="""&amp;A1753&amp;"""/&gt;
&lt;/p&gt;"</f>
        <v>&lt;p&gt;&lt;n&gt;  通过&lt;/n&gt;&lt;goto id="126" mapid="7" flagpoint="1" /&gt;&lt;newline/&gt;&lt;n&gt;  去敌国找&lt;/n&gt;&lt;goto id="60807" mapid="7" flagpoint="1" /&gt;&lt;newline/&gt;
&lt;n&gt;  收集1个白品质酒杯&lt;/n&gt;&lt;newline/&gt;
&lt;n&gt;  回复：&lt;/n&gt;&lt;goto id="60789" mapid="5" flagpoint="1" taskid="33011"/&gt;
&lt;/p&gt;</v>
      </c>
      <c r="AN1753" s="683" t="str">
        <f t="shared" ref="AN1753:AN1760" si="240">"&lt;p&gt;
&lt;n&gt;  交：&lt;/n&gt;&lt;goto id="""&amp;N1753&amp;""" mapid=""5"" flagpoint=""1"" taskid="""&amp;A1753&amp;"""/&gt;
&lt;/p&gt;"</f>
        <v>&lt;p&gt;
&lt;n&gt;  交：&lt;/n&gt;&lt;goto id="60789" mapid="5" flagpoint="1" taskid="33011"/&gt;
&lt;/p&gt;</v>
      </c>
      <c r="AO1753" s="556"/>
      <c r="AP1753" s="556">
        <v>0</v>
      </c>
      <c r="AQ1753" s="556">
        <v>0</v>
      </c>
      <c r="AR1753" s="556">
        <v>0</v>
      </c>
      <c r="AS1753" s="556">
        <v>0</v>
      </c>
      <c r="AT1753" s="556">
        <v>0</v>
      </c>
      <c r="AU1753" s="226">
        <v>0</v>
      </c>
      <c r="AV1753" s="17">
        <f t="shared" si="231"/>
        <v>0</v>
      </c>
      <c r="AW1753" s="556" t="str">
        <f>"{s_taskGather,{"&amp;L1753&amp;","&amp;N1753&amp;","&amp;T1753&amp;","&amp;U1753&amp;",0,0}}"</f>
        <v>{s_taskGather,{60789,60789,31439,1,0,0}}</v>
      </c>
    </row>
    <row r="1754" spans="1:49" s="808" customFormat="1" ht="156" x14ac:dyDescent="0.15">
      <c r="A1754" s="72">
        <v>33012</v>
      </c>
      <c r="B1754" s="73" t="s">
        <v>2858</v>
      </c>
      <c r="C1754" s="73" t="s">
        <v>2930</v>
      </c>
      <c r="D1754" s="73">
        <v>3</v>
      </c>
      <c r="E1754" s="73">
        <v>0</v>
      </c>
      <c r="F1754" s="73">
        <v>5</v>
      </c>
      <c r="G1754" s="80">
        <v>70</v>
      </c>
      <c r="H1754" s="73">
        <v>200</v>
      </c>
      <c r="I1754" s="17">
        <v>0</v>
      </c>
      <c r="J1754" s="80">
        <v>0</v>
      </c>
      <c r="K1754" s="73">
        <v>1</v>
      </c>
      <c r="L1754" s="73">
        <v>60789</v>
      </c>
      <c r="M1754" s="73" t="s">
        <v>2834</v>
      </c>
      <c r="N1754" s="73">
        <v>60789</v>
      </c>
      <c r="O1754" s="73" t="s">
        <v>5228</v>
      </c>
      <c r="P1754" s="73"/>
      <c r="Q1754" s="140"/>
      <c r="R1754" s="807"/>
      <c r="S1754" s="140"/>
      <c r="T1754" s="140">
        <v>31439</v>
      </c>
      <c r="U1754" s="73">
        <v>1</v>
      </c>
      <c r="V1754" s="73">
        <v>0</v>
      </c>
      <c r="W1754" s="73"/>
      <c r="X1754" s="73"/>
      <c r="Y1754" s="73"/>
      <c r="Z1754" s="142">
        <v>0</v>
      </c>
      <c r="AA1754" s="73"/>
      <c r="AB1754" s="143"/>
      <c r="AC1754" s="143"/>
      <c r="AD1754" s="73"/>
      <c r="AE1754" s="73"/>
      <c r="AF1754" s="556" t="str">
        <f>"title("&amp;C1754&amp;")
body(hotyellow_3(任务进程:)newline()
   前往敌国hot(五丈原)找到该国goto(60807,7)拿到hot("&amp;U1754&amp;"个蓝品质酒杯)，回复goto(60789,5)。hot(（非本国及盟国即是敌国哦）)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前往敌国hot(五丈原)找到该国goto(60807,7)拿到hot(1个蓝品质酒杯)，回复goto(60789,5)。hot(（非本国及盟国即是敌国哦）)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v>
      </c>
      <c r="AG1754" s="556" t="s">
        <v>2901</v>
      </c>
      <c r="AH1754" s="556" t="s">
        <v>2900</v>
      </c>
      <c r="AI1754" s="556" t="s">
        <v>110</v>
      </c>
      <c r="AJ1754" s="556" t="s">
        <v>6533</v>
      </c>
      <c r="AK1754" s="683" t="str">
        <f>"收集"&amp;U1754&amp;"个蓝品质酒杯"</f>
        <v>收集1个蓝品质酒杯</v>
      </c>
      <c r="AL1754" s="678">
        <v>0</v>
      </c>
      <c r="AM1754" s="683" t="str">
        <f>"&lt;p&gt;&lt;n&gt;  通过&lt;/n&gt;&lt;goto id=""126"" mapid=""7"" flagpoint=""1"" /&gt;&lt;newline/&gt;&lt;n&gt;  去敌国找&lt;/n&gt;&lt;goto id=""60807"" mapid=""7"" flagpoint=""1"" /&gt;&lt;newline/&gt;
&lt;n&gt;  收集1个蓝品质酒杯&lt;/n&gt;&lt;newline/&gt;
&lt;n&gt;  回复：&lt;/n&gt;&lt;goto id="""&amp;N1754&amp;""" mapid=""5"" flagpoint=""1"" taskid="""&amp;A1754&amp;"""/&gt;
&lt;/p&gt;"</f>
        <v>&lt;p&gt;&lt;n&gt;  通过&lt;/n&gt;&lt;goto id="126" mapid="7" flagpoint="1" /&gt;&lt;newline/&gt;&lt;n&gt;  去敌国找&lt;/n&gt;&lt;goto id="60807" mapid="7" flagpoint="1" /&gt;&lt;newline/&gt;
&lt;n&gt;  收集1个蓝品质酒杯&lt;/n&gt;&lt;newline/&gt;
&lt;n&gt;  回复：&lt;/n&gt;&lt;goto id="60789" mapid="5" flagpoint="1" taskid="33012"/&gt;
&lt;/p&gt;</v>
      </c>
      <c r="AN1754" s="683" t="str">
        <f t="shared" si="240"/>
        <v>&lt;p&gt;
&lt;n&gt;  交：&lt;/n&gt;&lt;goto id="60789" mapid="5" flagpoint="1" taskid="33012"/&gt;
&lt;/p&gt;</v>
      </c>
      <c r="AO1754" s="556"/>
      <c r="AP1754" s="556">
        <v>0</v>
      </c>
      <c r="AQ1754" s="556">
        <v>0</v>
      </c>
      <c r="AR1754" s="556">
        <v>0</v>
      </c>
      <c r="AS1754" s="556">
        <v>0</v>
      </c>
      <c r="AT1754" s="556">
        <v>0</v>
      </c>
      <c r="AU1754" s="226">
        <v>0</v>
      </c>
      <c r="AV1754" s="17">
        <f t="shared" si="231"/>
        <v>0</v>
      </c>
      <c r="AW1754" s="556" t="str">
        <f>"{s_taskGather,{"&amp;L1754&amp;","&amp;N1754&amp;","&amp;T1754&amp;","&amp;U1754&amp;",0,1}}"</f>
        <v>{s_taskGather,{60789,60789,31439,1,0,1}}</v>
      </c>
    </row>
    <row r="1755" spans="1:49" s="808" customFormat="1" ht="156" x14ac:dyDescent="0.15">
      <c r="A1755" s="72">
        <v>33013</v>
      </c>
      <c r="B1755" s="73" t="s">
        <v>2858</v>
      </c>
      <c r="C1755" s="73" t="s">
        <v>2930</v>
      </c>
      <c r="D1755" s="73">
        <v>3</v>
      </c>
      <c r="E1755" s="73">
        <v>0</v>
      </c>
      <c r="F1755" s="73">
        <v>5</v>
      </c>
      <c r="G1755" s="80">
        <v>70</v>
      </c>
      <c r="H1755" s="73">
        <v>200</v>
      </c>
      <c r="I1755" s="17">
        <v>0</v>
      </c>
      <c r="J1755" s="80">
        <v>0</v>
      </c>
      <c r="K1755" s="73">
        <v>1</v>
      </c>
      <c r="L1755" s="73">
        <v>60789</v>
      </c>
      <c r="M1755" s="73" t="s">
        <v>2834</v>
      </c>
      <c r="N1755" s="73">
        <v>60789</v>
      </c>
      <c r="O1755" s="73" t="s">
        <v>5228</v>
      </c>
      <c r="P1755" s="73"/>
      <c r="Q1755" s="140"/>
      <c r="R1755" s="807"/>
      <c r="S1755" s="140"/>
      <c r="T1755" s="140">
        <v>31438</v>
      </c>
      <c r="U1755" s="73">
        <v>1</v>
      </c>
      <c r="V1755" s="73">
        <v>0</v>
      </c>
      <c r="W1755" s="73"/>
      <c r="X1755" s="73"/>
      <c r="Y1755" s="73"/>
      <c r="Z1755" s="142">
        <v>0</v>
      </c>
      <c r="AA1755" s="73"/>
      <c r="AB1755" s="143"/>
      <c r="AC1755" s="143"/>
      <c r="AD1755" s="73"/>
      <c r="AE1755" s="73"/>
      <c r="AF1755" s="556" t="str">
        <f>"title("&amp;C1755&amp;")
body(hotyellow_3(任务进程:)newline()
   前往敌国hot(王城)找到该国goto(60806,5)拿到hot("&amp;U1755&amp;"个白品质美酒)，回复goto(60789,5)。hot(（非本国及盟国即是敌国哦）)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前往敌国hot(王城)找到该国goto(60806,5)拿到hot(1个白品质美酒)，回复goto(60789,5)。hot(（非本国及盟国即是敌国哦）)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v>
      </c>
      <c r="AG1755" s="556" t="s">
        <v>2903</v>
      </c>
      <c r="AH1755" s="556" t="s">
        <v>2900</v>
      </c>
      <c r="AI1755" s="556" t="s">
        <v>110</v>
      </c>
      <c r="AJ1755" s="556" t="s">
        <v>6534</v>
      </c>
      <c r="AK1755" s="683" t="str">
        <f>"收集"&amp;U1755&amp;"个白品质美酒"</f>
        <v>收集1个白品质美酒</v>
      </c>
      <c r="AL1755" s="678">
        <v>0</v>
      </c>
      <c r="AM1755" s="683" t="str">
        <f>"&lt;p&gt;&lt;n&gt;  通过&lt;/n&gt;&lt;goto id=""126"" mapid=""7"" flagpoint=""1"" /&gt;&lt;newline/&gt;&lt;n&gt;  去敌国找&lt;/n&gt;&lt;goto id=""60806"" mapid=""5"" flagpoint=""1"" /&gt;&lt;newline/&gt;
&lt;n&gt;  收集1个白品质美酒&lt;/n&gt;&lt;newline/&gt;
&lt;n&gt;  回复：&lt;/n&gt;&lt;goto id="""&amp;N1755&amp;""" mapid=""5"" flagpoint=""1"" taskid="""&amp;A1755&amp;"""/&gt;
&lt;/p&gt;"</f>
        <v>&lt;p&gt;&lt;n&gt;  通过&lt;/n&gt;&lt;goto id="126" mapid="7" flagpoint="1" /&gt;&lt;newline/&gt;&lt;n&gt;  去敌国找&lt;/n&gt;&lt;goto id="60806" mapid="5" flagpoint="1" /&gt;&lt;newline/&gt;
&lt;n&gt;  收集1个白品质美酒&lt;/n&gt;&lt;newline/&gt;
&lt;n&gt;  回复：&lt;/n&gt;&lt;goto id="60789" mapid="5" flagpoint="1" taskid="33013"/&gt;
&lt;/p&gt;</v>
      </c>
      <c r="AN1755" s="683" t="str">
        <f t="shared" si="240"/>
        <v>&lt;p&gt;
&lt;n&gt;  交：&lt;/n&gt;&lt;goto id="60789" mapid="5" flagpoint="1" taskid="33013"/&gt;
&lt;/p&gt;</v>
      </c>
      <c r="AO1755" s="556"/>
      <c r="AP1755" s="556">
        <v>0</v>
      </c>
      <c r="AQ1755" s="556">
        <v>0</v>
      </c>
      <c r="AR1755" s="556">
        <v>0</v>
      </c>
      <c r="AS1755" s="556">
        <v>0</v>
      </c>
      <c r="AT1755" s="556">
        <v>0</v>
      </c>
      <c r="AU1755" s="226">
        <v>0</v>
      </c>
      <c r="AV1755" s="17">
        <f t="shared" si="231"/>
        <v>0</v>
      </c>
      <c r="AW1755" s="556" t="str">
        <f>"{s_taskGather,{"&amp;L1755&amp;","&amp;N1755&amp;","&amp;T1755&amp;","&amp;U1755&amp;",0,1}}"</f>
        <v>{s_taskGather,{60789,60789,31438,1,0,1}}</v>
      </c>
    </row>
    <row r="1756" spans="1:49" s="808" customFormat="1" ht="156" x14ac:dyDescent="0.15">
      <c r="A1756" s="72">
        <v>33014</v>
      </c>
      <c r="B1756" s="73" t="s">
        <v>2905</v>
      </c>
      <c r="C1756" s="73" t="s">
        <v>2930</v>
      </c>
      <c r="D1756" s="73">
        <v>3</v>
      </c>
      <c r="E1756" s="73">
        <v>0</v>
      </c>
      <c r="F1756" s="73">
        <v>5</v>
      </c>
      <c r="G1756" s="80">
        <v>70</v>
      </c>
      <c r="H1756" s="73">
        <v>200</v>
      </c>
      <c r="I1756" s="17">
        <v>0</v>
      </c>
      <c r="J1756" s="80">
        <v>0</v>
      </c>
      <c r="K1756" s="73">
        <v>1</v>
      </c>
      <c r="L1756" s="73">
        <v>60789</v>
      </c>
      <c r="M1756" s="73" t="s">
        <v>2834</v>
      </c>
      <c r="N1756" s="73">
        <v>60789</v>
      </c>
      <c r="O1756" s="73" t="s">
        <v>5228</v>
      </c>
      <c r="P1756" s="73"/>
      <c r="Q1756" s="140"/>
      <c r="R1756" s="807"/>
      <c r="S1756" s="140"/>
      <c r="T1756" s="140">
        <v>31438</v>
      </c>
      <c r="U1756" s="73">
        <v>1</v>
      </c>
      <c r="V1756" s="73">
        <v>0</v>
      </c>
      <c r="W1756" s="73"/>
      <c r="X1756" s="73"/>
      <c r="Y1756" s="73"/>
      <c r="Z1756" s="142">
        <v>0</v>
      </c>
      <c r="AA1756" s="73"/>
      <c r="AB1756" s="143"/>
      <c r="AC1756" s="143"/>
      <c r="AD1756" s="73"/>
      <c r="AE1756" s="73"/>
      <c r="AF1756" s="556" t="str">
        <f>"title("&amp;C1756&amp;")
body(hotyellow_3(任务进程:)newline()
   前往敌国hot(王城)找到该国goto(60806,5)拿到hot("&amp;U1756&amp;"个蓝品质美酒)，回复goto(60789,5)。hot(（非本国及盟国即是敌国哦）)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前往敌国hot(王城)找到该国goto(60806,5)拿到hot(1个蓝品质美酒)，回复goto(60789,5)。hot(（非本国及盟国即是敌国哦）)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v>
      </c>
      <c r="AG1756" s="556" t="s">
        <v>2902</v>
      </c>
      <c r="AH1756" s="556" t="s">
        <v>2900</v>
      </c>
      <c r="AI1756" s="556" t="s">
        <v>110</v>
      </c>
      <c r="AJ1756" s="556" t="s">
        <v>6534</v>
      </c>
      <c r="AK1756" s="683" t="str">
        <f>"收集"&amp;U1756&amp;"个蓝品质美酒"</f>
        <v>收集1个蓝品质美酒</v>
      </c>
      <c r="AL1756" s="678">
        <v>0</v>
      </c>
      <c r="AM1756" s="683" t="str">
        <f>"&lt;p&gt;&lt;n&gt;  通过&lt;/n&gt;&lt;goto id=""126"" mapid=""7"" flagpoint=""1"" /&gt;&lt;newline/&gt;&lt;n&gt;  去敌国找&lt;/n&gt;&lt;goto id=""60806"" mapid=""5"" flagpoint=""1"" /&gt;&lt;newline/&gt;
&lt;n&gt;  收集1个蓝品质美酒&lt;/n&gt;&lt;newline/&gt;
&lt;n&gt;  回复：&lt;/n&gt;&lt;goto id="""&amp;N1756&amp;""" mapid=""5"" flagpoint=""1"" taskid="""&amp;A1756&amp;"""/&gt;
&lt;/p&gt;"</f>
        <v>&lt;p&gt;&lt;n&gt;  通过&lt;/n&gt;&lt;goto id="126" mapid="7" flagpoint="1" /&gt;&lt;newline/&gt;&lt;n&gt;  去敌国找&lt;/n&gt;&lt;goto id="60806" mapid="5" flagpoint="1" /&gt;&lt;newline/&gt;
&lt;n&gt;  收集1个蓝品质美酒&lt;/n&gt;&lt;newline/&gt;
&lt;n&gt;  回复：&lt;/n&gt;&lt;goto id="60789" mapid="5" flagpoint="1" taskid="33014"/&gt;
&lt;/p&gt;</v>
      </c>
      <c r="AN1756" s="683" t="str">
        <f t="shared" si="240"/>
        <v>&lt;p&gt;
&lt;n&gt;  交：&lt;/n&gt;&lt;goto id="60789" mapid="5" flagpoint="1" taskid="33014"/&gt;
&lt;/p&gt;</v>
      </c>
      <c r="AO1756" s="556"/>
      <c r="AP1756" s="556">
        <v>0</v>
      </c>
      <c r="AQ1756" s="556">
        <v>0</v>
      </c>
      <c r="AR1756" s="556">
        <v>0</v>
      </c>
      <c r="AS1756" s="556">
        <v>0</v>
      </c>
      <c r="AT1756" s="556">
        <v>0</v>
      </c>
      <c r="AU1756" s="226">
        <v>0</v>
      </c>
      <c r="AV1756" s="17">
        <f t="shared" si="231"/>
        <v>0</v>
      </c>
      <c r="AW1756" s="556" t="str">
        <f>"{s_taskGather,{"&amp;L1756&amp;","&amp;N1756&amp;","&amp;T1756&amp;","&amp;U1756&amp;",0,1}}"</f>
        <v>{s_taskGather,{60789,60789,31438,1,0,1}}</v>
      </c>
    </row>
    <row r="1757" spans="1:49" s="808" customFormat="1" ht="144" x14ac:dyDescent="0.15">
      <c r="A1757" s="72">
        <v>33015</v>
      </c>
      <c r="B1757" s="73" t="s">
        <v>2858</v>
      </c>
      <c r="C1757" s="73" t="s">
        <v>2926</v>
      </c>
      <c r="D1757" s="73">
        <v>3</v>
      </c>
      <c r="E1757" s="73">
        <v>0</v>
      </c>
      <c r="F1757" s="73">
        <v>5</v>
      </c>
      <c r="G1757" s="80">
        <v>70</v>
      </c>
      <c r="H1757" s="73">
        <v>200</v>
      </c>
      <c r="I1757" s="17">
        <v>0</v>
      </c>
      <c r="J1757" s="80">
        <v>0</v>
      </c>
      <c r="K1757" s="73">
        <v>1</v>
      </c>
      <c r="L1757" s="73">
        <v>60789</v>
      </c>
      <c r="M1757" s="73" t="s">
        <v>2834</v>
      </c>
      <c r="N1757" s="73">
        <v>60789</v>
      </c>
      <c r="O1757" s="73" t="s">
        <v>5228</v>
      </c>
      <c r="P1757" s="73"/>
      <c r="Q1757" s="140"/>
      <c r="R1757" s="807"/>
      <c r="S1757" s="140">
        <v>60808</v>
      </c>
      <c r="T1757" s="140"/>
      <c r="U1757" s="73">
        <v>1</v>
      </c>
      <c r="V1757" s="73">
        <v>0</v>
      </c>
      <c r="W1757" s="73"/>
      <c r="X1757" s="73"/>
      <c r="Y1757" s="73"/>
      <c r="Z1757" s="142">
        <v>0</v>
      </c>
      <c r="AA1757" s="73"/>
      <c r="AB1757" s="143"/>
      <c r="AC1757" s="143"/>
      <c r="AD1757" s="73"/>
      <c r="AE1757" s="745" t="s">
        <v>2917</v>
      </c>
      <c r="AF1757" s="556" t="str">
        <f>"title("&amp;C1757&amp;")
body(hotyellow_3(任务进程:)newline()
   使用任务给予的单兵火箭筒前往敌国hot(五丈原)破坏1个goto(60808,7)，回复goto(60789,5)。hot(（非本国及盟国即是敌国哦）)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使用任务给予的单兵火箭筒前往敌国hot(五丈原)破坏1个goto(60808,7)，回复goto(60789,5)。hot(（非本国及盟国即是敌国哦）)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57" s="556" t="s">
        <v>2918</v>
      </c>
      <c r="AH1757" s="556" t="s">
        <v>2916</v>
      </c>
      <c r="AI1757" s="556" t="s">
        <v>110</v>
      </c>
      <c r="AJ1757" s="556" t="s">
        <v>6535</v>
      </c>
      <c r="AK1757" s="683" t="str">
        <f>"破坏"&amp;U1757&amp;"个沙地型补给艇"</f>
        <v>破坏1个沙地型补给艇</v>
      </c>
      <c r="AL1757" s="678">
        <v>0</v>
      </c>
      <c r="AM1757" s="683" t="str">
        <f>"&lt;p&gt;&lt;n&gt;  通过&lt;/n&gt;&lt;goto id=""126"" mapid=""7"" flagpoint=""1"" /&gt;&lt;newline/&gt;&lt;n&gt;  去敌国使用火箭筒破坏1个&lt;/n&gt;&lt;goto id="""&amp;S1757&amp;""" mapid=""7"" flagpoint=""1"" /&gt;&lt;newline/&gt;
&lt;n&gt;  回复：&lt;/n&gt;&lt;goto id="""&amp;N1757&amp;""" mapid=""5"" flagpoint=""1"" taskid="""&amp;A1757&amp;"""/&gt;
&lt;/p&gt;"</f>
        <v>&lt;p&gt;&lt;n&gt;  通过&lt;/n&gt;&lt;goto id="126" mapid="7" flagpoint="1" /&gt;&lt;newline/&gt;&lt;n&gt;  去敌国使用火箭筒破坏1个&lt;/n&gt;&lt;goto id="60808" mapid="7" flagpoint="1" /&gt;&lt;newline/&gt;
&lt;n&gt;  回复：&lt;/n&gt;&lt;goto id="60789" mapid="5" flagpoint="1" taskid="33015"/&gt;
&lt;/p&gt;</v>
      </c>
      <c r="AN1757" s="683" t="str">
        <f t="shared" si="240"/>
        <v>&lt;p&gt;
&lt;n&gt;  交：&lt;/n&gt;&lt;goto id="60789" mapid="5" flagpoint="1" taskid="33015"/&gt;
&lt;/p&gt;</v>
      </c>
      <c r="AO1757" s="556"/>
      <c r="AP1757" s="556">
        <v>0</v>
      </c>
      <c r="AQ1757" s="556">
        <v>0</v>
      </c>
      <c r="AR1757" s="556">
        <v>0</v>
      </c>
      <c r="AS1757" s="556">
        <v>0</v>
      </c>
      <c r="AT1757" s="556">
        <v>0</v>
      </c>
      <c r="AU1757" s="226">
        <v>0</v>
      </c>
      <c r="AV1757" s="17">
        <f t="shared" si="231"/>
        <v>0</v>
      </c>
      <c r="AW1757" s="50" t="str">
        <f>"{s_taskKillNpc, {"&amp;L1757&amp;","&amp;N1757&amp;","&amp;S1757&amp;","&amp;U1757&amp;"}}"</f>
        <v>{s_taskKillNpc, {60789,60789,60808,1}}</v>
      </c>
    </row>
    <row r="1758" spans="1:49" s="808" customFormat="1" ht="144" x14ac:dyDescent="0.15">
      <c r="A1758" s="72">
        <v>33016</v>
      </c>
      <c r="B1758" s="73" t="s">
        <v>2858</v>
      </c>
      <c r="C1758" s="73" t="s">
        <v>2926</v>
      </c>
      <c r="D1758" s="73">
        <v>3</v>
      </c>
      <c r="E1758" s="73">
        <v>0</v>
      </c>
      <c r="F1758" s="73">
        <v>5</v>
      </c>
      <c r="G1758" s="80">
        <v>70</v>
      </c>
      <c r="H1758" s="73">
        <v>200</v>
      </c>
      <c r="I1758" s="17">
        <v>0</v>
      </c>
      <c r="J1758" s="80">
        <v>0</v>
      </c>
      <c r="K1758" s="73">
        <v>1</v>
      </c>
      <c r="L1758" s="73">
        <v>60789</v>
      </c>
      <c r="M1758" s="73" t="s">
        <v>2834</v>
      </c>
      <c r="N1758" s="73">
        <v>60789</v>
      </c>
      <c r="O1758" s="73" t="s">
        <v>5228</v>
      </c>
      <c r="P1758" s="73"/>
      <c r="Q1758" s="140"/>
      <c r="R1758" s="807"/>
      <c r="S1758" s="140">
        <v>60808</v>
      </c>
      <c r="T1758" s="140"/>
      <c r="U1758" s="73">
        <v>3</v>
      </c>
      <c r="V1758" s="73">
        <v>0</v>
      </c>
      <c r="W1758" s="73"/>
      <c r="X1758" s="73"/>
      <c r="Y1758" s="73"/>
      <c r="Z1758" s="142">
        <v>0</v>
      </c>
      <c r="AA1758" s="73"/>
      <c r="AB1758" s="143"/>
      <c r="AC1758" s="143"/>
      <c r="AD1758" s="73"/>
      <c r="AE1758" s="745" t="s">
        <v>2917</v>
      </c>
      <c r="AF1758" s="556" t="str">
        <f>"title("&amp;C1758&amp;")
body(hotyellow_3(任务进程:)newline()
   使用任务给予的单兵火箭筒前往敌国hot(五丈原)破坏3个goto(60808,7)，回复goto(60789,5)。hot(（非本国及盟国即是敌国哦）)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使用任务给予的单兵火箭筒前往敌国hot(五丈原)破坏3个goto(60808,7)，回复goto(60789,5)。hot(（非本国及盟国即是敌国哦）)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58" s="556" t="s">
        <v>2919</v>
      </c>
      <c r="AH1758" s="556" t="s">
        <v>2916</v>
      </c>
      <c r="AI1758" s="556" t="s">
        <v>110</v>
      </c>
      <c r="AJ1758" s="556" t="s">
        <v>6535</v>
      </c>
      <c r="AK1758" s="683" t="str">
        <f>"破坏"&amp;U1758&amp;"个沙地型补给艇"</f>
        <v>破坏3个沙地型补给艇</v>
      </c>
      <c r="AL1758" s="678">
        <v>0</v>
      </c>
      <c r="AM1758" s="683" t="str">
        <f>"&lt;p&gt;&lt;n&gt;  通过&lt;/n&gt;&lt;goto id=""126"" mapid=""7"" flagpoint=""1"" /&gt;&lt;newline/&gt;&lt;n&gt;  去敌国使用火箭筒破坏3个&lt;/n&gt;&lt;goto id="""&amp;S1758&amp;""" mapid=""7"" flagpoint=""1"" /&gt;&lt;newline/&gt;
&lt;n&gt;  回复：&lt;/n&gt;&lt;goto id="""&amp;N1758&amp;""" mapid=""5"" flagpoint=""1"" taskid="""&amp;A1758&amp;"""/&gt;
&lt;/p&gt;"</f>
        <v>&lt;p&gt;&lt;n&gt;  通过&lt;/n&gt;&lt;goto id="126" mapid="7" flagpoint="1" /&gt;&lt;newline/&gt;&lt;n&gt;  去敌国使用火箭筒破坏3个&lt;/n&gt;&lt;goto id="60808" mapid="7" flagpoint="1" /&gt;&lt;newline/&gt;
&lt;n&gt;  回复：&lt;/n&gt;&lt;goto id="60789" mapid="5" flagpoint="1" taskid="33016"/&gt;
&lt;/p&gt;</v>
      </c>
      <c r="AN1758" s="683" t="str">
        <f t="shared" si="240"/>
        <v>&lt;p&gt;
&lt;n&gt;  交：&lt;/n&gt;&lt;goto id="60789" mapid="5" flagpoint="1" taskid="33016"/&gt;
&lt;/p&gt;</v>
      </c>
      <c r="AO1758" s="556"/>
      <c r="AP1758" s="556">
        <v>0</v>
      </c>
      <c r="AQ1758" s="556">
        <v>0</v>
      </c>
      <c r="AR1758" s="556">
        <v>0</v>
      </c>
      <c r="AS1758" s="556">
        <v>0</v>
      </c>
      <c r="AT1758" s="556">
        <v>0</v>
      </c>
      <c r="AU1758" s="226">
        <v>0</v>
      </c>
      <c r="AV1758" s="17">
        <f t="shared" si="231"/>
        <v>0</v>
      </c>
      <c r="AW1758" s="50" t="str">
        <f>"{s_taskKillNpc, {"&amp;L1758&amp;","&amp;N1758&amp;","&amp;S1758&amp;","&amp;U1758&amp;"}}"</f>
        <v>{s_taskKillNpc, {60789,60789,60808,3}}</v>
      </c>
    </row>
    <row r="1759" spans="1:49" s="808" customFormat="1" ht="144" x14ac:dyDescent="0.15">
      <c r="A1759" s="72">
        <v>33017</v>
      </c>
      <c r="B1759" s="73" t="s">
        <v>2858</v>
      </c>
      <c r="C1759" s="73" t="s">
        <v>2926</v>
      </c>
      <c r="D1759" s="73">
        <v>3</v>
      </c>
      <c r="E1759" s="73">
        <v>0</v>
      </c>
      <c r="F1759" s="73">
        <v>5</v>
      </c>
      <c r="G1759" s="80">
        <v>70</v>
      </c>
      <c r="H1759" s="73">
        <v>200</v>
      </c>
      <c r="I1759" s="17">
        <v>0</v>
      </c>
      <c r="J1759" s="80">
        <v>0</v>
      </c>
      <c r="K1759" s="73">
        <v>1</v>
      </c>
      <c r="L1759" s="73">
        <v>60789</v>
      </c>
      <c r="M1759" s="73" t="s">
        <v>2834</v>
      </c>
      <c r="N1759" s="73">
        <v>60789</v>
      </c>
      <c r="O1759" s="73" t="s">
        <v>5228</v>
      </c>
      <c r="P1759" s="73"/>
      <c r="Q1759" s="140"/>
      <c r="R1759" s="807"/>
      <c r="S1759" s="140">
        <v>60809</v>
      </c>
      <c r="T1759" s="140"/>
      <c r="U1759" s="73">
        <v>1</v>
      </c>
      <c r="V1759" s="73">
        <v>0</v>
      </c>
      <c r="W1759" s="73"/>
      <c r="X1759" s="73"/>
      <c r="Y1759" s="73"/>
      <c r="Z1759" s="142">
        <v>0</v>
      </c>
      <c r="AA1759" s="73"/>
      <c r="AB1759" s="143"/>
      <c r="AC1759" s="143"/>
      <c r="AD1759" s="73"/>
      <c r="AE1759" s="745" t="s">
        <v>2917</v>
      </c>
      <c r="AF1759" s="556" t="str">
        <f>"title("&amp;C1759&amp;")
body(hotyellow_3(任务进程:)newline()
   使用任务给予的单兵火箭筒前往敌国hot(王城)破坏1个goto(60809,5)，回复goto(60789,5)。hot(（非本国及盟国即是敌国哦）)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使用任务给予的单兵火箭筒前往敌国hot(王城)破坏1个goto(60809,5)，回复goto(60789,5)。hot(（非本国及盟国即是敌国哦）)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59" s="556" t="s">
        <v>4801</v>
      </c>
      <c r="AH1759" s="556" t="s">
        <v>2916</v>
      </c>
      <c r="AI1759" s="556" t="s">
        <v>110</v>
      </c>
      <c r="AJ1759" s="556" t="s">
        <v>6536</v>
      </c>
      <c r="AK1759" s="683" t="str">
        <f>"破坏"&amp;U1759&amp;"个帮会需补给艇"</f>
        <v>破坏1个帮会需补给艇</v>
      </c>
      <c r="AL1759" s="678">
        <v>0</v>
      </c>
      <c r="AM1759" s="683" t="str">
        <f>"&lt;p&gt;&lt;n&gt;  通过&lt;/n&gt;&lt;goto id=""126"" mapid=""7"" flagpoint=""1"" /&gt;&lt;newline/&gt;&lt;n&gt;  去敌国使用火箭筒破坏1个&lt;/n&gt;&lt;goto id="""&amp;S1759&amp;""" mapid=""5"" flagpoint=""1"" /&gt;&lt;newline/&gt;
&lt;n&gt;  回复：&lt;/n&gt;&lt;goto id="""&amp;N1759&amp;""" mapid=""5"" flagpoint=""1"" taskid="""&amp;A1759&amp;"""/&gt;
&lt;/p&gt;"</f>
        <v>&lt;p&gt;&lt;n&gt;  通过&lt;/n&gt;&lt;goto id="126" mapid="7" flagpoint="1" /&gt;&lt;newline/&gt;&lt;n&gt;  去敌国使用火箭筒破坏1个&lt;/n&gt;&lt;goto id="60809" mapid="5" flagpoint="1" /&gt;&lt;newline/&gt;
&lt;n&gt;  回复：&lt;/n&gt;&lt;goto id="60789" mapid="5" flagpoint="1" taskid="33017"/&gt;
&lt;/p&gt;</v>
      </c>
      <c r="AN1759" s="683" t="str">
        <f t="shared" si="240"/>
        <v>&lt;p&gt;
&lt;n&gt;  交：&lt;/n&gt;&lt;goto id="60789" mapid="5" flagpoint="1" taskid="33017"/&gt;
&lt;/p&gt;</v>
      </c>
      <c r="AO1759" s="556"/>
      <c r="AP1759" s="556">
        <v>0</v>
      </c>
      <c r="AQ1759" s="556">
        <v>0</v>
      </c>
      <c r="AR1759" s="556">
        <v>0</v>
      </c>
      <c r="AS1759" s="556">
        <v>0</v>
      </c>
      <c r="AT1759" s="556">
        <v>0</v>
      </c>
      <c r="AU1759" s="226">
        <v>0</v>
      </c>
      <c r="AV1759" s="17">
        <f t="shared" si="231"/>
        <v>0</v>
      </c>
      <c r="AW1759" s="50" t="str">
        <f>"{s_taskKillNpc, {"&amp;L1759&amp;","&amp;N1759&amp;","&amp;S1759&amp;","&amp;U1759&amp;"}}"</f>
        <v>{s_taskKillNpc, {60789,60789,60809,1}}</v>
      </c>
    </row>
    <row r="1760" spans="1:49" s="808" customFormat="1" ht="144" x14ac:dyDescent="0.15">
      <c r="A1760" s="72">
        <v>33018</v>
      </c>
      <c r="B1760" s="73" t="s">
        <v>2858</v>
      </c>
      <c r="C1760" s="73" t="s">
        <v>2926</v>
      </c>
      <c r="D1760" s="73">
        <v>3</v>
      </c>
      <c r="E1760" s="73">
        <v>0</v>
      </c>
      <c r="F1760" s="73">
        <v>5</v>
      </c>
      <c r="G1760" s="80">
        <v>70</v>
      </c>
      <c r="H1760" s="73">
        <v>200</v>
      </c>
      <c r="I1760" s="17">
        <v>0</v>
      </c>
      <c r="J1760" s="80">
        <v>0</v>
      </c>
      <c r="K1760" s="73">
        <v>1</v>
      </c>
      <c r="L1760" s="73">
        <v>60789</v>
      </c>
      <c r="M1760" s="73" t="s">
        <v>2834</v>
      </c>
      <c r="N1760" s="73">
        <v>60789</v>
      </c>
      <c r="O1760" s="73" t="s">
        <v>5228</v>
      </c>
      <c r="P1760" s="73"/>
      <c r="Q1760" s="140"/>
      <c r="R1760" s="807"/>
      <c r="S1760" s="140">
        <v>60809</v>
      </c>
      <c r="T1760" s="140"/>
      <c r="U1760" s="73">
        <v>3</v>
      </c>
      <c r="V1760" s="73">
        <v>0</v>
      </c>
      <c r="W1760" s="73"/>
      <c r="X1760" s="73"/>
      <c r="Y1760" s="73"/>
      <c r="Z1760" s="142">
        <v>0</v>
      </c>
      <c r="AA1760" s="73"/>
      <c r="AB1760" s="143"/>
      <c r="AC1760" s="143"/>
      <c r="AD1760" s="73"/>
      <c r="AE1760" s="745" t="s">
        <v>2917</v>
      </c>
      <c r="AF1760" s="556" t="str">
        <f>"title("&amp;C1760&amp;")
body(hotyellow_3(任务进程:)newline()
   使用任务给予的单兵火箭筒前往敌国hot(王城)破坏3个goto(60809,5)，回复goto(60789,5)。hot(（非本国及盟国即是敌国哦）)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使用任务给予的单兵火箭筒前往敌国hot(王城)破坏3个goto(60809,5)，回复goto(60789,5)。hot(（非本国及盟国即是敌国哦）)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60" s="556" t="s">
        <v>4801</v>
      </c>
      <c r="AH1760" s="556" t="s">
        <v>2916</v>
      </c>
      <c r="AI1760" s="556" t="s">
        <v>110</v>
      </c>
      <c r="AJ1760" s="556" t="s">
        <v>6536</v>
      </c>
      <c r="AK1760" s="683" t="str">
        <f>"破坏"&amp;U1760&amp;"个帮会需补给艇"</f>
        <v>破坏3个帮会需补给艇</v>
      </c>
      <c r="AL1760" s="678">
        <v>0</v>
      </c>
      <c r="AM1760" s="683" t="str">
        <f>"&lt;p&gt;&lt;n&gt;  通过&lt;/n&gt;&lt;goto id=""126"" mapid=""7"" flagpoint=""1"" /&gt;&lt;newline/&gt;&lt;n&gt;  去敌国使用火箭筒破坏3个&lt;/n&gt;&lt;goto id="""&amp;S1760&amp;""" mapid=""5"" flagpoint=""1"" /&gt;&lt;newline/&gt;
&lt;n&gt;  回复：&lt;/n&gt;&lt;goto id="""&amp;N1760&amp;""" mapid=""5"" flagpoint=""1"" taskid="""&amp;A1760&amp;"""/&gt;
&lt;/p&gt;"</f>
        <v>&lt;p&gt;&lt;n&gt;  通过&lt;/n&gt;&lt;goto id="126" mapid="7" flagpoint="1" /&gt;&lt;newline/&gt;&lt;n&gt;  去敌国使用火箭筒破坏3个&lt;/n&gt;&lt;goto id="60809" mapid="5" flagpoint="1" /&gt;&lt;newline/&gt;
&lt;n&gt;  回复：&lt;/n&gt;&lt;goto id="60789" mapid="5" flagpoint="1" taskid="33018"/&gt;
&lt;/p&gt;</v>
      </c>
      <c r="AN1760" s="683" t="str">
        <f t="shared" si="240"/>
        <v>&lt;p&gt;
&lt;n&gt;  交：&lt;/n&gt;&lt;goto id="60789" mapid="5" flagpoint="1" taskid="33018"/&gt;
&lt;/p&gt;</v>
      </c>
      <c r="AO1760" s="556"/>
      <c r="AP1760" s="556">
        <v>0</v>
      </c>
      <c r="AQ1760" s="556">
        <v>0</v>
      </c>
      <c r="AR1760" s="556">
        <v>0</v>
      </c>
      <c r="AS1760" s="556">
        <v>0</v>
      </c>
      <c r="AT1760" s="556">
        <v>0</v>
      </c>
      <c r="AU1760" s="226">
        <v>0</v>
      </c>
      <c r="AV1760" s="17">
        <f t="shared" si="231"/>
        <v>0</v>
      </c>
      <c r="AW1760" s="50" t="str">
        <f>"{s_taskKillNpc, {"&amp;L1760&amp;","&amp;N1760&amp;","&amp;S1760&amp;","&amp;U1760&amp;"}}"</f>
        <v>{s_taskKillNpc, {60789,60789,60809,3}}</v>
      </c>
    </row>
    <row r="1761" spans="1:49" s="808" customFormat="1" x14ac:dyDescent="0.15">
      <c r="A1761" s="72">
        <v>33019</v>
      </c>
      <c r="B1761" s="73" t="s">
        <v>3410</v>
      </c>
      <c r="C1761" s="73" t="s">
        <v>3407</v>
      </c>
      <c r="D1761" s="73">
        <v>3</v>
      </c>
      <c r="E1761" s="73">
        <v>0</v>
      </c>
      <c r="F1761" s="73">
        <v>5</v>
      </c>
      <c r="G1761" s="80">
        <v>70</v>
      </c>
      <c r="H1761" s="73">
        <v>200</v>
      </c>
      <c r="I1761" s="17">
        <v>0</v>
      </c>
      <c r="J1761" s="80">
        <v>0</v>
      </c>
      <c r="K1761" s="73">
        <v>1</v>
      </c>
      <c r="L1761" s="73">
        <v>60789</v>
      </c>
      <c r="M1761" s="73" t="s">
        <v>2834</v>
      </c>
      <c r="N1761" s="73">
        <v>203</v>
      </c>
      <c r="O1761" s="73" t="s">
        <v>5258</v>
      </c>
      <c r="P1761" s="73"/>
      <c r="Q1761" s="140"/>
      <c r="R1761" s="807"/>
      <c r="S1761" s="140"/>
      <c r="T1761" s="140"/>
      <c r="U1761" s="73">
        <v>1</v>
      </c>
      <c r="V1761" s="73">
        <v>1</v>
      </c>
      <c r="W1761" s="73"/>
      <c r="X1761" s="73"/>
      <c r="Y1761" s="73"/>
      <c r="Z1761" s="142">
        <v>0</v>
      </c>
      <c r="AA1761" s="73"/>
      <c r="AB1761" s="143"/>
      <c r="AC1761" s="143"/>
      <c r="AD1761" s="73"/>
      <c r="AE1761" s="73"/>
      <c r="AF1761" s="73"/>
      <c r="AG1761" s="73"/>
      <c r="AH1761" s="73"/>
      <c r="AI1761" s="73"/>
      <c r="AJ1761" s="73"/>
      <c r="AK1761" s="73"/>
      <c r="AL1761" s="80">
        <v>0</v>
      </c>
      <c r="AM1761" s="73"/>
      <c r="AN1761" s="73"/>
      <c r="AO1761" s="73"/>
      <c r="AP1761" s="73">
        <v>0</v>
      </c>
      <c r="AQ1761" s="73">
        <v>0</v>
      </c>
      <c r="AR1761" s="73">
        <v>0</v>
      </c>
      <c r="AS1761" s="73">
        <v>0</v>
      </c>
      <c r="AT1761" s="73">
        <v>0</v>
      </c>
      <c r="AU1761" s="226">
        <v>0</v>
      </c>
      <c r="AV1761" s="17">
        <f t="shared" si="231"/>
        <v>0</v>
      </c>
      <c r="AW1761" s="50" t="str">
        <f t="shared" ref="AW1761" si="241">"{s_taskTalk,{"&amp;L1761&amp;","&amp;N1761&amp;"}}"</f>
        <v>{s_taskTalk,{60789,203}}</v>
      </c>
    </row>
    <row r="1762" spans="1:49" s="808" customFormat="1" ht="132" x14ac:dyDescent="0.15">
      <c r="A1762" s="72">
        <v>33020</v>
      </c>
      <c r="B1762" s="73" t="s">
        <v>3411</v>
      </c>
      <c r="C1762" s="73" t="s">
        <v>3412</v>
      </c>
      <c r="D1762" s="73">
        <v>3</v>
      </c>
      <c r="E1762" s="73">
        <v>0</v>
      </c>
      <c r="F1762" s="73">
        <v>5</v>
      </c>
      <c r="G1762" s="80">
        <v>70</v>
      </c>
      <c r="H1762" s="73">
        <v>200</v>
      </c>
      <c r="I1762" s="17">
        <v>0</v>
      </c>
      <c r="J1762" s="80">
        <v>0</v>
      </c>
      <c r="K1762" s="73">
        <v>1</v>
      </c>
      <c r="L1762" s="73">
        <v>60789</v>
      </c>
      <c r="M1762" s="73" t="s">
        <v>2834</v>
      </c>
      <c r="N1762" s="73">
        <v>60789</v>
      </c>
      <c r="O1762" s="73" t="s">
        <v>5228</v>
      </c>
      <c r="P1762" s="73"/>
      <c r="Q1762" s="140"/>
      <c r="R1762" s="807"/>
      <c r="S1762" s="140">
        <v>60866</v>
      </c>
      <c r="T1762" s="140"/>
      <c r="U1762" s="73">
        <v>1</v>
      </c>
      <c r="V1762" s="73">
        <v>0</v>
      </c>
      <c r="W1762" s="73"/>
      <c r="X1762" s="73"/>
      <c r="Y1762" s="73"/>
      <c r="Z1762" s="142">
        <v>0</v>
      </c>
      <c r="AA1762" s="73"/>
      <c r="AB1762" s="143"/>
      <c r="AC1762" s="143"/>
      <c r="AD1762" s="73"/>
      <c r="AE1762" s="745"/>
      <c r="AF1762" s="556" t="str">
        <f>"title("&amp;C1762&amp;")
body(hotyellow_3(任务进程:)newline()
   邀请一个70级以上玩家组队，通过与goto(60789,5)对话，选择hot(进入‘维多利亚’战役),杀死goto(60866,143)，回复goto(60789,5)。newline()
◆进入限制newline()
1、必须有且只有2人组队newline()
2、任务的协助者今天未进入过该副本，且在您附近newline()
3、2人必须都大于等于70级
)"</f>
        <v>title([随机]戎装公主)
body(hotyellow_3(任务进程:)newline()
   邀请一个70级以上玩家组队，通过与goto(60789,5)对话，选择hot(进入‘维多利亚’战役),杀死goto(60866,143)，回复goto(60789,5)。newline()
◆进入限制newline()
1、必须有且只有2人组队newline()
2、任务的协助者今天未进入过该副本，且在您附近newline()
3、2人必须都大于等于70级
)</v>
      </c>
      <c r="AG1762" s="556" t="s">
        <v>4802</v>
      </c>
      <c r="AH1762" s="556" t="s">
        <v>2916</v>
      </c>
      <c r="AI1762" s="556" t="s">
        <v>110</v>
      </c>
      <c r="AJ1762" s="556" t="s">
        <v>6537</v>
      </c>
      <c r="AK1762" s="683" t="str">
        <f>"杀死"&amp;U1762&amp;"梦之黑魔"</f>
        <v>杀死1梦之黑魔</v>
      </c>
      <c r="AL1762" s="678">
        <v>0</v>
      </c>
      <c r="AM1762" s="683" t="str">
        <f>"&lt;p&gt;&lt;n&gt;  通过&lt;/n&gt;&lt;goto id=""60789"" mapid=""5"" flagpoint=""1"" /&gt;&lt;newline/&gt;&lt;n&gt;  选择‘维多利亚’战役&lt;/n&gt;&lt;newline/&gt;
&lt;n&gt;  杀：梦之黑魔后，回复：&lt;/n&gt;&lt;goto id="""&amp;N1762&amp;""" mapid=""5"" flagpoint=""1"" taskid="""&amp;A1762&amp;"""/&gt;
&lt;/p&gt;"</f>
        <v>&lt;p&gt;&lt;n&gt;  通过&lt;/n&gt;&lt;goto id="60789" mapid="5" flagpoint="1" /&gt;&lt;newline/&gt;&lt;n&gt;  选择‘维多利亚’战役&lt;/n&gt;&lt;newline/&gt;
&lt;n&gt;  杀：梦之黑魔后，回复：&lt;/n&gt;&lt;goto id="60789" mapid="5" flagpoint="1" taskid="33020"/&gt;
&lt;/p&gt;</v>
      </c>
      <c r="AN1762" s="683" t="str">
        <f>"&lt;p&gt;&lt;n&gt;  通过&lt;/n&gt;&lt;goto id=""60789"" mapid=""5"" flagpoint=""1"" /&gt;&lt;newline/&gt;&lt;n&gt;  选择‘维多利亚’战役&lt;/n&gt;&lt;newline/&gt;
&lt;n&gt;  杀死梦之黑魔后，交：&lt;/n&gt;&lt;goto id="""&amp;N1762&amp;""" mapid=""5"" flagpoint=""1"" taskid="""&amp;B1762&amp;"""/&gt;
&lt;/p&gt;"</f>
        <v>&lt;p&gt;&lt;n&gt;  通过&lt;/n&gt;&lt;goto id="60789" mapid="5" flagpoint="1" /&gt;&lt;newline/&gt;&lt;n&gt;  选择‘维多利亚’战役&lt;/n&gt;&lt;newline/&gt;
&lt;n&gt;  杀死梦之黑魔后，交：&lt;/n&gt;&lt;goto id="60789" mapid="5" flagpoint="1" taskid="绿"/&gt;
&lt;/p&gt;</v>
      </c>
      <c r="AO1762" s="556"/>
      <c r="AP1762" s="556">
        <v>0</v>
      </c>
      <c r="AQ1762" s="556">
        <v>0</v>
      </c>
      <c r="AR1762" s="556">
        <v>0</v>
      </c>
      <c r="AS1762" s="556">
        <v>0</v>
      </c>
      <c r="AT1762" s="556">
        <v>0</v>
      </c>
      <c r="AU1762" s="226">
        <v>0</v>
      </c>
      <c r="AV1762" s="17">
        <f t="shared" ref="AV1762:AV1836" si="242">IF(D1762 = 1,1,0)</f>
        <v>0</v>
      </c>
      <c r="AW1762" s="50" t="str">
        <f>"{s_taskKillNpc, {"&amp;L1762&amp;","&amp;N1762&amp;","&amp;S1762&amp;","&amp;U1762&amp;"}}"</f>
        <v>{s_taskKillNpc, {60789,60789,60866,1}}</v>
      </c>
    </row>
    <row r="1763" spans="1:49" s="808" customFormat="1" ht="24" x14ac:dyDescent="0.15">
      <c r="A1763" s="72">
        <v>33500</v>
      </c>
      <c r="B1763" s="73" t="s">
        <v>2859</v>
      </c>
      <c r="C1763" s="73" t="s">
        <v>2852</v>
      </c>
      <c r="D1763" s="73">
        <v>3</v>
      </c>
      <c r="E1763" s="73">
        <v>0</v>
      </c>
      <c r="F1763" s="73">
        <v>5</v>
      </c>
      <c r="G1763" s="80">
        <v>70</v>
      </c>
      <c r="H1763" s="73">
        <v>200</v>
      </c>
      <c r="I1763" s="17">
        <v>0</v>
      </c>
      <c r="J1763" s="80">
        <v>0</v>
      </c>
      <c r="K1763" s="73">
        <v>1</v>
      </c>
      <c r="L1763" s="73">
        <v>60789</v>
      </c>
      <c r="M1763" s="73" t="s">
        <v>2834</v>
      </c>
      <c r="N1763" s="73">
        <v>60789</v>
      </c>
      <c r="O1763" s="73" t="s">
        <v>5228</v>
      </c>
      <c r="P1763" s="73"/>
      <c r="Q1763" s="140"/>
      <c r="R1763" s="807">
        <v>61082</v>
      </c>
      <c r="S1763" s="140"/>
      <c r="T1763" s="140"/>
      <c r="U1763" s="73">
        <v>1</v>
      </c>
      <c r="V1763" s="73">
        <v>0</v>
      </c>
      <c r="W1763" s="73"/>
      <c r="X1763" s="73"/>
      <c r="Y1763" s="73"/>
      <c r="Z1763" s="142">
        <v>0</v>
      </c>
      <c r="AA1763" s="73"/>
      <c r="AB1763" s="143"/>
      <c r="AC1763" s="143"/>
      <c r="AD1763" s="73"/>
      <c r="AE1763" s="73"/>
      <c r="AF1763" s="73"/>
      <c r="AG1763" s="73"/>
      <c r="AH1763" s="73"/>
      <c r="AI1763" s="73"/>
      <c r="AJ1763" s="73"/>
      <c r="AK1763" s="73"/>
      <c r="AL1763" s="80">
        <v>0</v>
      </c>
      <c r="AM1763" s="73"/>
      <c r="AN1763" s="73"/>
      <c r="AO1763" s="73"/>
      <c r="AP1763" s="73">
        <v>0</v>
      </c>
      <c r="AQ1763" s="73">
        <v>0</v>
      </c>
      <c r="AR1763" s="73">
        <v>0</v>
      </c>
      <c r="AS1763" s="73">
        <v>0</v>
      </c>
      <c r="AT1763" s="73">
        <v>0</v>
      </c>
      <c r="AU1763" s="226">
        <v>0</v>
      </c>
      <c r="AV1763" s="17">
        <f t="shared" si="242"/>
        <v>0</v>
      </c>
      <c r="AW1763" s="50" t="str">
        <f>"{s_taskGuard,{"&amp;L1763&amp;","&amp;N1763&amp;","&amp;R1763&amp;",0}}"</f>
        <v>{s_taskGuard,{60789,60789,61082,0}}</v>
      </c>
    </row>
    <row r="1764" spans="1:49" s="808" customFormat="1" ht="24" x14ac:dyDescent="0.15">
      <c r="A1764" s="72">
        <v>33501</v>
      </c>
      <c r="B1764" s="73" t="s">
        <v>2861</v>
      </c>
      <c r="C1764" s="73" t="s">
        <v>2853</v>
      </c>
      <c r="D1764" s="73">
        <v>3</v>
      </c>
      <c r="E1764" s="73">
        <v>0</v>
      </c>
      <c r="F1764" s="73">
        <v>5</v>
      </c>
      <c r="G1764" s="80">
        <v>70</v>
      </c>
      <c r="H1764" s="73">
        <v>200</v>
      </c>
      <c r="I1764" s="17">
        <v>0</v>
      </c>
      <c r="J1764" s="80">
        <v>0</v>
      </c>
      <c r="K1764" s="73">
        <v>1</v>
      </c>
      <c r="L1764" s="73">
        <v>60789</v>
      </c>
      <c r="M1764" s="73" t="s">
        <v>2834</v>
      </c>
      <c r="N1764" s="73">
        <v>60789</v>
      </c>
      <c r="O1764" s="73" t="s">
        <v>5228</v>
      </c>
      <c r="P1764" s="73"/>
      <c r="Q1764" s="140"/>
      <c r="R1764" s="807">
        <v>61083</v>
      </c>
      <c r="S1764" s="140"/>
      <c r="T1764" s="140"/>
      <c r="U1764" s="73">
        <v>1</v>
      </c>
      <c r="V1764" s="73">
        <v>0</v>
      </c>
      <c r="W1764" s="73"/>
      <c r="X1764" s="73"/>
      <c r="Y1764" s="73"/>
      <c r="Z1764" s="142">
        <v>0</v>
      </c>
      <c r="AA1764" s="73"/>
      <c r="AB1764" s="143"/>
      <c r="AC1764" s="143"/>
      <c r="AD1764" s="73"/>
      <c r="AE1764" s="73"/>
      <c r="AF1764" s="73"/>
      <c r="AG1764" s="73"/>
      <c r="AH1764" s="73"/>
      <c r="AI1764" s="73"/>
      <c r="AJ1764" s="73"/>
      <c r="AK1764" s="73"/>
      <c r="AL1764" s="80">
        <v>0</v>
      </c>
      <c r="AM1764" s="73"/>
      <c r="AN1764" s="73"/>
      <c r="AO1764" s="73"/>
      <c r="AP1764" s="73">
        <v>0</v>
      </c>
      <c r="AQ1764" s="73">
        <v>0</v>
      </c>
      <c r="AR1764" s="73">
        <v>0</v>
      </c>
      <c r="AS1764" s="73">
        <v>0</v>
      </c>
      <c r="AT1764" s="73">
        <v>0</v>
      </c>
      <c r="AU1764" s="226">
        <v>0</v>
      </c>
      <c r="AV1764" s="17">
        <f t="shared" si="242"/>
        <v>0</v>
      </c>
      <c r="AW1764" s="50" t="str">
        <f>"{s_taskGuard,{"&amp;L1764&amp;","&amp;N1764&amp;","&amp;R1764&amp;",0}}"</f>
        <v>{s_taskGuard,{60789,60789,61083,0}}</v>
      </c>
    </row>
    <row r="1765" spans="1:49" s="808" customFormat="1" x14ac:dyDescent="0.15">
      <c r="A1765" s="72">
        <v>33502</v>
      </c>
      <c r="B1765" s="73" t="s">
        <v>2859</v>
      </c>
      <c r="C1765" s="73" t="s">
        <v>2931</v>
      </c>
      <c r="D1765" s="73">
        <v>3</v>
      </c>
      <c r="E1765" s="73">
        <v>0</v>
      </c>
      <c r="F1765" s="73">
        <v>5</v>
      </c>
      <c r="G1765" s="80">
        <v>70</v>
      </c>
      <c r="H1765" s="73">
        <v>200</v>
      </c>
      <c r="I1765" s="17">
        <v>0</v>
      </c>
      <c r="J1765" s="80">
        <v>0</v>
      </c>
      <c r="K1765" s="73">
        <v>1</v>
      </c>
      <c r="L1765" s="73">
        <v>60789</v>
      </c>
      <c r="M1765" s="73" t="s">
        <v>2834</v>
      </c>
      <c r="N1765" s="73">
        <v>60797</v>
      </c>
      <c r="O1765" s="73" t="s">
        <v>5249</v>
      </c>
      <c r="P1765" s="73"/>
      <c r="Q1765" s="140"/>
      <c r="R1765" s="807"/>
      <c r="S1765" s="140"/>
      <c r="T1765" s="140"/>
      <c r="U1765" s="73">
        <v>1</v>
      </c>
      <c r="V1765" s="73">
        <v>1</v>
      </c>
      <c r="W1765" s="73"/>
      <c r="X1765" s="73"/>
      <c r="Y1765" s="73"/>
      <c r="Z1765" s="142">
        <v>0</v>
      </c>
      <c r="AA1765" s="73"/>
      <c r="AB1765" s="143"/>
      <c r="AC1765" s="143"/>
      <c r="AD1765" s="73"/>
      <c r="AE1765" s="73"/>
      <c r="AF1765" s="73"/>
      <c r="AG1765" s="73"/>
      <c r="AH1765" s="73"/>
      <c r="AI1765" s="73"/>
      <c r="AJ1765" s="73"/>
      <c r="AK1765" s="73"/>
      <c r="AL1765" s="80">
        <v>0</v>
      </c>
      <c r="AM1765" s="73"/>
      <c r="AN1765" s="73"/>
      <c r="AO1765" s="73"/>
      <c r="AP1765" s="73">
        <v>0</v>
      </c>
      <c r="AQ1765" s="73">
        <v>0</v>
      </c>
      <c r="AR1765" s="73">
        <v>0</v>
      </c>
      <c r="AS1765" s="73">
        <v>0</v>
      </c>
      <c r="AT1765" s="73">
        <v>0</v>
      </c>
      <c r="AU1765" s="226">
        <v>0</v>
      </c>
      <c r="AV1765" s="17">
        <f t="shared" si="242"/>
        <v>0</v>
      </c>
      <c r="AW1765" s="50" t="str">
        <f t="shared" ref="AW1765:AW1773" si="243">"{s_taskTalk,{"&amp;L1765&amp;","&amp;N1765&amp;"}}"</f>
        <v>{s_taskTalk,{60789,60797}}</v>
      </c>
    </row>
    <row r="1766" spans="1:49" s="808" customFormat="1" x14ac:dyDescent="0.15">
      <c r="A1766" s="72">
        <v>33503</v>
      </c>
      <c r="B1766" s="73" t="s">
        <v>2859</v>
      </c>
      <c r="C1766" s="73" t="s">
        <v>2931</v>
      </c>
      <c r="D1766" s="73">
        <v>3</v>
      </c>
      <c r="E1766" s="73">
        <v>0</v>
      </c>
      <c r="F1766" s="73">
        <v>5</v>
      </c>
      <c r="G1766" s="80">
        <v>70</v>
      </c>
      <c r="H1766" s="73">
        <v>200</v>
      </c>
      <c r="I1766" s="17">
        <v>0</v>
      </c>
      <c r="J1766" s="80">
        <v>0</v>
      </c>
      <c r="K1766" s="73">
        <v>1</v>
      </c>
      <c r="L1766" s="73">
        <v>60789</v>
      </c>
      <c r="M1766" s="73" t="s">
        <v>2834</v>
      </c>
      <c r="N1766" s="73">
        <v>60798</v>
      </c>
      <c r="O1766" s="73" t="s">
        <v>5250</v>
      </c>
      <c r="P1766" s="73"/>
      <c r="Q1766" s="140"/>
      <c r="R1766" s="807"/>
      <c r="S1766" s="140"/>
      <c r="T1766" s="140"/>
      <c r="U1766" s="73">
        <v>1</v>
      </c>
      <c r="V1766" s="73">
        <v>1</v>
      </c>
      <c r="W1766" s="73"/>
      <c r="X1766" s="73"/>
      <c r="Y1766" s="73"/>
      <c r="Z1766" s="142">
        <v>0</v>
      </c>
      <c r="AA1766" s="73"/>
      <c r="AB1766" s="143"/>
      <c r="AC1766" s="143"/>
      <c r="AD1766" s="73"/>
      <c r="AE1766" s="73"/>
      <c r="AF1766" s="73"/>
      <c r="AG1766" s="73"/>
      <c r="AH1766" s="73"/>
      <c r="AI1766" s="73"/>
      <c r="AJ1766" s="73"/>
      <c r="AK1766" s="73"/>
      <c r="AL1766" s="80">
        <v>0</v>
      </c>
      <c r="AM1766" s="73"/>
      <c r="AN1766" s="73"/>
      <c r="AO1766" s="73"/>
      <c r="AP1766" s="73">
        <v>0</v>
      </c>
      <c r="AQ1766" s="73">
        <v>0</v>
      </c>
      <c r="AR1766" s="73">
        <v>0</v>
      </c>
      <c r="AS1766" s="73">
        <v>0</v>
      </c>
      <c r="AT1766" s="73">
        <v>0</v>
      </c>
      <c r="AU1766" s="226">
        <v>0</v>
      </c>
      <c r="AV1766" s="17">
        <f t="shared" si="242"/>
        <v>0</v>
      </c>
      <c r="AW1766" s="50" t="str">
        <f t="shared" si="243"/>
        <v>{s_taskTalk,{60789,60798}}</v>
      </c>
    </row>
    <row r="1767" spans="1:49" s="808" customFormat="1" x14ac:dyDescent="0.15">
      <c r="A1767" s="72">
        <v>33504</v>
      </c>
      <c r="B1767" s="73" t="s">
        <v>2859</v>
      </c>
      <c r="C1767" s="73" t="s">
        <v>2931</v>
      </c>
      <c r="D1767" s="73">
        <v>3</v>
      </c>
      <c r="E1767" s="73">
        <v>0</v>
      </c>
      <c r="F1767" s="73">
        <v>5</v>
      </c>
      <c r="G1767" s="80">
        <v>70</v>
      </c>
      <c r="H1767" s="73">
        <v>200</v>
      </c>
      <c r="I1767" s="17">
        <v>0</v>
      </c>
      <c r="J1767" s="80">
        <v>0</v>
      </c>
      <c r="K1767" s="73">
        <v>1</v>
      </c>
      <c r="L1767" s="73">
        <v>60789</v>
      </c>
      <c r="M1767" s="73" t="s">
        <v>2834</v>
      </c>
      <c r="N1767" s="73">
        <v>60799</v>
      </c>
      <c r="O1767" s="73" t="s">
        <v>5251</v>
      </c>
      <c r="P1767" s="73"/>
      <c r="Q1767" s="140"/>
      <c r="R1767" s="807"/>
      <c r="S1767" s="140"/>
      <c r="T1767" s="140"/>
      <c r="U1767" s="73">
        <v>1</v>
      </c>
      <c r="V1767" s="73">
        <v>1</v>
      </c>
      <c r="W1767" s="73"/>
      <c r="X1767" s="73"/>
      <c r="Y1767" s="73"/>
      <c r="Z1767" s="142">
        <v>0</v>
      </c>
      <c r="AA1767" s="73"/>
      <c r="AB1767" s="143"/>
      <c r="AC1767" s="143"/>
      <c r="AD1767" s="73"/>
      <c r="AE1767" s="73"/>
      <c r="AF1767" s="73"/>
      <c r="AG1767" s="73"/>
      <c r="AH1767" s="73"/>
      <c r="AI1767" s="73"/>
      <c r="AJ1767" s="73"/>
      <c r="AK1767" s="73"/>
      <c r="AL1767" s="80">
        <v>0</v>
      </c>
      <c r="AM1767" s="73"/>
      <c r="AN1767" s="73"/>
      <c r="AO1767" s="73"/>
      <c r="AP1767" s="73">
        <v>0</v>
      </c>
      <c r="AQ1767" s="73">
        <v>0</v>
      </c>
      <c r="AR1767" s="73">
        <v>0</v>
      </c>
      <c r="AS1767" s="73">
        <v>0</v>
      </c>
      <c r="AT1767" s="73">
        <v>0</v>
      </c>
      <c r="AU1767" s="226">
        <v>0</v>
      </c>
      <c r="AV1767" s="17">
        <f t="shared" si="242"/>
        <v>0</v>
      </c>
      <c r="AW1767" s="50" t="str">
        <f t="shared" si="243"/>
        <v>{s_taskTalk,{60789,60799}}</v>
      </c>
    </row>
    <row r="1768" spans="1:49" s="808" customFormat="1" x14ac:dyDescent="0.15">
      <c r="A1768" s="72">
        <v>33505</v>
      </c>
      <c r="B1768" s="73" t="s">
        <v>2859</v>
      </c>
      <c r="C1768" s="73" t="s">
        <v>2931</v>
      </c>
      <c r="D1768" s="73">
        <v>3</v>
      </c>
      <c r="E1768" s="73">
        <v>0</v>
      </c>
      <c r="F1768" s="73">
        <v>5</v>
      </c>
      <c r="G1768" s="80">
        <v>70</v>
      </c>
      <c r="H1768" s="73">
        <v>200</v>
      </c>
      <c r="I1768" s="17">
        <v>0</v>
      </c>
      <c r="J1768" s="80">
        <v>0</v>
      </c>
      <c r="K1768" s="73">
        <v>1</v>
      </c>
      <c r="L1768" s="73">
        <v>60789</v>
      </c>
      <c r="M1768" s="73" t="s">
        <v>2834</v>
      </c>
      <c r="N1768" s="73">
        <v>60800</v>
      </c>
      <c r="O1768" s="73" t="s">
        <v>5252</v>
      </c>
      <c r="P1768" s="73"/>
      <c r="Q1768" s="140"/>
      <c r="R1768" s="807"/>
      <c r="S1768" s="140"/>
      <c r="T1768" s="140"/>
      <c r="U1768" s="73">
        <v>1</v>
      </c>
      <c r="V1768" s="73">
        <v>1</v>
      </c>
      <c r="W1768" s="73"/>
      <c r="X1768" s="73"/>
      <c r="Y1768" s="73"/>
      <c r="Z1768" s="142">
        <v>0</v>
      </c>
      <c r="AA1768" s="73"/>
      <c r="AB1768" s="143"/>
      <c r="AC1768" s="143"/>
      <c r="AD1768" s="73"/>
      <c r="AE1768" s="73"/>
      <c r="AF1768" s="73"/>
      <c r="AG1768" s="73"/>
      <c r="AH1768" s="73"/>
      <c r="AI1768" s="73"/>
      <c r="AJ1768" s="73"/>
      <c r="AK1768" s="73"/>
      <c r="AL1768" s="80">
        <v>0</v>
      </c>
      <c r="AM1768" s="73"/>
      <c r="AN1768" s="73"/>
      <c r="AO1768" s="73"/>
      <c r="AP1768" s="73">
        <v>0</v>
      </c>
      <c r="AQ1768" s="73">
        <v>0</v>
      </c>
      <c r="AR1768" s="73">
        <v>0</v>
      </c>
      <c r="AS1768" s="73">
        <v>0</v>
      </c>
      <c r="AT1768" s="73">
        <v>0</v>
      </c>
      <c r="AU1768" s="226">
        <v>0</v>
      </c>
      <c r="AV1768" s="17">
        <f t="shared" si="242"/>
        <v>0</v>
      </c>
      <c r="AW1768" s="50" t="str">
        <f t="shared" si="243"/>
        <v>{s_taskTalk,{60789,60800}}</v>
      </c>
    </row>
    <row r="1769" spans="1:49" s="808" customFormat="1" x14ac:dyDescent="0.15">
      <c r="A1769" s="72">
        <v>33506</v>
      </c>
      <c r="B1769" s="73" t="s">
        <v>2859</v>
      </c>
      <c r="C1769" s="73" t="s">
        <v>2931</v>
      </c>
      <c r="D1769" s="73">
        <v>3</v>
      </c>
      <c r="E1769" s="73">
        <v>0</v>
      </c>
      <c r="F1769" s="73">
        <v>5</v>
      </c>
      <c r="G1769" s="80">
        <v>70</v>
      </c>
      <c r="H1769" s="73">
        <v>200</v>
      </c>
      <c r="I1769" s="17">
        <v>0</v>
      </c>
      <c r="J1769" s="80">
        <v>0</v>
      </c>
      <c r="K1769" s="73">
        <v>1</v>
      </c>
      <c r="L1769" s="73">
        <v>60789</v>
      </c>
      <c r="M1769" s="73" t="s">
        <v>2834</v>
      </c>
      <c r="N1769" s="73">
        <v>60801</v>
      </c>
      <c r="O1769" s="73" t="s">
        <v>5253</v>
      </c>
      <c r="P1769" s="73"/>
      <c r="Q1769" s="140"/>
      <c r="R1769" s="807"/>
      <c r="S1769" s="140"/>
      <c r="T1769" s="140"/>
      <c r="U1769" s="73">
        <v>1</v>
      </c>
      <c r="V1769" s="73">
        <v>1</v>
      </c>
      <c r="W1769" s="73"/>
      <c r="X1769" s="73"/>
      <c r="Y1769" s="73"/>
      <c r="Z1769" s="142">
        <v>0</v>
      </c>
      <c r="AA1769" s="73"/>
      <c r="AB1769" s="143"/>
      <c r="AC1769" s="143"/>
      <c r="AD1769" s="73"/>
      <c r="AE1769" s="73"/>
      <c r="AF1769" s="73"/>
      <c r="AG1769" s="73"/>
      <c r="AH1769" s="73"/>
      <c r="AI1769" s="73"/>
      <c r="AJ1769" s="73"/>
      <c r="AK1769" s="73"/>
      <c r="AL1769" s="80">
        <v>0</v>
      </c>
      <c r="AM1769" s="73"/>
      <c r="AN1769" s="73"/>
      <c r="AO1769" s="73"/>
      <c r="AP1769" s="73">
        <v>0</v>
      </c>
      <c r="AQ1769" s="73">
        <v>0</v>
      </c>
      <c r="AR1769" s="73">
        <v>0</v>
      </c>
      <c r="AS1769" s="73">
        <v>0</v>
      </c>
      <c r="AT1769" s="73">
        <v>0</v>
      </c>
      <c r="AU1769" s="226">
        <v>0</v>
      </c>
      <c r="AV1769" s="17">
        <f t="shared" si="242"/>
        <v>0</v>
      </c>
      <c r="AW1769" s="50" t="str">
        <f t="shared" si="243"/>
        <v>{s_taskTalk,{60789,60801}}</v>
      </c>
    </row>
    <row r="1770" spans="1:49" s="808" customFormat="1" x14ac:dyDescent="0.15">
      <c r="A1770" s="72">
        <v>33507</v>
      </c>
      <c r="B1770" s="73" t="s">
        <v>2859</v>
      </c>
      <c r="C1770" s="73" t="s">
        <v>2931</v>
      </c>
      <c r="D1770" s="73">
        <v>3</v>
      </c>
      <c r="E1770" s="73">
        <v>0</v>
      </c>
      <c r="F1770" s="73">
        <v>5</v>
      </c>
      <c r="G1770" s="80">
        <v>70</v>
      </c>
      <c r="H1770" s="73">
        <v>200</v>
      </c>
      <c r="I1770" s="17">
        <v>0</v>
      </c>
      <c r="J1770" s="80">
        <v>0</v>
      </c>
      <c r="K1770" s="73">
        <v>1</v>
      </c>
      <c r="L1770" s="73">
        <v>60789</v>
      </c>
      <c r="M1770" s="73" t="s">
        <v>2834</v>
      </c>
      <c r="N1770" s="73">
        <v>60802</v>
      </c>
      <c r="O1770" s="73" t="s">
        <v>5254</v>
      </c>
      <c r="P1770" s="73"/>
      <c r="Q1770" s="140"/>
      <c r="R1770" s="807"/>
      <c r="S1770" s="140"/>
      <c r="T1770" s="140"/>
      <c r="U1770" s="73">
        <v>1</v>
      </c>
      <c r="V1770" s="73">
        <v>1</v>
      </c>
      <c r="W1770" s="73"/>
      <c r="X1770" s="73"/>
      <c r="Y1770" s="73"/>
      <c r="Z1770" s="142">
        <v>0</v>
      </c>
      <c r="AA1770" s="73"/>
      <c r="AB1770" s="143"/>
      <c r="AC1770" s="143"/>
      <c r="AD1770" s="73"/>
      <c r="AE1770" s="73"/>
      <c r="AF1770" s="73"/>
      <c r="AG1770" s="73"/>
      <c r="AH1770" s="73"/>
      <c r="AI1770" s="73"/>
      <c r="AJ1770" s="73"/>
      <c r="AK1770" s="73"/>
      <c r="AL1770" s="80">
        <v>0</v>
      </c>
      <c r="AM1770" s="73"/>
      <c r="AN1770" s="73"/>
      <c r="AO1770" s="73"/>
      <c r="AP1770" s="73">
        <v>0</v>
      </c>
      <c r="AQ1770" s="73">
        <v>0</v>
      </c>
      <c r="AR1770" s="73">
        <v>0</v>
      </c>
      <c r="AS1770" s="73">
        <v>0</v>
      </c>
      <c r="AT1770" s="73">
        <v>0</v>
      </c>
      <c r="AU1770" s="226">
        <v>0</v>
      </c>
      <c r="AV1770" s="17">
        <f t="shared" si="242"/>
        <v>0</v>
      </c>
      <c r="AW1770" s="50" t="str">
        <f t="shared" si="243"/>
        <v>{s_taskTalk,{60789,60802}}</v>
      </c>
    </row>
    <row r="1771" spans="1:49" s="808" customFormat="1" x14ac:dyDescent="0.15">
      <c r="A1771" s="72">
        <v>33508</v>
      </c>
      <c r="B1771" s="73" t="s">
        <v>2859</v>
      </c>
      <c r="C1771" s="73" t="s">
        <v>2931</v>
      </c>
      <c r="D1771" s="73">
        <v>3</v>
      </c>
      <c r="E1771" s="73">
        <v>0</v>
      </c>
      <c r="F1771" s="73">
        <v>5</v>
      </c>
      <c r="G1771" s="80">
        <v>70</v>
      </c>
      <c r="H1771" s="73">
        <v>200</v>
      </c>
      <c r="I1771" s="17">
        <v>0</v>
      </c>
      <c r="J1771" s="80">
        <v>0</v>
      </c>
      <c r="K1771" s="73">
        <v>1</v>
      </c>
      <c r="L1771" s="73">
        <v>60789</v>
      </c>
      <c r="M1771" s="73" t="s">
        <v>2834</v>
      </c>
      <c r="N1771" s="73">
        <v>60803</v>
      </c>
      <c r="O1771" s="73" t="s">
        <v>5255</v>
      </c>
      <c r="P1771" s="73"/>
      <c r="Q1771" s="140"/>
      <c r="R1771" s="807"/>
      <c r="S1771" s="140"/>
      <c r="T1771" s="140"/>
      <c r="U1771" s="73">
        <v>1</v>
      </c>
      <c r="V1771" s="73">
        <v>1</v>
      </c>
      <c r="W1771" s="73"/>
      <c r="X1771" s="73"/>
      <c r="Y1771" s="73"/>
      <c r="Z1771" s="142">
        <v>0</v>
      </c>
      <c r="AA1771" s="73"/>
      <c r="AB1771" s="143"/>
      <c r="AC1771" s="143"/>
      <c r="AD1771" s="73"/>
      <c r="AE1771" s="73"/>
      <c r="AF1771" s="73"/>
      <c r="AG1771" s="73"/>
      <c r="AH1771" s="73"/>
      <c r="AI1771" s="73"/>
      <c r="AJ1771" s="73"/>
      <c r="AK1771" s="73"/>
      <c r="AL1771" s="80">
        <v>0</v>
      </c>
      <c r="AM1771" s="73"/>
      <c r="AN1771" s="73"/>
      <c r="AO1771" s="73"/>
      <c r="AP1771" s="73">
        <v>0</v>
      </c>
      <c r="AQ1771" s="73">
        <v>0</v>
      </c>
      <c r="AR1771" s="73">
        <v>0</v>
      </c>
      <c r="AS1771" s="73">
        <v>0</v>
      </c>
      <c r="AT1771" s="73">
        <v>0</v>
      </c>
      <c r="AU1771" s="226">
        <v>0</v>
      </c>
      <c r="AV1771" s="17">
        <f t="shared" si="242"/>
        <v>0</v>
      </c>
      <c r="AW1771" s="50" t="str">
        <f t="shared" si="243"/>
        <v>{s_taskTalk,{60789,60803}}</v>
      </c>
    </row>
    <row r="1772" spans="1:49" s="808" customFormat="1" x14ac:dyDescent="0.15">
      <c r="A1772" s="72">
        <v>33509</v>
      </c>
      <c r="B1772" s="73" t="s">
        <v>2859</v>
      </c>
      <c r="C1772" s="73" t="s">
        <v>2931</v>
      </c>
      <c r="D1772" s="73">
        <v>3</v>
      </c>
      <c r="E1772" s="73">
        <v>0</v>
      </c>
      <c r="F1772" s="73">
        <v>5</v>
      </c>
      <c r="G1772" s="80">
        <v>70</v>
      </c>
      <c r="H1772" s="73">
        <v>200</v>
      </c>
      <c r="I1772" s="17">
        <v>0</v>
      </c>
      <c r="J1772" s="80">
        <v>0</v>
      </c>
      <c r="K1772" s="73">
        <v>1</v>
      </c>
      <c r="L1772" s="73">
        <v>60789</v>
      </c>
      <c r="M1772" s="73" t="s">
        <v>2834</v>
      </c>
      <c r="N1772" s="73">
        <v>60804</v>
      </c>
      <c r="O1772" s="73" t="s">
        <v>5256</v>
      </c>
      <c r="P1772" s="73"/>
      <c r="Q1772" s="140"/>
      <c r="R1772" s="807"/>
      <c r="S1772" s="140"/>
      <c r="T1772" s="140"/>
      <c r="U1772" s="73">
        <v>1</v>
      </c>
      <c r="V1772" s="73">
        <v>1</v>
      </c>
      <c r="W1772" s="73"/>
      <c r="X1772" s="73"/>
      <c r="Y1772" s="73"/>
      <c r="Z1772" s="142">
        <v>0</v>
      </c>
      <c r="AA1772" s="73"/>
      <c r="AB1772" s="143"/>
      <c r="AC1772" s="143"/>
      <c r="AD1772" s="73"/>
      <c r="AE1772" s="73"/>
      <c r="AF1772" s="73"/>
      <c r="AG1772" s="73"/>
      <c r="AH1772" s="73"/>
      <c r="AI1772" s="73"/>
      <c r="AJ1772" s="73"/>
      <c r="AK1772" s="73"/>
      <c r="AL1772" s="80">
        <v>0</v>
      </c>
      <c r="AM1772" s="73"/>
      <c r="AN1772" s="73"/>
      <c r="AO1772" s="73"/>
      <c r="AP1772" s="73">
        <v>0</v>
      </c>
      <c r="AQ1772" s="73">
        <v>0</v>
      </c>
      <c r="AR1772" s="73">
        <v>0</v>
      </c>
      <c r="AS1772" s="73">
        <v>0</v>
      </c>
      <c r="AT1772" s="73">
        <v>0</v>
      </c>
      <c r="AU1772" s="226">
        <v>0</v>
      </c>
      <c r="AV1772" s="17">
        <f t="shared" si="242"/>
        <v>0</v>
      </c>
      <c r="AW1772" s="50" t="str">
        <f t="shared" si="243"/>
        <v>{s_taskTalk,{60789,60804}}</v>
      </c>
    </row>
    <row r="1773" spans="1:49" s="808" customFormat="1" x14ac:dyDescent="0.15">
      <c r="A1773" s="72">
        <v>33510</v>
      </c>
      <c r="B1773" s="73" t="s">
        <v>2859</v>
      </c>
      <c r="C1773" s="73" t="s">
        <v>2931</v>
      </c>
      <c r="D1773" s="73">
        <v>3</v>
      </c>
      <c r="E1773" s="73">
        <v>0</v>
      </c>
      <c r="F1773" s="73">
        <v>5</v>
      </c>
      <c r="G1773" s="80">
        <v>70</v>
      </c>
      <c r="H1773" s="73">
        <v>200</v>
      </c>
      <c r="I1773" s="17">
        <v>0</v>
      </c>
      <c r="J1773" s="80">
        <v>0</v>
      </c>
      <c r="K1773" s="73">
        <v>1</v>
      </c>
      <c r="L1773" s="73">
        <v>60789</v>
      </c>
      <c r="M1773" s="73" t="s">
        <v>2834</v>
      </c>
      <c r="N1773" s="73">
        <v>60805</v>
      </c>
      <c r="O1773" s="73" t="s">
        <v>5257</v>
      </c>
      <c r="P1773" s="73"/>
      <c r="Q1773" s="140"/>
      <c r="R1773" s="807"/>
      <c r="S1773" s="140"/>
      <c r="T1773" s="140"/>
      <c r="U1773" s="73">
        <v>1</v>
      </c>
      <c r="V1773" s="73">
        <v>1</v>
      </c>
      <c r="W1773" s="73"/>
      <c r="X1773" s="73"/>
      <c r="Y1773" s="73"/>
      <c r="Z1773" s="142">
        <v>0</v>
      </c>
      <c r="AA1773" s="73"/>
      <c r="AB1773" s="143"/>
      <c r="AC1773" s="143"/>
      <c r="AD1773" s="73"/>
      <c r="AE1773" s="73"/>
      <c r="AF1773" s="73"/>
      <c r="AG1773" s="73"/>
      <c r="AH1773" s="73"/>
      <c r="AI1773" s="73"/>
      <c r="AJ1773" s="73"/>
      <c r="AK1773" s="73"/>
      <c r="AL1773" s="80">
        <v>0</v>
      </c>
      <c r="AM1773" s="73"/>
      <c r="AN1773" s="73"/>
      <c r="AO1773" s="73"/>
      <c r="AP1773" s="73">
        <v>0</v>
      </c>
      <c r="AQ1773" s="73">
        <v>0</v>
      </c>
      <c r="AR1773" s="73">
        <v>0</v>
      </c>
      <c r="AS1773" s="73">
        <v>0</v>
      </c>
      <c r="AT1773" s="73">
        <v>0</v>
      </c>
      <c r="AU1773" s="226">
        <v>0</v>
      </c>
      <c r="AV1773" s="17">
        <f t="shared" si="242"/>
        <v>0</v>
      </c>
      <c r="AW1773" s="50" t="str">
        <f t="shared" si="243"/>
        <v>{s_taskTalk,{60789,60805}}</v>
      </c>
    </row>
    <row r="1774" spans="1:49" s="808" customFormat="1" ht="156" x14ac:dyDescent="0.15">
      <c r="A1774" s="72">
        <v>33511</v>
      </c>
      <c r="B1774" s="73" t="s">
        <v>2898</v>
      </c>
      <c r="C1774" s="73" t="s">
        <v>2928</v>
      </c>
      <c r="D1774" s="73">
        <v>3</v>
      </c>
      <c r="E1774" s="73">
        <v>0</v>
      </c>
      <c r="F1774" s="73">
        <v>5</v>
      </c>
      <c r="G1774" s="80">
        <v>70</v>
      </c>
      <c r="H1774" s="73">
        <v>200</v>
      </c>
      <c r="I1774" s="17">
        <v>0</v>
      </c>
      <c r="J1774" s="80">
        <v>0</v>
      </c>
      <c r="K1774" s="73">
        <v>1</v>
      </c>
      <c r="L1774" s="73">
        <v>60789</v>
      </c>
      <c r="M1774" s="73" t="s">
        <v>2834</v>
      </c>
      <c r="N1774" s="73">
        <v>60789</v>
      </c>
      <c r="O1774" s="73" t="s">
        <v>5228</v>
      </c>
      <c r="P1774" s="73"/>
      <c r="Q1774" s="140"/>
      <c r="R1774" s="807"/>
      <c r="S1774" s="140"/>
      <c r="T1774" s="140">
        <v>31439</v>
      </c>
      <c r="U1774" s="73">
        <v>1</v>
      </c>
      <c r="V1774" s="73">
        <v>0</v>
      </c>
      <c r="W1774" s="73"/>
      <c r="X1774" s="73"/>
      <c r="Y1774" s="73"/>
      <c r="Z1774" s="142">
        <v>0</v>
      </c>
      <c r="AA1774" s="73"/>
      <c r="AB1774" s="143"/>
      <c r="AC1774" s="143"/>
      <c r="AD1774" s="73"/>
      <c r="AE1774" s="73"/>
      <c r="AF1774" s="556" t="str">
        <f>"title("&amp;C1774&amp;")
body(hotyellow_3(任务进程:)newline()
   前往敌国hot(五丈原)找到该国goto(60807,7)拿到hot("&amp;U1774&amp;"个白品质酒杯)，回复goto(60789,5)。hot(（非本国及盟国即是敌国哦）)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前往敌国hot(五丈原)找到该国goto(60807,7)拿到hot(1个白品质酒杯)，回复goto(60789,5)。hot(（非本国及盟国即是敌国哦）)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v>
      </c>
      <c r="AG1774" s="556" t="s">
        <v>2899</v>
      </c>
      <c r="AH1774" s="556" t="s">
        <v>2900</v>
      </c>
      <c r="AI1774" s="556" t="s">
        <v>110</v>
      </c>
      <c r="AJ1774" s="556" t="s">
        <v>6533</v>
      </c>
      <c r="AK1774" s="683" t="str">
        <f>"收集"&amp;U1774&amp;"个白品质酒杯"</f>
        <v>收集1个白品质酒杯</v>
      </c>
      <c r="AL1774" s="678">
        <v>0</v>
      </c>
      <c r="AM1774" s="683" t="str">
        <f>"&lt;p&gt;&lt;n&gt;  通过&lt;/n&gt;&lt;goto id=""126"" mapid=""7"" flagpoint=""1"" /&gt;&lt;newline/&gt;&lt;n&gt;  去敌国找&lt;/n&gt;&lt;goto id=""60807"" mapid=""7"" flagpoint=""1"" /&gt;&lt;newline/&gt;
&lt;n&gt;  收集1个白品质酒杯&lt;/n&gt;&lt;newline/&gt;
&lt;n&gt;  回复：&lt;/n&gt;&lt;goto id="""&amp;N1774&amp;""" mapid=""5"" flagpoint=""1"" taskid="""&amp;A1774&amp;"""/&gt;
&lt;/p&gt;"</f>
        <v>&lt;p&gt;&lt;n&gt;  通过&lt;/n&gt;&lt;goto id="126" mapid="7" flagpoint="1" /&gt;&lt;newline/&gt;&lt;n&gt;  去敌国找&lt;/n&gt;&lt;goto id="60807" mapid="7" flagpoint="1" /&gt;&lt;newline/&gt;
&lt;n&gt;  收集1个白品质酒杯&lt;/n&gt;&lt;newline/&gt;
&lt;n&gt;  回复：&lt;/n&gt;&lt;goto id="60789" mapid="5" flagpoint="1" taskid="33511"/&gt;
&lt;/p&gt;</v>
      </c>
      <c r="AN1774" s="683" t="str">
        <f t="shared" ref="AN1774:AN1781" si="244">"&lt;p&gt;
&lt;n&gt;  交：&lt;/n&gt;&lt;goto id="""&amp;N1774&amp;""" mapid=""5"" flagpoint=""1"" taskid="""&amp;A1774&amp;"""/&gt;
&lt;/p&gt;"</f>
        <v>&lt;p&gt;
&lt;n&gt;  交：&lt;/n&gt;&lt;goto id="60789" mapid="5" flagpoint="1" taskid="33511"/&gt;
&lt;/p&gt;</v>
      </c>
      <c r="AO1774" s="556"/>
      <c r="AP1774" s="556">
        <v>0</v>
      </c>
      <c r="AQ1774" s="556">
        <v>0</v>
      </c>
      <c r="AR1774" s="556">
        <v>0</v>
      </c>
      <c r="AS1774" s="556">
        <v>0</v>
      </c>
      <c r="AT1774" s="556">
        <v>0</v>
      </c>
      <c r="AU1774" s="226">
        <v>0</v>
      </c>
      <c r="AV1774" s="17">
        <f t="shared" si="242"/>
        <v>0</v>
      </c>
      <c r="AW1774" s="556" t="str">
        <f>"{s_taskGather,{"&amp;L1774&amp;","&amp;N1774&amp;","&amp;T1774&amp;","&amp;U1774&amp;",0,0}}"</f>
        <v>{s_taskGather,{60789,60789,31439,1,0,0}}</v>
      </c>
    </row>
    <row r="1775" spans="1:49" s="808" customFormat="1" ht="156" x14ac:dyDescent="0.15">
      <c r="A1775" s="72">
        <v>33512</v>
      </c>
      <c r="B1775" s="73" t="s">
        <v>2859</v>
      </c>
      <c r="C1775" s="73" t="s">
        <v>2928</v>
      </c>
      <c r="D1775" s="73">
        <v>3</v>
      </c>
      <c r="E1775" s="73">
        <v>0</v>
      </c>
      <c r="F1775" s="73">
        <v>5</v>
      </c>
      <c r="G1775" s="80">
        <v>70</v>
      </c>
      <c r="H1775" s="73">
        <v>200</v>
      </c>
      <c r="I1775" s="17">
        <v>0</v>
      </c>
      <c r="J1775" s="80">
        <v>0</v>
      </c>
      <c r="K1775" s="73">
        <v>1</v>
      </c>
      <c r="L1775" s="73">
        <v>60789</v>
      </c>
      <c r="M1775" s="73" t="s">
        <v>2834</v>
      </c>
      <c r="N1775" s="73">
        <v>60789</v>
      </c>
      <c r="O1775" s="73" t="s">
        <v>5228</v>
      </c>
      <c r="P1775" s="73"/>
      <c r="Q1775" s="140"/>
      <c r="R1775" s="807"/>
      <c r="S1775" s="140"/>
      <c r="T1775" s="140">
        <v>31439</v>
      </c>
      <c r="U1775" s="73">
        <v>1</v>
      </c>
      <c r="V1775" s="73">
        <v>0</v>
      </c>
      <c r="W1775" s="73"/>
      <c r="X1775" s="73"/>
      <c r="Y1775" s="73"/>
      <c r="Z1775" s="142">
        <v>0</v>
      </c>
      <c r="AA1775" s="73"/>
      <c r="AB1775" s="143"/>
      <c r="AC1775" s="143"/>
      <c r="AD1775" s="73"/>
      <c r="AE1775" s="73"/>
      <c r="AF1775" s="556" t="str">
        <f>"title("&amp;C1775&amp;")
body(hotyellow_3(任务进程:)newline()
   前往敌国hot(五丈原)找到该国goto(60807,7)拿到hot("&amp;U1775&amp;"个蓝品质酒杯)，回复goto(60789,5)。hot(（非本国及盟国即是敌国哦）)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前往敌国hot(五丈原)找到该国goto(60807,7)拿到hot(1个蓝品质酒杯)，回复goto(60789,5)。hot(（非本国及盟国即是敌国哦）)
blankline()
   space()space()space()1.每次与工艺师对话可获得随机品质的酒杯；newline()
   space()space()space()2.完成本任务必然获得1份“品酒记录”，凭此可使用任意品质的美酒或酒杯在达芬奇处换取额外经验奖励；newline()
   space()space()space()3.使用“品酒记录”换取经验时，更高品质的酒或杯可以获得更多经验。)</v>
      </c>
      <c r="AG1775" s="556" t="s">
        <v>2901</v>
      </c>
      <c r="AH1775" s="556" t="s">
        <v>2900</v>
      </c>
      <c r="AI1775" s="556" t="s">
        <v>110</v>
      </c>
      <c r="AJ1775" s="556" t="s">
        <v>6533</v>
      </c>
      <c r="AK1775" s="683" t="str">
        <f>"收集"&amp;U1775&amp;"个蓝品质酒杯"</f>
        <v>收集1个蓝品质酒杯</v>
      </c>
      <c r="AL1775" s="678">
        <v>0</v>
      </c>
      <c r="AM1775" s="683" t="str">
        <f>"&lt;p&gt;&lt;n&gt;  通过&lt;/n&gt;&lt;goto id=""126"" mapid=""7"" flagpoint=""1"" /&gt;&lt;newline/&gt;&lt;n&gt;  去敌国找&lt;/n&gt;&lt;goto id=""60807"" mapid=""7"" flagpoint=""1"" /&gt;&lt;newline/&gt;
&lt;n&gt;  收集1个蓝品质酒杯&lt;/n&gt;&lt;newline/&gt;
&lt;n&gt;  回复：&lt;/n&gt;&lt;goto id="""&amp;N1775&amp;""" mapid=""5"" flagpoint=""1"" taskid="""&amp;A1775&amp;"""/&gt;
&lt;/p&gt;"</f>
        <v>&lt;p&gt;&lt;n&gt;  通过&lt;/n&gt;&lt;goto id="126" mapid="7" flagpoint="1" /&gt;&lt;newline/&gt;&lt;n&gt;  去敌国找&lt;/n&gt;&lt;goto id="60807" mapid="7" flagpoint="1" /&gt;&lt;newline/&gt;
&lt;n&gt;  收集1个蓝品质酒杯&lt;/n&gt;&lt;newline/&gt;
&lt;n&gt;  回复：&lt;/n&gt;&lt;goto id="60789" mapid="5" flagpoint="1" taskid="33512"/&gt;
&lt;/p&gt;</v>
      </c>
      <c r="AN1775" s="683" t="str">
        <f t="shared" si="244"/>
        <v>&lt;p&gt;
&lt;n&gt;  交：&lt;/n&gt;&lt;goto id="60789" mapid="5" flagpoint="1" taskid="33512"/&gt;
&lt;/p&gt;</v>
      </c>
      <c r="AO1775" s="556"/>
      <c r="AP1775" s="556">
        <v>0</v>
      </c>
      <c r="AQ1775" s="556">
        <v>0</v>
      </c>
      <c r="AR1775" s="556">
        <v>0</v>
      </c>
      <c r="AS1775" s="556">
        <v>0</v>
      </c>
      <c r="AT1775" s="556">
        <v>0</v>
      </c>
      <c r="AU1775" s="226">
        <v>0</v>
      </c>
      <c r="AV1775" s="17">
        <f t="shared" si="242"/>
        <v>0</v>
      </c>
      <c r="AW1775" s="556" t="str">
        <f>"{s_taskGather,{"&amp;L1775&amp;","&amp;N1775&amp;","&amp;T1775&amp;","&amp;U1775&amp;",0,1}}"</f>
        <v>{s_taskGather,{60789,60789,31439,1,0,1}}</v>
      </c>
    </row>
    <row r="1776" spans="1:49" s="808" customFormat="1" ht="156" x14ac:dyDescent="0.15">
      <c r="A1776" s="72">
        <v>33513</v>
      </c>
      <c r="B1776" s="73" t="s">
        <v>2859</v>
      </c>
      <c r="C1776" s="73" t="s">
        <v>2928</v>
      </c>
      <c r="D1776" s="73">
        <v>3</v>
      </c>
      <c r="E1776" s="73">
        <v>0</v>
      </c>
      <c r="F1776" s="73">
        <v>5</v>
      </c>
      <c r="G1776" s="80">
        <v>70</v>
      </c>
      <c r="H1776" s="73">
        <v>200</v>
      </c>
      <c r="I1776" s="17">
        <v>0</v>
      </c>
      <c r="J1776" s="80">
        <v>0</v>
      </c>
      <c r="K1776" s="73">
        <v>1</v>
      </c>
      <c r="L1776" s="73">
        <v>60789</v>
      </c>
      <c r="M1776" s="73" t="s">
        <v>2834</v>
      </c>
      <c r="N1776" s="73">
        <v>60789</v>
      </c>
      <c r="O1776" s="73" t="s">
        <v>5228</v>
      </c>
      <c r="P1776" s="73"/>
      <c r="Q1776" s="140"/>
      <c r="R1776" s="807"/>
      <c r="S1776" s="140"/>
      <c r="T1776" s="140">
        <v>31438</v>
      </c>
      <c r="U1776" s="73">
        <v>1</v>
      </c>
      <c r="V1776" s="73">
        <v>0</v>
      </c>
      <c r="W1776" s="73"/>
      <c r="X1776" s="73"/>
      <c r="Y1776" s="73"/>
      <c r="Z1776" s="142">
        <v>0</v>
      </c>
      <c r="AA1776" s="73"/>
      <c r="AB1776" s="143"/>
      <c r="AC1776" s="143"/>
      <c r="AD1776" s="73"/>
      <c r="AE1776" s="73"/>
      <c r="AF1776" s="556" t="str">
        <f>"title("&amp;C1776&amp;")
body(hotyellow_3(任务进程:)newline()
   前往敌国hot(王城)找到该国goto(60806,5)拿到hot("&amp;U1776&amp;"个白品质美酒)，回复goto(60789,5)。hot(（非本国及盟国即是敌国哦）)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前往敌国hot(王城)找到该国goto(60806,5)拿到hot(1个白品质美酒)，回复goto(60789,5)。hot(（非本国及盟国即是敌国哦）)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v>
      </c>
      <c r="AG1776" s="556" t="s">
        <v>2903</v>
      </c>
      <c r="AH1776" s="556" t="s">
        <v>2900</v>
      </c>
      <c r="AI1776" s="556" t="s">
        <v>110</v>
      </c>
      <c r="AJ1776" s="556" t="s">
        <v>6534</v>
      </c>
      <c r="AK1776" s="683" t="str">
        <f>"收集"&amp;U1776&amp;"个白品质美酒"</f>
        <v>收集1个白品质美酒</v>
      </c>
      <c r="AL1776" s="678">
        <v>0</v>
      </c>
      <c r="AM1776" s="683" t="str">
        <f>"&lt;p&gt;&lt;n&gt;  通过&lt;/n&gt;&lt;goto id=""126"" mapid=""7"" flagpoint=""1"" /&gt;&lt;newline/&gt;&lt;n&gt;  去敌国找&lt;/n&gt;&lt;goto id=""60806"" mapid=""5"" flagpoint=""1"" /&gt;&lt;newline/&gt;
&lt;n&gt;  收集1个白品质美酒&lt;/n&gt;&lt;newline/&gt;
&lt;n&gt;  回复：&lt;/n&gt;&lt;goto id="""&amp;N1776&amp;""" mapid=""5"" flagpoint=""1"" taskid="""&amp;A1776&amp;"""/&gt;
&lt;/p&gt;"</f>
        <v>&lt;p&gt;&lt;n&gt;  通过&lt;/n&gt;&lt;goto id="126" mapid="7" flagpoint="1" /&gt;&lt;newline/&gt;&lt;n&gt;  去敌国找&lt;/n&gt;&lt;goto id="60806" mapid="5" flagpoint="1" /&gt;&lt;newline/&gt;
&lt;n&gt;  收集1个白品质美酒&lt;/n&gt;&lt;newline/&gt;
&lt;n&gt;  回复：&lt;/n&gt;&lt;goto id="60789" mapid="5" flagpoint="1" taskid="33513"/&gt;
&lt;/p&gt;</v>
      </c>
      <c r="AN1776" s="683" t="str">
        <f t="shared" si="244"/>
        <v>&lt;p&gt;
&lt;n&gt;  交：&lt;/n&gt;&lt;goto id="60789" mapid="5" flagpoint="1" taskid="33513"/&gt;
&lt;/p&gt;</v>
      </c>
      <c r="AO1776" s="556"/>
      <c r="AP1776" s="556">
        <v>0</v>
      </c>
      <c r="AQ1776" s="556">
        <v>0</v>
      </c>
      <c r="AR1776" s="556">
        <v>0</v>
      </c>
      <c r="AS1776" s="556">
        <v>0</v>
      </c>
      <c r="AT1776" s="556">
        <v>0</v>
      </c>
      <c r="AU1776" s="226">
        <v>0</v>
      </c>
      <c r="AV1776" s="17">
        <f t="shared" si="242"/>
        <v>0</v>
      </c>
      <c r="AW1776" s="556" t="str">
        <f>"{s_taskGather,{"&amp;L1776&amp;","&amp;N1776&amp;","&amp;T1776&amp;","&amp;U1776&amp;",0,1}}"</f>
        <v>{s_taskGather,{60789,60789,31438,1,0,1}}</v>
      </c>
    </row>
    <row r="1777" spans="1:49" s="808" customFormat="1" ht="156" x14ac:dyDescent="0.15">
      <c r="A1777" s="72">
        <v>33514</v>
      </c>
      <c r="B1777" s="73" t="s">
        <v>2906</v>
      </c>
      <c r="C1777" s="73" t="s">
        <v>2928</v>
      </c>
      <c r="D1777" s="73">
        <v>3</v>
      </c>
      <c r="E1777" s="73">
        <v>0</v>
      </c>
      <c r="F1777" s="73">
        <v>5</v>
      </c>
      <c r="G1777" s="80">
        <v>70</v>
      </c>
      <c r="H1777" s="73">
        <v>200</v>
      </c>
      <c r="I1777" s="17">
        <v>0</v>
      </c>
      <c r="J1777" s="80">
        <v>0</v>
      </c>
      <c r="K1777" s="73">
        <v>1</v>
      </c>
      <c r="L1777" s="73">
        <v>60789</v>
      </c>
      <c r="M1777" s="73" t="s">
        <v>2834</v>
      </c>
      <c r="N1777" s="73">
        <v>60789</v>
      </c>
      <c r="O1777" s="73" t="s">
        <v>5228</v>
      </c>
      <c r="P1777" s="73"/>
      <c r="Q1777" s="140"/>
      <c r="R1777" s="807"/>
      <c r="S1777" s="140"/>
      <c r="T1777" s="140">
        <v>31438</v>
      </c>
      <c r="U1777" s="73">
        <v>1</v>
      </c>
      <c r="V1777" s="73">
        <v>0</v>
      </c>
      <c r="W1777" s="73"/>
      <c r="X1777" s="73"/>
      <c r="Y1777" s="73"/>
      <c r="Z1777" s="142">
        <v>0</v>
      </c>
      <c r="AA1777" s="73"/>
      <c r="AB1777" s="143"/>
      <c r="AC1777" s="143"/>
      <c r="AD1777" s="73"/>
      <c r="AE1777" s="73"/>
      <c r="AF1777" s="556" t="str">
        <f>"title("&amp;C1777&amp;")
body(hotyellow_3(任务进程:)newline()
   前往敌国hot(王城)找到该国goto(60806,5)拿到hot("&amp;U1777&amp;"个蓝品质美酒)，回复goto(60789,5)。hot(（非本国及盟国即是敌国哦）)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f>
        <v>title([随机]杯与酒)
body(hotyellow_3(任务进程:)newline()
   前往敌国hot(王城)找到该国goto(60806,5)拿到hot(1个蓝品质美酒)，回复goto(60789,5)。hot(（非本国及盟国即是敌国哦）)
blankline()
   space()space()space()1.每次与调酒师对话可获得随机品质的美酒；newline()
   space()space()space()2.完成本任务必然获得1份“品酒记录”，凭此可使用任意品质的美酒或酒杯在达芬奇处换取额外经验奖励；newline()
   space()space()space()3.使用“品酒记录”换取经验时，更高品质的酒或杯可以获得更多经验。)</v>
      </c>
      <c r="AG1777" s="556" t="s">
        <v>2902</v>
      </c>
      <c r="AH1777" s="556" t="s">
        <v>2900</v>
      </c>
      <c r="AI1777" s="556" t="s">
        <v>110</v>
      </c>
      <c r="AJ1777" s="556" t="s">
        <v>6534</v>
      </c>
      <c r="AK1777" s="683" t="str">
        <f>"收集"&amp;U1777&amp;"个蓝品质美酒"</f>
        <v>收集1个蓝品质美酒</v>
      </c>
      <c r="AL1777" s="678">
        <v>0</v>
      </c>
      <c r="AM1777" s="683" t="str">
        <f>"&lt;p&gt;&lt;n&gt;  通过&lt;/n&gt;&lt;goto id=""126"" mapid=""7"" flagpoint=""1"" /&gt;&lt;newline/&gt;&lt;n&gt;  去敌国找&lt;/n&gt;&lt;goto id=""60806"" mapid=""5"" flagpoint=""1"" /&gt;&lt;newline/&gt;
&lt;n&gt;  收集1个蓝品质美酒&lt;/n&gt;&lt;newline/&gt;
&lt;n&gt;  回复：&lt;/n&gt;&lt;goto id="""&amp;N1777&amp;""" mapid=""5"" flagpoint=""1"" taskid="""&amp;A1777&amp;"""/&gt;
&lt;/p&gt;"</f>
        <v>&lt;p&gt;&lt;n&gt;  通过&lt;/n&gt;&lt;goto id="126" mapid="7" flagpoint="1" /&gt;&lt;newline/&gt;&lt;n&gt;  去敌国找&lt;/n&gt;&lt;goto id="60806" mapid="5" flagpoint="1" /&gt;&lt;newline/&gt;
&lt;n&gt;  收集1个蓝品质美酒&lt;/n&gt;&lt;newline/&gt;
&lt;n&gt;  回复：&lt;/n&gt;&lt;goto id="60789" mapid="5" flagpoint="1" taskid="33514"/&gt;
&lt;/p&gt;</v>
      </c>
      <c r="AN1777" s="683" t="str">
        <f t="shared" si="244"/>
        <v>&lt;p&gt;
&lt;n&gt;  交：&lt;/n&gt;&lt;goto id="60789" mapid="5" flagpoint="1" taskid="33514"/&gt;
&lt;/p&gt;</v>
      </c>
      <c r="AO1777" s="556"/>
      <c r="AP1777" s="556">
        <v>0</v>
      </c>
      <c r="AQ1777" s="556">
        <v>0</v>
      </c>
      <c r="AR1777" s="556">
        <v>0</v>
      </c>
      <c r="AS1777" s="556">
        <v>0</v>
      </c>
      <c r="AT1777" s="556">
        <v>0</v>
      </c>
      <c r="AU1777" s="226">
        <v>0</v>
      </c>
      <c r="AV1777" s="17">
        <f t="shared" si="242"/>
        <v>0</v>
      </c>
      <c r="AW1777" s="556" t="str">
        <f>"{s_taskGather,{"&amp;L1777&amp;","&amp;N1777&amp;","&amp;T1777&amp;","&amp;U1777&amp;",0,1}}"</f>
        <v>{s_taskGather,{60789,60789,31438,1,0,1}}</v>
      </c>
    </row>
    <row r="1778" spans="1:49" s="808" customFormat="1" ht="144" x14ac:dyDescent="0.15">
      <c r="A1778" s="72">
        <v>33515</v>
      </c>
      <c r="B1778" s="73" t="s">
        <v>2920</v>
      </c>
      <c r="C1778" s="73" t="s">
        <v>2926</v>
      </c>
      <c r="D1778" s="73">
        <v>3</v>
      </c>
      <c r="E1778" s="73">
        <v>0</v>
      </c>
      <c r="F1778" s="73">
        <v>5</v>
      </c>
      <c r="G1778" s="80">
        <v>70</v>
      </c>
      <c r="H1778" s="73">
        <v>200</v>
      </c>
      <c r="I1778" s="17">
        <v>0</v>
      </c>
      <c r="J1778" s="80">
        <v>0</v>
      </c>
      <c r="K1778" s="73">
        <v>1</v>
      </c>
      <c r="L1778" s="73">
        <v>60789</v>
      </c>
      <c r="M1778" s="73" t="s">
        <v>2834</v>
      </c>
      <c r="N1778" s="73">
        <v>60789</v>
      </c>
      <c r="O1778" s="73" t="s">
        <v>5228</v>
      </c>
      <c r="P1778" s="73"/>
      <c r="Q1778" s="140"/>
      <c r="R1778" s="807"/>
      <c r="S1778" s="140">
        <v>60808</v>
      </c>
      <c r="T1778" s="140"/>
      <c r="U1778" s="73">
        <v>1</v>
      </c>
      <c r="V1778" s="73">
        <v>0</v>
      </c>
      <c r="W1778" s="73"/>
      <c r="X1778" s="73"/>
      <c r="Y1778" s="73"/>
      <c r="Z1778" s="142">
        <v>0</v>
      </c>
      <c r="AA1778" s="73"/>
      <c r="AB1778" s="143"/>
      <c r="AC1778" s="143"/>
      <c r="AD1778" s="73"/>
      <c r="AE1778" s="745" t="s">
        <v>2917</v>
      </c>
      <c r="AF1778" s="556" t="str">
        <f>"title("&amp;C1778&amp;")
body(hotyellow_3(任务进程:)newline()
   使用任务给予的单兵火箭筒前往敌国hot(五丈原)破坏1个goto(60808,7)，回复goto(60789,5)。hot(（非本国及盟国即是敌国哦）)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使用任务给予的单兵火箭筒前往敌国hot(五丈原)破坏1个goto(60808,7)，回复goto(60789,5)。hot(（非本国及盟国即是敌国哦）)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78" s="556" t="s">
        <v>2918</v>
      </c>
      <c r="AH1778" s="556" t="s">
        <v>2916</v>
      </c>
      <c r="AI1778" s="556" t="s">
        <v>110</v>
      </c>
      <c r="AJ1778" s="556" t="s">
        <v>6535</v>
      </c>
      <c r="AK1778" s="683" t="str">
        <f>"破坏"&amp;U1778&amp;"个沙地型补给艇"</f>
        <v>破坏1个沙地型补给艇</v>
      </c>
      <c r="AL1778" s="678">
        <v>0</v>
      </c>
      <c r="AM1778" s="683" t="str">
        <f>"&lt;p&gt;&lt;n&gt;  通过&lt;/n&gt;&lt;goto id=""126"" mapid=""7"" flagpoint=""1"" /&gt;&lt;newline/&gt;&lt;n&gt;  去敌国使用火箭筒破坏1个&lt;/n&gt;&lt;goto id="""&amp;S1778&amp;""" mapid=""7"" flagpoint=""1"" /&gt;&lt;newline/&gt;
&lt;n&gt;  回复：&lt;/n&gt;&lt;goto id="""&amp;N1778&amp;""" mapid=""5"" flagpoint=""1"" taskid="""&amp;A1778&amp;"""/&gt;
&lt;/p&gt;"</f>
        <v>&lt;p&gt;&lt;n&gt;  通过&lt;/n&gt;&lt;goto id="126" mapid="7" flagpoint="1" /&gt;&lt;newline/&gt;&lt;n&gt;  去敌国使用火箭筒破坏1个&lt;/n&gt;&lt;goto id="60808" mapid="7" flagpoint="1" /&gt;&lt;newline/&gt;
&lt;n&gt;  回复：&lt;/n&gt;&lt;goto id="60789" mapid="5" flagpoint="1" taskid="33515"/&gt;
&lt;/p&gt;</v>
      </c>
      <c r="AN1778" s="683" t="str">
        <f t="shared" si="244"/>
        <v>&lt;p&gt;
&lt;n&gt;  交：&lt;/n&gt;&lt;goto id="60789" mapid="5" flagpoint="1" taskid="33515"/&gt;
&lt;/p&gt;</v>
      </c>
      <c r="AO1778" s="556"/>
      <c r="AP1778" s="556">
        <v>0</v>
      </c>
      <c r="AQ1778" s="556">
        <v>0</v>
      </c>
      <c r="AR1778" s="556">
        <v>0</v>
      </c>
      <c r="AS1778" s="556">
        <v>0</v>
      </c>
      <c r="AT1778" s="556">
        <v>0</v>
      </c>
      <c r="AU1778" s="226">
        <v>0</v>
      </c>
      <c r="AV1778" s="17">
        <f t="shared" si="242"/>
        <v>0</v>
      </c>
      <c r="AW1778" s="50" t="str">
        <f>"{s_taskKillNpc, {"&amp;L1778&amp;","&amp;N1778&amp;","&amp;S1778&amp;","&amp;U1778&amp;"}}"</f>
        <v>{s_taskKillNpc, {60789,60789,60808,1}}</v>
      </c>
    </row>
    <row r="1779" spans="1:49" s="808" customFormat="1" ht="144" x14ac:dyDescent="0.15">
      <c r="A1779" s="72">
        <v>33516</v>
      </c>
      <c r="B1779" s="73" t="s">
        <v>2920</v>
      </c>
      <c r="C1779" s="73" t="s">
        <v>2926</v>
      </c>
      <c r="D1779" s="73">
        <v>3</v>
      </c>
      <c r="E1779" s="73">
        <v>0</v>
      </c>
      <c r="F1779" s="73">
        <v>5</v>
      </c>
      <c r="G1779" s="80">
        <v>70</v>
      </c>
      <c r="H1779" s="73">
        <v>200</v>
      </c>
      <c r="I1779" s="17">
        <v>0</v>
      </c>
      <c r="J1779" s="80">
        <v>0</v>
      </c>
      <c r="K1779" s="73">
        <v>1</v>
      </c>
      <c r="L1779" s="73">
        <v>60789</v>
      </c>
      <c r="M1779" s="73" t="s">
        <v>2834</v>
      </c>
      <c r="N1779" s="73">
        <v>60789</v>
      </c>
      <c r="O1779" s="73" t="s">
        <v>5228</v>
      </c>
      <c r="P1779" s="73"/>
      <c r="Q1779" s="140"/>
      <c r="R1779" s="807"/>
      <c r="S1779" s="140">
        <v>60808</v>
      </c>
      <c r="T1779" s="140"/>
      <c r="U1779" s="73">
        <v>3</v>
      </c>
      <c r="V1779" s="73">
        <v>0</v>
      </c>
      <c r="W1779" s="73"/>
      <c r="X1779" s="73"/>
      <c r="Y1779" s="73"/>
      <c r="Z1779" s="142">
        <v>0</v>
      </c>
      <c r="AA1779" s="73"/>
      <c r="AB1779" s="143"/>
      <c r="AC1779" s="143"/>
      <c r="AD1779" s="73"/>
      <c r="AE1779" s="745" t="s">
        <v>2917</v>
      </c>
      <c r="AF1779" s="556" t="str">
        <f>"title("&amp;C1779&amp;")
body(hotyellow_3(任务进程:)newline()
   使用任务给予的单兵火箭筒前往敌国hot(五丈原)破坏3个goto(60808,7)，回复goto(60789,5)。hot(（非本国及盟国即是敌国哦）)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使用任务给予的单兵火箭筒前往敌国hot(五丈原)破坏3个goto(60808,7)，回复goto(60789,5)。hot(（非本国及盟国即是敌国哦）)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79" s="556" t="s">
        <v>2919</v>
      </c>
      <c r="AH1779" s="556" t="s">
        <v>2916</v>
      </c>
      <c r="AI1779" s="556" t="s">
        <v>110</v>
      </c>
      <c r="AJ1779" s="556" t="s">
        <v>6535</v>
      </c>
      <c r="AK1779" s="683" t="str">
        <f>"破坏"&amp;U1779&amp;"个沙地型补给艇"</f>
        <v>破坏3个沙地型补给艇</v>
      </c>
      <c r="AL1779" s="678">
        <v>0</v>
      </c>
      <c r="AM1779" s="683" t="str">
        <f>"&lt;p&gt;&lt;n&gt;  通过&lt;/n&gt;&lt;goto id=""126"" mapid=""7"" flagpoint=""1"" /&gt;&lt;newline/&gt;&lt;n&gt;  去敌国使用火箭筒破坏3个&lt;/n&gt;&lt;goto id="""&amp;S1779&amp;""" mapid=""7"" flagpoint=""1"" /&gt;&lt;newline/&gt;
&lt;n&gt;  回复：&lt;/n&gt;&lt;goto id="""&amp;N1779&amp;""" mapid=""5"" flagpoint=""1"" taskid="""&amp;A1779&amp;"""/&gt;
&lt;/p&gt;"</f>
        <v>&lt;p&gt;&lt;n&gt;  通过&lt;/n&gt;&lt;goto id="126" mapid="7" flagpoint="1" /&gt;&lt;newline/&gt;&lt;n&gt;  去敌国使用火箭筒破坏3个&lt;/n&gt;&lt;goto id="60808" mapid="7" flagpoint="1" /&gt;&lt;newline/&gt;
&lt;n&gt;  回复：&lt;/n&gt;&lt;goto id="60789" mapid="5" flagpoint="1" taskid="33516"/&gt;
&lt;/p&gt;</v>
      </c>
      <c r="AN1779" s="683" t="str">
        <f t="shared" si="244"/>
        <v>&lt;p&gt;
&lt;n&gt;  交：&lt;/n&gt;&lt;goto id="60789" mapid="5" flagpoint="1" taskid="33516"/&gt;
&lt;/p&gt;</v>
      </c>
      <c r="AO1779" s="556"/>
      <c r="AP1779" s="556">
        <v>0</v>
      </c>
      <c r="AQ1779" s="556">
        <v>0</v>
      </c>
      <c r="AR1779" s="556">
        <v>0</v>
      </c>
      <c r="AS1779" s="556">
        <v>0</v>
      </c>
      <c r="AT1779" s="556">
        <v>0</v>
      </c>
      <c r="AU1779" s="226">
        <v>0</v>
      </c>
      <c r="AV1779" s="17">
        <f t="shared" si="242"/>
        <v>0</v>
      </c>
      <c r="AW1779" s="50" t="str">
        <f>"{s_taskKillNpc, {"&amp;L1779&amp;","&amp;N1779&amp;","&amp;S1779&amp;","&amp;U1779&amp;"}}"</f>
        <v>{s_taskKillNpc, {60789,60789,60808,3}}</v>
      </c>
    </row>
    <row r="1780" spans="1:49" s="808" customFormat="1" ht="144" x14ac:dyDescent="0.15">
      <c r="A1780" s="72">
        <v>33517</v>
      </c>
      <c r="B1780" s="73" t="s">
        <v>2920</v>
      </c>
      <c r="C1780" s="73" t="s">
        <v>2926</v>
      </c>
      <c r="D1780" s="73">
        <v>3</v>
      </c>
      <c r="E1780" s="73">
        <v>0</v>
      </c>
      <c r="F1780" s="73">
        <v>5</v>
      </c>
      <c r="G1780" s="80">
        <v>70</v>
      </c>
      <c r="H1780" s="73">
        <v>200</v>
      </c>
      <c r="I1780" s="17">
        <v>0</v>
      </c>
      <c r="J1780" s="80">
        <v>0</v>
      </c>
      <c r="K1780" s="73">
        <v>1</v>
      </c>
      <c r="L1780" s="73">
        <v>60789</v>
      </c>
      <c r="M1780" s="73" t="s">
        <v>2834</v>
      </c>
      <c r="N1780" s="73">
        <v>60789</v>
      </c>
      <c r="O1780" s="73" t="s">
        <v>5228</v>
      </c>
      <c r="P1780" s="73"/>
      <c r="Q1780" s="140"/>
      <c r="R1780" s="807"/>
      <c r="S1780" s="140">
        <v>60809</v>
      </c>
      <c r="T1780" s="140"/>
      <c r="U1780" s="73">
        <v>1</v>
      </c>
      <c r="V1780" s="73">
        <v>0</v>
      </c>
      <c r="W1780" s="73"/>
      <c r="X1780" s="73"/>
      <c r="Y1780" s="73"/>
      <c r="Z1780" s="142">
        <v>0</v>
      </c>
      <c r="AA1780" s="73"/>
      <c r="AB1780" s="143"/>
      <c r="AC1780" s="143"/>
      <c r="AD1780" s="73"/>
      <c r="AE1780" s="745" t="s">
        <v>2917</v>
      </c>
      <c r="AF1780" s="556" t="str">
        <f>"title("&amp;C1780&amp;")
body(hotyellow_3(任务进程:)newline()
   使用任务给予的单兵火箭筒前往敌国hot(王城)破坏1个goto(60809,5)，回复goto(60789,5)。hot(（非本国及盟国即是敌国哦）)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使用任务给予的单兵火箭筒前往敌国hot(王城)破坏1个goto(60809,5)，回复goto(60789,5)。hot(（非本国及盟国即是敌国哦）)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80" s="556" t="s">
        <v>4801</v>
      </c>
      <c r="AH1780" s="556" t="s">
        <v>2916</v>
      </c>
      <c r="AI1780" s="556" t="s">
        <v>110</v>
      </c>
      <c r="AJ1780" s="556" t="s">
        <v>6536</v>
      </c>
      <c r="AK1780" s="683" t="str">
        <f>"破坏"&amp;U1780&amp;"个帮会需补给艇"</f>
        <v>破坏1个帮会需补给艇</v>
      </c>
      <c r="AL1780" s="678">
        <v>0</v>
      </c>
      <c r="AM1780" s="683" t="str">
        <f>"&lt;p&gt;&lt;n&gt;  通过&lt;/n&gt;&lt;goto id=""126"" mapid=""7"" flagpoint=""1"" /&gt;&lt;newline/&gt;&lt;n&gt;  去敌国使用火箭筒破坏1个&lt;/n&gt;&lt;goto id="""&amp;S1780&amp;""" mapid=""5"" flagpoint=""1"" /&gt;&lt;newline/&gt;
&lt;n&gt;  回复：&lt;/n&gt;&lt;goto id="""&amp;N1780&amp;""" mapid=""5"" flagpoint=""1"" taskid="""&amp;A1780&amp;"""/&gt;
&lt;/p&gt;"</f>
        <v>&lt;p&gt;&lt;n&gt;  通过&lt;/n&gt;&lt;goto id="126" mapid="7" flagpoint="1" /&gt;&lt;newline/&gt;&lt;n&gt;  去敌国使用火箭筒破坏1个&lt;/n&gt;&lt;goto id="60809" mapid="5" flagpoint="1" /&gt;&lt;newline/&gt;
&lt;n&gt;  回复：&lt;/n&gt;&lt;goto id="60789" mapid="5" flagpoint="1" taskid="33517"/&gt;
&lt;/p&gt;</v>
      </c>
      <c r="AN1780" s="683" t="str">
        <f t="shared" si="244"/>
        <v>&lt;p&gt;
&lt;n&gt;  交：&lt;/n&gt;&lt;goto id="60789" mapid="5" flagpoint="1" taskid="33517"/&gt;
&lt;/p&gt;</v>
      </c>
      <c r="AO1780" s="556"/>
      <c r="AP1780" s="556">
        <v>0</v>
      </c>
      <c r="AQ1780" s="556">
        <v>0</v>
      </c>
      <c r="AR1780" s="556">
        <v>0</v>
      </c>
      <c r="AS1780" s="556">
        <v>0</v>
      </c>
      <c r="AT1780" s="556">
        <v>0</v>
      </c>
      <c r="AU1780" s="226">
        <v>0</v>
      </c>
      <c r="AV1780" s="17">
        <f t="shared" si="242"/>
        <v>0</v>
      </c>
      <c r="AW1780" s="50" t="str">
        <f>"{s_taskKillNpc, {"&amp;L1780&amp;","&amp;N1780&amp;","&amp;S1780&amp;","&amp;U1780&amp;"}}"</f>
        <v>{s_taskKillNpc, {60789,60789,60809,1}}</v>
      </c>
    </row>
    <row r="1781" spans="1:49" s="808" customFormat="1" ht="144" x14ac:dyDescent="0.15">
      <c r="A1781" s="72">
        <v>33518</v>
      </c>
      <c r="B1781" s="73" t="s">
        <v>2920</v>
      </c>
      <c r="C1781" s="73" t="s">
        <v>2926</v>
      </c>
      <c r="D1781" s="73">
        <v>3</v>
      </c>
      <c r="E1781" s="73">
        <v>0</v>
      </c>
      <c r="F1781" s="73">
        <v>5</v>
      </c>
      <c r="G1781" s="80">
        <v>70</v>
      </c>
      <c r="H1781" s="73">
        <v>200</v>
      </c>
      <c r="I1781" s="17">
        <v>0</v>
      </c>
      <c r="J1781" s="80">
        <v>0</v>
      </c>
      <c r="K1781" s="73">
        <v>1</v>
      </c>
      <c r="L1781" s="73">
        <v>60789</v>
      </c>
      <c r="M1781" s="73" t="s">
        <v>2834</v>
      </c>
      <c r="N1781" s="73">
        <v>60789</v>
      </c>
      <c r="O1781" s="73" t="s">
        <v>5228</v>
      </c>
      <c r="P1781" s="73"/>
      <c r="Q1781" s="140"/>
      <c r="R1781" s="807"/>
      <c r="S1781" s="140">
        <v>60809</v>
      </c>
      <c r="T1781" s="140"/>
      <c r="U1781" s="73">
        <v>3</v>
      </c>
      <c r="V1781" s="73">
        <v>0</v>
      </c>
      <c r="W1781" s="73"/>
      <c r="X1781" s="73"/>
      <c r="Y1781" s="73"/>
      <c r="Z1781" s="142">
        <v>0</v>
      </c>
      <c r="AA1781" s="73"/>
      <c r="AB1781" s="143"/>
      <c r="AC1781" s="143"/>
      <c r="AD1781" s="73"/>
      <c r="AE1781" s="745" t="s">
        <v>2917</v>
      </c>
      <c r="AF1781" s="556" t="str">
        <f>"title("&amp;C1781&amp;")
body(hotyellow_3(任务进程:)newline()
   使用任务给予的单兵火箭筒前往敌国hot(王城)破坏3个goto(60809,5)，回复goto(60789,5)。hot(（非本国及盟国即是敌国哦）)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f>
        <v>title([随机]营养晶果)
body(hotyellow_3(任务进程:)newline()
   使用任务给予的单兵火箭筒前往敌国hot(王城)破坏3个goto(60809,5)，回复goto(60789,5)。hot(（非本国及盟国即是敌国哦）)
blankline()
1.破坏时有可能获得各种品阶的营养晶果；newline()
2.右键点击，可促使晶果随机分裂为其他晶果，也可能碎裂为废品；newline()
3.完成本任务必然获得1个“奖章”，凭此加任意晶果可在达芬奇处换取额外经验奖励，晶果品阶越高获得经验越多。
)</v>
      </c>
      <c r="AG1781" s="556" t="s">
        <v>4801</v>
      </c>
      <c r="AH1781" s="556" t="s">
        <v>2916</v>
      </c>
      <c r="AI1781" s="556" t="s">
        <v>110</v>
      </c>
      <c r="AJ1781" s="556" t="s">
        <v>6536</v>
      </c>
      <c r="AK1781" s="683" t="str">
        <f>"破坏"&amp;U1781&amp;"个帮会需补给艇"</f>
        <v>破坏3个帮会需补给艇</v>
      </c>
      <c r="AL1781" s="678">
        <v>0</v>
      </c>
      <c r="AM1781" s="683" t="str">
        <f>"&lt;p&gt;&lt;n&gt;  通过&lt;/n&gt;&lt;goto id=""126"" mapid=""7"" flagpoint=""1"" /&gt;&lt;newline/&gt;&lt;n&gt;  去敌国使用火箭筒破坏3个&lt;/n&gt;&lt;goto id="""&amp;S1781&amp;""" mapid=""5"" flagpoint=""1"" /&gt;&lt;newline/&gt;
&lt;n&gt;  回复：&lt;/n&gt;&lt;goto id="""&amp;N1781&amp;""" mapid=""5"" flagpoint=""1"" taskid="""&amp;A1781&amp;"""/&gt;
&lt;/p&gt;"</f>
        <v>&lt;p&gt;&lt;n&gt;  通过&lt;/n&gt;&lt;goto id="126" mapid="7" flagpoint="1" /&gt;&lt;newline/&gt;&lt;n&gt;  去敌国使用火箭筒破坏3个&lt;/n&gt;&lt;goto id="60809" mapid="5" flagpoint="1" /&gt;&lt;newline/&gt;
&lt;n&gt;  回复：&lt;/n&gt;&lt;goto id="60789" mapid="5" flagpoint="1" taskid="33518"/&gt;
&lt;/p&gt;</v>
      </c>
      <c r="AN1781" s="683" t="str">
        <f t="shared" si="244"/>
        <v>&lt;p&gt;
&lt;n&gt;  交：&lt;/n&gt;&lt;goto id="60789" mapid="5" flagpoint="1" taskid="33518"/&gt;
&lt;/p&gt;</v>
      </c>
      <c r="AO1781" s="556"/>
      <c r="AP1781" s="556">
        <v>0</v>
      </c>
      <c r="AQ1781" s="556">
        <v>0</v>
      </c>
      <c r="AR1781" s="556">
        <v>0</v>
      </c>
      <c r="AS1781" s="556">
        <v>0</v>
      </c>
      <c r="AT1781" s="556">
        <v>0</v>
      </c>
      <c r="AU1781" s="226">
        <v>0</v>
      </c>
      <c r="AV1781" s="17">
        <f t="shared" si="242"/>
        <v>0</v>
      </c>
      <c r="AW1781" s="50" t="str">
        <f>"{s_taskKillNpc, {"&amp;L1781&amp;","&amp;N1781&amp;","&amp;S1781&amp;","&amp;U1781&amp;"}}"</f>
        <v>{s_taskKillNpc, {60789,60789,60809,3}}</v>
      </c>
    </row>
    <row r="1782" spans="1:49" s="808" customFormat="1" x14ac:dyDescent="0.15">
      <c r="A1782" s="72">
        <v>33519</v>
      </c>
      <c r="B1782" s="73" t="s">
        <v>3410</v>
      </c>
      <c r="C1782" s="73" t="s">
        <v>3407</v>
      </c>
      <c r="D1782" s="73">
        <v>3</v>
      </c>
      <c r="E1782" s="73">
        <v>0</v>
      </c>
      <c r="F1782" s="73">
        <v>5</v>
      </c>
      <c r="G1782" s="80">
        <v>70</v>
      </c>
      <c r="H1782" s="73">
        <v>200</v>
      </c>
      <c r="I1782" s="17">
        <v>0</v>
      </c>
      <c r="J1782" s="80">
        <v>0</v>
      </c>
      <c r="K1782" s="73">
        <v>1</v>
      </c>
      <c r="L1782" s="73">
        <v>60789</v>
      </c>
      <c r="M1782" s="73" t="s">
        <v>2834</v>
      </c>
      <c r="N1782" s="73">
        <v>203</v>
      </c>
      <c r="O1782" s="73" t="s">
        <v>5258</v>
      </c>
      <c r="P1782" s="73"/>
      <c r="Q1782" s="140"/>
      <c r="R1782" s="807"/>
      <c r="S1782" s="140"/>
      <c r="T1782" s="140"/>
      <c r="U1782" s="73">
        <v>1</v>
      </c>
      <c r="V1782" s="73">
        <v>1</v>
      </c>
      <c r="W1782" s="73"/>
      <c r="X1782" s="73"/>
      <c r="Y1782" s="73"/>
      <c r="Z1782" s="142">
        <v>0</v>
      </c>
      <c r="AA1782" s="73"/>
      <c r="AB1782" s="143"/>
      <c r="AC1782" s="143"/>
      <c r="AD1782" s="73"/>
      <c r="AE1782" s="73"/>
      <c r="AF1782" s="73"/>
      <c r="AG1782" s="73"/>
      <c r="AH1782" s="73"/>
      <c r="AI1782" s="73"/>
      <c r="AJ1782" s="73"/>
      <c r="AK1782" s="73"/>
      <c r="AL1782" s="80">
        <v>0</v>
      </c>
      <c r="AM1782" s="73"/>
      <c r="AN1782" s="73"/>
      <c r="AO1782" s="73"/>
      <c r="AP1782" s="73">
        <v>0</v>
      </c>
      <c r="AQ1782" s="73">
        <v>0</v>
      </c>
      <c r="AR1782" s="73">
        <v>0</v>
      </c>
      <c r="AS1782" s="73">
        <v>0</v>
      </c>
      <c r="AT1782" s="73">
        <v>0</v>
      </c>
      <c r="AU1782" s="226">
        <v>0</v>
      </c>
      <c r="AV1782" s="17">
        <f t="shared" si="242"/>
        <v>0</v>
      </c>
      <c r="AW1782" s="50" t="str">
        <f t="shared" ref="AW1782" si="245">"{s_taskTalk,{"&amp;L1782&amp;","&amp;N1782&amp;"}}"</f>
        <v>{s_taskTalk,{60789,203}}</v>
      </c>
    </row>
    <row r="1783" spans="1:49" s="808" customFormat="1" ht="132" x14ac:dyDescent="0.15">
      <c r="A1783" s="72">
        <v>33520</v>
      </c>
      <c r="B1783" s="73" t="s">
        <v>3411</v>
      </c>
      <c r="C1783" s="73" t="s">
        <v>3412</v>
      </c>
      <c r="D1783" s="73">
        <v>3</v>
      </c>
      <c r="E1783" s="73">
        <v>0</v>
      </c>
      <c r="F1783" s="73">
        <v>5</v>
      </c>
      <c r="G1783" s="80">
        <v>70</v>
      </c>
      <c r="H1783" s="73">
        <v>200</v>
      </c>
      <c r="I1783" s="17">
        <v>0</v>
      </c>
      <c r="J1783" s="80">
        <v>0</v>
      </c>
      <c r="K1783" s="73">
        <v>1</v>
      </c>
      <c r="L1783" s="73">
        <v>60789</v>
      </c>
      <c r="M1783" s="73" t="s">
        <v>2834</v>
      </c>
      <c r="N1783" s="73">
        <v>60789</v>
      </c>
      <c r="O1783" s="73" t="s">
        <v>5228</v>
      </c>
      <c r="P1783" s="73"/>
      <c r="Q1783" s="140"/>
      <c r="R1783" s="807"/>
      <c r="S1783" s="140">
        <v>60866</v>
      </c>
      <c r="T1783" s="140"/>
      <c r="U1783" s="73">
        <v>1</v>
      </c>
      <c r="V1783" s="73">
        <v>0</v>
      </c>
      <c r="W1783" s="73"/>
      <c r="X1783" s="73"/>
      <c r="Y1783" s="73"/>
      <c r="Z1783" s="142">
        <v>0</v>
      </c>
      <c r="AA1783" s="73"/>
      <c r="AB1783" s="143"/>
      <c r="AC1783" s="143"/>
      <c r="AD1783" s="73"/>
      <c r="AE1783" s="745"/>
      <c r="AF1783" s="556" t="str">
        <f>"title("&amp;C1783&amp;")
body(hotyellow_3(任务进程:)newline()
   邀请一个70级以上玩家组队，通过与goto(60789,5)对话，选择hot(进入‘维多利亚’战役),杀死goto(60866,143)，回复goto(60789,5)。newline()
◆进入限制newline()
1、必须有且只有2人组队newline()
2、任务的协助者今天未进入过该副本，且在您附近newline()
3、2人必须都大于等于70级
)"</f>
        <v>title([随机]戎装公主)
body(hotyellow_3(任务进程:)newline()
   邀请一个70级以上玩家组队，通过与goto(60789,5)对话，选择hot(进入‘维多利亚’战役),杀死goto(60866,143)，回复goto(60789,5)。newline()
◆进入限制newline()
1、必须有且只有2人组队newline()
2、任务的协助者今天未进入过该副本，且在您附近newline()
3、2人必须都大于等于70级
)</v>
      </c>
      <c r="AG1783" s="556" t="s">
        <v>4802</v>
      </c>
      <c r="AH1783" s="556" t="s">
        <v>2916</v>
      </c>
      <c r="AI1783" s="556" t="s">
        <v>110</v>
      </c>
      <c r="AJ1783" s="556" t="s">
        <v>6537</v>
      </c>
      <c r="AK1783" s="683" t="str">
        <f>"杀死"&amp;U1783&amp;"梦之黑魔"</f>
        <v>杀死1梦之黑魔</v>
      </c>
      <c r="AL1783" s="678">
        <v>0</v>
      </c>
      <c r="AM1783" s="683" t="str">
        <f>"&lt;p&gt;&lt;n&gt;  通过&lt;/n&gt;&lt;goto id=""60789"" mapid=""5"" flagpoint=""1"" /&gt;&lt;newline/&gt;&lt;n&gt;  选择‘维多利亚’战役&lt;/n&gt;&lt;newline/&gt;
&lt;n&gt;  杀：梦之黑魔后，回复：&lt;/n&gt;&lt;goto id="""&amp;N1783&amp;""" mapid=""5"" flagpoint=""1"" taskid="""&amp;A1783&amp;"""/&gt;
&lt;/p&gt;"</f>
        <v>&lt;p&gt;&lt;n&gt;  通过&lt;/n&gt;&lt;goto id="60789" mapid="5" flagpoint="1" /&gt;&lt;newline/&gt;&lt;n&gt;  选择‘维多利亚’战役&lt;/n&gt;&lt;newline/&gt;
&lt;n&gt;  杀：梦之黑魔后，回复：&lt;/n&gt;&lt;goto id="60789" mapid="5" flagpoint="1" taskid="33520"/&gt;
&lt;/p&gt;</v>
      </c>
      <c r="AN1783" s="683" t="str">
        <f>"&lt;p&gt;&lt;n&gt;  通过&lt;/n&gt;&lt;goto id=""60789"" mapid=""5"" flagpoint=""1"" /&gt;&lt;newline/&gt;&lt;n&gt;  选择‘维多利亚’战役&lt;/n&gt;&lt;newline/&gt;
&lt;n&gt;  杀死梦之黑魔后，交：&lt;/n&gt;&lt;goto id="""&amp;N1783&amp;""" mapid=""5"" flagpoint=""1"" taskid="""&amp;B1783&amp;"""/&gt;
&lt;/p&gt;"</f>
        <v>&lt;p&gt;&lt;n&gt;  通过&lt;/n&gt;&lt;goto id="60789" mapid="5" flagpoint="1" /&gt;&lt;newline/&gt;&lt;n&gt;  选择‘维多利亚’战役&lt;/n&gt;&lt;newline/&gt;
&lt;n&gt;  杀死梦之黑魔后，交：&lt;/n&gt;&lt;goto id="60789" mapid="5" flagpoint="1" taskid="绿"/&gt;
&lt;/p&gt;</v>
      </c>
      <c r="AO1783" s="556"/>
      <c r="AP1783" s="556">
        <v>0</v>
      </c>
      <c r="AQ1783" s="556">
        <v>0</v>
      </c>
      <c r="AR1783" s="556">
        <v>0</v>
      </c>
      <c r="AS1783" s="556">
        <v>0</v>
      </c>
      <c r="AT1783" s="556">
        <v>0</v>
      </c>
      <c r="AU1783" s="226">
        <v>0</v>
      </c>
      <c r="AV1783" s="17">
        <f t="shared" si="242"/>
        <v>0</v>
      </c>
      <c r="AW1783" s="50" t="str">
        <f>"{s_taskKillNpc, {"&amp;L1783&amp;","&amp;N1783&amp;","&amp;S1783&amp;","&amp;U1783&amp;"}}"</f>
        <v>{s_taskKillNpc, {60789,60789,60866,1}}</v>
      </c>
    </row>
    <row r="1784" spans="1:49" ht="72" x14ac:dyDescent="0.15">
      <c r="A1784" s="149">
        <v>33521</v>
      </c>
      <c r="B1784" s="226"/>
      <c r="C1784" s="226" t="s">
        <v>4100</v>
      </c>
      <c r="D1784" s="226">
        <v>3</v>
      </c>
      <c r="E1784" s="226">
        <v>0</v>
      </c>
      <c r="F1784" s="226">
        <v>8</v>
      </c>
      <c r="G1784" s="234">
        <v>200</v>
      </c>
      <c r="H1784" s="226">
        <v>200</v>
      </c>
      <c r="I1784" s="17">
        <v>0</v>
      </c>
      <c r="J1784" s="234">
        <v>0</v>
      </c>
      <c r="K1784" s="226">
        <v>1</v>
      </c>
      <c r="L1784" s="226"/>
      <c r="M1784" s="226"/>
      <c r="N1784" s="226"/>
      <c r="O1784" s="226"/>
      <c r="P1784" s="226"/>
      <c r="Q1784" s="228"/>
      <c r="R1784" s="228"/>
      <c r="S1784" s="228"/>
      <c r="T1784" s="228"/>
      <c r="U1784" s="226">
        <v>1</v>
      </c>
      <c r="V1784" s="226">
        <v>1</v>
      </c>
      <c r="W1784" s="226"/>
      <c r="X1784" s="226"/>
      <c r="Y1784" s="226"/>
      <c r="Z1784" s="230">
        <v>0</v>
      </c>
      <c r="AA1784" s="226"/>
      <c r="AB1784" s="231"/>
      <c r="AC1784" s="231"/>
      <c r="AD1784" s="226"/>
      <c r="AE1784" s="226"/>
      <c r="AF1784" s="226"/>
      <c r="AG1784" s="226"/>
      <c r="AH1784" s="226"/>
      <c r="AI1784" s="226"/>
      <c r="AJ1784" s="226"/>
      <c r="AK1784" s="226"/>
      <c r="AL1784" s="234">
        <v>0</v>
      </c>
      <c r="AM1784" s="226" t="s">
        <v>3701</v>
      </c>
      <c r="AN1784" s="226" t="s">
        <v>6072</v>
      </c>
      <c r="AO1784" s="226"/>
      <c r="AP1784" s="226">
        <v>0</v>
      </c>
      <c r="AQ1784" s="226">
        <v>0</v>
      </c>
      <c r="AR1784" s="226">
        <v>0</v>
      </c>
      <c r="AS1784" s="226">
        <v>0</v>
      </c>
      <c r="AT1784" s="226">
        <v>0</v>
      </c>
      <c r="AU1784" s="226">
        <v>0</v>
      </c>
      <c r="AV1784" s="17">
        <f t="shared" si="242"/>
        <v>0</v>
      </c>
      <c r="AW1784" s="50" t="s">
        <v>2788</v>
      </c>
    </row>
    <row r="1785" spans="1:49" s="814" customFormat="1" x14ac:dyDescent="0.15">
      <c r="A1785" s="100">
        <v>39001</v>
      </c>
      <c r="B1785" s="100"/>
      <c r="C1785" s="100" t="s">
        <v>7624</v>
      </c>
      <c r="D1785" s="814">
        <v>6</v>
      </c>
      <c r="E1785" s="814">
        <v>0</v>
      </c>
      <c r="F1785" s="814">
        <v>1</v>
      </c>
      <c r="G1785" s="815">
        <v>31</v>
      </c>
      <c r="H1785" s="814">
        <v>200</v>
      </c>
      <c r="I1785" s="17">
        <v>0</v>
      </c>
      <c r="J1785" s="815"/>
      <c r="K1785" s="814">
        <v>1</v>
      </c>
      <c r="Q1785" s="816"/>
      <c r="R1785" s="816"/>
      <c r="S1785" s="816"/>
      <c r="T1785" s="816"/>
      <c r="Z1785" s="817">
        <v>0</v>
      </c>
      <c r="AB1785" s="818"/>
      <c r="AC1785" s="818"/>
      <c r="AF1785" s="814" t="s">
        <v>7625</v>
      </c>
      <c r="AL1785" s="815"/>
      <c r="AP1785" s="814">
        <v>0</v>
      </c>
      <c r="AU1785" s="814">
        <v>1</v>
      </c>
      <c r="AV1785" s="17">
        <f t="shared" ref="AV1785:AV1791" si="246">IF(D1785 = 1,1,0)</f>
        <v>0</v>
      </c>
    </row>
    <row r="1786" spans="1:49" s="814" customFormat="1" x14ac:dyDescent="0.15">
      <c r="A1786" s="100">
        <v>39002</v>
      </c>
      <c r="B1786" s="100"/>
      <c r="C1786" s="100" t="s">
        <v>7626</v>
      </c>
      <c r="D1786" s="814">
        <v>6</v>
      </c>
      <c r="E1786" s="814">
        <v>0</v>
      </c>
      <c r="F1786" s="814">
        <v>1</v>
      </c>
      <c r="G1786" s="815">
        <v>1</v>
      </c>
      <c r="H1786" s="814">
        <v>200</v>
      </c>
      <c r="I1786" s="17">
        <v>0</v>
      </c>
      <c r="J1786" s="815"/>
      <c r="K1786" s="814">
        <v>1</v>
      </c>
      <c r="Q1786" s="816"/>
      <c r="R1786" s="816"/>
      <c r="S1786" s="816"/>
      <c r="T1786" s="816"/>
      <c r="Z1786" s="817">
        <v>0</v>
      </c>
      <c r="AB1786" s="818"/>
      <c r="AC1786" s="818"/>
      <c r="AF1786" s="814" t="s">
        <v>7625</v>
      </c>
      <c r="AL1786" s="815"/>
      <c r="AP1786" s="814">
        <v>0</v>
      </c>
      <c r="AU1786" s="814">
        <v>1</v>
      </c>
      <c r="AV1786" s="17">
        <f t="shared" si="246"/>
        <v>0</v>
      </c>
    </row>
    <row r="1787" spans="1:49" s="814" customFormat="1" ht="24" x14ac:dyDescent="0.15">
      <c r="A1787" s="100">
        <v>39003</v>
      </c>
      <c r="B1787" s="100"/>
      <c r="C1787" s="100" t="s">
        <v>7627</v>
      </c>
      <c r="D1787" s="814">
        <v>6</v>
      </c>
      <c r="E1787" s="814">
        <v>0</v>
      </c>
      <c r="F1787" s="814">
        <v>1</v>
      </c>
      <c r="G1787" s="815">
        <v>1</v>
      </c>
      <c r="H1787" s="814">
        <v>200</v>
      </c>
      <c r="I1787" s="17">
        <v>0</v>
      </c>
      <c r="J1787" s="815"/>
      <c r="K1787" s="814">
        <v>1</v>
      </c>
      <c r="Q1787" s="816"/>
      <c r="R1787" s="816"/>
      <c r="S1787" s="816"/>
      <c r="T1787" s="816"/>
      <c r="Z1787" s="817">
        <v>0</v>
      </c>
      <c r="AB1787" s="818"/>
      <c r="AC1787" s="818"/>
      <c r="AF1787" s="814" t="s">
        <v>7625</v>
      </c>
      <c r="AL1787" s="815"/>
      <c r="AP1787" s="814">
        <v>0</v>
      </c>
      <c r="AU1787" s="814">
        <v>1</v>
      </c>
      <c r="AV1787" s="17">
        <f t="shared" si="246"/>
        <v>0</v>
      </c>
    </row>
    <row r="1788" spans="1:49" s="814" customFormat="1" ht="24" x14ac:dyDescent="0.15">
      <c r="A1788" s="100">
        <v>39004</v>
      </c>
      <c r="B1788" s="100"/>
      <c r="C1788" s="100" t="s">
        <v>8608</v>
      </c>
      <c r="D1788" s="814">
        <v>6</v>
      </c>
      <c r="E1788" s="814">
        <v>0</v>
      </c>
      <c r="F1788" s="814">
        <v>1</v>
      </c>
      <c r="G1788" s="815">
        <v>30</v>
      </c>
      <c r="H1788" s="814">
        <v>200</v>
      </c>
      <c r="I1788" s="17">
        <v>0</v>
      </c>
      <c r="J1788" s="815"/>
      <c r="K1788" s="814">
        <v>1</v>
      </c>
      <c r="Q1788" s="816"/>
      <c r="R1788" s="816"/>
      <c r="S1788" s="816"/>
      <c r="T1788" s="816"/>
      <c r="Z1788" s="817">
        <v>0</v>
      </c>
      <c r="AB1788" s="818"/>
      <c r="AC1788" s="818"/>
      <c r="AF1788" s="814" t="s">
        <v>7625</v>
      </c>
      <c r="AL1788" s="815"/>
      <c r="AP1788" s="814">
        <v>0</v>
      </c>
      <c r="AU1788" s="814">
        <v>0</v>
      </c>
      <c r="AV1788" s="17">
        <f t="shared" si="246"/>
        <v>0</v>
      </c>
    </row>
    <row r="1789" spans="1:49" s="814" customFormat="1" ht="24" x14ac:dyDescent="0.15">
      <c r="A1789" s="100">
        <v>39005</v>
      </c>
      <c r="B1789" s="100"/>
      <c r="C1789" s="100" t="s">
        <v>7628</v>
      </c>
      <c r="D1789" s="814">
        <v>6</v>
      </c>
      <c r="E1789" s="814">
        <v>0</v>
      </c>
      <c r="F1789" s="814">
        <v>1</v>
      </c>
      <c r="G1789" s="815">
        <v>1</v>
      </c>
      <c r="H1789" s="814">
        <v>200</v>
      </c>
      <c r="I1789" s="17">
        <v>0</v>
      </c>
      <c r="J1789" s="815"/>
      <c r="K1789" s="814">
        <v>1</v>
      </c>
      <c r="Q1789" s="816"/>
      <c r="R1789" s="816"/>
      <c r="S1789" s="816"/>
      <c r="T1789" s="816"/>
      <c r="Z1789" s="817">
        <v>0</v>
      </c>
      <c r="AB1789" s="818"/>
      <c r="AC1789" s="818"/>
      <c r="AF1789" s="814" t="s">
        <v>7625</v>
      </c>
      <c r="AL1789" s="815"/>
      <c r="AP1789" s="814">
        <v>0</v>
      </c>
      <c r="AU1789" s="814">
        <v>1</v>
      </c>
      <c r="AV1789" s="17">
        <f t="shared" si="246"/>
        <v>0</v>
      </c>
    </row>
    <row r="1790" spans="1:49" s="814" customFormat="1" x14ac:dyDescent="0.15">
      <c r="A1790" s="100">
        <v>39006</v>
      </c>
      <c r="B1790" s="100"/>
      <c r="C1790" s="100" t="s">
        <v>7629</v>
      </c>
      <c r="D1790" s="814">
        <v>6</v>
      </c>
      <c r="E1790" s="814">
        <v>0</v>
      </c>
      <c r="F1790" s="814">
        <v>1</v>
      </c>
      <c r="G1790" s="815">
        <v>22</v>
      </c>
      <c r="H1790" s="814">
        <v>200</v>
      </c>
      <c r="I1790" s="17">
        <v>0</v>
      </c>
      <c r="J1790" s="815"/>
      <c r="K1790" s="814">
        <v>1</v>
      </c>
      <c r="Q1790" s="816"/>
      <c r="R1790" s="816"/>
      <c r="S1790" s="816"/>
      <c r="T1790" s="816"/>
      <c r="Z1790" s="817">
        <v>0</v>
      </c>
      <c r="AB1790" s="818"/>
      <c r="AC1790" s="818"/>
      <c r="AF1790" s="814" t="s">
        <v>7625</v>
      </c>
      <c r="AL1790" s="815"/>
      <c r="AP1790" s="814">
        <v>0</v>
      </c>
      <c r="AU1790" s="814">
        <v>0</v>
      </c>
      <c r="AV1790" s="17">
        <f t="shared" si="246"/>
        <v>0</v>
      </c>
    </row>
    <row r="1791" spans="1:49" s="814" customFormat="1" x14ac:dyDescent="0.15">
      <c r="A1791" s="100">
        <v>39007</v>
      </c>
      <c r="B1791" s="100"/>
      <c r="C1791" s="100" t="s">
        <v>7630</v>
      </c>
      <c r="D1791" s="814">
        <v>6</v>
      </c>
      <c r="E1791" s="814">
        <v>0</v>
      </c>
      <c r="F1791" s="814">
        <v>1</v>
      </c>
      <c r="G1791" s="815">
        <v>41</v>
      </c>
      <c r="H1791" s="814">
        <v>200</v>
      </c>
      <c r="I1791" s="17">
        <v>0</v>
      </c>
      <c r="J1791" s="815"/>
      <c r="K1791" s="814">
        <v>1</v>
      </c>
      <c r="Q1791" s="816"/>
      <c r="R1791" s="816"/>
      <c r="S1791" s="816"/>
      <c r="T1791" s="816"/>
      <c r="Z1791" s="817">
        <v>0</v>
      </c>
      <c r="AB1791" s="818"/>
      <c r="AC1791" s="818"/>
      <c r="AF1791" s="814" t="s">
        <v>7625</v>
      </c>
      <c r="AL1791" s="815"/>
      <c r="AP1791" s="814">
        <v>0</v>
      </c>
      <c r="AU1791" s="814">
        <v>0</v>
      </c>
      <c r="AV1791" s="17">
        <f t="shared" si="246"/>
        <v>0</v>
      </c>
    </row>
    <row r="1792" spans="1:49" s="814" customFormat="1" x14ac:dyDescent="0.15">
      <c r="A1792" s="100">
        <v>39008</v>
      </c>
      <c r="B1792" s="100"/>
      <c r="C1792" s="100" t="s">
        <v>8609</v>
      </c>
      <c r="D1792" s="814">
        <v>6</v>
      </c>
      <c r="E1792" s="814">
        <v>0</v>
      </c>
      <c r="F1792" s="814">
        <v>1</v>
      </c>
      <c r="G1792" s="815">
        <v>1</v>
      </c>
      <c r="H1792" s="814">
        <v>200</v>
      </c>
      <c r="I1792" s="17">
        <v>0</v>
      </c>
      <c r="J1792" s="815"/>
      <c r="K1792" s="814">
        <v>1</v>
      </c>
      <c r="Q1792" s="816"/>
      <c r="R1792" s="816"/>
      <c r="S1792" s="816"/>
      <c r="T1792" s="816"/>
      <c r="Z1792" s="817">
        <v>0</v>
      </c>
      <c r="AB1792" s="818"/>
      <c r="AC1792" s="818"/>
      <c r="AF1792" s="814" t="s">
        <v>7625</v>
      </c>
      <c r="AL1792" s="815"/>
      <c r="AP1792" s="814">
        <v>0</v>
      </c>
      <c r="AU1792" s="814">
        <v>0</v>
      </c>
      <c r="AV1792" s="17">
        <f t="shared" ref="AV1792" si="247">IF(D1792 = 1,1,0)</f>
        <v>0</v>
      </c>
    </row>
    <row r="1793" spans="1:54" s="814" customFormat="1" x14ac:dyDescent="0.15">
      <c r="A1793" s="100">
        <v>39009</v>
      </c>
      <c r="B1793" s="100"/>
      <c r="C1793" s="100" t="s">
        <v>8610</v>
      </c>
      <c r="D1793" s="814">
        <v>6</v>
      </c>
      <c r="E1793" s="814">
        <v>0</v>
      </c>
      <c r="F1793" s="814">
        <v>1</v>
      </c>
      <c r="G1793" s="815">
        <v>35</v>
      </c>
      <c r="H1793" s="814">
        <v>200</v>
      </c>
      <c r="I1793" s="17">
        <v>0</v>
      </c>
      <c r="J1793" s="815"/>
      <c r="K1793" s="814">
        <v>1</v>
      </c>
      <c r="Q1793" s="816"/>
      <c r="R1793" s="816"/>
      <c r="S1793" s="816"/>
      <c r="T1793" s="816"/>
      <c r="Z1793" s="817">
        <v>0</v>
      </c>
      <c r="AB1793" s="818"/>
      <c r="AC1793" s="818"/>
      <c r="AF1793" s="814" t="s">
        <v>7625</v>
      </c>
      <c r="AL1793" s="815"/>
      <c r="AP1793" s="814">
        <v>0</v>
      </c>
      <c r="AU1793" s="814">
        <v>0</v>
      </c>
      <c r="AV1793" s="17">
        <f t="shared" ref="AV1793" si="248">IF(D1793 = 1,1,0)</f>
        <v>0</v>
      </c>
    </row>
    <row r="1794" spans="1:54" s="814" customFormat="1" x14ac:dyDescent="0.15">
      <c r="A1794" s="100">
        <v>39010</v>
      </c>
      <c r="B1794" s="100"/>
      <c r="C1794" s="100" t="s">
        <v>8660</v>
      </c>
      <c r="D1794" s="814">
        <v>6</v>
      </c>
      <c r="E1794" s="814">
        <v>0</v>
      </c>
      <c r="F1794" s="814">
        <v>1</v>
      </c>
      <c r="G1794" s="815">
        <v>35</v>
      </c>
      <c r="H1794" s="814">
        <v>200</v>
      </c>
      <c r="I1794" s="17">
        <v>0</v>
      </c>
      <c r="J1794" s="815"/>
      <c r="K1794" s="814">
        <v>1</v>
      </c>
      <c r="Q1794" s="816"/>
      <c r="R1794" s="816"/>
      <c r="S1794" s="816"/>
      <c r="T1794" s="816"/>
      <c r="Z1794" s="817">
        <v>0</v>
      </c>
      <c r="AB1794" s="818"/>
      <c r="AC1794" s="818"/>
      <c r="AF1794" s="814" t="s">
        <v>7625</v>
      </c>
      <c r="AL1794" s="815"/>
      <c r="AP1794" s="814">
        <v>0</v>
      </c>
      <c r="AU1794" s="814">
        <v>0</v>
      </c>
      <c r="AV1794" s="17">
        <f t="shared" ref="AV1794" si="249">IF(D1794 = 1,1,0)</f>
        <v>0</v>
      </c>
    </row>
    <row r="1795" spans="1:54" s="814" customFormat="1" x14ac:dyDescent="0.15">
      <c r="A1795" s="100">
        <v>39011</v>
      </c>
      <c r="B1795" s="100"/>
      <c r="C1795" s="100" t="s">
        <v>8709</v>
      </c>
      <c r="D1795" s="814">
        <v>6</v>
      </c>
      <c r="E1795" s="814">
        <v>0</v>
      </c>
      <c r="F1795" s="814">
        <v>1</v>
      </c>
      <c r="G1795" s="815">
        <v>35</v>
      </c>
      <c r="H1795" s="814">
        <v>200</v>
      </c>
      <c r="I1795" s="17">
        <v>0</v>
      </c>
      <c r="J1795" s="815"/>
      <c r="K1795" s="814">
        <v>1</v>
      </c>
      <c r="Q1795" s="816"/>
      <c r="R1795" s="816"/>
      <c r="S1795" s="816"/>
      <c r="T1795" s="816"/>
      <c r="Z1795" s="817">
        <v>0</v>
      </c>
      <c r="AB1795" s="818"/>
      <c r="AC1795" s="818"/>
      <c r="AF1795" s="814" t="s">
        <v>7625</v>
      </c>
      <c r="AL1795" s="815"/>
      <c r="AP1795" s="814">
        <v>0</v>
      </c>
      <c r="AU1795" s="814">
        <v>0</v>
      </c>
      <c r="AV1795" s="17">
        <f t="shared" ref="AV1795" si="250">IF(D1795 = 1,1,0)</f>
        <v>0</v>
      </c>
    </row>
    <row r="1796" spans="1:54" x14ac:dyDescent="0.15">
      <c r="A1796" s="686">
        <v>40001</v>
      </c>
      <c r="B1796" s="686"/>
      <c r="C1796" s="686" t="s">
        <v>3591</v>
      </c>
      <c r="D1796" s="814">
        <v>5</v>
      </c>
      <c r="E1796" s="809">
        <v>0</v>
      </c>
      <c r="F1796" s="809">
        <v>1</v>
      </c>
      <c r="G1796" s="810">
        <v>200</v>
      </c>
      <c r="H1796" s="809">
        <v>200</v>
      </c>
      <c r="I1796" s="17">
        <v>0</v>
      </c>
      <c r="J1796" s="810"/>
      <c r="K1796" s="809">
        <v>0</v>
      </c>
      <c r="L1796" s="809"/>
      <c r="M1796" s="809"/>
      <c r="N1796" s="809"/>
      <c r="O1796" s="809"/>
      <c r="P1796" s="809"/>
      <c r="Q1796" s="811"/>
      <c r="R1796" s="811"/>
      <c r="S1796" s="811"/>
      <c r="T1796" s="811"/>
      <c r="U1796" s="809"/>
      <c r="V1796" s="809"/>
      <c r="W1796" s="809"/>
      <c r="X1796" s="809"/>
      <c r="Y1796" s="809"/>
      <c r="Z1796" s="812">
        <v>0</v>
      </c>
      <c r="AA1796" s="809"/>
      <c r="AB1796" s="813"/>
      <c r="AC1796" s="813"/>
      <c r="AD1796" s="809"/>
      <c r="AE1796" s="809"/>
      <c r="AF1796" s="809" t="s">
        <v>3539</v>
      </c>
      <c r="AG1796" s="809"/>
      <c r="AH1796" s="809"/>
      <c r="AI1796" s="809"/>
      <c r="AJ1796" s="809"/>
      <c r="AK1796" s="809"/>
      <c r="AL1796" s="810"/>
      <c r="AM1796" s="809"/>
      <c r="AN1796" s="809"/>
      <c r="AO1796" s="809"/>
      <c r="AP1796" s="809">
        <v>0</v>
      </c>
      <c r="AQ1796" s="809"/>
      <c r="AR1796" s="809"/>
      <c r="AS1796" s="809"/>
      <c r="AT1796" s="809"/>
      <c r="AU1796" s="809">
        <v>0</v>
      </c>
      <c r="AV1796" s="17">
        <f t="shared" si="242"/>
        <v>0</v>
      </c>
      <c r="AW1796" s="809"/>
      <c r="AX1796" s="809"/>
      <c r="AY1796" s="809"/>
      <c r="AZ1796" s="809"/>
      <c r="BA1796" s="809"/>
      <c r="BB1796" s="809"/>
    </row>
    <row r="1797" spans="1:54" x14ac:dyDescent="0.15">
      <c r="A1797" s="686">
        <v>40002</v>
      </c>
      <c r="B1797" s="686"/>
      <c r="C1797" s="686" t="s">
        <v>3540</v>
      </c>
      <c r="D1797" s="814">
        <v>5</v>
      </c>
      <c r="E1797" s="809">
        <v>0</v>
      </c>
      <c r="F1797" s="809">
        <v>1</v>
      </c>
      <c r="G1797" s="810">
        <v>200</v>
      </c>
      <c r="H1797" s="809">
        <v>200</v>
      </c>
      <c r="I1797" s="17">
        <v>0</v>
      </c>
      <c r="J1797" s="810"/>
      <c r="K1797" s="809">
        <v>0</v>
      </c>
      <c r="L1797" s="809"/>
      <c r="M1797" s="809"/>
      <c r="N1797" s="809"/>
      <c r="O1797" s="809"/>
      <c r="P1797" s="809"/>
      <c r="Q1797" s="811"/>
      <c r="R1797" s="811"/>
      <c r="S1797" s="811"/>
      <c r="T1797" s="811"/>
      <c r="U1797" s="809"/>
      <c r="V1797" s="809"/>
      <c r="W1797" s="809"/>
      <c r="X1797" s="809"/>
      <c r="Y1797" s="809"/>
      <c r="Z1797" s="812">
        <v>0</v>
      </c>
      <c r="AA1797" s="809"/>
      <c r="AB1797" s="813"/>
      <c r="AC1797" s="813"/>
      <c r="AD1797" s="809"/>
      <c r="AE1797" s="809"/>
      <c r="AF1797" s="809" t="s">
        <v>3539</v>
      </c>
      <c r="AG1797" s="809"/>
      <c r="AH1797" s="809"/>
      <c r="AI1797" s="809"/>
      <c r="AJ1797" s="809"/>
      <c r="AK1797" s="809"/>
      <c r="AL1797" s="810"/>
      <c r="AM1797" s="809"/>
      <c r="AN1797" s="809"/>
      <c r="AO1797" s="809"/>
      <c r="AP1797" s="809">
        <v>0</v>
      </c>
      <c r="AQ1797" s="809"/>
      <c r="AR1797" s="809"/>
      <c r="AS1797" s="809"/>
      <c r="AT1797" s="809"/>
      <c r="AU1797" s="809">
        <v>0</v>
      </c>
      <c r="AV1797" s="17">
        <f t="shared" si="242"/>
        <v>0</v>
      </c>
      <c r="AW1797" s="809"/>
      <c r="AX1797" s="809"/>
      <c r="AY1797" s="809"/>
      <c r="AZ1797" s="809"/>
      <c r="BA1797" s="809"/>
      <c r="BB1797" s="809"/>
    </row>
    <row r="1798" spans="1:54" x14ac:dyDescent="0.15">
      <c r="A1798" s="686">
        <v>40003</v>
      </c>
      <c r="B1798" s="686"/>
      <c r="C1798" s="686" t="s">
        <v>4127</v>
      </c>
      <c r="D1798" s="814">
        <v>5</v>
      </c>
      <c r="E1798" s="809">
        <v>0</v>
      </c>
      <c r="F1798" s="809">
        <v>1</v>
      </c>
      <c r="G1798" s="810">
        <v>200</v>
      </c>
      <c r="H1798" s="809">
        <v>200</v>
      </c>
      <c r="I1798" s="17">
        <v>0</v>
      </c>
      <c r="J1798" s="810"/>
      <c r="K1798" s="809">
        <v>0</v>
      </c>
      <c r="L1798" s="809"/>
      <c r="M1798" s="809"/>
      <c r="N1798" s="809"/>
      <c r="O1798" s="809"/>
      <c r="P1798" s="809"/>
      <c r="Q1798" s="811"/>
      <c r="R1798" s="811"/>
      <c r="S1798" s="811"/>
      <c r="T1798" s="811"/>
      <c r="U1798" s="809"/>
      <c r="V1798" s="809"/>
      <c r="W1798" s="809"/>
      <c r="X1798" s="809"/>
      <c r="Y1798" s="809"/>
      <c r="Z1798" s="812">
        <v>0</v>
      </c>
      <c r="AA1798" s="809"/>
      <c r="AB1798" s="813"/>
      <c r="AC1798" s="813"/>
      <c r="AD1798" s="809"/>
      <c r="AE1798" s="809"/>
      <c r="AF1798" s="809" t="s">
        <v>3539</v>
      </c>
      <c r="AG1798" s="809"/>
      <c r="AH1798" s="809"/>
      <c r="AI1798" s="809"/>
      <c r="AJ1798" s="809"/>
      <c r="AK1798" s="809"/>
      <c r="AL1798" s="810"/>
      <c r="AM1798" s="809"/>
      <c r="AN1798" s="809"/>
      <c r="AO1798" s="809"/>
      <c r="AP1798" s="809">
        <v>0</v>
      </c>
      <c r="AQ1798" s="809"/>
      <c r="AR1798" s="809"/>
      <c r="AS1798" s="809"/>
      <c r="AT1798" s="809"/>
      <c r="AU1798" s="809">
        <v>0</v>
      </c>
      <c r="AV1798" s="17">
        <f t="shared" si="242"/>
        <v>0</v>
      </c>
      <c r="AW1798" s="809"/>
      <c r="AX1798" s="809"/>
      <c r="AY1798" s="809"/>
      <c r="AZ1798" s="809"/>
      <c r="BA1798" s="809"/>
      <c r="BB1798" s="809"/>
    </row>
    <row r="1799" spans="1:54" x14ac:dyDescent="0.15">
      <c r="A1799" s="686">
        <v>40004</v>
      </c>
      <c r="B1799" s="686"/>
      <c r="C1799" s="686" t="s">
        <v>3541</v>
      </c>
      <c r="D1799" s="814">
        <v>5</v>
      </c>
      <c r="E1799" s="809">
        <v>0</v>
      </c>
      <c r="F1799" s="809">
        <v>1</v>
      </c>
      <c r="G1799" s="810">
        <v>200</v>
      </c>
      <c r="H1799" s="809">
        <v>200</v>
      </c>
      <c r="I1799" s="17">
        <v>0</v>
      </c>
      <c r="J1799" s="810"/>
      <c r="K1799" s="809">
        <v>0</v>
      </c>
      <c r="L1799" s="809"/>
      <c r="M1799" s="809"/>
      <c r="N1799" s="809"/>
      <c r="O1799" s="809"/>
      <c r="P1799" s="809"/>
      <c r="Q1799" s="811"/>
      <c r="R1799" s="811"/>
      <c r="S1799" s="811"/>
      <c r="T1799" s="811"/>
      <c r="U1799" s="809"/>
      <c r="V1799" s="809"/>
      <c r="W1799" s="809"/>
      <c r="X1799" s="809"/>
      <c r="Y1799" s="809"/>
      <c r="Z1799" s="812">
        <v>0</v>
      </c>
      <c r="AA1799" s="809"/>
      <c r="AB1799" s="813"/>
      <c r="AC1799" s="813"/>
      <c r="AD1799" s="809"/>
      <c r="AE1799" s="809"/>
      <c r="AF1799" s="809" t="s">
        <v>3539</v>
      </c>
      <c r="AG1799" s="809"/>
      <c r="AH1799" s="809"/>
      <c r="AI1799" s="809"/>
      <c r="AJ1799" s="809"/>
      <c r="AK1799" s="809"/>
      <c r="AL1799" s="810"/>
      <c r="AM1799" s="809"/>
      <c r="AN1799" s="809"/>
      <c r="AO1799" s="809"/>
      <c r="AP1799" s="809">
        <v>0</v>
      </c>
      <c r="AQ1799" s="809"/>
      <c r="AR1799" s="809"/>
      <c r="AS1799" s="809"/>
      <c r="AT1799" s="809"/>
      <c r="AU1799" s="809">
        <v>0</v>
      </c>
      <c r="AV1799" s="17">
        <f t="shared" si="242"/>
        <v>0</v>
      </c>
      <c r="AW1799" s="809"/>
      <c r="AX1799" s="809"/>
      <c r="AY1799" s="809"/>
      <c r="AZ1799" s="809"/>
      <c r="BA1799" s="809"/>
      <c r="BB1799" s="809"/>
    </row>
    <row r="1800" spans="1:54" x14ac:dyDescent="0.15">
      <c r="A1800" s="686">
        <v>40005</v>
      </c>
      <c r="B1800" s="686"/>
      <c r="C1800" s="686" t="s">
        <v>3542</v>
      </c>
      <c r="D1800" s="814">
        <v>5</v>
      </c>
      <c r="E1800" s="809">
        <v>0</v>
      </c>
      <c r="F1800" s="809">
        <v>1</v>
      </c>
      <c r="G1800" s="810">
        <v>200</v>
      </c>
      <c r="H1800" s="809">
        <v>200</v>
      </c>
      <c r="I1800" s="17">
        <v>0</v>
      </c>
      <c r="J1800" s="810"/>
      <c r="K1800" s="809">
        <v>0</v>
      </c>
      <c r="L1800" s="809"/>
      <c r="M1800" s="809"/>
      <c r="N1800" s="809"/>
      <c r="O1800" s="809"/>
      <c r="P1800" s="809"/>
      <c r="Q1800" s="811"/>
      <c r="R1800" s="811"/>
      <c r="S1800" s="811"/>
      <c r="T1800" s="811"/>
      <c r="U1800" s="809"/>
      <c r="V1800" s="809"/>
      <c r="W1800" s="809"/>
      <c r="X1800" s="809"/>
      <c r="Y1800" s="809"/>
      <c r="Z1800" s="812">
        <v>0</v>
      </c>
      <c r="AA1800" s="809"/>
      <c r="AB1800" s="813"/>
      <c r="AC1800" s="813"/>
      <c r="AD1800" s="809"/>
      <c r="AE1800" s="809"/>
      <c r="AF1800" s="809" t="s">
        <v>3539</v>
      </c>
      <c r="AG1800" s="809"/>
      <c r="AH1800" s="809"/>
      <c r="AI1800" s="809"/>
      <c r="AJ1800" s="809"/>
      <c r="AK1800" s="809"/>
      <c r="AL1800" s="810"/>
      <c r="AM1800" s="809"/>
      <c r="AN1800" s="809"/>
      <c r="AO1800" s="809"/>
      <c r="AP1800" s="809">
        <v>0</v>
      </c>
      <c r="AQ1800" s="809"/>
      <c r="AR1800" s="809"/>
      <c r="AS1800" s="809"/>
      <c r="AT1800" s="809"/>
      <c r="AU1800" s="809">
        <v>0</v>
      </c>
      <c r="AV1800" s="17">
        <f t="shared" si="242"/>
        <v>0</v>
      </c>
      <c r="AW1800" s="809"/>
      <c r="AX1800" s="809"/>
      <c r="AY1800" s="809"/>
      <c r="AZ1800" s="809"/>
      <c r="BA1800" s="809"/>
      <c r="BB1800" s="809"/>
    </row>
    <row r="1801" spans="1:54" x14ac:dyDescent="0.15">
      <c r="A1801" s="686">
        <v>40006</v>
      </c>
      <c r="B1801" s="686"/>
      <c r="C1801" s="686" t="s">
        <v>3543</v>
      </c>
      <c r="D1801" s="814">
        <v>5</v>
      </c>
      <c r="E1801" s="809">
        <v>0</v>
      </c>
      <c r="F1801" s="809">
        <v>1</v>
      </c>
      <c r="G1801" s="810">
        <v>200</v>
      </c>
      <c r="H1801" s="809">
        <v>200</v>
      </c>
      <c r="I1801" s="17">
        <v>0</v>
      </c>
      <c r="J1801" s="810"/>
      <c r="K1801" s="809">
        <v>0</v>
      </c>
      <c r="L1801" s="809"/>
      <c r="M1801" s="809"/>
      <c r="N1801" s="809"/>
      <c r="O1801" s="809"/>
      <c r="P1801" s="809"/>
      <c r="Q1801" s="811"/>
      <c r="R1801" s="811"/>
      <c r="S1801" s="811"/>
      <c r="T1801" s="811"/>
      <c r="U1801" s="809"/>
      <c r="V1801" s="809"/>
      <c r="W1801" s="809"/>
      <c r="X1801" s="809"/>
      <c r="Y1801" s="809"/>
      <c r="Z1801" s="812">
        <v>0</v>
      </c>
      <c r="AA1801" s="809"/>
      <c r="AB1801" s="813"/>
      <c r="AC1801" s="813"/>
      <c r="AD1801" s="809"/>
      <c r="AE1801" s="809"/>
      <c r="AF1801" s="809" t="s">
        <v>3539</v>
      </c>
      <c r="AG1801" s="809"/>
      <c r="AH1801" s="809"/>
      <c r="AI1801" s="809"/>
      <c r="AJ1801" s="809"/>
      <c r="AK1801" s="809"/>
      <c r="AL1801" s="810"/>
      <c r="AM1801" s="809"/>
      <c r="AN1801" s="809"/>
      <c r="AO1801" s="809"/>
      <c r="AP1801" s="809">
        <v>0</v>
      </c>
      <c r="AQ1801" s="809"/>
      <c r="AR1801" s="809"/>
      <c r="AS1801" s="809"/>
      <c r="AT1801" s="809"/>
      <c r="AU1801" s="809">
        <v>0</v>
      </c>
      <c r="AV1801" s="17">
        <f t="shared" si="242"/>
        <v>0</v>
      </c>
      <c r="AW1801" s="809"/>
      <c r="AX1801" s="809"/>
      <c r="AY1801" s="809"/>
      <c r="AZ1801" s="809"/>
      <c r="BA1801" s="809"/>
      <c r="BB1801" s="809"/>
    </row>
    <row r="1802" spans="1:54" x14ac:dyDescent="0.15">
      <c r="A1802" s="686">
        <v>40007</v>
      </c>
      <c r="B1802" s="686"/>
      <c r="C1802" s="686" t="s">
        <v>4134</v>
      </c>
      <c r="D1802" s="814">
        <v>5</v>
      </c>
      <c r="E1802" s="809">
        <v>0</v>
      </c>
      <c r="F1802" s="809">
        <v>1</v>
      </c>
      <c r="G1802" s="810">
        <v>200</v>
      </c>
      <c r="H1802" s="809">
        <v>200</v>
      </c>
      <c r="I1802" s="17">
        <v>0</v>
      </c>
      <c r="J1802" s="810"/>
      <c r="K1802" s="809">
        <v>0</v>
      </c>
      <c r="L1802" s="809"/>
      <c r="M1802" s="809"/>
      <c r="N1802" s="809"/>
      <c r="O1802" s="809"/>
      <c r="P1802" s="809"/>
      <c r="Q1802" s="811"/>
      <c r="R1802" s="811"/>
      <c r="S1802" s="811"/>
      <c r="T1802" s="811"/>
      <c r="U1802" s="809"/>
      <c r="V1802" s="809"/>
      <c r="W1802" s="809"/>
      <c r="X1802" s="809"/>
      <c r="Y1802" s="809"/>
      <c r="Z1802" s="812">
        <v>0</v>
      </c>
      <c r="AA1802" s="809"/>
      <c r="AB1802" s="813"/>
      <c r="AC1802" s="813"/>
      <c r="AD1802" s="809"/>
      <c r="AE1802" s="809"/>
      <c r="AF1802" s="809" t="s">
        <v>3539</v>
      </c>
      <c r="AG1802" s="809"/>
      <c r="AH1802" s="809"/>
      <c r="AI1802" s="809"/>
      <c r="AJ1802" s="809"/>
      <c r="AK1802" s="809"/>
      <c r="AL1802" s="810"/>
      <c r="AM1802" s="809"/>
      <c r="AN1802" s="809"/>
      <c r="AO1802" s="809"/>
      <c r="AP1802" s="809">
        <v>0</v>
      </c>
      <c r="AQ1802" s="809"/>
      <c r="AR1802" s="809"/>
      <c r="AS1802" s="809"/>
      <c r="AT1802" s="809"/>
      <c r="AU1802" s="809">
        <v>0</v>
      </c>
      <c r="AV1802" s="17">
        <f t="shared" si="242"/>
        <v>0</v>
      </c>
      <c r="AW1802" s="809"/>
      <c r="AX1802" s="809"/>
      <c r="AY1802" s="809"/>
      <c r="AZ1802" s="809"/>
      <c r="BA1802" s="809"/>
      <c r="BB1802" s="809"/>
    </row>
    <row r="1803" spans="1:54" x14ac:dyDescent="0.15">
      <c r="A1803" s="686">
        <v>40008</v>
      </c>
      <c r="B1803" s="686"/>
      <c r="C1803" s="686" t="s">
        <v>3544</v>
      </c>
      <c r="D1803" s="814">
        <v>5</v>
      </c>
      <c r="E1803" s="809">
        <v>0</v>
      </c>
      <c r="F1803" s="809">
        <v>1</v>
      </c>
      <c r="G1803" s="810">
        <v>200</v>
      </c>
      <c r="H1803" s="809">
        <v>200</v>
      </c>
      <c r="I1803" s="17">
        <v>0</v>
      </c>
      <c r="J1803" s="810"/>
      <c r="K1803" s="809">
        <v>0</v>
      </c>
      <c r="L1803" s="809"/>
      <c r="M1803" s="809"/>
      <c r="N1803" s="809"/>
      <c r="O1803" s="809"/>
      <c r="P1803" s="809"/>
      <c r="Q1803" s="811"/>
      <c r="R1803" s="811"/>
      <c r="S1803" s="811"/>
      <c r="T1803" s="811"/>
      <c r="U1803" s="809"/>
      <c r="V1803" s="809"/>
      <c r="W1803" s="809"/>
      <c r="X1803" s="809"/>
      <c r="Y1803" s="809"/>
      <c r="Z1803" s="812">
        <v>0</v>
      </c>
      <c r="AA1803" s="809"/>
      <c r="AB1803" s="813"/>
      <c r="AC1803" s="813"/>
      <c r="AD1803" s="809"/>
      <c r="AE1803" s="809"/>
      <c r="AF1803" s="809" t="s">
        <v>3539</v>
      </c>
      <c r="AG1803" s="809"/>
      <c r="AH1803" s="809"/>
      <c r="AI1803" s="809"/>
      <c r="AJ1803" s="809"/>
      <c r="AK1803" s="809"/>
      <c r="AL1803" s="810"/>
      <c r="AM1803" s="809"/>
      <c r="AN1803" s="809"/>
      <c r="AO1803" s="809"/>
      <c r="AP1803" s="809">
        <v>0</v>
      </c>
      <c r="AQ1803" s="809"/>
      <c r="AR1803" s="809"/>
      <c r="AS1803" s="809"/>
      <c r="AT1803" s="809"/>
      <c r="AU1803" s="809">
        <v>0</v>
      </c>
      <c r="AV1803" s="17">
        <f t="shared" si="242"/>
        <v>0</v>
      </c>
      <c r="AW1803" s="809"/>
      <c r="AX1803" s="809"/>
      <c r="AY1803" s="809"/>
      <c r="AZ1803" s="809"/>
      <c r="BA1803" s="809"/>
      <c r="BB1803" s="809"/>
    </row>
    <row r="1804" spans="1:54" x14ac:dyDescent="0.15">
      <c r="A1804" s="686">
        <v>40009</v>
      </c>
      <c r="B1804" s="686"/>
      <c r="C1804" s="686" t="s">
        <v>3545</v>
      </c>
      <c r="D1804" s="814">
        <v>5</v>
      </c>
      <c r="E1804" s="809">
        <v>0</v>
      </c>
      <c r="F1804" s="809">
        <v>1</v>
      </c>
      <c r="G1804" s="810">
        <v>200</v>
      </c>
      <c r="H1804" s="809">
        <v>200</v>
      </c>
      <c r="I1804" s="17">
        <v>0</v>
      </c>
      <c r="J1804" s="810"/>
      <c r="K1804" s="809">
        <v>0</v>
      </c>
      <c r="L1804" s="809"/>
      <c r="M1804" s="809"/>
      <c r="N1804" s="809"/>
      <c r="O1804" s="809"/>
      <c r="P1804" s="809"/>
      <c r="Q1804" s="811"/>
      <c r="R1804" s="811"/>
      <c r="S1804" s="811"/>
      <c r="T1804" s="811"/>
      <c r="U1804" s="809"/>
      <c r="V1804" s="809"/>
      <c r="W1804" s="809"/>
      <c r="X1804" s="809"/>
      <c r="Y1804" s="809"/>
      <c r="Z1804" s="812">
        <v>0</v>
      </c>
      <c r="AA1804" s="809"/>
      <c r="AB1804" s="813"/>
      <c r="AC1804" s="813"/>
      <c r="AD1804" s="809"/>
      <c r="AE1804" s="809"/>
      <c r="AF1804" s="809" t="s">
        <v>3539</v>
      </c>
      <c r="AG1804" s="809"/>
      <c r="AH1804" s="809"/>
      <c r="AI1804" s="809"/>
      <c r="AJ1804" s="809"/>
      <c r="AK1804" s="809"/>
      <c r="AL1804" s="810"/>
      <c r="AM1804" s="809"/>
      <c r="AN1804" s="809"/>
      <c r="AO1804" s="809"/>
      <c r="AP1804" s="809">
        <v>0</v>
      </c>
      <c r="AQ1804" s="809"/>
      <c r="AR1804" s="809"/>
      <c r="AS1804" s="809"/>
      <c r="AT1804" s="809"/>
      <c r="AU1804" s="809">
        <v>0</v>
      </c>
      <c r="AV1804" s="17">
        <f t="shared" si="242"/>
        <v>0</v>
      </c>
      <c r="AW1804" s="809"/>
      <c r="AX1804" s="809"/>
      <c r="AY1804" s="809"/>
      <c r="AZ1804" s="809"/>
      <c r="BA1804" s="809"/>
      <c r="BB1804" s="809"/>
    </row>
    <row r="1805" spans="1:54" x14ac:dyDescent="0.15">
      <c r="A1805" s="686">
        <v>40010</v>
      </c>
      <c r="B1805" s="686"/>
      <c r="C1805" s="686" t="s">
        <v>3546</v>
      </c>
      <c r="D1805" s="814">
        <v>5</v>
      </c>
      <c r="E1805" s="809">
        <v>0</v>
      </c>
      <c r="F1805" s="809">
        <v>1</v>
      </c>
      <c r="G1805" s="810">
        <v>200</v>
      </c>
      <c r="H1805" s="809">
        <v>200</v>
      </c>
      <c r="I1805" s="17">
        <v>0</v>
      </c>
      <c r="J1805" s="810"/>
      <c r="K1805" s="809">
        <v>0</v>
      </c>
      <c r="L1805" s="809"/>
      <c r="M1805" s="809"/>
      <c r="N1805" s="809"/>
      <c r="O1805" s="809"/>
      <c r="P1805" s="809"/>
      <c r="Q1805" s="811"/>
      <c r="R1805" s="811"/>
      <c r="S1805" s="811"/>
      <c r="T1805" s="811"/>
      <c r="U1805" s="809"/>
      <c r="V1805" s="809"/>
      <c r="W1805" s="809"/>
      <c r="X1805" s="809"/>
      <c r="Y1805" s="809"/>
      <c r="Z1805" s="812">
        <v>0</v>
      </c>
      <c r="AA1805" s="809"/>
      <c r="AB1805" s="813"/>
      <c r="AC1805" s="813"/>
      <c r="AD1805" s="809"/>
      <c r="AE1805" s="809"/>
      <c r="AF1805" s="809" t="s">
        <v>3539</v>
      </c>
      <c r="AG1805" s="809"/>
      <c r="AH1805" s="809"/>
      <c r="AI1805" s="809"/>
      <c r="AJ1805" s="809"/>
      <c r="AK1805" s="809"/>
      <c r="AL1805" s="810"/>
      <c r="AM1805" s="809"/>
      <c r="AN1805" s="809"/>
      <c r="AO1805" s="809"/>
      <c r="AP1805" s="809">
        <v>0</v>
      </c>
      <c r="AQ1805" s="809"/>
      <c r="AR1805" s="809"/>
      <c r="AS1805" s="809"/>
      <c r="AT1805" s="809"/>
      <c r="AU1805" s="809">
        <v>0</v>
      </c>
      <c r="AV1805" s="17">
        <f t="shared" si="242"/>
        <v>0</v>
      </c>
      <c r="AW1805" s="809"/>
      <c r="AX1805" s="809"/>
      <c r="AY1805" s="809"/>
      <c r="AZ1805" s="809"/>
      <c r="BA1805" s="809"/>
      <c r="BB1805" s="809"/>
    </row>
    <row r="1806" spans="1:54" s="814" customFormat="1" x14ac:dyDescent="0.15">
      <c r="A1806" s="100">
        <v>40011</v>
      </c>
      <c r="B1806" s="100"/>
      <c r="C1806" s="100" t="s">
        <v>4448</v>
      </c>
      <c r="D1806" s="814">
        <v>5</v>
      </c>
      <c r="E1806" s="814">
        <v>0</v>
      </c>
      <c r="F1806" s="814">
        <v>1</v>
      </c>
      <c r="G1806" s="810">
        <v>200</v>
      </c>
      <c r="H1806" s="814">
        <v>200</v>
      </c>
      <c r="I1806" s="17">
        <v>0</v>
      </c>
      <c r="J1806" s="815"/>
      <c r="K1806" s="814">
        <v>0</v>
      </c>
      <c r="Q1806" s="816"/>
      <c r="R1806" s="816"/>
      <c r="S1806" s="816"/>
      <c r="T1806" s="816"/>
      <c r="Z1806" s="817">
        <v>0</v>
      </c>
      <c r="AB1806" s="818"/>
      <c r="AC1806" s="818"/>
      <c r="AF1806" s="814" t="s">
        <v>3539</v>
      </c>
      <c r="AL1806" s="815"/>
      <c r="AP1806" s="814">
        <v>0</v>
      </c>
      <c r="AU1806" s="814">
        <v>1</v>
      </c>
      <c r="AV1806" s="17">
        <f t="shared" si="242"/>
        <v>0</v>
      </c>
    </row>
    <row r="1807" spans="1:54" s="814" customFormat="1" x14ac:dyDescent="0.15">
      <c r="A1807" s="100">
        <v>40012</v>
      </c>
      <c r="B1807" s="100"/>
      <c r="C1807" s="100" t="s">
        <v>4451</v>
      </c>
      <c r="D1807" s="814">
        <v>5</v>
      </c>
      <c r="E1807" s="814">
        <v>0</v>
      </c>
      <c r="F1807" s="814">
        <v>1</v>
      </c>
      <c r="G1807" s="810">
        <v>200</v>
      </c>
      <c r="H1807" s="814">
        <v>200</v>
      </c>
      <c r="I1807" s="17">
        <v>0</v>
      </c>
      <c r="J1807" s="815"/>
      <c r="K1807" s="814">
        <v>0</v>
      </c>
      <c r="Q1807" s="816"/>
      <c r="R1807" s="816"/>
      <c r="S1807" s="816"/>
      <c r="T1807" s="816"/>
      <c r="Z1807" s="817">
        <v>0</v>
      </c>
      <c r="AB1807" s="818"/>
      <c r="AC1807" s="818"/>
      <c r="AF1807" s="814" t="s">
        <v>3539</v>
      </c>
      <c r="AL1807" s="815"/>
      <c r="AP1807" s="814">
        <v>0</v>
      </c>
      <c r="AU1807" s="814">
        <v>0</v>
      </c>
      <c r="AV1807" s="17">
        <f t="shared" si="242"/>
        <v>0</v>
      </c>
    </row>
    <row r="1808" spans="1:54" x14ac:dyDescent="0.15">
      <c r="A1808" s="686">
        <v>40013</v>
      </c>
      <c r="B1808" s="686"/>
      <c r="C1808" s="686" t="s">
        <v>3685</v>
      </c>
      <c r="D1808" s="814">
        <v>5</v>
      </c>
      <c r="E1808" s="809">
        <v>0</v>
      </c>
      <c r="F1808" s="809">
        <v>1</v>
      </c>
      <c r="G1808" s="810">
        <v>200</v>
      </c>
      <c r="H1808" s="809">
        <v>200</v>
      </c>
      <c r="I1808" s="17">
        <v>0</v>
      </c>
      <c r="J1808" s="810"/>
      <c r="K1808" s="809">
        <v>0</v>
      </c>
      <c r="L1808" s="809"/>
      <c r="M1808" s="809"/>
      <c r="N1808" s="809"/>
      <c r="O1808" s="809"/>
      <c r="P1808" s="809"/>
      <c r="Q1808" s="811"/>
      <c r="R1808" s="811"/>
      <c r="S1808" s="811"/>
      <c r="T1808" s="811"/>
      <c r="U1808" s="809"/>
      <c r="V1808" s="809"/>
      <c r="W1808" s="809"/>
      <c r="X1808" s="809"/>
      <c r="Y1808" s="809"/>
      <c r="Z1808" s="812">
        <v>0</v>
      </c>
      <c r="AA1808" s="809"/>
      <c r="AB1808" s="813"/>
      <c r="AC1808" s="813"/>
      <c r="AD1808" s="809"/>
      <c r="AE1808" s="809"/>
      <c r="AF1808" s="809" t="s">
        <v>3539</v>
      </c>
      <c r="AG1808" s="809"/>
      <c r="AH1808" s="809"/>
      <c r="AI1808" s="809"/>
      <c r="AJ1808" s="809"/>
      <c r="AK1808" s="809"/>
      <c r="AL1808" s="810"/>
      <c r="AM1808" s="809"/>
      <c r="AN1808" s="809"/>
      <c r="AO1808" s="809"/>
      <c r="AP1808" s="809">
        <v>0</v>
      </c>
      <c r="AQ1808" s="809"/>
      <c r="AR1808" s="809"/>
      <c r="AS1808" s="809"/>
      <c r="AT1808" s="809"/>
      <c r="AU1808" s="809">
        <v>1</v>
      </c>
      <c r="AV1808" s="17">
        <f t="shared" si="242"/>
        <v>0</v>
      </c>
      <c r="AW1808" s="809"/>
      <c r="AX1808" s="809"/>
      <c r="AY1808" s="809"/>
      <c r="AZ1808" s="809"/>
      <c r="BA1808" s="809"/>
      <c r="BB1808" s="809"/>
    </row>
    <row r="1809" spans="1:54" x14ac:dyDescent="0.15">
      <c r="A1809" s="686">
        <v>41001</v>
      </c>
      <c r="B1809" s="686"/>
      <c r="C1809" s="686" t="s">
        <v>3547</v>
      </c>
      <c r="D1809" s="814">
        <v>5</v>
      </c>
      <c r="E1809" s="809">
        <v>0</v>
      </c>
      <c r="F1809" s="809">
        <v>1</v>
      </c>
      <c r="G1809" s="810">
        <v>200</v>
      </c>
      <c r="H1809" s="809">
        <v>200</v>
      </c>
      <c r="I1809" s="17">
        <v>0</v>
      </c>
      <c r="J1809" s="810"/>
      <c r="K1809" s="809">
        <v>0</v>
      </c>
      <c r="L1809" s="809"/>
      <c r="M1809" s="809"/>
      <c r="N1809" s="809"/>
      <c r="O1809" s="809"/>
      <c r="P1809" s="809"/>
      <c r="Q1809" s="811"/>
      <c r="R1809" s="811"/>
      <c r="S1809" s="811"/>
      <c r="T1809" s="811"/>
      <c r="U1809" s="809"/>
      <c r="V1809" s="809"/>
      <c r="W1809" s="809"/>
      <c r="X1809" s="809"/>
      <c r="Y1809" s="809"/>
      <c r="Z1809" s="812">
        <v>0</v>
      </c>
      <c r="AA1809" s="809"/>
      <c r="AB1809" s="813"/>
      <c r="AC1809" s="813"/>
      <c r="AD1809" s="809"/>
      <c r="AE1809" s="809"/>
      <c r="AF1809" s="809" t="s">
        <v>3539</v>
      </c>
      <c r="AG1809" s="809"/>
      <c r="AH1809" s="809"/>
      <c r="AI1809" s="809"/>
      <c r="AJ1809" s="809"/>
      <c r="AK1809" s="809"/>
      <c r="AL1809" s="810"/>
      <c r="AM1809" s="809"/>
      <c r="AN1809" s="809"/>
      <c r="AO1809" s="809"/>
      <c r="AP1809" s="809">
        <v>0</v>
      </c>
      <c r="AQ1809" s="809"/>
      <c r="AR1809" s="809"/>
      <c r="AS1809" s="809"/>
      <c r="AT1809" s="809"/>
      <c r="AU1809" s="809">
        <v>0</v>
      </c>
      <c r="AV1809" s="17">
        <f t="shared" si="242"/>
        <v>0</v>
      </c>
      <c r="AW1809" s="809"/>
      <c r="AX1809" s="809"/>
      <c r="AY1809" s="809"/>
      <c r="AZ1809" s="809"/>
      <c r="BA1809" s="809"/>
      <c r="BB1809" s="809"/>
    </row>
    <row r="1810" spans="1:54" x14ac:dyDescent="0.15">
      <c r="A1810" s="686">
        <v>41002</v>
      </c>
      <c r="B1810" s="686"/>
      <c r="C1810" s="686" t="s">
        <v>3548</v>
      </c>
      <c r="D1810" s="814">
        <v>5</v>
      </c>
      <c r="E1810" s="809">
        <v>0</v>
      </c>
      <c r="F1810" s="809">
        <v>1</v>
      </c>
      <c r="G1810" s="810">
        <v>200</v>
      </c>
      <c r="H1810" s="809">
        <v>200</v>
      </c>
      <c r="I1810" s="17">
        <v>0</v>
      </c>
      <c r="J1810" s="810"/>
      <c r="K1810" s="809">
        <v>0</v>
      </c>
      <c r="L1810" s="809"/>
      <c r="M1810" s="809"/>
      <c r="N1810" s="809"/>
      <c r="O1810" s="809"/>
      <c r="P1810" s="809"/>
      <c r="Q1810" s="811"/>
      <c r="R1810" s="811"/>
      <c r="S1810" s="811"/>
      <c r="T1810" s="811"/>
      <c r="U1810" s="809"/>
      <c r="V1810" s="809"/>
      <c r="W1810" s="809"/>
      <c r="X1810" s="809"/>
      <c r="Y1810" s="809"/>
      <c r="Z1810" s="812">
        <v>0</v>
      </c>
      <c r="AA1810" s="809"/>
      <c r="AB1810" s="813"/>
      <c r="AC1810" s="813"/>
      <c r="AD1810" s="809"/>
      <c r="AE1810" s="809"/>
      <c r="AF1810" s="809" t="s">
        <v>3539</v>
      </c>
      <c r="AG1810" s="809"/>
      <c r="AH1810" s="809"/>
      <c r="AI1810" s="809"/>
      <c r="AJ1810" s="809"/>
      <c r="AK1810" s="809"/>
      <c r="AL1810" s="810"/>
      <c r="AM1810" s="809"/>
      <c r="AN1810" s="809"/>
      <c r="AO1810" s="809"/>
      <c r="AP1810" s="809">
        <v>0</v>
      </c>
      <c r="AQ1810" s="809"/>
      <c r="AR1810" s="809"/>
      <c r="AS1810" s="809"/>
      <c r="AT1810" s="809"/>
      <c r="AU1810" s="809">
        <v>0</v>
      </c>
      <c r="AV1810" s="17">
        <f t="shared" si="242"/>
        <v>0</v>
      </c>
      <c r="AW1810" s="809"/>
      <c r="AX1810" s="809"/>
      <c r="AY1810" s="809"/>
      <c r="AZ1810" s="809"/>
      <c r="BA1810" s="809"/>
      <c r="BB1810" s="809"/>
    </row>
    <row r="1811" spans="1:54" x14ac:dyDescent="0.15">
      <c r="A1811" s="686">
        <v>41003</v>
      </c>
      <c r="B1811" s="686"/>
      <c r="C1811" s="686" t="s">
        <v>3549</v>
      </c>
      <c r="D1811" s="814">
        <v>5</v>
      </c>
      <c r="E1811" s="809">
        <v>0</v>
      </c>
      <c r="F1811" s="809">
        <v>1</v>
      </c>
      <c r="G1811" s="810">
        <v>200</v>
      </c>
      <c r="H1811" s="809">
        <v>200</v>
      </c>
      <c r="I1811" s="17">
        <v>0</v>
      </c>
      <c r="J1811" s="810"/>
      <c r="K1811" s="809">
        <v>0</v>
      </c>
      <c r="L1811" s="809"/>
      <c r="M1811" s="809"/>
      <c r="N1811" s="809"/>
      <c r="O1811" s="809"/>
      <c r="P1811" s="809"/>
      <c r="Q1811" s="811"/>
      <c r="R1811" s="811"/>
      <c r="S1811" s="811"/>
      <c r="T1811" s="811"/>
      <c r="U1811" s="809"/>
      <c r="V1811" s="809"/>
      <c r="W1811" s="809"/>
      <c r="X1811" s="809"/>
      <c r="Y1811" s="809"/>
      <c r="Z1811" s="812">
        <v>0</v>
      </c>
      <c r="AA1811" s="809"/>
      <c r="AB1811" s="813"/>
      <c r="AC1811" s="813"/>
      <c r="AD1811" s="809"/>
      <c r="AE1811" s="809"/>
      <c r="AF1811" s="809" t="s">
        <v>3539</v>
      </c>
      <c r="AG1811" s="809"/>
      <c r="AH1811" s="809"/>
      <c r="AI1811" s="809"/>
      <c r="AJ1811" s="809"/>
      <c r="AK1811" s="809"/>
      <c r="AL1811" s="810"/>
      <c r="AM1811" s="809"/>
      <c r="AN1811" s="809"/>
      <c r="AO1811" s="809"/>
      <c r="AP1811" s="809">
        <v>0</v>
      </c>
      <c r="AQ1811" s="809"/>
      <c r="AR1811" s="809"/>
      <c r="AS1811" s="809"/>
      <c r="AT1811" s="809"/>
      <c r="AU1811" s="809">
        <v>0</v>
      </c>
      <c r="AV1811" s="17">
        <f t="shared" si="242"/>
        <v>0</v>
      </c>
      <c r="AW1811" s="809"/>
      <c r="AX1811" s="809"/>
      <c r="AY1811" s="809"/>
      <c r="AZ1811" s="809"/>
      <c r="BA1811" s="809"/>
      <c r="BB1811" s="809"/>
    </row>
    <row r="1812" spans="1:54" x14ac:dyDescent="0.15">
      <c r="A1812" s="686">
        <v>41004</v>
      </c>
      <c r="B1812" s="686"/>
      <c r="C1812" s="686" t="s">
        <v>3550</v>
      </c>
      <c r="D1812" s="814">
        <v>5</v>
      </c>
      <c r="E1812" s="809">
        <v>0</v>
      </c>
      <c r="F1812" s="809">
        <v>1</v>
      </c>
      <c r="G1812" s="810">
        <v>200</v>
      </c>
      <c r="H1812" s="809">
        <v>200</v>
      </c>
      <c r="I1812" s="17">
        <v>0</v>
      </c>
      <c r="J1812" s="810"/>
      <c r="K1812" s="809">
        <v>0</v>
      </c>
      <c r="L1812" s="809"/>
      <c r="M1812" s="809"/>
      <c r="N1812" s="809"/>
      <c r="O1812" s="809"/>
      <c r="P1812" s="809"/>
      <c r="Q1812" s="811"/>
      <c r="R1812" s="811"/>
      <c r="S1812" s="811"/>
      <c r="T1812" s="811"/>
      <c r="U1812" s="809"/>
      <c r="V1812" s="809"/>
      <c r="W1812" s="809"/>
      <c r="X1812" s="809"/>
      <c r="Y1812" s="809"/>
      <c r="Z1812" s="812">
        <v>0</v>
      </c>
      <c r="AA1812" s="809"/>
      <c r="AB1812" s="813"/>
      <c r="AC1812" s="813"/>
      <c r="AD1812" s="809"/>
      <c r="AE1812" s="809"/>
      <c r="AF1812" s="809" t="s">
        <v>3551</v>
      </c>
      <c r="AG1812" s="809"/>
      <c r="AH1812" s="809"/>
      <c r="AI1812" s="809"/>
      <c r="AJ1812" s="809"/>
      <c r="AK1812" s="809"/>
      <c r="AL1812" s="810"/>
      <c r="AM1812" s="809"/>
      <c r="AN1812" s="809"/>
      <c r="AO1812" s="809"/>
      <c r="AP1812" s="809">
        <v>0</v>
      </c>
      <c r="AQ1812" s="809"/>
      <c r="AR1812" s="809"/>
      <c r="AS1812" s="809"/>
      <c r="AT1812" s="809"/>
      <c r="AU1812" s="809">
        <v>0</v>
      </c>
      <c r="AV1812" s="17">
        <f t="shared" si="242"/>
        <v>0</v>
      </c>
      <c r="AW1812" s="809"/>
      <c r="AX1812" s="809"/>
      <c r="AY1812" s="809"/>
      <c r="AZ1812" s="809"/>
      <c r="BA1812" s="809"/>
      <c r="BB1812" s="809"/>
    </row>
    <row r="1813" spans="1:54" x14ac:dyDescent="0.15">
      <c r="A1813" s="686">
        <v>41005</v>
      </c>
      <c r="B1813" s="686"/>
      <c r="C1813" s="686" t="s">
        <v>3552</v>
      </c>
      <c r="D1813" s="814">
        <v>5</v>
      </c>
      <c r="E1813" s="809">
        <v>0</v>
      </c>
      <c r="F1813" s="809">
        <v>1</v>
      </c>
      <c r="G1813" s="810">
        <v>200</v>
      </c>
      <c r="H1813" s="809">
        <v>200</v>
      </c>
      <c r="I1813" s="17">
        <v>0</v>
      </c>
      <c r="J1813" s="810"/>
      <c r="K1813" s="809">
        <v>0</v>
      </c>
      <c r="L1813" s="809"/>
      <c r="M1813" s="809"/>
      <c r="N1813" s="809"/>
      <c r="O1813" s="809"/>
      <c r="P1813" s="809"/>
      <c r="Q1813" s="811"/>
      <c r="R1813" s="811"/>
      <c r="S1813" s="811"/>
      <c r="T1813" s="811"/>
      <c r="U1813" s="809"/>
      <c r="V1813" s="809"/>
      <c r="W1813" s="809"/>
      <c r="X1813" s="809"/>
      <c r="Y1813" s="809"/>
      <c r="Z1813" s="812">
        <v>0</v>
      </c>
      <c r="AA1813" s="809"/>
      <c r="AB1813" s="813"/>
      <c r="AC1813" s="813"/>
      <c r="AD1813" s="809"/>
      <c r="AE1813" s="809"/>
      <c r="AF1813" s="809" t="s">
        <v>3551</v>
      </c>
      <c r="AG1813" s="809"/>
      <c r="AH1813" s="809"/>
      <c r="AI1813" s="809"/>
      <c r="AJ1813" s="809"/>
      <c r="AK1813" s="809"/>
      <c r="AL1813" s="810"/>
      <c r="AM1813" s="809"/>
      <c r="AN1813" s="809"/>
      <c r="AO1813" s="809"/>
      <c r="AP1813" s="809">
        <v>0</v>
      </c>
      <c r="AQ1813" s="809"/>
      <c r="AR1813" s="809"/>
      <c r="AS1813" s="809"/>
      <c r="AT1813" s="809"/>
      <c r="AU1813" s="809">
        <v>0</v>
      </c>
      <c r="AV1813" s="17">
        <f t="shared" si="242"/>
        <v>0</v>
      </c>
      <c r="AW1813" s="809"/>
      <c r="AX1813" s="809"/>
      <c r="AY1813" s="809"/>
      <c r="AZ1813" s="809"/>
      <c r="BA1813" s="809"/>
      <c r="BB1813" s="809"/>
    </row>
    <row r="1814" spans="1:54" x14ac:dyDescent="0.15">
      <c r="A1814" s="686">
        <v>41006</v>
      </c>
      <c r="B1814" s="686"/>
      <c r="C1814" s="686" t="s">
        <v>3553</v>
      </c>
      <c r="D1814" s="814">
        <v>5</v>
      </c>
      <c r="E1814" s="809">
        <v>0</v>
      </c>
      <c r="F1814" s="809">
        <v>1</v>
      </c>
      <c r="G1814" s="810">
        <v>200</v>
      </c>
      <c r="H1814" s="809">
        <v>200</v>
      </c>
      <c r="I1814" s="17">
        <v>0</v>
      </c>
      <c r="J1814" s="810"/>
      <c r="K1814" s="809">
        <v>0</v>
      </c>
      <c r="L1814" s="809"/>
      <c r="M1814" s="809"/>
      <c r="N1814" s="809"/>
      <c r="O1814" s="809"/>
      <c r="P1814" s="809"/>
      <c r="Q1814" s="811"/>
      <c r="R1814" s="811"/>
      <c r="S1814" s="811"/>
      <c r="T1814" s="811"/>
      <c r="U1814" s="809"/>
      <c r="V1814" s="809"/>
      <c r="W1814" s="809"/>
      <c r="X1814" s="809"/>
      <c r="Y1814" s="809"/>
      <c r="Z1814" s="812">
        <v>0</v>
      </c>
      <c r="AA1814" s="809"/>
      <c r="AB1814" s="813"/>
      <c r="AC1814" s="813"/>
      <c r="AD1814" s="809"/>
      <c r="AE1814" s="809"/>
      <c r="AF1814" s="809" t="s">
        <v>3551</v>
      </c>
      <c r="AG1814" s="809"/>
      <c r="AH1814" s="809"/>
      <c r="AI1814" s="809"/>
      <c r="AJ1814" s="809"/>
      <c r="AK1814" s="809"/>
      <c r="AL1814" s="810"/>
      <c r="AM1814" s="809"/>
      <c r="AN1814" s="809"/>
      <c r="AO1814" s="809"/>
      <c r="AP1814" s="809">
        <v>0</v>
      </c>
      <c r="AQ1814" s="809"/>
      <c r="AR1814" s="809"/>
      <c r="AS1814" s="809"/>
      <c r="AT1814" s="809"/>
      <c r="AU1814" s="809">
        <v>0</v>
      </c>
      <c r="AV1814" s="17">
        <f t="shared" si="242"/>
        <v>0</v>
      </c>
      <c r="AW1814" s="809"/>
      <c r="AX1814" s="809"/>
      <c r="AY1814" s="809"/>
      <c r="AZ1814" s="809"/>
      <c r="BA1814" s="809"/>
      <c r="BB1814" s="809"/>
    </row>
    <row r="1815" spans="1:54" x14ac:dyDescent="0.15">
      <c r="A1815" s="686">
        <v>41007</v>
      </c>
      <c r="B1815" s="686"/>
      <c r="C1815" s="686" t="s">
        <v>3554</v>
      </c>
      <c r="D1815" s="814">
        <v>5</v>
      </c>
      <c r="E1815" s="809">
        <v>0</v>
      </c>
      <c r="F1815" s="809">
        <v>1</v>
      </c>
      <c r="G1815" s="810">
        <v>200</v>
      </c>
      <c r="H1815" s="809">
        <v>200</v>
      </c>
      <c r="I1815" s="17">
        <v>0</v>
      </c>
      <c r="J1815" s="810"/>
      <c r="K1815" s="809">
        <v>0</v>
      </c>
      <c r="L1815" s="809"/>
      <c r="M1815" s="809"/>
      <c r="N1815" s="809"/>
      <c r="O1815" s="809"/>
      <c r="P1815" s="809"/>
      <c r="Q1815" s="811"/>
      <c r="R1815" s="811"/>
      <c r="S1815" s="811"/>
      <c r="T1815" s="811"/>
      <c r="U1815" s="809"/>
      <c r="V1815" s="809"/>
      <c r="W1815" s="809"/>
      <c r="X1815" s="809"/>
      <c r="Y1815" s="809"/>
      <c r="Z1815" s="812">
        <v>0</v>
      </c>
      <c r="AA1815" s="809"/>
      <c r="AB1815" s="813"/>
      <c r="AC1815" s="813"/>
      <c r="AD1815" s="809"/>
      <c r="AE1815" s="809"/>
      <c r="AF1815" s="809" t="s">
        <v>3551</v>
      </c>
      <c r="AG1815" s="809"/>
      <c r="AH1815" s="809"/>
      <c r="AI1815" s="809"/>
      <c r="AJ1815" s="809"/>
      <c r="AK1815" s="809"/>
      <c r="AL1815" s="810"/>
      <c r="AM1815" s="809"/>
      <c r="AN1815" s="809"/>
      <c r="AO1815" s="809"/>
      <c r="AP1815" s="809">
        <v>0</v>
      </c>
      <c r="AQ1815" s="809"/>
      <c r="AR1815" s="809"/>
      <c r="AS1815" s="809"/>
      <c r="AT1815" s="809"/>
      <c r="AU1815" s="809">
        <v>0</v>
      </c>
      <c r="AV1815" s="17">
        <f t="shared" si="242"/>
        <v>0</v>
      </c>
      <c r="AW1815" s="809"/>
      <c r="AX1815" s="809"/>
      <c r="AY1815" s="809"/>
      <c r="AZ1815" s="809"/>
      <c r="BA1815" s="809"/>
      <c r="BB1815" s="809"/>
    </row>
    <row r="1816" spans="1:54" s="814" customFormat="1" x14ac:dyDescent="0.15">
      <c r="A1816" s="100">
        <v>41008</v>
      </c>
      <c r="B1816" s="100"/>
      <c r="C1816" s="100" t="s">
        <v>3555</v>
      </c>
      <c r="D1816" s="814">
        <v>5</v>
      </c>
      <c r="E1816" s="814">
        <v>0</v>
      </c>
      <c r="F1816" s="814">
        <v>1</v>
      </c>
      <c r="G1816" s="810">
        <v>200</v>
      </c>
      <c r="H1816" s="814">
        <v>200</v>
      </c>
      <c r="I1816" s="17">
        <v>0</v>
      </c>
      <c r="J1816" s="815"/>
      <c r="K1816" s="814">
        <v>0</v>
      </c>
      <c r="Q1816" s="816"/>
      <c r="R1816" s="816"/>
      <c r="S1816" s="816"/>
      <c r="T1816" s="816"/>
      <c r="Z1816" s="817">
        <v>0</v>
      </c>
      <c r="AB1816" s="818"/>
      <c r="AC1816" s="818"/>
      <c r="AF1816" s="814" t="s">
        <v>3551</v>
      </c>
      <c r="AL1816" s="815"/>
      <c r="AP1816" s="814">
        <v>0</v>
      </c>
      <c r="AU1816" s="814">
        <v>1</v>
      </c>
      <c r="AV1816" s="17">
        <f t="shared" si="242"/>
        <v>0</v>
      </c>
    </row>
    <row r="1817" spans="1:54" x14ac:dyDescent="0.15">
      <c r="A1817" s="686">
        <v>41009</v>
      </c>
      <c r="B1817" s="686"/>
      <c r="C1817" s="686" t="s">
        <v>3556</v>
      </c>
      <c r="D1817" s="814">
        <v>5</v>
      </c>
      <c r="E1817" s="809">
        <v>0</v>
      </c>
      <c r="F1817" s="809">
        <v>1</v>
      </c>
      <c r="G1817" s="810">
        <v>200</v>
      </c>
      <c r="H1817" s="809">
        <v>200</v>
      </c>
      <c r="I1817" s="17">
        <v>0</v>
      </c>
      <c r="J1817" s="810"/>
      <c r="K1817" s="809">
        <v>0</v>
      </c>
      <c r="L1817" s="809"/>
      <c r="M1817" s="809"/>
      <c r="N1817" s="809"/>
      <c r="O1817" s="809"/>
      <c r="P1817" s="809"/>
      <c r="Q1817" s="811"/>
      <c r="R1817" s="811"/>
      <c r="S1817" s="811"/>
      <c r="T1817" s="811"/>
      <c r="U1817" s="809"/>
      <c r="V1817" s="809"/>
      <c r="W1817" s="809"/>
      <c r="X1817" s="809"/>
      <c r="Y1817" s="809"/>
      <c r="Z1817" s="812">
        <v>0</v>
      </c>
      <c r="AA1817" s="809"/>
      <c r="AB1817" s="813"/>
      <c r="AC1817" s="813"/>
      <c r="AD1817" s="809"/>
      <c r="AE1817" s="809"/>
      <c r="AF1817" s="809" t="s">
        <v>3551</v>
      </c>
      <c r="AG1817" s="809"/>
      <c r="AH1817" s="809"/>
      <c r="AI1817" s="809"/>
      <c r="AJ1817" s="809"/>
      <c r="AK1817" s="809"/>
      <c r="AL1817" s="810"/>
      <c r="AM1817" s="809"/>
      <c r="AN1817" s="809"/>
      <c r="AO1817" s="809"/>
      <c r="AP1817" s="809">
        <v>0</v>
      </c>
      <c r="AQ1817" s="809"/>
      <c r="AR1817" s="809"/>
      <c r="AS1817" s="809"/>
      <c r="AT1817" s="809"/>
      <c r="AU1817" s="809">
        <v>0</v>
      </c>
      <c r="AV1817" s="17">
        <f t="shared" si="242"/>
        <v>0</v>
      </c>
      <c r="AW1817" s="809"/>
      <c r="AX1817" s="809"/>
      <c r="AY1817" s="809"/>
      <c r="AZ1817" s="809"/>
      <c r="BA1817" s="809"/>
      <c r="BB1817" s="809"/>
    </row>
    <row r="1818" spans="1:54" s="814" customFormat="1" x14ac:dyDescent="0.15">
      <c r="A1818" s="100">
        <v>41010</v>
      </c>
      <c r="B1818" s="100"/>
      <c r="C1818" s="100" t="s">
        <v>3557</v>
      </c>
      <c r="D1818" s="814">
        <v>5</v>
      </c>
      <c r="E1818" s="814">
        <v>0</v>
      </c>
      <c r="F1818" s="814">
        <v>1</v>
      </c>
      <c r="G1818" s="810">
        <v>200</v>
      </c>
      <c r="H1818" s="814">
        <v>200</v>
      </c>
      <c r="I1818" s="17">
        <v>0</v>
      </c>
      <c r="J1818" s="815"/>
      <c r="K1818" s="814">
        <v>0</v>
      </c>
      <c r="Q1818" s="816"/>
      <c r="R1818" s="816"/>
      <c r="S1818" s="816"/>
      <c r="T1818" s="816"/>
      <c r="Z1818" s="817">
        <v>0</v>
      </c>
      <c r="AB1818" s="818"/>
      <c r="AC1818" s="818"/>
      <c r="AF1818" s="814" t="s">
        <v>3551</v>
      </c>
      <c r="AL1818" s="815"/>
      <c r="AP1818" s="814">
        <v>0</v>
      </c>
      <c r="AU1818" s="814">
        <v>1</v>
      </c>
      <c r="AV1818" s="17">
        <f t="shared" si="242"/>
        <v>0</v>
      </c>
    </row>
    <row r="1819" spans="1:54" x14ac:dyDescent="0.15">
      <c r="A1819" s="686">
        <v>41011</v>
      </c>
      <c r="B1819" s="686"/>
      <c r="C1819" s="686" t="s">
        <v>4505</v>
      </c>
      <c r="D1819" s="814">
        <v>5</v>
      </c>
      <c r="E1819" s="809">
        <v>0</v>
      </c>
      <c r="F1819" s="809">
        <v>1</v>
      </c>
      <c r="G1819" s="810">
        <v>200</v>
      </c>
      <c r="H1819" s="809">
        <v>200</v>
      </c>
      <c r="I1819" s="17">
        <v>0</v>
      </c>
      <c r="J1819" s="810"/>
      <c r="K1819" s="809">
        <v>0</v>
      </c>
      <c r="L1819" s="809"/>
      <c r="M1819" s="809"/>
      <c r="N1819" s="809"/>
      <c r="O1819" s="809"/>
      <c r="P1819" s="809"/>
      <c r="Q1819" s="811"/>
      <c r="R1819" s="811"/>
      <c r="S1819" s="811"/>
      <c r="T1819" s="811"/>
      <c r="U1819" s="809"/>
      <c r="V1819" s="809"/>
      <c r="W1819" s="809"/>
      <c r="X1819" s="809"/>
      <c r="Y1819" s="809"/>
      <c r="Z1819" s="812">
        <v>0</v>
      </c>
      <c r="AA1819" s="809"/>
      <c r="AB1819" s="813"/>
      <c r="AC1819" s="813"/>
      <c r="AD1819" s="809"/>
      <c r="AE1819" s="809"/>
      <c r="AF1819" s="809" t="s">
        <v>3551</v>
      </c>
      <c r="AG1819" s="809"/>
      <c r="AH1819" s="809"/>
      <c r="AI1819" s="809"/>
      <c r="AJ1819" s="809"/>
      <c r="AK1819" s="809"/>
      <c r="AL1819" s="810"/>
      <c r="AM1819" s="809"/>
      <c r="AN1819" s="809"/>
      <c r="AO1819" s="809"/>
      <c r="AP1819" s="809">
        <v>0</v>
      </c>
      <c r="AQ1819" s="809"/>
      <c r="AR1819" s="809"/>
      <c r="AS1819" s="809"/>
      <c r="AT1819" s="809"/>
      <c r="AU1819" s="809">
        <v>0</v>
      </c>
      <c r="AV1819" s="17">
        <f t="shared" si="242"/>
        <v>0</v>
      </c>
      <c r="AW1819" s="809"/>
      <c r="AX1819" s="809"/>
      <c r="AY1819" s="809"/>
      <c r="AZ1819" s="809"/>
      <c r="BA1819" s="809"/>
      <c r="BB1819" s="809"/>
    </row>
    <row r="1820" spans="1:54" s="814" customFormat="1" x14ac:dyDescent="0.15">
      <c r="A1820" s="100">
        <v>42001</v>
      </c>
      <c r="B1820" s="100"/>
      <c r="C1820" s="100" t="s">
        <v>3558</v>
      </c>
      <c r="D1820" s="814">
        <v>5</v>
      </c>
      <c r="E1820" s="814">
        <v>0</v>
      </c>
      <c r="F1820" s="814">
        <v>1</v>
      </c>
      <c r="G1820" s="810">
        <v>200</v>
      </c>
      <c r="H1820" s="814">
        <v>200</v>
      </c>
      <c r="I1820" s="17">
        <v>0</v>
      </c>
      <c r="J1820" s="815"/>
      <c r="K1820" s="814">
        <v>0</v>
      </c>
      <c r="Q1820" s="816"/>
      <c r="R1820" s="816"/>
      <c r="S1820" s="816"/>
      <c r="T1820" s="816"/>
      <c r="Z1820" s="817">
        <v>0</v>
      </c>
      <c r="AB1820" s="818"/>
      <c r="AC1820" s="818"/>
      <c r="AF1820" s="814" t="s">
        <v>3551</v>
      </c>
      <c r="AL1820" s="815"/>
      <c r="AP1820" s="814">
        <v>0</v>
      </c>
      <c r="AU1820" s="814">
        <v>1</v>
      </c>
      <c r="AV1820" s="17">
        <f t="shared" si="242"/>
        <v>0</v>
      </c>
    </row>
    <row r="1821" spans="1:54" s="814" customFormat="1" x14ac:dyDescent="0.15">
      <c r="A1821" s="100">
        <v>42002</v>
      </c>
      <c r="B1821" s="100"/>
      <c r="C1821" s="100" t="s">
        <v>3559</v>
      </c>
      <c r="D1821" s="814">
        <v>5</v>
      </c>
      <c r="E1821" s="814">
        <v>0</v>
      </c>
      <c r="F1821" s="814">
        <v>1</v>
      </c>
      <c r="G1821" s="810">
        <v>200</v>
      </c>
      <c r="H1821" s="814">
        <v>200</v>
      </c>
      <c r="I1821" s="17">
        <v>0</v>
      </c>
      <c r="J1821" s="815"/>
      <c r="K1821" s="814">
        <v>0</v>
      </c>
      <c r="Q1821" s="816"/>
      <c r="R1821" s="816"/>
      <c r="S1821" s="816"/>
      <c r="T1821" s="816"/>
      <c r="Z1821" s="817">
        <v>0</v>
      </c>
      <c r="AB1821" s="818"/>
      <c r="AC1821" s="818"/>
      <c r="AF1821" s="814" t="s">
        <v>3551</v>
      </c>
      <c r="AL1821" s="815"/>
      <c r="AP1821" s="814">
        <v>0</v>
      </c>
      <c r="AU1821" s="814">
        <v>1</v>
      </c>
      <c r="AV1821" s="17">
        <f t="shared" si="242"/>
        <v>0</v>
      </c>
    </row>
    <row r="1822" spans="1:54" s="814" customFormat="1" x14ac:dyDescent="0.15">
      <c r="A1822" s="100">
        <v>42003</v>
      </c>
      <c r="B1822" s="100"/>
      <c r="C1822" s="100" t="s">
        <v>3560</v>
      </c>
      <c r="D1822" s="814">
        <v>5</v>
      </c>
      <c r="E1822" s="814">
        <v>0</v>
      </c>
      <c r="F1822" s="814">
        <v>1</v>
      </c>
      <c r="G1822" s="810">
        <v>200</v>
      </c>
      <c r="H1822" s="814">
        <v>200</v>
      </c>
      <c r="I1822" s="17">
        <v>0</v>
      </c>
      <c r="J1822" s="815"/>
      <c r="K1822" s="814">
        <v>0</v>
      </c>
      <c r="Q1822" s="816"/>
      <c r="R1822" s="816"/>
      <c r="S1822" s="816"/>
      <c r="T1822" s="816"/>
      <c r="Z1822" s="817">
        <v>0</v>
      </c>
      <c r="AB1822" s="818"/>
      <c r="AC1822" s="818"/>
      <c r="AF1822" s="814" t="s">
        <v>3551</v>
      </c>
      <c r="AL1822" s="815"/>
      <c r="AP1822" s="814">
        <v>0</v>
      </c>
      <c r="AU1822" s="814">
        <v>1</v>
      </c>
      <c r="AV1822" s="17">
        <f t="shared" si="242"/>
        <v>0</v>
      </c>
    </row>
    <row r="1823" spans="1:54" s="814" customFormat="1" x14ac:dyDescent="0.15">
      <c r="A1823" s="100">
        <v>42004</v>
      </c>
      <c r="B1823" s="100"/>
      <c r="C1823" s="100" t="s">
        <v>3561</v>
      </c>
      <c r="D1823" s="814">
        <v>5</v>
      </c>
      <c r="E1823" s="814">
        <v>0</v>
      </c>
      <c r="F1823" s="814">
        <v>1</v>
      </c>
      <c r="G1823" s="810">
        <v>200</v>
      </c>
      <c r="H1823" s="814">
        <v>200</v>
      </c>
      <c r="I1823" s="17">
        <v>0</v>
      </c>
      <c r="J1823" s="815"/>
      <c r="K1823" s="814">
        <v>0</v>
      </c>
      <c r="Q1823" s="816"/>
      <c r="R1823" s="816"/>
      <c r="S1823" s="816"/>
      <c r="T1823" s="816"/>
      <c r="Z1823" s="817">
        <v>0</v>
      </c>
      <c r="AB1823" s="818"/>
      <c r="AC1823" s="818"/>
      <c r="AF1823" s="814" t="s">
        <v>3551</v>
      </c>
      <c r="AL1823" s="815"/>
      <c r="AP1823" s="814">
        <v>0</v>
      </c>
      <c r="AU1823" s="814">
        <v>1</v>
      </c>
      <c r="AV1823" s="17">
        <f t="shared" si="242"/>
        <v>0</v>
      </c>
    </row>
    <row r="1824" spans="1:54" s="814" customFormat="1" x14ac:dyDescent="0.15">
      <c r="A1824" s="100">
        <v>42005</v>
      </c>
      <c r="B1824" s="100"/>
      <c r="C1824" s="100" t="s">
        <v>3562</v>
      </c>
      <c r="D1824" s="814">
        <v>5</v>
      </c>
      <c r="E1824" s="814">
        <v>0</v>
      </c>
      <c r="F1824" s="814">
        <v>1</v>
      </c>
      <c r="G1824" s="810">
        <v>200</v>
      </c>
      <c r="H1824" s="814">
        <v>200</v>
      </c>
      <c r="I1824" s="17">
        <v>0</v>
      </c>
      <c r="J1824" s="815"/>
      <c r="K1824" s="814">
        <v>0</v>
      </c>
      <c r="Q1824" s="816"/>
      <c r="R1824" s="816"/>
      <c r="S1824" s="816"/>
      <c r="T1824" s="816"/>
      <c r="Z1824" s="817">
        <v>0</v>
      </c>
      <c r="AB1824" s="818"/>
      <c r="AC1824" s="818"/>
      <c r="AF1824" s="814" t="s">
        <v>3551</v>
      </c>
      <c r="AL1824" s="815"/>
      <c r="AP1824" s="814">
        <v>0</v>
      </c>
      <c r="AU1824" s="814">
        <v>1</v>
      </c>
      <c r="AV1824" s="17">
        <f t="shared" si="242"/>
        <v>0</v>
      </c>
    </row>
    <row r="1825" spans="1:54" s="814" customFormat="1" x14ac:dyDescent="0.15">
      <c r="A1825" s="100">
        <v>42006</v>
      </c>
      <c r="B1825" s="100"/>
      <c r="C1825" s="100" t="s">
        <v>3563</v>
      </c>
      <c r="D1825" s="814">
        <v>5</v>
      </c>
      <c r="E1825" s="814">
        <v>0</v>
      </c>
      <c r="F1825" s="814">
        <v>1</v>
      </c>
      <c r="G1825" s="810">
        <v>200</v>
      </c>
      <c r="H1825" s="814">
        <v>200</v>
      </c>
      <c r="I1825" s="17">
        <v>0</v>
      </c>
      <c r="J1825" s="815"/>
      <c r="K1825" s="814">
        <v>0</v>
      </c>
      <c r="Q1825" s="816"/>
      <c r="R1825" s="816"/>
      <c r="S1825" s="816"/>
      <c r="T1825" s="816"/>
      <c r="Z1825" s="817">
        <v>0</v>
      </c>
      <c r="AB1825" s="818"/>
      <c r="AC1825" s="818"/>
      <c r="AF1825" s="814" t="s">
        <v>3551</v>
      </c>
      <c r="AL1825" s="815"/>
      <c r="AP1825" s="814">
        <v>0</v>
      </c>
      <c r="AU1825" s="814">
        <v>1</v>
      </c>
      <c r="AV1825" s="17">
        <f t="shared" si="242"/>
        <v>0</v>
      </c>
    </row>
    <row r="1826" spans="1:54" s="814" customFormat="1" x14ac:dyDescent="0.15">
      <c r="A1826" s="100">
        <v>42007</v>
      </c>
      <c r="B1826" s="100"/>
      <c r="C1826" s="100" t="s">
        <v>3564</v>
      </c>
      <c r="D1826" s="814">
        <v>5</v>
      </c>
      <c r="E1826" s="814">
        <v>0</v>
      </c>
      <c r="F1826" s="814">
        <v>1</v>
      </c>
      <c r="G1826" s="810">
        <v>200</v>
      </c>
      <c r="H1826" s="814">
        <v>200</v>
      </c>
      <c r="I1826" s="17">
        <v>0</v>
      </c>
      <c r="J1826" s="815"/>
      <c r="K1826" s="814">
        <v>0</v>
      </c>
      <c r="Q1826" s="816"/>
      <c r="R1826" s="816"/>
      <c r="S1826" s="816"/>
      <c r="T1826" s="816"/>
      <c r="Z1826" s="817">
        <v>0</v>
      </c>
      <c r="AB1826" s="818"/>
      <c r="AC1826" s="818"/>
      <c r="AF1826" s="814" t="s">
        <v>3551</v>
      </c>
      <c r="AL1826" s="815"/>
      <c r="AP1826" s="814">
        <v>0</v>
      </c>
      <c r="AU1826" s="814">
        <v>1</v>
      </c>
      <c r="AV1826" s="17">
        <f t="shared" si="242"/>
        <v>0</v>
      </c>
    </row>
    <row r="1827" spans="1:54" s="814" customFormat="1" x14ac:dyDescent="0.15">
      <c r="A1827" s="100">
        <v>42008</v>
      </c>
      <c r="B1827" s="100"/>
      <c r="C1827" s="100" t="s">
        <v>3565</v>
      </c>
      <c r="D1827" s="814">
        <v>5</v>
      </c>
      <c r="E1827" s="814">
        <v>0</v>
      </c>
      <c r="F1827" s="814">
        <v>1</v>
      </c>
      <c r="G1827" s="810">
        <v>200</v>
      </c>
      <c r="H1827" s="814">
        <v>200</v>
      </c>
      <c r="I1827" s="17">
        <v>0</v>
      </c>
      <c r="J1827" s="815"/>
      <c r="K1827" s="814">
        <v>0</v>
      </c>
      <c r="Q1827" s="816"/>
      <c r="R1827" s="816"/>
      <c r="S1827" s="816"/>
      <c r="T1827" s="816"/>
      <c r="Z1827" s="817">
        <v>0</v>
      </c>
      <c r="AB1827" s="818"/>
      <c r="AC1827" s="818"/>
      <c r="AF1827" s="814" t="s">
        <v>3551</v>
      </c>
      <c r="AL1827" s="815"/>
      <c r="AP1827" s="814">
        <v>0</v>
      </c>
      <c r="AU1827" s="814">
        <v>1</v>
      </c>
      <c r="AV1827" s="17">
        <f t="shared" si="242"/>
        <v>0</v>
      </c>
    </row>
    <row r="1828" spans="1:54" s="814" customFormat="1" x14ac:dyDescent="0.15">
      <c r="A1828" s="100">
        <v>42009</v>
      </c>
      <c r="B1828" s="100"/>
      <c r="C1828" s="100" t="s">
        <v>3566</v>
      </c>
      <c r="D1828" s="814">
        <v>5</v>
      </c>
      <c r="E1828" s="814">
        <v>0</v>
      </c>
      <c r="F1828" s="814">
        <v>1</v>
      </c>
      <c r="G1828" s="810">
        <v>200</v>
      </c>
      <c r="H1828" s="814">
        <v>200</v>
      </c>
      <c r="I1828" s="17">
        <v>0</v>
      </c>
      <c r="J1828" s="815"/>
      <c r="K1828" s="814">
        <v>0</v>
      </c>
      <c r="Q1828" s="816"/>
      <c r="R1828" s="816"/>
      <c r="S1828" s="816"/>
      <c r="T1828" s="816"/>
      <c r="Z1828" s="817">
        <v>0</v>
      </c>
      <c r="AB1828" s="818"/>
      <c r="AC1828" s="818"/>
      <c r="AF1828" s="814" t="s">
        <v>3551</v>
      </c>
      <c r="AL1828" s="815"/>
      <c r="AP1828" s="814">
        <v>0</v>
      </c>
      <c r="AU1828" s="814">
        <v>1</v>
      </c>
      <c r="AV1828" s="17">
        <f t="shared" si="242"/>
        <v>0</v>
      </c>
    </row>
    <row r="1829" spans="1:54" s="814" customFormat="1" x14ac:dyDescent="0.15">
      <c r="A1829" s="100">
        <v>42010</v>
      </c>
      <c r="B1829" s="100"/>
      <c r="C1829" s="100" t="s">
        <v>3567</v>
      </c>
      <c r="D1829" s="814">
        <v>5</v>
      </c>
      <c r="E1829" s="814">
        <v>0</v>
      </c>
      <c r="F1829" s="814">
        <v>1</v>
      </c>
      <c r="G1829" s="810">
        <v>200</v>
      </c>
      <c r="H1829" s="814">
        <v>200</v>
      </c>
      <c r="I1829" s="17">
        <v>0</v>
      </c>
      <c r="J1829" s="815"/>
      <c r="K1829" s="814">
        <v>0</v>
      </c>
      <c r="Q1829" s="816"/>
      <c r="R1829" s="816"/>
      <c r="S1829" s="816"/>
      <c r="T1829" s="816"/>
      <c r="Z1829" s="817">
        <v>0</v>
      </c>
      <c r="AB1829" s="818"/>
      <c r="AC1829" s="818"/>
      <c r="AF1829" s="814" t="s">
        <v>3551</v>
      </c>
      <c r="AL1829" s="815"/>
      <c r="AP1829" s="814">
        <v>0</v>
      </c>
      <c r="AU1829" s="814">
        <v>1</v>
      </c>
      <c r="AV1829" s="17">
        <f t="shared" si="242"/>
        <v>0</v>
      </c>
    </row>
    <row r="1830" spans="1:54" s="814" customFormat="1" x14ac:dyDescent="0.15">
      <c r="A1830" s="100">
        <v>42011</v>
      </c>
      <c r="B1830" s="100"/>
      <c r="C1830" s="100" t="s">
        <v>3568</v>
      </c>
      <c r="D1830" s="814">
        <v>5</v>
      </c>
      <c r="E1830" s="814">
        <v>0</v>
      </c>
      <c r="F1830" s="814">
        <v>1</v>
      </c>
      <c r="G1830" s="810">
        <v>200</v>
      </c>
      <c r="H1830" s="814">
        <v>200</v>
      </c>
      <c r="I1830" s="17">
        <v>0</v>
      </c>
      <c r="J1830" s="815"/>
      <c r="K1830" s="814">
        <v>0</v>
      </c>
      <c r="Q1830" s="816"/>
      <c r="R1830" s="816"/>
      <c r="S1830" s="816"/>
      <c r="T1830" s="816"/>
      <c r="Z1830" s="817">
        <v>0</v>
      </c>
      <c r="AB1830" s="818"/>
      <c r="AC1830" s="818"/>
      <c r="AF1830" s="814" t="s">
        <v>3551</v>
      </c>
      <c r="AL1830" s="815"/>
      <c r="AP1830" s="814">
        <v>0</v>
      </c>
      <c r="AU1830" s="814">
        <v>1</v>
      </c>
      <c r="AV1830" s="17">
        <f t="shared" si="242"/>
        <v>0</v>
      </c>
    </row>
    <row r="1831" spans="1:54" x14ac:dyDescent="0.15">
      <c r="A1831" s="686">
        <v>42013</v>
      </c>
      <c r="B1831" s="686"/>
      <c r="C1831" s="686" t="s">
        <v>3569</v>
      </c>
      <c r="D1831" s="814">
        <v>5</v>
      </c>
      <c r="E1831" s="809">
        <v>0</v>
      </c>
      <c r="F1831" s="809">
        <v>1</v>
      </c>
      <c r="G1831" s="810">
        <v>200</v>
      </c>
      <c r="H1831" s="809">
        <v>200</v>
      </c>
      <c r="I1831" s="17">
        <v>0</v>
      </c>
      <c r="J1831" s="810"/>
      <c r="K1831" s="809">
        <v>0</v>
      </c>
      <c r="L1831" s="809"/>
      <c r="M1831" s="809"/>
      <c r="N1831" s="809"/>
      <c r="O1831" s="809"/>
      <c r="P1831" s="809"/>
      <c r="Q1831" s="811"/>
      <c r="R1831" s="811"/>
      <c r="S1831" s="811"/>
      <c r="T1831" s="811"/>
      <c r="U1831" s="809"/>
      <c r="V1831" s="809"/>
      <c r="W1831" s="809"/>
      <c r="X1831" s="809"/>
      <c r="Y1831" s="809"/>
      <c r="Z1831" s="812">
        <v>0</v>
      </c>
      <c r="AA1831" s="809"/>
      <c r="AB1831" s="813"/>
      <c r="AC1831" s="813"/>
      <c r="AD1831" s="809"/>
      <c r="AE1831" s="809"/>
      <c r="AF1831" s="809" t="s">
        <v>3551</v>
      </c>
      <c r="AG1831" s="809"/>
      <c r="AH1831" s="809"/>
      <c r="AI1831" s="809"/>
      <c r="AJ1831" s="809"/>
      <c r="AK1831" s="809"/>
      <c r="AL1831" s="810"/>
      <c r="AM1831" s="809"/>
      <c r="AN1831" s="809"/>
      <c r="AO1831" s="809"/>
      <c r="AP1831" s="809">
        <v>0</v>
      </c>
      <c r="AQ1831" s="809"/>
      <c r="AR1831" s="809"/>
      <c r="AS1831" s="809"/>
      <c r="AT1831" s="809"/>
      <c r="AU1831" s="809">
        <v>1</v>
      </c>
      <c r="AV1831" s="17">
        <f t="shared" si="242"/>
        <v>0</v>
      </c>
      <c r="AW1831" s="809"/>
      <c r="AX1831" s="809"/>
      <c r="AY1831" s="809"/>
      <c r="AZ1831" s="809"/>
      <c r="BA1831" s="809"/>
      <c r="BB1831" s="809"/>
    </row>
    <row r="1832" spans="1:54" s="814" customFormat="1" x14ac:dyDescent="0.15">
      <c r="A1832" s="100">
        <v>42014</v>
      </c>
      <c r="B1832" s="100"/>
      <c r="C1832" s="100" t="s">
        <v>3570</v>
      </c>
      <c r="D1832" s="814">
        <v>5</v>
      </c>
      <c r="E1832" s="814">
        <v>0</v>
      </c>
      <c r="F1832" s="814">
        <v>1</v>
      </c>
      <c r="G1832" s="810">
        <v>200</v>
      </c>
      <c r="H1832" s="814">
        <v>200</v>
      </c>
      <c r="I1832" s="17">
        <v>0</v>
      </c>
      <c r="J1832" s="815"/>
      <c r="K1832" s="814">
        <v>0</v>
      </c>
      <c r="Q1832" s="816"/>
      <c r="R1832" s="816"/>
      <c r="S1832" s="816"/>
      <c r="T1832" s="816"/>
      <c r="Z1832" s="817">
        <v>0</v>
      </c>
      <c r="AB1832" s="818"/>
      <c r="AC1832" s="818"/>
      <c r="AF1832" s="814" t="s">
        <v>3551</v>
      </c>
      <c r="AL1832" s="815"/>
      <c r="AP1832" s="814">
        <v>0</v>
      </c>
      <c r="AU1832" s="814">
        <v>1</v>
      </c>
      <c r="AV1832" s="17">
        <f t="shared" si="242"/>
        <v>0</v>
      </c>
    </row>
    <row r="1833" spans="1:54" x14ac:dyDescent="0.15">
      <c r="A1833" s="686">
        <v>43001</v>
      </c>
      <c r="B1833" s="686"/>
      <c r="C1833" s="686" t="s">
        <v>3571</v>
      </c>
      <c r="D1833" s="814">
        <v>5</v>
      </c>
      <c r="E1833" s="809">
        <v>0</v>
      </c>
      <c r="F1833" s="809">
        <v>1</v>
      </c>
      <c r="G1833" s="810">
        <v>200</v>
      </c>
      <c r="H1833" s="809">
        <v>200</v>
      </c>
      <c r="I1833" s="17">
        <v>0</v>
      </c>
      <c r="J1833" s="810"/>
      <c r="K1833" s="809">
        <v>0</v>
      </c>
      <c r="L1833" s="809"/>
      <c r="M1833" s="809"/>
      <c r="N1833" s="809"/>
      <c r="O1833" s="809"/>
      <c r="P1833" s="809"/>
      <c r="Q1833" s="811"/>
      <c r="R1833" s="811"/>
      <c r="S1833" s="811"/>
      <c r="T1833" s="811"/>
      <c r="U1833" s="809"/>
      <c r="V1833" s="809"/>
      <c r="W1833" s="809"/>
      <c r="X1833" s="809"/>
      <c r="Y1833" s="809"/>
      <c r="Z1833" s="812">
        <v>0</v>
      </c>
      <c r="AA1833" s="809"/>
      <c r="AB1833" s="813"/>
      <c r="AC1833" s="813"/>
      <c r="AD1833" s="809"/>
      <c r="AE1833" s="809"/>
      <c r="AF1833" s="809" t="s">
        <v>3551</v>
      </c>
      <c r="AG1833" s="809"/>
      <c r="AH1833" s="809"/>
      <c r="AI1833" s="809"/>
      <c r="AJ1833" s="809"/>
      <c r="AK1833" s="809"/>
      <c r="AL1833" s="810"/>
      <c r="AM1833" s="809"/>
      <c r="AN1833" s="809"/>
      <c r="AO1833" s="809"/>
      <c r="AP1833" s="809">
        <v>0</v>
      </c>
      <c r="AQ1833" s="809"/>
      <c r="AR1833" s="809"/>
      <c r="AS1833" s="809"/>
      <c r="AT1833" s="809"/>
      <c r="AU1833" s="809">
        <v>0</v>
      </c>
      <c r="AV1833" s="17">
        <f t="shared" si="242"/>
        <v>0</v>
      </c>
      <c r="AW1833" s="809"/>
      <c r="AX1833" s="809"/>
      <c r="AY1833" s="809"/>
      <c r="AZ1833" s="809"/>
      <c r="BA1833" s="809"/>
      <c r="BB1833" s="809"/>
    </row>
    <row r="1834" spans="1:54" s="814" customFormat="1" x14ac:dyDescent="0.15">
      <c r="A1834" s="100">
        <v>43002</v>
      </c>
      <c r="B1834" s="100"/>
      <c r="C1834" s="100" t="s">
        <v>3572</v>
      </c>
      <c r="D1834" s="814">
        <v>5</v>
      </c>
      <c r="E1834" s="814">
        <v>0</v>
      </c>
      <c r="F1834" s="814">
        <v>1</v>
      </c>
      <c r="G1834" s="810">
        <v>200</v>
      </c>
      <c r="H1834" s="814">
        <v>200</v>
      </c>
      <c r="I1834" s="17">
        <v>0</v>
      </c>
      <c r="J1834" s="815"/>
      <c r="K1834" s="814">
        <v>0</v>
      </c>
      <c r="Q1834" s="816"/>
      <c r="R1834" s="816"/>
      <c r="S1834" s="816"/>
      <c r="T1834" s="816"/>
      <c r="Z1834" s="817">
        <v>0</v>
      </c>
      <c r="AB1834" s="818"/>
      <c r="AC1834" s="818"/>
      <c r="AF1834" s="814" t="s">
        <v>3551</v>
      </c>
      <c r="AL1834" s="815"/>
      <c r="AP1834" s="814">
        <v>0</v>
      </c>
      <c r="AU1834" s="814">
        <v>1</v>
      </c>
      <c r="AV1834" s="17">
        <f t="shared" si="242"/>
        <v>0</v>
      </c>
    </row>
    <row r="1835" spans="1:54" x14ac:dyDescent="0.15">
      <c r="A1835" s="686">
        <v>43003</v>
      </c>
      <c r="B1835" s="686"/>
      <c r="C1835" s="686" t="s">
        <v>3573</v>
      </c>
      <c r="D1835" s="814">
        <v>5</v>
      </c>
      <c r="E1835" s="809">
        <v>0</v>
      </c>
      <c r="F1835" s="809">
        <v>1</v>
      </c>
      <c r="G1835" s="810">
        <v>200</v>
      </c>
      <c r="H1835" s="809">
        <v>200</v>
      </c>
      <c r="I1835" s="17">
        <v>0</v>
      </c>
      <c r="J1835" s="810"/>
      <c r="K1835" s="809">
        <v>0</v>
      </c>
      <c r="L1835" s="809"/>
      <c r="M1835" s="809"/>
      <c r="N1835" s="809"/>
      <c r="O1835" s="809"/>
      <c r="P1835" s="809"/>
      <c r="Q1835" s="811"/>
      <c r="R1835" s="811"/>
      <c r="S1835" s="811"/>
      <c r="T1835" s="811"/>
      <c r="U1835" s="809"/>
      <c r="V1835" s="809"/>
      <c r="W1835" s="809"/>
      <c r="X1835" s="809"/>
      <c r="Y1835" s="809"/>
      <c r="Z1835" s="812">
        <v>0</v>
      </c>
      <c r="AA1835" s="809"/>
      <c r="AB1835" s="813"/>
      <c r="AC1835" s="813"/>
      <c r="AD1835" s="809"/>
      <c r="AE1835" s="809"/>
      <c r="AF1835" s="809" t="s">
        <v>3551</v>
      </c>
      <c r="AG1835" s="809"/>
      <c r="AH1835" s="809"/>
      <c r="AI1835" s="809"/>
      <c r="AJ1835" s="809"/>
      <c r="AK1835" s="809"/>
      <c r="AL1835" s="810"/>
      <c r="AM1835" s="809"/>
      <c r="AN1835" s="809"/>
      <c r="AO1835" s="809"/>
      <c r="AP1835" s="809">
        <v>0</v>
      </c>
      <c r="AQ1835" s="809"/>
      <c r="AR1835" s="809"/>
      <c r="AS1835" s="809"/>
      <c r="AT1835" s="809"/>
      <c r="AU1835" s="809">
        <v>0</v>
      </c>
      <c r="AV1835" s="17">
        <f t="shared" si="242"/>
        <v>0</v>
      </c>
      <c r="AW1835" s="809"/>
      <c r="AX1835" s="809"/>
      <c r="AY1835" s="809"/>
      <c r="AZ1835" s="809"/>
      <c r="BA1835" s="809"/>
      <c r="BB1835" s="809"/>
    </row>
    <row r="1836" spans="1:54" x14ac:dyDescent="0.15">
      <c r="A1836" s="686">
        <v>43004</v>
      </c>
      <c r="B1836" s="686"/>
      <c r="C1836" s="686" t="s">
        <v>3574</v>
      </c>
      <c r="D1836" s="814">
        <v>5</v>
      </c>
      <c r="E1836" s="809">
        <v>0</v>
      </c>
      <c r="F1836" s="809">
        <v>1</v>
      </c>
      <c r="G1836" s="810">
        <v>200</v>
      </c>
      <c r="H1836" s="809">
        <v>200</v>
      </c>
      <c r="I1836" s="17">
        <v>0</v>
      </c>
      <c r="J1836" s="810"/>
      <c r="K1836" s="809">
        <v>0</v>
      </c>
      <c r="L1836" s="809"/>
      <c r="M1836" s="809"/>
      <c r="N1836" s="809"/>
      <c r="O1836" s="809"/>
      <c r="P1836" s="809"/>
      <c r="Q1836" s="811"/>
      <c r="R1836" s="811"/>
      <c r="S1836" s="811"/>
      <c r="T1836" s="811"/>
      <c r="U1836" s="809"/>
      <c r="V1836" s="809"/>
      <c r="W1836" s="809"/>
      <c r="X1836" s="809"/>
      <c r="Y1836" s="809"/>
      <c r="Z1836" s="812">
        <v>0</v>
      </c>
      <c r="AA1836" s="809"/>
      <c r="AB1836" s="813"/>
      <c r="AC1836" s="813"/>
      <c r="AD1836" s="809"/>
      <c r="AE1836" s="809"/>
      <c r="AF1836" s="809" t="s">
        <v>3551</v>
      </c>
      <c r="AG1836" s="809"/>
      <c r="AH1836" s="809"/>
      <c r="AI1836" s="809"/>
      <c r="AJ1836" s="809"/>
      <c r="AK1836" s="809"/>
      <c r="AL1836" s="810"/>
      <c r="AM1836" s="809"/>
      <c r="AN1836" s="809"/>
      <c r="AO1836" s="809"/>
      <c r="AP1836" s="809">
        <v>0</v>
      </c>
      <c r="AQ1836" s="809"/>
      <c r="AR1836" s="809"/>
      <c r="AS1836" s="809"/>
      <c r="AT1836" s="809"/>
      <c r="AU1836" s="809">
        <v>0</v>
      </c>
      <c r="AV1836" s="17">
        <f t="shared" si="242"/>
        <v>0</v>
      </c>
      <c r="AW1836" s="809"/>
      <c r="AX1836" s="809"/>
      <c r="AY1836" s="809"/>
      <c r="AZ1836" s="809"/>
      <c r="BA1836" s="809"/>
      <c r="BB1836" s="809"/>
    </row>
    <row r="1837" spans="1:54" s="814" customFormat="1" x14ac:dyDescent="0.15">
      <c r="A1837" s="100">
        <v>43005</v>
      </c>
      <c r="B1837" s="100"/>
      <c r="C1837" s="100" t="s">
        <v>3575</v>
      </c>
      <c r="D1837" s="814">
        <v>5</v>
      </c>
      <c r="E1837" s="814">
        <v>0</v>
      </c>
      <c r="F1837" s="814">
        <v>1</v>
      </c>
      <c r="G1837" s="810">
        <v>200</v>
      </c>
      <c r="H1837" s="814">
        <v>200</v>
      </c>
      <c r="I1837" s="17">
        <v>0</v>
      </c>
      <c r="J1837" s="815"/>
      <c r="K1837" s="814">
        <v>0</v>
      </c>
      <c r="Q1837" s="816"/>
      <c r="R1837" s="816"/>
      <c r="S1837" s="816"/>
      <c r="T1837" s="816"/>
      <c r="Z1837" s="817">
        <v>0</v>
      </c>
      <c r="AB1837" s="818"/>
      <c r="AC1837" s="818"/>
      <c r="AF1837" s="814" t="s">
        <v>3551</v>
      </c>
      <c r="AL1837" s="815"/>
      <c r="AP1837" s="814">
        <v>0</v>
      </c>
      <c r="AU1837" s="814">
        <v>1</v>
      </c>
      <c r="AV1837" s="17">
        <f t="shared" ref="AV1837:AV1897" si="251">IF(D1837 = 1,1,0)</f>
        <v>0</v>
      </c>
    </row>
    <row r="1838" spans="1:54" x14ac:dyDescent="0.15">
      <c r="A1838" s="686">
        <v>43006</v>
      </c>
      <c r="B1838" s="686"/>
      <c r="C1838" s="686" t="s">
        <v>3576</v>
      </c>
      <c r="D1838" s="814">
        <v>5</v>
      </c>
      <c r="E1838" s="809">
        <v>0</v>
      </c>
      <c r="F1838" s="809">
        <v>1</v>
      </c>
      <c r="G1838" s="810">
        <v>200</v>
      </c>
      <c r="H1838" s="809">
        <v>200</v>
      </c>
      <c r="I1838" s="17">
        <v>0</v>
      </c>
      <c r="J1838" s="810"/>
      <c r="K1838" s="809">
        <v>0</v>
      </c>
      <c r="L1838" s="809"/>
      <c r="M1838" s="809"/>
      <c r="N1838" s="809"/>
      <c r="O1838" s="809"/>
      <c r="P1838" s="809"/>
      <c r="Q1838" s="811"/>
      <c r="R1838" s="811"/>
      <c r="S1838" s="811"/>
      <c r="T1838" s="811"/>
      <c r="U1838" s="809"/>
      <c r="V1838" s="809"/>
      <c r="W1838" s="809"/>
      <c r="X1838" s="809"/>
      <c r="Y1838" s="809"/>
      <c r="Z1838" s="812">
        <v>0</v>
      </c>
      <c r="AA1838" s="809"/>
      <c r="AB1838" s="813"/>
      <c r="AC1838" s="813"/>
      <c r="AD1838" s="809"/>
      <c r="AE1838" s="809"/>
      <c r="AF1838" s="809" t="s">
        <v>3551</v>
      </c>
      <c r="AG1838" s="809"/>
      <c r="AH1838" s="809"/>
      <c r="AI1838" s="809"/>
      <c r="AJ1838" s="809"/>
      <c r="AK1838" s="809"/>
      <c r="AL1838" s="810"/>
      <c r="AM1838" s="809"/>
      <c r="AN1838" s="809"/>
      <c r="AO1838" s="809"/>
      <c r="AP1838" s="809">
        <v>0</v>
      </c>
      <c r="AQ1838" s="809"/>
      <c r="AR1838" s="809"/>
      <c r="AS1838" s="809"/>
      <c r="AT1838" s="809"/>
      <c r="AU1838" s="809">
        <v>0</v>
      </c>
      <c r="AV1838" s="17">
        <f t="shared" si="251"/>
        <v>0</v>
      </c>
      <c r="AW1838" s="809"/>
      <c r="AX1838" s="809"/>
      <c r="AY1838" s="809"/>
      <c r="AZ1838" s="809"/>
      <c r="BA1838" s="809"/>
      <c r="BB1838" s="809"/>
    </row>
    <row r="1839" spans="1:54" s="814" customFormat="1" x14ac:dyDescent="0.15">
      <c r="A1839" s="100">
        <v>43007</v>
      </c>
      <c r="B1839" s="100"/>
      <c r="C1839" s="100" t="s">
        <v>3577</v>
      </c>
      <c r="D1839" s="814">
        <v>5</v>
      </c>
      <c r="E1839" s="814">
        <v>0</v>
      </c>
      <c r="F1839" s="814">
        <v>1</v>
      </c>
      <c r="G1839" s="810">
        <v>200</v>
      </c>
      <c r="H1839" s="814">
        <v>200</v>
      </c>
      <c r="I1839" s="17">
        <v>0</v>
      </c>
      <c r="J1839" s="815"/>
      <c r="K1839" s="814">
        <v>0</v>
      </c>
      <c r="Q1839" s="816"/>
      <c r="R1839" s="816"/>
      <c r="S1839" s="816"/>
      <c r="T1839" s="816"/>
      <c r="Z1839" s="817">
        <v>0</v>
      </c>
      <c r="AB1839" s="818"/>
      <c r="AC1839" s="818"/>
      <c r="AF1839" s="814" t="s">
        <v>3551</v>
      </c>
      <c r="AL1839" s="815"/>
      <c r="AP1839" s="814">
        <v>0</v>
      </c>
      <c r="AU1839" s="814">
        <v>1</v>
      </c>
      <c r="AV1839" s="17">
        <f t="shared" si="251"/>
        <v>0</v>
      </c>
    </row>
    <row r="1840" spans="1:54" x14ac:dyDescent="0.15">
      <c r="A1840" s="686">
        <v>43008</v>
      </c>
      <c r="B1840" s="686"/>
      <c r="C1840" s="686" t="s">
        <v>3578</v>
      </c>
      <c r="D1840" s="814">
        <v>5</v>
      </c>
      <c r="E1840" s="809">
        <v>0</v>
      </c>
      <c r="F1840" s="809">
        <v>1</v>
      </c>
      <c r="G1840" s="810">
        <v>200</v>
      </c>
      <c r="H1840" s="809">
        <v>200</v>
      </c>
      <c r="I1840" s="17">
        <v>0</v>
      </c>
      <c r="J1840" s="810"/>
      <c r="K1840" s="809">
        <v>0</v>
      </c>
      <c r="L1840" s="809"/>
      <c r="M1840" s="809"/>
      <c r="N1840" s="809"/>
      <c r="O1840" s="809"/>
      <c r="P1840" s="809"/>
      <c r="Q1840" s="811"/>
      <c r="R1840" s="811"/>
      <c r="S1840" s="811"/>
      <c r="T1840" s="811"/>
      <c r="U1840" s="809"/>
      <c r="V1840" s="809"/>
      <c r="W1840" s="809"/>
      <c r="X1840" s="809"/>
      <c r="Y1840" s="809"/>
      <c r="Z1840" s="812">
        <v>0</v>
      </c>
      <c r="AA1840" s="809"/>
      <c r="AB1840" s="813"/>
      <c r="AC1840" s="813"/>
      <c r="AD1840" s="809"/>
      <c r="AE1840" s="809"/>
      <c r="AF1840" s="809" t="s">
        <v>3551</v>
      </c>
      <c r="AG1840" s="809"/>
      <c r="AH1840" s="809"/>
      <c r="AI1840" s="809"/>
      <c r="AJ1840" s="809"/>
      <c r="AK1840" s="809"/>
      <c r="AL1840" s="810"/>
      <c r="AM1840" s="809"/>
      <c r="AN1840" s="809"/>
      <c r="AO1840" s="809"/>
      <c r="AP1840" s="809">
        <v>0</v>
      </c>
      <c r="AQ1840" s="809"/>
      <c r="AR1840" s="809"/>
      <c r="AS1840" s="809"/>
      <c r="AT1840" s="809"/>
      <c r="AU1840" s="809">
        <v>0</v>
      </c>
      <c r="AV1840" s="17">
        <f t="shared" si="251"/>
        <v>0</v>
      </c>
      <c r="AW1840" s="809"/>
      <c r="AX1840" s="809"/>
      <c r="AY1840" s="809"/>
      <c r="AZ1840" s="809"/>
      <c r="BA1840" s="809"/>
      <c r="BB1840" s="809"/>
    </row>
    <row r="1841" spans="1:54" s="814" customFormat="1" x14ac:dyDescent="0.15">
      <c r="A1841" s="100">
        <v>43009</v>
      </c>
      <c r="B1841" s="100"/>
      <c r="C1841" s="100" t="s">
        <v>3579</v>
      </c>
      <c r="D1841" s="814">
        <v>5</v>
      </c>
      <c r="E1841" s="814">
        <v>0</v>
      </c>
      <c r="F1841" s="814">
        <v>1</v>
      </c>
      <c r="G1841" s="810">
        <v>200</v>
      </c>
      <c r="H1841" s="814">
        <v>200</v>
      </c>
      <c r="I1841" s="17">
        <v>0</v>
      </c>
      <c r="J1841" s="815"/>
      <c r="K1841" s="814">
        <v>0</v>
      </c>
      <c r="Q1841" s="816"/>
      <c r="R1841" s="816"/>
      <c r="S1841" s="816"/>
      <c r="T1841" s="816"/>
      <c r="Z1841" s="817">
        <v>0</v>
      </c>
      <c r="AB1841" s="818"/>
      <c r="AC1841" s="818"/>
      <c r="AF1841" s="814" t="s">
        <v>3551</v>
      </c>
      <c r="AL1841" s="815"/>
      <c r="AP1841" s="814">
        <v>0</v>
      </c>
      <c r="AU1841" s="814">
        <v>1</v>
      </c>
      <c r="AV1841" s="17">
        <f t="shared" si="251"/>
        <v>0</v>
      </c>
    </row>
    <row r="1842" spans="1:54" s="814" customFormat="1" x14ac:dyDescent="0.15">
      <c r="A1842" s="100">
        <v>43010</v>
      </c>
      <c r="B1842" s="100"/>
      <c r="C1842" s="100" t="s">
        <v>3580</v>
      </c>
      <c r="D1842" s="814">
        <v>5</v>
      </c>
      <c r="E1842" s="814">
        <v>0</v>
      </c>
      <c r="F1842" s="814">
        <v>1</v>
      </c>
      <c r="G1842" s="810">
        <v>200</v>
      </c>
      <c r="H1842" s="814">
        <v>200</v>
      </c>
      <c r="I1842" s="17">
        <v>0</v>
      </c>
      <c r="J1842" s="815"/>
      <c r="K1842" s="814">
        <v>0</v>
      </c>
      <c r="Q1842" s="816"/>
      <c r="R1842" s="816"/>
      <c r="S1842" s="816"/>
      <c r="T1842" s="816"/>
      <c r="Z1842" s="817">
        <v>0</v>
      </c>
      <c r="AB1842" s="818"/>
      <c r="AC1842" s="818"/>
      <c r="AF1842" s="814" t="s">
        <v>3551</v>
      </c>
      <c r="AL1842" s="815"/>
      <c r="AP1842" s="814">
        <v>0</v>
      </c>
      <c r="AU1842" s="814">
        <v>1</v>
      </c>
      <c r="AV1842" s="17">
        <f t="shared" si="251"/>
        <v>0</v>
      </c>
    </row>
    <row r="1843" spans="1:54" x14ac:dyDescent="0.15">
      <c r="A1843" s="686">
        <v>49000</v>
      </c>
      <c r="B1843" s="686"/>
      <c r="C1843" s="686" t="s">
        <v>3581</v>
      </c>
      <c r="D1843" s="814">
        <v>5</v>
      </c>
      <c r="E1843" s="809">
        <v>0</v>
      </c>
      <c r="F1843" s="809">
        <v>1</v>
      </c>
      <c r="G1843" s="810">
        <v>41</v>
      </c>
      <c r="H1843" s="809">
        <v>200</v>
      </c>
      <c r="I1843" s="17">
        <v>0</v>
      </c>
      <c r="J1843" s="810"/>
      <c r="K1843" s="809">
        <v>0</v>
      </c>
      <c r="L1843" s="809"/>
      <c r="M1843" s="809"/>
      <c r="N1843" s="809"/>
      <c r="O1843" s="809"/>
      <c r="P1843" s="809"/>
      <c r="Q1843" s="811"/>
      <c r="R1843" s="811"/>
      <c r="S1843" s="811"/>
      <c r="T1843" s="811"/>
      <c r="U1843" s="809"/>
      <c r="V1843" s="809"/>
      <c r="W1843" s="809"/>
      <c r="X1843" s="809"/>
      <c r="Y1843" s="809"/>
      <c r="Z1843" s="812">
        <v>0</v>
      </c>
      <c r="AA1843" s="809"/>
      <c r="AB1843" s="813"/>
      <c r="AC1843" s="813"/>
      <c r="AD1843" s="809"/>
      <c r="AE1843" s="809"/>
      <c r="AF1843" s="809" t="s">
        <v>3582</v>
      </c>
      <c r="AG1843" s="809"/>
      <c r="AH1843" s="809"/>
      <c r="AI1843" s="809"/>
      <c r="AJ1843" s="809"/>
      <c r="AK1843" s="809"/>
      <c r="AL1843" s="810"/>
      <c r="AM1843" s="809"/>
      <c r="AN1843" s="809"/>
      <c r="AO1843" s="809"/>
      <c r="AP1843" s="809">
        <v>0</v>
      </c>
      <c r="AQ1843" s="809"/>
      <c r="AR1843" s="809"/>
      <c r="AS1843" s="809"/>
      <c r="AT1843" s="809"/>
      <c r="AU1843" s="809">
        <v>0</v>
      </c>
      <c r="AV1843" s="17">
        <f t="shared" si="251"/>
        <v>0</v>
      </c>
      <c r="AW1843" s="809"/>
      <c r="AX1843" s="809"/>
      <c r="AY1843" s="809"/>
      <c r="AZ1843" s="809"/>
      <c r="BA1843" s="809"/>
      <c r="BB1843" s="809"/>
    </row>
    <row r="1844" spans="1:54" x14ac:dyDescent="0.15">
      <c r="A1844" s="686">
        <v>49001</v>
      </c>
      <c r="B1844" s="686"/>
      <c r="C1844" s="686" t="s">
        <v>3583</v>
      </c>
      <c r="D1844" s="814">
        <v>5</v>
      </c>
      <c r="E1844" s="809">
        <v>0</v>
      </c>
      <c r="F1844" s="809">
        <v>1</v>
      </c>
      <c r="G1844" s="810">
        <v>41</v>
      </c>
      <c r="H1844" s="809">
        <v>200</v>
      </c>
      <c r="I1844" s="17">
        <v>0</v>
      </c>
      <c r="J1844" s="810"/>
      <c r="K1844" s="809">
        <v>0</v>
      </c>
      <c r="L1844" s="809"/>
      <c r="M1844" s="809"/>
      <c r="N1844" s="809"/>
      <c r="O1844" s="809"/>
      <c r="P1844" s="809"/>
      <c r="Q1844" s="811"/>
      <c r="R1844" s="811"/>
      <c r="S1844" s="811"/>
      <c r="T1844" s="811"/>
      <c r="U1844" s="809"/>
      <c r="V1844" s="809"/>
      <c r="W1844" s="809"/>
      <c r="X1844" s="809"/>
      <c r="Y1844" s="809"/>
      <c r="Z1844" s="812">
        <v>0</v>
      </c>
      <c r="AA1844" s="809"/>
      <c r="AB1844" s="813"/>
      <c r="AC1844" s="813"/>
      <c r="AD1844" s="809"/>
      <c r="AE1844" s="809"/>
      <c r="AF1844" s="809" t="s">
        <v>3584</v>
      </c>
      <c r="AG1844" s="809"/>
      <c r="AH1844" s="809"/>
      <c r="AI1844" s="809"/>
      <c r="AJ1844" s="809"/>
      <c r="AK1844" s="809"/>
      <c r="AL1844" s="810"/>
      <c r="AM1844" s="809"/>
      <c r="AN1844" s="809"/>
      <c r="AO1844" s="809"/>
      <c r="AP1844" s="809">
        <v>0</v>
      </c>
      <c r="AQ1844" s="809"/>
      <c r="AR1844" s="809"/>
      <c r="AS1844" s="809"/>
      <c r="AT1844" s="809"/>
      <c r="AU1844" s="809">
        <v>0</v>
      </c>
      <c r="AV1844" s="17">
        <f t="shared" si="251"/>
        <v>0</v>
      </c>
      <c r="AW1844" s="809"/>
      <c r="AX1844" s="809"/>
      <c r="AY1844" s="809"/>
      <c r="AZ1844" s="809"/>
      <c r="BA1844" s="809"/>
      <c r="BB1844" s="809"/>
    </row>
    <row r="1845" spans="1:54" x14ac:dyDescent="0.15">
      <c r="A1845" s="686">
        <v>49002</v>
      </c>
      <c r="B1845" s="686"/>
      <c r="C1845" s="686" t="s">
        <v>3585</v>
      </c>
      <c r="D1845" s="814">
        <v>5</v>
      </c>
      <c r="E1845" s="809">
        <v>0</v>
      </c>
      <c r="F1845" s="809">
        <v>1</v>
      </c>
      <c r="G1845" s="810">
        <v>41</v>
      </c>
      <c r="H1845" s="809">
        <v>200</v>
      </c>
      <c r="I1845" s="17">
        <v>0</v>
      </c>
      <c r="J1845" s="810"/>
      <c r="K1845" s="809">
        <v>0</v>
      </c>
      <c r="L1845" s="809"/>
      <c r="M1845" s="809"/>
      <c r="N1845" s="809"/>
      <c r="O1845" s="809"/>
      <c r="P1845" s="809"/>
      <c r="Q1845" s="811"/>
      <c r="R1845" s="811"/>
      <c r="S1845" s="811"/>
      <c r="T1845" s="811"/>
      <c r="U1845" s="809"/>
      <c r="V1845" s="809"/>
      <c r="W1845" s="809"/>
      <c r="X1845" s="809"/>
      <c r="Y1845" s="809"/>
      <c r="Z1845" s="812">
        <v>0</v>
      </c>
      <c r="AA1845" s="809"/>
      <c r="AB1845" s="813"/>
      <c r="AC1845" s="813"/>
      <c r="AD1845" s="809"/>
      <c r="AE1845" s="809"/>
      <c r="AF1845" s="809" t="s">
        <v>3586</v>
      </c>
      <c r="AG1845" s="809"/>
      <c r="AH1845" s="809"/>
      <c r="AI1845" s="809"/>
      <c r="AJ1845" s="809"/>
      <c r="AK1845" s="809"/>
      <c r="AL1845" s="810"/>
      <c r="AM1845" s="809"/>
      <c r="AN1845" s="809"/>
      <c r="AO1845" s="809"/>
      <c r="AP1845" s="809">
        <v>0</v>
      </c>
      <c r="AQ1845" s="809"/>
      <c r="AR1845" s="809"/>
      <c r="AS1845" s="809"/>
      <c r="AT1845" s="809"/>
      <c r="AU1845" s="809">
        <v>0</v>
      </c>
      <c r="AV1845" s="17">
        <f t="shared" si="251"/>
        <v>0</v>
      </c>
      <c r="AW1845" s="809"/>
      <c r="AX1845" s="809"/>
      <c r="AY1845" s="809"/>
      <c r="AZ1845" s="809"/>
      <c r="BA1845" s="809"/>
      <c r="BB1845" s="809"/>
    </row>
    <row r="1846" spans="1:54" x14ac:dyDescent="0.15">
      <c r="A1846" s="686">
        <v>49003</v>
      </c>
      <c r="B1846" s="686"/>
      <c r="C1846" s="686" t="s">
        <v>3587</v>
      </c>
      <c r="D1846" s="814">
        <v>5</v>
      </c>
      <c r="E1846" s="809">
        <v>0</v>
      </c>
      <c r="F1846" s="809">
        <v>1</v>
      </c>
      <c r="G1846" s="810">
        <v>41</v>
      </c>
      <c r="H1846" s="809">
        <v>200</v>
      </c>
      <c r="I1846" s="17">
        <v>0</v>
      </c>
      <c r="J1846" s="810"/>
      <c r="K1846" s="809">
        <v>0</v>
      </c>
      <c r="L1846" s="809"/>
      <c r="M1846" s="809"/>
      <c r="N1846" s="809"/>
      <c r="O1846" s="809"/>
      <c r="P1846" s="809"/>
      <c r="Q1846" s="811"/>
      <c r="R1846" s="811"/>
      <c r="S1846" s="811"/>
      <c r="T1846" s="811"/>
      <c r="U1846" s="809"/>
      <c r="V1846" s="809"/>
      <c r="W1846" s="809"/>
      <c r="X1846" s="809"/>
      <c r="Y1846" s="809"/>
      <c r="Z1846" s="812">
        <v>0</v>
      </c>
      <c r="AA1846" s="809"/>
      <c r="AB1846" s="813"/>
      <c r="AC1846" s="813"/>
      <c r="AD1846" s="809"/>
      <c r="AE1846" s="809"/>
      <c r="AF1846" s="809" t="s">
        <v>3588</v>
      </c>
      <c r="AG1846" s="809"/>
      <c r="AH1846" s="809"/>
      <c r="AI1846" s="809"/>
      <c r="AJ1846" s="809"/>
      <c r="AK1846" s="809"/>
      <c r="AL1846" s="810"/>
      <c r="AM1846" s="809"/>
      <c r="AN1846" s="809"/>
      <c r="AO1846" s="809"/>
      <c r="AP1846" s="809">
        <v>0</v>
      </c>
      <c r="AQ1846" s="809"/>
      <c r="AR1846" s="809"/>
      <c r="AS1846" s="809"/>
      <c r="AT1846" s="809"/>
      <c r="AU1846" s="809">
        <v>0</v>
      </c>
      <c r="AV1846" s="17">
        <f t="shared" si="251"/>
        <v>0</v>
      </c>
      <c r="AW1846" s="809"/>
      <c r="AX1846" s="809"/>
      <c r="AY1846" s="809"/>
      <c r="AZ1846" s="809"/>
      <c r="BA1846" s="809"/>
      <c r="BB1846" s="809"/>
    </row>
    <row r="1847" spans="1:54" x14ac:dyDescent="0.15">
      <c r="A1847" s="686">
        <v>49004</v>
      </c>
      <c r="B1847" s="686"/>
      <c r="C1847" s="686" t="s">
        <v>3589</v>
      </c>
      <c r="D1847" s="814">
        <v>5</v>
      </c>
      <c r="E1847" s="809">
        <v>0</v>
      </c>
      <c r="F1847" s="809">
        <v>1</v>
      </c>
      <c r="G1847" s="810">
        <v>41</v>
      </c>
      <c r="H1847" s="809">
        <v>200</v>
      </c>
      <c r="I1847" s="17">
        <v>0</v>
      </c>
      <c r="J1847" s="810"/>
      <c r="K1847" s="809">
        <v>0</v>
      </c>
      <c r="L1847" s="809"/>
      <c r="M1847" s="809"/>
      <c r="N1847" s="809"/>
      <c r="O1847" s="809"/>
      <c r="P1847" s="809"/>
      <c r="Q1847" s="811"/>
      <c r="R1847" s="811"/>
      <c r="S1847" s="811"/>
      <c r="T1847" s="811"/>
      <c r="U1847" s="809"/>
      <c r="V1847" s="809"/>
      <c r="W1847" s="809"/>
      <c r="X1847" s="809"/>
      <c r="Y1847" s="809"/>
      <c r="Z1847" s="812">
        <v>0</v>
      </c>
      <c r="AA1847" s="809"/>
      <c r="AB1847" s="813"/>
      <c r="AC1847" s="813"/>
      <c r="AD1847" s="809"/>
      <c r="AE1847" s="809"/>
      <c r="AF1847" s="809" t="s">
        <v>3590</v>
      </c>
      <c r="AG1847" s="809"/>
      <c r="AH1847" s="809"/>
      <c r="AI1847" s="809"/>
      <c r="AJ1847" s="809"/>
      <c r="AK1847" s="809"/>
      <c r="AL1847" s="810"/>
      <c r="AM1847" s="809"/>
      <c r="AN1847" s="809"/>
      <c r="AO1847" s="809"/>
      <c r="AP1847" s="809">
        <v>0</v>
      </c>
      <c r="AQ1847" s="809"/>
      <c r="AR1847" s="809"/>
      <c r="AS1847" s="809"/>
      <c r="AT1847" s="809"/>
      <c r="AU1847" s="809">
        <v>0</v>
      </c>
      <c r="AV1847" s="17">
        <f t="shared" si="251"/>
        <v>0</v>
      </c>
      <c r="AW1847" s="809"/>
      <c r="AX1847" s="809"/>
      <c r="AY1847" s="809"/>
      <c r="AZ1847" s="809"/>
      <c r="BA1847" s="809"/>
      <c r="BB1847" s="809"/>
    </row>
    <row r="1848" spans="1:54" s="819" customFormat="1" x14ac:dyDescent="0.15">
      <c r="A1848" s="677">
        <v>49101</v>
      </c>
      <c r="B1848" s="677"/>
      <c r="C1848" s="677" t="s">
        <v>4803</v>
      </c>
      <c r="D1848" s="814">
        <v>5</v>
      </c>
      <c r="E1848" s="819">
        <v>0</v>
      </c>
      <c r="F1848" s="819">
        <v>1</v>
      </c>
      <c r="G1848" s="820">
        <v>41</v>
      </c>
      <c r="H1848" s="819">
        <v>200</v>
      </c>
      <c r="I1848" s="17">
        <v>0</v>
      </c>
      <c r="J1848" s="820"/>
      <c r="K1848" s="819">
        <v>0</v>
      </c>
      <c r="Q1848" s="821"/>
      <c r="R1848" s="821"/>
      <c r="S1848" s="821"/>
      <c r="T1848" s="821"/>
      <c r="Z1848" s="822">
        <v>0</v>
      </c>
      <c r="AB1848" s="823"/>
      <c r="AC1848" s="823"/>
      <c r="AF1848" s="819" t="s">
        <v>4066</v>
      </c>
      <c r="AL1848" s="820"/>
      <c r="AP1848" s="819">
        <v>0</v>
      </c>
      <c r="AU1848" s="819">
        <v>1</v>
      </c>
      <c r="AV1848" s="17">
        <f t="shared" si="251"/>
        <v>0</v>
      </c>
    </row>
    <row r="1849" spans="1:54" s="819" customFormat="1" x14ac:dyDescent="0.15">
      <c r="A1849" s="677">
        <v>49102</v>
      </c>
      <c r="B1849" s="677"/>
      <c r="C1849" s="677" t="s">
        <v>4067</v>
      </c>
      <c r="D1849" s="814">
        <v>5</v>
      </c>
      <c r="E1849" s="819">
        <v>0</v>
      </c>
      <c r="F1849" s="819">
        <v>1</v>
      </c>
      <c r="G1849" s="820">
        <v>41</v>
      </c>
      <c r="H1849" s="819">
        <v>200</v>
      </c>
      <c r="I1849" s="17">
        <v>0</v>
      </c>
      <c r="J1849" s="820"/>
      <c r="K1849" s="819">
        <v>0</v>
      </c>
      <c r="Q1849" s="821"/>
      <c r="R1849" s="821"/>
      <c r="S1849" s="821"/>
      <c r="T1849" s="821"/>
      <c r="Z1849" s="822">
        <v>0</v>
      </c>
      <c r="AB1849" s="823"/>
      <c r="AC1849" s="823"/>
      <c r="AF1849" s="819" t="s">
        <v>4066</v>
      </c>
      <c r="AL1849" s="820"/>
      <c r="AP1849" s="819">
        <v>0</v>
      </c>
      <c r="AU1849" s="819">
        <v>1</v>
      </c>
      <c r="AV1849" s="17">
        <f t="shared" si="251"/>
        <v>0</v>
      </c>
    </row>
    <row r="1850" spans="1:54" s="819" customFormat="1" x14ac:dyDescent="0.15">
      <c r="A1850" s="677">
        <v>49103</v>
      </c>
      <c r="B1850" s="677"/>
      <c r="C1850" s="677" t="s">
        <v>4068</v>
      </c>
      <c r="D1850" s="814">
        <v>5</v>
      </c>
      <c r="E1850" s="819">
        <v>0</v>
      </c>
      <c r="F1850" s="819">
        <v>1</v>
      </c>
      <c r="G1850" s="820">
        <v>41</v>
      </c>
      <c r="H1850" s="819">
        <v>200</v>
      </c>
      <c r="I1850" s="17">
        <v>0</v>
      </c>
      <c r="J1850" s="820"/>
      <c r="K1850" s="819">
        <v>0</v>
      </c>
      <c r="Q1850" s="821"/>
      <c r="R1850" s="821"/>
      <c r="S1850" s="821"/>
      <c r="T1850" s="821"/>
      <c r="Z1850" s="822">
        <v>0</v>
      </c>
      <c r="AB1850" s="823"/>
      <c r="AC1850" s="823"/>
      <c r="AF1850" s="819" t="s">
        <v>4066</v>
      </c>
      <c r="AL1850" s="820"/>
      <c r="AP1850" s="819">
        <v>0</v>
      </c>
      <c r="AU1850" s="819">
        <v>1</v>
      </c>
      <c r="AV1850" s="17">
        <f t="shared" si="251"/>
        <v>0</v>
      </c>
    </row>
    <row r="1851" spans="1:54" s="819" customFormat="1" x14ac:dyDescent="0.15">
      <c r="A1851" s="677">
        <v>49104</v>
      </c>
      <c r="B1851" s="677"/>
      <c r="C1851" s="677" t="s">
        <v>4069</v>
      </c>
      <c r="D1851" s="814">
        <v>5</v>
      </c>
      <c r="E1851" s="819">
        <v>0</v>
      </c>
      <c r="F1851" s="819">
        <v>1</v>
      </c>
      <c r="G1851" s="820">
        <v>41</v>
      </c>
      <c r="H1851" s="819">
        <v>200</v>
      </c>
      <c r="I1851" s="17">
        <v>0</v>
      </c>
      <c r="J1851" s="820"/>
      <c r="K1851" s="819">
        <v>0</v>
      </c>
      <c r="Q1851" s="821"/>
      <c r="R1851" s="821"/>
      <c r="S1851" s="821"/>
      <c r="T1851" s="821"/>
      <c r="Z1851" s="822">
        <v>0</v>
      </c>
      <c r="AB1851" s="823"/>
      <c r="AC1851" s="823"/>
      <c r="AF1851" s="819" t="s">
        <v>4066</v>
      </c>
      <c r="AL1851" s="820"/>
      <c r="AP1851" s="819">
        <v>0</v>
      </c>
      <c r="AU1851" s="819">
        <v>1</v>
      </c>
      <c r="AV1851" s="17">
        <f t="shared" si="251"/>
        <v>0</v>
      </c>
    </row>
    <row r="1852" spans="1:54" s="819" customFormat="1" x14ac:dyDescent="0.15">
      <c r="A1852" s="677">
        <v>49105</v>
      </c>
      <c r="B1852" s="677"/>
      <c r="C1852" s="677" t="s">
        <v>4224</v>
      </c>
      <c r="D1852" s="814">
        <v>5</v>
      </c>
      <c r="E1852" s="819">
        <v>0</v>
      </c>
      <c r="F1852" s="819">
        <v>1</v>
      </c>
      <c r="G1852" s="820">
        <v>41</v>
      </c>
      <c r="H1852" s="819">
        <v>200</v>
      </c>
      <c r="I1852" s="17">
        <v>0</v>
      </c>
      <c r="J1852" s="820"/>
      <c r="K1852" s="819">
        <v>0</v>
      </c>
      <c r="Q1852" s="821"/>
      <c r="R1852" s="821"/>
      <c r="S1852" s="821"/>
      <c r="T1852" s="821"/>
      <c r="Z1852" s="822">
        <v>0</v>
      </c>
      <c r="AB1852" s="823"/>
      <c r="AC1852" s="823"/>
      <c r="AF1852" s="819" t="s">
        <v>4066</v>
      </c>
      <c r="AL1852" s="820"/>
      <c r="AP1852" s="819">
        <v>0</v>
      </c>
      <c r="AU1852" s="819">
        <v>1</v>
      </c>
      <c r="AV1852" s="17">
        <f t="shared" si="251"/>
        <v>0</v>
      </c>
    </row>
    <row r="1853" spans="1:54" s="819" customFormat="1" x14ac:dyDescent="0.15">
      <c r="A1853" s="677">
        <v>49106</v>
      </c>
      <c r="B1853" s="677"/>
      <c r="C1853" s="677" t="s">
        <v>4585</v>
      </c>
      <c r="D1853" s="814">
        <v>5</v>
      </c>
      <c r="E1853" s="819">
        <v>0</v>
      </c>
      <c r="F1853" s="819">
        <v>1</v>
      </c>
      <c r="G1853" s="820">
        <v>41</v>
      </c>
      <c r="H1853" s="819">
        <v>200</v>
      </c>
      <c r="I1853" s="17">
        <v>0</v>
      </c>
      <c r="J1853" s="820"/>
      <c r="K1853" s="819">
        <v>0</v>
      </c>
      <c r="Q1853" s="821"/>
      <c r="R1853" s="821"/>
      <c r="S1853" s="821"/>
      <c r="T1853" s="821"/>
      <c r="Z1853" s="822">
        <v>0</v>
      </c>
      <c r="AB1853" s="823"/>
      <c r="AC1853" s="823"/>
      <c r="AF1853" s="819" t="s">
        <v>4066</v>
      </c>
      <c r="AL1853" s="820"/>
      <c r="AP1853" s="819">
        <v>0</v>
      </c>
      <c r="AU1853" s="819">
        <v>1</v>
      </c>
      <c r="AV1853" s="17">
        <f t="shared" si="251"/>
        <v>0</v>
      </c>
    </row>
    <row r="1854" spans="1:54" s="819" customFormat="1" x14ac:dyDescent="0.15">
      <c r="A1854" s="677">
        <v>49107</v>
      </c>
      <c r="B1854" s="677"/>
      <c r="C1854" s="677" t="s">
        <v>4606</v>
      </c>
      <c r="D1854" s="814">
        <v>5</v>
      </c>
      <c r="E1854" s="819">
        <v>0</v>
      </c>
      <c r="F1854" s="819">
        <v>1</v>
      </c>
      <c r="G1854" s="820">
        <v>41</v>
      </c>
      <c r="H1854" s="819">
        <v>200</v>
      </c>
      <c r="I1854" s="17">
        <v>0</v>
      </c>
      <c r="J1854" s="820"/>
      <c r="K1854" s="819">
        <v>0</v>
      </c>
      <c r="Q1854" s="821"/>
      <c r="R1854" s="821"/>
      <c r="S1854" s="821"/>
      <c r="T1854" s="821"/>
      <c r="Z1854" s="822">
        <v>0</v>
      </c>
      <c r="AB1854" s="823"/>
      <c r="AC1854" s="823"/>
      <c r="AF1854" s="819" t="s">
        <v>4066</v>
      </c>
      <c r="AL1854" s="820"/>
      <c r="AP1854" s="819">
        <v>0</v>
      </c>
      <c r="AU1854" s="819">
        <v>1</v>
      </c>
      <c r="AV1854" s="17">
        <f t="shared" si="251"/>
        <v>0</v>
      </c>
    </row>
    <row r="1855" spans="1:54" s="819" customFormat="1" x14ac:dyDescent="0.15">
      <c r="A1855" s="677">
        <v>49108</v>
      </c>
      <c r="B1855" s="677"/>
      <c r="C1855" s="677" t="s">
        <v>4070</v>
      </c>
      <c r="D1855" s="814">
        <v>5</v>
      </c>
      <c r="E1855" s="819">
        <v>0</v>
      </c>
      <c r="F1855" s="819">
        <v>1</v>
      </c>
      <c r="G1855" s="820">
        <v>31</v>
      </c>
      <c r="H1855" s="819">
        <v>200</v>
      </c>
      <c r="I1855" s="17">
        <v>0</v>
      </c>
      <c r="J1855" s="820"/>
      <c r="K1855" s="819">
        <v>0</v>
      </c>
      <c r="Q1855" s="821"/>
      <c r="R1855" s="821"/>
      <c r="S1855" s="821"/>
      <c r="T1855" s="821"/>
      <c r="Z1855" s="822">
        <v>0</v>
      </c>
      <c r="AB1855" s="823"/>
      <c r="AC1855" s="823"/>
      <c r="AF1855" s="819" t="s">
        <v>4066</v>
      </c>
      <c r="AL1855" s="820"/>
      <c r="AP1855" s="819">
        <v>0</v>
      </c>
      <c r="AU1855" s="819">
        <v>1</v>
      </c>
      <c r="AV1855" s="17">
        <f t="shared" si="251"/>
        <v>0</v>
      </c>
    </row>
    <row r="1856" spans="1:54" s="819" customFormat="1" x14ac:dyDescent="0.15">
      <c r="A1856" s="677">
        <v>49109</v>
      </c>
      <c r="B1856" s="677"/>
      <c r="C1856" s="677" t="s">
        <v>4071</v>
      </c>
      <c r="D1856" s="814">
        <v>5</v>
      </c>
      <c r="E1856" s="819">
        <v>0</v>
      </c>
      <c r="F1856" s="819">
        <v>1</v>
      </c>
      <c r="G1856" s="820">
        <v>61</v>
      </c>
      <c r="H1856" s="819">
        <v>200</v>
      </c>
      <c r="I1856" s="17">
        <v>0</v>
      </c>
      <c r="J1856" s="820"/>
      <c r="K1856" s="819">
        <v>0</v>
      </c>
      <c r="Q1856" s="821"/>
      <c r="R1856" s="821"/>
      <c r="S1856" s="821"/>
      <c r="T1856" s="821"/>
      <c r="Z1856" s="822">
        <v>0</v>
      </c>
      <c r="AB1856" s="823"/>
      <c r="AC1856" s="823"/>
      <c r="AF1856" s="819" t="s">
        <v>4066</v>
      </c>
      <c r="AL1856" s="820"/>
      <c r="AP1856" s="819">
        <v>0</v>
      </c>
      <c r="AU1856" s="819">
        <v>1</v>
      </c>
      <c r="AV1856" s="17">
        <f t="shared" si="251"/>
        <v>0</v>
      </c>
    </row>
    <row r="1857" spans="1:48" s="819" customFormat="1" x14ac:dyDescent="0.15">
      <c r="A1857" s="677">
        <v>49110</v>
      </c>
      <c r="B1857" s="677"/>
      <c r="C1857" s="677" t="s">
        <v>4072</v>
      </c>
      <c r="D1857" s="814">
        <v>5</v>
      </c>
      <c r="E1857" s="819">
        <v>0</v>
      </c>
      <c r="F1857" s="819">
        <v>1</v>
      </c>
      <c r="G1857" s="820">
        <v>70</v>
      </c>
      <c r="H1857" s="819">
        <v>200</v>
      </c>
      <c r="I1857" s="17">
        <v>0</v>
      </c>
      <c r="J1857" s="820"/>
      <c r="K1857" s="819">
        <v>0</v>
      </c>
      <c r="Q1857" s="821"/>
      <c r="R1857" s="821"/>
      <c r="S1857" s="821"/>
      <c r="T1857" s="821"/>
      <c r="Z1857" s="822">
        <v>0</v>
      </c>
      <c r="AB1857" s="823"/>
      <c r="AC1857" s="823"/>
      <c r="AF1857" s="819" t="s">
        <v>4066</v>
      </c>
      <c r="AL1857" s="820"/>
      <c r="AP1857" s="819">
        <v>0</v>
      </c>
      <c r="AU1857" s="819">
        <v>1</v>
      </c>
      <c r="AV1857" s="17">
        <f t="shared" si="251"/>
        <v>0</v>
      </c>
    </row>
    <row r="1858" spans="1:48" s="819" customFormat="1" x14ac:dyDescent="0.15">
      <c r="A1858" s="677">
        <v>49111</v>
      </c>
      <c r="B1858" s="677"/>
      <c r="C1858" s="677" t="s">
        <v>4073</v>
      </c>
      <c r="D1858" s="814">
        <v>5</v>
      </c>
      <c r="E1858" s="819">
        <v>0</v>
      </c>
      <c r="F1858" s="819">
        <v>1</v>
      </c>
      <c r="G1858" s="820">
        <v>70</v>
      </c>
      <c r="H1858" s="819">
        <v>200</v>
      </c>
      <c r="I1858" s="17">
        <v>0</v>
      </c>
      <c r="J1858" s="820"/>
      <c r="K1858" s="819">
        <v>0</v>
      </c>
      <c r="Q1858" s="821"/>
      <c r="R1858" s="821"/>
      <c r="S1858" s="821"/>
      <c r="T1858" s="821"/>
      <c r="Z1858" s="822">
        <v>0</v>
      </c>
      <c r="AB1858" s="823"/>
      <c r="AC1858" s="823"/>
      <c r="AF1858" s="819" t="s">
        <v>4066</v>
      </c>
      <c r="AL1858" s="820"/>
      <c r="AP1858" s="819">
        <v>0</v>
      </c>
      <c r="AU1858" s="819">
        <v>1</v>
      </c>
      <c r="AV1858" s="17">
        <f t="shared" si="251"/>
        <v>0</v>
      </c>
    </row>
    <row r="1859" spans="1:48" s="819" customFormat="1" x14ac:dyDescent="0.15">
      <c r="A1859" s="677">
        <v>49112</v>
      </c>
      <c r="B1859" s="677"/>
      <c r="C1859" s="677" t="s">
        <v>4074</v>
      </c>
      <c r="D1859" s="814">
        <v>5</v>
      </c>
      <c r="E1859" s="819">
        <v>0</v>
      </c>
      <c r="F1859" s="819">
        <v>1</v>
      </c>
      <c r="G1859" s="820">
        <v>80</v>
      </c>
      <c r="H1859" s="819">
        <v>200</v>
      </c>
      <c r="I1859" s="17">
        <v>0</v>
      </c>
      <c r="J1859" s="820"/>
      <c r="K1859" s="819">
        <v>0</v>
      </c>
      <c r="Q1859" s="821"/>
      <c r="R1859" s="821"/>
      <c r="S1859" s="821"/>
      <c r="T1859" s="821"/>
      <c r="Z1859" s="822">
        <v>0</v>
      </c>
      <c r="AB1859" s="823"/>
      <c r="AC1859" s="823"/>
      <c r="AF1859" s="819" t="s">
        <v>4066</v>
      </c>
      <c r="AL1859" s="820"/>
      <c r="AP1859" s="819">
        <v>0</v>
      </c>
      <c r="AU1859" s="819">
        <v>1</v>
      </c>
      <c r="AV1859" s="17">
        <f t="shared" si="251"/>
        <v>0</v>
      </c>
    </row>
    <row r="1860" spans="1:48" s="819" customFormat="1" x14ac:dyDescent="0.15">
      <c r="A1860" s="677">
        <v>49113</v>
      </c>
      <c r="B1860" s="677"/>
      <c r="C1860" s="677" t="s">
        <v>4075</v>
      </c>
      <c r="D1860" s="814">
        <v>5</v>
      </c>
      <c r="E1860" s="819">
        <v>0</v>
      </c>
      <c r="F1860" s="819">
        <v>1</v>
      </c>
      <c r="G1860" s="820">
        <v>81</v>
      </c>
      <c r="H1860" s="819">
        <v>200</v>
      </c>
      <c r="I1860" s="17">
        <v>0</v>
      </c>
      <c r="J1860" s="820"/>
      <c r="K1860" s="819">
        <v>0</v>
      </c>
      <c r="Q1860" s="821"/>
      <c r="R1860" s="821"/>
      <c r="S1860" s="821"/>
      <c r="T1860" s="821"/>
      <c r="Z1860" s="822">
        <v>0</v>
      </c>
      <c r="AB1860" s="823"/>
      <c r="AC1860" s="823"/>
      <c r="AF1860" s="819" t="s">
        <v>4066</v>
      </c>
      <c r="AL1860" s="820"/>
      <c r="AP1860" s="819">
        <v>0</v>
      </c>
      <c r="AU1860" s="819">
        <v>1</v>
      </c>
      <c r="AV1860" s="17">
        <f t="shared" si="251"/>
        <v>0</v>
      </c>
    </row>
    <row r="1861" spans="1:48" s="819" customFormat="1" x14ac:dyDescent="0.15">
      <c r="A1861" s="677">
        <v>49114</v>
      </c>
      <c r="B1861" s="677"/>
      <c r="C1861" s="677" t="s">
        <v>4076</v>
      </c>
      <c r="D1861" s="814">
        <v>5</v>
      </c>
      <c r="E1861" s="819">
        <v>0</v>
      </c>
      <c r="F1861" s="819">
        <v>1</v>
      </c>
      <c r="G1861" s="820">
        <v>41</v>
      </c>
      <c r="H1861" s="819">
        <v>200</v>
      </c>
      <c r="I1861" s="17">
        <v>0</v>
      </c>
      <c r="J1861" s="820"/>
      <c r="K1861" s="819">
        <v>0</v>
      </c>
      <c r="Q1861" s="821"/>
      <c r="R1861" s="821"/>
      <c r="S1861" s="821"/>
      <c r="T1861" s="821"/>
      <c r="Z1861" s="822">
        <v>0</v>
      </c>
      <c r="AB1861" s="823"/>
      <c r="AC1861" s="823"/>
      <c r="AF1861" s="819" t="s">
        <v>4066</v>
      </c>
      <c r="AL1861" s="820"/>
      <c r="AP1861" s="819">
        <v>0</v>
      </c>
      <c r="AU1861" s="819">
        <v>1</v>
      </c>
      <c r="AV1861" s="17">
        <f t="shared" si="251"/>
        <v>0</v>
      </c>
    </row>
    <row r="1862" spans="1:48" s="819" customFormat="1" x14ac:dyDescent="0.15">
      <c r="A1862" s="677">
        <v>49115</v>
      </c>
      <c r="B1862" s="677"/>
      <c r="C1862" s="677" t="s">
        <v>4077</v>
      </c>
      <c r="D1862" s="814">
        <v>5</v>
      </c>
      <c r="E1862" s="819">
        <v>0</v>
      </c>
      <c r="F1862" s="819">
        <v>1</v>
      </c>
      <c r="G1862" s="820">
        <v>61</v>
      </c>
      <c r="H1862" s="819">
        <v>200</v>
      </c>
      <c r="I1862" s="17">
        <v>0</v>
      </c>
      <c r="J1862" s="820"/>
      <c r="K1862" s="819">
        <v>0</v>
      </c>
      <c r="Q1862" s="821"/>
      <c r="R1862" s="821"/>
      <c r="S1862" s="821"/>
      <c r="T1862" s="821"/>
      <c r="Z1862" s="822">
        <v>0</v>
      </c>
      <c r="AB1862" s="823"/>
      <c r="AC1862" s="823"/>
      <c r="AF1862" s="819" t="s">
        <v>4066</v>
      </c>
      <c r="AL1862" s="820"/>
      <c r="AP1862" s="819">
        <v>0</v>
      </c>
      <c r="AU1862" s="819">
        <v>1</v>
      </c>
      <c r="AV1862" s="17">
        <f t="shared" si="251"/>
        <v>0</v>
      </c>
    </row>
    <row r="1863" spans="1:48" s="819" customFormat="1" x14ac:dyDescent="0.15">
      <c r="A1863" s="677">
        <v>49116</v>
      </c>
      <c r="B1863" s="677"/>
      <c r="C1863" s="677" t="s">
        <v>4078</v>
      </c>
      <c r="D1863" s="814">
        <v>5</v>
      </c>
      <c r="E1863" s="819">
        <v>0</v>
      </c>
      <c r="F1863" s="819">
        <v>1</v>
      </c>
      <c r="G1863" s="820">
        <v>71</v>
      </c>
      <c r="H1863" s="819">
        <v>200</v>
      </c>
      <c r="I1863" s="17">
        <v>0</v>
      </c>
      <c r="J1863" s="820"/>
      <c r="K1863" s="819">
        <v>0</v>
      </c>
      <c r="Q1863" s="821"/>
      <c r="R1863" s="821"/>
      <c r="S1863" s="821"/>
      <c r="T1863" s="821"/>
      <c r="Z1863" s="822">
        <v>0</v>
      </c>
      <c r="AB1863" s="823"/>
      <c r="AC1863" s="823"/>
      <c r="AF1863" s="819" t="s">
        <v>4066</v>
      </c>
      <c r="AL1863" s="820"/>
      <c r="AP1863" s="819">
        <v>0</v>
      </c>
      <c r="AU1863" s="819">
        <v>1</v>
      </c>
      <c r="AV1863" s="17">
        <f t="shared" si="251"/>
        <v>0</v>
      </c>
    </row>
    <row r="1864" spans="1:48" s="825" customFormat="1" x14ac:dyDescent="0.15">
      <c r="A1864" s="824">
        <v>49201</v>
      </c>
      <c r="B1864" s="824"/>
      <c r="C1864" s="824" t="s">
        <v>4581</v>
      </c>
      <c r="D1864" s="814">
        <v>5</v>
      </c>
      <c r="E1864" s="825">
        <v>0</v>
      </c>
      <c r="F1864" s="825">
        <v>1</v>
      </c>
      <c r="G1864" s="826">
        <v>21</v>
      </c>
      <c r="H1864" s="825">
        <v>200</v>
      </c>
      <c r="I1864" s="17">
        <v>0</v>
      </c>
      <c r="J1864" s="826"/>
      <c r="K1864" s="825">
        <v>0</v>
      </c>
      <c r="Q1864" s="827"/>
      <c r="R1864" s="827"/>
      <c r="S1864" s="827"/>
      <c r="T1864" s="827"/>
      <c r="Z1864" s="828">
        <v>0</v>
      </c>
      <c r="AB1864" s="829"/>
      <c r="AC1864" s="829"/>
      <c r="AF1864" s="825" t="s">
        <v>4079</v>
      </c>
      <c r="AL1864" s="826"/>
      <c r="AP1864" s="825">
        <v>0</v>
      </c>
      <c r="AU1864" s="825">
        <v>1</v>
      </c>
      <c r="AV1864" s="17">
        <f t="shared" si="251"/>
        <v>0</v>
      </c>
    </row>
    <row r="1865" spans="1:48" s="825" customFormat="1" ht="24" x14ac:dyDescent="0.15">
      <c r="A1865" s="824">
        <v>49202</v>
      </c>
      <c r="B1865" s="824"/>
      <c r="C1865" s="824" t="s">
        <v>4804</v>
      </c>
      <c r="D1865" s="814">
        <v>5</v>
      </c>
      <c r="E1865" s="825">
        <v>0</v>
      </c>
      <c r="F1865" s="825">
        <v>1</v>
      </c>
      <c r="G1865" s="826">
        <v>21</v>
      </c>
      <c r="H1865" s="825">
        <v>200</v>
      </c>
      <c r="I1865" s="17">
        <v>0</v>
      </c>
      <c r="J1865" s="826"/>
      <c r="K1865" s="825">
        <v>0</v>
      </c>
      <c r="Q1865" s="827"/>
      <c r="R1865" s="827"/>
      <c r="S1865" s="827"/>
      <c r="T1865" s="827"/>
      <c r="Z1865" s="828">
        <v>0</v>
      </c>
      <c r="AB1865" s="829"/>
      <c r="AC1865" s="829"/>
      <c r="AF1865" s="825" t="s">
        <v>4079</v>
      </c>
      <c r="AL1865" s="826"/>
      <c r="AP1865" s="825">
        <v>0</v>
      </c>
      <c r="AU1865" s="825">
        <v>1</v>
      </c>
      <c r="AV1865" s="17">
        <f t="shared" si="251"/>
        <v>0</v>
      </c>
    </row>
    <row r="1866" spans="1:48" s="825" customFormat="1" x14ac:dyDescent="0.15">
      <c r="A1866" s="824">
        <v>49203</v>
      </c>
      <c r="B1866" s="824"/>
      <c r="C1866" s="824" t="s">
        <v>4080</v>
      </c>
      <c r="D1866" s="814">
        <v>5</v>
      </c>
      <c r="E1866" s="825">
        <v>0</v>
      </c>
      <c r="F1866" s="825">
        <v>1</v>
      </c>
      <c r="G1866" s="826">
        <v>41</v>
      </c>
      <c r="H1866" s="825">
        <v>200</v>
      </c>
      <c r="I1866" s="17">
        <v>0</v>
      </c>
      <c r="J1866" s="826"/>
      <c r="K1866" s="825">
        <v>0</v>
      </c>
      <c r="Q1866" s="827"/>
      <c r="R1866" s="827"/>
      <c r="S1866" s="827"/>
      <c r="T1866" s="827"/>
      <c r="Z1866" s="828">
        <v>0</v>
      </c>
      <c r="AB1866" s="829"/>
      <c r="AC1866" s="829"/>
      <c r="AF1866" s="825" t="s">
        <v>4079</v>
      </c>
      <c r="AL1866" s="826"/>
      <c r="AP1866" s="825">
        <v>0</v>
      </c>
      <c r="AU1866" s="825">
        <v>1</v>
      </c>
      <c r="AV1866" s="17">
        <f t="shared" si="251"/>
        <v>0</v>
      </c>
    </row>
    <row r="1867" spans="1:48" s="825" customFormat="1" x14ac:dyDescent="0.15">
      <c r="A1867" s="824">
        <v>49204</v>
      </c>
      <c r="B1867" s="824"/>
      <c r="C1867" s="824" t="s">
        <v>4081</v>
      </c>
      <c r="D1867" s="814">
        <v>5</v>
      </c>
      <c r="E1867" s="825">
        <v>0</v>
      </c>
      <c r="F1867" s="825">
        <v>1</v>
      </c>
      <c r="G1867" s="826">
        <v>41</v>
      </c>
      <c r="H1867" s="825">
        <v>200</v>
      </c>
      <c r="I1867" s="17">
        <v>0</v>
      </c>
      <c r="J1867" s="826"/>
      <c r="K1867" s="825">
        <v>0</v>
      </c>
      <c r="Q1867" s="827"/>
      <c r="R1867" s="827"/>
      <c r="S1867" s="827"/>
      <c r="T1867" s="827"/>
      <c r="Z1867" s="828">
        <v>0</v>
      </c>
      <c r="AB1867" s="829"/>
      <c r="AC1867" s="829"/>
      <c r="AF1867" s="825" t="s">
        <v>4079</v>
      </c>
      <c r="AL1867" s="826"/>
      <c r="AP1867" s="825">
        <v>0</v>
      </c>
      <c r="AU1867" s="825">
        <v>1</v>
      </c>
      <c r="AV1867" s="17">
        <f t="shared" si="251"/>
        <v>0</v>
      </c>
    </row>
    <row r="1868" spans="1:48" s="825" customFormat="1" x14ac:dyDescent="0.15">
      <c r="A1868" s="824">
        <v>49205</v>
      </c>
      <c r="B1868" s="824"/>
      <c r="C1868" s="824" t="s">
        <v>4082</v>
      </c>
      <c r="D1868" s="814">
        <v>5</v>
      </c>
      <c r="E1868" s="825">
        <v>0</v>
      </c>
      <c r="F1868" s="825">
        <v>1</v>
      </c>
      <c r="G1868" s="826">
        <v>61</v>
      </c>
      <c r="H1868" s="825">
        <v>200</v>
      </c>
      <c r="I1868" s="17">
        <v>0</v>
      </c>
      <c r="J1868" s="826"/>
      <c r="K1868" s="825">
        <v>0</v>
      </c>
      <c r="Q1868" s="827"/>
      <c r="R1868" s="827"/>
      <c r="S1868" s="827"/>
      <c r="T1868" s="827"/>
      <c r="Z1868" s="828">
        <v>0</v>
      </c>
      <c r="AB1868" s="829"/>
      <c r="AC1868" s="829"/>
      <c r="AF1868" s="825" t="s">
        <v>4079</v>
      </c>
      <c r="AL1868" s="826"/>
      <c r="AP1868" s="825">
        <v>0</v>
      </c>
      <c r="AU1868" s="825">
        <v>1</v>
      </c>
      <c r="AV1868" s="17">
        <f t="shared" si="251"/>
        <v>0</v>
      </c>
    </row>
    <row r="1869" spans="1:48" s="825" customFormat="1" x14ac:dyDescent="0.15">
      <c r="A1869" s="824">
        <v>49206</v>
      </c>
      <c r="B1869" s="824"/>
      <c r="C1869" s="824" t="s">
        <v>4083</v>
      </c>
      <c r="D1869" s="814">
        <v>5</v>
      </c>
      <c r="E1869" s="825">
        <v>0</v>
      </c>
      <c r="F1869" s="825">
        <v>1</v>
      </c>
      <c r="G1869" s="826">
        <v>70</v>
      </c>
      <c r="H1869" s="825">
        <v>200</v>
      </c>
      <c r="I1869" s="17">
        <v>0</v>
      </c>
      <c r="J1869" s="826"/>
      <c r="K1869" s="825">
        <v>0</v>
      </c>
      <c r="Q1869" s="827"/>
      <c r="R1869" s="827"/>
      <c r="S1869" s="827"/>
      <c r="T1869" s="827"/>
      <c r="Z1869" s="828">
        <v>0</v>
      </c>
      <c r="AB1869" s="829"/>
      <c r="AC1869" s="829"/>
      <c r="AF1869" s="825" t="s">
        <v>4079</v>
      </c>
      <c r="AL1869" s="826"/>
      <c r="AP1869" s="825">
        <v>0</v>
      </c>
      <c r="AU1869" s="825">
        <v>1</v>
      </c>
      <c r="AV1869" s="17">
        <f t="shared" si="251"/>
        <v>0</v>
      </c>
    </row>
    <row r="1870" spans="1:48" s="825" customFormat="1" ht="24" x14ac:dyDescent="0.15">
      <c r="A1870" s="824">
        <v>49207</v>
      </c>
      <c r="B1870" s="824"/>
      <c r="C1870" s="824" t="s">
        <v>4084</v>
      </c>
      <c r="D1870" s="814">
        <v>5</v>
      </c>
      <c r="E1870" s="825">
        <v>0</v>
      </c>
      <c r="F1870" s="825">
        <v>1</v>
      </c>
      <c r="G1870" s="826">
        <v>70</v>
      </c>
      <c r="H1870" s="825">
        <v>200</v>
      </c>
      <c r="I1870" s="17">
        <v>0</v>
      </c>
      <c r="J1870" s="826"/>
      <c r="K1870" s="825">
        <v>0</v>
      </c>
      <c r="Q1870" s="827"/>
      <c r="R1870" s="827"/>
      <c r="S1870" s="827"/>
      <c r="T1870" s="827"/>
      <c r="Z1870" s="828">
        <v>0</v>
      </c>
      <c r="AB1870" s="829"/>
      <c r="AC1870" s="829"/>
      <c r="AF1870" s="825" t="s">
        <v>4079</v>
      </c>
      <c r="AL1870" s="826"/>
      <c r="AP1870" s="825">
        <v>0</v>
      </c>
      <c r="AU1870" s="825">
        <v>1</v>
      </c>
      <c r="AV1870" s="17">
        <f t="shared" si="251"/>
        <v>0</v>
      </c>
    </row>
    <row r="1871" spans="1:48" s="825" customFormat="1" ht="24" x14ac:dyDescent="0.15">
      <c r="A1871" s="824">
        <v>49208</v>
      </c>
      <c r="B1871" s="824"/>
      <c r="C1871" s="824" t="s">
        <v>4085</v>
      </c>
      <c r="D1871" s="814">
        <v>5</v>
      </c>
      <c r="E1871" s="825">
        <v>0</v>
      </c>
      <c r="F1871" s="825">
        <v>1</v>
      </c>
      <c r="G1871" s="826">
        <v>81</v>
      </c>
      <c r="H1871" s="825">
        <v>200</v>
      </c>
      <c r="I1871" s="17">
        <v>0</v>
      </c>
      <c r="J1871" s="826"/>
      <c r="K1871" s="825">
        <v>0</v>
      </c>
      <c r="Q1871" s="827"/>
      <c r="R1871" s="827"/>
      <c r="S1871" s="827"/>
      <c r="T1871" s="827"/>
      <c r="Z1871" s="828">
        <v>0</v>
      </c>
      <c r="AB1871" s="829"/>
      <c r="AC1871" s="829"/>
      <c r="AF1871" s="825" t="s">
        <v>4079</v>
      </c>
      <c r="AL1871" s="826"/>
      <c r="AP1871" s="825">
        <v>0</v>
      </c>
      <c r="AU1871" s="825">
        <v>1</v>
      </c>
      <c r="AV1871" s="17">
        <f t="shared" si="251"/>
        <v>0</v>
      </c>
    </row>
    <row r="1872" spans="1:48" s="825" customFormat="1" ht="24" x14ac:dyDescent="0.15">
      <c r="A1872" s="824">
        <v>49209</v>
      </c>
      <c r="B1872" s="824"/>
      <c r="C1872" s="824" t="s">
        <v>4086</v>
      </c>
      <c r="D1872" s="814">
        <v>5</v>
      </c>
      <c r="E1872" s="825">
        <v>0</v>
      </c>
      <c r="F1872" s="825">
        <v>1</v>
      </c>
      <c r="G1872" s="826">
        <v>101</v>
      </c>
      <c r="H1872" s="825">
        <v>200</v>
      </c>
      <c r="I1872" s="17">
        <v>0</v>
      </c>
      <c r="J1872" s="826"/>
      <c r="K1872" s="825">
        <v>0</v>
      </c>
      <c r="Q1872" s="827"/>
      <c r="R1872" s="827"/>
      <c r="S1872" s="827"/>
      <c r="T1872" s="827"/>
      <c r="Z1872" s="828">
        <v>0</v>
      </c>
      <c r="AB1872" s="829"/>
      <c r="AC1872" s="829"/>
      <c r="AF1872" s="825" t="s">
        <v>4079</v>
      </c>
      <c r="AL1872" s="826"/>
      <c r="AP1872" s="825">
        <v>0</v>
      </c>
      <c r="AU1872" s="825">
        <v>1</v>
      </c>
      <c r="AV1872" s="17">
        <f t="shared" si="251"/>
        <v>0</v>
      </c>
    </row>
    <row r="1873" spans="1:49" s="825" customFormat="1" x14ac:dyDescent="0.15">
      <c r="A1873" s="824">
        <v>49210</v>
      </c>
      <c r="B1873" s="824"/>
      <c r="C1873" s="824" t="s">
        <v>4087</v>
      </c>
      <c r="D1873" s="814">
        <v>5</v>
      </c>
      <c r="E1873" s="825">
        <v>0</v>
      </c>
      <c r="F1873" s="825">
        <v>1</v>
      </c>
      <c r="G1873" s="826">
        <v>71</v>
      </c>
      <c r="H1873" s="825">
        <v>200</v>
      </c>
      <c r="I1873" s="17">
        <v>0</v>
      </c>
      <c r="J1873" s="826"/>
      <c r="K1873" s="825">
        <v>0</v>
      </c>
      <c r="Q1873" s="827"/>
      <c r="R1873" s="827"/>
      <c r="S1873" s="827"/>
      <c r="T1873" s="827"/>
      <c r="Z1873" s="828">
        <v>0</v>
      </c>
      <c r="AB1873" s="829"/>
      <c r="AC1873" s="829"/>
      <c r="AF1873" s="825" t="s">
        <v>4079</v>
      </c>
      <c r="AL1873" s="826"/>
      <c r="AP1873" s="825">
        <v>0</v>
      </c>
      <c r="AU1873" s="825">
        <v>1</v>
      </c>
      <c r="AV1873" s="17">
        <f t="shared" si="251"/>
        <v>0</v>
      </c>
    </row>
    <row r="1874" spans="1:49" s="825" customFormat="1" ht="24" x14ac:dyDescent="0.15">
      <c r="A1874" s="824">
        <v>49211</v>
      </c>
      <c r="B1874" s="824"/>
      <c r="C1874" s="824" t="s">
        <v>4088</v>
      </c>
      <c r="D1874" s="814">
        <v>5</v>
      </c>
      <c r="E1874" s="825">
        <v>0</v>
      </c>
      <c r="F1874" s="825">
        <v>1</v>
      </c>
      <c r="G1874" s="826">
        <v>101</v>
      </c>
      <c r="H1874" s="825">
        <v>200</v>
      </c>
      <c r="I1874" s="17">
        <v>0</v>
      </c>
      <c r="J1874" s="826"/>
      <c r="K1874" s="825">
        <v>0</v>
      </c>
      <c r="Q1874" s="827"/>
      <c r="R1874" s="827"/>
      <c r="S1874" s="827"/>
      <c r="T1874" s="827"/>
      <c r="Z1874" s="828">
        <v>0</v>
      </c>
      <c r="AB1874" s="829"/>
      <c r="AC1874" s="829"/>
      <c r="AF1874" s="825" t="s">
        <v>4079</v>
      </c>
      <c r="AL1874" s="826"/>
      <c r="AP1874" s="825">
        <v>0</v>
      </c>
      <c r="AU1874" s="825">
        <v>1</v>
      </c>
      <c r="AV1874" s="17">
        <f t="shared" si="251"/>
        <v>0</v>
      </c>
    </row>
    <row r="1875" spans="1:49" s="346" customFormat="1" ht="132" x14ac:dyDescent="0.15">
      <c r="A1875" s="755">
        <v>50000</v>
      </c>
      <c r="C1875" s="346" t="s">
        <v>3624</v>
      </c>
      <c r="D1875" s="814">
        <v>5</v>
      </c>
      <c r="E1875" s="346">
        <v>0</v>
      </c>
      <c r="F1875" s="346">
        <v>5</v>
      </c>
      <c r="G1875" s="347">
        <v>200</v>
      </c>
      <c r="H1875" s="346">
        <v>200</v>
      </c>
      <c r="I1875" s="17">
        <v>0</v>
      </c>
      <c r="J1875" s="347"/>
      <c r="K1875" s="346">
        <v>5</v>
      </c>
      <c r="L1875" s="346">
        <v>333</v>
      </c>
      <c r="M1875" s="346" t="s">
        <v>3623</v>
      </c>
      <c r="N1875" s="346">
        <v>333</v>
      </c>
      <c r="O1875" s="346" t="s">
        <v>5259</v>
      </c>
      <c r="Q1875" s="750"/>
      <c r="R1875" s="750"/>
      <c r="S1875" s="750"/>
      <c r="T1875" s="750"/>
      <c r="U1875" s="346">
        <v>1</v>
      </c>
      <c r="V1875" s="346">
        <v>0</v>
      </c>
      <c r="W1875" s="741"/>
      <c r="Z1875" s="742">
        <v>0</v>
      </c>
      <c r="AB1875" s="751"/>
      <c r="AC1875" s="751"/>
      <c r="AD1875" s="745"/>
      <c r="AF1875" s="346" t="s">
        <v>3634</v>
      </c>
      <c r="AG1875" s="346" t="s">
        <v>3625</v>
      </c>
      <c r="AH1875" s="346" t="s">
        <v>3625</v>
      </c>
      <c r="AI1875" s="346" t="s">
        <v>3626</v>
      </c>
      <c r="AJ1875" s="346" t="s">
        <v>6538</v>
      </c>
      <c r="AL1875" s="347">
        <v>0</v>
      </c>
      <c r="AM1875" s="348" t="str">
        <f>"&lt;p&gt;
&lt;n&gt;  回复：&lt;/n&gt;&lt;goto id="""&amp;N1875&amp;""" mapid=""5"" flagpoint=""1"" taskid="""&amp;A1875&amp;"""/&gt;
&lt;/p&gt;"</f>
        <v>&lt;p&gt;
&lt;n&gt;  回复：&lt;/n&gt;&lt;goto id="333" mapid="5" flagpoint="1" taskid="50000"/&gt;
&lt;/p&gt;</v>
      </c>
      <c r="AN1875" s="348" t="str">
        <f t="shared" ref="AN1875:AN1886" si="252">"&lt;p&gt;
&lt;n&gt;  交：&lt;/n&gt;&lt;goto id="""&amp;N1875&amp;""" mapid=""5"" flagpoint=""1"" taskid="""&amp;A1875&amp;"""/&gt;
&lt;/p&gt;"</f>
        <v>&lt;p&gt;
&lt;n&gt;  交：&lt;/n&gt;&lt;goto id="333" mapid="5" flagpoint="1" taskid="50000"/&gt;
&lt;/p&gt;</v>
      </c>
      <c r="AP1875" s="346">
        <v>1</v>
      </c>
      <c r="AQ1875" s="346">
        <v>0</v>
      </c>
      <c r="AR1875" s="346">
        <v>0</v>
      </c>
      <c r="AS1875" s="346">
        <v>0</v>
      </c>
      <c r="AU1875" s="226">
        <v>0</v>
      </c>
      <c r="AV1875" s="17">
        <f t="shared" si="251"/>
        <v>0</v>
      </c>
      <c r="AW1875" s="346" t="str">
        <f>"{s_taskTalk,{"&amp;L1875&amp;","&amp;N1875&amp;"}}"</f>
        <v>{s_taskTalk,{333,333}}</v>
      </c>
    </row>
    <row r="1876" spans="1:49" s="346" customFormat="1" ht="144" x14ac:dyDescent="0.15">
      <c r="A1876" s="755">
        <v>50001</v>
      </c>
      <c r="C1876" s="346" t="s">
        <v>3624</v>
      </c>
      <c r="D1876" s="814">
        <v>5</v>
      </c>
      <c r="E1876" s="346">
        <v>0</v>
      </c>
      <c r="F1876" s="346">
        <v>5</v>
      </c>
      <c r="G1876" s="347">
        <v>200</v>
      </c>
      <c r="H1876" s="346">
        <v>200</v>
      </c>
      <c r="I1876" s="17">
        <v>0</v>
      </c>
      <c r="J1876" s="347"/>
      <c r="K1876" s="346">
        <v>5</v>
      </c>
      <c r="L1876" s="346">
        <v>333</v>
      </c>
      <c r="M1876" s="346" t="s">
        <v>3623</v>
      </c>
      <c r="N1876" s="346">
        <v>333</v>
      </c>
      <c r="O1876" s="346" t="s">
        <v>5259</v>
      </c>
      <c r="Q1876" s="750"/>
      <c r="R1876" s="750"/>
      <c r="S1876" s="750"/>
      <c r="T1876" s="750"/>
      <c r="U1876" s="346">
        <v>1</v>
      </c>
      <c r="V1876" s="346">
        <v>0</v>
      </c>
      <c r="W1876" s="741"/>
      <c r="Z1876" s="742">
        <v>0</v>
      </c>
      <c r="AB1876" s="751"/>
      <c r="AC1876" s="751"/>
      <c r="AD1876" s="745" t="s">
        <v>7376</v>
      </c>
      <c r="AF1876" s="346" t="s">
        <v>3646</v>
      </c>
      <c r="AG1876" s="346" t="s">
        <v>3628</v>
      </c>
      <c r="AH1876" s="346" t="s">
        <v>3627</v>
      </c>
      <c r="AI1876" s="346" t="s">
        <v>3321</v>
      </c>
      <c r="AJ1876" s="346" t="s">
        <v>6519</v>
      </c>
      <c r="AL1876" s="347">
        <v>0</v>
      </c>
      <c r="AM1876" s="348" t="str">
        <f>"&lt;p&gt;&lt;n&gt;  使用1次舞会门票后&lt;/n&gt;&lt;newline/&gt;
&lt;n&gt;  回复：&lt;/n&gt;&lt;goto id="""&amp;N1876&amp;""" mapid=""5"" flagpoint=""1"" taskid="""&amp;A1876&amp;"""/&gt;
&lt;/p&gt;"</f>
        <v>&lt;p&gt;&lt;n&gt;  使用1次舞会门票后&lt;/n&gt;&lt;newline/&gt;
&lt;n&gt;  回复：&lt;/n&gt;&lt;goto id="333" mapid="5" flagpoint="1" taskid="50001"/&gt;
&lt;/p&gt;</v>
      </c>
      <c r="AN1876" s="348" t="str">
        <f t="shared" si="252"/>
        <v>&lt;p&gt;
&lt;n&gt;  交：&lt;/n&gt;&lt;goto id="333" mapid="5" flagpoint="1" taskid="50001"/&gt;
&lt;/p&gt;</v>
      </c>
      <c r="AP1876" s="346">
        <v>0</v>
      </c>
      <c r="AQ1876" s="346">
        <v>0</v>
      </c>
      <c r="AR1876" s="346">
        <v>0</v>
      </c>
      <c r="AS1876" s="346">
        <v>0</v>
      </c>
      <c r="AU1876" s="226">
        <v>0</v>
      </c>
      <c r="AV1876" s="17">
        <f t="shared" si="251"/>
        <v>0</v>
      </c>
      <c r="AW1876" s="346" t="str">
        <f t="shared" ref="AW1876:AW1883" si="253">"{s_taskTalk,{"&amp;L1876&amp;","&amp;N1876&amp;"}}"</f>
        <v>{s_taskTalk,{333,333}}</v>
      </c>
    </row>
    <row r="1877" spans="1:49" s="346" customFormat="1" ht="144" x14ac:dyDescent="0.15">
      <c r="A1877" s="755">
        <v>50002</v>
      </c>
      <c r="C1877" s="346" t="s">
        <v>3624</v>
      </c>
      <c r="D1877" s="814">
        <v>5</v>
      </c>
      <c r="E1877" s="346">
        <v>0</v>
      </c>
      <c r="F1877" s="346">
        <v>5</v>
      </c>
      <c r="G1877" s="347">
        <v>200</v>
      </c>
      <c r="H1877" s="346">
        <v>200</v>
      </c>
      <c r="I1877" s="17">
        <v>0</v>
      </c>
      <c r="J1877" s="347"/>
      <c r="K1877" s="346">
        <v>5</v>
      </c>
      <c r="L1877" s="346">
        <v>333</v>
      </c>
      <c r="M1877" s="346" t="s">
        <v>3623</v>
      </c>
      <c r="N1877" s="346">
        <v>333</v>
      </c>
      <c r="O1877" s="346" t="s">
        <v>5259</v>
      </c>
      <c r="Q1877" s="750"/>
      <c r="R1877" s="750"/>
      <c r="S1877" s="750"/>
      <c r="T1877" s="750"/>
      <c r="U1877" s="346">
        <v>5</v>
      </c>
      <c r="V1877" s="346">
        <v>0</v>
      </c>
      <c r="W1877" s="741"/>
      <c r="Z1877" s="742">
        <v>0</v>
      </c>
      <c r="AB1877" s="751"/>
      <c r="AC1877" s="751"/>
      <c r="AD1877" s="745" t="s">
        <v>7376</v>
      </c>
      <c r="AF1877" s="346" t="s">
        <v>3635</v>
      </c>
      <c r="AG1877" s="346" t="s">
        <v>3629</v>
      </c>
      <c r="AH1877" s="346" t="s">
        <v>3627</v>
      </c>
      <c r="AI1877" s="346" t="s">
        <v>3337</v>
      </c>
      <c r="AJ1877" s="346" t="s">
        <v>6520</v>
      </c>
      <c r="AL1877" s="347">
        <v>0</v>
      </c>
      <c r="AM1877" s="348" t="str">
        <f>"&lt;p&gt;&lt;n&gt;  收集5个矿石(1级)&lt;/n&gt;&lt;newline/&gt;
&lt;n&gt;  回复：&lt;/n&gt;&lt;goto id="""&amp;N1877&amp;""" mapid=""5"" flagpoint=""1"" taskid="""&amp;A1877&amp;"""/&gt;
&lt;/p&gt;"</f>
        <v>&lt;p&gt;&lt;n&gt;  收集5个矿石(1级)&lt;/n&gt;&lt;newline/&gt;
&lt;n&gt;  回复：&lt;/n&gt;&lt;goto id="333" mapid="5" flagpoint="1" taskid="50002"/&gt;
&lt;/p&gt;</v>
      </c>
      <c r="AN1877" s="348" t="str">
        <f t="shared" si="252"/>
        <v>&lt;p&gt;
&lt;n&gt;  交：&lt;/n&gt;&lt;goto id="333" mapid="5" flagpoint="1" taskid="50002"/&gt;
&lt;/p&gt;</v>
      </c>
      <c r="AO1877" s="754" t="s">
        <v>3334</v>
      </c>
      <c r="AP1877" s="346">
        <v>0</v>
      </c>
      <c r="AQ1877" s="346">
        <v>0</v>
      </c>
      <c r="AR1877" s="346">
        <v>0</v>
      </c>
      <c r="AS1877" s="346">
        <v>0</v>
      </c>
      <c r="AU1877" s="226">
        <v>0</v>
      </c>
      <c r="AV1877" s="17">
        <f t="shared" si="251"/>
        <v>0</v>
      </c>
      <c r="AW1877" s="346" t="str">
        <f t="shared" si="253"/>
        <v>{s_taskTalk,{333,333}}</v>
      </c>
    </row>
    <row r="1878" spans="1:49" s="346" customFormat="1" ht="144" x14ac:dyDescent="0.15">
      <c r="A1878" s="755">
        <v>50003</v>
      </c>
      <c r="C1878" s="346" t="s">
        <v>3624</v>
      </c>
      <c r="D1878" s="814">
        <v>5</v>
      </c>
      <c r="E1878" s="346">
        <v>0</v>
      </c>
      <c r="F1878" s="346">
        <v>5</v>
      </c>
      <c r="G1878" s="347">
        <v>200</v>
      </c>
      <c r="H1878" s="346">
        <v>200</v>
      </c>
      <c r="I1878" s="17">
        <v>0</v>
      </c>
      <c r="J1878" s="347"/>
      <c r="K1878" s="346">
        <v>5</v>
      </c>
      <c r="L1878" s="346">
        <v>333</v>
      </c>
      <c r="M1878" s="346" t="s">
        <v>3623</v>
      </c>
      <c r="N1878" s="346">
        <v>333</v>
      </c>
      <c r="O1878" s="346" t="s">
        <v>5259</v>
      </c>
      <c r="Q1878" s="750"/>
      <c r="R1878" s="750"/>
      <c r="S1878" s="750"/>
      <c r="T1878" s="750"/>
      <c r="U1878" s="346">
        <v>5</v>
      </c>
      <c r="V1878" s="346">
        <v>0</v>
      </c>
      <c r="W1878" s="741"/>
      <c r="Z1878" s="742">
        <v>0</v>
      </c>
      <c r="AB1878" s="751"/>
      <c r="AC1878" s="751"/>
      <c r="AD1878" s="745" t="s">
        <v>7377</v>
      </c>
      <c r="AF1878" s="346" t="s">
        <v>3636</v>
      </c>
      <c r="AG1878" s="346" t="s">
        <v>3630</v>
      </c>
      <c r="AH1878" s="346" t="s">
        <v>3627</v>
      </c>
      <c r="AI1878" s="346" t="s">
        <v>3336</v>
      </c>
      <c r="AJ1878" s="346" t="s">
        <v>6521</v>
      </c>
      <c r="AL1878" s="347">
        <v>0</v>
      </c>
      <c r="AM1878" s="348" t="str">
        <f>"&lt;p&gt;&lt;n&gt;  收集5个药材(1级)&lt;/n&gt;&lt;newline/&gt;
&lt;n&gt;  回复：&lt;/n&gt;&lt;goto id="""&amp;N1878&amp;""" mapid=""5"" flagpoint=""1"" taskid="""&amp;A1878&amp;"""/&gt;
&lt;/p&gt;"</f>
        <v>&lt;p&gt;&lt;n&gt;  收集5个药材(1级)&lt;/n&gt;&lt;newline/&gt;
&lt;n&gt;  回复：&lt;/n&gt;&lt;goto id="333" mapid="5" flagpoint="1" taskid="50003"/&gt;
&lt;/p&gt;</v>
      </c>
      <c r="AN1878" s="348" t="str">
        <f t="shared" si="252"/>
        <v>&lt;p&gt;
&lt;n&gt;  交：&lt;/n&gt;&lt;goto id="333" mapid="5" flagpoint="1" taskid="50003"/&gt;
&lt;/p&gt;</v>
      </c>
      <c r="AO1878" s="754" t="s">
        <v>3335</v>
      </c>
      <c r="AP1878" s="346">
        <v>0</v>
      </c>
      <c r="AQ1878" s="346">
        <v>0</v>
      </c>
      <c r="AR1878" s="346">
        <v>0</v>
      </c>
      <c r="AS1878" s="346">
        <v>0</v>
      </c>
      <c r="AU1878" s="226">
        <v>0</v>
      </c>
      <c r="AV1878" s="17">
        <f t="shared" si="251"/>
        <v>0</v>
      </c>
      <c r="AW1878" s="346" t="str">
        <f t="shared" si="253"/>
        <v>{s_taskTalk,{333,333}}</v>
      </c>
    </row>
    <row r="1879" spans="1:49" s="346" customFormat="1" ht="144" x14ac:dyDescent="0.15">
      <c r="A1879" s="755">
        <v>50004</v>
      </c>
      <c r="C1879" s="346" t="s">
        <v>3624</v>
      </c>
      <c r="D1879" s="814">
        <v>5</v>
      </c>
      <c r="E1879" s="346">
        <v>0</v>
      </c>
      <c r="F1879" s="346">
        <v>5</v>
      </c>
      <c r="G1879" s="347">
        <v>200</v>
      </c>
      <c r="H1879" s="346">
        <v>200</v>
      </c>
      <c r="I1879" s="17">
        <v>0</v>
      </c>
      <c r="J1879" s="347"/>
      <c r="K1879" s="346">
        <v>5</v>
      </c>
      <c r="L1879" s="346">
        <v>333</v>
      </c>
      <c r="M1879" s="346" t="s">
        <v>3623</v>
      </c>
      <c r="N1879" s="346">
        <v>333</v>
      </c>
      <c r="O1879" s="346" t="s">
        <v>5259</v>
      </c>
      <c r="Q1879" s="750"/>
      <c r="R1879" s="750"/>
      <c r="S1879" s="750"/>
      <c r="T1879" s="750"/>
      <c r="U1879" s="346">
        <v>1</v>
      </c>
      <c r="V1879" s="346">
        <v>0</v>
      </c>
      <c r="W1879" s="741"/>
      <c r="Z1879" s="742">
        <v>0</v>
      </c>
      <c r="AB1879" s="751"/>
      <c r="AC1879" s="751"/>
      <c r="AD1879" s="745" t="s">
        <v>7377</v>
      </c>
      <c r="AF1879" s="346" t="s">
        <v>4601</v>
      </c>
      <c r="AG1879" s="346" t="s">
        <v>4602</v>
      </c>
      <c r="AH1879" s="346" t="s">
        <v>3627</v>
      </c>
      <c r="AI1879" s="346" t="s">
        <v>4603</v>
      </c>
      <c r="AJ1879" s="346" t="s">
        <v>6539</v>
      </c>
      <c r="AL1879" s="347">
        <v>0</v>
      </c>
      <c r="AM1879" s="348" t="str">
        <f>"&lt;p&gt;&lt;n&gt;  完成1次家族历练任务&lt;/n&gt;&lt;newline/&gt;
&lt;n&gt;  回复：&lt;/n&gt;&lt;goto id="""&amp;N1879&amp;""" mapid=""5"" flagpoint=""1"" taskid="""&amp;A1879&amp;"""/&gt;
&lt;/p&gt;"</f>
        <v>&lt;p&gt;&lt;n&gt;  完成1次家族历练任务&lt;/n&gt;&lt;newline/&gt;
&lt;n&gt;  回复：&lt;/n&gt;&lt;goto id="333" mapid="5" flagpoint="1" taskid="50004"/&gt;
&lt;/p&gt;</v>
      </c>
      <c r="AN1879" s="348" t="str">
        <f t="shared" si="252"/>
        <v>&lt;p&gt;
&lt;n&gt;  交：&lt;/n&gt;&lt;goto id="333" mapid="5" flagpoint="1" taskid="50004"/&gt;
&lt;/p&gt;</v>
      </c>
      <c r="AO1879" s="754"/>
      <c r="AP1879" s="346">
        <v>0</v>
      </c>
      <c r="AQ1879" s="346">
        <v>0</v>
      </c>
      <c r="AR1879" s="346">
        <v>0</v>
      </c>
      <c r="AS1879" s="346">
        <v>0</v>
      </c>
      <c r="AU1879" s="226">
        <v>0</v>
      </c>
      <c r="AV1879" s="17">
        <f t="shared" si="251"/>
        <v>0</v>
      </c>
      <c r="AW1879" s="346" t="str">
        <f t="shared" ref="AW1879" si="254">"{s_taskTalk,{"&amp;L1879&amp;","&amp;N1879&amp;"}}"</f>
        <v>{s_taskTalk,{333,333}}</v>
      </c>
    </row>
    <row r="1880" spans="1:49" s="346" customFormat="1" ht="144" x14ac:dyDescent="0.15">
      <c r="A1880" s="755">
        <v>50005</v>
      </c>
      <c r="C1880" s="346" t="s">
        <v>3624</v>
      </c>
      <c r="D1880" s="814">
        <v>5</v>
      </c>
      <c r="E1880" s="346">
        <v>0</v>
      </c>
      <c r="F1880" s="346">
        <v>5</v>
      </c>
      <c r="G1880" s="347">
        <v>200</v>
      </c>
      <c r="H1880" s="346">
        <v>200</v>
      </c>
      <c r="I1880" s="17">
        <v>0</v>
      </c>
      <c r="J1880" s="347"/>
      <c r="K1880" s="346">
        <v>5</v>
      </c>
      <c r="L1880" s="346">
        <v>333</v>
      </c>
      <c r="M1880" s="346" t="s">
        <v>3623</v>
      </c>
      <c r="N1880" s="346">
        <v>333</v>
      </c>
      <c r="O1880" s="346" t="s">
        <v>5259</v>
      </c>
      <c r="Q1880" s="750"/>
      <c r="R1880" s="750"/>
      <c r="S1880" s="750"/>
      <c r="T1880" s="750"/>
      <c r="U1880" s="346">
        <v>1</v>
      </c>
      <c r="V1880" s="346">
        <v>0</v>
      </c>
      <c r="W1880" s="741"/>
      <c r="Z1880" s="742">
        <v>0</v>
      </c>
      <c r="AB1880" s="751"/>
      <c r="AC1880" s="751"/>
      <c r="AD1880" s="745" t="s">
        <v>7377</v>
      </c>
      <c r="AF1880" s="346" t="s">
        <v>4610</v>
      </c>
      <c r="AG1880" s="346" t="s">
        <v>4611</v>
      </c>
      <c r="AH1880" s="346" t="s">
        <v>3627</v>
      </c>
      <c r="AI1880" s="346" t="s">
        <v>4612</v>
      </c>
      <c r="AJ1880" s="346" t="s">
        <v>6540</v>
      </c>
      <c r="AL1880" s="347">
        <v>0</v>
      </c>
      <c r="AM1880" s="348" t="str">
        <f>"&lt;p&gt;&lt;n&gt;  完成1次家族频道发言&lt;/n&gt;&lt;newline/&gt;
&lt;n&gt;  回复：&lt;/n&gt;&lt;goto id="""&amp;N1880&amp;""" mapid=""5"" flagpoint=""1"" taskid="""&amp;A1880&amp;"""/&gt;
&lt;/p&gt;"</f>
        <v>&lt;p&gt;&lt;n&gt;  完成1次家族频道发言&lt;/n&gt;&lt;newline/&gt;
&lt;n&gt;  回复：&lt;/n&gt;&lt;goto id="333" mapid="5" flagpoint="1" taskid="50005"/&gt;
&lt;/p&gt;</v>
      </c>
      <c r="AN1880" s="348" t="str">
        <f t="shared" si="252"/>
        <v>&lt;p&gt;
&lt;n&gt;  交：&lt;/n&gt;&lt;goto id="333" mapid="5" flagpoint="1" taskid="50005"/&gt;
&lt;/p&gt;</v>
      </c>
      <c r="AO1880" s="754"/>
      <c r="AP1880" s="346">
        <v>0</v>
      </c>
      <c r="AQ1880" s="346">
        <v>0</v>
      </c>
      <c r="AR1880" s="346">
        <v>0</v>
      </c>
      <c r="AS1880" s="346">
        <v>0</v>
      </c>
      <c r="AU1880" s="226">
        <v>1</v>
      </c>
      <c r="AV1880" s="17">
        <f t="shared" si="251"/>
        <v>0</v>
      </c>
      <c r="AW1880" s="346" t="str">
        <f t="shared" si="253"/>
        <v>{s_taskTalk,{333,333}}</v>
      </c>
    </row>
    <row r="1881" spans="1:49" s="346" customFormat="1" ht="144" x14ac:dyDescent="0.15">
      <c r="A1881" s="755">
        <v>50006</v>
      </c>
      <c r="C1881" s="346" t="s">
        <v>3624</v>
      </c>
      <c r="D1881" s="814">
        <v>5</v>
      </c>
      <c r="E1881" s="346">
        <v>0</v>
      </c>
      <c r="F1881" s="346">
        <v>5</v>
      </c>
      <c r="G1881" s="347">
        <v>200</v>
      </c>
      <c r="H1881" s="346">
        <v>200</v>
      </c>
      <c r="I1881" s="17">
        <v>0</v>
      </c>
      <c r="J1881" s="347"/>
      <c r="K1881" s="346">
        <v>5</v>
      </c>
      <c r="L1881" s="346">
        <v>333</v>
      </c>
      <c r="M1881" s="346" t="s">
        <v>3623</v>
      </c>
      <c r="N1881" s="346">
        <v>333</v>
      </c>
      <c r="O1881" s="346" t="s">
        <v>5259</v>
      </c>
      <c r="Q1881" s="750"/>
      <c r="R1881" s="750"/>
      <c r="S1881" s="750"/>
      <c r="T1881" s="750"/>
      <c r="U1881" s="346">
        <v>1</v>
      </c>
      <c r="V1881" s="346">
        <v>0</v>
      </c>
      <c r="W1881" s="741"/>
      <c r="Z1881" s="742">
        <v>0</v>
      </c>
      <c r="AB1881" s="751"/>
      <c r="AC1881" s="751"/>
      <c r="AD1881" s="745" t="s">
        <v>7377</v>
      </c>
      <c r="AF1881" s="346" t="s">
        <v>3637</v>
      </c>
      <c r="AG1881" s="346" t="s">
        <v>3649</v>
      </c>
      <c r="AH1881" s="346" t="s">
        <v>3627</v>
      </c>
      <c r="AI1881" s="346" t="s">
        <v>3323</v>
      </c>
      <c r="AJ1881" s="346" t="s">
        <v>6523</v>
      </c>
      <c r="AL1881" s="347">
        <v>0</v>
      </c>
      <c r="AM1881" s="348" t="str">
        <f>"&lt;p&gt;&lt;n&gt;  杀：1个贪财小妖后&lt;/n&gt;&lt;newline/&gt;
&lt;n&gt;  回复：&lt;/n&gt;&lt;goto id="""&amp;N1881&amp;""" mapid=""5"" flagpoint=""1"" taskid="""&amp;A1881&amp;"""/&gt;
&lt;/p&gt;"</f>
        <v>&lt;p&gt;&lt;n&gt;  杀：1个贪财小妖后&lt;/n&gt;&lt;newline/&gt;
&lt;n&gt;  回复：&lt;/n&gt;&lt;goto id="333" mapid="5" flagpoint="1" taskid="50006"/&gt;
&lt;/p&gt;</v>
      </c>
      <c r="AN1881" s="348" t="str">
        <f t="shared" si="252"/>
        <v>&lt;p&gt;
&lt;n&gt;  交：&lt;/n&gt;&lt;goto id="333" mapid="5" flagpoint="1" taskid="50006"/&gt;
&lt;/p&gt;</v>
      </c>
      <c r="AP1881" s="346">
        <v>0</v>
      </c>
      <c r="AQ1881" s="346">
        <v>0</v>
      </c>
      <c r="AR1881" s="346">
        <v>0</v>
      </c>
      <c r="AS1881" s="346">
        <v>0</v>
      </c>
      <c r="AU1881" s="226">
        <v>0</v>
      </c>
      <c r="AV1881" s="17">
        <f t="shared" si="251"/>
        <v>0</v>
      </c>
      <c r="AW1881" s="346" t="str">
        <f t="shared" si="253"/>
        <v>{s_taskTalk,{333,333}}</v>
      </c>
    </row>
    <row r="1882" spans="1:49" s="346" customFormat="1" ht="144" x14ac:dyDescent="0.15">
      <c r="A1882" s="755">
        <v>50007</v>
      </c>
      <c r="C1882" s="346" t="s">
        <v>3624</v>
      </c>
      <c r="D1882" s="814">
        <v>5</v>
      </c>
      <c r="E1882" s="346">
        <v>0</v>
      </c>
      <c r="F1882" s="346">
        <v>5</v>
      </c>
      <c r="G1882" s="347">
        <v>200</v>
      </c>
      <c r="H1882" s="346">
        <v>200</v>
      </c>
      <c r="I1882" s="17">
        <v>0</v>
      </c>
      <c r="J1882" s="347"/>
      <c r="K1882" s="346">
        <v>5</v>
      </c>
      <c r="L1882" s="346">
        <v>333</v>
      </c>
      <c r="M1882" s="346" t="s">
        <v>3623</v>
      </c>
      <c r="N1882" s="346">
        <v>333</v>
      </c>
      <c r="O1882" s="346" t="s">
        <v>5259</v>
      </c>
      <c r="Q1882" s="750"/>
      <c r="R1882" s="750"/>
      <c r="S1882" s="750"/>
      <c r="T1882" s="750"/>
      <c r="U1882" s="346">
        <v>1</v>
      </c>
      <c r="V1882" s="346">
        <v>0</v>
      </c>
      <c r="W1882" s="741"/>
      <c r="Z1882" s="742">
        <v>0</v>
      </c>
      <c r="AB1882" s="751"/>
      <c r="AC1882" s="751"/>
      <c r="AD1882" s="745" t="s">
        <v>7377</v>
      </c>
      <c r="AF1882" s="346" t="s">
        <v>3638</v>
      </c>
      <c r="AG1882" s="346" t="s">
        <v>3650</v>
      </c>
      <c r="AH1882" s="346" t="s">
        <v>3627</v>
      </c>
      <c r="AI1882" s="346" t="s">
        <v>3639</v>
      </c>
      <c r="AJ1882" s="346" t="s">
        <v>6541</v>
      </c>
      <c r="AL1882" s="347">
        <v>0</v>
      </c>
      <c r="AM1882" s="348" t="str">
        <f>"&lt;p&gt;&lt;n&gt;  完成1次国家频道发言&lt;/n&gt;&lt;newline/&gt;
&lt;n&gt;  回复：&lt;/n&gt;&lt;goto id="""&amp;N1882&amp;""" mapid=""5"" flagpoint=""1"" taskid="""&amp;A1882&amp;"""/&gt;
&lt;/p&gt;"</f>
        <v>&lt;p&gt;&lt;n&gt;  完成1次国家频道发言&lt;/n&gt;&lt;newline/&gt;
&lt;n&gt;  回复：&lt;/n&gt;&lt;goto id="333" mapid="5" flagpoint="1" taskid="50007"/&gt;
&lt;/p&gt;</v>
      </c>
      <c r="AN1882" s="348" t="str">
        <f t="shared" si="252"/>
        <v>&lt;p&gt;
&lt;n&gt;  交：&lt;/n&gt;&lt;goto id="333" mapid="5" flagpoint="1" taskid="50007"/&gt;
&lt;/p&gt;</v>
      </c>
      <c r="AP1882" s="346">
        <v>0</v>
      </c>
      <c r="AQ1882" s="346">
        <v>0</v>
      </c>
      <c r="AR1882" s="346">
        <v>0</v>
      </c>
      <c r="AS1882" s="346">
        <v>0</v>
      </c>
      <c r="AU1882" s="226">
        <v>1</v>
      </c>
      <c r="AV1882" s="17">
        <f t="shared" si="251"/>
        <v>0</v>
      </c>
      <c r="AW1882" s="346" t="str">
        <f t="shared" si="253"/>
        <v>{s_taskTalk,{333,333}}</v>
      </c>
    </row>
    <row r="1883" spans="1:49" s="346" customFormat="1" ht="132" x14ac:dyDescent="0.15">
      <c r="A1883" s="755">
        <v>50008</v>
      </c>
      <c r="C1883" s="346" t="s">
        <v>3624</v>
      </c>
      <c r="D1883" s="814">
        <v>5</v>
      </c>
      <c r="E1883" s="346">
        <v>0</v>
      </c>
      <c r="F1883" s="346">
        <v>5</v>
      </c>
      <c r="G1883" s="347">
        <v>200</v>
      </c>
      <c r="H1883" s="346">
        <v>200</v>
      </c>
      <c r="I1883" s="17">
        <v>0</v>
      </c>
      <c r="J1883" s="347"/>
      <c r="K1883" s="346">
        <v>5</v>
      </c>
      <c r="L1883" s="346">
        <v>333</v>
      </c>
      <c r="M1883" s="346" t="s">
        <v>3623</v>
      </c>
      <c r="N1883" s="346">
        <v>333</v>
      </c>
      <c r="O1883" s="346" t="s">
        <v>5259</v>
      </c>
      <c r="Q1883" s="750"/>
      <c r="R1883" s="750"/>
      <c r="S1883" s="750"/>
      <c r="T1883" s="750"/>
      <c r="U1883" s="346">
        <v>1</v>
      </c>
      <c r="V1883" s="346">
        <v>0</v>
      </c>
      <c r="W1883" s="741"/>
      <c r="Z1883" s="742">
        <v>0</v>
      </c>
      <c r="AB1883" s="751"/>
      <c r="AC1883" s="751"/>
      <c r="AD1883" s="745" t="s">
        <v>7377</v>
      </c>
      <c r="AF1883" s="346" t="s">
        <v>3640</v>
      </c>
      <c r="AG1883" s="346" t="s">
        <v>3641</v>
      </c>
      <c r="AH1883" s="346" t="s">
        <v>3627</v>
      </c>
      <c r="AI1883" s="346" t="s">
        <v>3642</v>
      </c>
      <c r="AJ1883" s="346" t="s">
        <v>6542</v>
      </c>
      <c r="AL1883" s="347">
        <v>0</v>
      </c>
      <c r="AM1883" s="348" t="str">
        <f>"&lt;p&gt;&lt;n&gt;  完成1次好友私聊&lt;/n&gt;&lt;newline/&gt;
&lt;n&gt;  回复：&lt;/n&gt;&lt;goto id="""&amp;N1883&amp;""" mapid=""5"" flagpoint=""1"" taskid="""&amp;A1883&amp;"""/&gt;
&lt;/p&gt;"</f>
        <v>&lt;p&gt;&lt;n&gt;  完成1次好友私聊&lt;/n&gt;&lt;newline/&gt;
&lt;n&gt;  回复：&lt;/n&gt;&lt;goto id="333" mapid="5" flagpoint="1" taskid="50008"/&gt;
&lt;/p&gt;</v>
      </c>
      <c r="AN1883" s="348" t="str">
        <f t="shared" si="252"/>
        <v>&lt;p&gt;
&lt;n&gt;  交：&lt;/n&gt;&lt;goto id="333" mapid="5" flagpoint="1" taskid="50008"/&gt;
&lt;/p&gt;</v>
      </c>
      <c r="AP1883" s="346">
        <v>0</v>
      </c>
      <c r="AQ1883" s="346">
        <v>0</v>
      </c>
      <c r="AR1883" s="346">
        <v>0</v>
      </c>
      <c r="AS1883" s="346">
        <v>0</v>
      </c>
      <c r="AU1883" s="226">
        <v>1</v>
      </c>
      <c r="AV1883" s="17">
        <f t="shared" si="251"/>
        <v>0</v>
      </c>
      <c r="AW1883" s="346" t="str">
        <f t="shared" si="253"/>
        <v>{s_taskTalk,{333,333}}</v>
      </c>
    </row>
    <row r="1884" spans="1:49" s="346" customFormat="1" ht="132.75" thickBot="1" x14ac:dyDescent="0.2">
      <c r="A1884" s="755">
        <v>50009</v>
      </c>
      <c r="C1884" s="346" t="s">
        <v>3624</v>
      </c>
      <c r="D1884" s="814">
        <v>5</v>
      </c>
      <c r="E1884" s="346">
        <v>0</v>
      </c>
      <c r="F1884" s="346">
        <v>5</v>
      </c>
      <c r="G1884" s="347">
        <v>200</v>
      </c>
      <c r="H1884" s="346">
        <v>200</v>
      </c>
      <c r="I1884" s="17">
        <v>0</v>
      </c>
      <c r="J1884" s="347"/>
      <c r="K1884" s="346">
        <v>5</v>
      </c>
      <c r="L1884" s="346">
        <v>333</v>
      </c>
      <c r="M1884" s="346" t="s">
        <v>3623</v>
      </c>
      <c r="N1884" s="346">
        <v>333</v>
      </c>
      <c r="O1884" s="346" t="s">
        <v>5259</v>
      </c>
      <c r="Q1884" s="750"/>
      <c r="R1884" s="750"/>
      <c r="S1884" s="750"/>
      <c r="T1884" s="750"/>
      <c r="U1884" s="346">
        <v>1</v>
      </c>
      <c r="V1884" s="346">
        <v>0</v>
      </c>
      <c r="W1884" s="741"/>
      <c r="Z1884" s="742">
        <v>0</v>
      </c>
      <c r="AB1884" s="751"/>
      <c r="AC1884" s="751"/>
      <c r="AD1884" s="745" t="s">
        <v>7377</v>
      </c>
      <c r="AF1884" s="346" t="s">
        <v>3647</v>
      </c>
      <c r="AG1884" s="346" t="s">
        <v>3643</v>
      </c>
      <c r="AH1884" s="346" t="s">
        <v>3627</v>
      </c>
      <c r="AI1884" s="346" t="s">
        <v>3644</v>
      </c>
      <c r="AJ1884" s="346" t="s">
        <v>6543</v>
      </c>
      <c r="AL1884" s="347">
        <v>0</v>
      </c>
      <c r="AM1884" s="348" t="str">
        <f>"&lt;p&gt;&lt;n&gt;  完成1次合成装备&lt;/n&gt;&lt;newline/&gt;
&lt;n&gt;  回复：&lt;/n&gt;&lt;goto id="""&amp;N1884&amp;""" mapid=""5"" flagpoint=""1"" taskid="""&amp;A1884&amp;"""/&gt;
&lt;/p&gt;"</f>
        <v>&lt;p&gt;&lt;n&gt;  完成1次合成装备&lt;/n&gt;&lt;newline/&gt;
&lt;n&gt;  回复：&lt;/n&gt;&lt;goto id="333" mapid="5" flagpoint="1" taskid="50009"/&gt;
&lt;/p&gt;</v>
      </c>
      <c r="AN1884" s="348" t="str">
        <f t="shared" si="252"/>
        <v>&lt;p&gt;
&lt;n&gt;  交：&lt;/n&gt;&lt;goto id="333" mapid="5" flagpoint="1" taskid="50009"/&gt;
&lt;/p&gt;</v>
      </c>
      <c r="AP1884" s="346">
        <v>0</v>
      </c>
      <c r="AQ1884" s="346">
        <v>0</v>
      </c>
      <c r="AR1884" s="346">
        <v>0</v>
      </c>
      <c r="AS1884" s="346">
        <v>0</v>
      </c>
      <c r="AU1884" s="226">
        <v>0</v>
      </c>
      <c r="AV1884" s="17">
        <f t="shared" si="251"/>
        <v>0</v>
      </c>
      <c r="AW1884" s="346" t="str">
        <f t="shared" ref="AW1884:AW1886" si="255">"{s_taskTalk,{"&amp;L1884&amp;","&amp;N1884&amp;"}}"</f>
        <v>{s_taskTalk,{333,333}}</v>
      </c>
    </row>
    <row r="1885" spans="1:49" s="346" customFormat="1" ht="132.75" thickBot="1" x14ac:dyDescent="0.2">
      <c r="A1885" s="346">
        <v>50011</v>
      </c>
      <c r="B1885" s="346" t="s">
        <v>171</v>
      </c>
      <c r="C1885" s="346" t="s">
        <v>3631</v>
      </c>
      <c r="D1885" s="814">
        <v>5</v>
      </c>
      <c r="E1885" s="346">
        <v>0</v>
      </c>
      <c r="F1885" s="346">
        <v>5</v>
      </c>
      <c r="G1885" s="347">
        <v>200</v>
      </c>
      <c r="H1885" s="346">
        <v>200</v>
      </c>
      <c r="I1885" s="17">
        <v>0</v>
      </c>
      <c r="J1885" s="347"/>
      <c r="K1885" s="346">
        <v>1</v>
      </c>
      <c r="L1885" s="346">
        <v>333</v>
      </c>
      <c r="M1885" s="346" t="s">
        <v>3623</v>
      </c>
      <c r="N1885" s="346">
        <v>333</v>
      </c>
      <c r="O1885" s="346" t="s">
        <v>5259</v>
      </c>
      <c r="Q1885" s="830"/>
      <c r="R1885" s="830"/>
      <c r="S1885" s="830">
        <v>60829</v>
      </c>
      <c r="T1885" s="830"/>
      <c r="U1885" s="346">
        <v>1</v>
      </c>
      <c r="V1885" s="346">
        <v>0</v>
      </c>
      <c r="W1885" s="831"/>
      <c r="Z1885" s="742"/>
      <c r="AB1885" s="751"/>
      <c r="AC1885" s="751"/>
      <c r="AD1885" s="745" t="s">
        <v>7378</v>
      </c>
      <c r="AF1885" s="346" t="str">
        <f>"title("&amp;C1885&amp;")
body(hotyellow_3(任务进程:)newline()
  杀死goto(60829,5)夺回仙衣，回复goto(333,5)。
blankline()hotyellow_3(任务描述:)newline()
  貌美倾国，三界无双的嫦娥驾临王城，可是据说在途中一直被一个魔物跟着。那魔物甚至还在嫦娥姐姐休息的时候偷窥可爱的嫦娥姐姐，偷走了嫦娥的仙衣，这可不得了！！！ 
各国勇士一定要去教训那个色胆包天的魔物，找回嫦娥的衣物。
)"</f>
        <v>title([节日]消灭偷窥嫦娥的魔物)
body(hotyellow_3(任务进程:)newline()
  杀死goto(60829,5)夺回仙衣，回复goto(333,5)。
blankline()hotyellow_3(任务描述:)newline()
  貌美倾国，三界无双的嫦娥驾临王城，可是据说在途中一直被一个魔物跟着。那魔物甚至还在嫦娥姐姐休息的时候偷窥可爱的嫦娥姐姐，偷走了嫦娥的仙衣，这可不得了！！！ 
各国勇士一定要去教训那个色胆包天的魔物，找回嫦娥的衣物。
)</v>
      </c>
      <c r="AG1885" s="832" t="s">
        <v>4442</v>
      </c>
      <c r="AH1885" s="346" t="s">
        <v>3652</v>
      </c>
      <c r="AI1885" s="833" t="s">
        <v>3645</v>
      </c>
      <c r="AJ1885" s="833" t="s">
        <v>3651</v>
      </c>
      <c r="AK1885" s="346" t="s">
        <v>171</v>
      </c>
      <c r="AL1885" s="347">
        <v>0</v>
      </c>
      <c r="AM1885" s="348" t="str">
        <f>"&lt;p&gt;&lt;n&gt;  杀：&lt;/n&gt;&lt;goto id="""&amp;S1885&amp;""" mapid=""5"" flagpoint=""1"" taskid="""&amp;A1885&amp;"""/&gt;&lt;newline/&gt;
&lt;n&gt;  后回复：&lt;/n&gt;&lt;goto id="""&amp;N1885&amp;""" mapid=""5"" flagpoint=""1"" taskid="""&amp;A1885&amp;"""/&gt;
&lt;/p&gt;"</f>
        <v>&lt;p&gt;&lt;n&gt;  杀：&lt;/n&gt;&lt;goto id="60829" mapid="5" flagpoint="1" taskid="50011"/&gt;&lt;newline/&gt;
&lt;n&gt;  后回复：&lt;/n&gt;&lt;goto id="333" mapid="5" flagpoint="1" taskid="50011"/&gt;
&lt;/p&gt;</v>
      </c>
      <c r="AN1885" s="348" t="str">
        <f t="shared" si="252"/>
        <v>&lt;p&gt;
&lt;n&gt;  交：&lt;/n&gt;&lt;goto id="333" mapid="5" flagpoint="1" taskid="50011"/&gt;
&lt;/p&gt;</v>
      </c>
      <c r="AO1885" s="754" t="s">
        <v>3648</v>
      </c>
      <c r="AP1885" s="346">
        <v>1</v>
      </c>
      <c r="AQ1885" s="346">
        <v>0</v>
      </c>
      <c r="AR1885" s="346">
        <v>0</v>
      </c>
      <c r="AS1885" s="346">
        <v>0</v>
      </c>
      <c r="AU1885" s="346">
        <v>0</v>
      </c>
      <c r="AV1885" s="17">
        <f t="shared" si="251"/>
        <v>0</v>
      </c>
      <c r="AW1885" s="348" t="str">
        <f>"{s_taskKillNpc, {"&amp;L1885&amp;","&amp;N1885&amp;","&amp;S1885&amp;","&amp;U1885&amp;"}}"</f>
        <v>{s_taskKillNpc, {333,333,60829,1}}</v>
      </c>
    </row>
    <row r="1886" spans="1:49" s="346" customFormat="1" ht="84" x14ac:dyDescent="0.15">
      <c r="A1886" s="755">
        <v>50012</v>
      </c>
      <c r="C1886" s="346" t="s">
        <v>3632</v>
      </c>
      <c r="D1886" s="814">
        <v>5</v>
      </c>
      <c r="E1886" s="346">
        <v>0</v>
      </c>
      <c r="F1886" s="346">
        <v>5</v>
      </c>
      <c r="G1886" s="347">
        <v>200</v>
      </c>
      <c r="H1886" s="346">
        <v>200</v>
      </c>
      <c r="I1886" s="17">
        <v>0</v>
      </c>
      <c r="J1886" s="347"/>
      <c r="K1886" s="346">
        <v>1</v>
      </c>
      <c r="L1886" s="346">
        <v>333</v>
      </c>
      <c r="M1886" s="346" t="s">
        <v>3623</v>
      </c>
      <c r="N1886" s="346">
        <v>333</v>
      </c>
      <c r="O1886" s="346" t="s">
        <v>5259</v>
      </c>
      <c r="Q1886" s="750"/>
      <c r="R1886" s="750"/>
      <c r="S1886" s="750"/>
      <c r="T1886" s="750"/>
      <c r="U1886" s="346">
        <v>1</v>
      </c>
      <c r="V1886" s="346">
        <v>0</v>
      </c>
      <c r="W1886" s="741"/>
      <c r="Z1886" s="742">
        <v>0</v>
      </c>
      <c r="AB1886" s="751"/>
      <c r="AC1886" s="751"/>
      <c r="AD1886" s="745"/>
      <c r="AE1886" s="745"/>
      <c r="AF1886" s="346" t="str">
        <f>"title("&amp;C1886&amp;")
body(hotyellow_3(任务进程:)newline()
   与goto(333,5)对话领取一个爱我中华，前往敌国（非盟国）钓鱼区，宣示主权。
blankline()hotyellow_3(任务描述:)newline() 
   前往敌国（非盟国）钓鱼区，使用道具即可完成任务。
)"</f>
        <v>title([节日]钓鱼岛是中国的)
body(hotyellow_3(任务进程:)newline()
   与goto(333,5)对话领取一个爱我中华，前往敌国（非盟国）钓鱼区，宣示主权。
blankline()hotyellow_3(任务描述:)newline() 
   前往敌国（非盟国）钓鱼区，使用道具即可完成任务。
)</v>
      </c>
      <c r="AG1886" s="346" t="s">
        <v>3633</v>
      </c>
      <c r="AH1886" s="346" t="s">
        <v>3633</v>
      </c>
      <c r="AI1886" s="346" t="s">
        <v>3626</v>
      </c>
      <c r="AJ1886" s="346" t="s">
        <v>6538</v>
      </c>
      <c r="AL1886" s="347">
        <v>0</v>
      </c>
      <c r="AM1886" s="348" t="str">
        <f>"&lt;p&gt;
&lt;n&gt;  回复：&lt;/n&gt;&lt;goto id="""&amp;N1886&amp;""" mapid=""5"" flagpoint=""1"" taskid="""&amp;A1886&amp;"""/&gt;
&lt;/p&gt;"</f>
        <v>&lt;p&gt;
&lt;n&gt;  回复：&lt;/n&gt;&lt;goto id="333" mapid="5" flagpoint="1" taskid="50012"/&gt;
&lt;/p&gt;</v>
      </c>
      <c r="AN1886" s="348" t="str">
        <f t="shared" si="252"/>
        <v>&lt;p&gt;
&lt;n&gt;  交：&lt;/n&gt;&lt;goto id="333" mapid="5" flagpoint="1" taskid="50012"/&gt;
&lt;/p&gt;</v>
      </c>
      <c r="AP1886" s="346">
        <v>1</v>
      </c>
      <c r="AQ1886" s="346">
        <v>0</v>
      </c>
      <c r="AR1886" s="346">
        <v>0</v>
      </c>
      <c r="AS1886" s="346">
        <v>0</v>
      </c>
      <c r="AU1886" s="226">
        <v>0</v>
      </c>
      <c r="AV1886" s="17">
        <f t="shared" si="251"/>
        <v>0</v>
      </c>
      <c r="AW1886" s="346" t="str">
        <f t="shared" si="255"/>
        <v>{s_taskTalk,{333,333}}</v>
      </c>
    </row>
    <row r="1887" spans="1:49" s="87" customFormat="1" ht="60" x14ac:dyDescent="0.15">
      <c r="A1887" s="111">
        <v>50013</v>
      </c>
      <c r="C1887" s="87" t="s">
        <v>3704</v>
      </c>
      <c r="D1887" s="814">
        <v>5</v>
      </c>
      <c r="E1887" s="87">
        <v>0</v>
      </c>
      <c r="F1887" s="87">
        <v>5</v>
      </c>
      <c r="G1887" s="112">
        <v>200</v>
      </c>
      <c r="H1887" s="87">
        <v>200</v>
      </c>
      <c r="I1887" s="17">
        <v>0</v>
      </c>
      <c r="J1887" s="112"/>
      <c r="K1887" s="87">
        <v>1</v>
      </c>
      <c r="L1887" s="87">
        <v>337</v>
      </c>
      <c r="M1887" s="87" t="s">
        <v>3702</v>
      </c>
      <c r="N1887" s="87">
        <v>337</v>
      </c>
      <c r="O1887" s="87" t="s">
        <v>5260</v>
      </c>
      <c r="Q1887" s="113"/>
      <c r="R1887" s="113"/>
      <c r="S1887" s="113"/>
      <c r="T1887" s="113"/>
      <c r="U1887" s="87">
        <v>1</v>
      </c>
      <c r="V1887" s="87">
        <v>0</v>
      </c>
      <c r="W1887" s="114"/>
      <c r="Z1887" s="380">
        <v>0</v>
      </c>
      <c r="AB1887" s="115"/>
      <c r="AC1887" s="115"/>
      <c r="AD1887" s="834" t="s">
        <v>7379</v>
      </c>
      <c r="AE1887" s="834"/>
      <c r="AF1887" s="87" t="str">
        <f>"title("&amp;C1887&amp;")
body(hotyellow_3(任务进程:)newline()
blankline()hotyellow_3(任务描述:)newline() 
)"</f>
        <v>title([节日]杰克灯的回忆)
body(hotyellow_3(任务进程:)newline()
blankline()hotyellow_3(任务描述:)newline() 
)</v>
      </c>
      <c r="AG1887" s="87" t="s">
        <v>4517</v>
      </c>
      <c r="AH1887" s="87" t="s">
        <v>3705</v>
      </c>
      <c r="AI1887" s="87" t="s">
        <v>3706</v>
      </c>
      <c r="AJ1887" s="87" t="s">
        <v>6544</v>
      </c>
      <c r="AL1887" s="112">
        <v>0</v>
      </c>
      <c r="AM1887" s="381"/>
      <c r="AN1887" s="381" t="str">
        <f t="shared" ref="AN1887:AN1897" si="256">"&lt;p&gt;
&lt;n&gt;  交：&lt;/n&gt;&lt;goto id="""&amp;N1887&amp;""" mapid=""3"" flagpoint=""1"" taskid="""&amp;A1887&amp;"""/&gt;
&lt;/p&gt;"</f>
        <v>&lt;p&gt;
&lt;n&gt;  交：&lt;/n&gt;&lt;goto id="337" mapid="3" flagpoint="1" taskid="50013"/&gt;
&lt;/p&gt;</v>
      </c>
      <c r="AP1887" s="87">
        <v>1</v>
      </c>
      <c r="AQ1887" s="87">
        <v>0</v>
      </c>
      <c r="AR1887" s="87">
        <v>0</v>
      </c>
      <c r="AS1887" s="87">
        <v>0</v>
      </c>
      <c r="AU1887" s="87">
        <v>0</v>
      </c>
      <c r="AV1887" s="17">
        <f t="shared" si="251"/>
        <v>0</v>
      </c>
      <c r="AW1887" s="87" t="str">
        <f>"{s_taskCustom,{"&amp;L1887&amp;","&amp;N1887&amp;","&amp;U1887&amp;","&amp;V1887&amp;"}}"</f>
        <v>{s_taskCustom,{337,337,1,0}}</v>
      </c>
    </row>
    <row r="1888" spans="1:49" s="87" customFormat="1" ht="108" x14ac:dyDescent="0.15">
      <c r="A1888" s="111">
        <v>50014</v>
      </c>
      <c r="C1888" s="87" t="s">
        <v>3707</v>
      </c>
      <c r="D1888" s="814">
        <v>5</v>
      </c>
      <c r="E1888" s="87">
        <v>0</v>
      </c>
      <c r="F1888" s="87">
        <v>5</v>
      </c>
      <c r="G1888" s="112">
        <v>200</v>
      </c>
      <c r="H1888" s="87">
        <v>200</v>
      </c>
      <c r="I1888" s="17">
        <v>0</v>
      </c>
      <c r="J1888" s="112"/>
      <c r="K1888" s="87">
        <v>1</v>
      </c>
      <c r="L1888" s="87">
        <v>337</v>
      </c>
      <c r="M1888" s="87" t="s">
        <v>3702</v>
      </c>
      <c r="N1888" s="87">
        <v>337</v>
      </c>
      <c r="O1888" s="87" t="s">
        <v>5260</v>
      </c>
      <c r="Q1888" s="113"/>
      <c r="R1888" s="113"/>
      <c r="S1888" s="113"/>
      <c r="T1888" s="113"/>
      <c r="U1888" s="87">
        <v>6</v>
      </c>
      <c r="V1888" s="87">
        <v>0</v>
      </c>
      <c r="W1888" s="114"/>
      <c r="Z1888" s="380">
        <v>0</v>
      </c>
      <c r="AB1888" s="115"/>
      <c r="AC1888" s="115"/>
      <c r="AD1888" s="834" t="s">
        <v>7379</v>
      </c>
      <c r="AE1888" s="834"/>
      <c r="AF1888" s="87" t="str">
        <f>"title("&amp;C1888&amp;")
body(hotyellow_3(任务进程:)newline()
space()space()space()跟随南瓜头领游行，与其对话，并且撒花庆祝6次。（每次撒花后需间隔一定时间才能继续撒花）
blankline()hotyellow_3(任务描述:)newline() 
space()space()space()hot(南瓜头领)围绕着凤城舞区在游行。
)"</f>
        <v>title([节日]南瓜们的狂欢游行)
body(hotyellow_3(任务进程:)newline()
space()space()space()跟随南瓜头领游行，与其对话，并且撒花庆祝6次。（每次撒花后需间隔一定时间才能继续撒花）
blankline()hotyellow_3(任务描述:)newline() 
space()space()space()hot(南瓜头领)围绕着凤城舞区在游行。
)</v>
      </c>
      <c r="AG1888" s="87" t="s">
        <v>4443</v>
      </c>
      <c r="AH1888" s="87" t="s">
        <v>3717</v>
      </c>
      <c r="AI1888" s="87" t="s">
        <v>3718</v>
      </c>
      <c r="AJ1888" s="87" t="s">
        <v>6545</v>
      </c>
      <c r="AL1888" s="112">
        <v>0</v>
      </c>
      <c r="AM1888" s="381" t="str">
        <f>"&lt;p&gt;&lt;n&gt;  与舞区周围的南瓜头领对话撒花6次&lt;/n&gt;
&lt;/p&gt;"</f>
        <v>&lt;p&gt;&lt;n&gt;  与舞区周围的南瓜头领对话撒花6次&lt;/n&gt;
&lt;/p&gt;</v>
      </c>
      <c r="AN1888" s="381" t="str">
        <f t="shared" si="256"/>
        <v>&lt;p&gt;
&lt;n&gt;  交：&lt;/n&gt;&lt;goto id="337" mapid="3" flagpoint="1" taskid="50014"/&gt;
&lt;/p&gt;</v>
      </c>
      <c r="AP1888" s="87">
        <v>1</v>
      </c>
      <c r="AQ1888" s="87">
        <v>0</v>
      </c>
      <c r="AR1888" s="87">
        <v>0</v>
      </c>
      <c r="AS1888" s="87">
        <v>0</v>
      </c>
      <c r="AU1888" s="87">
        <v>0</v>
      </c>
      <c r="AV1888" s="17">
        <f t="shared" si="251"/>
        <v>0</v>
      </c>
      <c r="AW1888" s="87" t="str">
        <f>"{s_taskCustom,{"&amp;L1888&amp;","&amp;N1888&amp;","&amp;U1888&amp;","&amp;V1888&amp;"}}"</f>
        <v>{s_taskCustom,{337,337,6,0}}</v>
      </c>
    </row>
    <row r="1889" spans="1:49" s="87" customFormat="1" ht="168" x14ac:dyDescent="0.15">
      <c r="A1889" s="111">
        <v>50015</v>
      </c>
      <c r="C1889" s="87" t="s">
        <v>4805</v>
      </c>
      <c r="D1889" s="814">
        <v>5</v>
      </c>
      <c r="E1889" s="87">
        <v>0</v>
      </c>
      <c r="F1889" s="87">
        <v>5</v>
      </c>
      <c r="G1889" s="112">
        <v>200</v>
      </c>
      <c r="H1889" s="87">
        <v>200</v>
      </c>
      <c r="I1889" s="17">
        <v>0</v>
      </c>
      <c r="J1889" s="112"/>
      <c r="K1889" s="87">
        <v>1</v>
      </c>
      <c r="L1889" s="87">
        <v>337</v>
      </c>
      <c r="M1889" s="87" t="s">
        <v>3702</v>
      </c>
      <c r="N1889" s="87">
        <v>337</v>
      </c>
      <c r="O1889" s="87" t="s">
        <v>5260</v>
      </c>
      <c r="Q1889" s="113"/>
      <c r="R1889" s="113"/>
      <c r="S1889" s="113"/>
      <c r="T1889" s="113"/>
      <c r="U1889" s="87">
        <v>10</v>
      </c>
      <c r="V1889" s="87">
        <v>0</v>
      </c>
      <c r="W1889" s="114"/>
      <c r="Z1889" s="380">
        <v>0</v>
      </c>
      <c r="AB1889" s="115"/>
      <c r="AC1889" s="115">
        <v>1000</v>
      </c>
      <c r="AD1889" s="834" t="s">
        <v>7380</v>
      </c>
      <c r="AE1889" s="834"/>
      <c r="AF1889" s="87" t="s">
        <v>9023</v>
      </c>
      <c r="AG1889" s="87" t="s">
        <v>4806</v>
      </c>
      <c r="AH1889" s="87" t="s">
        <v>3708</v>
      </c>
      <c r="AI1889" s="87" t="s">
        <v>3719</v>
      </c>
      <c r="AJ1889" s="87" t="s">
        <v>6546</v>
      </c>
      <c r="AL1889" s="112">
        <v>0</v>
      </c>
      <c r="AM1889" s="381" t="str">
        <f>"&lt;p&gt;
&lt;n&gt;  杀：&lt;/n&gt;&lt;goto id=""60943"" mapid=""7"" flagpoint=""1"" taskid="""&amp;A1889&amp;"""/&gt;
&lt;n&gt;  有几率出现狼人士兵，杀：10个狼人士兵即可完成任务&lt;/n&gt;
&lt;/p&gt;"</f>
        <v>&lt;p&gt;
&lt;n&gt;  杀：&lt;/n&gt;&lt;goto id="60943" mapid="7" flagpoint="1" taskid="50015"/&gt;
&lt;n&gt;  有几率出现狼人士兵，杀：10个狼人士兵即可完成任务&lt;/n&gt;
&lt;/p&gt;</v>
      </c>
      <c r="AN1889" s="381" t="str">
        <f t="shared" si="256"/>
        <v>&lt;p&gt;
&lt;n&gt;  交：&lt;/n&gt;&lt;goto id="337" mapid="3" flagpoint="1" taskid="50015"/&gt;
&lt;/p&gt;</v>
      </c>
      <c r="AP1889" s="87">
        <v>1</v>
      </c>
      <c r="AQ1889" s="87">
        <v>0</v>
      </c>
      <c r="AR1889" s="87">
        <v>0</v>
      </c>
      <c r="AS1889" s="87">
        <v>0</v>
      </c>
      <c r="AU1889" s="87">
        <v>0</v>
      </c>
      <c r="AV1889" s="17">
        <f t="shared" si="251"/>
        <v>0</v>
      </c>
      <c r="AW1889" s="87" t="str">
        <f>"{s_taskCustom,{"&amp;L1889&amp;","&amp;N1889&amp;","&amp;U1889&amp;","&amp;V1889&amp;"}}"</f>
        <v>{s_taskCustom,{337,337,10,0}}</v>
      </c>
    </row>
    <row r="1890" spans="1:49" s="87" customFormat="1" ht="132" x14ac:dyDescent="0.15">
      <c r="A1890" s="111">
        <v>50016</v>
      </c>
      <c r="C1890" s="87" t="s">
        <v>3724</v>
      </c>
      <c r="D1890" s="814">
        <v>5</v>
      </c>
      <c r="E1890" s="87">
        <v>0</v>
      </c>
      <c r="F1890" s="87">
        <v>5</v>
      </c>
      <c r="G1890" s="112">
        <v>200</v>
      </c>
      <c r="H1890" s="87">
        <v>200</v>
      </c>
      <c r="I1890" s="17">
        <v>0</v>
      </c>
      <c r="J1890" s="112"/>
      <c r="K1890" s="87">
        <v>3</v>
      </c>
      <c r="L1890" s="87">
        <v>337</v>
      </c>
      <c r="M1890" s="87" t="s">
        <v>3702</v>
      </c>
      <c r="N1890" s="87">
        <v>337</v>
      </c>
      <c r="O1890" s="87" t="s">
        <v>5260</v>
      </c>
      <c r="Q1890" s="113"/>
      <c r="R1890" s="113"/>
      <c r="S1890" s="113"/>
      <c r="T1890" s="113"/>
      <c r="U1890" s="87">
        <v>1</v>
      </c>
      <c r="V1890" s="87">
        <v>0</v>
      </c>
      <c r="W1890" s="114"/>
      <c r="Z1890" s="380">
        <v>0</v>
      </c>
      <c r="AB1890" s="115"/>
      <c r="AC1890" s="115"/>
      <c r="AD1890" s="834"/>
      <c r="AE1890" s="834" t="s">
        <v>7381</v>
      </c>
      <c r="AF1890" s="87" t="s">
        <v>4345</v>
      </c>
      <c r="AG1890" s="87" t="s">
        <v>4346</v>
      </c>
      <c r="AH1890" s="87" t="s">
        <v>3709</v>
      </c>
      <c r="AI1890" s="87" t="s">
        <v>3710</v>
      </c>
      <c r="AJ1890" s="87" t="s">
        <v>6547</v>
      </c>
      <c r="AL1890" s="112">
        <v>0</v>
      </c>
      <c r="AM1890" s="381" t="str">
        <f>"&lt;p&gt;&lt;n&gt;  找与自己相同装扮的玩家，去&lt;/n&gt;&lt;newline/&gt;
&lt;goto id=""60947"" mapid=""3"" flagpoint=""1"" taskid="""&amp;A1890&amp;"""/&gt;
&lt;n&gt;  鉴定，队伍人数越多，经验越高&lt;/n&gt;
&lt;/p&gt;"</f>
        <v>&lt;p&gt;&lt;n&gt;  找与自己相同装扮的玩家，去&lt;/n&gt;&lt;newline/&gt;
&lt;goto id="60947" mapid="3" flagpoint="1" taskid="50016"/&gt;
&lt;n&gt;  鉴定，队伍人数越多，经验越高&lt;/n&gt;
&lt;/p&gt;</v>
      </c>
      <c r="AN1890" s="381" t="str">
        <f t="shared" si="256"/>
        <v>&lt;p&gt;
&lt;n&gt;  交：&lt;/n&gt;&lt;goto id="337" mapid="3" flagpoint="1" taskid="50016"/&gt;
&lt;/p&gt;</v>
      </c>
      <c r="AP1890" s="87">
        <v>1</v>
      </c>
      <c r="AQ1890" s="87">
        <v>0</v>
      </c>
      <c r="AR1890" s="87">
        <v>0</v>
      </c>
      <c r="AS1890" s="87">
        <v>0</v>
      </c>
      <c r="AU1890" s="87">
        <v>0</v>
      </c>
      <c r="AV1890" s="17">
        <f t="shared" si="251"/>
        <v>0</v>
      </c>
      <c r="AW1890" s="87" t="str">
        <f>"{s_taskCustom,{"&amp;L1890&amp;","&amp;N1890&amp;","&amp;U1890&amp;","&amp;V1890&amp;"}}"</f>
        <v>{s_taskCustom,{337,337,1,0}}</v>
      </c>
    </row>
    <row r="1891" spans="1:49" s="87" customFormat="1" ht="72" x14ac:dyDescent="0.15">
      <c r="A1891" s="111">
        <v>50020</v>
      </c>
      <c r="C1891" s="87" t="s">
        <v>3720</v>
      </c>
      <c r="D1891" s="814">
        <v>5</v>
      </c>
      <c r="E1891" s="87">
        <v>0</v>
      </c>
      <c r="F1891" s="87">
        <v>5</v>
      </c>
      <c r="G1891" s="112">
        <v>200</v>
      </c>
      <c r="H1891" s="87">
        <v>200</v>
      </c>
      <c r="I1891" s="17">
        <v>0</v>
      </c>
      <c r="J1891" s="112"/>
      <c r="K1891" s="87">
        <v>2</v>
      </c>
      <c r="L1891" s="87">
        <v>337</v>
      </c>
      <c r="M1891" s="87" t="s">
        <v>3702</v>
      </c>
      <c r="N1891" s="87">
        <v>337</v>
      </c>
      <c r="O1891" s="87" t="s">
        <v>5260</v>
      </c>
      <c r="Q1891" s="113"/>
      <c r="R1891" s="113"/>
      <c r="S1891" s="113"/>
      <c r="T1891" s="113"/>
      <c r="U1891" s="87">
        <v>1</v>
      </c>
      <c r="V1891" s="87">
        <v>0</v>
      </c>
      <c r="W1891" s="114"/>
      <c r="Z1891" s="380">
        <v>0</v>
      </c>
      <c r="AB1891" s="115"/>
      <c r="AC1891" s="115"/>
      <c r="AD1891" s="834"/>
      <c r="AF1891" s="87" t="s">
        <v>3721</v>
      </c>
      <c r="AG1891" s="87" t="s">
        <v>4518</v>
      </c>
      <c r="AH1891" s="87" t="s">
        <v>3703</v>
      </c>
      <c r="AI1891" s="87" t="s">
        <v>3626</v>
      </c>
      <c r="AJ1891" s="87" t="s">
        <v>6538</v>
      </c>
      <c r="AL1891" s="112">
        <v>0</v>
      </c>
      <c r="AM1891" s="381" t="str">
        <f>"&lt;p&gt;
&lt;n&gt;  回复：&lt;/n&gt;&lt;goto id="""&amp;N1891&amp;""" mapid=""3"" flagpoint=""1"" taskid="""&amp;A1891&amp;"""/&gt;
&lt;/p&gt;"</f>
        <v>&lt;p&gt;
&lt;n&gt;  回复：&lt;/n&gt;&lt;goto id="337" mapid="3" flagpoint="1" taskid="50020"/&gt;
&lt;/p&gt;</v>
      </c>
      <c r="AN1891" s="381" t="str">
        <f t="shared" si="256"/>
        <v>&lt;p&gt;
&lt;n&gt;  交：&lt;/n&gt;&lt;goto id="337" mapid="3" flagpoint="1" taskid="50020"/&gt;
&lt;/p&gt;</v>
      </c>
      <c r="AO1891" s="835"/>
      <c r="AP1891" s="87">
        <v>1</v>
      </c>
      <c r="AQ1891" s="87">
        <v>0</v>
      </c>
      <c r="AR1891" s="87">
        <v>0</v>
      </c>
      <c r="AS1891" s="87">
        <v>0</v>
      </c>
      <c r="AU1891" s="87">
        <v>0</v>
      </c>
      <c r="AV1891" s="17">
        <f t="shared" si="251"/>
        <v>0</v>
      </c>
      <c r="AW1891" s="87" t="str">
        <f>"{s_taskTalk,{"&amp;L1891&amp;","&amp;N1891&amp;"}}"</f>
        <v>{s_taskTalk,{337,337}}</v>
      </c>
    </row>
    <row r="1892" spans="1:49" s="87" customFormat="1" ht="204" x14ac:dyDescent="0.15">
      <c r="A1892" s="111">
        <v>50021</v>
      </c>
      <c r="C1892" s="87" t="s">
        <v>3722</v>
      </c>
      <c r="D1892" s="814">
        <v>5</v>
      </c>
      <c r="E1892" s="87">
        <v>0</v>
      </c>
      <c r="F1892" s="87">
        <v>5</v>
      </c>
      <c r="G1892" s="112">
        <v>200</v>
      </c>
      <c r="H1892" s="87">
        <v>200</v>
      </c>
      <c r="I1892" s="17">
        <v>0</v>
      </c>
      <c r="J1892" s="112"/>
      <c r="K1892" s="87">
        <v>2</v>
      </c>
      <c r="L1892" s="87">
        <v>337</v>
      </c>
      <c r="M1892" s="87" t="s">
        <v>3702</v>
      </c>
      <c r="N1892" s="87">
        <v>337</v>
      </c>
      <c r="O1892" s="87" t="s">
        <v>5260</v>
      </c>
      <c r="Q1892" s="113"/>
      <c r="R1892" s="113"/>
      <c r="S1892" s="113"/>
      <c r="T1892" s="113"/>
      <c r="U1892" s="87">
        <v>1</v>
      </c>
      <c r="V1892" s="87">
        <v>0</v>
      </c>
      <c r="W1892" s="114"/>
      <c r="Z1892" s="380">
        <v>0</v>
      </c>
      <c r="AB1892" s="115"/>
      <c r="AC1892" s="115"/>
      <c r="AD1892" s="834" t="s">
        <v>7382</v>
      </c>
      <c r="AF1892" s="87" t="s">
        <v>4510</v>
      </c>
      <c r="AG1892" s="87" t="s">
        <v>4518</v>
      </c>
      <c r="AH1892" s="87" t="s">
        <v>3703</v>
      </c>
      <c r="AI1892" s="87" t="s">
        <v>4096</v>
      </c>
      <c r="AJ1892" s="87" t="s">
        <v>6548</v>
      </c>
      <c r="AL1892" s="112">
        <v>0</v>
      </c>
      <c r="AM1892" s="381" t="str">
        <f>"&lt;p&gt;&lt;n&gt;  向风之国国民收集1个生姜饼（风之国运镖任务完成获得）&lt;/n&gt;&lt;newline/&gt;
&lt;n&gt;  回复：&lt;/n&gt;&lt;goto id="""&amp;N1892&amp;""" mapid=""3"" flagpoint=""1"" taskid="""&amp;A1892&amp;"""/&gt;
&lt;/p&gt;"</f>
        <v>&lt;p&gt;&lt;n&gt;  向风之国国民收集1个生姜饼（风之国运镖任务完成获得）&lt;/n&gt;&lt;newline/&gt;
&lt;n&gt;  回复：&lt;/n&gt;&lt;goto id="337" mapid="3" flagpoint="1" taskid="50021"/&gt;
&lt;/p&gt;</v>
      </c>
      <c r="AN1892" s="381" t="str">
        <f t="shared" si="256"/>
        <v>&lt;p&gt;
&lt;n&gt;  交：&lt;/n&gt;&lt;goto id="337" mapid="3" flagpoint="1" taskid="50021"/&gt;
&lt;/p&gt;</v>
      </c>
      <c r="AO1892" s="835" t="s">
        <v>3711</v>
      </c>
      <c r="AP1892" s="87">
        <v>0</v>
      </c>
      <c r="AQ1892" s="87">
        <v>0</v>
      </c>
      <c r="AR1892" s="87">
        <v>0</v>
      </c>
      <c r="AS1892" s="87">
        <v>0</v>
      </c>
      <c r="AU1892" s="87">
        <v>0</v>
      </c>
      <c r="AV1892" s="17">
        <f t="shared" si="251"/>
        <v>0</v>
      </c>
      <c r="AW1892" s="87" t="str">
        <f t="shared" ref="AW1892:AW1897" si="257">"{s_taskTalk,{"&amp;L1892&amp;","&amp;N1892&amp;"}}"</f>
        <v>{s_taskTalk,{337,337}}</v>
      </c>
    </row>
    <row r="1893" spans="1:49" s="87" customFormat="1" ht="204" x14ac:dyDescent="0.15">
      <c r="A1893" s="111">
        <v>50022</v>
      </c>
      <c r="C1893" s="87" t="s">
        <v>3722</v>
      </c>
      <c r="D1893" s="814">
        <v>5</v>
      </c>
      <c r="E1893" s="87">
        <v>0</v>
      </c>
      <c r="F1893" s="87">
        <v>5</v>
      </c>
      <c r="G1893" s="112">
        <v>200</v>
      </c>
      <c r="H1893" s="87">
        <v>200</v>
      </c>
      <c r="I1893" s="17">
        <v>0</v>
      </c>
      <c r="J1893" s="112"/>
      <c r="K1893" s="87">
        <v>2</v>
      </c>
      <c r="L1893" s="87">
        <v>337</v>
      </c>
      <c r="M1893" s="87" t="s">
        <v>3702</v>
      </c>
      <c r="N1893" s="87">
        <v>337</v>
      </c>
      <c r="O1893" s="87" t="s">
        <v>5260</v>
      </c>
      <c r="Q1893" s="113"/>
      <c r="R1893" s="113"/>
      <c r="S1893" s="113"/>
      <c r="T1893" s="113"/>
      <c r="U1893" s="87">
        <v>1</v>
      </c>
      <c r="V1893" s="87">
        <v>0</v>
      </c>
      <c r="W1893" s="114"/>
      <c r="Z1893" s="380">
        <v>0</v>
      </c>
      <c r="AB1893" s="115"/>
      <c r="AC1893" s="115"/>
      <c r="AD1893" s="834" t="s">
        <v>7382</v>
      </c>
      <c r="AF1893" s="87" t="s">
        <v>4511</v>
      </c>
      <c r="AG1893" s="87" t="s">
        <v>4518</v>
      </c>
      <c r="AH1893" s="87" t="s">
        <v>3703</v>
      </c>
      <c r="AI1893" s="87" t="s">
        <v>4509</v>
      </c>
      <c r="AJ1893" s="87" t="s">
        <v>6549</v>
      </c>
      <c r="AL1893" s="112">
        <v>0</v>
      </c>
      <c r="AM1893" s="381" t="str">
        <f>"&lt;p&gt;&lt;n&gt;  向蜀国国民收集1个烘南瓜子（蜀国运镖任务完成获得）&lt;/n&gt;&lt;newline/&gt;
&lt;n&gt;  回复：&lt;/n&gt;&lt;goto id="""&amp;N1893&amp;""" mapid=""3"" flagpoint=""1"" taskid="""&amp;A1893&amp;"""/&gt;
&lt;/p&gt;"</f>
        <v>&lt;p&gt;&lt;n&gt;  向蜀国国民收集1个烘南瓜子（蜀国运镖任务完成获得）&lt;/n&gt;&lt;newline/&gt;
&lt;n&gt;  回复：&lt;/n&gt;&lt;goto id="337" mapid="3" flagpoint="1" taskid="50022"/&gt;
&lt;/p&gt;</v>
      </c>
      <c r="AN1893" s="381" t="str">
        <f t="shared" si="256"/>
        <v>&lt;p&gt;
&lt;n&gt;  交：&lt;/n&gt;&lt;goto id="337" mapid="3" flagpoint="1" taskid="50022"/&gt;
&lt;/p&gt;</v>
      </c>
      <c r="AO1893" s="835" t="s">
        <v>3712</v>
      </c>
      <c r="AP1893" s="87">
        <v>0</v>
      </c>
      <c r="AQ1893" s="87">
        <v>0</v>
      </c>
      <c r="AR1893" s="87">
        <v>0</v>
      </c>
      <c r="AS1893" s="87">
        <v>0</v>
      </c>
      <c r="AU1893" s="87">
        <v>0</v>
      </c>
      <c r="AV1893" s="17">
        <f t="shared" si="251"/>
        <v>0</v>
      </c>
      <c r="AW1893" s="87" t="str">
        <f t="shared" si="257"/>
        <v>{s_taskTalk,{337,337}}</v>
      </c>
    </row>
    <row r="1894" spans="1:49" s="87" customFormat="1" ht="204" x14ac:dyDescent="0.15">
      <c r="A1894" s="111">
        <v>50023</v>
      </c>
      <c r="C1894" s="87" t="s">
        <v>3723</v>
      </c>
      <c r="D1894" s="814">
        <v>5</v>
      </c>
      <c r="E1894" s="87">
        <v>0</v>
      </c>
      <c r="F1894" s="87">
        <v>5</v>
      </c>
      <c r="G1894" s="112">
        <v>200</v>
      </c>
      <c r="H1894" s="87">
        <v>200</v>
      </c>
      <c r="I1894" s="17">
        <v>0</v>
      </c>
      <c r="J1894" s="112"/>
      <c r="K1894" s="87">
        <v>2</v>
      </c>
      <c r="L1894" s="87">
        <v>337</v>
      </c>
      <c r="M1894" s="87" t="s">
        <v>3702</v>
      </c>
      <c r="N1894" s="87">
        <v>337</v>
      </c>
      <c r="O1894" s="87" t="s">
        <v>5260</v>
      </c>
      <c r="Q1894" s="113"/>
      <c r="R1894" s="113"/>
      <c r="S1894" s="113"/>
      <c r="T1894" s="113"/>
      <c r="U1894" s="87">
        <v>1</v>
      </c>
      <c r="V1894" s="87">
        <v>0</v>
      </c>
      <c r="W1894" s="114"/>
      <c r="Z1894" s="380">
        <v>0</v>
      </c>
      <c r="AB1894" s="115"/>
      <c r="AC1894" s="115"/>
      <c r="AD1894" s="834" t="s">
        <v>7382</v>
      </c>
      <c r="AF1894" s="87" t="s">
        <v>4512</v>
      </c>
      <c r="AG1894" s="87" t="s">
        <v>4518</v>
      </c>
      <c r="AH1894" s="87" t="s">
        <v>3703</v>
      </c>
      <c r="AI1894" s="87" t="s">
        <v>4508</v>
      </c>
      <c r="AJ1894" s="87" t="s">
        <v>6550</v>
      </c>
      <c r="AL1894" s="112">
        <v>0</v>
      </c>
      <c r="AM1894" s="381" t="str">
        <f>"&lt;p&gt;&lt;n&gt;  向魏国国民收集1个南瓜馅饼（魏国运镖任务完成获得）&lt;/n&gt;&lt;newline/&gt;
&lt;n&gt;  回复：&lt;/n&gt;&lt;goto id="""&amp;N1894&amp;""" mapid=""3"" flagpoint=""1"" taskid="""&amp;A1894&amp;"""/&gt;
&lt;/p&gt;"</f>
        <v>&lt;p&gt;&lt;n&gt;  向魏国国民收集1个南瓜馅饼（魏国运镖任务完成获得）&lt;/n&gt;&lt;newline/&gt;
&lt;n&gt;  回复：&lt;/n&gt;&lt;goto id="337" mapid="3" flagpoint="1" taskid="50023"/&gt;
&lt;/p&gt;</v>
      </c>
      <c r="AN1894" s="381" t="str">
        <f t="shared" si="256"/>
        <v>&lt;p&gt;
&lt;n&gt;  交：&lt;/n&gt;&lt;goto id="337" mapid="3" flagpoint="1" taskid="50023"/&gt;
&lt;/p&gt;</v>
      </c>
      <c r="AO1894" s="835" t="s">
        <v>3713</v>
      </c>
      <c r="AP1894" s="87">
        <v>0</v>
      </c>
      <c r="AQ1894" s="87">
        <v>0</v>
      </c>
      <c r="AR1894" s="87">
        <v>0</v>
      </c>
      <c r="AS1894" s="87">
        <v>0</v>
      </c>
      <c r="AU1894" s="87">
        <v>0</v>
      </c>
      <c r="AV1894" s="17">
        <f t="shared" si="251"/>
        <v>0</v>
      </c>
      <c r="AW1894" s="87" t="str">
        <f t="shared" si="257"/>
        <v>{s_taskTalk,{337,337}}</v>
      </c>
    </row>
    <row r="1895" spans="1:49" s="87" customFormat="1" ht="204" x14ac:dyDescent="0.15">
      <c r="A1895" s="111">
        <v>50024</v>
      </c>
      <c r="C1895" s="87" t="s">
        <v>3722</v>
      </c>
      <c r="D1895" s="814">
        <v>5</v>
      </c>
      <c r="E1895" s="87">
        <v>0</v>
      </c>
      <c r="F1895" s="87">
        <v>5</v>
      </c>
      <c r="G1895" s="112">
        <v>200</v>
      </c>
      <c r="H1895" s="87">
        <v>200</v>
      </c>
      <c r="I1895" s="17">
        <v>0</v>
      </c>
      <c r="J1895" s="112"/>
      <c r="K1895" s="87">
        <v>2</v>
      </c>
      <c r="L1895" s="87">
        <v>337</v>
      </c>
      <c r="M1895" s="87" t="s">
        <v>3702</v>
      </c>
      <c r="N1895" s="87">
        <v>337</v>
      </c>
      <c r="O1895" s="87" t="s">
        <v>5260</v>
      </c>
      <c r="Q1895" s="113"/>
      <c r="R1895" s="113"/>
      <c r="S1895" s="113"/>
      <c r="T1895" s="113"/>
      <c r="U1895" s="87">
        <v>1</v>
      </c>
      <c r="V1895" s="87">
        <v>0</v>
      </c>
      <c r="W1895" s="114"/>
      <c r="Z1895" s="380">
        <v>0</v>
      </c>
      <c r="AB1895" s="115"/>
      <c r="AC1895" s="115"/>
      <c r="AD1895" s="834" t="s">
        <v>7382</v>
      </c>
      <c r="AF1895" s="87" t="s">
        <v>4513</v>
      </c>
      <c r="AG1895" s="87" t="s">
        <v>4518</v>
      </c>
      <c r="AH1895" s="87" t="s">
        <v>3703</v>
      </c>
      <c r="AI1895" s="87" t="s">
        <v>4097</v>
      </c>
      <c r="AJ1895" s="87" t="s">
        <v>6551</v>
      </c>
      <c r="AL1895" s="112">
        <v>0</v>
      </c>
      <c r="AM1895" s="381" t="str">
        <f>"&lt;p&gt;&lt;n&gt;  向沙之国国民收集1个粟米糖（沙之国运镖任务完成获得）&lt;/n&gt;&lt;newline/&gt;
&lt;n&gt;  回复：&lt;/n&gt;&lt;goto id="""&amp;N1895&amp;""" mapid=""3"" flagpoint=""1"" taskid="""&amp;A1895&amp;"""/&gt;
&lt;/p&gt;"</f>
        <v>&lt;p&gt;&lt;n&gt;  向沙之国国民收集1个粟米糖（沙之国运镖任务完成获得）&lt;/n&gt;&lt;newline/&gt;
&lt;n&gt;  回复：&lt;/n&gt;&lt;goto id="337" mapid="3" flagpoint="1" taskid="50024"/&gt;
&lt;/p&gt;</v>
      </c>
      <c r="AN1895" s="381" t="str">
        <f t="shared" si="256"/>
        <v>&lt;p&gt;
&lt;n&gt;  交：&lt;/n&gt;&lt;goto id="337" mapid="3" flagpoint="1" taskid="50024"/&gt;
&lt;/p&gt;</v>
      </c>
      <c r="AO1895" s="835" t="s">
        <v>3714</v>
      </c>
      <c r="AP1895" s="87">
        <v>0</v>
      </c>
      <c r="AQ1895" s="87">
        <v>0</v>
      </c>
      <c r="AR1895" s="87">
        <v>0</v>
      </c>
      <c r="AS1895" s="87">
        <v>0</v>
      </c>
      <c r="AU1895" s="87">
        <v>0</v>
      </c>
      <c r="AV1895" s="17">
        <f t="shared" si="251"/>
        <v>0</v>
      </c>
      <c r="AW1895" s="87" t="str">
        <f t="shared" si="257"/>
        <v>{s_taskTalk,{337,337}}</v>
      </c>
    </row>
    <row r="1896" spans="1:49" s="87" customFormat="1" ht="204" x14ac:dyDescent="0.15">
      <c r="A1896" s="111">
        <v>50025</v>
      </c>
      <c r="C1896" s="87" t="s">
        <v>3723</v>
      </c>
      <c r="D1896" s="814">
        <v>5</v>
      </c>
      <c r="E1896" s="87">
        <v>0</v>
      </c>
      <c r="F1896" s="87">
        <v>5</v>
      </c>
      <c r="G1896" s="112">
        <v>200</v>
      </c>
      <c r="H1896" s="87">
        <v>200</v>
      </c>
      <c r="I1896" s="17">
        <v>0</v>
      </c>
      <c r="J1896" s="112"/>
      <c r="K1896" s="87">
        <v>2</v>
      </c>
      <c r="L1896" s="87">
        <v>337</v>
      </c>
      <c r="M1896" s="87" t="s">
        <v>3702</v>
      </c>
      <c r="N1896" s="87">
        <v>337</v>
      </c>
      <c r="O1896" s="87" t="s">
        <v>5260</v>
      </c>
      <c r="Q1896" s="113"/>
      <c r="R1896" s="113"/>
      <c r="S1896" s="113"/>
      <c r="T1896" s="113"/>
      <c r="U1896" s="87">
        <v>1</v>
      </c>
      <c r="V1896" s="87">
        <v>0</v>
      </c>
      <c r="W1896" s="114"/>
      <c r="Z1896" s="380">
        <v>0</v>
      </c>
      <c r="AB1896" s="115"/>
      <c r="AC1896" s="115"/>
      <c r="AD1896" s="834" t="s">
        <v>7382</v>
      </c>
      <c r="AF1896" s="87" t="s">
        <v>4514</v>
      </c>
      <c r="AG1896" s="87" t="s">
        <v>4518</v>
      </c>
      <c r="AH1896" s="87" t="s">
        <v>3703</v>
      </c>
      <c r="AI1896" s="87" t="s">
        <v>4098</v>
      </c>
      <c r="AJ1896" s="87" t="s">
        <v>6552</v>
      </c>
      <c r="AL1896" s="112">
        <v>0</v>
      </c>
      <c r="AM1896" s="381" t="str">
        <f>"&lt;p&gt;&lt;n&gt;  向花之国国民收集1个太妃糖（花之国运镖任务完成获得）&lt;/n&gt;&lt;newline/&gt;
&lt;n&gt;  回复：&lt;/n&gt;&lt;goto id="""&amp;N1896&amp;""" mapid=""3"" flagpoint=""1"" taskid="""&amp;A1896&amp;"""/&gt;
&lt;/p&gt;"</f>
        <v>&lt;p&gt;&lt;n&gt;  向花之国国民收集1个太妃糖（花之国运镖任务完成获得）&lt;/n&gt;&lt;newline/&gt;
&lt;n&gt;  回复：&lt;/n&gt;&lt;goto id="337" mapid="3" flagpoint="1" taskid="50025"/&gt;
&lt;/p&gt;</v>
      </c>
      <c r="AN1896" s="381" t="str">
        <f t="shared" si="256"/>
        <v>&lt;p&gt;
&lt;n&gt;  交：&lt;/n&gt;&lt;goto id="337" mapid="3" flagpoint="1" taskid="50025"/&gt;
&lt;/p&gt;</v>
      </c>
      <c r="AO1896" s="835" t="s">
        <v>3715</v>
      </c>
      <c r="AP1896" s="87">
        <v>0</v>
      </c>
      <c r="AQ1896" s="87">
        <v>0</v>
      </c>
      <c r="AR1896" s="87">
        <v>0</v>
      </c>
      <c r="AS1896" s="87">
        <v>0</v>
      </c>
      <c r="AU1896" s="87">
        <v>1</v>
      </c>
      <c r="AV1896" s="17">
        <f t="shared" si="251"/>
        <v>0</v>
      </c>
      <c r="AW1896" s="87" t="str">
        <f t="shared" si="257"/>
        <v>{s_taskTalk,{337,337}}</v>
      </c>
    </row>
    <row r="1897" spans="1:49" s="87" customFormat="1" ht="204" x14ac:dyDescent="0.15">
      <c r="A1897" s="111">
        <v>50026</v>
      </c>
      <c r="C1897" s="87" t="s">
        <v>3723</v>
      </c>
      <c r="D1897" s="814">
        <v>5</v>
      </c>
      <c r="E1897" s="87">
        <v>0</v>
      </c>
      <c r="F1897" s="87">
        <v>5</v>
      </c>
      <c r="G1897" s="112">
        <v>200</v>
      </c>
      <c r="H1897" s="87">
        <v>200</v>
      </c>
      <c r="I1897" s="17">
        <v>0</v>
      </c>
      <c r="J1897" s="112"/>
      <c r="K1897" s="87">
        <v>2</v>
      </c>
      <c r="L1897" s="87">
        <v>337</v>
      </c>
      <c r="M1897" s="87" t="s">
        <v>3702</v>
      </c>
      <c r="N1897" s="87">
        <v>337</v>
      </c>
      <c r="O1897" s="87" t="s">
        <v>5260</v>
      </c>
      <c r="Q1897" s="113"/>
      <c r="R1897" s="113"/>
      <c r="S1897" s="113"/>
      <c r="T1897" s="113"/>
      <c r="U1897" s="87">
        <v>1</v>
      </c>
      <c r="V1897" s="87">
        <v>0</v>
      </c>
      <c r="W1897" s="114"/>
      <c r="Z1897" s="380">
        <v>0</v>
      </c>
      <c r="AB1897" s="115"/>
      <c r="AC1897" s="115"/>
      <c r="AD1897" s="834" t="s">
        <v>7382</v>
      </c>
      <c r="AF1897" s="87" t="s">
        <v>4515</v>
      </c>
      <c r="AG1897" s="87" t="s">
        <v>4518</v>
      </c>
      <c r="AH1897" s="87" t="s">
        <v>3703</v>
      </c>
      <c r="AI1897" s="87" t="s">
        <v>4516</v>
      </c>
      <c r="AJ1897" s="87" t="s">
        <v>6553</v>
      </c>
      <c r="AL1897" s="112">
        <v>0</v>
      </c>
      <c r="AM1897" s="381" t="str">
        <f>"&lt;p&gt;&lt;n&gt;  向吴国国民收集1个苹果汁（吴国运镖任务完成获得）&lt;/n&gt;&lt;newline/&gt;
&lt;n&gt;  回复：&lt;/n&gt;&lt;goto id="""&amp;N1897&amp;""" mapid=""3"" flagpoint=""1"" taskid="""&amp;A1897&amp;"""/&gt;
&lt;/p&gt;"</f>
        <v>&lt;p&gt;&lt;n&gt;  向吴国国民收集1个苹果汁（吴国运镖任务完成获得）&lt;/n&gt;&lt;newline/&gt;
&lt;n&gt;  回复：&lt;/n&gt;&lt;goto id="337" mapid="3" flagpoint="1" taskid="50026"/&gt;
&lt;/p&gt;</v>
      </c>
      <c r="AN1897" s="381" t="str">
        <f t="shared" si="256"/>
        <v>&lt;p&gt;
&lt;n&gt;  交：&lt;/n&gt;&lt;goto id="337" mapid="3" flagpoint="1" taskid="50026"/&gt;
&lt;/p&gt;</v>
      </c>
      <c r="AO1897" s="835" t="s">
        <v>3716</v>
      </c>
      <c r="AP1897" s="87">
        <v>0</v>
      </c>
      <c r="AQ1897" s="87">
        <v>0</v>
      </c>
      <c r="AR1897" s="87">
        <v>0</v>
      </c>
      <c r="AS1897" s="87">
        <v>0</v>
      </c>
      <c r="AU1897" s="87">
        <v>0</v>
      </c>
      <c r="AV1897" s="17">
        <f t="shared" si="251"/>
        <v>0</v>
      </c>
      <c r="AW1897" s="87" t="str">
        <f t="shared" si="257"/>
        <v>{s_taskTalk,{337,337}}</v>
      </c>
    </row>
    <row r="1898" spans="1:49" s="87" customFormat="1" ht="72" x14ac:dyDescent="0.15">
      <c r="A1898" s="111">
        <v>50027</v>
      </c>
      <c r="C1898" s="87" t="s">
        <v>9015</v>
      </c>
      <c r="D1898" s="814">
        <v>3</v>
      </c>
      <c r="E1898" s="87">
        <v>0</v>
      </c>
      <c r="F1898" s="87">
        <v>5</v>
      </c>
      <c r="G1898" s="112">
        <v>41</v>
      </c>
      <c r="H1898" s="87">
        <v>200</v>
      </c>
      <c r="I1898" s="17">
        <v>0</v>
      </c>
      <c r="J1898" s="112"/>
      <c r="K1898" s="87">
        <v>2</v>
      </c>
      <c r="L1898" s="87">
        <v>0</v>
      </c>
      <c r="M1898" s="87" t="s">
        <v>9016</v>
      </c>
      <c r="N1898" s="87">
        <v>642</v>
      </c>
      <c r="O1898" s="87" t="s">
        <v>9016</v>
      </c>
      <c r="Q1898" s="113"/>
      <c r="R1898" s="113"/>
      <c r="S1898" s="113"/>
      <c r="T1898" s="113"/>
      <c r="U1898" s="87">
        <v>1</v>
      </c>
      <c r="V1898" s="87">
        <v>0</v>
      </c>
      <c r="W1898" s="114"/>
      <c r="Z1898" s="380">
        <v>0</v>
      </c>
      <c r="AB1898" s="115"/>
      <c r="AC1898" s="115"/>
      <c r="AD1898" s="834" t="s">
        <v>9018</v>
      </c>
      <c r="AE1898" s="834" t="s">
        <v>9022</v>
      </c>
      <c r="AF1898" s="87" t="str">
        <f>"title("&amp;C1898&amp;")
body(hotyellow_3(任务进程:)newline()
space()space()space()前往pos(104,81,5)附近，使用包裹中的hot(变身符咒)变身为hot(指定的英雄)后，找goto(642,5)交付任务。
)"</f>
        <v>title([节日]全民英雄)
body(hotyellow_3(任务进程:)newline()
space()space()space()前往pos(104,81,5)附近，使用包裹中的hot(变身符咒)变身为hot(指定的英雄)后，找goto(642,5)交付任务。
)</v>
      </c>
      <c r="AG1898" s="87" t="s">
        <v>9019</v>
      </c>
      <c r="AH1898" s="87" t="s">
        <v>9021</v>
      </c>
      <c r="AI1898" s="87" t="s">
        <v>9020</v>
      </c>
      <c r="AJ1898" s="87" t="s">
        <v>9026</v>
      </c>
      <c r="AL1898" s="112">
        <v>0</v>
      </c>
      <c r="AM1898" s="381"/>
      <c r="AN1898" s="381" t="str">
        <f t="shared" ref="AN1898" si="258">"&lt;p&gt;
&lt;n&gt;  交：&lt;/n&gt;&lt;goto id="""&amp;N1898&amp;""" mapid=""3"" flagpoint=""1"" taskid="""&amp;A1898&amp;"""/&gt;
&lt;/p&gt;"</f>
        <v>&lt;p&gt;
&lt;n&gt;  交：&lt;/n&gt;&lt;goto id="642" mapid="3" flagpoint="1" taskid="50027"/&gt;
&lt;/p&gt;</v>
      </c>
      <c r="AP1898" s="87">
        <v>0</v>
      </c>
      <c r="AQ1898" s="87">
        <v>0</v>
      </c>
      <c r="AR1898" s="87">
        <v>0</v>
      </c>
      <c r="AS1898" s="87">
        <v>0</v>
      </c>
      <c r="AU1898" s="87">
        <v>0</v>
      </c>
      <c r="AV1898" s="17">
        <f t="shared" ref="AV1898" si="259">IF(D1898 = 1,1,0)</f>
        <v>0</v>
      </c>
      <c r="AW1898" s="87" t="str">
        <f>"{s_taskCustom,{"&amp;L1898&amp;","&amp;N1898&amp;","&amp;U1898&amp;","&amp;V1898&amp;"}}"</f>
        <v>{s_taskCustom,{0,642,1,0}}</v>
      </c>
    </row>
  </sheetData>
  <phoneticPr fontId="6" type="noConversion"/>
  <conditionalFormatting sqref="A1899:A66161 A1084:A1093 A1 A1171:A1218 A1065:A1070 A464:A476 A1436:A1438 A384:A389 A459:A462 A800 A796 A798 A806 A812 A808 A810 A824 A830 A826 A828 A836 A832 A834 A842 A838 A840 A848 A844 A846 A854 A850 A852 A860 A856 A858 A862 A864:A866 A872 A868 A870 A878 A874 A876 A884 A880 A882 A890 A886 A888 A896 A892 A894 A902 A898 A900 A908 A904 A906 A910 A912 A914 A920 A916 A918 A922 A924 A926 A932 A928 A930 A938 A934 A936 A944 A940 A942 A950 A946 A948 A957 A952 A954 A1427 A989:A1017 A1019 A1021:A1032 A1038:A1041 A628:A657 A408:A418 A425:A426 A420 A422 A430:A432 A435:A441 A444:A456 A478:A481 A484:A498 A501:A529 A548:A595 A598:A625 A660:A794 A1045:A1060 A1498 A392:A405 A1440:A1448 A362:A376 A1074:A1081 A531:A545 A357 A1433:A1434 A1159:A1162 A1450:A1464 A1164:A1169">
    <cfRule type="duplicateValues" dxfId="10684" priority="14158" stopIfTrue="1"/>
  </conditionalFormatting>
  <conditionalFormatting sqref="A1082">
    <cfRule type="duplicateValues" dxfId="10683" priority="14154" stopIfTrue="1"/>
  </conditionalFormatting>
  <conditionalFormatting sqref="A1899:A66161 A1 A1084:A1093 A1171:A1218 A1065:A1070 A464:A476 A1436:A1438 A384:A389 A459:A462 A800 A796 A798 A806 A812 A808 A810 A824 A830 A826 A828 A836 A832 A834 A842 A838 A840 A848 A844 A846 A854 A850 A852 A860 A856 A858 A862 A864:A866 A872 A868 A870 A878 A874 A876 A884 A880 A882 A890 A886 A888 A896 A892 A894 A902 A898 A900 A908 A904 A906 A910 A912 A914 A920 A916 A918 A922 A924 A926 A932 A928 A930 A938 A934 A936 A944 A940 A942 A950 A946 A948 A957 A952 A954 A1427 A989:A1017 A1019 A1021:A1032 A1038:A1041 A628:A657 A408:A418 A425:A426 A420 A422 A430:A432 A435:A441 A444:A456 A478:A481 A484:A498 A501:A529 A548:A595 A598:A625 A660:A794 A1045:A1060 A1498 A392:A405 A1440:A1448 A362:A376 A1074:A1082 A531:A545 A357 A1433:A1434 A1159:A1162 A1450:A1464 A1164:A1169">
    <cfRule type="duplicateValues" dxfId="10682" priority="14153" stopIfTrue="1"/>
  </conditionalFormatting>
  <conditionalFormatting sqref="A1514">
    <cfRule type="duplicateValues" dxfId="10681" priority="14152" stopIfTrue="1"/>
  </conditionalFormatting>
  <conditionalFormatting sqref="A1514">
    <cfRule type="duplicateValues" dxfId="10680" priority="14151" stopIfTrue="1"/>
  </conditionalFormatting>
  <conditionalFormatting sqref="A1083">
    <cfRule type="duplicateValues" dxfId="10679" priority="14150" stopIfTrue="1"/>
  </conditionalFormatting>
  <conditionalFormatting sqref="A1083">
    <cfRule type="duplicateValues" dxfId="10678" priority="14149" stopIfTrue="1"/>
  </conditionalFormatting>
  <conditionalFormatting sqref="A1899:A66161 A1 A1514 A1171:A1218 A1065:A1070 A464:A476 A1436:A1438 A384:A389 A459:A462 A800 A796 A798 A806 A812 A808 A810 A824 A830 A826 A828 A836 A832 A834 A842 A838 A840 A848 A844 A846 A854 A850 A852 A860 A856 A858 A862 A864:A866 A872 A868 A870 A878 A874 A876 A884 A880 A882 A890 A886 A888 A896 A892 A894 A902 A898 A900 A908 A904 A906 A910 A912 A914 A920 A916 A918 A922 A924 A926 A932 A928 A930 A938 A934 A936 A944 A940 A942 A950 A946 A948 A957 A952 A954 A1427 A989:A1017 A1019 A1021:A1032 A1038:A1041 A628:A657 A408:A418 A425:A426 A420 A422 A430:A432 A435:A441 A444:A456 A478:A481 A484:A498 A501:A529 A548:A595 A598:A625 A660:A794 A1045:A1060 A1498 A392:A405 A1440:A1448 A362:A376 A1074:A1093 A531:A545 A357 A1433:A1434 A1159:A1162 A1450:A1464 A1164:A1169">
    <cfRule type="duplicateValues" dxfId="10677" priority="14148" stopIfTrue="1"/>
  </conditionalFormatting>
  <conditionalFormatting sqref="A1515:A1516">
    <cfRule type="duplicateValues" dxfId="10676" priority="14147" stopIfTrue="1"/>
  </conditionalFormatting>
  <conditionalFormatting sqref="A1515:A1516">
    <cfRule type="duplicateValues" dxfId="10675" priority="14146" stopIfTrue="1"/>
  </conditionalFormatting>
  <conditionalFormatting sqref="A1515:A1516">
    <cfRule type="duplicateValues" dxfId="10674" priority="14145" stopIfTrue="1"/>
  </conditionalFormatting>
  <conditionalFormatting sqref="A1899:A66161 A1514:A1516 A1 A1171:A1218 A1065:A1070 A464:A476 A1436:A1438 A384:A389 A459:A462 A800 A796 A798 A806 A812 A808 A810 A824 A830 A826 A828 A836 A832 A834 A842 A838 A840 A848 A844 A846 A854 A850 A852 A860 A856 A858 A862 A864:A866 A872 A868 A870 A878 A874 A876 A884 A880 A882 A890 A886 A888 A896 A892 A894 A902 A898 A900 A908 A904 A906 A910 A912 A914 A920 A916 A918 A922 A924 A926 A932 A928 A930 A938 A934 A936 A944 A940 A942 A950 A946 A948 A957 A952 A954 A1427 A989:A1017 A1019 A1021:A1032 A1038:A1041 A628:A657 A408:A418 A425:A426 A420 A422 A430:A432 A435:A441 A444:A456 A478:A481 A484:A498 A501:A529 A548:A595 A598:A625 A660:A794 A1045:A1060 A1498 A392:A405 A1440:A1448 A362:A376 A1074:A1093 A531:A545 A357 A1433:A1434 A1159:A1162 A1450:A1464 A1164:A1169">
    <cfRule type="duplicateValues" dxfId="10673" priority="14144" stopIfTrue="1"/>
  </conditionalFormatting>
  <conditionalFormatting sqref="A1499">
    <cfRule type="duplicateValues" dxfId="10672" priority="14143" stopIfTrue="1"/>
  </conditionalFormatting>
  <conditionalFormatting sqref="A1499">
    <cfRule type="duplicateValues" dxfId="10671" priority="14142" stopIfTrue="1"/>
  </conditionalFormatting>
  <conditionalFormatting sqref="A1499">
    <cfRule type="duplicateValues" dxfId="10670" priority="14141" stopIfTrue="1"/>
  </conditionalFormatting>
  <conditionalFormatting sqref="A1499">
    <cfRule type="duplicateValues" dxfId="10669" priority="14140" stopIfTrue="1"/>
  </conditionalFormatting>
  <conditionalFormatting sqref="A1500">
    <cfRule type="duplicateValues" dxfId="10668" priority="14139" stopIfTrue="1"/>
  </conditionalFormatting>
  <conditionalFormatting sqref="A1500">
    <cfRule type="duplicateValues" dxfId="10667" priority="14138" stopIfTrue="1"/>
  </conditionalFormatting>
  <conditionalFormatting sqref="A1500">
    <cfRule type="duplicateValues" dxfId="10666" priority="14137" stopIfTrue="1"/>
  </conditionalFormatting>
  <conditionalFormatting sqref="A1500">
    <cfRule type="duplicateValues" dxfId="10665" priority="14136" stopIfTrue="1"/>
  </conditionalFormatting>
  <conditionalFormatting sqref="A1512">
    <cfRule type="duplicateValues" dxfId="10664" priority="14135" stopIfTrue="1"/>
  </conditionalFormatting>
  <conditionalFormatting sqref="A1512">
    <cfRule type="duplicateValues" dxfId="10663" priority="14134" stopIfTrue="1"/>
  </conditionalFormatting>
  <conditionalFormatting sqref="A1512">
    <cfRule type="duplicateValues" dxfId="10662" priority="14133" stopIfTrue="1"/>
  </conditionalFormatting>
  <conditionalFormatting sqref="A1512">
    <cfRule type="duplicateValues" dxfId="10661" priority="14132" stopIfTrue="1"/>
  </conditionalFormatting>
  <conditionalFormatting sqref="A1899:A66161 A1 A1171:A1218 A1065:A1070 A464:A476 A1514:A1516 A1436:A1438 A384:A389 A459:A462 A800 A796 A798 A806 A812 A808 A810 A824 A830 A826 A828 A836 A832 A834 A842 A838 A840 A848 A844 A846 A854 A850 A852 A860 A856 A858 A862 A864:A866 A872 A868 A870 A878 A874 A876 A884 A880 A882 A890 A886 A888 A896 A892 A894 A902 A898 A900 A908 A904 A906 A910 A912 A914 A920 A916 A918 A922 A924 A926 A932 A928 A930 A938 A934 A936 A944 A940 A942 A950 A946 A948 A957 A952 A954 A1427 A989:A1017 A1019 A1021:A1032 A1038:A1041 A628:A657 A408:A418 A425:A426 A420 A422 A430:A432 A435:A441 A444:A456 A478:A481 A484:A498 A501:A529 A548:A595 A598:A625 A660:A794 A1045:A1060 A1498:A1500 A392:A405 A1440:A1448 A362:A376 A1074:A1093 A531:A545 A357 A1433:A1434 A1159:A1162 A1512 A1450:A1464 A1164:A1169">
    <cfRule type="duplicateValues" dxfId="10660" priority="14131" stopIfTrue="1"/>
  </conditionalFormatting>
  <conditionalFormatting sqref="A1517">
    <cfRule type="duplicateValues" dxfId="10659" priority="14130" stopIfTrue="1"/>
  </conditionalFormatting>
  <conditionalFormatting sqref="A1517">
    <cfRule type="duplicateValues" dxfId="10658" priority="14129" stopIfTrue="1"/>
  </conditionalFormatting>
  <conditionalFormatting sqref="A1517">
    <cfRule type="duplicateValues" dxfId="10657" priority="14128" stopIfTrue="1"/>
  </conditionalFormatting>
  <conditionalFormatting sqref="A1517">
    <cfRule type="duplicateValues" dxfId="10656" priority="14127" stopIfTrue="1"/>
  </conditionalFormatting>
  <conditionalFormatting sqref="A1517">
    <cfRule type="duplicateValues" dxfId="10655" priority="14126" stopIfTrue="1"/>
  </conditionalFormatting>
  <conditionalFormatting sqref="A1899:A66161 A1514:A1517 A1171:A1218 A1 A1065:A1070 A464:A476 A1436:A1438 A384:A389 A459:A462 A800 A796 A798 A806 A812 A808 A810 A824 A830 A826 A828 A836 A832 A834 A842 A838 A840 A848 A844 A846 A854 A850 A852 A860 A856 A858 A862 A864:A866 A872 A868 A870 A878 A874 A876 A884 A880 A882 A890 A886 A888 A896 A892 A894 A902 A898 A900 A908 A904 A906 A910 A912 A914 A920 A916 A918 A922 A924 A926 A932 A928 A930 A938 A934 A936 A944 A940 A942 A950 A946 A948 A957 A952 A954 A1427 A989:A1017 A1019 A1021:A1032 A1038:A1041 A628:A657 A408:A418 A425:A426 A420 A422 A430:A432 A435:A441 A444:A456 A478:A481 A484:A498 A501:A529 A548:A595 A598:A625 A660:A794 A1045:A1060 A1498:A1500 A392:A405 A1440:A1448 A362:A376 A1074:A1093 A531:A545 A357 A1433:A1434 A1159:A1162 A1512 A1450:A1464 A1164:A1169">
    <cfRule type="duplicateValues" dxfId="10654" priority="14125" stopIfTrue="1"/>
  </conditionalFormatting>
  <conditionalFormatting sqref="A1170">
    <cfRule type="duplicateValues" dxfId="10653" priority="14124" stopIfTrue="1"/>
  </conditionalFormatting>
  <conditionalFormatting sqref="A1170">
    <cfRule type="duplicateValues" dxfId="10652" priority="14123" stopIfTrue="1"/>
  </conditionalFormatting>
  <conditionalFormatting sqref="A1170">
    <cfRule type="duplicateValues" dxfId="10651" priority="14122" stopIfTrue="1"/>
  </conditionalFormatting>
  <conditionalFormatting sqref="A1170">
    <cfRule type="duplicateValues" dxfId="10650" priority="14121" stopIfTrue="1"/>
  </conditionalFormatting>
  <conditionalFormatting sqref="A1170">
    <cfRule type="duplicateValues" dxfId="10649" priority="14120" stopIfTrue="1"/>
  </conditionalFormatting>
  <conditionalFormatting sqref="A1170">
    <cfRule type="duplicateValues" dxfId="10648" priority="14119" stopIfTrue="1"/>
  </conditionalFormatting>
  <conditionalFormatting sqref="A1899:A66161 A1514:A1517 A1065:A1070 A1 A464:A476 A1436:A1438 A384:A389 A459:A462 A800 A796 A798 A806 A812 A808 A810 A824 A830 A826 A828 A836 A832 A834 A842 A838 A840 A848 A844 A846 A854 A850 A852 A860 A856 A858 A862 A864:A866 A872 A868 A870 A878 A874 A876 A884 A880 A882 A890 A886 A888 A896 A892 A894 A902 A898 A900 A908 A904 A906 A910 A912 A914 A920 A916 A918 A922 A924 A926 A932 A928 A930 A938 A934 A936 A944 A940 A942 A950 A946 A948 A957 A952 A954 A1427 A989:A1017 A1019 A1021:A1032 A1038:A1041 A628:A657 A408:A418 A425:A426 A420 A422 A430:A432 A435:A441 A444:A456 A478:A481 A484:A498 A501:A529 A548:A595 A598:A625 A660:A794 A1045:A1060 A1498:A1500 A392:A405 A1440:A1448 A362:A376 A1074:A1093 A531:A545 A357 A1433:A1434 A1159:A1162 A1512 A1450:A1464 A1164:A1218">
    <cfRule type="duplicateValues" dxfId="10647" priority="14111" stopIfTrue="1"/>
  </conditionalFormatting>
  <conditionalFormatting sqref="A1061">
    <cfRule type="duplicateValues" dxfId="10646" priority="14110" stopIfTrue="1"/>
  </conditionalFormatting>
  <conditionalFormatting sqref="A1061">
    <cfRule type="duplicateValues" dxfId="10645" priority="14109" stopIfTrue="1"/>
  </conditionalFormatting>
  <conditionalFormatting sqref="A1061">
    <cfRule type="duplicateValues" dxfId="10644" priority="14108" stopIfTrue="1"/>
  </conditionalFormatting>
  <conditionalFormatting sqref="A1061">
    <cfRule type="duplicateValues" dxfId="10643" priority="14107" stopIfTrue="1"/>
  </conditionalFormatting>
  <conditionalFormatting sqref="A1061">
    <cfRule type="duplicateValues" dxfId="10642" priority="14106" stopIfTrue="1"/>
  </conditionalFormatting>
  <conditionalFormatting sqref="A1061">
    <cfRule type="duplicateValues" dxfId="10641" priority="14105" stopIfTrue="1"/>
  </conditionalFormatting>
  <conditionalFormatting sqref="A1061">
    <cfRule type="duplicateValues" dxfId="10640" priority="14104" stopIfTrue="1"/>
  </conditionalFormatting>
  <conditionalFormatting sqref="A1062">
    <cfRule type="duplicateValues" dxfId="10639" priority="14103" stopIfTrue="1"/>
  </conditionalFormatting>
  <conditionalFormatting sqref="A1062">
    <cfRule type="duplicateValues" dxfId="10638" priority="14102" stopIfTrue="1"/>
  </conditionalFormatting>
  <conditionalFormatting sqref="A1062">
    <cfRule type="duplicateValues" dxfId="10637" priority="14101" stopIfTrue="1"/>
  </conditionalFormatting>
  <conditionalFormatting sqref="A1062">
    <cfRule type="duplicateValues" dxfId="10636" priority="14100" stopIfTrue="1"/>
  </conditionalFormatting>
  <conditionalFormatting sqref="A1062">
    <cfRule type="duplicateValues" dxfId="10635" priority="14099" stopIfTrue="1"/>
  </conditionalFormatting>
  <conditionalFormatting sqref="A1062">
    <cfRule type="duplicateValues" dxfId="10634" priority="14098" stopIfTrue="1"/>
  </conditionalFormatting>
  <conditionalFormatting sqref="A1062">
    <cfRule type="duplicateValues" dxfId="10633" priority="14097" stopIfTrue="1"/>
  </conditionalFormatting>
  <conditionalFormatting sqref="A463">
    <cfRule type="duplicateValues" dxfId="10632" priority="14096" stopIfTrue="1"/>
  </conditionalFormatting>
  <conditionalFormatting sqref="A463">
    <cfRule type="duplicateValues" dxfId="10631" priority="14095" stopIfTrue="1"/>
  </conditionalFormatting>
  <conditionalFormatting sqref="A463">
    <cfRule type="duplicateValues" dxfId="10630" priority="14094" stopIfTrue="1"/>
  </conditionalFormatting>
  <conditionalFormatting sqref="A463">
    <cfRule type="duplicateValues" dxfId="10629" priority="14093" stopIfTrue="1"/>
  </conditionalFormatting>
  <conditionalFormatting sqref="A463">
    <cfRule type="duplicateValues" dxfId="10628" priority="14092" stopIfTrue="1"/>
  </conditionalFormatting>
  <conditionalFormatting sqref="A463">
    <cfRule type="duplicateValues" dxfId="10627" priority="14091" stopIfTrue="1"/>
  </conditionalFormatting>
  <conditionalFormatting sqref="A463">
    <cfRule type="duplicateValues" dxfId="10626" priority="14090" stopIfTrue="1"/>
  </conditionalFormatting>
  <conditionalFormatting sqref="A1513">
    <cfRule type="duplicateValues" dxfId="10625" priority="14089" stopIfTrue="1"/>
  </conditionalFormatting>
  <conditionalFormatting sqref="A1513">
    <cfRule type="duplicateValues" dxfId="10624" priority="14088" stopIfTrue="1"/>
  </conditionalFormatting>
  <conditionalFormatting sqref="A1513">
    <cfRule type="duplicateValues" dxfId="10623" priority="14087" stopIfTrue="1"/>
  </conditionalFormatting>
  <conditionalFormatting sqref="A1513">
    <cfRule type="duplicateValues" dxfId="10622" priority="14086" stopIfTrue="1"/>
  </conditionalFormatting>
  <conditionalFormatting sqref="A1513">
    <cfRule type="duplicateValues" dxfId="10621" priority="14085" stopIfTrue="1"/>
  </conditionalFormatting>
  <conditionalFormatting sqref="A1513">
    <cfRule type="duplicateValues" dxfId="10620" priority="14084" stopIfTrue="1"/>
  </conditionalFormatting>
  <conditionalFormatting sqref="A1513">
    <cfRule type="duplicateValues" dxfId="10619" priority="14083" stopIfTrue="1"/>
  </conditionalFormatting>
  <conditionalFormatting sqref="A1899:A66161 A1 A1436:A1438 A384:A389 A459:A476 A800 A796 A798 A806 A812 A808 A810 A824 A830 A826 A828 A836 A832 A834 A842 A838 A840 A848 A844 A846 A854 A850 A852 A860 A856 A858 A862 A864:A866 A872 A868 A870 A878 A874 A876 A884 A880 A882 A890 A886 A888 A896 A892 A894 A902 A898 A900 A908 A904 A906 A910 A912 A914 A920 A916 A918 A922 A924 A926 A932 A928 A930 A938 A934 A936 A944 A940 A942 A950 A946 A948 A957 A952 A954 A1427 A989:A1017 A1019 A1021:A1032 A1038:A1041 A628:A657 A408:A418 A425:A426 A420 A422 A430:A432 A435:A441 A444:A456 A478:A481 A484:A498 A501:A529 A548:A595 A598:A625 A660:A794 A1045:A1062 A1498:A1500 A392:A405 A1065:A1070 A1440:A1448 A362:A376 A1074:A1093 A531:A545 A357 A1433:A1434 A1159:A1162 A1512:A1517 A1450:A1464 A1164:A1218">
    <cfRule type="duplicateValues" dxfId="10618" priority="14082" stopIfTrue="1"/>
  </conditionalFormatting>
  <conditionalFormatting sqref="A1435">
    <cfRule type="duplicateValues" dxfId="10617" priority="14041" stopIfTrue="1"/>
  </conditionalFormatting>
  <conditionalFormatting sqref="A1435">
    <cfRule type="duplicateValues" dxfId="10616" priority="14040" stopIfTrue="1"/>
  </conditionalFormatting>
  <conditionalFormatting sqref="A1435">
    <cfRule type="duplicateValues" dxfId="10615" priority="14039" stopIfTrue="1"/>
  </conditionalFormatting>
  <conditionalFormatting sqref="A1435">
    <cfRule type="duplicateValues" dxfId="10614" priority="14038" stopIfTrue="1"/>
  </conditionalFormatting>
  <conditionalFormatting sqref="A1435">
    <cfRule type="duplicateValues" dxfId="10613" priority="14037" stopIfTrue="1"/>
  </conditionalFormatting>
  <conditionalFormatting sqref="A1435">
    <cfRule type="duplicateValues" dxfId="10612" priority="14036" stopIfTrue="1"/>
  </conditionalFormatting>
  <conditionalFormatting sqref="A1435">
    <cfRule type="duplicateValues" dxfId="10611" priority="14035" stopIfTrue="1"/>
  </conditionalFormatting>
  <conditionalFormatting sqref="A1435">
    <cfRule type="duplicateValues" dxfId="10610" priority="14034" stopIfTrue="1"/>
  </conditionalFormatting>
  <conditionalFormatting sqref="A1899:A66161 A1 A384:A389 A459:A476 A800 A796 A798 A806 A812 A808 A810 A824 A830 A826 A828 A836 A832 A834 A842 A838 A840 A848 A844 A846 A854 A850 A852 A860 A856 A858 A862 A864:A866 A872 A868 A870 A878 A874 A876 A884 A880 A882 A890 A886 A888 A896 A892 A894 A902 A898 A900 A908 A904 A906 A910 A912 A914 A920 A916 A918 A922 A924 A926 A932 A928 A930 A938 A934 A936 A944 A940 A942 A950 A946 A948 A957 A952 A954 A1427 A989:A1017 A1019 A1021:A1032 A1038:A1041 A628:A657 A408:A418 A425:A426 A420 A422 A430:A432 A435:A441 A444:A456 A478:A481 A484:A498 A501:A529 A548:A595 A598:A625 A660:A794 A1045:A1062 A1498:A1500 A392:A405 A1065:A1070 A1440:A1448 A362:A376 A1074:A1093 A531:A545 A357 A1433:A1438 A1159:A1162 A1512:A1517 A1450:A1464 A1164:A1218">
    <cfRule type="duplicateValues" dxfId="10609" priority="14033" stopIfTrue="1"/>
  </conditionalFormatting>
  <conditionalFormatting sqref="A1518">
    <cfRule type="duplicateValues" dxfId="10608" priority="13996" stopIfTrue="1"/>
  </conditionalFormatting>
  <conditionalFormatting sqref="A1518">
    <cfRule type="duplicateValues" dxfId="10607" priority="13995" stopIfTrue="1"/>
  </conditionalFormatting>
  <conditionalFormatting sqref="A1518">
    <cfRule type="duplicateValues" dxfId="10606" priority="13994" stopIfTrue="1"/>
  </conditionalFormatting>
  <conditionalFormatting sqref="A1518">
    <cfRule type="duplicateValues" dxfId="10605" priority="13993" stopIfTrue="1"/>
  </conditionalFormatting>
  <conditionalFormatting sqref="A1518">
    <cfRule type="duplicateValues" dxfId="10604" priority="13992" stopIfTrue="1"/>
  </conditionalFormatting>
  <conditionalFormatting sqref="A1518">
    <cfRule type="duplicateValues" dxfId="10603" priority="13991" stopIfTrue="1"/>
  </conditionalFormatting>
  <conditionalFormatting sqref="A1518">
    <cfRule type="duplicateValues" dxfId="10602" priority="13990" stopIfTrue="1"/>
  </conditionalFormatting>
  <conditionalFormatting sqref="A1518">
    <cfRule type="duplicateValues" dxfId="10601" priority="13989" stopIfTrue="1"/>
  </conditionalFormatting>
  <conditionalFormatting sqref="A1518">
    <cfRule type="duplicateValues" dxfId="10600" priority="13988" stopIfTrue="1"/>
  </conditionalFormatting>
  <conditionalFormatting sqref="A1899:A66161 A1 A384:A389 A459:A476 A800 A796 A798 A806 A812 A808 A810 A824 A830 A826 A828 A836 A832 A834 A842 A838 A840 A848 A844 A846 A854 A850 A852 A860 A856 A858 A862 A864:A866 A872 A868 A870 A878 A874 A876 A884 A880 A882 A890 A886 A888 A896 A892 A894 A902 A898 A900 A908 A904 A906 A910 A912 A914 A920 A916 A918 A922 A924 A926 A932 A928 A930 A938 A934 A936 A944 A940 A942 A950 A946 A948 A957 A952 A954 A1427 A989:A1017 A1019 A1021:A1032 A1038:A1041 A628:A657 A408:A418 A425:A426 A420 A422 A430:A432 A435:A441 A444:A456 A478:A481 A484:A498 A501:A529 A548:A595 A598:A625 A660:A794 A1045:A1062 A1498:A1500 A392:A405 A1065:A1070 A1440:A1448 A362:A376 A1074:A1093 A531:A545 A357 A1433:A1438 A1159:A1162 A1512:A1518 A1450:A1464 A1164:A1218">
    <cfRule type="duplicateValues" dxfId="10599" priority="13987" stopIfTrue="1"/>
  </conditionalFormatting>
  <conditionalFormatting sqref="A1519">
    <cfRule type="duplicateValues" dxfId="10598" priority="13986" stopIfTrue="1"/>
  </conditionalFormatting>
  <conditionalFormatting sqref="A1519">
    <cfRule type="duplicateValues" dxfId="10597" priority="13985" stopIfTrue="1"/>
  </conditionalFormatting>
  <conditionalFormatting sqref="A1519">
    <cfRule type="duplicateValues" dxfId="10596" priority="13984" stopIfTrue="1"/>
  </conditionalFormatting>
  <conditionalFormatting sqref="A1519">
    <cfRule type="duplicateValues" dxfId="10595" priority="13983" stopIfTrue="1"/>
  </conditionalFormatting>
  <conditionalFormatting sqref="A1519">
    <cfRule type="duplicateValues" dxfId="10594" priority="13982" stopIfTrue="1"/>
  </conditionalFormatting>
  <conditionalFormatting sqref="A1519">
    <cfRule type="duplicateValues" dxfId="10593" priority="13981" stopIfTrue="1"/>
  </conditionalFormatting>
  <conditionalFormatting sqref="A1519">
    <cfRule type="duplicateValues" dxfId="10592" priority="13980" stopIfTrue="1"/>
  </conditionalFormatting>
  <conditionalFormatting sqref="A1519">
    <cfRule type="duplicateValues" dxfId="10591" priority="13979" stopIfTrue="1"/>
  </conditionalFormatting>
  <conditionalFormatting sqref="A1519">
    <cfRule type="duplicateValues" dxfId="10590" priority="13978" stopIfTrue="1"/>
  </conditionalFormatting>
  <conditionalFormatting sqref="A1519">
    <cfRule type="duplicateValues" dxfId="10589" priority="13977" stopIfTrue="1"/>
  </conditionalFormatting>
  <conditionalFormatting sqref="A1520">
    <cfRule type="duplicateValues" dxfId="10588" priority="13976" stopIfTrue="1"/>
  </conditionalFormatting>
  <conditionalFormatting sqref="A1520">
    <cfRule type="duplicateValues" dxfId="10587" priority="13975" stopIfTrue="1"/>
  </conditionalFormatting>
  <conditionalFormatting sqref="A1520">
    <cfRule type="duplicateValues" dxfId="10586" priority="13974" stopIfTrue="1"/>
  </conditionalFormatting>
  <conditionalFormatting sqref="A1520">
    <cfRule type="duplicateValues" dxfId="10585" priority="13973" stopIfTrue="1"/>
  </conditionalFormatting>
  <conditionalFormatting sqref="A1520">
    <cfRule type="duplicateValues" dxfId="10584" priority="13972" stopIfTrue="1"/>
  </conditionalFormatting>
  <conditionalFormatting sqref="A1520">
    <cfRule type="duplicateValues" dxfId="10583" priority="13971" stopIfTrue="1"/>
  </conditionalFormatting>
  <conditionalFormatting sqref="A1520">
    <cfRule type="duplicateValues" dxfId="10582" priority="13970" stopIfTrue="1"/>
  </conditionalFormatting>
  <conditionalFormatting sqref="A1520">
    <cfRule type="duplicateValues" dxfId="10581" priority="13969" stopIfTrue="1"/>
  </conditionalFormatting>
  <conditionalFormatting sqref="A1520">
    <cfRule type="duplicateValues" dxfId="10580" priority="13968" stopIfTrue="1"/>
  </conditionalFormatting>
  <conditionalFormatting sqref="A1520">
    <cfRule type="duplicateValues" dxfId="10579" priority="13967" stopIfTrue="1"/>
  </conditionalFormatting>
  <conditionalFormatting sqref="A1899:A66161 A1 A384:A389 A459:A476 A800 A796 A798 A806 A812 A808 A810 A824 A830 A826 A828 A836 A832 A834 A842 A838 A840 A848 A844 A846 A854 A850 A852 A860 A856 A858 A862 A864:A866 A872 A868 A870 A878 A874 A876 A884 A880 A882 A890 A886 A888 A896 A892 A894 A902 A898 A900 A908 A904 A906 A910 A912 A914 A920 A916 A918 A922 A924 A926 A932 A928 A930 A938 A934 A936 A944 A940 A942 A950 A946 A948 A957 A952 A954 A1427 A989:A1017 A1019 A1021:A1032 A1038:A1041 A628:A657 A408:A418 A425:A426 A420 A422 A430:A432 A435:A441 A444:A456 A478:A481 A484:A498 A501:A529 A548:A595 A598:A625 A660:A794 A1045:A1062 A1498:A1500 A392:A405 A1065:A1070 A1440:A1448 A362:A376 A1074:A1093 A531:A545 A357 A1433:A1438 A1159:A1162 A1512:A1520 A1450:A1464 A1164:A1218">
    <cfRule type="duplicateValues" dxfId="10578" priority="13966" stopIfTrue="1"/>
  </conditionalFormatting>
  <conditionalFormatting sqref="A1899:A66161">
    <cfRule type="duplicateValues" dxfId="10577" priority="13954" stopIfTrue="1"/>
  </conditionalFormatting>
  <conditionalFormatting sqref="A1899:A66161">
    <cfRule type="duplicateValues" dxfId="10576" priority="13941" stopIfTrue="1"/>
  </conditionalFormatting>
  <conditionalFormatting sqref="A1529">
    <cfRule type="duplicateValues" dxfId="10575" priority="13888" stopIfTrue="1"/>
  </conditionalFormatting>
  <conditionalFormatting sqref="A1529">
    <cfRule type="duplicateValues" dxfId="10574" priority="13887" stopIfTrue="1"/>
  </conditionalFormatting>
  <conditionalFormatting sqref="A1529">
    <cfRule type="duplicateValues" dxfId="10573" priority="13886" stopIfTrue="1"/>
  </conditionalFormatting>
  <conditionalFormatting sqref="A1529">
    <cfRule type="duplicateValues" dxfId="10572" priority="13885" stopIfTrue="1"/>
  </conditionalFormatting>
  <conditionalFormatting sqref="A1529">
    <cfRule type="duplicateValues" dxfId="10571" priority="13884" stopIfTrue="1"/>
  </conditionalFormatting>
  <conditionalFormatting sqref="A1529">
    <cfRule type="duplicateValues" dxfId="10570" priority="13883" stopIfTrue="1"/>
  </conditionalFormatting>
  <conditionalFormatting sqref="A1529">
    <cfRule type="duplicateValues" dxfId="10569" priority="13882" stopIfTrue="1"/>
  </conditionalFormatting>
  <conditionalFormatting sqref="A1529">
    <cfRule type="duplicateValues" dxfId="10568" priority="13881" stopIfTrue="1"/>
  </conditionalFormatting>
  <conditionalFormatting sqref="A1529">
    <cfRule type="duplicateValues" dxfId="10567" priority="13880" stopIfTrue="1"/>
  </conditionalFormatting>
  <conditionalFormatting sqref="A1529">
    <cfRule type="duplicateValues" dxfId="10566" priority="13879" stopIfTrue="1"/>
  </conditionalFormatting>
  <conditionalFormatting sqref="A1529">
    <cfRule type="duplicateValues" dxfId="10565" priority="13878" stopIfTrue="1"/>
  </conditionalFormatting>
  <conditionalFormatting sqref="A1529">
    <cfRule type="duplicateValues" dxfId="10564" priority="13877" stopIfTrue="1"/>
  </conditionalFormatting>
  <conditionalFormatting sqref="A1529">
    <cfRule type="duplicateValues" dxfId="10563" priority="13876" stopIfTrue="1"/>
  </conditionalFormatting>
  <conditionalFormatting sqref="A1899:A66161 A1 A384:A389 A459:A476 A800 A796 A798 A806 A812 A808 A810 A824 A830 A826 A828 A836 A832 A834 A842 A838 A840 A848 A844 A846 A854 A850 A852 A860 A856 A858 A862 A864:A866 A872 A868 A870 A878 A874 A876 A884 A880 A882 A890 A886 A888 A896 A892 A894 A902 A898 A900 A908 A904 A906 A910 A912 A914 A920 A916 A918 A922 A924 A926 A932 A928 A930 A938 A934 A936 A944 A940 A942 A950 A946 A948 A957 A952 A954 A1427 A989:A1017 A1019 A1021:A1032 A1038:A1041 A1529 A628:A657 A408:A418 A425:A426 A420 A422 A430:A432 A435:A441 A444:A456 A478:A481 A484:A498 A501:A529 A548:A595 A598:A625 A660:A794 A1045:A1062 A1498:A1500 A392:A405 A1065:A1070 A1440:A1448 A362:A376 A1074:A1093 A531:A545 A357 A1433:A1438 A1159:A1162 A1512:A1520 A1450:A1464 A1164:A1218">
    <cfRule type="duplicateValues" dxfId="10562" priority="13875" stopIfTrue="1"/>
  </conditionalFormatting>
  <conditionalFormatting sqref="A1530">
    <cfRule type="duplicateValues" dxfId="10561" priority="13874" stopIfTrue="1"/>
  </conditionalFormatting>
  <conditionalFormatting sqref="A1530">
    <cfRule type="duplicateValues" dxfId="10560" priority="13873" stopIfTrue="1"/>
  </conditionalFormatting>
  <conditionalFormatting sqref="A1530">
    <cfRule type="duplicateValues" dxfId="10559" priority="13872" stopIfTrue="1"/>
  </conditionalFormatting>
  <conditionalFormatting sqref="A1530">
    <cfRule type="duplicateValues" dxfId="10558" priority="13871" stopIfTrue="1"/>
  </conditionalFormatting>
  <conditionalFormatting sqref="A1530">
    <cfRule type="duplicateValues" dxfId="10557" priority="13870" stopIfTrue="1"/>
  </conditionalFormatting>
  <conditionalFormatting sqref="A1530">
    <cfRule type="duplicateValues" dxfId="10556" priority="13869" stopIfTrue="1"/>
  </conditionalFormatting>
  <conditionalFormatting sqref="A1530">
    <cfRule type="duplicateValues" dxfId="10555" priority="13868" stopIfTrue="1"/>
  </conditionalFormatting>
  <conditionalFormatting sqref="A1530">
    <cfRule type="duplicateValues" dxfId="10554" priority="13867" stopIfTrue="1"/>
  </conditionalFormatting>
  <conditionalFormatting sqref="A1530">
    <cfRule type="duplicateValues" dxfId="10553" priority="13866" stopIfTrue="1"/>
  </conditionalFormatting>
  <conditionalFormatting sqref="A1530">
    <cfRule type="duplicateValues" dxfId="10552" priority="13865" stopIfTrue="1"/>
  </conditionalFormatting>
  <conditionalFormatting sqref="A1530">
    <cfRule type="duplicateValues" dxfId="10551" priority="13864" stopIfTrue="1"/>
  </conditionalFormatting>
  <conditionalFormatting sqref="A1530">
    <cfRule type="duplicateValues" dxfId="10550" priority="13863" stopIfTrue="1"/>
  </conditionalFormatting>
  <conditionalFormatting sqref="A1530">
    <cfRule type="duplicateValues" dxfId="10549" priority="13862" stopIfTrue="1"/>
  </conditionalFormatting>
  <conditionalFormatting sqref="A1530">
    <cfRule type="duplicateValues" dxfId="10548" priority="13861" stopIfTrue="1"/>
  </conditionalFormatting>
  <conditionalFormatting sqref="A1531">
    <cfRule type="duplicateValues" dxfId="10547" priority="13860" stopIfTrue="1"/>
  </conditionalFormatting>
  <conditionalFormatting sqref="A1531">
    <cfRule type="duplicateValues" dxfId="10546" priority="13859" stopIfTrue="1"/>
  </conditionalFormatting>
  <conditionalFormatting sqref="A1531">
    <cfRule type="duplicateValues" dxfId="10545" priority="13858" stopIfTrue="1"/>
  </conditionalFormatting>
  <conditionalFormatting sqref="A1531">
    <cfRule type="duplicateValues" dxfId="10544" priority="13857" stopIfTrue="1"/>
  </conditionalFormatting>
  <conditionalFormatting sqref="A1531">
    <cfRule type="duplicateValues" dxfId="10543" priority="13856" stopIfTrue="1"/>
  </conditionalFormatting>
  <conditionalFormatting sqref="A1531">
    <cfRule type="duplicateValues" dxfId="10542" priority="13855" stopIfTrue="1"/>
  </conditionalFormatting>
  <conditionalFormatting sqref="A1531">
    <cfRule type="duplicateValues" dxfId="10541" priority="13854" stopIfTrue="1"/>
  </conditionalFormatting>
  <conditionalFormatting sqref="A1531">
    <cfRule type="duplicateValues" dxfId="10540" priority="13853" stopIfTrue="1"/>
  </conditionalFormatting>
  <conditionalFormatting sqref="A1531">
    <cfRule type="duplicateValues" dxfId="10539" priority="13852" stopIfTrue="1"/>
  </conditionalFormatting>
  <conditionalFormatting sqref="A1531">
    <cfRule type="duplicateValues" dxfId="10538" priority="13851" stopIfTrue="1"/>
  </conditionalFormatting>
  <conditionalFormatting sqref="A1531">
    <cfRule type="duplicateValues" dxfId="10537" priority="13850" stopIfTrue="1"/>
  </conditionalFormatting>
  <conditionalFormatting sqref="A1531">
    <cfRule type="duplicateValues" dxfId="10536" priority="13849" stopIfTrue="1"/>
  </conditionalFormatting>
  <conditionalFormatting sqref="A1531">
    <cfRule type="duplicateValues" dxfId="10535" priority="13848" stopIfTrue="1"/>
  </conditionalFormatting>
  <conditionalFormatting sqref="A1531">
    <cfRule type="duplicateValues" dxfId="10534" priority="13847" stopIfTrue="1"/>
  </conditionalFormatting>
  <conditionalFormatting sqref="A377">
    <cfRule type="duplicateValues" dxfId="10533" priority="13846" stopIfTrue="1"/>
  </conditionalFormatting>
  <conditionalFormatting sqref="A377">
    <cfRule type="duplicateValues" dxfId="10532" priority="13845" stopIfTrue="1"/>
  </conditionalFormatting>
  <conditionalFormatting sqref="A377">
    <cfRule type="duplicateValues" dxfId="10531" priority="13844" stopIfTrue="1"/>
  </conditionalFormatting>
  <conditionalFormatting sqref="A377">
    <cfRule type="duplicateValues" dxfId="10530" priority="13843" stopIfTrue="1"/>
  </conditionalFormatting>
  <conditionalFormatting sqref="A377">
    <cfRule type="duplicateValues" dxfId="10529" priority="13842" stopIfTrue="1"/>
  </conditionalFormatting>
  <conditionalFormatting sqref="A377">
    <cfRule type="duplicateValues" dxfId="10528" priority="13841" stopIfTrue="1"/>
  </conditionalFormatting>
  <conditionalFormatting sqref="A377">
    <cfRule type="duplicateValues" dxfId="10527" priority="13840" stopIfTrue="1"/>
  </conditionalFormatting>
  <conditionalFormatting sqref="A377">
    <cfRule type="duplicateValues" dxfId="10526" priority="13839" stopIfTrue="1"/>
  </conditionalFormatting>
  <conditionalFormatting sqref="A377">
    <cfRule type="duplicateValues" dxfId="10525" priority="13838" stopIfTrue="1"/>
  </conditionalFormatting>
  <conditionalFormatting sqref="A377">
    <cfRule type="duplicateValues" dxfId="10524" priority="13837" stopIfTrue="1"/>
  </conditionalFormatting>
  <conditionalFormatting sqref="A377">
    <cfRule type="duplicateValues" dxfId="10523" priority="13836" stopIfTrue="1"/>
  </conditionalFormatting>
  <conditionalFormatting sqref="A377">
    <cfRule type="duplicateValues" dxfId="10522" priority="13835" stopIfTrue="1"/>
  </conditionalFormatting>
  <conditionalFormatting sqref="A377">
    <cfRule type="duplicateValues" dxfId="10521" priority="13834" stopIfTrue="1"/>
  </conditionalFormatting>
  <conditionalFormatting sqref="A377">
    <cfRule type="duplicateValues" dxfId="10520" priority="13833" stopIfTrue="1"/>
  </conditionalFormatting>
  <conditionalFormatting sqref="A378:A383">
    <cfRule type="duplicateValues" dxfId="10519" priority="13832" stopIfTrue="1"/>
  </conditionalFormatting>
  <conditionalFormatting sqref="A378:A383">
    <cfRule type="duplicateValues" dxfId="10518" priority="13831" stopIfTrue="1"/>
  </conditionalFormatting>
  <conditionalFormatting sqref="A378:A383">
    <cfRule type="duplicateValues" dxfId="10517" priority="13830" stopIfTrue="1"/>
  </conditionalFormatting>
  <conditionalFormatting sqref="A378:A383">
    <cfRule type="duplicateValues" dxfId="10516" priority="13829" stopIfTrue="1"/>
  </conditionalFormatting>
  <conditionalFormatting sqref="A378:A383">
    <cfRule type="duplicateValues" dxfId="10515" priority="13828" stopIfTrue="1"/>
  </conditionalFormatting>
  <conditionalFormatting sqref="A378:A383">
    <cfRule type="duplicateValues" dxfId="10514" priority="13827" stopIfTrue="1"/>
  </conditionalFormatting>
  <conditionalFormatting sqref="A378:A383">
    <cfRule type="duplicateValues" dxfId="10513" priority="13826" stopIfTrue="1"/>
  </conditionalFormatting>
  <conditionalFormatting sqref="A378:A383">
    <cfRule type="duplicateValues" dxfId="10512" priority="13825" stopIfTrue="1"/>
  </conditionalFormatting>
  <conditionalFormatting sqref="A378:A383">
    <cfRule type="duplicateValues" dxfId="10511" priority="13824" stopIfTrue="1"/>
  </conditionalFormatting>
  <conditionalFormatting sqref="A378:A383">
    <cfRule type="duplicateValues" dxfId="10510" priority="13823" stopIfTrue="1"/>
  </conditionalFormatting>
  <conditionalFormatting sqref="A378:A383">
    <cfRule type="duplicateValues" dxfId="10509" priority="13822" stopIfTrue="1"/>
  </conditionalFormatting>
  <conditionalFormatting sqref="A378:A383">
    <cfRule type="duplicateValues" dxfId="10508" priority="13821" stopIfTrue="1"/>
  </conditionalFormatting>
  <conditionalFormatting sqref="A378:A383">
    <cfRule type="duplicateValues" dxfId="10507" priority="13820" stopIfTrue="1"/>
  </conditionalFormatting>
  <conditionalFormatting sqref="A378:A383">
    <cfRule type="duplicateValues" dxfId="10506" priority="13819" stopIfTrue="1"/>
  </conditionalFormatting>
  <conditionalFormatting sqref="A427">
    <cfRule type="duplicateValues" dxfId="10505" priority="13804" stopIfTrue="1"/>
  </conditionalFormatting>
  <conditionalFormatting sqref="A427">
    <cfRule type="duplicateValues" dxfId="10504" priority="13803" stopIfTrue="1"/>
  </conditionalFormatting>
  <conditionalFormatting sqref="A427">
    <cfRule type="duplicateValues" dxfId="10503" priority="13802" stopIfTrue="1"/>
  </conditionalFormatting>
  <conditionalFormatting sqref="A427">
    <cfRule type="duplicateValues" dxfId="10502" priority="13801" stopIfTrue="1"/>
  </conditionalFormatting>
  <conditionalFormatting sqref="A427">
    <cfRule type="duplicateValues" dxfId="10501" priority="13800" stopIfTrue="1"/>
  </conditionalFormatting>
  <conditionalFormatting sqref="A427">
    <cfRule type="duplicateValues" dxfId="10500" priority="13799" stopIfTrue="1"/>
  </conditionalFormatting>
  <conditionalFormatting sqref="A427">
    <cfRule type="duplicateValues" dxfId="10499" priority="13798" stopIfTrue="1"/>
  </conditionalFormatting>
  <conditionalFormatting sqref="A427">
    <cfRule type="duplicateValues" dxfId="10498" priority="13797" stopIfTrue="1"/>
  </conditionalFormatting>
  <conditionalFormatting sqref="A427">
    <cfRule type="duplicateValues" dxfId="10497" priority="13796" stopIfTrue="1"/>
  </conditionalFormatting>
  <conditionalFormatting sqref="A427">
    <cfRule type="duplicateValues" dxfId="10496" priority="13795" stopIfTrue="1"/>
  </conditionalFormatting>
  <conditionalFormatting sqref="A427">
    <cfRule type="duplicateValues" dxfId="10495" priority="13794" stopIfTrue="1"/>
  </conditionalFormatting>
  <conditionalFormatting sqref="A427">
    <cfRule type="duplicateValues" dxfId="10494" priority="13793" stopIfTrue="1"/>
  </conditionalFormatting>
  <conditionalFormatting sqref="A427">
    <cfRule type="duplicateValues" dxfId="10493" priority="13792" stopIfTrue="1"/>
  </conditionalFormatting>
  <conditionalFormatting sqref="A427">
    <cfRule type="duplicateValues" dxfId="10492" priority="13791" stopIfTrue="1"/>
  </conditionalFormatting>
  <conditionalFormatting sqref="A428:A429">
    <cfRule type="duplicateValues" dxfId="10491" priority="13790" stopIfTrue="1"/>
  </conditionalFormatting>
  <conditionalFormatting sqref="A428:A429">
    <cfRule type="duplicateValues" dxfId="10490" priority="13789" stopIfTrue="1"/>
  </conditionalFormatting>
  <conditionalFormatting sqref="A428:A429">
    <cfRule type="duplicateValues" dxfId="10489" priority="13788" stopIfTrue="1"/>
  </conditionalFormatting>
  <conditionalFormatting sqref="A428:A429">
    <cfRule type="duplicateValues" dxfId="10488" priority="13787" stopIfTrue="1"/>
  </conditionalFormatting>
  <conditionalFormatting sqref="A428:A429">
    <cfRule type="duplicateValues" dxfId="10487" priority="13786" stopIfTrue="1"/>
  </conditionalFormatting>
  <conditionalFormatting sqref="A428:A429">
    <cfRule type="duplicateValues" dxfId="10486" priority="13785" stopIfTrue="1"/>
  </conditionalFormatting>
  <conditionalFormatting sqref="A428:A429">
    <cfRule type="duplicateValues" dxfId="10485" priority="13784" stopIfTrue="1"/>
  </conditionalFormatting>
  <conditionalFormatting sqref="A428:A429">
    <cfRule type="duplicateValues" dxfId="10484" priority="13783" stopIfTrue="1"/>
  </conditionalFormatting>
  <conditionalFormatting sqref="A428:A429">
    <cfRule type="duplicateValues" dxfId="10483" priority="13782" stopIfTrue="1"/>
  </conditionalFormatting>
  <conditionalFormatting sqref="A428:A429">
    <cfRule type="duplicateValues" dxfId="10482" priority="13781" stopIfTrue="1"/>
  </conditionalFormatting>
  <conditionalFormatting sqref="A428:A429">
    <cfRule type="duplicateValues" dxfId="10481" priority="13780" stopIfTrue="1"/>
  </conditionalFormatting>
  <conditionalFormatting sqref="A428:A429">
    <cfRule type="duplicateValues" dxfId="10480" priority="13779" stopIfTrue="1"/>
  </conditionalFormatting>
  <conditionalFormatting sqref="A428:A429">
    <cfRule type="duplicateValues" dxfId="10479" priority="13778" stopIfTrue="1"/>
  </conditionalFormatting>
  <conditionalFormatting sqref="A428:A429">
    <cfRule type="duplicateValues" dxfId="10478" priority="13777" stopIfTrue="1"/>
  </conditionalFormatting>
  <conditionalFormatting sqref="A457">
    <cfRule type="duplicateValues" dxfId="10477" priority="13776" stopIfTrue="1"/>
  </conditionalFormatting>
  <conditionalFormatting sqref="A457">
    <cfRule type="duplicateValues" dxfId="10476" priority="13775" stopIfTrue="1"/>
  </conditionalFormatting>
  <conditionalFormatting sqref="A457">
    <cfRule type="duplicateValues" dxfId="10475" priority="13774" stopIfTrue="1"/>
  </conditionalFormatting>
  <conditionalFormatting sqref="A457">
    <cfRule type="duplicateValues" dxfId="10474" priority="13773" stopIfTrue="1"/>
  </conditionalFormatting>
  <conditionalFormatting sqref="A457">
    <cfRule type="duplicateValues" dxfId="10473" priority="13772" stopIfTrue="1"/>
  </conditionalFormatting>
  <conditionalFormatting sqref="A457">
    <cfRule type="duplicateValues" dxfId="10472" priority="13771" stopIfTrue="1"/>
  </conditionalFormatting>
  <conditionalFormatting sqref="A457">
    <cfRule type="duplicateValues" dxfId="10471" priority="13770" stopIfTrue="1"/>
  </conditionalFormatting>
  <conditionalFormatting sqref="A457">
    <cfRule type="duplicateValues" dxfId="10470" priority="13769" stopIfTrue="1"/>
  </conditionalFormatting>
  <conditionalFormatting sqref="A457">
    <cfRule type="duplicateValues" dxfId="10469" priority="13768" stopIfTrue="1"/>
  </conditionalFormatting>
  <conditionalFormatting sqref="A457">
    <cfRule type="duplicateValues" dxfId="10468" priority="13767" stopIfTrue="1"/>
  </conditionalFormatting>
  <conditionalFormatting sqref="A457">
    <cfRule type="duplicateValues" dxfId="10467" priority="13766" stopIfTrue="1"/>
  </conditionalFormatting>
  <conditionalFormatting sqref="A457">
    <cfRule type="duplicateValues" dxfId="10466" priority="13765" stopIfTrue="1"/>
  </conditionalFormatting>
  <conditionalFormatting sqref="A457">
    <cfRule type="duplicateValues" dxfId="10465" priority="13764" stopIfTrue="1"/>
  </conditionalFormatting>
  <conditionalFormatting sqref="A457">
    <cfRule type="duplicateValues" dxfId="10464" priority="13763" stopIfTrue="1"/>
  </conditionalFormatting>
  <conditionalFormatting sqref="A458">
    <cfRule type="duplicateValues" dxfId="10463" priority="13762" stopIfTrue="1"/>
  </conditionalFormatting>
  <conditionalFormatting sqref="A458">
    <cfRule type="duplicateValues" dxfId="10462" priority="13761" stopIfTrue="1"/>
  </conditionalFormatting>
  <conditionalFormatting sqref="A458">
    <cfRule type="duplicateValues" dxfId="10461" priority="13760" stopIfTrue="1"/>
  </conditionalFormatting>
  <conditionalFormatting sqref="A458">
    <cfRule type="duplicateValues" dxfId="10460" priority="13759" stopIfTrue="1"/>
  </conditionalFormatting>
  <conditionalFormatting sqref="A458">
    <cfRule type="duplicateValues" dxfId="10459" priority="13758" stopIfTrue="1"/>
  </conditionalFormatting>
  <conditionalFormatting sqref="A458">
    <cfRule type="duplicateValues" dxfId="10458" priority="13757" stopIfTrue="1"/>
  </conditionalFormatting>
  <conditionalFormatting sqref="A458">
    <cfRule type="duplicateValues" dxfId="10457" priority="13756" stopIfTrue="1"/>
  </conditionalFormatting>
  <conditionalFormatting sqref="A458">
    <cfRule type="duplicateValues" dxfId="10456" priority="13755" stopIfTrue="1"/>
  </conditionalFormatting>
  <conditionalFormatting sqref="A458">
    <cfRule type="duplicateValues" dxfId="10455" priority="13754" stopIfTrue="1"/>
  </conditionalFormatting>
  <conditionalFormatting sqref="A458">
    <cfRule type="duplicateValues" dxfId="10454" priority="13753" stopIfTrue="1"/>
  </conditionalFormatting>
  <conditionalFormatting sqref="A458">
    <cfRule type="duplicateValues" dxfId="10453" priority="13752" stopIfTrue="1"/>
  </conditionalFormatting>
  <conditionalFormatting sqref="A458">
    <cfRule type="duplicateValues" dxfId="10452" priority="13751" stopIfTrue="1"/>
  </conditionalFormatting>
  <conditionalFormatting sqref="A458">
    <cfRule type="duplicateValues" dxfId="10451" priority="13750" stopIfTrue="1"/>
  </conditionalFormatting>
  <conditionalFormatting sqref="A458">
    <cfRule type="duplicateValues" dxfId="10450" priority="13749" stopIfTrue="1"/>
  </conditionalFormatting>
  <conditionalFormatting sqref="A795 A797 A799">
    <cfRule type="duplicateValues" dxfId="10449" priority="13748" stopIfTrue="1"/>
  </conditionalFormatting>
  <conditionalFormatting sqref="A795 A797 A799">
    <cfRule type="duplicateValues" dxfId="10448" priority="13747" stopIfTrue="1"/>
  </conditionalFormatting>
  <conditionalFormatting sqref="A795">
    <cfRule type="duplicateValues" dxfId="10447" priority="13746" stopIfTrue="1"/>
  </conditionalFormatting>
  <conditionalFormatting sqref="A795">
    <cfRule type="duplicateValues" dxfId="10446" priority="13745" stopIfTrue="1"/>
  </conditionalFormatting>
  <conditionalFormatting sqref="A795">
    <cfRule type="duplicateValues" dxfId="10445" priority="13744" stopIfTrue="1"/>
  </conditionalFormatting>
  <conditionalFormatting sqref="A795">
    <cfRule type="duplicateValues" dxfId="10444" priority="13743" stopIfTrue="1"/>
  </conditionalFormatting>
  <conditionalFormatting sqref="A795">
    <cfRule type="duplicateValues" dxfId="10443" priority="13742" stopIfTrue="1"/>
  </conditionalFormatting>
  <conditionalFormatting sqref="A795">
    <cfRule type="duplicateValues" dxfId="10442" priority="13741" stopIfTrue="1"/>
  </conditionalFormatting>
  <conditionalFormatting sqref="A795">
    <cfRule type="duplicateValues" dxfId="10441" priority="13740" stopIfTrue="1"/>
  </conditionalFormatting>
  <conditionalFormatting sqref="A795">
    <cfRule type="duplicateValues" dxfId="10440" priority="13739" stopIfTrue="1"/>
  </conditionalFormatting>
  <conditionalFormatting sqref="A795">
    <cfRule type="duplicateValues" dxfId="10439" priority="13738" stopIfTrue="1"/>
  </conditionalFormatting>
  <conditionalFormatting sqref="A795">
    <cfRule type="duplicateValues" dxfId="10438" priority="13737" stopIfTrue="1"/>
  </conditionalFormatting>
  <conditionalFormatting sqref="A795">
    <cfRule type="duplicateValues" dxfId="10437" priority="13736" stopIfTrue="1"/>
  </conditionalFormatting>
  <conditionalFormatting sqref="A795">
    <cfRule type="duplicateValues" dxfId="10436" priority="13735" stopIfTrue="1"/>
  </conditionalFormatting>
  <conditionalFormatting sqref="A801">
    <cfRule type="duplicateValues" dxfId="10435" priority="13734" stopIfTrue="1"/>
  </conditionalFormatting>
  <conditionalFormatting sqref="A801">
    <cfRule type="duplicateValues" dxfId="10434" priority="13733" stopIfTrue="1"/>
  </conditionalFormatting>
  <conditionalFormatting sqref="A801">
    <cfRule type="duplicateValues" dxfId="10433" priority="13732" stopIfTrue="1"/>
  </conditionalFormatting>
  <conditionalFormatting sqref="A801">
    <cfRule type="duplicateValues" dxfId="10432" priority="13731" stopIfTrue="1"/>
  </conditionalFormatting>
  <conditionalFormatting sqref="A801">
    <cfRule type="duplicateValues" dxfId="10431" priority="13730" stopIfTrue="1"/>
  </conditionalFormatting>
  <conditionalFormatting sqref="A801">
    <cfRule type="duplicateValues" dxfId="10430" priority="13729" stopIfTrue="1"/>
  </conditionalFormatting>
  <conditionalFormatting sqref="A801">
    <cfRule type="duplicateValues" dxfId="10429" priority="13728" stopIfTrue="1"/>
  </conditionalFormatting>
  <conditionalFormatting sqref="A801">
    <cfRule type="duplicateValues" dxfId="10428" priority="13727" stopIfTrue="1"/>
  </conditionalFormatting>
  <conditionalFormatting sqref="A801">
    <cfRule type="duplicateValues" dxfId="10427" priority="13726" stopIfTrue="1"/>
  </conditionalFormatting>
  <conditionalFormatting sqref="A801">
    <cfRule type="duplicateValues" dxfId="10426" priority="13725" stopIfTrue="1"/>
  </conditionalFormatting>
  <conditionalFormatting sqref="A801">
    <cfRule type="duplicateValues" dxfId="10425" priority="13724" stopIfTrue="1"/>
  </conditionalFormatting>
  <conditionalFormatting sqref="A801">
    <cfRule type="duplicateValues" dxfId="10424" priority="13723" stopIfTrue="1"/>
  </conditionalFormatting>
  <conditionalFormatting sqref="A801">
    <cfRule type="duplicateValues" dxfId="10423" priority="13722" stopIfTrue="1"/>
  </conditionalFormatting>
  <conditionalFormatting sqref="A801">
    <cfRule type="duplicateValues" dxfId="10422" priority="13721" stopIfTrue="1"/>
  </conditionalFormatting>
  <conditionalFormatting sqref="A802">
    <cfRule type="duplicateValues" dxfId="10421" priority="13720" stopIfTrue="1"/>
  </conditionalFormatting>
  <conditionalFormatting sqref="A802">
    <cfRule type="duplicateValues" dxfId="10420" priority="13719" stopIfTrue="1"/>
  </conditionalFormatting>
  <conditionalFormatting sqref="A802">
    <cfRule type="duplicateValues" dxfId="10419" priority="13718" stopIfTrue="1"/>
  </conditionalFormatting>
  <conditionalFormatting sqref="A802">
    <cfRule type="duplicateValues" dxfId="10418" priority="13717" stopIfTrue="1"/>
  </conditionalFormatting>
  <conditionalFormatting sqref="A802">
    <cfRule type="duplicateValues" dxfId="10417" priority="13716" stopIfTrue="1"/>
  </conditionalFormatting>
  <conditionalFormatting sqref="A802">
    <cfRule type="duplicateValues" dxfId="10416" priority="13715" stopIfTrue="1"/>
  </conditionalFormatting>
  <conditionalFormatting sqref="A802">
    <cfRule type="duplicateValues" dxfId="10415" priority="13714" stopIfTrue="1"/>
  </conditionalFormatting>
  <conditionalFormatting sqref="A802">
    <cfRule type="duplicateValues" dxfId="10414" priority="13713" stopIfTrue="1"/>
  </conditionalFormatting>
  <conditionalFormatting sqref="A802">
    <cfRule type="duplicateValues" dxfId="10413" priority="13712" stopIfTrue="1"/>
  </conditionalFormatting>
  <conditionalFormatting sqref="A802">
    <cfRule type="duplicateValues" dxfId="10412" priority="13711" stopIfTrue="1"/>
  </conditionalFormatting>
  <conditionalFormatting sqref="A802">
    <cfRule type="duplicateValues" dxfId="10411" priority="13710" stopIfTrue="1"/>
  </conditionalFormatting>
  <conditionalFormatting sqref="A802">
    <cfRule type="duplicateValues" dxfId="10410" priority="13709" stopIfTrue="1"/>
  </conditionalFormatting>
  <conditionalFormatting sqref="A802">
    <cfRule type="duplicateValues" dxfId="10409" priority="13708" stopIfTrue="1"/>
  </conditionalFormatting>
  <conditionalFormatting sqref="A802">
    <cfRule type="duplicateValues" dxfId="10408" priority="13707" stopIfTrue="1"/>
  </conditionalFormatting>
  <conditionalFormatting sqref="A803">
    <cfRule type="duplicateValues" dxfId="10407" priority="13706" stopIfTrue="1"/>
  </conditionalFormatting>
  <conditionalFormatting sqref="A803">
    <cfRule type="duplicateValues" dxfId="10406" priority="13705" stopIfTrue="1"/>
  </conditionalFormatting>
  <conditionalFormatting sqref="A803">
    <cfRule type="duplicateValues" dxfId="10405" priority="13704" stopIfTrue="1"/>
  </conditionalFormatting>
  <conditionalFormatting sqref="A803">
    <cfRule type="duplicateValues" dxfId="10404" priority="13703" stopIfTrue="1"/>
  </conditionalFormatting>
  <conditionalFormatting sqref="A803">
    <cfRule type="duplicateValues" dxfId="10403" priority="13702" stopIfTrue="1"/>
  </conditionalFormatting>
  <conditionalFormatting sqref="A803">
    <cfRule type="duplicateValues" dxfId="10402" priority="13701" stopIfTrue="1"/>
  </conditionalFormatting>
  <conditionalFormatting sqref="A803">
    <cfRule type="duplicateValues" dxfId="10401" priority="13700" stopIfTrue="1"/>
  </conditionalFormatting>
  <conditionalFormatting sqref="A803">
    <cfRule type="duplicateValues" dxfId="10400" priority="13699" stopIfTrue="1"/>
  </conditionalFormatting>
  <conditionalFormatting sqref="A803">
    <cfRule type="duplicateValues" dxfId="10399" priority="13698" stopIfTrue="1"/>
  </conditionalFormatting>
  <conditionalFormatting sqref="A803">
    <cfRule type="duplicateValues" dxfId="10398" priority="13697" stopIfTrue="1"/>
  </conditionalFormatting>
  <conditionalFormatting sqref="A803">
    <cfRule type="duplicateValues" dxfId="10397" priority="13696" stopIfTrue="1"/>
  </conditionalFormatting>
  <conditionalFormatting sqref="A803">
    <cfRule type="duplicateValues" dxfId="10396" priority="13695" stopIfTrue="1"/>
  </conditionalFormatting>
  <conditionalFormatting sqref="A803">
    <cfRule type="duplicateValues" dxfId="10395" priority="13694" stopIfTrue="1"/>
  </conditionalFormatting>
  <conditionalFormatting sqref="A803">
    <cfRule type="duplicateValues" dxfId="10394" priority="13693" stopIfTrue="1"/>
  </conditionalFormatting>
  <conditionalFormatting sqref="A804">
    <cfRule type="duplicateValues" dxfId="10393" priority="13692" stopIfTrue="1"/>
  </conditionalFormatting>
  <conditionalFormatting sqref="A804">
    <cfRule type="duplicateValues" dxfId="10392" priority="13691" stopIfTrue="1"/>
  </conditionalFormatting>
  <conditionalFormatting sqref="A804">
    <cfRule type="duplicateValues" dxfId="10391" priority="13690" stopIfTrue="1"/>
  </conditionalFormatting>
  <conditionalFormatting sqref="A804">
    <cfRule type="duplicateValues" dxfId="10390" priority="13689" stopIfTrue="1"/>
  </conditionalFormatting>
  <conditionalFormatting sqref="A804">
    <cfRule type="duplicateValues" dxfId="10389" priority="13688" stopIfTrue="1"/>
  </conditionalFormatting>
  <conditionalFormatting sqref="A804">
    <cfRule type="duplicateValues" dxfId="10388" priority="13687" stopIfTrue="1"/>
  </conditionalFormatting>
  <conditionalFormatting sqref="A804">
    <cfRule type="duplicateValues" dxfId="10387" priority="13686" stopIfTrue="1"/>
  </conditionalFormatting>
  <conditionalFormatting sqref="A804">
    <cfRule type="duplicateValues" dxfId="10386" priority="13685" stopIfTrue="1"/>
  </conditionalFormatting>
  <conditionalFormatting sqref="A804">
    <cfRule type="duplicateValues" dxfId="10385" priority="13684" stopIfTrue="1"/>
  </conditionalFormatting>
  <conditionalFormatting sqref="A804">
    <cfRule type="duplicateValues" dxfId="10384" priority="13683" stopIfTrue="1"/>
  </conditionalFormatting>
  <conditionalFormatting sqref="A804">
    <cfRule type="duplicateValues" dxfId="10383" priority="13682" stopIfTrue="1"/>
  </conditionalFormatting>
  <conditionalFormatting sqref="A804">
    <cfRule type="duplicateValues" dxfId="10382" priority="13681" stopIfTrue="1"/>
  </conditionalFormatting>
  <conditionalFormatting sqref="A804">
    <cfRule type="duplicateValues" dxfId="10381" priority="13680" stopIfTrue="1"/>
  </conditionalFormatting>
  <conditionalFormatting sqref="A804">
    <cfRule type="duplicateValues" dxfId="10380" priority="13679" stopIfTrue="1"/>
  </conditionalFormatting>
  <conditionalFormatting sqref="A805">
    <cfRule type="duplicateValues" dxfId="10379" priority="13678" stopIfTrue="1"/>
  </conditionalFormatting>
  <conditionalFormatting sqref="A805">
    <cfRule type="duplicateValues" dxfId="10378" priority="13677" stopIfTrue="1"/>
  </conditionalFormatting>
  <conditionalFormatting sqref="A805">
    <cfRule type="duplicateValues" dxfId="10377" priority="13676" stopIfTrue="1"/>
  </conditionalFormatting>
  <conditionalFormatting sqref="A805">
    <cfRule type="duplicateValues" dxfId="10376" priority="13675" stopIfTrue="1"/>
  </conditionalFormatting>
  <conditionalFormatting sqref="A805">
    <cfRule type="duplicateValues" dxfId="10375" priority="13674" stopIfTrue="1"/>
  </conditionalFormatting>
  <conditionalFormatting sqref="A805">
    <cfRule type="duplicateValues" dxfId="10374" priority="13673" stopIfTrue="1"/>
  </conditionalFormatting>
  <conditionalFormatting sqref="A805">
    <cfRule type="duplicateValues" dxfId="10373" priority="13672" stopIfTrue="1"/>
  </conditionalFormatting>
  <conditionalFormatting sqref="A805">
    <cfRule type="duplicateValues" dxfId="10372" priority="13671" stopIfTrue="1"/>
  </conditionalFormatting>
  <conditionalFormatting sqref="A805">
    <cfRule type="duplicateValues" dxfId="10371" priority="13670" stopIfTrue="1"/>
  </conditionalFormatting>
  <conditionalFormatting sqref="A805">
    <cfRule type="duplicateValues" dxfId="10370" priority="13669" stopIfTrue="1"/>
  </conditionalFormatting>
  <conditionalFormatting sqref="A805">
    <cfRule type="duplicateValues" dxfId="10369" priority="13668" stopIfTrue="1"/>
  </conditionalFormatting>
  <conditionalFormatting sqref="A805">
    <cfRule type="duplicateValues" dxfId="10368" priority="13667" stopIfTrue="1"/>
  </conditionalFormatting>
  <conditionalFormatting sqref="A805">
    <cfRule type="duplicateValues" dxfId="10367" priority="13666" stopIfTrue="1"/>
  </conditionalFormatting>
  <conditionalFormatting sqref="A805">
    <cfRule type="duplicateValues" dxfId="10366" priority="13665" stopIfTrue="1"/>
  </conditionalFormatting>
  <conditionalFormatting sqref="A807 A809 A811">
    <cfRule type="duplicateValues" dxfId="10365" priority="13664" stopIfTrue="1"/>
  </conditionalFormatting>
  <conditionalFormatting sqref="A807 A809 A811">
    <cfRule type="duplicateValues" dxfId="10364" priority="13663" stopIfTrue="1"/>
  </conditionalFormatting>
  <conditionalFormatting sqref="A807">
    <cfRule type="duplicateValues" dxfId="10363" priority="13662" stopIfTrue="1"/>
  </conditionalFormatting>
  <conditionalFormatting sqref="A807">
    <cfRule type="duplicateValues" dxfId="10362" priority="13661" stopIfTrue="1"/>
  </conditionalFormatting>
  <conditionalFormatting sqref="A807">
    <cfRule type="duplicateValues" dxfId="10361" priority="13660" stopIfTrue="1"/>
  </conditionalFormatting>
  <conditionalFormatting sqref="A807">
    <cfRule type="duplicateValues" dxfId="10360" priority="13659" stopIfTrue="1"/>
  </conditionalFormatting>
  <conditionalFormatting sqref="A807">
    <cfRule type="duplicateValues" dxfId="10359" priority="13658" stopIfTrue="1"/>
  </conditionalFormatting>
  <conditionalFormatting sqref="A807">
    <cfRule type="duplicateValues" dxfId="10358" priority="13657" stopIfTrue="1"/>
  </conditionalFormatting>
  <conditionalFormatting sqref="A807">
    <cfRule type="duplicateValues" dxfId="10357" priority="13656" stopIfTrue="1"/>
  </conditionalFormatting>
  <conditionalFormatting sqref="A807">
    <cfRule type="duplicateValues" dxfId="10356" priority="13655" stopIfTrue="1"/>
  </conditionalFormatting>
  <conditionalFormatting sqref="A807">
    <cfRule type="duplicateValues" dxfId="10355" priority="13654" stopIfTrue="1"/>
  </conditionalFormatting>
  <conditionalFormatting sqref="A807">
    <cfRule type="duplicateValues" dxfId="10354" priority="13653" stopIfTrue="1"/>
  </conditionalFormatting>
  <conditionalFormatting sqref="A807">
    <cfRule type="duplicateValues" dxfId="10353" priority="13652" stopIfTrue="1"/>
  </conditionalFormatting>
  <conditionalFormatting sqref="A807">
    <cfRule type="duplicateValues" dxfId="10352" priority="13651" stopIfTrue="1"/>
  </conditionalFormatting>
  <conditionalFormatting sqref="A808">
    <cfRule type="duplicateValues" dxfId="10351" priority="13650" stopIfTrue="1"/>
  </conditionalFormatting>
  <conditionalFormatting sqref="A808">
    <cfRule type="duplicateValues" dxfId="10350" priority="13649" stopIfTrue="1"/>
  </conditionalFormatting>
  <conditionalFormatting sqref="A808">
    <cfRule type="duplicateValues" dxfId="10349" priority="13648" stopIfTrue="1"/>
  </conditionalFormatting>
  <conditionalFormatting sqref="A808">
    <cfRule type="duplicateValues" dxfId="10348" priority="13647" stopIfTrue="1"/>
  </conditionalFormatting>
  <conditionalFormatting sqref="A808">
    <cfRule type="duplicateValues" dxfId="10347" priority="13646" stopIfTrue="1"/>
  </conditionalFormatting>
  <conditionalFormatting sqref="A808">
    <cfRule type="duplicateValues" dxfId="10346" priority="13645" stopIfTrue="1"/>
  </conditionalFormatting>
  <conditionalFormatting sqref="A808">
    <cfRule type="duplicateValues" dxfId="10345" priority="13644" stopIfTrue="1"/>
  </conditionalFormatting>
  <conditionalFormatting sqref="A808">
    <cfRule type="duplicateValues" dxfId="10344" priority="13643" stopIfTrue="1"/>
  </conditionalFormatting>
  <conditionalFormatting sqref="A808">
    <cfRule type="duplicateValues" dxfId="10343" priority="13642" stopIfTrue="1"/>
  </conditionalFormatting>
  <conditionalFormatting sqref="A808">
    <cfRule type="duplicateValues" dxfId="10342" priority="13641" stopIfTrue="1"/>
  </conditionalFormatting>
  <conditionalFormatting sqref="A808">
    <cfRule type="duplicateValues" dxfId="10341" priority="13640" stopIfTrue="1"/>
  </conditionalFormatting>
  <conditionalFormatting sqref="A808">
    <cfRule type="duplicateValues" dxfId="10340" priority="13639" stopIfTrue="1"/>
  </conditionalFormatting>
  <conditionalFormatting sqref="A808">
    <cfRule type="duplicateValues" dxfId="10339" priority="13638" stopIfTrue="1"/>
  </conditionalFormatting>
  <conditionalFormatting sqref="A808">
    <cfRule type="duplicateValues" dxfId="10338" priority="13637" stopIfTrue="1"/>
  </conditionalFormatting>
  <conditionalFormatting sqref="A809">
    <cfRule type="duplicateValues" dxfId="10337" priority="13636" stopIfTrue="1"/>
  </conditionalFormatting>
  <conditionalFormatting sqref="A809">
    <cfRule type="duplicateValues" dxfId="10336" priority="13635" stopIfTrue="1"/>
  </conditionalFormatting>
  <conditionalFormatting sqref="A809">
    <cfRule type="duplicateValues" dxfId="10335" priority="13634" stopIfTrue="1"/>
  </conditionalFormatting>
  <conditionalFormatting sqref="A809">
    <cfRule type="duplicateValues" dxfId="10334" priority="13633" stopIfTrue="1"/>
  </conditionalFormatting>
  <conditionalFormatting sqref="A809">
    <cfRule type="duplicateValues" dxfId="10333" priority="13632" stopIfTrue="1"/>
  </conditionalFormatting>
  <conditionalFormatting sqref="A809">
    <cfRule type="duplicateValues" dxfId="10332" priority="13631" stopIfTrue="1"/>
  </conditionalFormatting>
  <conditionalFormatting sqref="A809">
    <cfRule type="duplicateValues" dxfId="10331" priority="13630" stopIfTrue="1"/>
  </conditionalFormatting>
  <conditionalFormatting sqref="A809">
    <cfRule type="duplicateValues" dxfId="10330" priority="13629" stopIfTrue="1"/>
  </conditionalFormatting>
  <conditionalFormatting sqref="A809">
    <cfRule type="duplicateValues" dxfId="10329" priority="13628" stopIfTrue="1"/>
  </conditionalFormatting>
  <conditionalFormatting sqref="A809">
    <cfRule type="duplicateValues" dxfId="10328" priority="13627" stopIfTrue="1"/>
  </conditionalFormatting>
  <conditionalFormatting sqref="A809">
    <cfRule type="duplicateValues" dxfId="10327" priority="13626" stopIfTrue="1"/>
  </conditionalFormatting>
  <conditionalFormatting sqref="A809">
    <cfRule type="duplicateValues" dxfId="10326" priority="13625" stopIfTrue="1"/>
  </conditionalFormatting>
  <conditionalFormatting sqref="A809">
    <cfRule type="duplicateValues" dxfId="10325" priority="13624" stopIfTrue="1"/>
  </conditionalFormatting>
  <conditionalFormatting sqref="A809">
    <cfRule type="duplicateValues" dxfId="10324" priority="13623" stopIfTrue="1"/>
  </conditionalFormatting>
  <conditionalFormatting sqref="A810">
    <cfRule type="duplicateValues" dxfId="10323" priority="13622" stopIfTrue="1"/>
  </conditionalFormatting>
  <conditionalFormatting sqref="A810">
    <cfRule type="duplicateValues" dxfId="10322" priority="13621" stopIfTrue="1"/>
  </conditionalFormatting>
  <conditionalFormatting sqref="A810">
    <cfRule type="duplicateValues" dxfId="10321" priority="13620" stopIfTrue="1"/>
  </conditionalFormatting>
  <conditionalFormatting sqref="A810">
    <cfRule type="duplicateValues" dxfId="10320" priority="13619" stopIfTrue="1"/>
  </conditionalFormatting>
  <conditionalFormatting sqref="A810">
    <cfRule type="duplicateValues" dxfId="10319" priority="13618" stopIfTrue="1"/>
  </conditionalFormatting>
  <conditionalFormatting sqref="A810">
    <cfRule type="duplicateValues" dxfId="10318" priority="13617" stopIfTrue="1"/>
  </conditionalFormatting>
  <conditionalFormatting sqref="A810">
    <cfRule type="duplicateValues" dxfId="10317" priority="13616" stopIfTrue="1"/>
  </conditionalFormatting>
  <conditionalFormatting sqref="A810">
    <cfRule type="duplicateValues" dxfId="10316" priority="13615" stopIfTrue="1"/>
  </conditionalFormatting>
  <conditionalFormatting sqref="A810">
    <cfRule type="duplicateValues" dxfId="10315" priority="13614" stopIfTrue="1"/>
  </conditionalFormatting>
  <conditionalFormatting sqref="A810">
    <cfRule type="duplicateValues" dxfId="10314" priority="13613" stopIfTrue="1"/>
  </conditionalFormatting>
  <conditionalFormatting sqref="A810">
    <cfRule type="duplicateValues" dxfId="10313" priority="13612" stopIfTrue="1"/>
  </conditionalFormatting>
  <conditionalFormatting sqref="A810">
    <cfRule type="duplicateValues" dxfId="10312" priority="13611" stopIfTrue="1"/>
  </conditionalFormatting>
  <conditionalFormatting sqref="A810">
    <cfRule type="duplicateValues" dxfId="10311" priority="13610" stopIfTrue="1"/>
  </conditionalFormatting>
  <conditionalFormatting sqref="A810">
    <cfRule type="duplicateValues" dxfId="10310" priority="13609" stopIfTrue="1"/>
  </conditionalFormatting>
  <conditionalFormatting sqref="A811">
    <cfRule type="duplicateValues" dxfId="10309" priority="13608" stopIfTrue="1"/>
  </conditionalFormatting>
  <conditionalFormatting sqref="A811">
    <cfRule type="duplicateValues" dxfId="10308" priority="13607" stopIfTrue="1"/>
  </conditionalFormatting>
  <conditionalFormatting sqref="A811">
    <cfRule type="duplicateValues" dxfId="10307" priority="13606" stopIfTrue="1"/>
  </conditionalFormatting>
  <conditionalFormatting sqref="A811">
    <cfRule type="duplicateValues" dxfId="10306" priority="13605" stopIfTrue="1"/>
  </conditionalFormatting>
  <conditionalFormatting sqref="A811">
    <cfRule type="duplicateValues" dxfId="10305" priority="13604" stopIfTrue="1"/>
  </conditionalFormatting>
  <conditionalFormatting sqref="A811">
    <cfRule type="duplicateValues" dxfId="10304" priority="13603" stopIfTrue="1"/>
  </conditionalFormatting>
  <conditionalFormatting sqref="A811">
    <cfRule type="duplicateValues" dxfId="10303" priority="13602" stopIfTrue="1"/>
  </conditionalFormatting>
  <conditionalFormatting sqref="A811">
    <cfRule type="duplicateValues" dxfId="10302" priority="13601" stopIfTrue="1"/>
  </conditionalFormatting>
  <conditionalFormatting sqref="A811">
    <cfRule type="duplicateValues" dxfId="10301" priority="13600" stopIfTrue="1"/>
  </conditionalFormatting>
  <conditionalFormatting sqref="A811">
    <cfRule type="duplicateValues" dxfId="10300" priority="13599" stopIfTrue="1"/>
  </conditionalFormatting>
  <conditionalFormatting sqref="A811">
    <cfRule type="duplicateValues" dxfId="10299" priority="13598" stopIfTrue="1"/>
  </conditionalFormatting>
  <conditionalFormatting sqref="A811">
    <cfRule type="duplicateValues" dxfId="10298" priority="13597" stopIfTrue="1"/>
  </conditionalFormatting>
  <conditionalFormatting sqref="A811">
    <cfRule type="duplicateValues" dxfId="10297" priority="13596" stopIfTrue="1"/>
  </conditionalFormatting>
  <conditionalFormatting sqref="A811">
    <cfRule type="duplicateValues" dxfId="10296" priority="13595" stopIfTrue="1"/>
  </conditionalFormatting>
  <conditionalFormatting sqref="A1899:A66161 A1427 A957 A950 A944 A860 A854 A848 A842 A836 A830 A824 A1 A826 A828 A832 A834 A838 A840 A844 A846 A850 A852 A856 A858 A862 A864:A866 A872 A868 A870 A878 A874 A876 A884 A880 A882 A890 A886 A888 A896 A892 A894 A902 A898 A900 A908 A904 A906 A910 A912 A914 A920 A916 A918 A922 A924 A926 A932 A928 A930 A938 A934 A936 A940 A942 A946 A948 A952 A954 A989:A1017 A1019 A1021:A1032 A1038:A1041 A1529:A1531 A628:A657 A408:A418 A420 A422 A425:A432 A435:A441 A444:A476 A478:A481 A484:A498 A501:A529 A548:A595 A598:A625 A660:A812 A1045:A1062 A1498:A1500 A392:A405 A1065:A1070 A1440:A1448 A362:A389 A1074:A1093 A531:A545 A357 A1433:A1438 A1159:A1162 A1512:A1520 A1450:A1464 A1164:A1218">
    <cfRule type="duplicateValues" dxfId="10295" priority="13594" stopIfTrue="1"/>
  </conditionalFormatting>
  <conditionalFormatting sqref="A813">
    <cfRule type="duplicateValues" dxfId="10294" priority="13593" stopIfTrue="1"/>
  </conditionalFormatting>
  <conditionalFormatting sqref="A813">
    <cfRule type="duplicateValues" dxfId="10293" priority="13592" stopIfTrue="1"/>
  </conditionalFormatting>
  <conditionalFormatting sqref="A813">
    <cfRule type="duplicateValues" dxfId="10292" priority="13591" stopIfTrue="1"/>
  </conditionalFormatting>
  <conditionalFormatting sqref="A813">
    <cfRule type="duplicateValues" dxfId="10291" priority="13590" stopIfTrue="1"/>
  </conditionalFormatting>
  <conditionalFormatting sqref="A813">
    <cfRule type="duplicateValues" dxfId="10290" priority="13589" stopIfTrue="1"/>
  </conditionalFormatting>
  <conditionalFormatting sqref="A813">
    <cfRule type="duplicateValues" dxfId="10289" priority="13588" stopIfTrue="1"/>
  </conditionalFormatting>
  <conditionalFormatting sqref="A813">
    <cfRule type="duplicateValues" dxfId="10288" priority="13587" stopIfTrue="1"/>
  </conditionalFormatting>
  <conditionalFormatting sqref="A813">
    <cfRule type="duplicateValues" dxfId="10287" priority="13586" stopIfTrue="1"/>
  </conditionalFormatting>
  <conditionalFormatting sqref="A813">
    <cfRule type="duplicateValues" dxfId="10286" priority="13585" stopIfTrue="1"/>
  </conditionalFormatting>
  <conditionalFormatting sqref="A813">
    <cfRule type="duplicateValues" dxfId="10285" priority="13584" stopIfTrue="1"/>
  </conditionalFormatting>
  <conditionalFormatting sqref="A813">
    <cfRule type="duplicateValues" dxfId="10284" priority="13583" stopIfTrue="1"/>
  </conditionalFormatting>
  <conditionalFormatting sqref="A813">
    <cfRule type="duplicateValues" dxfId="10283" priority="13582" stopIfTrue="1"/>
  </conditionalFormatting>
  <conditionalFormatting sqref="A813">
    <cfRule type="duplicateValues" dxfId="10282" priority="13581" stopIfTrue="1"/>
  </conditionalFormatting>
  <conditionalFormatting sqref="A813">
    <cfRule type="duplicateValues" dxfId="10281" priority="13580" stopIfTrue="1"/>
  </conditionalFormatting>
  <conditionalFormatting sqref="A813">
    <cfRule type="duplicateValues" dxfId="10280" priority="13579" stopIfTrue="1"/>
  </conditionalFormatting>
  <conditionalFormatting sqref="A814">
    <cfRule type="duplicateValues" dxfId="10279" priority="13578" stopIfTrue="1"/>
  </conditionalFormatting>
  <conditionalFormatting sqref="A814">
    <cfRule type="duplicateValues" dxfId="10278" priority="13577" stopIfTrue="1"/>
  </conditionalFormatting>
  <conditionalFormatting sqref="A814">
    <cfRule type="duplicateValues" dxfId="10277" priority="13576" stopIfTrue="1"/>
  </conditionalFormatting>
  <conditionalFormatting sqref="A814">
    <cfRule type="duplicateValues" dxfId="10276" priority="13575" stopIfTrue="1"/>
  </conditionalFormatting>
  <conditionalFormatting sqref="A814">
    <cfRule type="duplicateValues" dxfId="10275" priority="13574" stopIfTrue="1"/>
  </conditionalFormatting>
  <conditionalFormatting sqref="A814">
    <cfRule type="duplicateValues" dxfId="10274" priority="13573" stopIfTrue="1"/>
  </conditionalFormatting>
  <conditionalFormatting sqref="A814">
    <cfRule type="duplicateValues" dxfId="10273" priority="13572" stopIfTrue="1"/>
  </conditionalFormatting>
  <conditionalFormatting sqref="A814">
    <cfRule type="duplicateValues" dxfId="10272" priority="13571" stopIfTrue="1"/>
  </conditionalFormatting>
  <conditionalFormatting sqref="A814">
    <cfRule type="duplicateValues" dxfId="10271" priority="13570" stopIfTrue="1"/>
  </conditionalFormatting>
  <conditionalFormatting sqref="A814">
    <cfRule type="duplicateValues" dxfId="10270" priority="13569" stopIfTrue="1"/>
  </conditionalFormatting>
  <conditionalFormatting sqref="A814">
    <cfRule type="duplicateValues" dxfId="10269" priority="13568" stopIfTrue="1"/>
  </conditionalFormatting>
  <conditionalFormatting sqref="A814">
    <cfRule type="duplicateValues" dxfId="10268" priority="13567" stopIfTrue="1"/>
  </conditionalFormatting>
  <conditionalFormatting sqref="A814">
    <cfRule type="duplicateValues" dxfId="10267" priority="13566" stopIfTrue="1"/>
  </conditionalFormatting>
  <conditionalFormatting sqref="A814">
    <cfRule type="duplicateValues" dxfId="10266" priority="13565" stopIfTrue="1"/>
  </conditionalFormatting>
  <conditionalFormatting sqref="A814">
    <cfRule type="duplicateValues" dxfId="10265" priority="13564" stopIfTrue="1"/>
  </conditionalFormatting>
  <conditionalFormatting sqref="A815">
    <cfRule type="duplicateValues" dxfId="10264" priority="13563" stopIfTrue="1"/>
  </conditionalFormatting>
  <conditionalFormatting sqref="A815">
    <cfRule type="duplicateValues" dxfId="10263" priority="13562" stopIfTrue="1"/>
  </conditionalFormatting>
  <conditionalFormatting sqref="A815">
    <cfRule type="duplicateValues" dxfId="10262" priority="13561" stopIfTrue="1"/>
  </conditionalFormatting>
  <conditionalFormatting sqref="A815">
    <cfRule type="duplicateValues" dxfId="10261" priority="13560" stopIfTrue="1"/>
  </conditionalFormatting>
  <conditionalFormatting sqref="A815">
    <cfRule type="duplicateValues" dxfId="10260" priority="13559" stopIfTrue="1"/>
  </conditionalFormatting>
  <conditionalFormatting sqref="A815">
    <cfRule type="duplicateValues" dxfId="10259" priority="13558" stopIfTrue="1"/>
  </conditionalFormatting>
  <conditionalFormatting sqref="A815">
    <cfRule type="duplicateValues" dxfId="10258" priority="13557" stopIfTrue="1"/>
  </conditionalFormatting>
  <conditionalFormatting sqref="A815">
    <cfRule type="duplicateValues" dxfId="10257" priority="13556" stopIfTrue="1"/>
  </conditionalFormatting>
  <conditionalFormatting sqref="A815">
    <cfRule type="duplicateValues" dxfId="10256" priority="13555" stopIfTrue="1"/>
  </conditionalFormatting>
  <conditionalFormatting sqref="A815">
    <cfRule type="duplicateValues" dxfId="10255" priority="13554" stopIfTrue="1"/>
  </conditionalFormatting>
  <conditionalFormatting sqref="A815">
    <cfRule type="duplicateValues" dxfId="10254" priority="13553" stopIfTrue="1"/>
  </conditionalFormatting>
  <conditionalFormatting sqref="A815">
    <cfRule type="duplicateValues" dxfId="10253" priority="13552" stopIfTrue="1"/>
  </conditionalFormatting>
  <conditionalFormatting sqref="A815">
    <cfRule type="duplicateValues" dxfId="10252" priority="13551" stopIfTrue="1"/>
  </conditionalFormatting>
  <conditionalFormatting sqref="A815">
    <cfRule type="duplicateValues" dxfId="10251" priority="13550" stopIfTrue="1"/>
  </conditionalFormatting>
  <conditionalFormatting sqref="A815">
    <cfRule type="duplicateValues" dxfId="10250" priority="13549" stopIfTrue="1"/>
  </conditionalFormatting>
  <conditionalFormatting sqref="A816">
    <cfRule type="duplicateValues" dxfId="10249" priority="13548" stopIfTrue="1"/>
  </conditionalFormatting>
  <conditionalFormatting sqref="A816">
    <cfRule type="duplicateValues" dxfId="10248" priority="13547" stopIfTrue="1"/>
  </conditionalFormatting>
  <conditionalFormatting sqref="A816">
    <cfRule type="duplicateValues" dxfId="10247" priority="13546" stopIfTrue="1"/>
  </conditionalFormatting>
  <conditionalFormatting sqref="A816">
    <cfRule type="duplicateValues" dxfId="10246" priority="13545" stopIfTrue="1"/>
  </conditionalFormatting>
  <conditionalFormatting sqref="A816">
    <cfRule type="duplicateValues" dxfId="10245" priority="13544" stopIfTrue="1"/>
  </conditionalFormatting>
  <conditionalFormatting sqref="A816">
    <cfRule type="duplicateValues" dxfId="10244" priority="13543" stopIfTrue="1"/>
  </conditionalFormatting>
  <conditionalFormatting sqref="A816">
    <cfRule type="duplicateValues" dxfId="10243" priority="13542" stopIfTrue="1"/>
  </conditionalFormatting>
  <conditionalFormatting sqref="A816">
    <cfRule type="duplicateValues" dxfId="10242" priority="13541" stopIfTrue="1"/>
  </conditionalFormatting>
  <conditionalFormatting sqref="A816">
    <cfRule type="duplicateValues" dxfId="10241" priority="13540" stopIfTrue="1"/>
  </conditionalFormatting>
  <conditionalFormatting sqref="A816">
    <cfRule type="duplicateValues" dxfId="10240" priority="13539" stopIfTrue="1"/>
  </conditionalFormatting>
  <conditionalFormatting sqref="A816">
    <cfRule type="duplicateValues" dxfId="10239" priority="13538" stopIfTrue="1"/>
  </conditionalFormatting>
  <conditionalFormatting sqref="A816">
    <cfRule type="duplicateValues" dxfId="10238" priority="13537" stopIfTrue="1"/>
  </conditionalFormatting>
  <conditionalFormatting sqref="A816">
    <cfRule type="duplicateValues" dxfId="10237" priority="13536" stopIfTrue="1"/>
  </conditionalFormatting>
  <conditionalFormatting sqref="A816">
    <cfRule type="duplicateValues" dxfId="10236" priority="13535" stopIfTrue="1"/>
  </conditionalFormatting>
  <conditionalFormatting sqref="A816">
    <cfRule type="duplicateValues" dxfId="10235" priority="13534" stopIfTrue="1"/>
  </conditionalFormatting>
  <conditionalFormatting sqref="A817">
    <cfRule type="duplicateValues" dxfId="10234" priority="13533" stopIfTrue="1"/>
  </conditionalFormatting>
  <conditionalFormatting sqref="A817">
    <cfRule type="duplicateValues" dxfId="10233" priority="13532" stopIfTrue="1"/>
  </conditionalFormatting>
  <conditionalFormatting sqref="A817">
    <cfRule type="duplicateValues" dxfId="10232" priority="13531" stopIfTrue="1"/>
  </conditionalFormatting>
  <conditionalFormatting sqref="A817">
    <cfRule type="duplicateValues" dxfId="10231" priority="13530" stopIfTrue="1"/>
  </conditionalFormatting>
  <conditionalFormatting sqref="A817">
    <cfRule type="duplicateValues" dxfId="10230" priority="13529" stopIfTrue="1"/>
  </conditionalFormatting>
  <conditionalFormatting sqref="A817">
    <cfRule type="duplicateValues" dxfId="10229" priority="13528" stopIfTrue="1"/>
  </conditionalFormatting>
  <conditionalFormatting sqref="A817">
    <cfRule type="duplicateValues" dxfId="10228" priority="13527" stopIfTrue="1"/>
  </conditionalFormatting>
  <conditionalFormatting sqref="A817">
    <cfRule type="duplicateValues" dxfId="10227" priority="13526" stopIfTrue="1"/>
  </conditionalFormatting>
  <conditionalFormatting sqref="A817">
    <cfRule type="duplicateValues" dxfId="10226" priority="13525" stopIfTrue="1"/>
  </conditionalFormatting>
  <conditionalFormatting sqref="A817">
    <cfRule type="duplicateValues" dxfId="10225" priority="13524" stopIfTrue="1"/>
  </conditionalFormatting>
  <conditionalFormatting sqref="A817">
    <cfRule type="duplicateValues" dxfId="10224" priority="13523" stopIfTrue="1"/>
  </conditionalFormatting>
  <conditionalFormatting sqref="A817">
    <cfRule type="duplicateValues" dxfId="10223" priority="13522" stopIfTrue="1"/>
  </conditionalFormatting>
  <conditionalFormatting sqref="A817">
    <cfRule type="duplicateValues" dxfId="10222" priority="13521" stopIfTrue="1"/>
  </conditionalFormatting>
  <conditionalFormatting sqref="A817">
    <cfRule type="duplicateValues" dxfId="10221" priority="13520" stopIfTrue="1"/>
  </conditionalFormatting>
  <conditionalFormatting sqref="A817">
    <cfRule type="duplicateValues" dxfId="10220" priority="13519" stopIfTrue="1"/>
  </conditionalFormatting>
  <conditionalFormatting sqref="A818:A823">
    <cfRule type="duplicateValues" dxfId="10219" priority="13443" stopIfTrue="1"/>
  </conditionalFormatting>
  <conditionalFormatting sqref="A818:A823">
    <cfRule type="duplicateValues" dxfId="10218" priority="13442" stopIfTrue="1"/>
  </conditionalFormatting>
  <conditionalFormatting sqref="A818:A823">
    <cfRule type="duplicateValues" dxfId="10217" priority="13441" stopIfTrue="1"/>
  </conditionalFormatting>
  <conditionalFormatting sqref="A818:A823">
    <cfRule type="duplicateValues" dxfId="10216" priority="13440" stopIfTrue="1"/>
  </conditionalFormatting>
  <conditionalFormatting sqref="A818:A823">
    <cfRule type="duplicateValues" dxfId="10215" priority="13439" stopIfTrue="1"/>
  </conditionalFormatting>
  <conditionalFormatting sqref="A818:A823">
    <cfRule type="duplicateValues" dxfId="10214" priority="13438" stopIfTrue="1"/>
  </conditionalFormatting>
  <conditionalFormatting sqref="A818:A823">
    <cfRule type="duplicateValues" dxfId="10213" priority="13437" stopIfTrue="1"/>
  </conditionalFormatting>
  <conditionalFormatting sqref="A818:A823">
    <cfRule type="duplicateValues" dxfId="10212" priority="13436" stopIfTrue="1"/>
  </conditionalFormatting>
  <conditionalFormatting sqref="A818:A823">
    <cfRule type="duplicateValues" dxfId="10211" priority="13435" stopIfTrue="1"/>
  </conditionalFormatting>
  <conditionalFormatting sqref="A818:A823">
    <cfRule type="duplicateValues" dxfId="10210" priority="13434" stopIfTrue="1"/>
  </conditionalFormatting>
  <conditionalFormatting sqref="A818:A823">
    <cfRule type="duplicateValues" dxfId="10209" priority="13433" stopIfTrue="1"/>
  </conditionalFormatting>
  <conditionalFormatting sqref="A818:A823">
    <cfRule type="duplicateValues" dxfId="10208" priority="13432" stopIfTrue="1"/>
  </conditionalFormatting>
  <conditionalFormatting sqref="A818:A823">
    <cfRule type="duplicateValues" dxfId="10207" priority="13431" stopIfTrue="1"/>
  </conditionalFormatting>
  <conditionalFormatting sqref="A818:A823">
    <cfRule type="duplicateValues" dxfId="10206" priority="13430" stopIfTrue="1"/>
  </conditionalFormatting>
  <conditionalFormatting sqref="A818:A823">
    <cfRule type="duplicateValues" dxfId="10205" priority="13429" stopIfTrue="1"/>
  </conditionalFormatting>
  <conditionalFormatting sqref="A825 A827 A829">
    <cfRule type="duplicateValues" dxfId="10204" priority="13428" stopIfTrue="1"/>
  </conditionalFormatting>
  <conditionalFormatting sqref="A825 A827 A829">
    <cfRule type="duplicateValues" dxfId="10203" priority="13427" stopIfTrue="1"/>
  </conditionalFormatting>
  <conditionalFormatting sqref="A825">
    <cfRule type="duplicateValues" dxfId="10202" priority="13426" stopIfTrue="1"/>
  </conditionalFormatting>
  <conditionalFormatting sqref="A825">
    <cfRule type="duplicateValues" dxfId="10201" priority="13425" stopIfTrue="1"/>
  </conditionalFormatting>
  <conditionalFormatting sqref="A825">
    <cfRule type="duplicateValues" dxfId="10200" priority="13424" stopIfTrue="1"/>
  </conditionalFormatting>
  <conditionalFormatting sqref="A825">
    <cfRule type="duplicateValues" dxfId="10199" priority="13423" stopIfTrue="1"/>
  </conditionalFormatting>
  <conditionalFormatting sqref="A825">
    <cfRule type="duplicateValues" dxfId="10198" priority="13422" stopIfTrue="1"/>
  </conditionalFormatting>
  <conditionalFormatting sqref="A825">
    <cfRule type="duplicateValues" dxfId="10197" priority="13421" stopIfTrue="1"/>
  </conditionalFormatting>
  <conditionalFormatting sqref="A825">
    <cfRule type="duplicateValues" dxfId="10196" priority="13420" stopIfTrue="1"/>
  </conditionalFormatting>
  <conditionalFormatting sqref="A825">
    <cfRule type="duplicateValues" dxfId="10195" priority="13419" stopIfTrue="1"/>
  </conditionalFormatting>
  <conditionalFormatting sqref="A825">
    <cfRule type="duplicateValues" dxfId="10194" priority="13418" stopIfTrue="1"/>
  </conditionalFormatting>
  <conditionalFormatting sqref="A825">
    <cfRule type="duplicateValues" dxfId="10193" priority="13417" stopIfTrue="1"/>
  </conditionalFormatting>
  <conditionalFormatting sqref="A825">
    <cfRule type="duplicateValues" dxfId="10192" priority="13416" stopIfTrue="1"/>
  </conditionalFormatting>
  <conditionalFormatting sqref="A825">
    <cfRule type="duplicateValues" dxfId="10191" priority="13415" stopIfTrue="1"/>
  </conditionalFormatting>
  <conditionalFormatting sqref="A825">
    <cfRule type="duplicateValues" dxfId="10190" priority="13414" stopIfTrue="1"/>
  </conditionalFormatting>
  <conditionalFormatting sqref="A831 A833 A835">
    <cfRule type="duplicateValues" dxfId="10189" priority="13353" stopIfTrue="1"/>
  </conditionalFormatting>
  <conditionalFormatting sqref="A831 A833 A835">
    <cfRule type="duplicateValues" dxfId="10188" priority="13352" stopIfTrue="1"/>
  </conditionalFormatting>
  <conditionalFormatting sqref="A831">
    <cfRule type="duplicateValues" dxfId="10187" priority="13351" stopIfTrue="1"/>
  </conditionalFormatting>
  <conditionalFormatting sqref="A831">
    <cfRule type="duplicateValues" dxfId="10186" priority="13350" stopIfTrue="1"/>
  </conditionalFormatting>
  <conditionalFormatting sqref="A831">
    <cfRule type="duplicateValues" dxfId="10185" priority="13349" stopIfTrue="1"/>
  </conditionalFormatting>
  <conditionalFormatting sqref="A831">
    <cfRule type="duplicateValues" dxfId="10184" priority="13348" stopIfTrue="1"/>
  </conditionalFormatting>
  <conditionalFormatting sqref="A831">
    <cfRule type="duplicateValues" dxfId="10183" priority="13347" stopIfTrue="1"/>
  </conditionalFormatting>
  <conditionalFormatting sqref="A831">
    <cfRule type="duplicateValues" dxfId="10182" priority="13346" stopIfTrue="1"/>
  </conditionalFormatting>
  <conditionalFormatting sqref="A831">
    <cfRule type="duplicateValues" dxfId="10181" priority="13345" stopIfTrue="1"/>
  </conditionalFormatting>
  <conditionalFormatting sqref="A831">
    <cfRule type="duplicateValues" dxfId="10180" priority="13344" stopIfTrue="1"/>
  </conditionalFormatting>
  <conditionalFormatting sqref="A831">
    <cfRule type="duplicateValues" dxfId="10179" priority="13343" stopIfTrue="1"/>
  </conditionalFormatting>
  <conditionalFormatting sqref="A831">
    <cfRule type="duplicateValues" dxfId="10178" priority="13342" stopIfTrue="1"/>
  </conditionalFormatting>
  <conditionalFormatting sqref="A831">
    <cfRule type="duplicateValues" dxfId="10177" priority="13341" stopIfTrue="1"/>
  </conditionalFormatting>
  <conditionalFormatting sqref="A831">
    <cfRule type="duplicateValues" dxfId="10176" priority="13340" stopIfTrue="1"/>
  </conditionalFormatting>
  <conditionalFormatting sqref="A831">
    <cfRule type="duplicateValues" dxfId="10175" priority="13339" stopIfTrue="1"/>
  </conditionalFormatting>
  <conditionalFormatting sqref="A837 A839 A841">
    <cfRule type="duplicateValues" dxfId="10174" priority="13323" stopIfTrue="1"/>
  </conditionalFormatting>
  <conditionalFormatting sqref="A837 A839 A841">
    <cfRule type="duplicateValues" dxfId="10173" priority="13322" stopIfTrue="1"/>
  </conditionalFormatting>
  <conditionalFormatting sqref="A837">
    <cfRule type="duplicateValues" dxfId="10172" priority="13321" stopIfTrue="1"/>
  </conditionalFormatting>
  <conditionalFormatting sqref="A837">
    <cfRule type="duplicateValues" dxfId="10171" priority="13320" stopIfTrue="1"/>
  </conditionalFormatting>
  <conditionalFormatting sqref="A837">
    <cfRule type="duplicateValues" dxfId="10170" priority="13319" stopIfTrue="1"/>
  </conditionalFormatting>
  <conditionalFormatting sqref="A837">
    <cfRule type="duplicateValues" dxfId="10169" priority="13318" stopIfTrue="1"/>
  </conditionalFormatting>
  <conditionalFormatting sqref="A837">
    <cfRule type="duplicateValues" dxfId="10168" priority="13317" stopIfTrue="1"/>
  </conditionalFormatting>
  <conditionalFormatting sqref="A837">
    <cfRule type="duplicateValues" dxfId="10167" priority="13316" stopIfTrue="1"/>
  </conditionalFormatting>
  <conditionalFormatting sqref="A837">
    <cfRule type="duplicateValues" dxfId="10166" priority="13315" stopIfTrue="1"/>
  </conditionalFormatting>
  <conditionalFormatting sqref="A837">
    <cfRule type="duplicateValues" dxfId="10165" priority="13314" stopIfTrue="1"/>
  </conditionalFormatting>
  <conditionalFormatting sqref="A837">
    <cfRule type="duplicateValues" dxfId="10164" priority="13313" stopIfTrue="1"/>
  </conditionalFormatting>
  <conditionalFormatting sqref="A837">
    <cfRule type="duplicateValues" dxfId="10163" priority="13312" stopIfTrue="1"/>
  </conditionalFormatting>
  <conditionalFormatting sqref="A837">
    <cfRule type="duplicateValues" dxfId="10162" priority="13311" stopIfTrue="1"/>
  </conditionalFormatting>
  <conditionalFormatting sqref="A837">
    <cfRule type="duplicateValues" dxfId="10161" priority="13310" stopIfTrue="1"/>
  </conditionalFormatting>
  <conditionalFormatting sqref="A837">
    <cfRule type="duplicateValues" dxfId="10160" priority="13309" stopIfTrue="1"/>
  </conditionalFormatting>
  <conditionalFormatting sqref="A843 A845 A847">
    <cfRule type="duplicateValues" dxfId="10159" priority="13293" stopIfTrue="1"/>
  </conditionalFormatting>
  <conditionalFormatting sqref="A843 A845 A847">
    <cfRule type="duplicateValues" dxfId="10158" priority="13292" stopIfTrue="1"/>
  </conditionalFormatting>
  <conditionalFormatting sqref="A843">
    <cfRule type="duplicateValues" dxfId="10157" priority="13291" stopIfTrue="1"/>
  </conditionalFormatting>
  <conditionalFormatting sqref="A843">
    <cfRule type="duplicateValues" dxfId="10156" priority="13290" stopIfTrue="1"/>
  </conditionalFormatting>
  <conditionalFormatting sqref="A843">
    <cfRule type="duplicateValues" dxfId="10155" priority="13289" stopIfTrue="1"/>
  </conditionalFormatting>
  <conditionalFormatting sqref="A843">
    <cfRule type="duplicateValues" dxfId="10154" priority="13288" stopIfTrue="1"/>
  </conditionalFormatting>
  <conditionalFormatting sqref="A843">
    <cfRule type="duplicateValues" dxfId="10153" priority="13287" stopIfTrue="1"/>
  </conditionalFormatting>
  <conditionalFormatting sqref="A843">
    <cfRule type="duplicateValues" dxfId="10152" priority="13286" stopIfTrue="1"/>
  </conditionalFormatting>
  <conditionalFormatting sqref="A843">
    <cfRule type="duplicateValues" dxfId="10151" priority="13285" stopIfTrue="1"/>
  </conditionalFormatting>
  <conditionalFormatting sqref="A843">
    <cfRule type="duplicateValues" dxfId="10150" priority="13284" stopIfTrue="1"/>
  </conditionalFormatting>
  <conditionalFormatting sqref="A843">
    <cfRule type="duplicateValues" dxfId="10149" priority="13283" stopIfTrue="1"/>
  </conditionalFormatting>
  <conditionalFormatting sqref="A843">
    <cfRule type="duplicateValues" dxfId="10148" priority="13282" stopIfTrue="1"/>
  </conditionalFormatting>
  <conditionalFormatting sqref="A843">
    <cfRule type="duplicateValues" dxfId="10147" priority="13281" stopIfTrue="1"/>
  </conditionalFormatting>
  <conditionalFormatting sqref="A843">
    <cfRule type="duplicateValues" dxfId="10146" priority="13280" stopIfTrue="1"/>
  </conditionalFormatting>
  <conditionalFormatting sqref="A843">
    <cfRule type="duplicateValues" dxfId="10145" priority="13279" stopIfTrue="1"/>
  </conditionalFormatting>
  <conditionalFormatting sqref="A849 A851 A853">
    <cfRule type="duplicateValues" dxfId="10144" priority="13263" stopIfTrue="1"/>
  </conditionalFormatting>
  <conditionalFormatting sqref="A849 A851 A853">
    <cfRule type="duplicateValues" dxfId="10143" priority="13262" stopIfTrue="1"/>
  </conditionalFormatting>
  <conditionalFormatting sqref="A849">
    <cfRule type="duplicateValues" dxfId="10142" priority="13261" stopIfTrue="1"/>
  </conditionalFormatting>
  <conditionalFormatting sqref="A849">
    <cfRule type="duplicateValues" dxfId="10141" priority="13260" stopIfTrue="1"/>
  </conditionalFormatting>
  <conditionalFormatting sqref="A849">
    <cfRule type="duplicateValues" dxfId="10140" priority="13259" stopIfTrue="1"/>
  </conditionalFormatting>
  <conditionalFormatting sqref="A849">
    <cfRule type="duplicateValues" dxfId="10139" priority="13258" stopIfTrue="1"/>
  </conditionalFormatting>
  <conditionalFormatting sqref="A849">
    <cfRule type="duplicateValues" dxfId="10138" priority="13257" stopIfTrue="1"/>
  </conditionalFormatting>
  <conditionalFormatting sqref="A849">
    <cfRule type="duplicateValues" dxfId="10137" priority="13256" stopIfTrue="1"/>
  </conditionalFormatting>
  <conditionalFormatting sqref="A849">
    <cfRule type="duplicateValues" dxfId="10136" priority="13255" stopIfTrue="1"/>
  </conditionalFormatting>
  <conditionalFormatting sqref="A849">
    <cfRule type="duplicateValues" dxfId="10135" priority="13254" stopIfTrue="1"/>
  </conditionalFormatting>
  <conditionalFormatting sqref="A849">
    <cfRule type="duplicateValues" dxfId="10134" priority="13253" stopIfTrue="1"/>
  </conditionalFormatting>
  <conditionalFormatting sqref="A849">
    <cfRule type="duplicateValues" dxfId="10133" priority="13252" stopIfTrue="1"/>
  </conditionalFormatting>
  <conditionalFormatting sqref="A849">
    <cfRule type="duplicateValues" dxfId="10132" priority="13251" stopIfTrue="1"/>
  </conditionalFormatting>
  <conditionalFormatting sqref="A849">
    <cfRule type="duplicateValues" dxfId="10131" priority="13250" stopIfTrue="1"/>
  </conditionalFormatting>
  <conditionalFormatting sqref="A849">
    <cfRule type="duplicateValues" dxfId="10130" priority="13249" stopIfTrue="1"/>
  </conditionalFormatting>
  <conditionalFormatting sqref="A855 A857 A859">
    <cfRule type="duplicateValues" dxfId="10129" priority="13233" stopIfTrue="1"/>
  </conditionalFormatting>
  <conditionalFormatting sqref="A855 A857 A859">
    <cfRule type="duplicateValues" dxfId="10128" priority="13232" stopIfTrue="1"/>
  </conditionalFormatting>
  <conditionalFormatting sqref="A855">
    <cfRule type="duplicateValues" dxfId="10127" priority="13231" stopIfTrue="1"/>
  </conditionalFormatting>
  <conditionalFormatting sqref="A855">
    <cfRule type="duplicateValues" dxfId="10126" priority="13230" stopIfTrue="1"/>
  </conditionalFormatting>
  <conditionalFormatting sqref="A855">
    <cfRule type="duplicateValues" dxfId="10125" priority="13229" stopIfTrue="1"/>
  </conditionalFormatting>
  <conditionalFormatting sqref="A855">
    <cfRule type="duplicateValues" dxfId="10124" priority="13228" stopIfTrue="1"/>
  </conditionalFormatting>
  <conditionalFormatting sqref="A855">
    <cfRule type="duplicateValues" dxfId="10123" priority="13227" stopIfTrue="1"/>
  </conditionalFormatting>
  <conditionalFormatting sqref="A855">
    <cfRule type="duplicateValues" dxfId="10122" priority="13226" stopIfTrue="1"/>
  </conditionalFormatting>
  <conditionalFormatting sqref="A855">
    <cfRule type="duplicateValues" dxfId="10121" priority="13225" stopIfTrue="1"/>
  </conditionalFormatting>
  <conditionalFormatting sqref="A855">
    <cfRule type="duplicateValues" dxfId="10120" priority="13224" stopIfTrue="1"/>
  </conditionalFormatting>
  <conditionalFormatting sqref="A855">
    <cfRule type="duplicateValues" dxfId="10119" priority="13223" stopIfTrue="1"/>
  </conditionalFormatting>
  <conditionalFormatting sqref="A855">
    <cfRule type="duplicateValues" dxfId="10118" priority="13222" stopIfTrue="1"/>
  </conditionalFormatting>
  <conditionalFormatting sqref="A855">
    <cfRule type="duplicateValues" dxfId="10117" priority="13221" stopIfTrue="1"/>
  </conditionalFormatting>
  <conditionalFormatting sqref="A855">
    <cfRule type="duplicateValues" dxfId="10116" priority="13220" stopIfTrue="1"/>
  </conditionalFormatting>
  <conditionalFormatting sqref="A855">
    <cfRule type="duplicateValues" dxfId="10115" priority="13219" stopIfTrue="1"/>
  </conditionalFormatting>
  <conditionalFormatting sqref="A861 A863">
    <cfRule type="duplicateValues" dxfId="10114" priority="13203" stopIfTrue="1"/>
  </conditionalFormatting>
  <conditionalFormatting sqref="A861 A863">
    <cfRule type="duplicateValues" dxfId="10113" priority="13202" stopIfTrue="1"/>
  </conditionalFormatting>
  <conditionalFormatting sqref="A861">
    <cfRule type="duplicateValues" dxfId="10112" priority="13201" stopIfTrue="1"/>
  </conditionalFormatting>
  <conditionalFormatting sqref="A861">
    <cfRule type="duplicateValues" dxfId="10111" priority="13200" stopIfTrue="1"/>
  </conditionalFormatting>
  <conditionalFormatting sqref="A861">
    <cfRule type="duplicateValues" dxfId="10110" priority="13199" stopIfTrue="1"/>
  </conditionalFormatting>
  <conditionalFormatting sqref="A861">
    <cfRule type="duplicateValues" dxfId="10109" priority="13198" stopIfTrue="1"/>
  </conditionalFormatting>
  <conditionalFormatting sqref="A861">
    <cfRule type="duplicateValues" dxfId="10108" priority="13197" stopIfTrue="1"/>
  </conditionalFormatting>
  <conditionalFormatting sqref="A861">
    <cfRule type="duplicateValues" dxfId="10107" priority="13196" stopIfTrue="1"/>
  </conditionalFormatting>
  <conditionalFormatting sqref="A861">
    <cfRule type="duplicateValues" dxfId="10106" priority="13195" stopIfTrue="1"/>
  </conditionalFormatting>
  <conditionalFormatting sqref="A861">
    <cfRule type="duplicateValues" dxfId="10105" priority="13194" stopIfTrue="1"/>
  </conditionalFormatting>
  <conditionalFormatting sqref="A861">
    <cfRule type="duplicateValues" dxfId="10104" priority="13193" stopIfTrue="1"/>
  </conditionalFormatting>
  <conditionalFormatting sqref="A861">
    <cfRule type="duplicateValues" dxfId="10103" priority="13192" stopIfTrue="1"/>
  </conditionalFormatting>
  <conditionalFormatting sqref="A861">
    <cfRule type="duplicateValues" dxfId="10102" priority="13191" stopIfTrue="1"/>
  </conditionalFormatting>
  <conditionalFormatting sqref="A861">
    <cfRule type="duplicateValues" dxfId="10101" priority="13190" stopIfTrue="1"/>
  </conditionalFormatting>
  <conditionalFormatting sqref="A861">
    <cfRule type="duplicateValues" dxfId="10100" priority="13189" stopIfTrue="1"/>
  </conditionalFormatting>
  <conditionalFormatting sqref="A867 A869 A871">
    <cfRule type="duplicateValues" dxfId="10099" priority="13173" stopIfTrue="1"/>
  </conditionalFormatting>
  <conditionalFormatting sqref="A867 A869 A871">
    <cfRule type="duplicateValues" dxfId="10098" priority="13172" stopIfTrue="1"/>
  </conditionalFormatting>
  <conditionalFormatting sqref="A867">
    <cfRule type="duplicateValues" dxfId="10097" priority="13171" stopIfTrue="1"/>
  </conditionalFormatting>
  <conditionalFormatting sqref="A867">
    <cfRule type="duplicateValues" dxfId="10096" priority="13170" stopIfTrue="1"/>
  </conditionalFormatting>
  <conditionalFormatting sqref="A867">
    <cfRule type="duplicateValues" dxfId="10095" priority="13169" stopIfTrue="1"/>
  </conditionalFormatting>
  <conditionalFormatting sqref="A867">
    <cfRule type="duplicateValues" dxfId="10094" priority="13168" stopIfTrue="1"/>
  </conditionalFormatting>
  <conditionalFormatting sqref="A867">
    <cfRule type="duplicateValues" dxfId="10093" priority="13167" stopIfTrue="1"/>
  </conditionalFormatting>
  <conditionalFormatting sqref="A867">
    <cfRule type="duplicateValues" dxfId="10092" priority="13166" stopIfTrue="1"/>
  </conditionalFormatting>
  <conditionalFormatting sqref="A867">
    <cfRule type="duplicateValues" dxfId="10091" priority="13165" stopIfTrue="1"/>
  </conditionalFormatting>
  <conditionalFormatting sqref="A867">
    <cfRule type="duplicateValues" dxfId="10090" priority="13164" stopIfTrue="1"/>
  </conditionalFormatting>
  <conditionalFormatting sqref="A867">
    <cfRule type="duplicateValues" dxfId="10089" priority="13163" stopIfTrue="1"/>
  </conditionalFormatting>
  <conditionalFormatting sqref="A867">
    <cfRule type="duplicateValues" dxfId="10088" priority="13162" stopIfTrue="1"/>
  </conditionalFormatting>
  <conditionalFormatting sqref="A867">
    <cfRule type="duplicateValues" dxfId="10087" priority="13161" stopIfTrue="1"/>
  </conditionalFormatting>
  <conditionalFormatting sqref="A867">
    <cfRule type="duplicateValues" dxfId="10086" priority="13160" stopIfTrue="1"/>
  </conditionalFormatting>
  <conditionalFormatting sqref="A867">
    <cfRule type="duplicateValues" dxfId="10085" priority="13159" stopIfTrue="1"/>
  </conditionalFormatting>
  <conditionalFormatting sqref="A873 A875 A877">
    <cfRule type="duplicateValues" dxfId="10084" priority="13158" stopIfTrue="1"/>
  </conditionalFormatting>
  <conditionalFormatting sqref="A873 A875 A877">
    <cfRule type="duplicateValues" dxfId="10083" priority="13157" stopIfTrue="1"/>
  </conditionalFormatting>
  <conditionalFormatting sqref="A873">
    <cfRule type="duplicateValues" dxfId="10082" priority="13156" stopIfTrue="1"/>
  </conditionalFormatting>
  <conditionalFormatting sqref="A873">
    <cfRule type="duplicateValues" dxfId="10081" priority="13155" stopIfTrue="1"/>
  </conditionalFormatting>
  <conditionalFormatting sqref="A873">
    <cfRule type="duplicateValues" dxfId="10080" priority="13154" stopIfTrue="1"/>
  </conditionalFormatting>
  <conditionalFormatting sqref="A873">
    <cfRule type="duplicateValues" dxfId="10079" priority="13153" stopIfTrue="1"/>
  </conditionalFormatting>
  <conditionalFormatting sqref="A873">
    <cfRule type="duplicateValues" dxfId="10078" priority="13152" stopIfTrue="1"/>
  </conditionalFormatting>
  <conditionalFormatting sqref="A873">
    <cfRule type="duplicateValues" dxfId="10077" priority="13151" stopIfTrue="1"/>
  </conditionalFormatting>
  <conditionalFormatting sqref="A873">
    <cfRule type="duplicateValues" dxfId="10076" priority="13150" stopIfTrue="1"/>
  </conditionalFormatting>
  <conditionalFormatting sqref="A873">
    <cfRule type="duplicateValues" dxfId="10075" priority="13149" stopIfTrue="1"/>
  </conditionalFormatting>
  <conditionalFormatting sqref="A873">
    <cfRule type="duplicateValues" dxfId="10074" priority="13148" stopIfTrue="1"/>
  </conditionalFormatting>
  <conditionalFormatting sqref="A873">
    <cfRule type="duplicateValues" dxfId="10073" priority="13147" stopIfTrue="1"/>
  </conditionalFormatting>
  <conditionalFormatting sqref="A873">
    <cfRule type="duplicateValues" dxfId="10072" priority="13146" stopIfTrue="1"/>
  </conditionalFormatting>
  <conditionalFormatting sqref="A873">
    <cfRule type="duplicateValues" dxfId="10071" priority="13145" stopIfTrue="1"/>
  </conditionalFormatting>
  <conditionalFormatting sqref="A873">
    <cfRule type="duplicateValues" dxfId="10070" priority="13144" stopIfTrue="1"/>
  </conditionalFormatting>
  <conditionalFormatting sqref="A879 A881 A883">
    <cfRule type="duplicateValues" dxfId="10069" priority="13143" stopIfTrue="1"/>
  </conditionalFormatting>
  <conditionalFormatting sqref="A879 A881 A883">
    <cfRule type="duplicateValues" dxfId="10068" priority="13142" stopIfTrue="1"/>
  </conditionalFormatting>
  <conditionalFormatting sqref="A879">
    <cfRule type="duplicateValues" dxfId="10067" priority="13141" stopIfTrue="1"/>
  </conditionalFormatting>
  <conditionalFormatting sqref="A879">
    <cfRule type="duplicateValues" dxfId="10066" priority="13140" stopIfTrue="1"/>
  </conditionalFormatting>
  <conditionalFormatting sqref="A879">
    <cfRule type="duplicateValues" dxfId="10065" priority="13139" stopIfTrue="1"/>
  </conditionalFormatting>
  <conditionalFormatting sqref="A879">
    <cfRule type="duplicateValues" dxfId="10064" priority="13138" stopIfTrue="1"/>
  </conditionalFormatting>
  <conditionalFormatting sqref="A879">
    <cfRule type="duplicateValues" dxfId="10063" priority="13137" stopIfTrue="1"/>
  </conditionalFormatting>
  <conditionalFormatting sqref="A879">
    <cfRule type="duplicateValues" dxfId="10062" priority="13136" stopIfTrue="1"/>
  </conditionalFormatting>
  <conditionalFormatting sqref="A879">
    <cfRule type="duplicateValues" dxfId="10061" priority="13135" stopIfTrue="1"/>
  </conditionalFormatting>
  <conditionalFormatting sqref="A879">
    <cfRule type="duplicateValues" dxfId="10060" priority="13134" stopIfTrue="1"/>
  </conditionalFormatting>
  <conditionalFormatting sqref="A879">
    <cfRule type="duplicateValues" dxfId="10059" priority="13133" stopIfTrue="1"/>
  </conditionalFormatting>
  <conditionalFormatting sqref="A879">
    <cfRule type="duplicateValues" dxfId="10058" priority="13132" stopIfTrue="1"/>
  </conditionalFormatting>
  <conditionalFormatting sqref="A879">
    <cfRule type="duplicateValues" dxfId="10057" priority="13131" stopIfTrue="1"/>
  </conditionalFormatting>
  <conditionalFormatting sqref="A879">
    <cfRule type="duplicateValues" dxfId="10056" priority="13130" stopIfTrue="1"/>
  </conditionalFormatting>
  <conditionalFormatting sqref="A879">
    <cfRule type="duplicateValues" dxfId="10055" priority="13129" stopIfTrue="1"/>
  </conditionalFormatting>
  <conditionalFormatting sqref="A885 A887 A889">
    <cfRule type="duplicateValues" dxfId="10054" priority="13128" stopIfTrue="1"/>
  </conditionalFormatting>
  <conditionalFormatting sqref="A885 A887 A889">
    <cfRule type="duplicateValues" dxfId="10053" priority="13127" stopIfTrue="1"/>
  </conditionalFormatting>
  <conditionalFormatting sqref="A885">
    <cfRule type="duplicateValues" dxfId="10052" priority="13126" stopIfTrue="1"/>
  </conditionalFormatting>
  <conditionalFormatting sqref="A885">
    <cfRule type="duplicateValues" dxfId="10051" priority="13125" stopIfTrue="1"/>
  </conditionalFormatting>
  <conditionalFormatting sqref="A885">
    <cfRule type="duplicateValues" dxfId="10050" priority="13124" stopIfTrue="1"/>
  </conditionalFormatting>
  <conditionalFormatting sqref="A885">
    <cfRule type="duplicateValues" dxfId="10049" priority="13123" stopIfTrue="1"/>
  </conditionalFormatting>
  <conditionalFormatting sqref="A885">
    <cfRule type="duplicateValues" dxfId="10048" priority="13122" stopIfTrue="1"/>
  </conditionalFormatting>
  <conditionalFormatting sqref="A885">
    <cfRule type="duplicateValues" dxfId="10047" priority="13121" stopIfTrue="1"/>
  </conditionalFormatting>
  <conditionalFormatting sqref="A885">
    <cfRule type="duplicateValues" dxfId="10046" priority="13120" stopIfTrue="1"/>
  </conditionalFormatting>
  <conditionalFormatting sqref="A885">
    <cfRule type="duplicateValues" dxfId="10045" priority="13119" stopIfTrue="1"/>
  </conditionalFormatting>
  <conditionalFormatting sqref="A885">
    <cfRule type="duplicateValues" dxfId="10044" priority="13118" stopIfTrue="1"/>
  </conditionalFormatting>
  <conditionalFormatting sqref="A885">
    <cfRule type="duplicateValues" dxfId="10043" priority="13117" stopIfTrue="1"/>
  </conditionalFormatting>
  <conditionalFormatting sqref="A885">
    <cfRule type="duplicateValues" dxfId="10042" priority="13116" stopIfTrue="1"/>
  </conditionalFormatting>
  <conditionalFormatting sqref="A885">
    <cfRule type="duplicateValues" dxfId="10041" priority="13115" stopIfTrue="1"/>
  </conditionalFormatting>
  <conditionalFormatting sqref="A885">
    <cfRule type="duplicateValues" dxfId="10040" priority="13114" stopIfTrue="1"/>
  </conditionalFormatting>
  <conditionalFormatting sqref="A891 A893 A895">
    <cfRule type="duplicateValues" dxfId="10039" priority="13113" stopIfTrue="1"/>
  </conditionalFormatting>
  <conditionalFormatting sqref="A891 A893 A895">
    <cfRule type="duplicateValues" dxfId="10038" priority="13112" stopIfTrue="1"/>
  </conditionalFormatting>
  <conditionalFormatting sqref="A891">
    <cfRule type="duplicateValues" dxfId="10037" priority="13111" stopIfTrue="1"/>
  </conditionalFormatting>
  <conditionalFormatting sqref="A891">
    <cfRule type="duplicateValues" dxfId="10036" priority="13110" stopIfTrue="1"/>
  </conditionalFormatting>
  <conditionalFormatting sqref="A891">
    <cfRule type="duplicateValues" dxfId="10035" priority="13109" stopIfTrue="1"/>
  </conditionalFormatting>
  <conditionalFormatting sqref="A891">
    <cfRule type="duplicateValues" dxfId="10034" priority="13108" stopIfTrue="1"/>
  </conditionalFormatting>
  <conditionalFormatting sqref="A891">
    <cfRule type="duplicateValues" dxfId="10033" priority="13107" stopIfTrue="1"/>
  </conditionalFormatting>
  <conditionalFormatting sqref="A891">
    <cfRule type="duplicateValues" dxfId="10032" priority="13106" stopIfTrue="1"/>
  </conditionalFormatting>
  <conditionalFormatting sqref="A891">
    <cfRule type="duplicateValues" dxfId="10031" priority="13105" stopIfTrue="1"/>
  </conditionalFormatting>
  <conditionalFormatting sqref="A891">
    <cfRule type="duplicateValues" dxfId="10030" priority="13104" stopIfTrue="1"/>
  </conditionalFormatting>
  <conditionalFormatting sqref="A891">
    <cfRule type="duplicateValues" dxfId="10029" priority="13103" stopIfTrue="1"/>
  </conditionalFormatting>
  <conditionalFormatting sqref="A891">
    <cfRule type="duplicateValues" dxfId="10028" priority="13102" stopIfTrue="1"/>
  </conditionalFormatting>
  <conditionalFormatting sqref="A891">
    <cfRule type="duplicateValues" dxfId="10027" priority="13101" stopIfTrue="1"/>
  </conditionalFormatting>
  <conditionalFormatting sqref="A891">
    <cfRule type="duplicateValues" dxfId="10026" priority="13100" stopIfTrue="1"/>
  </conditionalFormatting>
  <conditionalFormatting sqref="A891">
    <cfRule type="duplicateValues" dxfId="10025" priority="13099" stopIfTrue="1"/>
  </conditionalFormatting>
  <conditionalFormatting sqref="A897 A899 A901">
    <cfRule type="duplicateValues" dxfId="10024" priority="13098" stopIfTrue="1"/>
  </conditionalFormatting>
  <conditionalFormatting sqref="A897 A899 A901">
    <cfRule type="duplicateValues" dxfId="10023" priority="13097" stopIfTrue="1"/>
  </conditionalFormatting>
  <conditionalFormatting sqref="A897">
    <cfRule type="duplicateValues" dxfId="10022" priority="13096" stopIfTrue="1"/>
  </conditionalFormatting>
  <conditionalFormatting sqref="A897">
    <cfRule type="duplicateValues" dxfId="10021" priority="13095" stopIfTrue="1"/>
  </conditionalFormatting>
  <conditionalFormatting sqref="A897">
    <cfRule type="duplicateValues" dxfId="10020" priority="13094" stopIfTrue="1"/>
  </conditionalFormatting>
  <conditionalFormatting sqref="A897">
    <cfRule type="duplicateValues" dxfId="10019" priority="13093" stopIfTrue="1"/>
  </conditionalFormatting>
  <conditionalFormatting sqref="A897">
    <cfRule type="duplicateValues" dxfId="10018" priority="13092" stopIfTrue="1"/>
  </conditionalFormatting>
  <conditionalFormatting sqref="A897">
    <cfRule type="duplicateValues" dxfId="10017" priority="13091" stopIfTrue="1"/>
  </conditionalFormatting>
  <conditionalFormatting sqref="A897">
    <cfRule type="duplicateValues" dxfId="10016" priority="13090" stopIfTrue="1"/>
  </conditionalFormatting>
  <conditionalFormatting sqref="A897">
    <cfRule type="duplicateValues" dxfId="10015" priority="13089" stopIfTrue="1"/>
  </conditionalFormatting>
  <conditionalFormatting sqref="A897">
    <cfRule type="duplicateValues" dxfId="10014" priority="13088" stopIfTrue="1"/>
  </conditionalFormatting>
  <conditionalFormatting sqref="A897">
    <cfRule type="duplicateValues" dxfId="10013" priority="13087" stopIfTrue="1"/>
  </conditionalFormatting>
  <conditionalFormatting sqref="A897">
    <cfRule type="duplicateValues" dxfId="10012" priority="13086" stopIfTrue="1"/>
  </conditionalFormatting>
  <conditionalFormatting sqref="A897">
    <cfRule type="duplicateValues" dxfId="10011" priority="13085" stopIfTrue="1"/>
  </conditionalFormatting>
  <conditionalFormatting sqref="A897">
    <cfRule type="duplicateValues" dxfId="10010" priority="13084" stopIfTrue="1"/>
  </conditionalFormatting>
  <conditionalFormatting sqref="A903 A905 A907">
    <cfRule type="duplicateValues" dxfId="10009" priority="13083" stopIfTrue="1"/>
  </conditionalFormatting>
  <conditionalFormatting sqref="A903 A905 A907">
    <cfRule type="duplicateValues" dxfId="10008" priority="13082" stopIfTrue="1"/>
  </conditionalFormatting>
  <conditionalFormatting sqref="A903">
    <cfRule type="duplicateValues" dxfId="10007" priority="13081" stopIfTrue="1"/>
  </conditionalFormatting>
  <conditionalFormatting sqref="A903">
    <cfRule type="duplicateValues" dxfId="10006" priority="13080" stopIfTrue="1"/>
  </conditionalFormatting>
  <conditionalFormatting sqref="A903">
    <cfRule type="duplicateValues" dxfId="10005" priority="13079" stopIfTrue="1"/>
  </conditionalFormatting>
  <conditionalFormatting sqref="A903">
    <cfRule type="duplicateValues" dxfId="10004" priority="13078" stopIfTrue="1"/>
  </conditionalFormatting>
  <conditionalFormatting sqref="A903">
    <cfRule type="duplicateValues" dxfId="10003" priority="13077" stopIfTrue="1"/>
  </conditionalFormatting>
  <conditionalFormatting sqref="A903">
    <cfRule type="duplicateValues" dxfId="10002" priority="13076" stopIfTrue="1"/>
  </conditionalFormatting>
  <conditionalFormatting sqref="A903">
    <cfRule type="duplicateValues" dxfId="10001" priority="13075" stopIfTrue="1"/>
  </conditionalFormatting>
  <conditionalFormatting sqref="A903">
    <cfRule type="duplicateValues" dxfId="10000" priority="13074" stopIfTrue="1"/>
  </conditionalFormatting>
  <conditionalFormatting sqref="A903">
    <cfRule type="duplicateValues" dxfId="9999" priority="13073" stopIfTrue="1"/>
  </conditionalFormatting>
  <conditionalFormatting sqref="A903">
    <cfRule type="duplicateValues" dxfId="9998" priority="13072" stopIfTrue="1"/>
  </conditionalFormatting>
  <conditionalFormatting sqref="A903">
    <cfRule type="duplicateValues" dxfId="9997" priority="13071" stopIfTrue="1"/>
  </conditionalFormatting>
  <conditionalFormatting sqref="A903">
    <cfRule type="duplicateValues" dxfId="9996" priority="13070" stopIfTrue="1"/>
  </conditionalFormatting>
  <conditionalFormatting sqref="A903">
    <cfRule type="duplicateValues" dxfId="9995" priority="13069" stopIfTrue="1"/>
  </conditionalFormatting>
  <conditionalFormatting sqref="A909 A911">
    <cfRule type="duplicateValues" dxfId="9994" priority="13068" stopIfTrue="1"/>
  </conditionalFormatting>
  <conditionalFormatting sqref="A909 A911">
    <cfRule type="duplicateValues" dxfId="9993" priority="13067" stopIfTrue="1"/>
  </conditionalFormatting>
  <conditionalFormatting sqref="A909">
    <cfRule type="duplicateValues" dxfId="9992" priority="13066" stopIfTrue="1"/>
  </conditionalFormatting>
  <conditionalFormatting sqref="A909">
    <cfRule type="duplicateValues" dxfId="9991" priority="13065" stopIfTrue="1"/>
  </conditionalFormatting>
  <conditionalFormatting sqref="A909">
    <cfRule type="duplicateValues" dxfId="9990" priority="13064" stopIfTrue="1"/>
  </conditionalFormatting>
  <conditionalFormatting sqref="A909">
    <cfRule type="duplicateValues" dxfId="9989" priority="13063" stopIfTrue="1"/>
  </conditionalFormatting>
  <conditionalFormatting sqref="A909">
    <cfRule type="duplicateValues" dxfId="9988" priority="13062" stopIfTrue="1"/>
  </conditionalFormatting>
  <conditionalFormatting sqref="A909">
    <cfRule type="duplicateValues" dxfId="9987" priority="13061" stopIfTrue="1"/>
  </conditionalFormatting>
  <conditionalFormatting sqref="A909">
    <cfRule type="duplicateValues" dxfId="9986" priority="13060" stopIfTrue="1"/>
  </conditionalFormatting>
  <conditionalFormatting sqref="A909">
    <cfRule type="duplicateValues" dxfId="9985" priority="13059" stopIfTrue="1"/>
  </conditionalFormatting>
  <conditionalFormatting sqref="A909">
    <cfRule type="duplicateValues" dxfId="9984" priority="13058" stopIfTrue="1"/>
  </conditionalFormatting>
  <conditionalFormatting sqref="A909">
    <cfRule type="duplicateValues" dxfId="9983" priority="13057" stopIfTrue="1"/>
  </conditionalFormatting>
  <conditionalFormatting sqref="A909">
    <cfRule type="duplicateValues" dxfId="9982" priority="13056" stopIfTrue="1"/>
  </conditionalFormatting>
  <conditionalFormatting sqref="A909">
    <cfRule type="duplicateValues" dxfId="9981" priority="13055" stopIfTrue="1"/>
  </conditionalFormatting>
  <conditionalFormatting sqref="A909">
    <cfRule type="duplicateValues" dxfId="9980" priority="13054" stopIfTrue="1"/>
  </conditionalFormatting>
  <conditionalFormatting sqref="A913">
    <cfRule type="duplicateValues" dxfId="9979" priority="13053" stopIfTrue="1"/>
  </conditionalFormatting>
  <conditionalFormatting sqref="A913">
    <cfRule type="duplicateValues" dxfId="9978" priority="13052" stopIfTrue="1"/>
  </conditionalFormatting>
  <conditionalFormatting sqref="A913">
    <cfRule type="duplicateValues" dxfId="9977" priority="13051" stopIfTrue="1"/>
  </conditionalFormatting>
  <conditionalFormatting sqref="A913">
    <cfRule type="duplicateValues" dxfId="9976" priority="13050" stopIfTrue="1"/>
  </conditionalFormatting>
  <conditionalFormatting sqref="A913">
    <cfRule type="duplicateValues" dxfId="9975" priority="13049" stopIfTrue="1"/>
  </conditionalFormatting>
  <conditionalFormatting sqref="A913">
    <cfRule type="duplicateValues" dxfId="9974" priority="13048" stopIfTrue="1"/>
  </conditionalFormatting>
  <conditionalFormatting sqref="A913">
    <cfRule type="duplicateValues" dxfId="9973" priority="13047" stopIfTrue="1"/>
  </conditionalFormatting>
  <conditionalFormatting sqref="A913">
    <cfRule type="duplicateValues" dxfId="9972" priority="13046" stopIfTrue="1"/>
  </conditionalFormatting>
  <conditionalFormatting sqref="A913">
    <cfRule type="duplicateValues" dxfId="9971" priority="13045" stopIfTrue="1"/>
  </conditionalFormatting>
  <conditionalFormatting sqref="A913">
    <cfRule type="duplicateValues" dxfId="9970" priority="13044" stopIfTrue="1"/>
  </conditionalFormatting>
  <conditionalFormatting sqref="A913">
    <cfRule type="duplicateValues" dxfId="9969" priority="13043" stopIfTrue="1"/>
  </conditionalFormatting>
  <conditionalFormatting sqref="A913">
    <cfRule type="duplicateValues" dxfId="9968" priority="13042" stopIfTrue="1"/>
  </conditionalFormatting>
  <conditionalFormatting sqref="A913">
    <cfRule type="duplicateValues" dxfId="9967" priority="13041" stopIfTrue="1"/>
  </conditionalFormatting>
  <conditionalFormatting sqref="A913">
    <cfRule type="duplicateValues" dxfId="9966" priority="13040" stopIfTrue="1"/>
  </conditionalFormatting>
  <conditionalFormatting sqref="A913">
    <cfRule type="duplicateValues" dxfId="9965" priority="13039" stopIfTrue="1"/>
  </conditionalFormatting>
  <conditionalFormatting sqref="A915 A917 A919">
    <cfRule type="duplicateValues" dxfId="9964" priority="13038" stopIfTrue="1"/>
  </conditionalFormatting>
  <conditionalFormatting sqref="A915 A917 A919">
    <cfRule type="duplicateValues" dxfId="9963" priority="13037" stopIfTrue="1"/>
  </conditionalFormatting>
  <conditionalFormatting sqref="A915">
    <cfRule type="duplicateValues" dxfId="9962" priority="13036" stopIfTrue="1"/>
  </conditionalFormatting>
  <conditionalFormatting sqref="A915">
    <cfRule type="duplicateValues" dxfId="9961" priority="13035" stopIfTrue="1"/>
  </conditionalFormatting>
  <conditionalFormatting sqref="A915">
    <cfRule type="duplicateValues" dxfId="9960" priority="13034" stopIfTrue="1"/>
  </conditionalFormatting>
  <conditionalFormatting sqref="A915">
    <cfRule type="duplicateValues" dxfId="9959" priority="13033" stopIfTrue="1"/>
  </conditionalFormatting>
  <conditionalFormatting sqref="A915">
    <cfRule type="duplicateValues" dxfId="9958" priority="13032" stopIfTrue="1"/>
  </conditionalFormatting>
  <conditionalFormatting sqref="A915">
    <cfRule type="duplicateValues" dxfId="9957" priority="13031" stopIfTrue="1"/>
  </conditionalFormatting>
  <conditionalFormatting sqref="A915">
    <cfRule type="duplicateValues" dxfId="9956" priority="13030" stopIfTrue="1"/>
  </conditionalFormatting>
  <conditionalFormatting sqref="A915">
    <cfRule type="duplicateValues" dxfId="9955" priority="13029" stopIfTrue="1"/>
  </conditionalFormatting>
  <conditionalFormatting sqref="A915">
    <cfRule type="duplicateValues" dxfId="9954" priority="13028" stopIfTrue="1"/>
  </conditionalFormatting>
  <conditionalFormatting sqref="A915">
    <cfRule type="duplicateValues" dxfId="9953" priority="13027" stopIfTrue="1"/>
  </conditionalFormatting>
  <conditionalFormatting sqref="A915">
    <cfRule type="duplicateValues" dxfId="9952" priority="13026" stopIfTrue="1"/>
  </conditionalFormatting>
  <conditionalFormatting sqref="A915">
    <cfRule type="duplicateValues" dxfId="9951" priority="13025" stopIfTrue="1"/>
  </conditionalFormatting>
  <conditionalFormatting sqref="A915">
    <cfRule type="duplicateValues" dxfId="9950" priority="13024" stopIfTrue="1"/>
  </conditionalFormatting>
  <conditionalFormatting sqref="A921 A923 A925">
    <cfRule type="duplicateValues" dxfId="9949" priority="13023" stopIfTrue="1"/>
  </conditionalFormatting>
  <conditionalFormatting sqref="A921 A923 A925">
    <cfRule type="duplicateValues" dxfId="9948" priority="13022" stopIfTrue="1"/>
  </conditionalFormatting>
  <conditionalFormatting sqref="A921">
    <cfRule type="duplicateValues" dxfId="9947" priority="13021" stopIfTrue="1"/>
  </conditionalFormatting>
  <conditionalFormatting sqref="A921">
    <cfRule type="duplicateValues" dxfId="9946" priority="13020" stopIfTrue="1"/>
  </conditionalFormatting>
  <conditionalFormatting sqref="A921">
    <cfRule type="duplicateValues" dxfId="9945" priority="13019" stopIfTrue="1"/>
  </conditionalFormatting>
  <conditionalFormatting sqref="A921">
    <cfRule type="duplicateValues" dxfId="9944" priority="13018" stopIfTrue="1"/>
  </conditionalFormatting>
  <conditionalFormatting sqref="A921">
    <cfRule type="duplicateValues" dxfId="9943" priority="13017" stopIfTrue="1"/>
  </conditionalFormatting>
  <conditionalFormatting sqref="A921">
    <cfRule type="duplicateValues" dxfId="9942" priority="13016" stopIfTrue="1"/>
  </conditionalFormatting>
  <conditionalFormatting sqref="A921">
    <cfRule type="duplicateValues" dxfId="9941" priority="13015" stopIfTrue="1"/>
  </conditionalFormatting>
  <conditionalFormatting sqref="A921">
    <cfRule type="duplicateValues" dxfId="9940" priority="13014" stopIfTrue="1"/>
  </conditionalFormatting>
  <conditionalFormatting sqref="A921">
    <cfRule type="duplicateValues" dxfId="9939" priority="13013" stopIfTrue="1"/>
  </conditionalFormatting>
  <conditionalFormatting sqref="A921">
    <cfRule type="duplicateValues" dxfId="9938" priority="13012" stopIfTrue="1"/>
  </conditionalFormatting>
  <conditionalFormatting sqref="A921">
    <cfRule type="duplicateValues" dxfId="9937" priority="13011" stopIfTrue="1"/>
  </conditionalFormatting>
  <conditionalFormatting sqref="A921">
    <cfRule type="duplicateValues" dxfId="9936" priority="13010" stopIfTrue="1"/>
  </conditionalFormatting>
  <conditionalFormatting sqref="A921">
    <cfRule type="duplicateValues" dxfId="9935" priority="13009" stopIfTrue="1"/>
  </conditionalFormatting>
  <conditionalFormatting sqref="A927 A929 A931">
    <cfRule type="duplicateValues" dxfId="9934" priority="13008" stopIfTrue="1"/>
  </conditionalFormatting>
  <conditionalFormatting sqref="A927 A929 A931">
    <cfRule type="duplicateValues" dxfId="9933" priority="13007" stopIfTrue="1"/>
  </conditionalFormatting>
  <conditionalFormatting sqref="A927">
    <cfRule type="duplicateValues" dxfId="9932" priority="13006" stopIfTrue="1"/>
  </conditionalFormatting>
  <conditionalFormatting sqref="A927">
    <cfRule type="duplicateValues" dxfId="9931" priority="13005" stopIfTrue="1"/>
  </conditionalFormatting>
  <conditionalFormatting sqref="A927">
    <cfRule type="duplicateValues" dxfId="9930" priority="13004" stopIfTrue="1"/>
  </conditionalFormatting>
  <conditionalFormatting sqref="A927">
    <cfRule type="duplicateValues" dxfId="9929" priority="13003" stopIfTrue="1"/>
  </conditionalFormatting>
  <conditionalFormatting sqref="A927">
    <cfRule type="duplicateValues" dxfId="9928" priority="13002" stopIfTrue="1"/>
  </conditionalFormatting>
  <conditionalFormatting sqref="A927">
    <cfRule type="duplicateValues" dxfId="9927" priority="13001" stopIfTrue="1"/>
  </conditionalFormatting>
  <conditionalFormatting sqref="A927">
    <cfRule type="duplicateValues" dxfId="9926" priority="13000" stopIfTrue="1"/>
  </conditionalFormatting>
  <conditionalFormatting sqref="A927">
    <cfRule type="duplicateValues" dxfId="9925" priority="12999" stopIfTrue="1"/>
  </conditionalFormatting>
  <conditionalFormatting sqref="A927">
    <cfRule type="duplicateValues" dxfId="9924" priority="12998" stopIfTrue="1"/>
  </conditionalFormatting>
  <conditionalFormatting sqref="A927">
    <cfRule type="duplicateValues" dxfId="9923" priority="12997" stopIfTrue="1"/>
  </conditionalFormatting>
  <conditionalFormatting sqref="A927">
    <cfRule type="duplicateValues" dxfId="9922" priority="12996" stopIfTrue="1"/>
  </conditionalFormatting>
  <conditionalFormatting sqref="A927">
    <cfRule type="duplicateValues" dxfId="9921" priority="12995" stopIfTrue="1"/>
  </conditionalFormatting>
  <conditionalFormatting sqref="A927">
    <cfRule type="duplicateValues" dxfId="9920" priority="12994" stopIfTrue="1"/>
  </conditionalFormatting>
  <conditionalFormatting sqref="A933 A935 A937">
    <cfRule type="duplicateValues" dxfId="9919" priority="12993" stopIfTrue="1"/>
  </conditionalFormatting>
  <conditionalFormatting sqref="A933 A935 A937">
    <cfRule type="duplicateValues" dxfId="9918" priority="12992" stopIfTrue="1"/>
  </conditionalFormatting>
  <conditionalFormatting sqref="A933">
    <cfRule type="duplicateValues" dxfId="9917" priority="12991" stopIfTrue="1"/>
  </conditionalFormatting>
  <conditionalFormatting sqref="A933">
    <cfRule type="duplicateValues" dxfId="9916" priority="12990" stopIfTrue="1"/>
  </conditionalFormatting>
  <conditionalFormatting sqref="A933">
    <cfRule type="duplicateValues" dxfId="9915" priority="12989" stopIfTrue="1"/>
  </conditionalFormatting>
  <conditionalFormatting sqref="A933">
    <cfRule type="duplicateValues" dxfId="9914" priority="12988" stopIfTrue="1"/>
  </conditionalFormatting>
  <conditionalFormatting sqref="A933">
    <cfRule type="duplicateValues" dxfId="9913" priority="12987" stopIfTrue="1"/>
  </conditionalFormatting>
  <conditionalFormatting sqref="A933">
    <cfRule type="duplicateValues" dxfId="9912" priority="12986" stopIfTrue="1"/>
  </conditionalFormatting>
  <conditionalFormatting sqref="A933">
    <cfRule type="duplicateValues" dxfId="9911" priority="12985" stopIfTrue="1"/>
  </conditionalFormatting>
  <conditionalFormatting sqref="A933">
    <cfRule type="duplicateValues" dxfId="9910" priority="12984" stopIfTrue="1"/>
  </conditionalFormatting>
  <conditionalFormatting sqref="A933">
    <cfRule type="duplicateValues" dxfId="9909" priority="12983" stopIfTrue="1"/>
  </conditionalFormatting>
  <conditionalFormatting sqref="A933">
    <cfRule type="duplicateValues" dxfId="9908" priority="12982" stopIfTrue="1"/>
  </conditionalFormatting>
  <conditionalFormatting sqref="A933">
    <cfRule type="duplicateValues" dxfId="9907" priority="12981" stopIfTrue="1"/>
  </conditionalFormatting>
  <conditionalFormatting sqref="A933">
    <cfRule type="duplicateValues" dxfId="9906" priority="12980" stopIfTrue="1"/>
  </conditionalFormatting>
  <conditionalFormatting sqref="A933">
    <cfRule type="duplicateValues" dxfId="9905" priority="12979" stopIfTrue="1"/>
  </conditionalFormatting>
  <conditionalFormatting sqref="A939 A941">
    <cfRule type="duplicateValues" dxfId="9904" priority="12978" stopIfTrue="1"/>
  </conditionalFormatting>
  <conditionalFormatting sqref="A939 A941">
    <cfRule type="duplicateValues" dxfId="9903" priority="12977" stopIfTrue="1"/>
  </conditionalFormatting>
  <conditionalFormatting sqref="A939">
    <cfRule type="duplicateValues" dxfId="9902" priority="12976" stopIfTrue="1"/>
  </conditionalFormatting>
  <conditionalFormatting sqref="A939">
    <cfRule type="duplicateValues" dxfId="9901" priority="12975" stopIfTrue="1"/>
  </conditionalFormatting>
  <conditionalFormatting sqref="A939">
    <cfRule type="duplicateValues" dxfId="9900" priority="12974" stopIfTrue="1"/>
  </conditionalFormatting>
  <conditionalFormatting sqref="A939">
    <cfRule type="duplicateValues" dxfId="9899" priority="12973" stopIfTrue="1"/>
  </conditionalFormatting>
  <conditionalFormatting sqref="A939">
    <cfRule type="duplicateValues" dxfId="9898" priority="12972" stopIfTrue="1"/>
  </conditionalFormatting>
  <conditionalFormatting sqref="A939">
    <cfRule type="duplicateValues" dxfId="9897" priority="12971" stopIfTrue="1"/>
  </conditionalFormatting>
  <conditionalFormatting sqref="A939">
    <cfRule type="duplicateValues" dxfId="9896" priority="12970" stopIfTrue="1"/>
  </conditionalFormatting>
  <conditionalFormatting sqref="A939">
    <cfRule type="duplicateValues" dxfId="9895" priority="12969" stopIfTrue="1"/>
  </conditionalFormatting>
  <conditionalFormatting sqref="A939">
    <cfRule type="duplicateValues" dxfId="9894" priority="12968" stopIfTrue="1"/>
  </conditionalFormatting>
  <conditionalFormatting sqref="A939">
    <cfRule type="duplicateValues" dxfId="9893" priority="12967" stopIfTrue="1"/>
  </conditionalFormatting>
  <conditionalFormatting sqref="A939">
    <cfRule type="duplicateValues" dxfId="9892" priority="12966" stopIfTrue="1"/>
  </conditionalFormatting>
  <conditionalFormatting sqref="A939">
    <cfRule type="duplicateValues" dxfId="9891" priority="12965" stopIfTrue="1"/>
  </conditionalFormatting>
  <conditionalFormatting sqref="A939">
    <cfRule type="duplicateValues" dxfId="9890" priority="12964" stopIfTrue="1"/>
  </conditionalFormatting>
  <conditionalFormatting sqref="A943">
    <cfRule type="duplicateValues" dxfId="9889" priority="12963" stopIfTrue="1"/>
  </conditionalFormatting>
  <conditionalFormatting sqref="A943">
    <cfRule type="duplicateValues" dxfId="9888" priority="12962" stopIfTrue="1"/>
  </conditionalFormatting>
  <conditionalFormatting sqref="A943">
    <cfRule type="duplicateValues" dxfId="9887" priority="12961" stopIfTrue="1"/>
  </conditionalFormatting>
  <conditionalFormatting sqref="A943">
    <cfRule type="duplicateValues" dxfId="9886" priority="12960" stopIfTrue="1"/>
  </conditionalFormatting>
  <conditionalFormatting sqref="A943">
    <cfRule type="duplicateValues" dxfId="9885" priority="12959" stopIfTrue="1"/>
  </conditionalFormatting>
  <conditionalFormatting sqref="A943">
    <cfRule type="duplicateValues" dxfId="9884" priority="12958" stopIfTrue="1"/>
  </conditionalFormatting>
  <conditionalFormatting sqref="A943">
    <cfRule type="duplicateValues" dxfId="9883" priority="12957" stopIfTrue="1"/>
  </conditionalFormatting>
  <conditionalFormatting sqref="A943">
    <cfRule type="duplicateValues" dxfId="9882" priority="12956" stopIfTrue="1"/>
  </conditionalFormatting>
  <conditionalFormatting sqref="A943">
    <cfRule type="duplicateValues" dxfId="9881" priority="12955" stopIfTrue="1"/>
  </conditionalFormatting>
  <conditionalFormatting sqref="A943">
    <cfRule type="duplicateValues" dxfId="9880" priority="12954" stopIfTrue="1"/>
  </conditionalFormatting>
  <conditionalFormatting sqref="A943">
    <cfRule type="duplicateValues" dxfId="9879" priority="12953" stopIfTrue="1"/>
  </conditionalFormatting>
  <conditionalFormatting sqref="A943">
    <cfRule type="duplicateValues" dxfId="9878" priority="12952" stopIfTrue="1"/>
  </conditionalFormatting>
  <conditionalFormatting sqref="A943">
    <cfRule type="duplicateValues" dxfId="9877" priority="12951" stopIfTrue="1"/>
  </conditionalFormatting>
  <conditionalFormatting sqref="A943">
    <cfRule type="duplicateValues" dxfId="9876" priority="12950" stopIfTrue="1"/>
  </conditionalFormatting>
  <conditionalFormatting sqref="A943">
    <cfRule type="duplicateValues" dxfId="9875" priority="12949" stopIfTrue="1"/>
  </conditionalFormatting>
  <conditionalFormatting sqref="A945 A947 A949">
    <cfRule type="duplicateValues" dxfId="9874" priority="12948" stopIfTrue="1"/>
  </conditionalFormatting>
  <conditionalFormatting sqref="A945 A947 A949">
    <cfRule type="duplicateValues" dxfId="9873" priority="12947" stopIfTrue="1"/>
  </conditionalFormatting>
  <conditionalFormatting sqref="A945">
    <cfRule type="duplicateValues" dxfId="9872" priority="12946" stopIfTrue="1"/>
  </conditionalFormatting>
  <conditionalFormatting sqref="A945">
    <cfRule type="duplicateValues" dxfId="9871" priority="12945" stopIfTrue="1"/>
  </conditionalFormatting>
  <conditionalFormatting sqref="A945">
    <cfRule type="duplicateValues" dxfId="9870" priority="12944" stopIfTrue="1"/>
  </conditionalFormatting>
  <conditionalFormatting sqref="A945">
    <cfRule type="duplicateValues" dxfId="9869" priority="12943" stopIfTrue="1"/>
  </conditionalFormatting>
  <conditionalFormatting sqref="A945">
    <cfRule type="duplicateValues" dxfId="9868" priority="12942" stopIfTrue="1"/>
  </conditionalFormatting>
  <conditionalFormatting sqref="A945">
    <cfRule type="duplicateValues" dxfId="9867" priority="12941" stopIfTrue="1"/>
  </conditionalFormatting>
  <conditionalFormatting sqref="A945">
    <cfRule type="duplicateValues" dxfId="9866" priority="12940" stopIfTrue="1"/>
  </conditionalFormatting>
  <conditionalFormatting sqref="A945">
    <cfRule type="duplicateValues" dxfId="9865" priority="12939" stopIfTrue="1"/>
  </conditionalFormatting>
  <conditionalFormatting sqref="A945">
    <cfRule type="duplicateValues" dxfId="9864" priority="12938" stopIfTrue="1"/>
  </conditionalFormatting>
  <conditionalFormatting sqref="A945">
    <cfRule type="duplicateValues" dxfId="9863" priority="12937" stopIfTrue="1"/>
  </conditionalFormatting>
  <conditionalFormatting sqref="A945">
    <cfRule type="duplicateValues" dxfId="9862" priority="12936" stopIfTrue="1"/>
  </conditionalFormatting>
  <conditionalFormatting sqref="A945">
    <cfRule type="duplicateValues" dxfId="9861" priority="12935" stopIfTrue="1"/>
  </conditionalFormatting>
  <conditionalFormatting sqref="A945">
    <cfRule type="duplicateValues" dxfId="9860" priority="12934" stopIfTrue="1"/>
  </conditionalFormatting>
  <conditionalFormatting sqref="A951 A953 A955">
    <cfRule type="duplicateValues" dxfId="9859" priority="12918" stopIfTrue="1"/>
  </conditionalFormatting>
  <conditionalFormatting sqref="A951 A953 A955">
    <cfRule type="duplicateValues" dxfId="9858" priority="12917" stopIfTrue="1"/>
  </conditionalFormatting>
  <conditionalFormatting sqref="A951">
    <cfRule type="duplicateValues" dxfId="9857" priority="12916" stopIfTrue="1"/>
  </conditionalFormatting>
  <conditionalFormatting sqref="A951">
    <cfRule type="duplicateValues" dxfId="9856" priority="12915" stopIfTrue="1"/>
  </conditionalFormatting>
  <conditionalFormatting sqref="A951">
    <cfRule type="duplicateValues" dxfId="9855" priority="12914" stopIfTrue="1"/>
  </conditionalFormatting>
  <conditionalFormatting sqref="A951">
    <cfRule type="duplicateValues" dxfId="9854" priority="12913" stopIfTrue="1"/>
  </conditionalFormatting>
  <conditionalFormatting sqref="A951">
    <cfRule type="duplicateValues" dxfId="9853" priority="12912" stopIfTrue="1"/>
  </conditionalFormatting>
  <conditionalFormatting sqref="A951">
    <cfRule type="duplicateValues" dxfId="9852" priority="12911" stopIfTrue="1"/>
  </conditionalFormatting>
  <conditionalFormatting sqref="A951">
    <cfRule type="duplicateValues" dxfId="9851" priority="12910" stopIfTrue="1"/>
  </conditionalFormatting>
  <conditionalFormatting sqref="A951">
    <cfRule type="duplicateValues" dxfId="9850" priority="12909" stopIfTrue="1"/>
  </conditionalFormatting>
  <conditionalFormatting sqref="A951">
    <cfRule type="duplicateValues" dxfId="9849" priority="12908" stopIfTrue="1"/>
  </conditionalFormatting>
  <conditionalFormatting sqref="A951">
    <cfRule type="duplicateValues" dxfId="9848" priority="12907" stopIfTrue="1"/>
  </conditionalFormatting>
  <conditionalFormatting sqref="A951">
    <cfRule type="duplicateValues" dxfId="9847" priority="12906" stopIfTrue="1"/>
  </conditionalFormatting>
  <conditionalFormatting sqref="A951">
    <cfRule type="duplicateValues" dxfId="9846" priority="12905" stopIfTrue="1"/>
  </conditionalFormatting>
  <conditionalFormatting sqref="A951">
    <cfRule type="duplicateValues" dxfId="9845" priority="12904" stopIfTrue="1"/>
  </conditionalFormatting>
  <conditionalFormatting sqref="A1899:A66161 A1427 A1 A957 A989:A1017 A1019 A1021:A1032 A1038:A1041 A1529:A1531 A628:A657 A408:A418 A420 A422 A425:A432 A435:A441 A444:A476 A478:A481 A484:A498 A501:A529 A548:A595 A598:A625 A660:A955 A1045:A1062 A1498:A1500 A392:A405 A1065:A1070 A1440:A1448 A362:A389 A1074:A1093 A531:A545 A357 A1433:A1438 A1159:A1162 A1512:A1520 A1450:A1464 A1164:A1218">
    <cfRule type="duplicateValues" dxfId="9844" priority="15384" stopIfTrue="1"/>
  </conditionalFormatting>
  <conditionalFormatting sqref="A1397 A1399 A1401 A1403 A1405 A1407">
    <cfRule type="duplicateValues" dxfId="9843" priority="12734" stopIfTrue="1"/>
  </conditionalFormatting>
  <conditionalFormatting sqref="A1397 A1399 A1401 A1403 A1405 A1407">
    <cfRule type="duplicateValues" dxfId="9842" priority="12735" stopIfTrue="1"/>
  </conditionalFormatting>
  <conditionalFormatting sqref="A1397">
    <cfRule type="duplicateValues" dxfId="9841" priority="12736" stopIfTrue="1"/>
  </conditionalFormatting>
  <conditionalFormatting sqref="A1238 A1254 A1256 A1258 A1260 A1262 A1264 A1266 A1268">
    <cfRule type="duplicateValues" dxfId="9840" priority="12725" stopIfTrue="1"/>
  </conditionalFormatting>
  <conditionalFormatting sqref="A1238 A1254 A1256 A1258 A1260 A1262 A1264 A1266 A1268">
    <cfRule type="duplicateValues" dxfId="9839" priority="12726" stopIfTrue="1"/>
  </conditionalFormatting>
  <conditionalFormatting sqref="A1238">
    <cfRule type="duplicateValues" dxfId="9838" priority="12727" stopIfTrue="1"/>
  </conditionalFormatting>
  <conditionalFormatting sqref="A1270 A1278:A1286 A1299 A1288 A1290 A1292 A1294 A1301 A1303 A1305 A1307 A1309 A1311 A1313 A1315 A1317">
    <cfRule type="duplicateValues" dxfId="9837" priority="16592" stopIfTrue="1"/>
  </conditionalFormatting>
  <conditionalFormatting sqref="A1270 A1299 A1290 A1292 A1294 A1301 A1303 A1305 A1307 A1309 A1311 A1313 A1315 A1317 A1278:A1288">
    <cfRule type="duplicateValues" dxfId="9836" priority="16593" stopIfTrue="1"/>
  </conditionalFormatting>
  <conditionalFormatting sqref="A1337 A1361 A1363 A1365 A1367 A1369 A1371 A1373:A1374 A1376 A1378 A1380">
    <cfRule type="duplicateValues" dxfId="9835" priority="12722" stopIfTrue="1"/>
  </conditionalFormatting>
  <conditionalFormatting sqref="A1337 A1361 A1363 A1365 A1367 A1369 A1371 A1373:A1374 A1376 A1378 A1380">
    <cfRule type="duplicateValues" dxfId="9834" priority="12723" stopIfTrue="1"/>
  </conditionalFormatting>
  <conditionalFormatting sqref="A1337">
    <cfRule type="duplicateValues" dxfId="9833" priority="12724" stopIfTrue="1"/>
  </conditionalFormatting>
  <conditionalFormatting sqref="A1396">
    <cfRule type="duplicateValues" dxfId="9832" priority="12717" stopIfTrue="1"/>
  </conditionalFormatting>
  <conditionalFormatting sqref="A1396">
    <cfRule type="duplicateValues" dxfId="9831" priority="12718" stopIfTrue="1"/>
  </conditionalFormatting>
  <conditionalFormatting sqref="A1239:A1253">
    <cfRule type="duplicateValues" dxfId="9830" priority="12709" stopIfTrue="1"/>
  </conditionalFormatting>
  <conditionalFormatting sqref="A1239:A1253">
    <cfRule type="duplicateValues" dxfId="9829" priority="12710" stopIfTrue="1"/>
  </conditionalFormatting>
  <conditionalFormatting sqref="A1239:A1253">
    <cfRule type="duplicateValues" dxfId="9828" priority="12711" stopIfTrue="1"/>
  </conditionalFormatting>
  <conditionalFormatting sqref="A1255 A1257 A1259 A1261 A1263 A1265 A1267 A1269">
    <cfRule type="duplicateValues" dxfId="9827" priority="12704" stopIfTrue="1"/>
  </conditionalFormatting>
  <conditionalFormatting sqref="A1255 A1257 A1259 A1261 A1263 A1265 A1267 A1269">
    <cfRule type="duplicateValues" dxfId="9826" priority="12705" stopIfTrue="1"/>
  </conditionalFormatting>
  <conditionalFormatting sqref="A1271:A1277">
    <cfRule type="duplicateValues" dxfId="9825" priority="12693" stopIfTrue="1"/>
  </conditionalFormatting>
  <conditionalFormatting sqref="A1271:A1277">
    <cfRule type="duplicateValues" dxfId="9824" priority="12694" stopIfTrue="1"/>
  </conditionalFormatting>
  <conditionalFormatting sqref="A1287 A1289 A1291 A1293 A1295 A1297">
    <cfRule type="duplicateValues" dxfId="9823" priority="12687" stopIfTrue="1"/>
  </conditionalFormatting>
  <conditionalFormatting sqref="A1287 A1289 A1291 A1293 A1295 A1297">
    <cfRule type="duplicateValues" dxfId="9822" priority="12688" stopIfTrue="1"/>
  </conditionalFormatting>
  <conditionalFormatting sqref="A1296 A1298">
    <cfRule type="duplicateValues" dxfId="9821" priority="12681" stopIfTrue="1"/>
  </conditionalFormatting>
  <conditionalFormatting sqref="A1296 A1298">
    <cfRule type="duplicateValues" dxfId="9820" priority="12682" stopIfTrue="1"/>
  </conditionalFormatting>
  <conditionalFormatting sqref="A1300 A1302 A1304 A1306 A1308 A1310 A1312 A1314 A1316">
    <cfRule type="duplicateValues" dxfId="9819" priority="12675" stopIfTrue="1"/>
  </conditionalFormatting>
  <conditionalFormatting sqref="A1300 A1302 A1304 A1306 A1308 A1310 A1312 A1314 A1316">
    <cfRule type="duplicateValues" dxfId="9818" priority="12676" stopIfTrue="1"/>
  </conditionalFormatting>
  <conditionalFormatting sqref="A1398 A1400 A1402 A1404 A1406 A1408">
    <cfRule type="duplicateValues" dxfId="9817" priority="12649" stopIfTrue="1"/>
  </conditionalFormatting>
  <conditionalFormatting sqref="A1398 A1400 A1402 A1404 A1406 A1408">
    <cfRule type="duplicateValues" dxfId="9816" priority="12650" stopIfTrue="1"/>
  </conditionalFormatting>
  <conditionalFormatting sqref="A1398">
    <cfRule type="duplicateValues" dxfId="9815" priority="12651" stopIfTrue="1"/>
  </conditionalFormatting>
  <conditionalFormatting sqref="A1338:A1340">
    <cfRule type="duplicateValues" dxfId="9814" priority="12643" stopIfTrue="1"/>
  </conditionalFormatting>
  <conditionalFormatting sqref="A1338:A1340">
    <cfRule type="duplicateValues" dxfId="9813" priority="12644" stopIfTrue="1"/>
  </conditionalFormatting>
  <conditionalFormatting sqref="A1338:A1340">
    <cfRule type="duplicateValues" dxfId="9812" priority="12645" stopIfTrue="1"/>
  </conditionalFormatting>
  <conditionalFormatting sqref="A1362 A1364 A1366 A1368 A1370 A1372">
    <cfRule type="duplicateValues" dxfId="9811" priority="19046" stopIfTrue="1"/>
  </conditionalFormatting>
  <conditionalFormatting sqref="A1362 A1364 A1366 A1368 A1370 A1372">
    <cfRule type="duplicateValues" dxfId="9810" priority="19052" stopIfTrue="1"/>
  </conditionalFormatting>
  <conditionalFormatting sqref="A1375 A1377 A1379 A1381 A1383 A1385 A1387 A1389">
    <cfRule type="duplicateValues" dxfId="9809" priority="12613" stopIfTrue="1"/>
  </conditionalFormatting>
  <conditionalFormatting sqref="A1375 A1377 A1379 A1381 A1383 A1385 A1387 A1389">
    <cfRule type="duplicateValues" dxfId="9808" priority="12614" stopIfTrue="1"/>
  </conditionalFormatting>
  <conditionalFormatting sqref="A1382 A1384 A1386 A1388">
    <cfRule type="duplicateValues" dxfId="9807" priority="12611" stopIfTrue="1"/>
  </conditionalFormatting>
  <conditionalFormatting sqref="A1382 A1384 A1386 A1388">
    <cfRule type="duplicateValues" dxfId="9806" priority="12612" stopIfTrue="1"/>
  </conditionalFormatting>
  <conditionalFormatting sqref="A1390 A1392 A1394">
    <cfRule type="duplicateValues" dxfId="9805" priority="20270" stopIfTrue="1"/>
  </conditionalFormatting>
  <conditionalFormatting sqref="A1390 A1392 A1394">
    <cfRule type="duplicateValues" dxfId="9804" priority="20273" stopIfTrue="1"/>
  </conditionalFormatting>
  <conditionalFormatting sqref="A1391 A1393 A1395">
    <cfRule type="duplicateValues" dxfId="9803" priority="20286" stopIfTrue="1"/>
  </conditionalFormatting>
  <conditionalFormatting sqref="A1391 A1393 A1395">
    <cfRule type="duplicateValues" dxfId="9802" priority="20289" stopIfTrue="1"/>
  </conditionalFormatting>
  <conditionalFormatting sqref="A1112:A1113">
    <cfRule type="duplicateValues" dxfId="9801" priority="12603" stopIfTrue="1"/>
  </conditionalFormatting>
  <conditionalFormatting sqref="A1112:A1113">
    <cfRule type="duplicateValues" dxfId="9800" priority="12602" stopIfTrue="1"/>
  </conditionalFormatting>
  <conditionalFormatting sqref="A1112:A1113">
    <cfRule type="duplicateValues" dxfId="9799" priority="12601" stopIfTrue="1"/>
  </conditionalFormatting>
  <conditionalFormatting sqref="A1112:A1113">
    <cfRule type="duplicateValues" dxfId="9798" priority="12600" stopIfTrue="1"/>
  </conditionalFormatting>
  <conditionalFormatting sqref="A1112:A1113">
    <cfRule type="duplicateValues" dxfId="9797" priority="12599" stopIfTrue="1"/>
  </conditionalFormatting>
  <conditionalFormatting sqref="A1112:A1113">
    <cfRule type="duplicateValues" dxfId="9796" priority="12598" stopIfTrue="1"/>
  </conditionalFormatting>
  <conditionalFormatting sqref="A1112:A1113">
    <cfRule type="duplicateValues" dxfId="9795" priority="12597" stopIfTrue="1"/>
  </conditionalFormatting>
  <conditionalFormatting sqref="A1112:A1113">
    <cfRule type="duplicateValues" dxfId="9794" priority="12596" stopIfTrue="1"/>
  </conditionalFormatting>
  <conditionalFormatting sqref="A1112:A1113">
    <cfRule type="duplicateValues" dxfId="9793" priority="12595" stopIfTrue="1"/>
  </conditionalFormatting>
  <conditionalFormatting sqref="A1112:A1113">
    <cfRule type="duplicateValues" dxfId="9792" priority="12594" stopIfTrue="1"/>
  </conditionalFormatting>
  <conditionalFormatting sqref="A1112:A1113">
    <cfRule type="duplicateValues" dxfId="9791" priority="12593" stopIfTrue="1"/>
  </conditionalFormatting>
  <conditionalFormatting sqref="A1112:A1113">
    <cfRule type="duplicateValues" dxfId="9790" priority="12592" stopIfTrue="1"/>
  </conditionalFormatting>
  <conditionalFormatting sqref="A1112:A1113">
    <cfRule type="duplicateValues" dxfId="9789" priority="12591" stopIfTrue="1"/>
  </conditionalFormatting>
  <conditionalFormatting sqref="A1112:A1113">
    <cfRule type="duplicateValues" dxfId="9788" priority="12590" stopIfTrue="1"/>
  </conditionalFormatting>
  <conditionalFormatting sqref="A1112:A1113">
    <cfRule type="duplicateValues" dxfId="9787" priority="12589" stopIfTrue="1"/>
  </conditionalFormatting>
  <conditionalFormatting sqref="A1112:A1113">
    <cfRule type="duplicateValues" dxfId="9786" priority="12604" stopIfTrue="1"/>
  </conditionalFormatting>
  <conditionalFormatting sqref="A626:A627">
    <cfRule type="duplicateValues" dxfId="9785" priority="12571" stopIfTrue="1"/>
  </conditionalFormatting>
  <conditionalFormatting sqref="A626:A627">
    <cfRule type="duplicateValues" dxfId="9784" priority="12570" stopIfTrue="1"/>
  </conditionalFormatting>
  <conditionalFormatting sqref="A626:A627">
    <cfRule type="duplicateValues" dxfId="9783" priority="12569" stopIfTrue="1"/>
  </conditionalFormatting>
  <conditionalFormatting sqref="A626:A627">
    <cfRule type="duplicateValues" dxfId="9782" priority="12568" stopIfTrue="1"/>
  </conditionalFormatting>
  <conditionalFormatting sqref="A626:A627">
    <cfRule type="duplicateValues" dxfId="9781" priority="12567" stopIfTrue="1"/>
  </conditionalFormatting>
  <conditionalFormatting sqref="A626:A627">
    <cfRule type="duplicateValues" dxfId="9780" priority="12566" stopIfTrue="1"/>
  </conditionalFormatting>
  <conditionalFormatting sqref="A626:A627">
    <cfRule type="duplicateValues" dxfId="9779" priority="12565" stopIfTrue="1"/>
  </conditionalFormatting>
  <conditionalFormatting sqref="A626:A627">
    <cfRule type="duplicateValues" dxfId="9778" priority="12564" stopIfTrue="1"/>
  </conditionalFormatting>
  <conditionalFormatting sqref="A626:A627">
    <cfRule type="duplicateValues" dxfId="9777" priority="12563" stopIfTrue="1"/>
  </conditionalFormatting>
  <conditionalFormatting sqref="A626:A627">
    <cfRule type="duplicateValues" dxfId="9776" priority="12562" stopIfTrue="1"/>
  </conditionalFormatting>
  <conditionalFormatting sqref="A626:A627">
    <cfRule type="duplicateValues" dxfId="9775" priority="12561" stopIfTrue="1"/>
  </conditionalFormatting>
  <conditionalFormatting sqref="A626:A627">
    <cfRule type="duplicateValues" dxfId="9774" priority="12560" stopIfTrue="1"/>
  </conditionalFormatting>
  <conditionalFormatting sqref="A626:A627">
    <cfRule type="duplicateValues" dxfId="9773" priority="12559" stopIfTrue="1"/>
  </conditionalFormatting>
  <conditionalFormatting sqref="A626:A627">
    <cfRule type="duplicateValues" dxfId="9772" priority="12558" stopIfTrue="1"/>
  </conditionalFormatting>
  <conditionalFormatting sqref="A626:A627">
    <cfRule type="duplicateValues" dxfId="9771" priority="12572" stopIfTrue="1"/>
  </conditionalFormatting>
  <conditionalFormatting sqref="A390:A391">
    <cfRule type="duplicateValues" dxfId="9770" priority="12556" stopIfTrue="1"/>
  </conditionalFormatting>
  <conditionalFormatting sqref="A390:A391">
    <cfRule type="duplicateValues" dxfId="9769" priority="12555" stopIfTrue="1"/>
  </conditionalFormatting>
  <conditionalFormatting sqref="A390:A391">
    <cfRule type="duplicateValues" dxfId="9768" priority="12554" stopIfTrue="1"/>
  </conditionalFormatting>
  <conditionalFormatting sqref="A390:A391">
    <cfRule type="duplicateValues" dxfId="9767" priority="12553" stopIfTrue="1"/>
  </conditionalFormatting>
  <conditionalFormatting sqref="A390:A391">
    <cfRule type="duplicateValues" dxfId="9766" priority="12552" stopIfTrue="1"/>
  </conditionalFormatting>
  <conditionalFormatting sqref="A390:A391">
    <cfRule type="duplicateValues" dxfId="9765" priority="12551" stopIfTrue="1"/>
  </conditionalFormatting>
  <conditionalFormatting sqref="A390:A391">
    <cfRule type="duplicateValues" dxfId="9764" priority="12550" stopIfTrue="1"/>
  </conditionalFormatting>
  <conditionalFormatting sqref="A390:A391">
    <cfRule type="duplicateValues" dxfId="9763" priority="12549" stopIfTrue="1"/>
  </conditionalFormatting>
  <conditionalFormatting sqref="A390:A391">
    <cfRule type="duplicateValues" dxfId="9762" priority="12548" stopIfTrue="1"/>
  </conditionalFormatting>
  <conditionalFormatting sqref="A390:A391">
    <cfRule type="duplicateValues" dxfId="9761" priority="12547" stopIfTrue="1"/>
  </conditionalFormatting>
  <conditionalFormatting sqref="A390:A391">
    <cfRule type="duplicateValues" dxfId="9760" priority="12546" stopIfTrue="1"/>
  </conditionalFormatting>
  <conditionalFormatting sqref="A390:A391">
    <cfRule type="duplicateValues" dxfId="9759" priority="12545" stopIfTrue="1"/>
  </conditionalFormatting>
  <conditionalFormatting sqref="A390:A391">
    <cfRule type="duplicateValues" dxfId="9758" priority="12544" stopIfTrue="1"/>
  </conditionalFormatting>
  <conditionalFormatting sqref="A390:A391">
    <cfRule type="duplicateValues" dxfId="9757" priority="12543" stopIfTrue="1"/>
  </conditionalFormatting>
  <conditionalFormatting sqref="A390:A391">
    <cfRule type="duplicateValues" dxfId="9756" priority="12557" stopIfTrue="1"/>
  </conditionalFormatting>
  <conditionalFormatting sqref="A1899:A66161 A1702 A425:A432 A408:A418 A420 A422 A435:A441 A444:A476 A478:A481 A484:A498 A501:A529 A548:A595 A598:A657 A660:A1041 A1681 A1742:A1743 A1045:A1062 A1498:A1500 A1 A1529:A1531 A1065:A1070 A362:A405 A1074:A1119 A531:A545 A357 A1433:A1448 A1159:A1162 A1512:A1524 A1450:A1464 A1164:A1408 A1427">
    <cfRule type="duplicateValues" dxfId="9755" priority="12542" stopIfTrue="1"/>
  </conditionalFormatting>
  <conditionalFormatting sqref="A406:A407">
    <cfRule type="duplicateValues" dxfId="9754" priority="12540" stopIfTrue="1"/>
  </conditionalFormatting>
  <conditionalFormatting sqref="A406:A407">
    <cfRule type="duplicateValues" dxfId="9753" priority="12539" stopIfTrue="1"/>
  </conditionalFormatting>
  <conditionalFormatting sqref="A406:A407">
    <cfRule type="duplicateValues" dxfId="9752" priority="12538" stopIfTrue="1"/>
  </conditionalFormatting>
  <conditionalFormatting sqref="A406:A407">
    <cfRule type="duplicateValues" dxfId="9751" priority="12537" stopIfTrue="1"/>
  </conditionalFormatting>
  <conditionalFormatting sqref="A406:A407">
    <cfRule type="duplicateValues" dxfId="9750" priority="12536" stopIfTrue="1"/>
  </conditionalFormatting>
  <conditionalFormatting sqref="A406:A407">
    <cfRule type="duplicateValues" dxfId="9749" priority="12535" stopIfTrue="1"/>
  </conditionalFormatting>
  <conditionalFormatting sqref="A406:A407">
    <cfRule type="duplicateValues" dxfId="9748" priority="12534" stopIfTrue="1"/>
  </conditionalFormatting>
  <conditionalFormatting sqref="A406:A407">
    <cfRule type="duplicateValues" dxfId="9747" priority="12533" stopIfTrue="1"/>
  </conditionalFormatting>
  <conditionalFormatting sqref="A406:A407">
    <cfRule type="duplicateValues" dxfId="9746" priority="12532" stopIfTrue="1"/>
  </conditionalFormatting>
  <conditionalFormatting sqref="A406:A407">
    <cfRule type="duplicateValues" dxfId="9745" priority="12531" stopIfTrue="1"/>
  </conditionalFormatting>
  <conditionalFormatting sqref="A406:A407">
    <cfRule type="duplicateValues" dxfId="9744" priority="12530" stopIfTrue="1"/>
  </conditionalFormatting>
  <conditionalFormatting sqref="A406:A407">
    <cfRule type="duplicateValues" dxfId="9743" priority="12529" stopIfTrue="1"/>
  </conditionalFormatting>
  <conditionalFormatting sqref="A406:A407">
    <cfRule type="duplicateValues" dxfId="9742" priority="12528" stopIfTrue="1"/>
  </conditionalFormatting>
  <conditionalFormatting sqref="A406:A407">
    <cfRule type="duplicateValues" dxfId="9741" priority="12527" stopIfTrue="1"/>
  </conditionalFormatting>
  <conditionalFormatting sqref="A406:A407">
    <cfRule type="duplicateValues" dxfId="9740" priority="12541" stopIfTrue="1"/>
  </conditionalFormatting>
  <conditionalFormatting sqref="A406:A407">
    <cfRule type="duplicateValues" dxfId="9739" priority="12526" stopIfTrue="1"/>
  </conditionalFormatting>
  <conditionalFormatting sqref="A419 A421 A423">
    <cfRule type="duplicateValues" dxfId="9738" priority="12524" stopIfTrue="1"/>
  </conditionalFormatting>
  <conditionalFormatting sqref="A419 A421 A423">
    <cfRule type="duplicateValues" dxfId="9737" priority="12523" stopIfTrue="1"/>
  </conditionalFormatting>
  <conditionalFormatting sqref="A419">
    <cfRule type="duplicateValues" dxfId="9736" priority="12522" stopIfTrue="1"/>
  </conditionalFormatting>
  <conditionalFormatting sqref="A419">
    <cfRule type="duplicateValues" dxfId="9735" priority="12521" stopIfTrue="1"/>
  </conditionalFormatting>
  <conditionalFormatting sqref="A419">
    <cfRule type="duplicateValues" dxfId="9734" priority="12520" stopIfTrue="1"/>
  </conditionalFormatting>
  <conditionalFormatting sqref="A419">
    <cfRule type="duplicateValues" dxfId="9733" priority="12519" stopIfTrue="1"/>
  </conditionalFormatting>
  <conditionalFormatting sqref="A419">
    <cfRule type="duplicateValues" dxfId="9732" priority="12518" stopIfTrue="1"/>
  </conditionalFormatting>
  <conditionalFormatting sqref="A419">
    <cfRule type="duplicateValues" dxfId="9731" priority="12517" stopIfTrue="1"/>
  </conditionalFormatting>
  <conditionalFormatting sqref="A419">
    <cfRule type="duplicateValues" dxfId="9730" priority="12516" stopIfTrue="1"/>
  </conditionalFormatting>
  <conditionalFormatting sqref="A419">
    <cfRule type="duplicateValues" dxfId="9729" priority="12515" stopIfTrue="1"/>
  </conditionalFormatting>
  <conditionalFormatting sqref="A419">
    <cfRule type="duplicateValues" dxfId="9728" priority="12514" stopIfTrue="1"/>
  </conditionalFormatting>
  <conditionalFormatting sqref="A419">
    <cfRule type="duplicateValues" dxfId="9727" priority="12513" stopIfTrue="1"/>
  </conditionalFormatting>
  <conditionalFormatting sqref="A419">
    <cfRule type="duplicateValues" dxfId="9726" priority="12512" stopIfTrue="1"/>
  </conditionalFormatting>
  <conditionalFormatting sqref="A419">
    <cfRule type="duplicateValues" dxfId="9725" priority="12511" stopIfTrue="1"/>
  </conditionalFormatting>
  <conditionalFormatting sqref="A419">
    <cfRule type="duplicateValues" dxfId="9724" priority="12525" stopIfTrue="1"/>
  </conditionalFormatting>
  <conditionalFormatting sqref="A419">
    <cfRule type="duplicateValues" dxfId="9723" priority="12510" stopIfTrue="1"/>
  </conditionalFormatting>
  <conditionalFormatting sqref="A424">
    <cfRule type="duplicateValues" dxfId="9722" priority="12508" stopIfTrue="1"/>
  </conditionalFormatting>
  <conditionalFormatting sqref="A424">
    <cfRule type="duplicateValues" dxfId="9721" priority="12507" stopIfTrue="1"/>
  </conditionalFormatting>
  <conditionalFormatting sqref="A424">
    <cfRule type="duplicateValues" dxfId="9720" priority="12506" stopIfTrue="1"/>
  </conditionalFormatting>
  <conditionalFormatting sqref="A424">
    <cfRule type="duplicateValues" dxfId="9719" priority="12505" stopIfTrue="1"/>
  </conditionalFormatting>
  <conditionalFormatting sqref="A424">
    <cfRule type="duplicateValues" dxfId="9718" priority="12504" stopIfTrue="1"/>
  </conditionalFormatting>
  <conditionalFormatting sqref="A424">
    <cfRule type="duplicateValues" dxfId="9717" priority="12503" stopIfTrue="1"/>
  </conditionalFormatting>
  <conditionalFormatting sqref="A424">
    <cfRule type="duplicateValues" dxfId="9716" priority="12502" stopIfTrue="1"/>
  </conditionalFormatting>
  <conditionalFormatting sqref="A424">
    <cfRule type="duplicateValues" dxfId="9715" priority="12501" stopIfTrue="1"/>
  </conditionalFormatting>
  <conditionalFormatting sqref="A424">
    <cfRule type="duplicateValues" dxfId="9714" priority="12500" stopIfTrue="1"/>
  </conditionalFormatting>
  <conditionalFormatting sqref="A424">
    <cfRule type="duplicateValues" dxfId="9713" priority="12499" stopIfTrue="1"/>
  </conditionalFormatting>
  <conditionalFormatting sqref="A424">
    <cfRule type="duplicateValues" dxfId="9712" priority="12498" stopIfTrue="1"/>
  </conditionalFormatting>
  <conditionalFormatting sqref="A424">
    <cfRule type="duplicateValues" dxfId="9711" priority="12497" stopIfTrue="1"/>
  </conditionalFormatting>
  <conditionalFormatting sqref="A424">
    <cfRule type="duplicateValues" dxfId="9710" priority="12496" stopIfTrue="1"/>
  </conditionalFormatting>
  <conditionalFormatting sqref="A424">
    <cfRule type="duplicateValues" dxfId="9709" priority="12495" stopIfTrue="1"/>
  </conditionalFormatting>
  <conditionalFormatting sqref="A424">
    <cfRule type="duplicateValues" dxfId="9708" priority="12509" stopIfTrue="1"/>
  </conditionalFormatting>
  <conditionalFormatting sqref="A424">
    <cfRule type="duplicateValues" dxfId="9707" priority="12494" stopIfTrue="1"/>
  </conditionalFormatting>
  <conditionalFormatting sqref="A433:A434">
    <cfRule type="duplicateValues" dxfId="9706" priority="12476" stopIfTrue="1"/>
  </conditionalFormatting>
  <conditionalFormatting sqref="A433:A434">
    <cfRule type="duplicateValues" dxfId="9705" priority="12475" stopIfTrue="1"/>
  </conditionalFormatting>
  <conditionalFormatting sqref="A433:A434">
    <cfRule type="duplicateValues" dxfId="9704" priority="12474" stopIfTrue="1"/>
  </conditionalFormatting>
  <conditionalFormatting sqref="A433:A434">
    <cfRule type="duplicateValues" dxfId="9703" priority="12473" stopIfTrue="1"/>
  </conditionalFormatting>
  <conditionalFormatting sqref="A433:A434">
    <cfRule type="duplicateValues" dxfId="9702" priority="12472" stopIfTrue="1"/>
  </conditionalFormatting>
  <conditionalFormatting sqref="A433:A434">
    <cfRule type="duplicateValues" dxfId="9701" priority="12471" stopIfTrue="1"/>
  </conditionalFormatting>
  <conditionalFormatting sqref="A433:A434">
    <cfRule type="duplicateValues" dxfId="9700" priority="12470" stopIfTrue="1"/>
  </conditionalFormatting>
  <conditionalFormatting sqref="A433:A434">
    <cfRule type="duplicateValues" dxfId="9699" priority="12469" stopIfTrue="1"/>
  </conditionalFormatting>
  <conditionalFormatting sqref="A433:A434">
    <cfRule type="duplicateValues" dxfId="9698" priority="12468" stopIfTrue="1"/>
  </conditionalFormatting>
  <conditionalFormatting sqref="A433:A434">
    <cfRule type="duplicateValues" dxfId="9697" priority="12467" stopIfTrue="1"/>
  </conditionalFormatting>
  <conditionalFormatting sqref="A433:A434">
    <cfRule type="duplicateValues" dxfId="9696" priority="12466" stopIfTrue="1"/>
  </conditionalFormatting>
  <conditionalFormatting sqref="A433:A434">
    <cfRule type="duplicateValues" dxfId="9695" priority="12465" stopIfTrue="1"/>
  </conditionalFormatting>
  <conditionalFormatting sqref="A433:A434">
    <cfRule type="duplicateValues" dxfId="9694" priority="12464" stopIfTrue="1"/>
  </conditionalFormatting>
  <conditionalFormatting sqref="A433:A434">
    <cfRule type="duplicateValues" dxfId="9693" priority="12463" stopIfTrue="1"/>
  </conditionalFormatting>
  <conditionalFormatting sqref="A433:A434">
    <cfRule type="duplicateValues" dxfId="9692" priority="12477" stopIfTrue="1"/>
  </conditionalFormatting>
  <conditionalFormatting sqref="A433:A434">
    <cfRule type="duplicateValues" dxfId="9691" priority="12462" stopIfTrue="1"/>
  </conditionalFormatting>
  <conditionalFormatting sqref="A442:A443">
    <cfRule type="duplicateValues" dxfId="9690" priority="12460" stopIfTrue="1"/>
  </conditionalFormatting>
  <conditionalFormatting sqref="A442:A443">
    <cfRule type="duplicateValues" dxfId="9689" priority="12459" stopIfTrue="1"/>
  </conditionalFormatting>
  <conditionalFormatting sqref="A442:A443">
    <cfRule type="duplicateValues" dxfId="9688" priority="12458" stopIfTrue="1"/>
  </conditionalFormatting>
  <conditionalFormatting sqref="A442:A443">
    <cfRule type="duplicateValues" dxfId="9687" priority="12457" stopIfTrue="1"/>
  </conditionalFormatting>
  <conditionalFormatting sqref="A442:A443">
    <cfRule type="duplicateValues" dxfId="9686" priority="12456" stopIfTrue="1"/>
  </conditionalFormatting>
  <conditionalFormatting sqref="A442:A443">
    <cfRule type="duplicateValues" dxfId="9685" priority="12455" stopIfTrue="1"/>
  </conditionalFormatting>
  <conditionalFormatting sqref="A442:A443">
    <cfRule type="duplicateValues" dxfId="9684" priority="12454" stopIfTrue="1"/>
  </conditionalFormatting>
  <conditionalFormatting sqref="A442:A443">
    <cfRule type="duplicateValues" dxfId="9683" priority="12453" stopIfTrue="1"/>
  </conditionalFormatting>
  <conditionalFormatting sqref="A442:A443">
    <cfRule type="duplicateValues" dxfId="9682" priority="12452" stopIfTrue="1"/>
  </conditionalFormatting>
  <conditionalFormatting sqref="A442:A443">
    <cfRule type="duplicateValues" dxfId="9681" priority="12451" stopIfTrue="1"/>
  </conditionalFormatting>
  <conditionalFormatting sqref="A442:A443">
    <cfRule type="duplicateValues" dxfId="9680" priority="12450" stopIfTrue="1"/>
  </conditionalFormatting>
  <conditionalFormatting sqref="A442:A443">
    <cfRule type="duplicateValues" dxfId="9679" priority="12449" stopIfTrue="1"/>
  </conditionalFormatting>
  <conditionalFormatting sqref="A442:A443">
    <cfRule type="duplicateValues" dxfId="9678" priority="12448" stopIfTrue="1"/>
  </conditionalFormatting>
  <conditionalFormatting sqref="A442:A443">
    <cfRule type="duplicateValues" dxfId="9677" priority="12447" stopIfTrue="1"/>
  </conditionalFormatting>
  <conditionalFormatting sqref="A442:A443">
    <cfRule type="duplicateValues" dxfId="9676" priority="12461" stopIfTrue="1"/>
  </conditionalFormatting>
  <conditionalFormatting sqref="A442:A443">
    <cfRule type="duplicateValues" dxfId="9675" priority="12446" stopIfTrue="1"/>
  </conditionalFormatting>
  <conditionalFormatting sqref="A477">
    <cfRule type="duplicateValues" dxfId="9674" priority="12444" stopIfTrue="1"/>
  </conditionalFormatting>
  <conditionalFormatting sqref="A477">
    <cfRule type="duplicateValues" dxfId="9673" priority="12443" stopIfTrue="1"/>
  </conditionalFormatting>
  <conditionalFormatting sqref="A477">
    <cfRule type="duplicateValues" dxfId="9672" priority="12442" stopIfTrue="1"/>
  </conditionalFormatting>
  <conditionalFormatting sqref="A477">
    <cfRule type="duplicateValues" dxfId="9671" priority="12441" stopIfTrue="1"/>
  </conditionalFormatting>
  <conditionalFormatting sqref="A477">
    <cfRule type="duplicateValues" dxfId="9670" priority="12440" stopIfTrue="1"/>
  </conditionalFormatting>
  <conditionalFormatting sqref="A477">
    <cfRule type="duplicateValues" dxfId="9669" priority="12439" stopIfTrue="1"/>
  </conditionalFormatting>
  <conditionalFormatting sqref="A477">
    <cfRule type="duplicateValues" dxfId="9668" priority="12438" stopIfTrue="1"/>
  </conditionalFormatting>
  <conditionalFormatting sqref="A477">
    <cfRule type="duplicateValues" dxfId="9667" priority="12437" stopIfTrue="1"/>
  </conditionalFormatting>
  <conditionalFormatting sqref="A477">
    <cfRule type="duplicateValues" dxfId="9666" priority="12436" stopIfTrue="1"/>
  </conditionalFormatting>
  <conditionalFormatting sqref="A477">
    <cfRule type="duplicateValues" dxfId="9665" priority="12435" stopIfTrue="1"/>
  </conditionalFormatting>
  <conditionalFormatting sqref="A477">
    <cfRule type="duplicateValues" dxfId="9664" priority="12434" stopIfTrue="1"/>
  </conditionalFormatting>
  <conditionalFormatting sqref="A477">
    <cfRule type="duplicateValues" dxfId="9663" priority="12433" stopIfTrue="1"/>
  </conditionalFormatting>
  <conditionalFormatting sqref="A477">
    <cfRule type="duplicateValues" dxfId="9662" priority="12432" stopIfTrue="1"/>
  </conditionalFormatting>
  <conditionalFormatting sqref="A477">
    <cfRule type="duplicateValues" dxfId="9661" priority="12431" stopIfTrue="1"/>
  </conditionalFormatting>
  <conditionalFormatting sqref="A477">
    <cfRule type="duplicateValues" dxfId="9660" priority="12445" stopIfTrue="1"/>
  </conditionalFormatting>
  <conditionalFormatting sqref="A477">
    <cfRule type="duplicateValues" dxfId="9659" priority="12430" stopIfTrue="1"/>
  </conditionalFormatting>
  <conditionalFormatting sqref="A482:A483">
    <cfRule type="duplicateValues" dxfId="9658" priority="12428" stopIfTrue="1"/>
  </conditionalFormatting>
  <conditionalFormatting sqref="A482:A483">
    <cfRule type="duplicateValues" dxfId="9657" priority="12427" stopIfTrue="1"/>
  </conditionalFormatting>
  <conditionalFormatting sqref="A482:A483">
    <cfRule type="duplicateValues" dxfId="9656" priority="12426" stopIfTrue="1"/>
  </conditionalFormatting>
  <conditionalFormatting sqref="A482:A483">
    <cfRule type="duplicateValues" dxfId="9655" priority="12425" stopIfTrue="1"/>
  </conditionalFormatting>
  <conditionalFormatting sqref="A482:A483">
    <cfRule type="duplicateValues" dxfId="9654" priority="12424" stopIfTrue="1"/>
  </conditionalFormatting>
  <conditionalFormatting sqref="A482:A483">
    <cfRule type="duplicateValues" dxfId="9653" priority="12423" stopIfTrue="1"/>
  </conditionalFormatting>
  <conditionalFormatting sqref="A482:A483">
    <cfRule type="duplicateValues" dxfId="9652" priority="12422" stopIfTrue="1"/>
  </conditionalFormatting>
  <conditionalFormatting sqref="A482:A483">
    <cfRule type="duplicateValues" dxfId="9651" priority="12421" stopIfTrue="1"/>
  </conditionalFormatting>
  <conditionalFormatting sqref="A482:A483">
    <cfRule type="duplicateValues" dxfId="9650" priority="12420" stopIfTrue="1"/>
  </conditionalFormatting>
  <conditionalFormatting sqref="A482:A483">
    <cfRule type="duplicateValues" dxfId="9649" priority="12419" stopIfTrue="1"/>
  </conditionalFormatting>
  <conditionalFormatting sqref="A482:A483">
    <cfRule type="duplicateValues" dxfId="9648" priority="12418" stopIfTrue="1"/>
  </conditionalFormatting>
  <conditionalFormatting sqref="A482:A483">
    <cfRule type="duplicateValues" dxfId="9647" priority="12417" stopIfTrue="1"/>
  </conditionalFormatting>
  <conditionalFormatting sqref="A482:A483">
    <cfRule type="duplicateValues" dxfId="9646" priority="12416" stopIfTrue="1"/>
  </conditionalFormatting>
  <conditionalFormatting sqref="A482:A483">
    <cfRule type="duplicateValues" dxfId="9645" priority="12415" stopIfTrue="1"/>
  </conditionalFormatting>
  <conditionalFormatting sqref="A482:A483">
    <cfRule type="duplicateValues" dxfId="9644" priority="12429" stopIfTrue="1"/>
  </conditionalFormatting>
  <conditionalFormatting sqref="A482:A483">
    <cfRule type="duplicateValues" dxfId="9643" priority="12414" stopIfTrue="1"/>
  </conditionalFormatting>
  <conditionalFormatting sqref="A499:A500">
    <cfRule type="duplicateValues" dxfId="9642" priority="12412" stopIfTrue="1"/>
  </conditionalFormatting>
  <conditionalFormatting sqref="A499:A500">
    <cfRule type="duplicateValues" dxfId="9641" priority="12411" stopIfTrue="1"/>
  </conditionalFormatting>
  <conditionalFormatting sqref="A499:A500">
    <cfRule type="duplicateValues" dxfId="9640" priority="12410" stopIfTrue="1"/>
  </conditionalFormatting>
  <conditionalFormatting sqref="A499:A500">
    <cfRule type="duplicateValues" dxfId="9639" priority="12409" stopIfTrue="1"/>
  </conditionalFormatting>
  <conditionalFormatting sqref="A499:A500">
    <cfRule type="duplicateValues" dxfId="9638" priority="12408" stopIfTrue="1"/>
  </conditionalFormatting>
  <conditionalFormatting sqref="A499:A500">
    <cfRule type="duplicateValues" dxfId="9637" priority="12407" stopIfTrue="1"/>
  </conditionalFormatting>
  <conditionalFormatting sqref="A499:A500">
    <cfRule type="duplicateValues" dxfId="9636" priority="12406" stopIfTrue="1"/>
  </conditionalFormatting>
  <conditionalFormatting sqref="A499:A500">
    <cfRule type="duplicateValues" dxfId="9635" priority="12405" stopIfTrue="1"/>
  </conditionalFormatting>
  <conditionalFormatting sqref="A499:A500">
    <cfRule type="duplicateValues" dxfId="9634" priority="12404" stopIfTrue="1"/>
  </conditionalFormatting>
  <conditionalFormatting sqref="A499:A500">
    <cfRule type="duplicateValues" dxfId="9633" priority="12403" stopIfTrue="1"/>
  </conditionalFormatting>
  <conditionalFormatting sqref="A499:A500">
    <cfRule type="duplicateValues" dxfId="9632" priority="12402" stopIfTrue="1"/>
  </conditionalFormatting>
  <conditionalFormatting sqref="A499:A500">
    <cfRule type="duplicateValues" dxfId="9631" priority="12401" stopIfTrue="1"/>
  </conditionalFormatting>
  <conditionalFormatting sqref="A499:A500">
    <cfRule type="duplicateValues" dxfId="9630" priority="12400" stopIfTrue="1"/>
  </conditionalFormatting>
  <conditionalFormatting sqref="A499:A500">
    <cfRule type="duplicateValues" dxfId="9629" priority="12399" stopIfTrue="1"/>
  </conditionalFormatting>
  <conditionalFormatting sqref="A499:A500">
    <cfRule type="duplicateValues" dxfId="9628" priority="12413" stopIfTrue="1"/>
  </conditionalFormatting>
  <conditionalFormatting sqref="A499:A500">
    <cfRule type="duplicateValues" dxfId="9627" priority="12398" stopIfTrue="1"/>
  </conditionalFormatting>
  <conditionalFormatting sqref="A546:A547">
    <cfRule type="duplicateValues" dxfId="9626" priority="12396" stopIfTrue="1"/>
  </conditionalFormatting>
  <conditionalFormatting sqref="A546:A547">
    <cfRule type="duplicateValues" dxfId="9625" priority="12395" stopIfTrue="1"/>
  </conditionalFormatting>
  <conditionalFormatting sqref="A546:A547">
    <cfRule type="duplicateValues" dxfId="9624" priority="12394" stopIfTrue="1"/>
  </conditionalFormatting>
  <conditionalFormatting sqref="A546:A547">
    <cfRule type="duplicateValues" dxfId="9623" priority="12393" stopIfTrue="1"/>
  </conditionalFormatting>
  <conditionalFormatting sqref="A546:A547">
    <cfRule type="duplicateValues" dxfId="9622" priority="12392" stopIfTrue="1"/>
  </conditionalFormatting>
  <conditionalFormatting sqref="A546:A547">
    <cfRule type="duplicateValues" dxfId="9621" priority="12391" stopIfTrue="1"/>
  </conditionalFormatting>
  <conditionalFormatting sqref="A546:A547">
    <cfRule type="duplicateValues" dxfId="9620" priority="12390" stopIfTrue="1"/>
  </conditionalFormatting>
  <conditionalFormatting sqref="A546:A547">
    <cfRule type="duplicateValues" dxfId="9619" priority="12389" stopIfTrue="1"/>
  </conditionalFormatting>
  <conditionalFormatting sqref="A546:A547">
    <cfRule type="duplicateValues" dxfId="9618" priority="12388" stopIfTrue="1"/>
  </conditionalFormatting>
  <conditionalFormatting sqref="A546:A547">
    <cfRule type="duplicateValues" dxfId="9617" priority="12387" stopIfTrue="1"/>
  </conditionalFormatting>
  <conditionalFormatting sqref="A546:A547">
    <cfRule type="duplicateValues" dxfId="9616" priority="12386" stopIfTrue="1"/>
  </conditionalFormatting>
  <conditionalFormatting sqref="A546:A547">
    <cfRule type="duplicateValues" dxfId="9615" priority="12385" stopIfTrue="1"/>
  </conditionalFormatting>
  <conditionalFormatting sqref="A546:A547">
    <cfRule type="duplicateValues" dxfId="9614" priority="12384" stopIfTrue="1"/>
  </conditionalFormatting>
  <conditionalFormatting sqref="A546:A547">
    <cfRule type="duplicateValues" dxfId="9613" priority="12383" stopIfTrue="1"/>
  </conditionalFormatting>
  <conditionalFormatting sqref="A546:A547">
    <cfRule type="duplicateValues" dxfId="9612" priority="12397" stopIfTrue="1"/>
  </conditionalFormatting>
  <conditionalFormatting sqref="A546:A547">
    <cfRule type="duplicateValues" dxfId="9611" priority="12382" stopIfTrue="1"/>
  </conditionalFormatting>
  <conditionalFormatting sqref="A596:A597">
    <cfRule type="duplicateValues" dxfId="9610" priority="12380" stopIfTrue="1"/>
  </conditionalFormatting>
  <conditionalFormatting sqref="A596:A597">
    <cfRule type="duplicateValues" dxfId="9609" priority="12379" stopIfTrue="1"/>
  </conditionalFormatting>
  <conditionalFormatting sqref="A596:A597">
    <cfRule type="duplicateValues" dxfId="9608" priority="12378" stopIfTrue="1"/>
  </conditionalFormatting>
  <conditionalFormatting sqref="A596:A597">
    <cfRule type="duplicateValues" dxfId="9607" priority="12377" stopIfTrue="1"/>
  </conditionalFormatting>
  <conditionalFormatting sqref="A596:A597">
    <cfRule type="duplicateValues" dxfId="9606" priority="12376" stopIfTrue="1"/>
  </conditionalFormatting>
  <conditionalFormatting sqref="A596:A597">
    <cfRule type="duplicateValues" dxfId="9605" priority="12375" stopIfTrue="1"/>
  </conditionalFormatting>
  <conditionalFormatting sqref="A596:A597">
    <cfRule type="duplicateValues" dxfId="9604" priority="12374" stopIfTrue="1"/>
  </conditionalFormatting>
  <conditionalFormatting sqref="A596:A597">
    <cfRule type="duplicateValues" dxfId="9603" priority="12373" stopIfTrue="1"/>
  </conditionalFormatting>
  <conditionalFormatting sqref="A596:A597">
    <cfRule type="duplicateValues" dxfId="9602" priority="12372" stopIfTrue="1"/>
  </conditionalFormatting>
  <conditionalFormatting sqref="A596:A597">
    <cfRule type="duplicateValues" dxfId="9601" priority="12371" stopIfTrue="1"/>
  </conditionalFormatting>
  <conditionalFormatting sqref="A596:A597">
    <cfRule type="duplicateValues" dxfId="9600" priority="12370" stopIfTrue="1"/>
  </conditionalFormatting>
  <conditionalFormatting sqref="A596:A597">
    <cfRule type="duplicateValues" dxfId="9599" priority="12369" stopIfTrue="1"/>
  </conditionalFormatting>
  <conditionalFormatting sqref="A596:A597">
    <cfRule type="duplicateValues" dxfId="9598" priority="12368" stopIfTrue="1"/>
  </conditionalFormatting>
  <conditionalFormatting sqref="A596:A597">
    <cfRule type="duplicateValues" dxfId="9597" priority="12367" stopIfTrue="1"/>
  </conditionalFormatting>
  <conditionalFormatting sqref="A596:A597">
    <cfRule type="duplicateValues" dxfId="9596" priority="12381" stopIfTrue="1"/>
  </conditionalFormatting>
  <conditionalFormatting sqref="A596:A597">
    <cfRule type="duplicateValues" dxfId="9595" priority="12366" stopIfTrue="1"/>
  </conditionalFormatting>
  <conditionalFormatting sqref="A658:A659">
    <cfRule type="duplicateValues" dxfId="9594" priority="12364" stopIfTrue="1"/>
  </conditionalFormatting>
  <conditionalFormatting sqref="A658:A659">
    <cfRule type="duplicateValues" dxfId="9593" priority="12363" stopIfTrue="1"/>
  </conditionalFormatting>
  <conditionalFormatting sqref="A658:A659">
    <cfRule type="duplicateValues" dxfId="9592" priority="12362" stopIfTrue="1"/>
  </conditionalFormatting>
  <conditionalFormatting sqref="A658:A659">
    <cfRule type="duplicateValues" dxfId="9591" priority="12361" stopIfTrue="1"/>
  </conditionalFormatting>
  <conditionalFormatting sqref="A658:A659">
    <cfRule type="duplicateValues" dxfId="9590" priority="12360" stopIfTrue="1"/>
  </conditionalFormatting>
  <conditionalFormatting sqref="A658:A659">
    <cfRule type="duplicateValues" dxfId="9589" priority="12359" stopIfTrue="1"/>
  </conditionalFormatting>
  <conditionalFormatting sqref="A658:A659">
    <cfRule type="duplicateValues" dxfId="9588" priority="12358" stopIfTrue="1"/>
  </conditionalFormatting>
  <conditionalFormatting sqref="A658:A659">
    <cfRule type="duplicateValues" dxfId="9587" priority="12357" stopIfTrue="1"/>
  </conditionalFormatting>
  <conditionalFormatting sqref="A658:A659">
    <cfRule type="duplicateValues" dxfId="9586" priority="12356" stopIfTrue="1"/>
  </conditionalFormatting>
  <conditionalFormatting sqref="A658:A659">
    <cfRule type="duplicateValues" dxfId="9585" priority="12355" stopIfTrue="1"/>
  </conditionalFormatting>
  <conditionalFormatting sqref="A658:A659">
    <cfRule type="duplicateValues" dxfId="9584" priority="12354" stopIfTrue="1"/>
  </conditionalFormatting>
  <conditionalFormatting sqref="A658:A659">
    <cfRule type="duplicateValues" dxfId="9583" priority="12353" stopIfTrue="1"/>
  </conditionalFormatting>
  <conditionalFormatting sqref="A658:A659">
    <cfRule type="duplicateValues" dxfId="9582" priority="12352" stopIfTrue="1"/>
  </conditionalFormatting>
  <conditionalFormatting sqref="A658:A659">
    <cfRule type="duplicateValues" dxfId="9581" priority="12351" stopIfTrue="1"/>
  </conditionalFormatting>
  <conditionalFormatting sqref="A658:A659">
    <cfRule type="duplicateValues" dxfId="9580" priority="12365" stopIfTrue="1"/>
  </conditionalFormatting>
  <conditionalFormatting sqref="A658:A659">
    <cfRule type="duplicateValues" dxfId="9579" priority="12350" stopIfTrue="1"/>
  </conditionalFormatting>
  <conditionalFormatting sqref="C1899:C66161 C1681 C1045:C1062 C1498:C1500 C1 C1529:C1531 C1065:C1070 C362:C529 C1074:C1119 C531:C1041 C357 C1433:C1448 C1159:C1162 C1512:C1524 C1450:C1464 C1164:C1408 C1427">
    <cfRule type="duplicateValues" dxfId="9578" priority="12349" stopIfTrue="1"/>
  </conditionalFormatting>
  <conditionalFormatting sqref="A1533">
    <cfRule type="duplicateValues" dxfId="9577" priority="12347" stopIfTrue="1"/>
  </conditionalFormatting>
  <conditionalFormatting sqref="A1533">
    <cfRule type="duplicateValues" dxfId="9576" priority="12346" stopIfTrue="1"/>
  </conditionalFormatting>
  <conditionalFormatting sqref="A1533">
    <cfRule type="duplicateValues" dxfId="9575" priority="12345" stopIfTrue="1"/>
  </conditionalFormatting>
  <conditionalFormatting sqref="A1533">
    <cfRule type="duplicateValues" dxfId="9574" priority="12344" stopIfTrue="1"/>
  </conditionalFormatting>
  <conditionalFormatting sqref="A1533">
    <cfRule type="duplicateValues" dxfId="9573" priority="12343" stopIfTrue="1"/>
  </conditionalFormatting>
  <conditionalFormatting sqref="A1533">
    <cfRule type="duplicateValues" dxfId="9572" priority="12342" stopIfTrue="1"/>
  </conditionalFormatting>
  <conditionalFormatting sqref="A1533">
    <cfRule type="duplicateValues" dxfId="9571" priority="12341" stopIfTrue="1"/>
  </conditionalFormatting>
  <conditionalFormatting sqref="A1533">
    <cfRule type="duplicateValues" dxfId="9570" priority="12340" stopIfTrue="1"/>
  </conditionalFormatting>
  <conditionalFormatting sqref="A1533">
    <cfRule type="duplicateValues" dxfId="9569" priority="12339" stopIfTrue="1"/>
  </conditionalFormatting>
  <conditionalFormatting sqref="A1533">
    <cfRule type="duplicateValues" dxfId="9568" priority="12338" stopIfTrue="1"/>
  </conditionalFormatting>
  <conditionalFormatting sqref="A1533">
    <cfRule type="duplicateValues" dxfId="9567" priority="12337" stopIfTrue="1"/>
  </conditionalFormatting>
  <conditionalFormatting sqref="A1533">
    <cfRule type="duplicateValues" dxfId="9566" priority="12336" stopIfTrue="1"/>
  </conditionalFormatting>
  <conditionalFormatting sqref="A1533">
    <cfRule type="duplicateValues" dxfId="9565" priority="12335" stopIfTrue="1"/>
  </conditionalFormatting>
  <conditionalFormatting sqref="A1533">
    <cfRule type="duplicateValues" dxfId="9564" priority="12334" stopIfTrue="1"/>
  </conditionalFormatting>
  <conditionalFormatting sqref="A1533">
    <cfRule type="duplicateValues" dxfId="9563" priority="12348" stopIfTrue="1"/>
  </conditionalFormatting>
  <conditionalFormatting sqref="A1533">
    <cfRule type="duplicateValues" dxfId="9562" priority="12333" stopIfTrue="1"/>
  </conditionalFormatting>
  <conditionalFormatting sqref="C1533">
    <cfRule type="duplicateValues" dxfId="9561" priority="12332" stopIfTrue="1"/>
  </conditionalFormatting>
  <conditionalFormatting sqref="A1534">
    <cfRule type="duplicateValues" dxfId="9560" priority="12330" stopIfTrue="1"/>
  </conditionalFormatting>
  <conditionalFormatting sqref="A1534">
    <cfRule type="duplicateValues" dxfId="9559" priority="12329" stopIfTrue="1"/>
  </conditionalFormatting>
  <conditionalFormatting sqref="A1534">
    <cfRule type="duplicateValues" dxfId="9558" priority="12328" stopIfTrue="1"/>
  </conditionalFormatting>
  <conditionalFormatting sqref="A1534">
    <cfRule type="duplicateValues" dxfId="9557" priority="12327" stopIfTrue="1"/>
  </conditionalFormatting>
  <conditionalFormatting sqref="A1534">
    <cfRule type="duplicateValues" dxfId="9556" priority="12326" stopIfTrue="1"/>
  </conditionalFormatting>
  <conditionalFormatting sqref="A1534">
    <cfRule type="duplicateValues" dxfId="9555" priority="12325" stopIfTrue="1"/>
  </conditionalFormatting>
  <conditionalFormatting sqref="A1534">
    <cfRule type="duplicateValues" dxfId="9554" priority="12324" stopIfTrue="1"/>
  </conditionalFormatting>
  <conditionalFormatting sqref="A1534">
    <cfRule type="duplicateValues" dxfId="9553" priority="12323" stopIfTrue="1"/>
  </conditionalFormatting>
  <conditionalFormatting sqref="A1534">
    <cfRule type="duplicateValues" dxfId="9552" priority="12322" stopIfTrue="1"/>
  </conditionalFormatting>
  <conditionalFormatting sqref="A1534">
    <cfRule type="duplicateValues" dxfId="9551" priority="12321" stopIfTrue="1"/>
  </conditionalFormatting>
  <conditionalFormatting sqref="A1534">
    <cfRule type="duplicateValues" dxfId="9550" priority="12320" stopIfTrue="1"/>
  </conditionalFormatting>
  <conditionalFormatting sqref="A1534">
    <cfRule type="duplicateValues" dxfId="9549" priority="12319" stopIfTrue="1"/>
  </conditionalFormatting>
  <conditionalFormatting sqref="A1534">
    <cfRule type="duplicateValues" dxfId="9548" priority="12318" stopIfTrue="1"/>
  </conditionalFormatting>
  <conditionalFormatting sqref="A1534">
    <cfRule type="duplicateValues" dxfId="9547" priority="12317" stopIfTrue="1"/>
  </conditionalFormatting>
  <conditionalFormatting sqref="A1534">
    <cfRule type="duplicateValues" dxfId="9546" priority="12331" stopIfTrue="1"/>
  </conditionalFormatting>
  <conditionalFormatting sqref="A1534">
    <cfRule type="duplicateValues" dxfId="9545" priority="12316" stopIfTrue="1"/>
  </conditionalFormatting>
  <conditionalFormatting sqref="C1534">
    <cfRule type="duplicateValues" dxfId="9544" priority="12315" stopIfTrue="1"/>
  </conditionalFormatting>
  <conditionalFormatting sqref="A1535">
    <cfRule type="duplicateValues" dxfId="9543" priority="12313" stopIfTrue="1"/>
  </conditionalFormatting>
  <conditionalFormatting sqref="A1535">
    <cfRule type="duplicateValues" dxfId="9542" priority="12312" stopIfTrue="1"/>
  </conditionalFormatting>
  <conditionalFormatting sqref="A1535">
    <cfRule type="duplicateValues" dxfId="9541" priority="12311" stopIfTrue="1"/>
  </conditionalFormatting>
  <conditionalFormatting sqref="A1535">
    <cfRule type="duplicateValues" dxfId="9540" priority="12310" stopIfTrue="1"/>
  </conditionalFormatting>
  <conditionalFormatting sqref="A1535">
    <cfRule type="duplicateValues" dxfId="9539" priority="12309" stopIfTrue="1"/>
  </conditionalFormatting>
  <conditionalFormatting sqref="A1535">
    <cfRule type="duplicateValues" dxfId="9538" priority="12308" stopIfTrue="1"/>
  </conditionalFormatting>
  <conditionalFormatting sqref="A1535">
    <cfRule type="duplicateValues" dxfId="9537" priority="12307" stopIfTrue="1"/>
  </conditionalFormatting>
  <conditionalFormatting sqref="A1535">
    <cfRule type="duplicateValues" dxfId="9536" priority="12306" stopIfTrue="1"/>
  </conditionalFormatting>
  <conditionalFormatting sqref="A1535">
    <cfRule type="duplicateValues" dxfId="9535" priority="12305" stopIfTrue="1"/>
  </conditionalFormatting>
  <conditionalFormatting sqref="A1535">
    <cfRule type="duplicateValues" dxfId="9534" priority="12304" stopIfTrue="1"/>
  </conditionalFormatting>
  <conditionalFormatting sqref="A1535">
    <cfRule type="duplicateValues" dxfId="9533" priority="12303" stopIfTrue="1"/>
  </conditionalFormatting>
  <conditionalFormatting sqref="A1535">
    <cfRule type="duplicateValues" dxfId="9532" priority="12302" stopIfTrue="1"/>
  </conditionalFormatting>
  <conditionalFormatting sqref="A1535">
    <cfRule type="duplicateValues" dxfId="9531" priority="12301" stopIfTrue="1"/>
  </conditionalFormatting>
  <conditionalFormatting sqref="A1535">
    <cfRule type="duplicateValues" dxfId="9530" priority="12300" stopIfTrue="1"/>
  </conditionalFormatting>
  <conditionalFormatting sqref="A1535">
    <cfRule type="duplicateValues" dxfId="9529" priority="12314" stopIfTrue="1"/>
  </conditionalFormatting>
  <conditionalFormatting sqref="A1535">
    <cfRule type="duplicateValues" dxfId="9528" priority="12299" stopIfTrue="1"/>
  </conditionalFormatting>
  <conditionalFormatting sqref="C1535">
    <cfRule type="duplicateValues" dxfId="9527" priority="12298" stopIfTrue="1"/>
  </conditionalFormatting>
  <conditionalFormatting sqref="A1536">
    <cfRule type="duplicateValues" dxfId="9526" priority="12296" stopIfTrue="1"/>
  </conditionalFormatting>
  <conditionalFormatting sqref="A1536">
    <cfRule type="duplicateValues" dxfId="9525" priority="12295" stopIfTrue="1"/>
  </conditionalFormatting>
  <conditionalFormatting sqref="A1536">
    <cfRule type="duplicateValues" dxfId="9524" priority="12294" stopIfTrue="1"/>
  </conditionalFormatting>
  <conditionalFormatting sqref="A1536">
    <cfRule type="duplicateValues" dxfId="9523" priority="12293" stopIfTrue="1"/>
  </conditionalFormatting>
  <conditionalFormatting sqref="A1536">
    <cfRule type="duplicateValues" dxfId="9522" priority="12292" stopIfTrue="1"/>
  </conditionalFormatting>
  <conditionalFormatting sqref="A1536">
    <cfRule type="duplicateValues" dxfId="9521" priority="12291" stopIfTrue="1"/>
  </conditionalFormatting>
  <conditionalFormatting sqref="A1536">
    <cfRule type="duplicateValues" dxfId="9520" priority="12290" stopIfTrue="1"/>
  </conditionalFormatting>
  <conditionalFormatting sqref="A1536">
    <cfRule type="duplicateValues" dxfId="9519" priority="12289" stopIfTrue="1"/>
  </conditionalFormatting>
  <conditionalFormatting sqref="A1536">
    <cfRule type="duplicateValues" dxfId="9518" priority="12288" stopIfTrue="1"/>
  </conditionalFormatting>
  <conditionalFormatting sqref="A1536">
    <cfRule type="duplicateValues" dxfId="9517" priority="12287" stopIfTrue="1"/>
  </conditionalFormatting>
  <conditionalFormatting sqref="A1536">
    <cfRule type="duplicateValues" dxfId="9516" priority="12286" stopIfTrue="1"/>
  </conditionalFormatting>
  <conditionalFormatting sqref="A1536">
    <cfRule type="duplicateValues" dxfId="9515" priority="12285" stopIfTrue="1"/>
  </conditionalFormatting>
  <conditionalFormatting sqref="A1536">
    <cfRule type="duplicateValues" dxfId="9514" priority="12284" stopIfTrue="1"/>
  </conditionalFormatting>
  <conditionalFormatting sqref="A1536">
    <cfRule type="duplicateValues" dxfId="9513" priority="12283" stopIfTrue="1"/>
  </conditionalFormatting>
  <conditionalFormatting sqref="A1536">
    <cfRule type="duplicateValues" dxfId="9512" priority="12297" stopIfTrue="1"/>
  </conditionalFormatting>
  <conditionalFormatting sqref="A1536">
    <cfRule type="duplicateValues" dxfId="9511" priority="12282" stopIfTrue="1"/>
  </conditionalFormatting>
  <conditionalFormatting sqref="C1536">
    <cfRule type="duplicateValues" dxfId="9510" priority="12281" stopIfTrue="1"/>
  </conditionalFormatting>
  <conditionalFormatting sqref="A1537">
    <cfRule type="duplicateValues" dxfId="9509" priority="12279" stopIfTrue="1"/>
  </conditionalFormatting>
  <conditionalFormatting sqref="A1537">
    <cfRule type="duplicateValues" dxfId="9508" priority="12278" stopIfTrue="1"/>
  </conditionalFormatting>
  <conditionalFormatting sqref="A1537">
    <cfRule type="duplicateValues" dxfId="9507" priority="12277" stopIfTrue="1"/>
  </conditionalFormatting>
  <conditionalFormatting sqref="A1537">
    <cfRule type="duplicateValues" dxfId="9506" priority="12276" stopIfTrue="1"/>
  </conditionalFormatting>
  <conditionalFormatting sqref="A1537">
    <cfRule type="duplicateValues" dxfId="9505" priority="12275" stopIfTrue="1"/>
  </conditionalFormatting>
  <conditionalFormatting sqref="A1537">
    <cfRule type="duplicateValues" dxfId="9504" priority="12274" stopIfTrue="1"/>
  </conditionalFormatting>
  <conditionalFormatting sqref="A1537">
    <cfRule type="duplicateValues" dxfId="9503" priority="12273" stopIfTrue="1"/>
  </conditionalFormatting>
  <conditionalFormatting sqref="A1537">
    <cfRule type="duplicateValues" dxfId="9502" priority="12272" stopIfTrue="1"/>
  </conditionalFormatting>
  <conditionalFormatting sqref="A1537">
    <cfRule type="duplicateValues" dxfId="9501" priority="12271" stopIfTrue="1"/>
  </conditionalFormatting>
  <conditionalFormatting sqref="A1537">
    <cfRule type="duplicateValues" dxfId="9500" priority="12270" stopIfTrue="1"/>
  </conditionalFormatting>
  <conditionalFormatting sqref="A1537">
    <cfRule type="duplicateValues" dxfId="9499" priority="12269" stopIfTrue="1"/>
  </conditionalFormatting>
  <conditionalFormatting sqref="A1537">
    <cfRule type="duplicateValues" dxfId="9498" priority="12268" stopIfTrue="1"/>
  </conditionalFormatting>
  <conditionalFormatting sqref="A1537">
    <cfRule type="duplicateValues" dxfId="9497" priority="12267" stopIfTrue="1"/>
  </conditionalFormatting>
  <conditionalFormatting sqref="A1537">
    <cfRule type="duplicateValues" dxfId="9496" priority="12266" stopIfTrue="1"/>
  </conditionalFormatting>
  <conditionalFormatting sqref="A1537">
    <cfRule type="duplicateValues" dxfId="9495" priority="12280" stopIfTrue="1"/>
  </conditionalFormatting>
  <conditionalFormatting sqref="A1537">
    <cfRule type="duplicateValues" dxfId="9494" priority="12265" stopIfTrue="1"/>
  </conditionalFormatting>
  <conditionalFormatting sqref="C1537">
    <cfRule type="duplicateValues" dxfId="9493" priority="12264" stopIfTrue="1"/>
  </conditionalFormatting>
  <conditionalFormatting sqref="A1763 A1682 A1722">
    <cfRule type="duplicateValues" dxfId="9492" priority="12260" stopIfTrue="1"/>
  </conditionalFormatting>
  <conditionalFormatting sqref="A1682">
    <cfRule type="duplicateValues" dxfId="9491" priority="12259" stopIfTrue="1"/>
  </conditionalFormatting>
  <conditionalFormatting sqref="A1682">
    <cfRule type="duplicateValues" dxfId="9490" priority="12258" stopIfTrue="1"/>
  </conditionalFormatting>
  <conditionalFormatting sqref="A1682">
    <cfRule type="duplicateValues" dxfId="9489" priority="12257" stopIfTrue="1"/>
  </conditionalFormatting>
  <conditionalFormatting sqref="A1682">
    <cfRule type="duplicateValues" dxfId="9488" priority="12256" stopIfTrue="1"/>
  </conditionalFormatting>
  <conditionalFormatting sqref="A1682">
    <cfRule type="duplicateValues" dxfId="9487" priority="12255" stopIfTrue="1"/>
  </conditionalFormatting>
  <conditionalFormatting sqref="A1682">
    <cfRule type="duplicateValues" dxfId="9486" priority="12254" stopIfTrue="1"/>
  </conditionalFormatting>
  <conditionalFormatting sqref="A1682">
    <cfRule type="duplicateValues" dxfId="9485" priority="12253" stopIfTrue="1"/>
  </conditionalFormatting>
  <conditionalFormatting sqref="A1682">
    <cfRule type="duplicateValues" dxfId="9484" priority="12252" stopIfTrue="1"/>
  </conditionalFormatting>
  <conditionalFormatting sqref="A1682">
    <cfRule type="duplicateValues" dxfId="9483" priority="12251" stopIfTrue="1"/>
  </conditionalFormatting>
  <conditionalFormatting sqref="A1682">
    <cfRule type="duplicateValues" dxfId="9482" priority="12250" stopIfTrue="1"/>
  </conditionalFormatting>
  <conditionalFormatting sqref="A1682">
    <cfRule type="duplicateValues" dxfId="9481" priority="12249" stopIfTrue="1"/>
  </conditionalFormatting>
  <conditionalFormatting sqref="A1682">
    <cfRule type="duplicateValues" dxfId="9480" priority="12248" stopIfTrue="1"/>
  </conditionalFormatting>
  <conditionalFormatting sqref="A1682">
    <cfRule type="duplicateValues" dxfId="9479" priority="12263" stopIfTrue="1"/>
  </conditionalFormatting>
  <conditionalFormatting sqref="A1682">
    <cfRule type="duplicateValues" dxfId="9478" priority="12247" stopIfTrue="1"/>
  </conditionalFormatting>
  <conditionalFormatting sqref="R1681">
    <cfRule type="duplicateValues" dxfId="9477" priority="12243" stopIfTrue="1"/>
  </conditionalFormatting>
  <conditionalFormatting sqref="R1681">
    <cfRule type="duplicateValues" dxfId="9476" priority="12244" stopIfTrue="1"/>
  </conditionalFormatting>
  <conditionalFormatting sqref="R1681">
    <cfRule type="duplicateValues" dxfId="9475" priority="12245" stopIfTrue="1"/>
  </conditionalFormatting>
  <conditionalFormatting sqref="R1681">
    <cfRule type="duplicateValues" dxfId="9474" priority="12242" stopIfTrue="1"/>
  </conditionalFormatting>
  <conditionalFormatting sqref="R1681">
    <cfRule type="duplicateValues" dxfId="9473" priority="12241" stopIfTrue="1"/>
  </conditionalFormatting>
  <conditionalFormatting sqref="R1681">
    <cfRule type="duplicateValues" dxfId="9472" priority="12240" stopIfTrue="1"/>
  </conditionalFormatting>
  <conditionalFormatting sqref="R1681">
    <cfRule type="duplicateValues" dxfId="9471" priority="12239" stopIfTrue="1"/>
  </conditionalFormatting>
  <conditionalFormatting sqref="A1150">
    <cfRule type="duplicateValues" dxfId="9470" priority="12237" stopIfTrue="1"/>
  </conditionalFormatting>
  <conditionalFormatting sqref="A1150">
    <cfRule type="duplicateValues" dxfId="9469" priority="12236" stopIfTrue="1"/>
  </conditionalFormatting>
  <conditionalFormatting sqref="A1150">
    <cfRule type="duplicateValues" dxfId="9468" priority="12235" stopIfTrue="1"/>
  </conditionalFormatting>
  <conditionalFormatting sqref="A1150">
    <cfRule type="duplicateValues" dxfId="9467" priority="12234" stopIfTrue="1"/>
  </conditionalFormatting>
  <conditionalFormatting sqref="A1150">
    <cfRule type="duplicateValues" dxfId="9466" priority="12233" stopIfTrue="1"/>
  </conditionalFormatting>
  <conditionalFormatting sqref="A1150">
    <cfRule type="duplicateValues" dxfId="9465" priority="12232" stopIfTrue="1"/>
  </conditionalFormatting>
  <conditionalFormatting sqref="A1150">
    <cfRule type="duplicateValues" dxfId="9464" priority="12231" stopIfTrue="1"/>
  </conditionalFormatting>
  <conditionalFormatting sqref="A1150">
    <cfRule type="duplicateValues" dxfId="9463" priority="12230" stopIfTrue="1"/>
  </conditionalFormatting>
  <conditionalFormatting sqref="A1150">
    <cfRule type="duplicateValues" dxfId="9462" priority="12229" stopIfTrue="1"/>
  </conditionalFormatting>
  <conditionalFormatting sqref="A1150">
    <cfRule type="duplicateValues" dxfId="9461" priority="12228" stopIfTrue="1"/>
  </conditionalFormatting>
  <conditionalFormatting sqref="A1150">
    <cfRule type="duplicateValues" dxfId="9460" priority="12227" stopIfTrue="1"/>
  </conditionalFormatting>
  <conditionalFormatting sqref="A1150">
    <cfRule type="duplicateValues" dxfId="9459" priority="12226" stopIfTrue="1"/>
  </conditionalFormatting>
  <conditionalFormatting sqref="A1150">
    <cfRule type="duplicateValues" dxfId="9458" priority="12225" stopIfTrue="1"/>
  </conditionalFormatting>
  <conditionalFormatting sqref="A1150">
    <cfRule type="duplicateValues" dxfId="9457" priority="12224" stopIfTrue="1"/>
  </conditionalFormatting>
  <conditionalFormatting sqref="A1150">
    <cfRule type="duplicateValues" dxfId="9456" priority="12238" stopIfTrue="1"/>
  </conditionalFormatting>
  <conditionalFormatting sqref="A1150">
    <cfRule type="duplicateValues" dxfId="9455" priority="12223" stopIfTrue="1"/>
  </conditionalFormatting>
  <conditionalFormatting sqref="C1150">
    <cfRule type="duplicateValues" dxfId="9454" priority="12222" stopIfTrue="1"/>
  </conditionalFormatting>
  <conditionalFormatting sqref="C1764 C1743">
    <cfRule type="duplicateValues" dxfId="9453" priority="12216" stopIfTrue="1"/>
  </conditionalFormatting>
  <conditionalFormatting sqref="A1151">
    <cfRule type="duplicateValues" dxfId="9452" priority="12189" stopIfTrue="1"/>
  </conditionalFormatting>
  <conditionalFormatting sqref="A1151">
    <cfRule type="duplicateValues" dxfId="9451" priority="12188" stopIfTrue="1"/>
  </conditionalFormatting>
  <conditionalFormatting sqref="A1151">
    <cfRule type="duplicateValues" dxfId="9450" priority="12187" stopIfTrue="1"/>
  </conditionalFormatting>
  <conditionalFormatting sqref="A1151">
    <cfRule type="duplicateValues" dxfId="9449" priority="12186" stopIfTrue="1"/>
  </conditionalFormatting>
  <conditionalFormatting sqref="A1151">
    <cfRule type="duplicateValues" dxfId="9448" priority="12185" stopIfTrue="1"/>
  </conditionalFormatting>
  <conditionalFormatting sqref="A1151">
    <cfRule type="duplicateValues" dxfId="9447" priority="12184" stopIfTrue="1"/>
  </conditionalFormatting>
  <conditionalFormatting sqref="A1151">
    <cfRule type="duplicateValues" dxfId="9446" priority="12183" stopIfTrue="1"/>
  </conditionalFormatting>
  <conditionalFormatting sqref="A1151">
    <cfRule type="duplicateValues" dxfId="9445" priority="12182" stopIfTrue="1"/>
  </conditionalFormatting>
  <conditionalFormatting sqref="A1151">
    <cfRule type="duplicateValues" dxfId="9444" priority="12181" stopIfTrue="1"/>
  </conditionalFormatting>
  <conditionalFormatting sqref="A1151">
    <cfRule type="duplicateValues" dxfId="9443" priority="12180" stopIfTrue="1"/>
  </conditionalFormatting>
  <conditionalFormatting sqref="A1151">
    <cfRule type="duplicateValues" dxfId="9442" priority="12179" stopIfTrue="1"/>
  </conditionalFormatting>
  <conditionalFormatting sqref="A1151">
    <cfRule type="duplicateValues" dxfId="9441" priority="12178" stopIfTrue="1"/>
  </conditionalFormatting>
  <conditionalFormatting sqref="A1151">
    <cfRule type="duplicateValues" dxfId="9440" priority="12177" stopIfTrue="1"/>
  </conditionalFormatting>
  <conditionalFormatting sqref="A1151">
    <cfRule type="duplicateValues" dxfId="9439" priority="12176" stopIfTrue="1"/>
  </conditionalFormatting>
  <conditionalFormatting sqref="A1151">
    <cfRule type="duplicateValues" dxfId="9438" priority="12190" stopIfTrue="1"/>
  </conditionalFormatting>
  <conditionalFormatting sqref="A1151">
    <cfRule type="duplicateValues" dxfId="9437" priority="12175" stopIfTrue="1"/>
  </conditionalFormatting>
  <conditionalFormatting sqref="C1151">
    <cfRule type="duplicateValues" dxfId="9436" priority="12174" stopIfTrue="1"/>
  </conditionalFormatting>
  <conditionalFormatting sqref="A1899:A66161 A1681:A1682 A1150:A1151 A1045:A1062 A1498:A1500 A1702 A1722 A1742:A1743 A1763:A1764 A1533:A1537 A1 A1529:A1531 A1065:A1070 A362:A529 A1074:A1119 A531:A1041 A357 A1433:A1448 A1159:A1162 A1512:A1524 A1450:A1464 A1164:A1408 A1427">
    <cfRule type="duplicateValues" dxfId="9435" priority="12151" stopIfTrue="1"/>
  </conditionalFormatting>
  <conditionalFormatting sqref="A1702 A1681 A1742:A1743">
    <cfRule type="duplicateValues" dxfId="9434" priority="21713" stopIfTrue="1"/>
  </conditionalFormatting>
  <conditionalFormatting sqref="A1702 A1681 A1742:A1743">
    <cfRule type="duplicateValues" dxfId="9433" priority="21716" stopIfTrue="1"/>
  </conditionalFormatting>
  <conditionalFormatting sqref="C1763 C1682 C1702 C1722 C1742">
    <cfRule type="duplicateValues" dxfId="9432" priority="21745" stopIfTrue="1"/>
  </conditionalFormatting>
  <conditionalFormatting sqref="A1763:A1764 A1682 A1722">
    <cfRule type="duplicateValues" dxfId="9431" priority="23194" stopIfTrue="1"/>
  </conditionalFormatting>
  <conditionalFormatting sqref="A1763:A1764 A1682 A1722">
    <cfRule type="duplicateValues" dxfId="9430" priority="23197" stopIfTrue="1"/>
  </conditionalFormatting>
  <conditionalFormatting sqref="R1682 R1702 R1722 R1742:R1743 R1763:R1764">
    <cfRule type="duplicateValues" dxfId="9429" priority="12116" stopIfTrue="1"/>
  </conditionalFormatting>
  <conditionalFormatting sqref="R1682 R1702 R1722 R1742:R1743 R1763:R1764">
    <cfRule type="duplicateValues" dxfId="9428" priority="12117" stopIfTrue="1"/>
  </conditionalFormatting>
  <conditionalFormatting sqref="A1681">
    <cfRule type="duplicateValues" dxfId="9427" priority="24621" stopIfTrue="1"/>
  </conditionalFormatting>
  <conditionalFormatting sqref="A1124">
    <cfRule type="duplicateValues" dxfId="9426" priority="12109" stopIfTrue="1"/>
  </conditionalFormatting>
  <conditionalFormatting sqref="A1124">
    <cfRule type="duplicateValues" dxfId="9425" priority="12108" stopIfTrue="1"/>
  </conditionalFormatting>
  <conditionalFormatting sqref="A1124">
    <cfRule type="duplicateValues" dxfId="9424" priority="12107" stopIfTrue="1"/>
  </conditionalFormatting>
  <conditionalFormatting sqref="A1124">
    <cfRule type="duplicateValues" dxfId="9423" priority="12106" stopIfTrue="1"/>
  </conditionalFormatting>
  <conditionalFormatting sqref="A1124">
    <cfRule type="duplicateValues" dxfId="9422" priority="12105" stopIfTrue="1"/>
  </conditionalFormatting>
  <conditionalFormatting sqref="A1124">
    <cfRule type="duplicateValues" dxfId="9421" priority="12104" stopIfTrue="1"/>
  </conditionalFormatting>
  <conditionalFormatting sqref="A1124">
    <cfRule type="duplicateValues" dxfId="9420" priority="12103" stopIfTrue="1"/>
  </conditionalFormatting>
  <conditionalFormatting sqref="A1124">
    <cfRule type="duplicateValues" dxfId="9419" priority="12102" stopIfTrue="1"/>
  </conditionalFormatting>
  <conditionalFormatting sqref="A1124">
    <cfRule type="duplicateValues" dxfId="9418" priority="12101" stopIfTrue="1"/>
  </conditionalFormatting>
  <conditionalFormatting sqref="A1124">
    <cfRule type="duplicateValues" dxfId="9417" priority="12100" stopIfTrue="1"/>
  </conditionalFormatting>
  <conditionalFormatting sqref="A1124">
    <cfRule type="duplicateValues" dxfId="9416" priority="12099" stopIfTrue="1"/>
  </conditionalFormatting>
  <conditionalFormatting sqref="A1124">
    <cfRule type="duplicateValues" dxfId="9415" priority="12098" stopIfTrue="1"/>
  </conditionalFormatting>
  <conditionalFormatting sqref="A1124">
    <cfRule type="duplicateValues" dxfId="9414" priority="12097" stopIfTrue="1"/>
  </conditionalFormatting>
  <conditionalFormatting sqref="A1124">
    <cfRule type="duplicateValues" dxfId="9413" priority="12096" stopIfTrue="1"/>
  </conditionalFormatting>
  <conditionalFormatting sqref="A1124">
    <cfRule type="duplicateValues" dxfId="9412" priority="12110" stopIfTrue="1"/>
  </conditionalFormatting>
  <conditionalFormatting sqref="A1124">
    <cfRule type="duplicateValues" dxfId="9411" priority="12095" stopIfTrue="1"/>
  </conditionalFormatting>
  <conditionalFormatting sqref="C1124">
    <cfRule type="duplicateValues" dxfId="9410" priority="12094" stopIfTrue="1"/>
  </conditionalFormatting>
  <conditionalFormatting sqref="A1124">
    <cfRule type="duplicateValues" dxfId="9409" priority="12093" stopIfTrue="1"/>
  </conditionalFormatting>
  <conditionalFormatting sqref="A1899:A66161 A1681:A1682 A1045:A1062 A1498:A1500 A1702 A1722 A1742:A1743 A1763:A1764 A1150:A1151 A1533:A1537 A1 A1124 A1529:A1531 A1065:A1070 A362:A529 A1074:A1119 A531:A1041 A357 A1433:A1448 A1159:A1162 A1512:A1524 A1450:A1464 A1164:A1408 A1427">
    <cfRule type="duplicateValues" dxfId="9408" priority="12092" stopIfTrue="1"/>
  </conditionalFormatting>
  <conditionalFormatting sqref="A1044">
    <cfRule type="duplicateValues" dxfId="9407" priority="12090" stopIfTrue="1"/>
  </conditionalFormatting>
  <conditionalFormatting sqref="A1044">
    <cfRule type="duplicateValues" dxfId="9406" priority="12089" stopIfTrue="1"/>
  </conditionalFormatting>
  <conditionalFormatting sqref="A1044">
    <cfRule type="duplicateValues" dxfId="9405" priority="12088" stopIfTrue="1"/>
  </conditionalFormatting>
  <conditionalFormatting sqref="A1044">
    <cfRule type="duplicateValues" dxfId="9404" priority="12087" stopIfTrue="1"/>
  </conditionalFormatting>
  <conditionalFormatting sqref="A1044">
    <cfRule type="duplicateValues" dxfId="9403" priority="12086" stopIfTrue="1"/>
  </conditionalFormatting>
  <conditionalFormatting sqref="A1044">
    <cfRule type="duplicateValues" dxfId="9402" priority="12085" stopIfTrue="1"/>
  </conditionalFormatting>
  <conditionalFormatting sqref="A1044">
    <cfRule type="duplicateValues" dxfId="9401" priority="12084" stopIfTrue="1"/>
  </conditionalFormatting>
  <conditionalFormatting sqref="A1044">
    <cfRule type="duplicateValues" dxfId="9400" priority="12083" stopIfTrue="1"/>
  </conditionalFormatting>
  <conditionalFormatting sqref="A1044">
    <cfRule type="duplicateValues" dxfId="9399" priority="12082" stopIfTrue="1"/>
  </conditionalFormatting>
  <conditionalFormatting sqref="A1044">
    <cfRule type="duplicateValues" dxfId="9398" priority="12081" stopIfTrue="1"/>
  </conditionalFormatting>
  <conditionalFormatting sqref="A1044">
    <cfRule type="duplicateValues" dxfId="9397" priority="12080" stopIfTrue="1"/>
  </conditionalFormatting>
  <conditionalFormatting sqref="A1044">
    <cfRule type="duplicateValues" dxfId="9396" priority="12079" stopIfTrue="1"/>
  </conditionalFormatting>
  <conditionalFormatting sqref="A1044">
    <cfRule type="duplicateValues" dxfId="9395" priority="12078" stopIfTrue="1"/>
  </conditionalFormatting>
  <conditionalFormatting sqref="A1044">
    <cfRule type="duplicateValues" dxfId="9394" priority="12077" stopIfTrue="1"/>
  </conditionalFormatting>
  <conditionalFormatting sqref="A1044">
    <cfRule type="duplicateValues" dxfId="9393" priority="12091" stopIfTrue="1"/>
  </conditionalFormatting>
  <conditionalFormatting sqref="A1044">
    <cfRule type="duplicateValues" dxfId="9392" priority="12076" stopIfTrue="1"/>
  </conditionalFormatting>
  <conditionalFormatting sqref="C1044">
    <cfRule type="duplicateValues" dxfId="9391" priority="12075" stopIfTrue="1"/>
  </conditionalFormatting>
  <conditionalFormatting sqref="A1044">
    <cfRule type="duplicateValues" dxfId="9390" priority="12074" stopIfTrue="1"/>
  </conditionalFormatting>
  <conditionalFormatting sqref="A1044">
    <cfRule type="duplicateValues" dxfId="9389" priority="12073" stopIfTrue="1"/>
  </conditionalFormatting>
  <conditionalFormatting sqref="A1538">
    <cfRule type="duplicateValues" dxfId="9388" priority="12071" stopIfTrue="1"/>
  </conditionalFormatting>
  <conditionalFormatting sqref="A1538">
    <cfRule type="duplicateValues" dxfId="9387" priority="12070" stopIfTrue="1"/>
  </conditionalFormatting>
  <conditionalFormatting sqref="A1538">
    <cfRule type="duplicateValues" dxfId="9386" priority="12069" stopIfTrue="1"/>
  </conditionalFormatting>
  <conditionalFormatting sqref="A1538">
    <cfRule type="duplicateValues" dxfId="9385" priority="12068" stopIfTrue="1"/>
  </conditionalFormatting>
  <conditionalFormatting sqref="A1538">
    <cfRule type="duplicateValues" dxfId="9384" priority="12067" stopIfTrue="1"/>
  </conditionalFormatting>
  <conditionalFormatting sqref="A1538">
    <cfRule type="duplicateValues" dxfId="9383" priority="12066" stopIfTrue="1"/>
  </conditionalFormatting>
  <conditionalFormatting sqref="A1538">
    <cfRule type="duplicateValues" dxfId="9382" priority="12065" stopIfTrue="1"/>
  </conditionalFormatting>
  <conditionalFormatting sqref="A1538">
    <cfRule type="duplicateValues" dxfId="9381" priority="12064" stopIfTrue="1"/>
  </conditionalFormatting>
  <conditionalFormatting sqref="A1538">
    <cfRule type="duplicateValues" dxfId="9380" priority="12063" stopIfTrue="1"/>
  </conditionalFormatting>
  <conditionalFormatting sqref="A1538">
    <cfRule type="duplicateValues" dxfId="9379" priority="12062" stopIfTrue="1"/>
  </conditionalFormatting>
  <conditionalFormatting sqref="A1538">
    <cfRule type="duplicateValues" dxfId="9378" priority="12061" stopIfTrue="1"/>
  </conditionalFormatting>
  <conditionalFormatting sqref="A1538">
    <cfRule type="duplicateValues" dxfId="9377" priority="12060" stopIfTrue="1"/>
  </conditionalFormatting>
  <conditionalFormatting sqref="A1538">
    <cfRule type="duplicateValues" dxfId="9376" priority="12059" stopIfTrue="1"/>
  </conditionalFormatting>
  <conditionalFormatting sqref="A1538">
    <cfRule type="duplicateValues" dxfId="9375" priority="12058" stopIfTrue="1"/>
  </conditionalFormatting>
  <conditionalFormatting sqref="A1538">
    <cfRule type="duplicateValues" dxfId="9374" priority="12072" stopIfTrue="1"/>
  </conditionalFormatting>
  <conditionalFormatting sqref="A1538">
    <cfRule type="duplicateValues" dxfId="9373" priority="12057" stopIfTrue="1"/>
  </conditionalFormatting>
  <conditionalFormatting sqref="C1538">
    <cfRule type="duplicateValues" dxfId="9372" priority="12056" stopIfTrue="1"/>
  </conditionalFormatting>
  <conditionalFormatting sqref="A1538">
    <cfRule type="duplicateValues" dxfId="9371" priority="12055" stopIfTrue="1"/>
  </conditionalFormatting>
  <conditionalFormatting sqref="A1538">
    <cfRule type="duplicateValues" dxfId="9370" priority="12054" stopIfTrue="1"/>
  </conditionalFormatting>
  <conditionalFormatting sqref="A1899:A66161 A1498:A1500 A1702 A1722 A1742:A1743 A1763:A1764 A1681:A1682 A1150:A1151 A1533:A1538 A1 A1044:A1062 A1124 A1529:A1531 A1065:A1070 A362:A529 A1074:A1119 A531:A1041 A357 A1433:A1448 A1159:A1162 A1512:A1524 A1450:A1464 A1164:A1408 A1427">
    <cfRule type="duplicateValues" dxfId="9369" priority="12053" stopIfTrue="1"/>
  </conditionalFormatting>
  <conditionalFormatting sqref="A1466">
    <cfRule type="duplicateValues" dxfId="9368" priority="12051" stopIfTrue="1"/>
  </conditionalFormatting>
  <conditionalFormatting sqref="A1466">
    <cfRule type="duplicateValues" dxfId="9367" priority="12050" stopIfTrue="1"/>
  </conditionalFormatting>
  <conditionalFormatting sqref="A1466">
    <cfRule type="duplicateValues" dxfId="9366" priority="12049" stopIfTrue="1"/>
  </conditionalFormatting>
  <conditionalFormatting sqref="A1466">
    <cfRule type="duplicateValues" dxfId="9365" priority="12048" stopIfTrue="1"/>
  </conditionalFormatting>
  <conditionalFormatting sqref="A1466">
    <cfRule type="duplicateValues" dxfId="9364" priority="12047" stopIfTrue="1"/>
  </conditionalFormatting>
  <conditionalFormatting sqref="A1466">
    <cfRule type="duplicateValues" dxfId="9363" priority="12046" stopIfTrue="1"/>
  </conditionalFormatting>
  <conditionalFormatting sqref="A1466">
    <cfRule type="duplicateValues" dxfId="9362" priority="12045" stopIfTrue="1"/>
  </conditionalFormatting>
  <conditionalFormatting sqref="A1466">
    <cfRule type="duplicateValues" dxfId="9361" priority="12044" stopIfTrue="1"/>
  </conditionalFormatting>
  <conditionalFormatting sqref="A1466">
    <cfRule type="duplicateValues" dxfId="9360" priority="12043" stopIfTrue="1"/>
  </conditionalFormatting>
  <conditionalFormatting sqref="A1466">
    <cfRule type="duplicateValues" dxfId="9359" priority="12042" stopIfTrue="1"/>
  </conditionalFormatting>
  <conditionalFormatting sqref="A1466">
    <cfRule type="duplicateValues" dxfId="9358" priority="12041" stopIfTrue="1"/>
  </conditionalFormatting>
  <conditionalFormatting sqref="A1466">
    <cfRule type="duplicateValues" dxfId="9357" priority="12040" stopIfTrue="1"/>
  </conditionalFormatting>
  <conditionalFormatting sqref="A1466">
    <cfRule type="duplicateValues" dxfId="9356" priority="12039" stopIfTrue="1"/>
  </conditionalFormatting>
  <conditionalFormatting sqref="A1466">
    <cfRule type="duplicateValues" dxfId="9355" priority="12038" stopIfTrue="1"/>
  </conditionalFormatting>
  <conditionalFormatting sqref="A1466">
    <cfRule type="duplicateValues" dxfId="9354" priority="12052" stopIfTrue="1"/>
  </conditionalFormatting>
  <conditionalFormatting sqref="A1466">
    <cfRule type="duplicateValues" dxfId="9353" priority="12037" stopIfTrue="1"/>
  </conditionalFormatting>
  <conditionalFormatting sqref="C1466">
    <cfRule type="duplicateValues" dxfId="9352" priority="12036" stopIfTrue="1"/>
  </conditionalFormatting>
  <conditionalFormatting sqref="A1466">
    <cfRule type="duplicateValues" dxfId="9351" priority="12035" stopIfTrue="1"/>
  </conditionalFormatting>
  <conditionalFormatting sqref="A1466">
    <cfRule type="duplicateValues" dxfId="9350" priority="12034" stopIfTrue="1"/>
  </conditionalFormatting>
  <conditionalFormatting sqref="A1466">
    <cfRule type="duplicateValues" dxfId="9349" priority="12033" stopIfTrue="1"/>
  </conditionalFormatting>
  <conditionalFormatting sqref="A1899:A66161 A1498:A1500 A1702 A1722 A1742:A1743 A1763:A1764 A1681:A1682 A1150:A1151 A1533:A1538 A1 A1044:A1062 A1124 A1529:A1531 A1065:A1070 A362:A529 A1074:A1119 A531:A1041 A357 A1433:A1448 A1159:A1162 A1512:A1524 A1466 A1450:A1464 A1164:A1408 A1427">
    <cfRule type="duplicateValues" dxfId="9348" priority="12032" stopIfTrue="1"/>
  </conditionalFormatting>
  <conditionalFormatting sqref="A1467">
    <cfRule type="duplicateValues" dxfId="9347" priority="12030" stopIfTrue="1"/>
  </conditionalFormatting>
  <conditionalFormatting sqref="A1467">
    <cfRule type="duplicateValues" dxfId="9346" priority="12029" stopIfTrue="1"/>
  </conditionalFormatting>
  <conditionalFormatting sqref="A1467">
    <cfRule type="duplicateValues" dxfId="9345" priority="12028" stopIfTrue="1"/>
  </conditionalFormatting>
  <conditionalFormatting sqref="A1467">
    <cfRule type="duplicateValues" dxfId="9344" priority="12027" stopIfTrue="1"/>
  </conditionalFormatting>
  <conditionalFormatting sqref="A1467">
    <cfRule type="duplicateValues" dxfId="9343" priority="12026" stopIfTrue="1"/>
  </conditionalFormatting>
  <conditionalFormatting sqref="A1467">
    <cfRule type="duplicateValues" dxfId="9342" priority="12025" stopIfTrue="1"/>
  </conditionalFormatting>
  <conditionalFormatting sqref="A1467">
    <cfRule type="duplicateValues" dxfId="9341" priority="12024" stopIfTrue="1"/>
  </conditionalFormatting>
  <conditionalFormatting sqref="A1467">
    <cfRule type="duplicateValues" dxfId="9340" priority="12023" stopIfTrue="1"/>
  </conditionalFormatting>
  <conditionalFormatting sqref="A1467">
    <cfRule type="duplicateValues" dxfId="9339" priority="12022" stopIfTrue="1"/>
  </conditionalFormatting>
  <conditionalFormatting sqref="A1467">
    <cfRule type="duplicateValues" dxfId="9338" priority="12021" stopIfTrue="1"/>
  </conditionalFormatting>
  <conditionalFormatting sqref="A1467">
    <cfRule type="duplicateValues" dxfId="9337" priority="12020" stopIfTrue="1"/>
  </conditionalFormatting>
  <conditionalFormatting sqref="A1467">
    <cfRule type="duplicateValues" dxfId="9336" priority="12019" stopIfTrue="1"/>
  </conditionalFormatting>
  <conditionalFormatting sqref="A1467">
    <cfRule type="duplicateValues" dxfId="9335" priority="12018" stopIfTrue="1"/>
  </conditionalFormatting>
  <conditionalFormatting sqref="A1467">
    <cfRule type="duplicateValues" dxfId="9334" priority="12017" stopIfTrue="1"/>
  </conditionalFormatting>
  <conditionalFormatting sqref="A1467">
    <cfRule type="duplicateValues" dxfId="9333" priority="12031" stopIfTrue="1"/>
  </conditionalFormatting>
  <conditionalFormatting sqref="A1467">
    <cfRule type="duplicateValues" dxfId="9332" priority="12016" stopIfTrue="1"/>
  </conditionalFormatting>
  <conditionalFormatting sqref="C1467">
    <cfRule type="duplicateValues" dxfId="9331" priority="12015" stopIfTrue="1"/>
  </conditionalFormatting>
  <conditionalFormatting sqref="A1467">
    <cfRule type="duplicateValues" dxfId="9330" priority="12014" stopIfTrue="1"/>
  </conditionalFormatting>
  <conditionalFormatting sqref="A1467">
    <cfRule type="duplicateValues" dxfId="9329" priority="12013" stopIfTrue="1"/>
  </conditionalFormatting>
  <conditionalFormatting sqref="A1467">
    <cfRule type="duplicateValues" dxfId="9328" priority="12012" stopIfTrue="1"/>
  </conditionalFormatting>
  <conditionalFormatting sqref="A1467">
    <cfRule type="duplicateValues" dxfId="9327" priority="12011" stopIfTrue="1"/>
  </conditionalFormatting>
  <conditionalFormatting sqref="A1899:A66161 A1498:A1500 A1702 A1722 A1742:A1743 A1763:A1764 A1681:A1682 A1150:A1151 A1533:A1538 A1 A1044:A1062 A1124 A1529:A1531 A1065:A1070 A362:A529 A1074:A1119 A531:A1041 A357 A1433:A1448 A1159:A1162 A1512:A1524 A1466:A1467 A1450:A1464 A1164:A1408 A1427">
    <cfRule type="duplicateValues" dxfId="9326" priority="12010" stopIfTrue="1"/>
  </conditionalFormatting>
  <conditionalFormatting sqref="A1468">
    <cfRule type="duplicateValues" dxfId="9325" priority="12008" stopIfTrue="1"/>
  </conditionalFormatting>
  <conditionalFormatting sqref="A1468">
    <cfRule type="duplicateValues" dxfId="9324" priority="12007" stopIfTrue="1"/>
  </conditionalFormatting>
  <conditionalFormatting sqref="A1468">
    <cfRule type="duplicateValues" dxfId="9323" priority="12006" stopIfTrue="1"/>
  </conditionalFormatting>
  <conditionalFormatting sqref="A1468">
    <cfRule type="duplicateValues" dxfId="9322" priority="12005" stopIfTrue="1"/>
  </conditionalFormatting>
  <conditionalFormatting sqref="A1468">
    <cfRule type="duplicateValues" dxfId="9321" priority="12004" stopIfTrue="1"/>
  </conditionalFormatting>
  <conditionalFormatting sqref="A1468">
    <cfRule type="duplicateValues" dxfId="9320" priority="12003" stopIfTrue="1"/>
  </conditionalFormatting>
  <conditionalFormatting sqref="A1468">
    <cfRule type="duplicateValues" dxfId="9319" priority="12002" stopIfTrue="1"/>
  </conditionalFormatting>
  <conditionalFormatting sqref="A1468">
    <cfRule type="duplicateValues" dxfId="9318" priority="12001" stopIfTrue="1"/>
  </conditionalFormatting>
  <conditionalFormatting sqref="A1468">
    <cfRule type="duplicateValues" dxfId="9317" priority="12000" stopIfTrue="1"/>
  </conditionalFormatting>
  <conditionalFormatting sqref="A1468">
    <cfRule type="duplicateValues" dxfId="9316" priority="11999" stopIfTrue="1"/>
  </conditionalFormatting>
  <conditionalFormatting sqref="A1468">
    <cfRule type="duplicateValues" dxfId="9315" priority="11998" stopIfTrue="1"/>
  </conditionalFormatting>
  <conditionalFormatting sqref="A1468">
    <cfRule type="duplicateValues" dxfId="9314" priority="11997" stopIfTrue="1"/>
  </conditionalFormatting>
  <conditionalFormatting sqref="A1468">
    <cfRule type="duplicateValues" dxfId="9313" priority="11996" stopIfTrue="1"/>
  </conditionalFormatting>
  <conditionalFormatting sqref="A1468">
    <cfRule type="duplicateValues" dxfId="9312" priority="11995" stopIfTrue="1"/>
  </conditionalFormatting>
  <conditionalFormatting sqref="A1468">
    <cfRule type="duplicateValues" dxfId="9311" priority="12009" stopIfTrue="1"/>
  </conditionalFormatting>
  <conditionalFormatting sqref="A1468">
    <cfRule type="duplicateValues" dxfId="9310" priority="11994" stopIfTrue="1"/>
  </conditionalFormatting>
  <conditionalFormatting sqref="C1468">
    <cfRule type="duplicateValues" dxfId="9309" priority="11993" stopIfTrue="1"/>
  </conditionalFormatting>
  <conditionalFormatting sqref="A1468">
    <cfRule type="duplicateValues" dxfId="9308" priority="11992" stopIfTrue="1"/>
  </conditionalFormatting>
  <conditionalFormatting sqref="A1468">
    <cfRule type="duplicateValues" dxfId="9307" priority="11991" stopIfTrue="1"/>
  </conditionalFormatting>
  <conditionalFormatting sqref="A1468">
    <cfRule type="duplicateValues" dxfId="9306" priority="11990" stopIfTrue="1"/>
  </conditionalFormatting>
  <conditionalFormatting sqref="A1468">
    <cfRule type="duplicateValues" dxfId="9305" priority="11989" stopIfTrue="1"/>
  </conditionalFormatting>
  <conditionalFormatting sqref="A1468">
    <cfRule type="duplicateValues" dxfId="9304" priority="11988" stopIfTrue="1"/>
  </conditionalFormatting>
  <conditionalFormatting sqref="A1469">
    <cfRule type="duplicateValues" dxfId="9303" priority="11986" stopIfTrue="1"/>
  </conditionalFormatting>
  <conditionalFormatting sqref="A1469">
    <cfRule type="duplicateValues" dxfId="9302" priority="11985" stopIfTrue="1"/>
  </conditionalFormatting>
  <conditionalFormatting sqref="A1469">
    <cfRule type="duplicateValues" dxfId="9301" priority="11984" stopIfTrue="1"/>
  </conditionalFormatting>
  <conditionalFormatting sqref="A1469">
    <cfRule type="duplicateValues" dxfId="9300" priority="11983" stopIfTrue="1"/>
  </conditionalFormatting>
  <conditionalFormatting sqref="A1469">
    <cfRule type="duplicateValues" dxfId="9299" priority="11982" stopIfTrue="1"/>
  </conditionalFormatting>
  <conditionalFormatting sqref="A1469">
    <cfRule type="duplicateValues" dxfId="9298" priority="11981" stopIfTrue="1"/>
  </conditionalFormatting>
  <conditionalFormatting sqref="A1469">
    <cfRule type="duplicateValues" dxfId="9297" priority="11980" stopIfTrue="1"/>
  </conditionalFormatting>
  <conditionalFormatting sqref="A1469">
    <cfRule type="duplicateValues" dxfId="9296" priority="11979" stopIfTrue="1"/>
  </conditionalFormatting>
  <conditionalFormatting sqref="A1469">
    <cfRule type="duplicateValues" dxfId="9295" priority="11978" stopIfTrue="1"/>
  </conditionalFormatting>
  <conditionalFormatting sqref="A1469">
    <cfRule type="duplicateValues" dxfId="9294" priority="11977" stopIfTrue="1"/>
  </conditionalFormatting>
  <conditionalFormatting sqref="A1469">
    <cfRule type="duplicateValues" dxfId="9293" priority="11976" stopIfTrue="1"/>
  </conditionalFormatting>
  <conditionalFormatting sqref="A1469">
    <cfRule type="duplicateValues" dxfId="9292" priority="11975" stopIfTrue="1"/>
  </conditionalFormatting>
  <conditionalFormatting sqref="A1469">
    <cfRule type="duplicateValues" dxfId="9291" priority="11974" stopIfTrue="1"/>
  </conditionalFormatting>
  <conditionalFormatting sqref="A1469">
    <cfRule type="duplicateValues" dxfId="9290" priority="11973" stopIfTrue="1"/>
  </conditionalFormatting>
  <conditionalFormatting sqref="A1469">
    <cfRule type="duplicateValues" dxfId="9289" priority="11987" stopIfTrue="1"/>
  </conditionalFormatting>
  <conditionalFormatting sqref="A1469">
    <cfRule type="duplicateValues" dxfId="9288" priority="11972" stopIfTrue="1"/>
  </conditionalFormatting>
  <conditionalFormatting sqref="C1469">
    <cfRule type="duplicateValues" dxfId="9287" priority="11971" stopIfTrue="1"/>
  </conditionalFormatting>
  <conditionalFormatting sqref="A1469">
    <cfRule type="duplicateValues" dxfId="9286" priority="11970" stopIfTrue="1"/>
  </conditionalFormatting>
  <conditionalFormatting sqref="A1469">
    <cfRule type="duplicateValues" dxfId="9285" priority="11969" stopIfTrue="1"/>
  </conditionalFormatting>
  <conditionalFormatting sqref="A1469">
    <cfRule type="duplicateValues" dxfId="9284" priority="11968" stopIfTrue="1"/>
  </conditionalFormatting>
  <conditionalFormatting sqref="A1469">
    <cfRule type="duplicateValues" dxfId="9283" priority="11967" stopIfTrue="1"/>
  </conditionalFormatting>
  <conditionalFormatting sqref="A1469">
    <cfRule type="duplicateValues" dxfId="9282" priority="11966" stopIfTrue="1"/>
  </conditionalFormatting>
  <conditionalFormatting sqref="A1470">
    <cfRule type="duplicateValues" dxfId="9281" priority="11964" stopIfTrue="1"/>
  </conditionalFormatting>
  <conditionalFormatting sqref="A1470">
    <cfRule type="duplicateValues" dxfId="9280" priority="11963" stopIfTrue="1"/>
  </conditionalFormatting>
  <conditionalFormatting sqref="A1470">
    <cfRule type="duplicateValues" dxfId="9279" priority="11962" stopIfTrue="1"/>
  </conditionalFormatting>
  <conditionalFormatting sqref="A1470">
    <cfRule type="duplicateValues" dxfId="9278" priority="11961" stopIfTrue="1"/>
  </conditionalFormatting>
  <conditionalFormatting sqref="A1470">
    <cfRule type="duplicateValues" dxfId="9277" priority="11960" stopIfTrue="1"/>
  </conditionalFormatting>
  <conditionalFormatting sqref="A1470">
    <cfRule type="duplicateValues" dxfId="9276" priority="11959" stopIfTrue="1"/>
  </conditionalFormatting>
  <conditionalFormatting sqref="A1470">
    <cfRule type="duplicateValues" dxfId="9275" priority="11958" stopIfTrue="1"/>
  </conditionalFormatting>
  <conditionalFormatting sqref="A1470">
    <cfRule type="duplicateValues" dxfId="9274" priority="11957" stopIfTrue="1"/>
  </conditionalFormatting>
  <conditionalFormatting sqref="A1470">
    <cfRule type="duplicateValues" dxfId="9273" priority="11956" stopIfTrue="1"/>
  </conditionalFormatting>
  <conditionalFormatting sqref="A1470">
    <cfRule type="duplicateValues" dxfId="9272" priority="11955" stopIfTrue="1"/>
  </conditionalFormatting>
  <conditionalFormatting sqref="A1470">
    <cfRule type="duplicateValues" dxfId="9271" priority="11954" stopIfTrue="1"/>
  </conditionalFormatting>
  <conditionalFormatting sqref="A1470">
    <cfRule type="duplicateValues" dxfId="9270" priority="11953" stopIfTrue="1"/>
  </conditionalFormatting>
  <conditionalFormatting sqref="A1470">
    <cfRule type="duplicateValues" dxfId="9269" priority="11952" stopIfTrue="1"/>
  </conditionalFormatting>
  <conditionalFormatting sqref="A1470">
    <cfRule type="duplicateValues" dxfId="9268" priority="11951" stopIfTrue="1"/>
  </conditionalFormatting>
  <conditionalFormatting sqref="A1470">
    <cfRule type="duplicateValues" dxfId="9267" priority="11965" stopIfTrue="1"/>
  </conditionalFormatting>
  <conditionalFormatting sqref="A1470">
    <cfRule type="duplicateValues" dxfId="9266" priority="11950" stopIfTrue="1"/>
  </conditionalFormatting>
  <conditionalFormatting sqref="C1470">
    <cfRule type="duplicateValues" dxfId="9265" priority="11949" stopIfTrue="1"/>
  </conditionalFormatting>
  <conditionalFormatting sqref="A1470">
    <cfRule type="duplicateValues" dxfId="9264" priority="11948" stopIfTrue="1"/>
  </conditionalFormatting>
  <conditionalFormatting sqref="A1470">
    <cfRule type="duplicateValues" dxfId="9263" priority="11947" stopIfTrue="1"/>
  </conditionalFormatting>
  <conditionalFormatting sqref="A1470">
    <cfRule type="duplicateValues" dxfId="9262" priority="11946" stopIfTrue="1"/>
  </conditionalFormatting>
  <conditionalFormatting sqref="A1470">
    <cfRule type="duplicateValues" dxfId="9261" priority="11945" stopIfTrue="1"/>
  </conditionalFormatting>
  <conditionalFormatting sqref="A1470">
    <cfRule type="duplicateValues" dxfId="9260" priority="11944" stopIfTrue="1"/>
  </conditionalFormatting>
  <conditionalFormatting sqref="A1471">
    <cfRule type="duplicateValues" dxfId="9259" priority="11942" stopIfTrue="1"/>
  </conditionalFormatting>
  <conditionalFormatting sqref="A1471">
    <cfRule type="duplicateValues" dxfId="9258" priority="11941" stopIfTrue="1"/>
  </conditionalFormatting>
  <conditionalFormatting sqref="A1471">
    <cfRule type="duplicateValues" dxfId="9257" priority="11940" stopIfTrue="1"/>
  </conditionalFormatting>
  <conditionalFormatting sqref="A1471">
    <cfRule type="duplicateValues" dxfId="9256" priority="11939" stopIfTrue="1"/>
  </conditionalFormatting>
  <conditionalFormatting sqref="A1471">
    <cfRule type="duplicateValues" dxfId="9255" priority="11938" stopIfTrue="1"/>
  </conditionalFormatting>
  <conditionalFormatting sqref="A1471">
    <cfRule type="duplicateValues" dxfId="9254" priority="11937" stopIfTrue="1"/>
  </conditionalFormatting>
  <conditionalFormatting sqref="A1471">
    <cfRule type="duplicateValues" dxfId="9253" priority="11936" stopIfTrue="1"/>
  </conditionalFormatting>
  <conditionalFormatting sqref="A1471">
    <cfRule type="duplicateValues" dxfId="9252" priority="11935" stopIfTrue="1"/>
  </conditionalFormatting>
  <conditionalFormatting sqref="A1471">
    <cfRule type="duplicateValues" dxfId="9251" priority="11934" stopIfTrue="1"/>
  </conditionalFormatting>
  <conditionalFormatting sqref="A1471">
    <cfRule type="duplicateValues" dxfId="9250" priority="11933" stopIfTrue="1"/>
  </conditionalFormatting>
  <conditionalFormatting sqref="A1471">
    <cfRule type="duplicateValues" dxfId="9249" priority="11932" stopIfTrue="1"/>
  </conditionalFormatting>
  <conditionalFormatting sqref="A1471">
    <cfRule type="duplicateValues" dxfId="9248" priority="11931" stopIfTrue="1"/>
  </conditionalFormatting>
  <conditionalFormatting sqref="A1471">
    <cfRule type="duplicateValues" dxfId="9247" priority="11930" stopIfTrue="1"/>
  </conditionalFormatting>
  <conditionalFormatting sqref="A1471">
    <cfRule type="duplicateValues" dxfId="9246" priority="11929" stopIfTrue="1"/>
  </conditionalFormatting>
  <conditionalFormatting sqref="A1471">
    <cfRule type="duplicateValues" dxfId="9245" priority="11943" stopIfTrue="1"/>
  </conditionalFormatting>
  <conditionalFormatting sqref="A1471">
    <cfRule type="duplicateValues" dxfId="9244" priority="11928" stopIfTrue="1"/>
  </conditionalFormatting>
  <conditionalFormatting sqref="C1471">
    <cfRule type="duplicateValues" dxfId="9243" priority="11927" stopIfTrue="1"/>
  </conditionalFormatting>
  <conditionalFormatting sqref="A1471">
    <cfRule type="duplicateValues" dxfId="9242" priority="11926" stopIfTrue="1"/>
  </conditionalFormatting>
  <conditionalFormatting sqref="A1471">
    <cfRule type="duplicateValues" dxfId="9241" priority="11925" stopIfTrue="1"/>
  </conditionalFormatting>
  <conditionalFormatting sqref="A1471">
    <cfRule type="duplicateValues" dxfId="9240" priority="11924" stopIfTrue="1"/>
  </conditionalFormatting>
  <conditionalFormatting sqref="A1471">
    <cfRule type="duplicateValues" dxfId="9239" priority="11923" stopIfTrue="1"/>
  </conditionalFormatting>
  <conditionalFormatting sqref="A1471">
    <cfRule type="duplicateValues" dxfId="9238" priority="11922" stopIfTrue="1"/>
  </conditionalFormatting>
  <conditionalFormatting sqref="A1472 A1474 A1476 A1478">
    <cfRule type="duplicateValues" dxfId="9237" priority="11920" stopIfTrue="1"/>
  </conditionalFormatting>
  <conditionalFormatting sqref="A1472 A1474 A1476 A1478">
    <cfRule type="duplicateValues" dxfId="9236" priority="11919" stopIfTrue="1"/>
  </conditionalFormatting>
  <conditionalFormatting sqref="A1472">
    <cfRule type="duplicateValues" dxfId="9235" priority="11918" stopIfTrue="1"/>
  </conditionalFormatting>
  <conditionalFormatting sqref="A1472">
    <cfRule type="duplicateValues" dxfId="9234" priority="11917" stopIfTrue="1"/>
  </conditionalFormatting>
  <conditionalFormatting sqref="A1472">
    <cfRule type="duplicateValues" dxfId="9233" priority="11916" stopIfTrue="1"/>
  </conditionalFormatting>
  <conditionalFormatting sqref="A1472">
    <cfRule type="duplicateValues" dxfId="9232" priority="11915" stopIfTrue="1"/>
  </conditionalFormatting>
  <conditionalFormatting sqref="A1472">
    <cfRule type="duplicateValues" dxfId="9231" priority="11914" stopIfTrue="1"/>
  </conditionalFormatting>
  <conditionalFormatting sqref="A1472">
    <cfRule type="duplicateValues" dxfId="9230" priority="11913" stopIfTrue="1"/>
  </conditionalFormatting>
  <conditionalFormatting sqref="A1472">
    <cfRule type="duplicateValues" dxfId="9229" priority="11912" stopIfTrue="1"/>
  </conditionalFormatting>
  <conditionalFormatting sqref="A1472">
    <cfRule type="duplicateValues" dxfId="9228" priority="11911" stopIfTrue="1"/>
  </conditionalFormatting>
  <conditionalFormatting sqref="A1472">
    <cfRule type="duplicateValues" dxfId="9227" priority="11910" stopIfTrue="1"/>
  </conditionalFormatting>
  <conditionalFormatting sqref="A1472">
    <cfRule type="duplicateValues" dxfId="9226" priority="11909" stopIfTrue="1"/>
  </conditionalFormatting>
  <conditionalFormatting sqref="A1472">
    <cfRule type="duplicateValues" dxfId="9225" priority="11908" stopIfTrue="1"/>
  </conditionalFormatting>
  <conditionalFormatting sqref="A1472">
    <cfRule type="duplicateValues" dxfId="9224" priority="11907" stopIfTrue="1"/>
  </conditionalFormatting>
  <conditionalFormatting sqref="A1472">
    <cfRule type="duplicateValues" dxfId="9223" priority="11921" stopIfTrue="1"/>
  </conditionalFormatting>
  <conditionalFormatting sqref="A1472">
    <cfRule type="duplicateValues" dxfId="9222" priority="11906" stopIfTrue="1"/>
  </conditionalFormatting>
  <conditionalFormatting sqref="C1472">
    <cfRule type="duplicateValues" dxfId="9221" priority="11905" stopIfTrue="1"/>
  </conditionalFormatting>
  <conditionalFormatting sqref="A1472">
    <cfRule type="duplicateValues" dxfId="9220" priority="11904" stopIfTrue="1"/>
  </conditionalFormatting>
  <conditionalFormatting sqref="A1472">
    <cfRule type="duplicateValues" dxfId="9219" priority="11903" stopIfTrue="1"/>
  </conditionalFormatting>
  <conditionalFormatting sqref="A1472">
    <cfRule type="duplicateValues" dxfId="9218" priority="11902" stopIfTrue="1"/>
  </conditionalFormatting>
  <conditionalFormatting sqref="A1472">
    <cfRule type="duplicateValues" dxfId="9217" priority="11901" stopIfTrue="1"/>
  </conditionalFormatting>
  <conditionalFormatting sqref="A1472">
    <cfRule type="duplicateValues" dxfId="9216" priority="11900" stopIfTrue="1"/>
  </conditionalFormatting>
  <conditionalFormatting sqref="A1473 A1475 A1477">
    <cfRule type="duplicateValues" dxfId="9215" priority="11898" stopIfTrue="1"/>
  </conditionalFormatting>
  <conditionalFormatting sqref="A1473 A1475 A1477">
    <cfRule type="duplicateValues" dxfId="9214" priority="11897" stopIfTrue="1"/>
  </conditionalFormatting>
  <conditionalFormatting sqref="A1473">
    <cfRule type="duplicateValues" dxfId="9213" priority="11896" stopIfTrue="1"/>
  </conditionalFormatting>
  <conditionalFormatting sqref="A1473">
    <cfRule type="duplicateValues" dxfId="9212" priority="11895" stopIfTrue="1"/>
  </conditionalFormatting>
  <conditionalFormatting sqref="A1473">
    <cfRule type="duplicateValues" dxfId="9211" priority="11894" stopIfTrue="1"/>
  </conditionalFormatting>
  <conditionalFormatting sqref="A1473">
    <cfRule type="duplicateValues" dxfId="9210" priority="11893" stopIfTrue="1"/>
  </conditionalFormatting>
  <conditionalFormatting sqref="A1473">
    <cfRule type="duplicateValues" dxfId="9209" priority="11892" stopIfTrue="1"/>
  </conditionalFormatting>
  <conditionalFormatting sqref="A1473">
    <cfRule type="duplicateValues" dxfId="9208" priority="11891" stopIfTrue="1"/>
  </conditionalFormatting>
  <conditionalFormatting sqref="A1473">
    <cfRule type="duplicateValues" dxfId="9207" priority="11890" stopIfTrue="1"/>
  </conditionalFormatting>
  <conditionalFormatting sqref="A1473">
    <cfRule type="duplicateValues" dxfId="9206" priority="11889" stopIfTrue="1"/>
  </conditionalFormatting>
  <conditionalFormatting sqref="A1473">
    <cfRule type="duplicateValues" dxfId="9205" priority="11888" stopIfTrue="1"/>
  </conditionalFormatting>
  <conditionalFormatting sqref="A1473">
    <cfRule type="duplicateValues" dxfId="9204" priority="11887" stopIfTrue="1"/>
  </conditionalFormatting>
  <conditionalFormatting sqref="A1473">
    <cfRule type="duplicateValues" dxfId="9203" priority="11886" stopIfTrue="1"/>
  </conditionalFormatting>
  <conditionalFormatting sqref="A1473">
    <cfRule type="duplicateValues" dxfId="9202" priority="11885" stopIfTrue="1"/>
  </conditionalFormatting>
  <conditionalFormatting sqref="A1473">
    <cfRule type="duplicateValues" dxfId="9201" priority="11899" stopIfTrue="1"/>
  </conditionalFormatting>
  <conditionalFormatting sqref="A1473">
    <cfRule type="duplicateValues" dxfId="9200" priority="11884" stopIfTrue="1"/>
  </conditionalFormatting>
  <conditionalFormatting sqref="C1473">
    <cfRule type="duplicateValues" dxfId="9199" priority="11883" stopIfTrue="1"/>
  </conditionalFormatting>
  <conditionalFormatting sqref="A1473">
    <cfRule type="duplicateValues" dxfId="9198" priority="11882" stopIfTrue="1"/>
  </conditionalFormatting>
  <conditionalFormatting sqref="A1473">
    <cfRule type="duplicateValues" dxfId="9197" priority="11881" stopIfTrue="1"/>
  </conditionalFormatting>
  <conditionalFormatting sqref="A1473">
    <cfRule type="duplicateValues" dxfId="9196" priority="11880" stopIfTrue="1"/>
  </conditionalFormatting>
  <conditionalFormatting sqref="A1473">
    <cfRule type="duplicateValues" dxfId="9195" priority="11879" stopIfTrue="1"/>
  </conditionalFormatting>
  <conditionalFormatting sqref="A1473">
    <cfRule type="duplicateValues" dxfId="9194" priority="11878" stopIfTrue="1"/>
  </conditionalFormatting>
  <conditionalFormatting sqref="A1692">
    <cfRule type="duplicateValues" dxfId="9193" priority="11869" stopIfTrue="1"/>
  </conditionalFormatting>
  <conditionalFormatting sqref="A1692">
    <cfRule type="duplicateValues" dxfId="9192" priority="11868" stopIfTrue="1"/>
  </conditionalFormatting>
  <conditionalFormatting sqref="A1692">
    <cfRule type="duplicateValues" dxfId="9191" priority="11867" stopIfTrue="1"/>
  </conditionalFormatting>
  <conditionalFormatting sqref="A1692">
    <cfRule type="duplicateValues" dxfId="9190" priority="11866" stopIfTrue="1"/>
  </conditionalFormatting>
  <conditionalFormatting sqref="A1692">
    <cfRule type="duplicateValues" dxfId="9189" priority="11865" stopIfTrue="1"/>
  </conditionalFormatting>
  <conditionalFormatting sqref="A1692">
    <cfRule type="duplicateValues" dxfId="9188" priority="11864" stopIfTrue="1"/>
  </conditionalFormatting>
  <conditionalFormatting sqref="A1692">
    <cfRule type="duplicateValues" dxfId="9187" priority="11863" stopIfTrue="1"/>
  </conditionalFormatting>
  <conditionalFormatting sqref="A1692">
    <cfRule type="duplicateValues" dxfId="9186" priority="11862" stopIfTrue="1"/>
  </conditionalFormatting>
  <conditionalFormatting sqref="A1692">
    <cfRule type="duplicateValues" dxfId="9185" priority="11861" stopIfTrue="1"/>
  </conditionalFormatting>
  <conditionalFormatting sqref="A1692">
    <cfRule type="duplicateValues" dxfId="9184" priority="11860" stopIfTrue="1"/>
  </conditionalFormatting>
  <conditionalFormatting sqref="A1692">
    <cfRule type="duplicateValues" dxfId="9183" priority="11859" stopIfTrue="1"/>
  </conditionalFormatting>
  <conditionalFormatting sqref="A1692">
    <cfRule type="duplicateValues" dxfId="9182" priority="11858" stopIfTrue="1"/>
  </conditionalFormatting>
  <conditionalFormatting sqref="A1692">
    <cfRule type="duplicateValues" dxfId="9181" priority="11871" stopIfTrue="1"/>
  </conditionalFormatting>
  <conditionalFormatting sqref="A1692">
    <cfRule type="duplicateValues" dxfId="9180" priority="11857" stopIfTrue="1"/>
  </conditionalFormatting>
  <conditionalFormatting sqref="A1683:A1691">
    <cfRule type="duplicateValues" dxfId="9179" priority="11742" stopIfTrue="1"/>
  </conditionalFormatting>
  <conditionalFormatting sqref="A1683:A1691">
    <cfRule type="duplicateValues" dxfId="9178" priority="11741" stopIfTrue="1"/>
  </conditionalFormatting>
  <conditionalFormatting sqref="A1683:A1691">
    <cfRule type="duplicateValues" dxfId="9177" priority="11740" stopIfTrue="1"/>
  </conditionalFormatting>
  <conditionalFormatting sqref="A1683:A1691">
    <cfRule type="duplicateValues" dxfId="9176" priority="11739" stopIfTrue="1"/>
  </conditionalFormatting>
  <conditionalFormatting sqref="A1683:A1691">
    <cfRule type="duplicateValues" dxfId="9175" priority="11738" stopIfTrue="1"/>
  </conditionalFormatting>
  <conditionalFormatting sqref="A1683:A1691">
    <cfRule type="duplicateValues" dxfId="9174" priority="11737" stopIfTrue="1"/>
  </conditionalFormatting>
  <conditionalFormatting sqref="A1683:A1691">
    <cfRule type="duplicateValues" dxfId="9173" priority="11736" stopIfTrue="1"/>
  </conditionalFormatting>
  <conditionalFormatting sqref="A1683:A1691">
    <cfRule type="duplicateValues" dxfId="9172" priority="11735" stopIfTrue="1"/>
  </conditionalFormatting>
  <conditionalFormatting sqref="A1683:A1691">
    <cfRule type="duplicateValues" dxfId="9171" priority="11734" stopIfTrue="1"/>
  </conditionalFormatting>
  <conditionalFormatting sqref="A1683:A1691">
    <cfRule type="duplicateValues" dxfId="9170" priority="11733" stopIfTrue="1"/>
  </conditionalFormatting>
  <conditionalFormatting sqref="A1683:A1691">
    <cfRule type="duplicateValues" dxfId="9169" priority="11732" stopIfTrue="1"/>
  </conditionalFormatting>
  <conditionalFormatting sqref="A1683:A1691">
    <cfRule type="duplicateValues" dxfId="9168" priority="11731" stopIfTrue="1"/>
  </conditionalFormatting>
  <conditionalFormatting sqref="A1683:A1691">
    <cfRule type="duplicateValues" dxfId="9167" priority="11744" stopIfTrue="1"/>
  </conditionalFormatting>
  <conditionalFormatting sqref="A1683:A1691">
    <cfRule type="duplicateValues" dxfId="9166" priority="11730" stopIfTrue="1"/>
  </conditionalFormatting>
  <conditionalFormatting sqref="A1683:A1691">
    <cfRule type="duplicateValues" dxfId="9165" priority="11747" stopIfTrue="1"/>
  </conditionalFormatting>
  <conditionalFormatting sqref="A1683:A1691">
    <cfRule type="duplicateValues" dxfId="9164" priority="11748" stopIfTrue="1"/>
  </conditionalFormatting>
  <conditionalFormatting sqref="A1703 A1705 A1707 A1709 A1711">
    <cfRule type="duplicateValues" dxfId="9163" priority="11721" stopIfTrue="1"/>
  </conditionalFormatting>
  <conditionalFormatting sqref="A1703">
    <cfRule type="duplicateValues" dxfId="9162" priority="11720" stopIfTrue="1"/>
  </conditionalFormatting>
  <conditionalFormatting sqref="A1703">
    <cfRule type="duplicateValues" dxfId="9161" priority="11719" stopIfTrue="1"/>
  </conditionalFormatting>
  <conditionalFormatting sqref="A1703">
    <cfRule type="duplicateValues" dxfId="9160" priority="11718" stopIfTrue="1"/>
  </conditionalFormatting>
  <conditionalFormatting sqref="A1703">
    <cfRule type="duplicateValues" dxfId="9159" priority="11717" stopIfTrue="1"/>
  </conditionalFormatting>
  <conditionalFormatting sqref="A1703">
    <cfRule type="duplicateValues" dxfId="9158" priority="11716" stopIfTrue="1"/>
  </conditionalFormatting>
  <conditionalFormatting sqref="A1703">
    <cfRule type="duplicateValues" dxfId="9157" priority="11715" stopIfTrue="1"/>
  </conditionalFormatting>
  <conditionalFormatting sqref="A1703">
    <cfRule type="duplicateValues" dxfId="9156" priority="11714" stopIfTrue="1"/>
  </conditionalFormatting>
  <conditionalFormatting sqref="A1703">
    <cfRule type="duplicateValues" dxfId="9155" priority="11713" stopIfTrue="1"/>
  </conditionalFormatting>
  <conditionalFormatting sqref="A1703">
    <cfRule type="duplicateValues" dxfId="9154" priority="11712" stopIfTrue="1"/>
  </conditionalFormatting>
  <conditionalFormatting sqref="A1703">
    <cfRule type="duplicateValues" dxfId="9153" priority="11711" stopIfTrue="1"/>
  </conditionalFormatting>
  <conditionalFormatting sqref="A1703">
    <cfRule type="duplicateValues" dxfId="9152" priority="11710" stopIfTrue="1"/>
  </conditionalFormatting>
  <conditionalFormatting sqref="A1703">
    <cfRule type="duplicateValues" dxfId="9151" priority="11723" stopIfTrue="1"/>
  </conditionalFormatting>
  <conditionalFormatting sqref="A1703">
    <cfRule type="duplicateValues" dxfId="9150" priority="11709" stopIfTrue="1"/>
  </conditionalFormatting>
  <conditionalFormatting sqref="A1703">
    <cfRule type="duplicateValues" dxfId="9149" priority="11726" stopIfTrue="1"/>
  </conditionalFormatting>
  <conditionalFormatting sqref="A1703">
    <cfRule type="duplicateValues" dxfId="9148" priority="11727" stopIfTrue="1"/>
  </conditionalFormatting>
  <conditionalFormatting sqref="A1704 A1706 A1708 A1710">
    <cfRule type="duplicateValues" dxfId="9147" priority="11470" stopIfTrue="1"/>
  </conditionalFormatting>
  <conditionalFormatting sqref="A1704">
    <cfRule type="duplicateValues" dxfId="9146" priority="11469" stopIfTrue="1"/>
  </conditionalFormatting>
  <conditionalFormatting sqref="A1704">
    <cfRule type="duplicateValues" dxfId="9145" priority="11468" stopIfTrue="1"/>
  </conditionalFormatting>
  <conditionalFormatting sqref="A1704">
    <cfRule type="duplicateValues" dxfId="9144" priority="11467" stopIfTrue="1"/>
  </conditionalFormatting>
  <conditionalFormatting sqref="A1704">
    <cfRule type="duplicateValues" dxfId="9143" priority="11466" stopIfTrue="1"/>
  </conditionalFormatting>
  <conditionalFormatting sqref="A1704">
    <cfRule type="duplicateValues" dxfId="9142" priority="11465" stopIfTrue="1"/>
  </conditionalFormatting>
  <conditionalFormatting sqref="A1704">
    <cfRule type="duplicateValues" dxfId="9141" priority="11464" stopIfTrue="1"/>
  </conditionalFormatting>
  <conditionalFormatting sqref="A1704">
    <cfRule type="duplicateValues" dxfId="9140" priority="11463" stopIfTrue="1"/>
  </conditionalFormatting>
  <conditionalFormatting sqref="A1704">
    <cfRule type="duplicateValues" dxfId="9139" priority="11462" stopIfTrue="1"/>
  </conditionalFormatting>
  <conditionalFormatting sqref="A1704">
    <cfRule type="duplicateValues" dxfId="9138" priority="11461" stopIfTrue="1"/>
  </conditionalFormatting>
  <conditionalFormatting sqref="A1704">
    <cfRule type="duplicateValues" dxfId="9137" priority="11460" stopIfTrue="1"/>
  </conditionalFormatting>
  <conditionalFormatting sqref="A1704">
    <cfRule type="duplicateValues" dxfId="9136" priority="11459" stopIfTrue="1"/>
  </conditionalFormatting>
  <conditionalFormatting sqref="A1704">
    <cfRule type="duplicateValues" dxfId="9135" priority="11458" stopIfTrue="1"/>
  </conditionalFormatting>
  <conditionalFormatting sqref="A1704">
    <cfRule type="duplicateValues" dxfId="9134" priority="11471" stopIfTrue="1"/>
  </conditionalFormatting>
  <conditionalFormatting sqref="A1704">
    <cfRule type="duplicateValues" dxfId="9133" priority="11457" stopIfTrue="1"/>
  </conditionalFormatting>
  <conditionalFormatting sqref="A1704 A1706 A1708 A1710">
    <cfRule type="duplicateValues" dxfId="9132" priority="11473" stopIfTrue="1"/>
  </conditionalFormatting>
  <conditionalFormatting sqref="A1704">
    <cfRule type="duplicateValues" dxfId="9131" priority="11474" stopIfTrue="1"/>
  </conditionalFormatting>
  <conditionalFormatting sqref="A1704">
    <cfRule type="duplicateValues" dxfId="9130" priority="11475" stopIfTrue="1"/>
  </conditionalFormatting>
  <conditionalFormatting sqref="R1704:R1711">
    <cfRule type="duplicateValues" dxfId="9129" priority="11476" stopIfTrue="1"/>
  </conditionalFormatting>
  <conditionalFormatting sqref="R1704:R1711">
    <cfRule type="duplicateValues" dxfId="9128" priority="11477" stopIfTrue="1"/>
  </conditionalFormatting>
  <conditionalFormatting sqref="A1724 A1726 A1728 A1730">
    <cfRule type="duplicateValues" dxfId="9127" priority="11449" stopIfTrue="1"/>
  </conditionalFormatting>
  <conditionalFormatting sqref="A1724">
    <cfRule type="duplicateValues" dxfId="9126" priority="11448" stopIfTrue="1"/>
  </conditionalFormatting>
  <conditionalFormatting sqref="A1724">
    <cfRule type="duplicateValues" dxfId="9125" priority="11447" stopIfTrue="1"/>
  </conditionalFormatting>
  <conditionalFormatting sqref="A1724">
    <cfRule type="duplicateValues" dxfId="9124" priority="11446" stopIfTrue="1"/>
  </conditionalFormatting>
  <conditionalFormatting sqref="A1724">
    <cfRule type="duplicateValues" dxfId="9123" priority="11445" stopIfTrue="1"/>
  </conditionalFormatting>
  <conditionalFormatting sqref="A1724">
    <cfRule type="duplicateValues" dxfId="9122" priority="11444" stopIfTrue="1"/>
  </conditionalFormatting>
  <conditionalFormatting sqref="A1724">
    <cfRule type="duplicateValues" dxfId="9121" priority="11443" stopIfTrue="1"/>
  </conditionalFormatting>
  <conditionalFormatting sqref="A1724">
    <cfRule type="duplicateValues" dxfId="9120" priority="11442" stopIfTrue="1"/>
  </conditionalFormatting>
  <conditionalFormatting sqref="A1724">
    <cfRule type="duplicateValues" dxfId="9119" priority="11441" stopIfTrue="1"/>
  </conditionalFormatting>
  <conditionalFormatting sqref="A1724">
    <cfRule type="duplicateValues" dxfId="9118" priority="11440" stopIfTrue="1"/>
  </conditionalFormatting>
  <conditionalFormatting sqref="A1724">
    <cfRule type="duplicateValues" dxfId="9117" priority="11439" stopIfTrue="1"/>
  </conditionalFormatting>
  <conditionalFormatting sqref="A1724">
    <cfRule type="duplicateValues" dxfId="9116" priority="11438" stopIfTrue="1"/>
  </conditionalFormatting>
  <conditionalFormatting sqref="A1724">
    <cfRule type="duplicateValues" dxfId="9115" priority="11437" stopIfTrue="1"/>
  </conditionalFormatting>
  <conditionalFormatting sqref="A1724">
    <cfRule type="duplicateValues" dxfId="9114" priority="11450" stopIfTrue="1"/>
  </conditionalFormatting>
  <conditionalFormatting sqref="A1724">
    <cfRule type="duplicateValues" dxfId="9113" priority="11436" stopIfTrue="1"/>
  </conditionalFormatting>
  <conditionalFormatting sqref="A1724 A1726 A1728 A1730">
    <cfRule type="duplicateValues" dxfId="9112" priority="11452" stopIfTrue="1"/>
  </conditionalFormatting>
  <conditionalFormatting sqref="A1724">
    <cfRule type="duplicateValues" dxfId="9111" priority="11453" stopIfTrue="1"/>
  </conditionalFormatting>
  <conditionalFormatting sqref="A1724">
    <cfRule type="duplicateValues" dxfId="9110" priority="11454" stopIfTrue="1"/>
  </conditionalFormatting>
  <conditionalFormatting sqref="R1724:R1731">
    <cfRule type="duplicateValues" dxfId="9109" priority="11455" stopIfTrue="1"/>
  </conditionalFormatting>
  <conditionalFormatting sqref="R1724:R1731">
    <cfRule type="duplicateValues" dxfId="9108" priority="11456" stopIfTrue="1"/>
  </conditionalFormatting>
  <conditionalFormatting sqref="A1745 A1747 A1749 A1751">
    <cfRule type="duplicateValues" dxfId="9107" priority="11428" stopIfTrue="1"/>
  </conditionalFormatting>
  <conditionalFormatting sqref="A1745">
    <cfRule type="duplicateValues" dxfId="9106" priority="11427" stopIfTrue="1"/>
  </conditionalFormatting>
  <conditionalFormatting sqref="A1745">
    <cfRule type="duplicateValues" dxfId="9105" priority="11426" stopIfTrue="1"/>
  </conditionalFormatting>
  <conditionalFormatting sqref="A1745">
    <cfRule type="duplicateValues" dxfId="9104" priority="11425" stopIfTrue="1"/>
  </conditionalFormatting>
  <conditionalFormatting sqref="A1745">
    <cfRule type="duplicateValues" dxfId="9103" priority="11424" stopIfTrue="1"/>
  </conditionalFormatting>
  <conditionalFormatting sqref="A1745">
    <cfRule type="duplicateValues" dxfId="9102" priority="11423" stopIfTrue="1"/>
  </conditionalFormatting>
  <conditionalFormatting sqref="A1745">
    <cfRule type="duplicateValues" dxfId="9101" priority="11422" stopIfTrue="1"/>
  </conditionalFormatting>
  <conditionalFormatting sqref="A1745">
    <cfRule type="duplicateValues" dxfId="9100" priority="11421" stopIfTrue="1"/>
  </conditionalFormatting>
  <conditionalFormatting sqref="A1745">
    <cfRule type="duplicateValues" dxfId="9099" priority="11420" stopIfTrue="1"/>
  </conditionalFormatting>
  <conditionalFormatting sqref="A1745">
    <cfRule type="duplicateValues" dxfId="9098" priority="11419" stopIfTrue="1"/>
  </conditionalFormatting>
  <conditionalFormatting sqref="A1745">
    <cfRule type="duplicateValues" dxfId="9097" priority="11418" stopIfTrue="1"/>
  </conditionalFormatting>
  <conditionalFormatting sqref="A1745">
    <cfRule type="duplicateValues" dxfId="9096" priority="11417" stopIfTrue="1"/>
  </conditionalFormatting>
  <conditionalFormatting sqref="A1745">
    <cfRule type="duplicateValues" dxfId="9095" priority="11416" stopIfTrue="1"/>
  </conditionalFormatting>
  <conditionalFormatting sqref="A1745">
    <cfRule type="duplicateValues" dxfId="9094" priority="11429" stopIfTrue="1"/>
  </conditionalFormatting>
  <conditionalFormatting sqref="A1745">
    <cfRule type="duplicateValues" dxfId="9093" priority="11415" stopIfTrue="1"/>
  </conditionalFormatting>
  <conditionalFormatting sqref="A1745 A1747 A1749 A1751">
    <cfRule type="duplicateValues" dxfId="9092" priority="11431" stopIfTrue="1"/>
  </conditionalFormatting>
  <conditionalFormatting sqref="A1745">
    <cfRule type="duplicateValues" dxfId="9091" priority="11432" stopIfTrue="1"/>
  </conditionalFormatting>
  <conditionalFormatting sqref="A1745">
    <cfRule type="duplicateValues" dxfId="9090" priority="11433" stopIfTrue="1"/>
  </conditionalFormatting>
  <conditionalFormatting sqref="R1745:R1752">
    <cfRule type="duplicateValues" dxfId="9089" priority="11434" stopIfTrue="1"/>
  </conditionalFormatting>
  <conditionalFormatting sqref="R1745:R1752">
    <cfRule type="duplicateValues" dxfId="9088" priority="11435" stopIfTrue="1"/>
  </conditionalFormatting>
  <conditionalFormatting sqref="A1766 A1768 A1770 A1772">
    <cfRule type="duplicateValues" dxfId="9087" priority="11407" stopIfTrue="1"/>
  </conditionalFormatting>
  <conditionalFormatting sqref="A1766">
    <cfRule type="duplicateValues" dxfId="9086" priority="11406" stopIfTrue="1"/>
  </conditionalFormatting>
  <conditionalFormatting sqref="A1766">
    <cfRule type="duplicateValues" dxfId="9085" priority="11405" stopIfTrue="1"/>
  </conditionalFormatting>
  <conditionalFormatting sqref="A1766">
    <cfRule type="duplicateValues" dxfId="9084" priority="11404" stopIfTrue="1"/>
  </conditionalFormatting>
  <conditionalFormatting sqref="A1766">
    <cfRule type="duplicateValues" dxfId="9083" priority="11403" stopIfTrue="1"/>
  </conditionalFormatting>
  <conditionalFormatting sqref="A1766">
    <cfRule type="duplicateValues" dxfId="9082" priority="11402" stopIfTrue="1"/>
  </conditionalFormatting>
  <conditionalFormatting sqref="A1766">
    <cfRule type="duplicateValues" dxfId="9081" priority="11401" stopIfTrue="1"/>
  </conditionalFormatting>
  <conditionalFormatting sqref="A1766">
    <cfRule type="duplicateValues" dxfId="9080" priority="11400" stopIfTrue="1"/>
  </conditionalFormatting>
  <conditionalFormatting sqref="A1766">
    <cfRule type="duplicateValues" dxfId="9079" priority="11399" stopIfTrue="1"/>
  </conditionalFormatting>
  <conditionalFormatting sqref="A1766">
    <cfRule type="duplicateValues" dxfId="9078" priority="11398" stopIfTrue="1"/>
  </conditionalFormatting>
  <conditionalFormatting sqref="A1766">
    <cfRule type="duplicateValues" dxfId="9077" priority="11397" stopIfTrue="1"/>
  </conditionalFormatting>
  <conditionalFormatting sqref="A1766">
    <cfRule type="duplicateValues" dxfId="9076" priority="11396" stopIfTrue="1"/>
  </conditionalFormatting>
  <conditionalFormatting sqref="A1766">
    <cfRule type="duplicateValues" dxfId="9075" priority="11395" stopIfTrue="1"/>
  </conditionalFormatting>
  <conditionalFormatting sqref="A1766">
    <cfRule type="duplicateValues" dxfId="9074" priority="11408" stopIfTrue="1"/>
  </conditionalFormatting>
  <conditionalFormatting sqref="A1766">
    <cfRule type="duplicateValues" dxfId="9073" priority="11394" stopIfTrue="1"/>
  </conditionalFormatting>
  <conditionalFormatting sqref="A1766 A1768 A1770 A1772">
    <cfRule type="duplicateValues" dxfId="9072" priority="11410" stopIfTrue="1"/>
  </conditionalFormatting>
  <conditionalFormatting sqref="A1766">
    <cfRule type="duplicateValues" dxfId="9071" priority="11411" stopIfTrue="1"/>
  </conditionalFormatting>
  <conditionalFormatting sqref="A1766">
    <cfRule type="duplicateValues" dxfId="9070" priority="11412" stopIfTrue="1"/>
  </conditionalFormatting>
  <conditionalFormatting sqref="R1766:R1773">
    <cfRule type="duplicateValues" dxfId="9069" priority="11413" stopIfTrue="1"/>
  </conditionalFormatting>
  <conditionalFormatting sqref="R1766:R1773">
    <cfRule type="duplicateValues" dxfId="9068" priority="11414" stopIfTrue="1"/>
  </conditionalFormatting>
  <conditionalFormatting sqref="A1765 A1723 A1683:A1691 A1725 A1727 A1729 A1731 A1767 A1769 A1771 A1773">
    <cfRule type="duplicateValues" dxfId="9067" priority="29217" stopIfTrue="1"/>
  </conditionalFormatting>
  <conditionalFormatting sqref="C1683:C1691 C1723:C1731 C1765:C1773">
    <cfRule type="duplicateValues" dxfId="9066" priority="29220" stopIfTrue="1"/>
  </conditionalFormatting>
  <conditionalFormatting sqref="A1765 A1723 A1683:A1691 A1725 A1727 A1729 A1731 A1767 A1769 A1771 A1773">
    <cfRule type="duplicateValues" dxfId="9065" priority="29223" stopIfTrue="1"/>
  </conditionalFormatting>
  <conditionalFormatting sqref="R1683:R1691">
    <cfRule type="duplicateValues" dxfId="9064" priority="29226" stopIfTrue="1"/>
  </conditionalFormatting>
  <conditionalFormatting sqref="R1683:R1691">
    <cfRule type="duplicateValues" dxfId="9063" priority="29227" stopIfTrue="1"/>
  </conditionalFormatting>
  <conditionalFormatting sqref="A1744 A1703 A1705 A1707 A1709 A1711 A1746 A1748 A1750 A1752">
    <cfRule type="duplicateValues" dxfId="9062" priority="29228" stopIfTrue="1"/>
  </conditionalFormatting>
  <conditionalFormatting sqref="C1703:C1711 C1744:C1752">
    <cfRule type="duplicateValues" dxfId="9061" priority="29230" stopIfTrue="1"/>
  </conditionalFormatting>
  <conditionalFormatting sqref="A1744 A1703 A1705 A1707 A1709 A1711 A1746 A1748 A1750 A1752">
    <cfRule type="duplicateValues" dxfId="9060" priority="29232" stopIfTrue="1"/>
  </conditionalFormatting>
  <conditionalFormatting sqref="R1703">
    <cfRule type="duplicateValues" dxfId="9059" priority="29234" stopIfTrue="1"/>
  </conditionalFormatting>
  <conditionalFormatting sqref="R1703">
    <cfRule type="duplicateValues" dxfId="9058" priority="29235" stopIfTrue="1"/>
  </conditionalFormatting>
  <conditionalFormatting sqref="R1723">
    <cfRule type="duplicateValues" dxfId="9057" priority="29236" stopIfTrue="1"/>
  </conditionalFormatting>
  <conditionalFormatting sqref="R1723">
    <cfRule type="duplicateValues" dxfId="9056" priority="29237" stopIfTrue="1"/>
  </conditionalFormatting>
  <conditionalFormatting sqref="R1744">
    <cfRule type="duplicateValues" dxfId="9055" priority="29238" stopIfTrue="1"/>
  </conditionalFormatting>
  <conditionalFormatting sqref="R1744">
    <cfRule type="duplicateValues" dxfId="9054" priority="29239" stopIfTrue="1"/>
  </conditionalFormatting>
  <conditionalFormatting sqref="R1765">
    <cfRule type="duplicateValues" dxfId="9053" priority="29240" stopIfTrue="1"/>
  </conditionalFormatting>
  <conditionalFormatting sqref="R1765">
    <cfRule type="duplicateValues" dxfId="9052" priority="29241" stopIfTrue="1"/>
  </conditionalFormatting>
  <conditionalFormatting sqref="A1692">
    <cfRule type="duplicateValues" dxfId="9051" priority="32330" stopIfTrue="1"/>
  </conditionalFormatting>
  <conditionalFormatting sqref="A1692">
    <cfRule type="duplicateValues" dxfId="9050" priority="32331" stopIfTrue="1"/>
  </conditionalFormatting>
  <conditionalFormatting sqref="C1692">
    <cfRule type="duplicateValues" dxfId="9049" priority="32332" stopIfTrue="1"/>
  </conditionalFormatting>
  <conditionalFormatting sqref="A1692">
    <cfRule type="duplicateValues" dxfId="9048" priority="32333" stopIfTrue="1"/>
  </conditionalFormatting>
  <conditionalFormatting sqref="R1692">
    <cfRule type="duplicateValues" dxfId="9047" priority="32334" stopIfTrue="1"/>
  </conditionalFormatting>
  <conditionalFormatting sqref="R1692">
    <cfRule type="duplicateValues" dxfId="9046" priority="32335" stopIfTrue="1"/>
  </conditionalFormatting>
  <conditionalFormatting sqref="A1712">
    <cfRule type="duplicateValues" dxfId="9045" priority="11386" stopIfTrue="1"/>
  </conditionalFormatting>
  <conditionalFormatting sqref="A1712">
    <cfRule type="duplicateValues" dxfId="9044" priority="11385" stopIfTrue="1"/>
  </conditionalFormatting>
  <conditionalFormatting sqref="A1712">
    <cfRule type="duplicateValues" dxfId="9043" priority="11384" stopIfTrue="1"/>
  </conditionalFormatting>
  <conditionalFormatting sqref="A1712">
    <cfRule type="duplicateValues" dxfId="9042" priority="11383" stopIfTrue="1"/>
  </conditionalFormatting>
  <conditionalFormatting sqref="A1712">
    <cfRule type="duplicateValues" dxfId="9041" priority="11382" stopIfTrue="1"/>
  </conditionalFormatting>
  <conditionalFormatting sqref="A1712">
    <cfRule type="duplicateValues" dxfId="9040" priority="11381" stopIfTrue="1"/>
  </conditionalFormatting>
  <conditionalFormatting sqref="A1712">
    <cfRule type="duplicateValues" dxfId="9039" priority="11380" stopIfTrue="1"/>
  </conditionalFormatting>
  <conditionalFormatting sqref="A1712">
    <cfRule type="duplicateValues" dxfId="9038" priority="11379" stopIfTrue="1"/>
  </conditionalFormatting>
  <conditionalFormatting sqref="A1712">
    <cfRule type="duplicateValues" dxfId="9037" priority="11378" stopIfTrue="1"/>
  </conditionalFormatting>
  <conditionalFormatting sqref="A1712">
    <cfRule type="duplicateValues" dxfId="9036" priority="11377" stopIfTrue="1"/>
  </conditionalFormatting>
  <conditionalFormatting sqref="A1712">
    <cfRule type="duplicateValues" dxfId="9035" priority="11376" stopIfTrue="1"/>
  </conditionalFormatting>
  <conditionalFormatting sqref="A1712">
    <cfRule type="duplicateValues" dxfId="9034" priority="11375" stopIfTrue="1"/>
  </conditionalFormatting>
  <conditionalFormatting sqref="A1712">
    <cfRule type="duplicateValues" dxfId="9033" priority="11387" stopIfTrue="1"/>
  </conditionalFormatting>
  <conditionalFormatting sqref="A1712">
    <cfRule type="duplicateValues" dxfId="9032" priority="11374" stopIfTrue="1"/>
  </conditionalFormatting>
  <conditionalFormatting sqref="A1712">
    <cfRule type="duplicateValues" dxfId="9031" priority="11388" stopIfTrue="1"/>
  </conditionalFormatting>
  <conditionalFormatting sqref="A1712">
    <cfRule type="duplicateValues" dxfId="9030" priority="11389" stopIfTrue="1"/>
  </conditionalFormatting>
  <conditionalFormatting sqref="C1712">
    <cfRule type="duplicateValues" dxfId="9029" priority="11390" stopIfTrue="1"/>
  </conditionalFormatting>
  <conditionalFormatting sqref="A1712">
    <cfRule type="duplicateValues" dxfId="9028" priority="11391" stopIfTrue="1"/>
  </conditionalFormatting>
  <conditionalFormatting sqref="R1712">
    <cfRule type="duplicateValues" dxfId="9027" priority="11392" stopIfTrue="1"/>
  </conditionalFormatting>
  <conditionalFormatting sqref="R1712">
    <cfRule type="duplicateValues" dxfId="9026" priority="11393" stopIfTrue="1"/>
  </conditionalFormatting>
  <conditionalFormatting sqref="A1732">
    <cfRule type="duplicateValues" dxfId="9025" priority="11366" stopIfTrue="1"/>
  </conditionalFormatting>
  <conditionalFormatting sqref="A1732">
    <cfRule type="duplicateValues" dxfId="9024" priority="11365" stopIfTrue="1"/>
  </conditionalFormatting>
  <conditionalFormatting sqref="A1732">
    <cfRule type="duplicateValues" dxfId="9023" priority="11364" stopIfTrue="1"/>
  </conditionalFormatting>
  <conditionalFormatting sqref="A1732">
    <cfRule type="duplicateValues" dxfId="9022" priority="11363" stopIfTrue="1"/>
  </conditionalFormatting>
  <conditionalFormatting sqref="A1732">
    <cfRule type="duplicateValues" dxfId="9021" priority="11362" stopIfTrue="1"/>
  </conditionalFormatting>
  <conditionalFormatting sqref="A1732">
    <cfRule type="duplicateValues" dxfId="9020" priority="11361" stopIfTrue="1"/>
  </conditionalFormatting>
  <conditionalFormatting sqref="A1732">
    <cfRule type="duplicateValues" dxfId="9019" priority="11360" stopIfTrue="1"/>
  </conditionalFormatting>
  <conditionalFormatting sqref="A1732">
    <cfRule type="duplicateValues" dxfId="9018" priority="11359" stopIfTrue="1"/>
  </conditionalFormatting>
  <conditionalFormatting sqref="A1732">
    <cfRule type="duplicateValues" dxfId="9017" priority="11358" stopIfTrue="1"/>
  </conditionalFormatting>
  <conditionalFormatting sqref="A1732">
    <cfRule type="duplicateValues" dxfId="9016" priority="11357" stopIfTrue="1"/>
  </conditionalFormatting>
  <conditionalFormatting sqref="A1732">
    <cfRule type="duplicateValues" dxfId="9015" priority="11356" stopIfTrue="1"/>
  </conditionalFormatting>
  <conditionalFormatting sqref="A1732">
    <cfRule type="duplicateValues" dxfId="9014" priority="11355" stopIfTrue="1"/>
  </conditionalFormatting>
  <conditionalFormatting sqref="A1732">
    <cfRule type="duplicateValues" dxfId="9013" priority="11367" stopIfTrue="1"/>
  </conditionalFormatting>
  <conditionalFormatting sqref="A1732">
    <cfRule type="duplicateValues" dxfId="9012" priority="11354" stopIfTrue="1"/>
  </conditionalFormatting>
  <conditionalFormatting sqref="A1732">
    <cfRule type="duplicateValues" dxfId="9011" priority="11368" stopIfTrue="1"/>
  </conditionalFormatting>
  <conditionalFormatting sqref="A1732">
    <cfRule type="duplicateValues" dxfId="9010" priority="11369" stopIfTrue="1"/>
  </conditionalFormatting>
  <conditionalFormatting sqref="C1732">
    <cfRule type="duplicateValues" dxfId="9009" priority="11370" stopIfTrue="1"/>
  </conditionalFormatting>
  <conditionalFormatting sqref="A1732">
    <cfRule type="duplicateValues" dxfId="9008" priority="11371" stopIfTrue="1"/>
  </conditionalFormatting>
  <conditionalFormatting sqref="R1732">
    <cfRule type="duplicateValues" dxfId="9007" priority="11372" stopIfTrue="1"/>
  </conditionalFormatting>
  <conditionalFormatting sqref="R1732">
    <cfRule type="duplicateValues" dxfId="9006" priority="11373" stopIfTrue="1"/>
  </conditionalFormatting>
  <conditionalFormatting sqref="A1753">
    <cfRule type="duplicateValues" dxfId="9005" priority="11346" stopIfTrue="1"/>
  </conditionalFormatting>
  <conditionalFormatting sqref="A1753">
    <cfRule type="duplicateValues" dxfId="9004" priority="11345" stopIfTrue="1"/>
  </conditionalFormatting>
  <conditionalFormatting sqref="A1753">
    <cfRule type="duplicateValues" dxfId="9003" priority="11344" stopIfTrue="1"/>
  </conditionalFormatting>
  <conditionalFormatting sqref="A1753">
    <cfRule type="duplicateValues" dxfId="9002" priority="11343" stopIfTrue="1"/>
  </conditionalFormatting>
  <conditionalFormatting sqref="A1753">
    <cfRule type="duplicateValues" dxfId="9001" priority="11342" stopIfTrue="1"/>
  </conditionalFormatting>
  <conditionalFormatting sqref="A1753">
    <cfRule type="duplicateValues" dxfId="9000" priority="11341" stopIfTrue="1"/>
  </conditionalFormatting>
  <conditionalFormatting sqref="A1753">
    <cfRule type="duplicateValues" dxfId="8999" priority="11340" stopIfTrue="1"/>
  </conditionalFormatting>
  <conditionalFormatting sqref="A1753">
    <cfRule type="duplicateValues" dxfId="8998" priority="11339" stopIfTrue="1"/>
  </conditionalFormatting>
  <conditionalFormatting sqref="A1753">
    <cfRule type="duplicateValues" dxfId="8997" priority="11338" stopIfTrue="1"/>
  </conditionalFormatting>
  <conditionalFormatting sqref="A1753">
    <cfRule type="duplicateValues" dxfId="8996" priority="11337" stopIfTrue="1"/>
  </conditionalFormatting>
  <conditionalFormatting sqref="A1753">
    <cfRule type="duplicateValues" dxfId="8995" priority="11336" stopIfTrue="1"/>
  </conditionalFormatting>
  <conditionalFormatting sqref="A1753">
    <cfRule type="duplicateValues" dxfId="8994" priority="11335" stopIfTrue="1"/>
  </conditionalFormatting>
  <conditionalFormatting sqref="A1753">
    <cfRule type="duplicateValues" dxfId="8993" priority="11347" stopIfTrue="1"/>
  </conditionalFormatting>
  <conditionalFormatting sqref="A1753">
    <cfRule type="duplicateValues" dxfId="8992" priority="11334" stopIfTrue="1"/>
  </conditionalFormatting>
  <conditionalFormatting sqref="A1753">
    <cfRule type="duplicateValues" dxfId="8991" priority="11348" stopIfTrue="1"/>
  </conditionalFormatting>
  <conditionalFormatting sqref="A1753">
    <cfRule type="duplicateValues" dxfId="8990" priority="11349" stopIfTrue="1"/>
  </conditionalFormatting>
  <conditionalFormatting sqref="C1753">
    <cfRule type="duplicateValues" dxfId="8989" priority="11350" stopIfTrue="1"/>
  </conditionalFormatting>
  <conditionalFormatting sqref="A1753">
    <cfRule type="duplicateValues" dxfId="8988" priority="11351" stopIfTrue="1"/>
  </conditionalFormatting>
  <conditionalFormatting sqref="R1753">
    <cfRule type="duplicateValues" dxfId="8987" priority="11352" stopIfTrue="1"/>
  </conditionalFormatting>
  <conditionalFormatting sqref="R1753">
    <cfRule type="duplicateValues" dxfId="8986" priority="11353" stopIfTrue="1"/>
  </conditionalFormatting>
  <conditionalFormatting sqref="A1774">
    <cfRule type="duplicateValues" dxfId="8985" priority="11326" stopIfTrue="1"/>
  </conditionalFormatting>
  <conditionalFormatting sqref="A1774">
    <cfRule type="duplicateValues" dxfId="8984" priority="11325" stopIfTrue="1"/>
  </conditionalFormatting>
  <conditionalFormatting sqref="A1774">
    <cfRule type="duplicateValues" dxfId="8983" priority="11324" stopIfTrue="1"/>
  </conditionalFormatting>
  <conditionalFormatting sqref="A1774">
    <cfRule type="duplicateValues" dxfId="8982" priority="11323" stopIfTrue="1"/>
  </conditionalFormatting>
  <conditionalFormatting sqref="A1774">
    <cfRule type="duplicateValues" dxfId="8981" priority="11322" stopIfTrue="1"/>
  </conditionalFormatting>
  <conditionalFormatting sqref="A1774">
    <cfRule type="duplicateValues" dxfId="8980" priority="11321" stopIfTrue="1"/>
  </conditionalFormatting>
  <conditionalFormatting sqref="A1774">
    <cfRule type="duplicateValues" dxfId="8979" priority="11320" stopIfTrue="1"/>
  </conditionalFormatting>
  <conditionalFormatting sqref="A1774">
    <cfRule type="duplicateValues" dxfId="8978" priority="11319" stopIfTrue="1"/>
  </conditionalFormatting>
  <conditionalFormatting sqref="A1774">
    <cfRule type="duplicateValues" dxfId="8977" priority="11318" stopIfTrue="1"/>
  </conditionalFormatting>
  <conditionalFormatting sqref="A1774">
    <cfRule type="duplicateValues" dxfId="8976" priority="11317" stopIfTrue="1"/>
  </conditionalFormatting>
  <conditionalFormatting sqref="A1774">
    <cfRule type="duplicateValues" dxfId="8975" priority="11316" stopIfTrue="1"/>
  </conditionalFormatting>
  <conditionalFormatting sqref="A1774">
    <cfRule type="duplicateValues" dxfId="8974" priority="11315" stopIfTrue="1"/>
  </conditionalFormatting>
  <conditionalFormatting sqref="A1774">
    <cfRule type="duplicateValues" dxfId="8973" priority="11327" stopIfTrue="1"/>
  </conditionalFormatting>
  <conditionalFormatting sqref="A1774">
    <cfRule type="duplicateValues" dxfId="8972" priority="11314" stopIfTrue="1"/>
  </conditionalFormatting>
  <conditionalFormatting sqref="A1774">
    <cfRule type="duplicateValues" dxfId="8971" priority="11328" stopIfTrue="1"/>
  </conditionalFormatting>
  <conditionalFormatting sqref="A1774">
    <cfRule type="duplicateValues" dxfId="8970" priority="11329" stopIfTrue="1"/>
  </conditionalFormatting>
  <conditionalFormatting sqref="C1774:C1775">
    <cfRule type="duplicateValues" dxfId="8969" priority="11330" stopIfTrue="1"/>
  </conditionalFormatting>
  <conditionalFormatting sqref="A1774">
    <cfRule type="duplicateValues" dxfId="8968" priority="11331" stopIfTrue="1"/>
  </conditionalFormatting>
  <conditionalFormatting sqref="R1774">
    <cfRule type="duplicateValues" dxfId="8967" priority="11332" stopIfTrue="1"/>
  </conditionalFormatting>
  <conditionalFormatting sqref="R1774">
    <cfRule type="duplicateValues" dxfId="8966" priority="11333" stopIfTrue="1"/>
  </conditionalFormatting>
  <conditionalFormatting sqref="A1693">
    <cfRule type="duplicateValues" dxfId="8965" priority="11306" stopIfTrue="1"/>
  </conditionalFormatting>
  <conditionalFormatting sqref="A1693">
    <cfRule type="duplicateValues" dxfId="8964" priority="11305" stopIfTrue="1"/>
  </conditionalFormatting>
  <conditionalFormatting sqref="A1693">
    <cfRule type="duplicateValues" dxfId="8963" priority="11304" stopIfTrue="1"/>
  </conditionalFormatting>
  <conditionalFormatting sqref="A1693">
    <cfRule type="duplicateValues" dxfId="8962" priority="11303" stopIfTrue="1"/>
  </conditionalFormatting>
  <conditionalFormatting sqref="A1693">
    <cfRule type="duplicateValues" dxfId="8961" priority="11302" stopIfTrue="1"/>
  </conditionalFormatting>
  <conditionalFormatting sqref="A1693">
    <cfRule type="duplicateValues" dxfId="8960" priority="11301" stopIfTrue="1"/>
  </conditionalFormatting>
  <conditionalFormatting sqref="A1693">
    <cfRule type="duplicateValues" dxfId="8959" priority="11300" stopIfTrue="1"/>
  </conditionalFormatting>
  <conditionalFormatting sqref="A1693">
    <cfRule type="duplicateValues" dxfId="8958" priority="11299" stopIfTrue="1"/>
  </conditionalFormatting>
  <conditionalFormatting sqref="A1693">
    <cfRule type="duplicateValues" dxfId="8957" priority="11298" stopIfTrue="1"/>
  </conditionalFormatting>
  <conditionalFormatting sqref="A1693">
    <cfRule type="duplicateValues" dxfId="8956" priority="11297" stopIfTrue="1"/>
  </conditionalFormatting>
  <conditionalFormatting sqref="A1693">
    <cfRule type="duplicateValues" dxfId="8955" priority="11296" stopIfTrue="1"/>
  </conditionalFormatting>
  <conditionalFormatting sqref="A1693">
    <cfRule type="duplicateValues" dxfId="8954" priority="11295" stopIfTrue="1"/>
  </conditionalFormatting>
  <conditionalFormatting sqref="A1693">
    <cfRule type="duplicateValues" dxfId="8953" priority="11307" stopIfTrue="1"/>
  </conditionalFormatting>
  <conditionalFormatting sqref="A1693">
    <cfRule type="duplicateValues" dxfId="8952" priority="11294" stopIfTrue="1"/>
  </conditionalFormatting>
  <conditionalFormatting sqref="A1693">
    <cfRule type="duplicateValues" dxfId="8951" priority="11308" stopIfTrue="1"/>
  </conditionalFormatting>
  <conditionalFormatting sqref="A1693">
    <cfRule type="duplicateValues" dxfId="8950" priority="11309" stopIfTrue="1"/>
  </conditionalFormatting>
  <conditionalFormatting sqref="A1693">
    <cfRule type="duplicateValues" dxfId="8949" priority="11311" stopIfTrue="1"/>
  </conditionalFormatting>
  <conditionalFormatting sqref="R1693">
    <cfRule type="duplicateValues" dxfId="8948" priority="11312" stopIfTrue="1"/>
  </conditionalFormatting>
  <conditionalFormatting sqref="R1693">
    <cfRule type="duplicateValues" dxfId="8947" priority="11313" stopIfTrue="1"/>
  </conditionalFormatting>
  <conditionalFormatting sqref="A1694">
    <cfRule type="duplicateValues" dxfId="8946" priority="11286" stopIfTrue="1"/>
  </conditionalFormatting>
  <conditionalFormatting sqref="A1694">
    <cfRule type="duplicateValues" dxfId="8945" priority="11285" stopIfTrue="1"/>
  </conditionalFormatting>
  <conditionalFormatting sqref="A1694">
    <cfRule type="duplicateValues" dxfId="8944" priority="11284" stopIfTrue="1"/>
  </conditionalFormatting>
  <conditionalFormatting sqref="A1694">
    <cfRule type="duplicateValues" dxfId="8943" priority="11283" stopIfTrue="1"/>
  </conditionalFormatting>
  <conditionalFormatting sqref="A1694">
    <cfRule type="duplicateValues" dxfId="8942" priority="11282" stopIfTrue="1"/>
  </conditionalFormatting>
  <conditionalFormatting sqref="A1694">
    <cfRule type="duplicateValues" dxfId="8941" priority="11281" stopIfTrue="1"/>
  </conditionalFormatting>
  <conditionalFormatting sqref="A1694">
    <cfRule type="duplicateValues" dxfId="8940" priority="11280" stopIfTrue="1"/>
  </conditionalFormatting>
  <conditionalFormatting sqref="A1694">
    <cfRule type="duplicateValues" dxfId="8939" priority="11279" stopIfTrue="1"/>
  </conditionalFormatting>
  <conditionalFormatting sqref="A1694">
    <cfRule type="duplicateValues" dxfId="8938" priority="11278" stopIfTrue="1"/>
  </conditionalFormatting>
  <conditionalFormatting sqref="A1694">
    <cfRule type="duplicateValues" dxfId="8937" priority="11277" stopIfTrue="1"/>
  </conditionalFormatting>
  <conditionalFormatting sqref="A1694">
    <cfRule type="duplicateValues" dxfId="8936" priority="11276" stopIfTrue="1"/>
  </conditionalFormatting>
  <conditionalFormatting sqref="A1694">
    <cfRule type="duplicateValues" dxfId="8935" priority="11275" stopIfTrue="1"/>
  </conditionalFormatting>
  <conditionalFormatting sqref="A1694">
    <cfRule type="duplicateValues" dxfId="8934" priority="11287" stopIfTrue="1"/>
  </conditionalFormatting>
  <conditionalFormatting sqref="A1694">
    <cfRule type="duplicateValues" dxfId="8933" priority="11274" stopIfTrue="1"/>
  </conditionalFormatting>
  <conditionalFormatting sqref="A1694">
    <cfRule type="duplicateValues" dxfId="8932" priority="11288" stopIfTrue="1"/>
  </conditionalFormatting>
  <conditionalFormatting sqref="A1694">
    <cfRule type="duplicateValues" dxfId="8931" priority="11289" stopIfTrue="1"/>
  </conditionalFormatting>
  <conditionalFormatting sqref="A1694">
    <cfRule type="duplicateValues" dxfId="8930" priority="11291" stopIfTrue="1"/>
  </conditionalFormatting>
  <conditionalFormatting sqref="R1694">
    <cfRule type="duplicateValues" dxfId="8929" priority="11292" stopIfTrue="1"/>
  </conditionalFormatting>
  <conditionalFormatting sqref="R1694">
    <cfRule type="duplicateValues" dxfId="8928" priority="11293" stopIfTrue="1"/>
  </conditionalFormatting>
  <conditionalFormatting sqref="A1695">
    <cfRule type="duplicateValues" dxfId="8927" priority="11266" stopIfTrue="1"/>
  </conditionalFormatting>
  <conditionalFormatting sqref="A1695">
    <cfRule type="duplicateValues" dxfId="8926" priority="11265" stopIfTrue="1"/>
  </conditionalFormatting>
  <conditionalFormatting sqref="A1695">
    <cfRule type="duplicateValues" dxfId="8925" priority="11264" stopIfTrue="1"/>
  </conditionalFormatting>
  <conditionalFormatting sqref="A1695">
    <cfRule type="duplicateValues" dxfId="8924" priority="11263" stopIfTrue="1"/>
  </conditionalFormatting>
  <conditionalFormatting sqref="A1695">
    <cfRule type="duplicateValues" dxfId="8923" priority="11262" stopIfTrue="1"/>
  </conditionalFormatting>
  <conditionalFormatting sqref="A1695">
    <cfRule type="duplicateValues" dxfId="8922" priority="11261" stopIfTrue="1"/>
  </conditionalFormatting>
  <conditionalFormatting sqref="A1695">
    <cfRule type="duplicateValues" dxfId="8921" priority="11260" stopIfTrue="1"/>
  </conditionalFormatting>
  <conditionalFormatting sqref="A1695">
    <cfRule type="duplicateValues" dxfId="8920" priority="11259" stopIfTrue="1"/>
  </conditionalFormatting>
  <conditionalFormatting sqref="A1695">
    <cfRule type="duplicateValues" dxfId="8919" priority="11258" stopIfTrue="1"/>
  </conditionalFormatting>
  <conditionalFormatting sqref="A1695">
    <cfRule type="duplicateValues" dxfId="8918" priority="11257" stopIfTrue="1"/>
  </conditionalFormatting>
  <conditionalFormatting sqref="A1695">
    <cfRule type="duplicateValues" dxfId="8917" priority="11256" stopIfTrue="1"/>
  </conditionalFormatting>
  <conditionalFormatting sqref="A1695">
    <cfRule type="duplicateValues" dxfId="8916" priority="11255" stopIfTrue="1"/>
  </conditionalFormatting>
  <conditionalFormatting sqref="A1695">
    <cfRule type="duplicateValues" dxfId="8915" priority="11267" stopIfTrue="1"/>
  </conditionalFormatting>
  <conditionalFormatting sqref="A1695">
    <cfRule type="duplicateValues" dxfId="8914" priority="11254" stopIfTrue="1"/>
  </conditionalFormatting>
  <conditionalFormatting sqref="A1695">
    <cfRule type="duplicateValues" dxfId="8913" priority="11268" stopIfTrue="1"/>
  </conditionalFormatting>
  <conditionalFormatting sqref="A1695">
    <cfRule type="duplicateValues" dxfId="8912" priority="11269" stopIfTrue="1"/>
  </conditionalFormatting>
  <conditionalFormatting sqref="A1695">
    <cfRule type="duplicateValues" dxfId="8911" priority="11271" stopIfTrue="1"/>
  </conditionalFormatting>
  <conditionalFormatting sqref="R1695">
    <cfRule type="duplicateValues" dxfId="8910" priority="11272" stopIfTrue="1"/>
  </conditionalFormatting>
  <conditionalFormatting sqref="R1695">
    <cfRule type="duplicateValues" dxfId="8909" priority="11273" stopIfTrue="1"/>
  </conditionalFormatting>
  <conditionalFormatting sqref="A1713">
    <cfRule type="duplicateValues" dxfId="8908" priority="11246" stopIfTrue="1"/>
  </conditionalFormatting>
  <conditionalFormatting sqref="A1713">
    <cfRule type="duplicateValues" dxfId="8907" priority="11245" stopIfTrue="1"/>
  </conditionalFormatting>
  <conditionalFormatting sqref="A1713">
    <cfRule type="duplicateValues" dxfId="8906" priority="11244" stopIfTrue="1"/>
  </conditionalFormatting>
  <conditionalFormatting sqref="A1713">
    <cfRule type="duplicateValues" dxfId="8905" priority="11243" stopIfTrue="1"/>
  </conditionalFormatting>
  <conditionalFormatting sqref="A1713">
    <cfRule type="duplicateValues" dxfId="8904" priority="11242" stopIfTrue="1"/>
  </conditionalFormatting>
  <conditionalFormatting sqref="A1713">
    <cfRule type="duplicateValues" dxfId="8903" priority="11241" stopIfTrue="1"/>
  </conditionalFormatting>
  <conditionalFormatting sqref="A1713">
    <cfRule type="duplicateValues" dxfId="8902" priority="11240" stopIfTrue="1"/>
  </conditionalFormatting>
  <conditionalFormatting sqref="A1713">
    <cfRule type="duplicateValues" dxfId="8901" priority="11239" stopIfTrue="1"/>
  </conditionalFormatting>
  <conditionalFormatting sqref="A1713">
    <cfRule type="duplicateValues" dxfId="8900" priority="11238" stopIfTrue="1"/>
  </conditionalFormatting>
  <conditionalFormatting sqref="A1713">
    <cfRule type="duplicateValues" dxfId="8899" priority="11237" stopIfTrue="1"/>
  </conditionalFormatting>
  <conditionalFormatting sqref="A1713">
    <cfRule type="duplicateValues" dxfId="8898" priority="11236" stopIfTrue="1"/>
  </conditionalFormatting>
  <conditionalFormatting sqref="A1713">
    <cfRule type="duplicateValues" dxfId="8897" priority="11235" stopIfTrue="1"/>
  </conditionalFormatting>
  <conditionalFormatting sqref="A1713">
    <cfRule type="duplicateValues" dxfId="8896" priority="11247" stopIfTrue="1"/>
  </conditionalFormatting>
  <conditionalFormatting sqref="A1713">
    <cfRule type="duplicateValues" dxfId="8895" priority="11234" stopIfTrue="1"/>
  </conditionalFormatting>
  <conditionalFormatting sqref="A1713">
    <cfRule type="duplicateValues" dxfId="8894" priority="11248" stopIfTrue="1"/>
  </conditionalFormatting>
  <conditionalFormatting sqref="A1713">
    <cfRule type="duplicateValues" dxfId="8893" priority="11249" stopIfTrue="1"/>
  </conditionalFormatting>
  <conditionalFormatting sqref="A1713">
    <cfRule type="duplicateValues" dxfId="8892" priority="11251" stopIfTrue="1"/>
  </conditionalFormatting>
  <conditionalFormatting sqref="R1713">
    <cfRule type="duplicateValues" dxfId="8891" priority="11252" stopIfTrue="1"/>
  </conditionalFormatting>
  <conditionalFormatting sqref="R1713">
    <cfRule type="duplicateValues" dxfId="8890" priority="11253" stopIfTrue="1"/>
  </conditionalFormatting>
  <conditionalFormatting sqref="A1714">
    <cfRule type="duplicateValues" dxfId="8889" priority="11226" stopIfTrue="1"/>
  </conditionalFormatting>
  <conditionalFormatting sqref="A1714">
    <cfRule type="duplicateValues" dxfId="8888" priority="11225" stopIfTrue="1"/>
  </conditionalFormatting>
  <conditionalFormatting sqref="A1714">
    <cfRule type="duplicateValues" dxfId="8887" priority="11224" stopIfTrue="1"/>
  </conditionalFormatting>
  <conditionalFormatting sqref="A1714">
    <cfRule type="duplicateValues" dxfId="8886" priority="11223" stopIfTrue="1"/>
  </conditionalFormatting>
  <conditionalFormatting sqref="A1714">
    <cfRule type="duplicateValues" dxfId="8885" priority="11222" stopIfTrue="1"/>
  </conditionalFormatting>
  <conditionalFormatting sqref="A1714">
    <cfRule type="duplicateValues" dxfId="8884" priority="11221" stopIfTrue="1"/>
  </conditionalFormatting>
  <conditionalFormatting sqref="A1714">
    <cfRule type="duplicateValues" dxfId="8883" priority="11220" stopIfTrue="1"/>
  </conditionalFormatting>
  <conditionalFormatting sqref="A1714">
    <cfRule type="duplicateValues" dxfId="8882" priority="11219" stopIfTrue="1"/>
  </conditionalFormatting>
  <conditionalFormatting sqref="A1714">
    <cfRule type="duplicateValues" dxfId="8881" priority="11218" stopIfTrue="1"/>
  </conditionalFormatting>
  <conditionalFormatting sqref="A1714">
    <cfRule type="duplicateValues" dxfId="8880" priority="11217" stopIfTrue="1"/>
  </conditionalFormatting>
  <conditionalFormatting sqref="A1714">
    <cfRule type="duplicateValues" dxfId="8879" priority="11216" stopIfTrue="1"/>
  </conditionalFormatting>
  <conditionalFormatting sqref="A1714">
    <cfRule type="duplicateValues" dxfId="8878" priority="11215" stopIfTrue="1"/>
  </conditionalFormatting>
  <conditionalFormatting sqref="A1714">
    <cfRule type="duplicateValues" dxfId="8877" priority="11227" stopIfTrue="1"/>
  </conditionalFormatting>
  <conditionalFormatting sqref="A1714">
    <cfRule type="duplicateValues" dxfId="8876" priority="11214" stopIfTrue="1"/>
  </conditionalFormatting>
  <conditionalFormatting sqref="A1714">
    <cfRule type="duplicateValues" dxfId="8875" priority="11228" stopIfTrue="1"/>
  </conditionalFormatting>
  <conditionalFormatting sqref="A1714">
    <cfRule type="duplicateValues" dxfId="8874" priority="11229" stopIfTrue="1"/>
  </conditionalFormatting>
  <conditionalFormatting sqref="A1714">
    <cfRule type="duplicateValues" dxfId="8873" priority="11231" stopIfTrue="1"/>
  </conditionalFormatting>
  <conditionalFormatting sqref="R1714">
    <cfRule type="duplicateValues" dxfId="8872" priority="11232" stopIfTrue="1"/>
  </conditionalFormatting>
  <conditionalFormatting sqref="R1714">
    <cfRule type="duplicateValues" dxfId="8871" priority="11233" stopIfTrue="1"/>
  </conditionalFormatting>
  <conditionalFormatting sqref="A1715">
    <cfRule type="duplicateValues" dxfId="8870" priority="11206" stopIfTrue="1"/>
  </conditionalFormatting>
  <conditionalFormatting sqref="A1715">
    <cfRule type="duplicateValues" dxfId="8869" priority="11205" stopIfTrue="1"/>
  </conditionalFormatting>
  <conditionalFormatting sqref="A1715">
    <cfRule type="duplicateValues" dxfId="8868" priority="11204" stopIfTrue="1"/>
  </conditionalFormatting>
  <conditionalFormatting sqref="A1715">
    <cfRule type="duplicateValues" dxfId="8867" priority="11203" stopIfTrue="1"/>
  </conditionalFormatting>
  <conditionalFormatting sqref="A1715">
    <cfRule type="duplicateValues" dxfId="8866" priority="11202" stopIfTrue="1"/>
  </conditionalFormatting>
  <conditionalFormatting sqref="A1715">
    <cfRule type="duplicateValues" dxfId="8865" priority="11201" stopIfTrue="1"/>
  </conditionalFormatting>
  <conditionalFormatting sqref="A1715">
    <cfRule type="duplicateValues" dxfId="8864" priority="11200" stopIfTrue="1"/>
  </conditionalFormatting>
  <conditionalFormatting sqref="A1715">
    <cfRule type="duplicateValues" dxfId="8863" priority="11199" stopIfTrue="1"/>
  </conditionalFormatting>
  <conditionalFormatting sqref="A1715">
    <cfRule type="duplicateValues" dxfId="8862" priority="11198" stopIfTrue="1"/>
  </conditionalFormatting>
  <conditionalFormatting sqref="A1715">
    <cfRule type="duplicateValues" dxfId="8861" priority="11197" stopIfTrue="1"/>
  </conditionalFormatting>
  <conditionalFormatting sqref="A1715">
    <cfRule type="duplicateValues" dxfId="8860" priority="11196" stopIfTrue="1"/>
  </conditionalFormatting>
  <conditionalFormatting sqref="A1715">
    <cfRule type="duplicateValues" dxfId="8859" priority="11195" stopIfTrue="1"/>
  </conditionalFormatting>
  <conditionalFormatting sqref="A1715">
    <cfRule type="duplicateValues" dxfId="8858" priority="11207" stopIfTrue="1"/>
  </conditionalFormatting>
  <conditionalFormatting sqref="A1715">
    <cfRule type="duplicateValues" dxfId="8857" priority="11194" stopIfTrue="1"/>
  </conditionalFormatting>
  <conditionalFormatting sqref="A1715">
    <cfRule type="duplicateValues" dxfId="8856" priority="11208" stopIfTrue="1"/>
  </conditionalFormatting>
  <conditionalFormatting sqref="A1715">
    <cfRule type="duplicateValues" dxfId="8855" priority="11209" stopIfTrue="1"/>
  </conditionalFormatting>
  <conditionalFormatting sqref="A1715">
    <cfRule type="duplicateValues" dxfId="8854" priority="11211" stopIfTrue="1"/>
  </conditionalFormatting>
  <conditionalFormatting sqref="R1715">
    <cfRule type="duplicateValues" dxfId="8853" priority="11212" stopIfTrue="1"/>
  </conditionalFormatting>
  <conditionalFormatting sqref="R1715">
    <cfRule type="duplicateValues" dxfId="8852" priority="11213" stopIfTrue="1"/>
  </conditionalFormatting>
  <conditionalFormatting sqref="A1733">
    <cfRule type="duplicateValues" dxfId="8851" priority="11186" stopIfTrue="1"/>
  </conditionalFormatting>
  <conditionalFormatting sqref="A1733">
    <cfRule type="duplicateValues" dxfId="8850" priority="11185" stopIfTrue="1"/>
  </conditionalFormatting>
  <conditionalFormatting sqref="A1733">
    <cfRule type="duplicateValues" dxfId="8849" priority="11184" stopIfTrue="1"/>
  </conditionalFormatting>
  <conditionalFormatting sqref="A1733">
    <cfRule type="duplicateValues" dxfId="8848" priority="11183" stopIfTrue="1"/>
  </conditionalFormatting>
  <conditionalFormatting sqref="A1733">
    <cfRule type="duplicateValues" dxfId="8847" priority="11182" stopIfTrue="1"/>
  </conditionalFormatting>
  <conditionalFormatting sqref="A1733">
    <cfRule type="duplicateValues" dxfId="8846" priority="11181" stopIfTrue="1"/>
  </conditionalFormatting>
  <conditionalFormatting sqref="A1733">
    <cfRule type="duplicateValues" dxfId="8845" priority="11180" stopIfTrue="1"/>
  </conditionalFormatting>
  <conditionalFormatting sqref="A1733">
    <cfRule type="duplicateValues" dxfId="8844" priority="11179" stopIfTrue="1"/>
  </conditionalFormatting>
  <conditionalFormatting sqref="A1733">
    <cfRule type="duplicateValues" dxfId="8843" priority="11178" stopIfTrue="1"/>
  </conditionalFormatting>
  <conditionalFormatting sqref="A1733">
    <cfRule type="duplicateValues" dxfId="8842" priority="11177" stopIfTrue="1"/>
  </conditionalFormatting>
  <conditionalFormatting sqref="A1733">
    <cfRule type="duplicateValues" dxfId="8841" priority="11176" stopIfTrue="1"/>
  </conditionalFormatting>
  <conditionalFormatting sqref="A1733">
    <cfRule type="duplicateValues" dxfId="8840" priority="11175" stopIfTrue="1"/>
  </conditionalFormatting>
  <conditionalFormatting sqref="A1733">
    <cfRule type="duplicateValues" dxfId="8839" priority="11187" stopIfTrue="1"/>
  </conditionalFormatting>
  <conditionalFormatting sqref="A1733">
    <cfRule type="duplicateValues" dxfId="8838" priority="11174" stopIfTrue="1"/>
  </conditionalFormatting>
  <conditionalFormatting sqref="A1733">
    <cfRule type="duplicateValues" dxfId="8837" priority="11188" stopIfTrue="1"/>
  </conditionalFormatting>
  <conditionalFormatting sqref="A1733">
    <cfRule type="duplicateValues" dxfId="8836" priority="11189" stopIfTrue="1"/>
  </conditionalFormatting>
  <conditionalFormatting sqref="A1733">
    <cfRule type="duplicateValues" dxfId="8835" priority="11191" stopIfTrue="1"/>
  </conditionalFormatting>
  <conditionalFormatting sqref="R1733">
    <cfRule type="duplicateValues" dxfId="8834" priority="11192" stopIfTrue="1"/>
  </conditionalFormatting>
  <conditionalFormatting sqref="R1733">
    <cfRule type="duplicateValues" dxfId="8833" priority="11193" stopIfTrue="1"/>
  </conditionalFormatting>
  <conditionalFormatting sqref="A1734">
    <cfRule type="duplicateValues" dxfId="8832" priority="11166" stopIfTrue="1"/>
  </conditionalFormatting>
  <conditionalFormatting sqref="A1734">
    <cfRule type="duplicateValues" dxfId="8831" priority="11165" stopIfTrue="1"/>
  </conditionalFormatting>
  <conditionalFormatting sqref="A1734">
    <cfRule type="duplicateValues" dxfId="8830" priority="11164" stopIfTrue="1"/>
  </conditionalFormatting>
  <conditionalFormatting sqref="A1734">
    <cfRule type="duplicateValues" dxfId="8829" priority="11163" stopIfTrue="1"/>
  </conditionalFormatting>
  <conditionalFormatting sqref="A1734">
    <cfRule type="duplicateValues" dxfId="8828" priority="11162" stopIfTrue="1"/>
  </conditionalFormatting>
  <conditionalFormatting sqref="A1734">
    <cfRule type="duplicateValues" dxfId="8827" priority="11161" stopIfTrue="1"/>
  </conditionalFormatting>
  <conditionalFormatting sqref="A1734">
    <cfRule type="duplicateValues" dxfId="8826" priority="11160" stopIfTrue="1"/>
  </conditionalFormatting>
  <conditionalFormatting sqref="A1734">
    <cfRule type="duplicateValues" dxfId="8825" priority="11159" stopIfTrue="1"/>
  </conditionalFormatting>
  <conditionalFormatting sqref="A1734">
    <cfRule type="duplicateValues" dxfId="8824" priority="11158" stopIfTrue="1"/>
  </conditionalFormatting>
  <conditionalFormatting sqref="A1734">
    <cfRule type="duplicateValues" dxfId="8823" priority="11157" stopIfTrue="1"/>
  </conditionalFormatting>
  <conditionalFormatting sqref="A1734">
    <cfRule type="duplicateValues" dxfId="8822" priority="11156" stopIfTrue="1"/>
  </conditionalFormatting>
  <conditionalFormatting sqref="A1734">
    <cfRule type="duplicateValues" dxfId="8821" priority="11155" stopIfTrue="1"/>
  </conditionalFormatting>
  <conditionalFormatting sqref="A1734">
    <cfRule type="duplicateValues" dxfId="8820" priority="11167" stopIfTrue="1"/>
  </conditionalFormatting>
  <conditionalFormatting sqref="A1734">
    <cfRule type="duplicateValues" dxfId="8819" priority="11154" stopIfTrue="1"/>
  </conditionalFormatting>
  <conditionalFormatting sqref="A1734">
    <cfRule type="duplicateValues" dxfId="8818" priority="11168" stopIfTrue="1"/>
  </conditionalFormatting>
  <conditionalFormatting sqref="A1734">
    <cfRule type="duplicateValues" dxfId="8817" priority="11169" stopIfTrue="1"/>
  </conditionalFormatting>
  <conditionalFormatting sqref="A1734">
    <cfRule type="duplicateValues" dxfId="8816" priority="11171" stopIfTrue="1"/>
  </conditionalFormatting>
  <conditionalFormatting sqref="R1734">
    <cfRule type="duplicateValues" dxfId="8815" priority="11172" stopIfTrue="1"/>
  </conditionalFormatting>
  <conditionalFormatting sqref="R1734">
    <cfRule type="duplicateValues" dxfId="8814" priority="11173" stopIfTrue="1"/>
  </conditionalFormatting>
  <conditionalFormatting sqref="A1735">
    <cfRule type="duplicateValues" dxfId="8813" priority="11146" stopIfTrue="1"/>
  </conditionalFormatting>
  <conditionalFormatting sqref="A1735">
    <cfRule type="duplicateValues" dxfId="8812" priority="11145" stopIfTrue="1"/>
  </conditionalFormatting>
  <conditionalFormatting sqref="A1735">
    <cfRule type="duplicateValues" dxfId="8811" priority="11144" stopIfTrue="1"/>
  </conditionalFormatting>
  <conditionalFormatting sqref="A1735">
    <cfRule type="duplicateValues" dxfId="8810" priority="11143" stopIfTrue="1"/>
  </conditionalFormatting>
  <conditionalFormatting sqref="A1735">
    <cfRule type="duplicateValues" dxfId="8809" priority="11142" stopIfTrue="1"/>
  </conditionalFormatting>
  <conditionalFormatting sqref="A1735">
    <cfRule type="duplicateValues" dxfId="8808" priority="11141" stopIfTrue="1"/>
  </conditionalFormatting>
  <conditionalFormatting sqref="A1735">
    <cfRule type="duplicateValues" dxfId="8807" priority="11140" stopIfTrue="1"/>
  </conditionalFormatting>
  <conditionalFormatting sqref="A1735">
    <cfRule type="duplicateValues" dxfId="8806" priority="11139" stopIfTrue="1"/>
  </conditionalFormatting>
  <conditionalFormatting sqref="A1735">
    <cfRule type="duplicateValues" dxfId="8805" priority="11138" stopIfTrue="1"/>
  </conditionalFormatting>
  <conditionalFormatting sqref="A1735">
    <cfRule type="duplicateValues" dxfId="8804" priority="11137" stopIfTrue="1"/>
  </conditionalFormatting>
  <conditionalFormatting sqref="A1735">
    <cfRule type="duplicateValues" dxfId="8803" priority="11136" stopIfTrue="1"/>
  </conditionalFormatting>
  <conditionalFormatting sqref="A1735">
    <cfRule type="duplicateValues" dxfId="8802" priority="11135" stopIfTrue="1"/>
  </conditionalFormatting>
  <conditionalFormatting sqref="A1735">
    <cfRule type="duplicateValues" dxfId="8801" priority="11147" stopIfTrue="1"/>
  </conditionalFormatting>
  <conditionalFormatting sqref="A1735">
    <cfRule type="duplicateValues" dxfId="8800" priority="11134" stopIfTrue="1"/>
  </conditionalFormatting>
  <conditionalFormatting sqref="A1735">
    <cfRule type="duplicateValues" dxfId="8799" priority="11148" stopIfTrue="1"/>
  </conditionalFormatting>
  <conditionalFormatting sqref="A1735">
    <cfRule type="duplicateValues" dxfId="8798" priority="11149" stopIfTrue="1"/>
  </conditionalFormatting>
  <conditionalFormatting sqref="A1735">
    <cfRule type="duplicateValues" dxfId="8797" priority="11151" stopIfTrue="1"/>
  </conditionalFormatting>
  <conditionalFormatting sqref="R1735">
    <cfRule type="duplicateValues" dxfId="8796" priority="11152" stopIfTrue="1"/>
  </conditionalFormatting>
  <conditionalFormatting sqref="R1735">
    <cfRule type="duplicateValues" dxfId="8795" priority="11153" stopIfTrue="1"/>
  </conditionalFormatting>
  <conditionalFormatting sqref="A1754">
    <cfRule type="duplicateValues" dxfId="8794" priority="11126" stopIfTrue="1"/>
  </conditionalFormatting>
  <conditionalFormatting sqref="A1754">
    <cfRule type="duplicateValues" dxfId="8793" priority="11125" stopIfTrue="1"/>
  </conditionalFormatting>
  <conditionalFormatting sqref="A1754">
    <cfRule type="duplicateValues" dxfId="8792" priority="11124" stopIfTrue="1"/>
  </conditionalFormatting>
  <conditionalFormatting sqref="A1754">
    <cfRule type="duplicateValues" dxfId="8791" priority="11123" stopIfTrue="1"/>
  </conditionalFormatting>
  <conditionalFormatting sqref="A1754">
    <cfRule type="duplicateValues" dxfId="8790" priority="11122" stopIfTrue="1"/>
  </conditionalFormatting>
  <conditionalFormatting sqref="A1754">
    <cfRule type="duplicateValues" dxfId="8789" priority="11121" stopIfTrue="1"/>
  </conditionalFormatting>
  <conditionalFormatting sqref="A1754">
    <cfRule type="duplicateValues" dxfId="8788" priority="11120" stopIfTrue="1"/>
  </conditionalFormatting>
  <conditionalFormatting sqref="A1754">
    <cfRule type="duplicateValues" dxfId="8787" priority="11119" stopIfTrue="1"/>
  </conditionalFormatting>
  <conditionalFormatting sqref="A1754">
    <cfRule type="duplicateValues" dxfId="8786" priority="11118" stopIfTrue="1"/>
  </conditionalFormatting>
  <conditionalFormatting sqref="A1754">
    <cfRule type="duplicateValues" dxfId="8785" priority="11117" stopIfTrue="1"/>
  </conditionalFormatting>
  <conditionalFormatting sqref="A1754">
    <cfRule type="duplicateValues" dxfId="8784" priority="11116" stopIfTrue="1"/>
  </conditionalFormatting>
  <conditionalFormatting sqref="A1754">
    <cfRule type="duplicateValues" dxfId="8783" priority="11115" stopIfTrue="1"/>
  </conditionalFormatting>
  <conditionalFormatting sqref="A1754">
    <cfRule type="duplicateValues" dxfId="8782" priority="11127" stopIfTrue="1"/>
  </conditionalFormatting>
  <conditionalFormatting sqref="A1754">
    <cfRule type="duplicateValues" dxfId="8781" priority="11114" stopIfTrue="1"/>
  </conditionalFormatting>
  <conditionalFormatting sqref="A1754">
    <cfRule type="duplicateValues" dxfId="8780" priority="11128" stopIfTrue="1"/>
  </conditionalFormatting>
  <conditionalFormatting sqref="A1754">
    <cfRule type="duplicateValues" dxfId="8779" priority="11129" stopIfTrue="1"/>
  </conditionalFormatting>
  <conditionalFormatting sqref="A1754">
    <cfRule type="duplicateValues" dxfId="8778" priority="11131" stopIfTrue="1"/>
  </conditionalFormatting>
  <conditionalFormatting sqref="R1754">
    <cfRule type="duplicateValues" dxfId="8777" priority="11132" stopIfTrue="1"/>
  </conditionalFormatting>
  <conditionalFormatting sqref="R1754">
    <cfRule type="duplicateValues" dxfId="8776" priority="11133" stopIfTrue="1"/>
  </conditionalFormatting>
  <conditionalFormatting sqref="A1755">
    <cfRule type="duplicateValues" dxfId="8775" priority="11106" stopIfTrue="1"/>
  </conditionalFormatting>
  <conditionalFormatting sqref="A1755">
    <cfRule type="duplicateValues" dxfId="8774" priority="11105" stopIfTrue="1"/>
  </conditionalFormatting>
  <conditionalFormatting sqref="A1755">
    <cfRule type="duplicateValues" dxfId="8773" priority="11104" stopIfTrue="1"/>
  </conditionalFormatting>
  <conditionalFormatting sqref="A1755">
    <cfRule type="duplicateValues" dxfId="8772" priority="11103" stopIfTrue="1"/>
  </conditionalFormatting>
  <conditionalFormatting sqref="A1755">
    <cfRule type="duplicateValues" dxfId="8771" priority="11102" stopIfTrue="1"/>
  </conditionalFormatting>
  <conditionalFormatting sqref="A1755">
    <cfRule type="duplicateValues" dxfId="8770" priority="11101" stopIfTrue="1"/>
  </conditionalFormatting>
  <conditionalFormatting sqref="A1755">
    <cfRule type="duplicateValues" dxfId="8769" priority="11100" stopIfTrue="1"/>
  </conditionalFormatting>
  <conditionalFormatting sqref="A1755">
    <cfRule type="duplicateValues" dxfId="8768" priority="11099" stopIfTrue="1"/>
  </conditionalFormatting>
  <conditionalFormatting sqref="A1755">
    <cfRule type="duplicateValues" dxfId="8767" priority="11098" stopIfTrue="1"/>
  </conditionalFormatting>
  <conditionalFormatting sqref="A1755">
    <cfRule type="duplicateValues" dxfId="8766" priority="11097" stopIfTrue="1"/>
  </conditionalFormatting>
  <conditionalFormatting sqref="A1755">
    <cfRule type="duplicateValues" dxfId="8765" priority="11096" stopIfTrue="1"/>
  </conditionalFormatting>
  <conditionalFormatting sqref="A1755">
    <cfRule type="duplicateValues" dxfId="8764" priority="11095" stopIfTrue="1"/>
  </conditionalFormatting>
  <conditionalFormatting sqref="A1755">
    <cfRule type="duplicateValues" dxfId="8763" priority="11107" stopIfTrue="1"/>
  </conditionalFormatting>
  <conditionalFormatting sqref="A1755">
    <cfRule type="duplicateValues" dxfId="8762" priority="11094" stopIfTrue="1"/>
  </conditionalFormatting>
  <conditionalFormatting sqref="A1755">
    <cfRule type="duplicateValues" dxfId="8761" priority="11108" stopIfTrue="1"/>
  </conditionalFormatting>
  <conditionalFormatting sqref="A1755">
    <cfRule type="duplicateValues" dxfId="8760" priority="11109" stopIfTrue="1"/>
  </conditionalFormatting>
  <conditionalFormatting sqref="A1755">
    <cfRule type="duplicateValues" dxfId="8759" priority="11111" stopIfTrue="1"/>
  </conditionalFormatting>
  <conditionalFormatting sqref="R1755">
    <cfRule type="duplicateValues" dxfId="8758" priority="11112" stopIfTrue="1"/>
  </conditionalFormatting>
  <conditionalFormatting sqref="R1755">
    <cfRule type="duplicateValues" dxfId="8757" priority="11113" stopIfTrue="1"/>
  </conditionalFormatting>
  <conditionalFormatting sqref="A1756">
    <cfRule type="duplicateValues" dxfId="8756" priority="11086" stopIfTrue="1"/>
  </conditionalFormatting>
  <conditionalFormatting sqref="A1756">
    <cfRule type="duplicateValues" dxfId="8755" priority="11085" stopIfTrue="1"/>
  </conditionalFormatting>
  <conditionalFormatting sqref="A1756">
    <cfRule type="duplicateValues" dxfId="8754" priority="11084" stopIfTrue="1"/>
  </conditionalFormatting>
  <conditionalFormatting sqref="A1756">
    <cfRule type="duplicateValues" dxfId="8753" priority="11083" stopIfTrue="1"/>
  </conditionalFormatting>
  <conditionalFormatting sqref="A1756">
    <cfRule type="duplicateValues" dxfId="8752" priority="11082" stopIfTrue="1"/>
  </conditionalFormatting>
  <conditionalFormatting sqref="A1756">
    <cfRule type="duplicateValues" dxfId="8751" priority="11081" stopIfTrue="1"/>
  </conditionalFormatting>
  <conditionalFormatting sqref="A1756">
    <cfRule type="duplicateValues" dxfId="8750" priority="11080" stopIfTrue="1"/>
  </conditionalFormatting>
  <conditionalFormatting sqref="A1756">
    <cfRule type="duplicateValues" dxfId="8749" priority="11079" stopIfTrue="1"/>
  </conditionalFormatting>
  <conditionalFormatting sqref="A1756">
    <cfRule type="duplicateValues" dxfId="8748" priority="11078" stopIfTrue="1"/>
  </conditionalFormatting>
  <conditionalFormatting sqref="A1756">
    <cfRule type="duplicateValues" dxfId="8747" priority="11077" stopIfTrue="1"/>
  </conditionalFormatting>
  <conditionalFormatting sqref="A1756">
    <cfRule type="duplicateValues" dxfId="8746" priority="11076" stopIfTrue="1"/>
  </conditionalFormatting>
  <conditionalFormatting sqref="A1756">
    <cfRule type="duplicateValues" dxfId="8745" priority="11075" stopIfTrue="1"/>
  </conditionalFormatting>
  <conditionalFormatting sqref="A1756">
    <cfRule type="duplicateValues" dxfId="8744" priority="11087" stopIfTrue="1"/>
  </conditionalFormatting>
  <conditionalFormatting sqref="A1756">
    <cfRule type="duplicateValues" dxfId="8743" priority="11074" stopIfTrue="1"/>
  </conditionalFormatting>
  <conditionalFormatting sqref="A1756">
    <cfRule type="duplicateValues" dxfId="8742" priority="11088" stopIfTrue="1"/>
  </conditionalFormatting>
  <conditionalFormatting sqref="A1756">
    <cfRule type="duplicateValues" dxfId="8741" priority="11089" stopIfTrue="1"/>
  </conditionalFormatting>
  <conditionalFormatting sqref="A1756">
    <cfRule type="duplicateValues" dxfId="8740" priority="11091" stopIfTrue="1"/>
  </conditionalFormatting>
  <conditionalFormatting sqref="R1756">
    <cfRule type="duplicateValues" dxfId="8739" priority="11092" stopIfTrue="1"/>
  </conditionalFormatting>
  <conditionalFormatting sqref="R1756">
    <cfRule type="duplicateValues" dxfId="8738" priority="11093" stopIfTrue="1"/>
  </conditionalFormatting>
  <conditionalFormatting sqref="A1775">
    <cfRule type="duplicateValues" dxfId="8737" priority="11066" stopIfTrue="1"/>
  </conditionalFormatting>
  <conditionalFormatting sqref="A1775">
    <cfRule type="duplicateValues" dxfId="8736" priority="11065" stopIfTrue="1"/>
  </conditionalFormatting>
  <conditionalFormatting sqref="A1775">
    <cfRule type="duplicateValues" dxfId="8735" priority="11064" stopIfTrue="1"/>
  </conditionalFormatting>
  <conditionalFormatting sqref="A1775">
    <cfRule type="duplicateValues" dxfId="8734" priority="11063" stopIfTrue="1"/>
  </conditionalFormatting>
  <conditionalFormatting sqref="A1775">
    <cfRule type="duplicateValues" dxfId="8733" priority="11062" stopIfTrue="1"/>
  </conditionalFormatting>
  <conditionalFormatting sqref="A1775">
    <cfRule type="duplicateValues" dxfId="8732" priority="11061" stopIfTrue="1"/>
  </conditionalFormatting>
  <conditionalFormatting sqref="A1775">
    <cfRule type="duplicateValues" dxfId="8731" priority="11060" stopIfTrue="1"/>
  </conditionalFormatting>
  <conditionalFormatting sqref="A1775">
    <cfRule type="duplicateValues" dxfId="8730" priority="11059" stopIfTrue="1"/>
  </conditionalFormatting>
  <conditionalFormatting sqref="A1775">
    <cfRule type="duplicateValues" dxfId="8729" priority="11058" stopIfTrue="1"/>
  </conditionalFormatting>
  <conditionalFormatting sqref="A1775">
    <cfRule type="duplicateValues" dxfId="8728" priority="11057" stopIfTrue="1"/>
  </conditionalFormatting>
  <conditionalFormatting sqref="A1775">
    <cfRule type="duplicateValues" dxfId="8727" priority="11056" stopIfTrue="1"/>
  </conditionalFormatting>
  <conditionalFormatting sqref="A1775">
    <cfRule type="duplicateValues" dxfId="8726" priority="11055" stopIfTrue="1"/>
  </conditionalFormatting>
  <conditionalFormatting sqref="A1775">
    <cfRule type="duplicateValues" dxfId="8725" priority="11067" stopIfTrue="1"/>
  </conditionalFormatting>
  <conditionalFormatting sqref="A1775">
    <cfRule type="duplicateValues" dxfId="8724" priority="11054" stopIfTrue="1"/>
  </conditionalFormatting>
  <conditionalFormatting sqref="A1775">
    <cfRule type="duplicateValues" dxfId="8723" priority="11068" stopIfTrue="1"/>
  </conditionalFormatting>
  <conditionalFormatting sqref="A1775">
    <cfRule type="duplicateValues" dxfId="8722" priority="11069" stopIfTrue="1"/>
  </conditionalFormatting>
  <conditionalFormatting sqref="A1775">
    <cfRule type="duplicateValues" dxfId="8721" priority="11071" stopIfTrue="1"/>
  </conditionalFormatting>
  <conditionalFormatting sqref="R1775">
    <cfRule type="duplicateValues" dxfId="8720" priority="11072" stopIfTrue="1"/>
  </conditionalFormatting>
  <conditionalFormatting sqref="R1775">
    <cfRule type="duplicateValues" dxfId="8719" priority="11073" stopIfTrue="1"/>
  </conditionalFormatting>
  <conditionalFormatting sqref="A1776">
    <cfRule type="duplicateValues" dxfId="8718" priority="11046" stopIfTrue="1"/>
  </conditionalFormatting>
  <conditionalFormatting sqref="A1776">
    <cfRule type="duplicateValues" dxfId="8717" priority="11045" stopIfTrue="1"/>
  </conditionalFormatting>
  <conditionalFormatting sqref="A1776">
    <cfRule type="duplicateValues" dxfId="8716" priority="11044" stopIfTrue="1"/>
  </conditionalFormatting>
  <conditionalFormatting sqref="A1776">
    <cfRule type="duplicateValues" dxfId="8715" priority="11043" stopIfTrue="1"/>
  </conditionalFormatting>
  <conditionalFormatting sqref="A1776">
    <cfRule type="duplicateValues" dxfId="8714" priority="11042" stopIfTrue="1"/>
  </conditionalFormatting>
  <conditionalFormatting sqref="A1776">
    <cfRule type="duplicateValues" dxfId="8713" priority="11041" stopIfTrue="1"/>
  </conditionalFormatting>
  <conditionalFormatting sqref="A1776">
    <cfRule type="duplicateValues" dxfId="8712" priority="11040" stopIfTrue="1"/>
  </conditionalFormatting>
  <conditionalFormatting sqref="A1776">
    <cfRule type="duplicateValues" dxfId="8711" priority="11039" stopIfTrue="1"/>
  </conditionalFormatting>
  <conditionalFormatting sqref="A1776">
    <cfRule type="duplicateValues" dxfId="8710" priority="11038" stopIfTrue="1"/>
  </conditionalFormatting>
  <conditionalFormatting sqref="A1776">
    <cfRule type="duplicateValues" dxfId="8709" priority="11037" stopIfTrue="1"/>
  </conditionalFormatting>
  <conditionalFormatting sqref="A1776">
    <cfRule type="duplicateValues" dxfId="8708" priority="11036" stopIfTrue="1"/>
  </conditionalFormatting>
  <conditionalFormatting sqref="A1776">
    <cfRule type="duplicateValues" dxfId="8707" priority="11035" stopIfTrue="1"/>
  </conditionalFormatting>
  <conditionalFormatting sqref="A1776">
    <cfRule type="duplicateValues" dxfId="8706" priority="11047" stopIfTrue="1"/>
  </conditionalFormatting>
  <conditionalFormatting sqref="A1776">
    <cfRule type="duplicateValues" dxfId="8705" priority="11034" stopIfTrue="1"/>
  </conditionalFormatting>
  <conditionalFormatting sqref="A1776">
    <cfRule type="duplicateValues" dxfId="8704" priority="11048" stopIfTrue="1"/>
  </conditionalFormatting>
  <conditionalFormatting sqref="A1776">
    <cfRule type="duplicateValues" dxfId="8703" priority="11049" stopIfTrue="1"/>
  </conditionalFormatting>
  <conditionalFormatting sqref="A1776">
    <cfRule type="duplicateValues" dxfId="8702" priority="11051" stopIfTrue="1"/>
  </conditionalFormatting>
  <conditionalFormatting sqref="R1776">
    <cfRule type="duplicateValues" dxfId="8701" priority="11052" stopIfTrue="1"/>
  </conditionalFormatting>
  <conditionalFormatting sqref="R1776">
    <cfRule type="duplicateValues" dxfId="8700" priority="11053" stopIfTrue="1"/>
  </conditionalFormatting>
  <conditionalFormatting sqref="A1777">
    <cfRule type="duplicateValues" dxfId="8699" priority="11026" stopIfTrue="1"/>
  </conditionalFormatting>
  <conditionalFormatting sqref="A1777">
    <cfRule type="duplicateValues" dxfId="8698" priority="11025" stopIfTrue="1"/>
  </conditionalFormatting>
  <conditionalFormatting sqref="A1777">
    <cfRule type="duplicateValues" dxfId="8697" priority="11024" stopIfTrue="1"/>
  </conditionalFormatting>
  <conditionalFormatting sqref="A1777">
    <cfRule type="duplicateValues" dxfId="8696" priority="11023" stopIfTrue="1"/>
  </conditionalFormatting>
  <conditionalFormatting sqref="A1777">
    <cfRule type="duplicateValues" dxfId="8695" priority="11022" stopIfTrue="1"/>
  </conditionalFormatting>
  <conditionalFormatting sqref="A1777">
    <cfRule type="duplicateValues" dxfId="8694" priority="11021" stopIfTrue="1"/>
  </conditionalFormatting>
  <conditionalFormatting sqref="A1777">
    <cfRule type="duplicateValues" dxfId="8693" priority="11020" stopIfTrue="1"/>
  </conditionalFormatting>
  <conditionalFormatting sqref="A1777">
    <cfRule type="duplicateValues" dxfId="8692" priority="11019" stopIfTrue="1"/>
  </conditionalFormatting>
  <conditionalFormatting sqref="A1777">
    <cfRule type="duplicateValues" dxfId="8691" priority="11018" stopIfTrue="1"/>
  </conditionalFormatting>
  <conditionalFormatting sqref="A1777">
    <cfRule type="duplicateValues" dxfId="8690" priority="11017" stopIfTrue="1"/>
  </conditionalFormatting>
  <conditionalFormatting sqref="A1777">
    <cfRule type="duplicateValues" dxfId="8689" priority="11016" stopIfTrue="1"/>
  </conditionalFormatting>
  <conditionalFormatting sqref="A1777">
    <cfRule type="duplicateValues" dxfId="8688" priority="11015" stopIfTrue="1"/>
  </conditionalFormatting>
  <conditionalFormatting sqref="A1777">
    <cfRule type="duplicateValues" dxfId="8687" priority="11027" stopIfTrue="1"/>
  </conditionalFormatting>
  <conditionalFormatting sqref="A1777">
    <cfRule type="duplicateValues" dxfId="8686" priority="11014" stopIfTrue="1"/>
  </conditionalFormatting>
  <conditionalFormatting sqref="A1777">
    <cfRule type="duplicateValues" dxfId="8685" priority="11028" stopIfTrue="1"/>
  </conditionalFormatting>
  <conditionalFormatting sqref="A1777">
    <cfRule type="duplicateValues" dxfId="8684" priority="11029" stopIfTrue="1"/>
  </conditionalFormatting>
  <conditionalFormatting sqref="A1777">
    <cfRule type="duplicateValues" dxfId="8683" priority="11031" stopIfTrue="1"/>
  </conditionalFormatting>
  <conditionalFormatting sqref="R1777">
    <cfRule type="duplicateValues" dxfId="8682" priority="11032" stopIfTrue="1"/>
  </conditionalFormatting>
  <conditionalFormatting sqref="R1777">
    <cfRule type="duplicateValues" dxfId="8681" priority="11033" stopIfTrue="1"/>
  </conditionalFormatting>
  <conditionalFormatting sqref="C1474">
    <cfRule type="duplicateValues" dxfId="8680" priority="10997" stopIfTrue="1"/>
  </conditionalFormatting>
  <conditionalFormatting sqref="C1475">
    <cfRule type="duplicateValues" dxfId="8679" priority="10970" stopIfTrue="1"/>
  </conditionalFormatting>
  <conditionalFormatting sqref="C1476">
    <cfRule type="duplicateValues" dxfId="8678" priority="10948" stopIfTrue="1"/>
  </conditionalFormatting>
  <conditionalFormatting sqref="C1477">
    <cfRule type="duplicateValues" dxfId="8677" priority="10926" stopIfTrue="1"/>
  </conditionalFormatting>
  <conditionalFormatting sqref="C1478">
    <cfRule type="duplicateValues" dxfId="8676" priority="10904" stopIfTrue="1"/>
  </conditionalFormatting>
  <conditionalFormatting sqref="A1479">
    <cfRule type="duplicateValues" dxfId="8675" priority="10902" stopIfTrue="1"/>
  </conditionalFormatting>
  <conditionalFormatting sqref="A1479">
    <cfRule type="duplicateValues" dxfId="8674" priority="10901" stopIfTrue="1"/>
  </conditionalFormatting>
  <conditionalFormatting sqref="A1479">
    <cfRule type="duplicateValues" dxfId="8673" priority="10900" stopIfTrue="1"/>
  </conditionalFormatting>
  <conditionalFormatting sqref="A1479">
    <cfRule type="duplicateValues" dxfId="8672" priority="10899" stopIfTrue="1"/>
  </conditionalFormatting>
  <conditionalFormatting sqref="A1479">
    <cfRule type="duplicateValues" dxfId="8671" priority="10898" stopIfTrue="1"/>
  </conditionalFormatting>
  <conditionalFormatting sqref="A1479">
    <cfRule type="duplicateValues" dxfId="8670" priority="10897" stopIfTrue="1"/>
  </conditionalFormatting>
  <conditionalFormatting sqref="A1479">
    <cfRule type="duplicateValues" dxfId="8669" priority="10896" stopIfTrue="1"/>
  </conditionalFormatting>
  <conditionalFormatting sqref="A1479">
    <cfRule type="duplicateValues" dxfId="8668" priority="10895" stopIfTrue="1"/>
  </conditionalFormatting>
  <conditionalFormatting sqref="A1479">
    <cfRule type="duplicateValues" dxfId="8667" priority="10894" stopIfTrue="1"/>
  </conditionalFormatting>
  <conditionalFormatting sqref="A1479">
    <cfRule type="duplicateValues" dxfId="8666" priority="10893" stopIfTrue="1"/>
  </conditionalFormatting>
  <conditionalFormatting sqref="A1479">
    <cfRule type="duplicateValues" dxfId="8665" priority="10892" stopIfTrue="1"/>
  </conditionalFormatting>
  <conditionalFormatting sqref="A1479">
    <cfRule type="duplicateValues" dxfId="8664" priority="10891" stopIfTrue="1"/>
  </conditionalFormatting>
  <conditionalFormatting sqref="A1479">
    <cfRule type="duplicateValues" dxfId="8663" priority="10890" stopIfTrue="1"/>
  </conditionalFormatting>
  <conditionalFormatting sqref="A1479">
    <cfRule type="duplicateValues" dxfId="8662" priority="10889" stopIfTrue="1"/>
  </conditionalFormatting>
  <conditionalFormatting sqref="A1479">
    <cfRule type="duplicateValues" dxfId="8661" priority="10903" stopIfTrue="1"/>
  </conditionalFormatting>
  <conditionalFormatting sqref="A1479">
    <cfRule type="duplicateValues" dxfId="8660" priority="10888" stopIfTrue="1"/>
  </conditionalFormatting>
  <conditionalFormatting sqref="A1479">
    <cfRule type="duplicateValues" dxfId="8659" priority="10887" stopIfTrue="1"/>
  </conditionalFormatting>
  <conditionalFormatting sqref="A1479">
    <cfRule type="duplicateValues" dxfId="8658" priority="10886" stopIfTrue="1"/>
  </conditionalFormatting>
  <conditionalFormatting sqref="A1479">
    <cfRule type="duplicateValues" dxfId="8657" priority="10885" stopIfTrue="1"/>
  </conditionalFormatting>
  <conditionalFormatting sqref="A1479">
    <cfRule type="duplicateValues" dxfId="8656" priority="10884" stopIfTrue="1"/>
  </conditionalFormatting>
  <conditionalFormatting sqref="A1479">
    <cfRule type="duplicateValues" dxfId="8655" priority="10883" stopIfTrue="1"/>
  </conditionalFormatting>
  <conditionalFormatting sqref="C1479">
    <cfRule type="duplicateValues" dxfId="8654" priority="10882" stopIfTrue="1"/>
  </conditionalFormatting>
  <conditionalFormatting sqref="A1480">
    <cfRule type="duplicateValues" dxfId="8653" priority="10880" stopIfTrue="1"/>
  </conditionalFormatting>
  <conditionalFormatting sqref="A1480">
    <cfRule type="duplicateValues" dxfId="8652" priority="10879" stopIfTrue="1"/>
  </conditionalFormatting>
  <conditionalFormatting sqref="A1480">
    <cfRule type="duplicateValues" dxfId="8651" priority="10878" stopIfTrue="1"/>
  </conditionalFormatting>
  <conditionalFormatting sqref="A1480">
    <cfRule type="duplicateValues" dxfId="8650" priority="10877" stopIfTrue="1"/>
  </conditionalFormatting>
  <conditionalFormatting sqref="A1480">
    <cfRule type="duplicateValues" dxfId="8649" priority="10876" stopIfTrue="1"/>
  </conditionalFormatting>
  <conditionalFormatting sqref="A1480">
    <cfRule type="duplicateValues" dxfId="8648" priority="10875" stopIfTrue="1"/>
  </conditionalFormatting>
  <conditionalFormatting sqref="A1480">
    <cfRule type="duplicateValues" dxfId="8647" priority="10874" stopIfTrue="1"/>
  </conditionalFormatting>
  <conditionalFormatting sqref="A1480">
    <cfRule type="duplicateValues" dxfId="8646" priority="10873" stopIfTrue="1"/>
  </conditionalFormatting>
  <conditionalFormatting sqref="A1480">
    <cfRule type="duplicateValues" dxfId="8645" priority="10872" stopIfTrue="1"/>
  </conditionalFormatting>
  <conditionalFormatting sqref="A1480">
    <cfRule type="duplicateValues" dxfId="8644" priority="10871" stopIfTrue="1"/>
  </conditionalFormatting>
  <conditionalFormatting sqref="A1480">
    <cfRule type="duplicateValues" dxfId="8643" priority="10870" stopIfTrue="1"/>
  </conditionalFormatting>
  <conditionalFormatting sqref="A1480">
    <cfRule type="duplicateValues" dxfId="8642" priority="10869" stopIfTrue="1"/>
  </conditionalFormatting>
  <conditionalFormatting sqref="A1480">
    <cfRule type="duplicateValues" dxfId="8641" priority="10868" stopIfTrue="1"/>
  </conditionalFormatting>
  <conditionalFormatting sqref="A1480">
    <cfRule type="duplicateValues" dxfId="8640" priority="10867" stopIfTrue="1"/>
  </conditionalFormatting>
  <conditionalFormatting sqref="A1480">
    <cfRule type="duplicateValues" dxfId="8639" priority="10881" stopIfTrue="1"/>
  </conditionalFormatting>
  <conditionalFormatting sqref="A1480">
    <cfRule type="duplicateValues" dxfId="8638" priority="10866" stopIfTrue="1"/>
  </conditionalFormatting>
  <conditionalFormatting sqref="A1480">
    <cfRule type="duplicateValues" dxfId="8637" priority="10865" stopIfTrue="1"/>
  </conditionalFormatting>
  <conditionalFormatting sqref="A1480">
    <cfRule type="duplicateValues" dxfId="8636" priority="10864" stopIfTrue="1"/>
  </conditionalFormatting>
  <conditionalFormatting sqref="A1480">
    <cfRule type="duplicateValues" dxfId="8635" priority="10863" stopIfTrue="1"/>
  </conditionalFormatting>
  <conditionalFormatting sqref="A1480">
    <cfRule type="duplicateValues" dxfId="8634" priority="10862" stopIfTrue="1"/>
  </conditionalFormatting>
  <conditionalFormatting sqref="A1480">
    <cfRule type="duplicateValues" dxfId="8633" priority="10861" stopIfTrue="1"/>
  </conditionalFormatting>
  <conditionalFormatting sqref="C1480">
    <cfRule type="duplicateValues" dxfId="8632" priority="10860" stopIfTrue="1"/>
  </conditionalFormatting>
  <conditionalFormatting sqref="A1481:A1484 A1486">
    <cfRule type="duplicateValues" dxfId="8631" priority="10858" stopIfTrue="1"/>
  </conditionalFormatting>
  <conditionalFormatting sqref="A1481:A1484 A1486">
    <cfRule type="duplicateValues" dxfId="8630" priority="10857" stopIfTrue="1"/>
  </conditionalFormatting>
  <conditionalFormatting sqref="A1481:A1484">
    <cfRule type="duplicateValues" dxfId="8629" priority="10856" stopIfTrue="1"/>
  </conditionalFormatting>
  <conditionalFormatting sqref="A1481:A1484">
    <cfRule type="duplicateValues" dxfId="8628" priority="10855" stopIfTrue="1"/>
  </conditionalFormatting>
  <conditionalFormatting sqref="A1481:A1484">
    <cfRule type="duplicateValues" dxfId="8627" priority="10854" stopIfTrue="1"/>
  </conditionalFormatting>
  <conditionalFormatting sqref="A1481:A1484">
    <cfRule type="duplicateValues" dxfId="8626" priority="10853" stopIfTrue="1"/>
  </conditionalFormatting>
  <conditionalFormatting sqref="A1481:A1484">
    <cfRule type="duplicateValues" dxfId="8625" priority="10852" stopIfTrue="1"/>
  </conditionalFormatting>
  <conditionalFormatting sqref="A1481:A1484">
    <cfRule type="duplicateValues" dxfId="8624" priority="10851" stopIfTrue="1"/>
  </conditionalFormatting>
  <conditionalFormatting sqref="A1481:A1484">
    <cfRule type="duplicateValues" dxfId="8623" priority="10850" stopIfTrue="1"/>
  </conditionalFormatting>
  <conditionalFormatting sqref="A1481:A1484">
    <cfRule type="duplicateValues" dxfId="8622" priority="10849" stopIfTrue="1"/>
  </conditionalFormatting>
  <conditionalFormatting sqref="A1481:A1484">
    <cfRule type="duplicateValues" dxfId="8621" priority="10848" stopIfTrue="1"/>
  </conditionalFormatting>
  <conditionalFormatting sqref="A1481:A1484">
    <cfRule type="duplicateValues" dxfId="8620" priority="10847" stopIfTrue="1"/>
  </conditionalFormatting>
  <conditionalFormatting sqref="A1481:A1484">
    <cfRule type="duplicateValues" dxfId="8619" priority="10846" stopIfTrue="1"/>
  </conditionalFormatting>
  <conditionalFormatting sqref="A1481:A1484">
    <cfRule type="duplicateValues" dxfId="8618" priority="10845" stopIfTrue="1"/>
  </conditionalFormatting>
  <conditionalFormatting sqref="A1481:A1484">
    <cfRule type="duplicateValues" dxfId="8617" priority="10859" stopIfTrue="1"/>
  </conditionalFormatting>
  <conditionalFormatting sqref="A1481:A1484">
    <cfRule type="duplicateValues" dxfId="8616" priority="10844" stopIfTrue="1"/>
  </conditionalFormatting>
  <conditionalFormatting sqref="A1481:A1484">
    <cfRule type="duplicateValues" dxfId="8615" priority="10843" stopIfTrue="1"/>
  </conditionalFormatting>
  <conditionalFormatting sqref="A1481:A1484">
    <cfRule type="duplicateValues" dxfId="8614" priority="10842" stopIfTrue="1"/>
  </conditionalFormatting>
  <conditionalFormatting sqref="A1481:A1484">
    <cfRule type="duplicateValues" dxfId="8613" priority="10841" stopIfTrue="1"/>
  </conditionalFormatting>
  <conditionalFormatting sqref="A1481:A1484">
    <cfRule type="duplicateValues" dxfId="8612" priority="10840" stopIfTrue="1"/>
  </conditionalFormatting>
  <conditionalFormatting sqref="A1481:A1484">
    <cfRule type="duplicateValues" dxfId="8611" priority="10839" stopIfTrue="1"/>
  </conditionalFormatting>
  <conditionalFormatting sqref="C1481:C1482">
    <cfRule type="duplicateValues" dxfId="8610" priority="10838" stopIfTrue="1"/>
  </conditionalFormatting>
  <conditionalFormatting sqref="C1483:C1484">
    <cfRule type="duplicateValues" dxfId="8609" priority="10816" stopIfTrue="1"/>
  </conditionalFormatting>
  <conditionalFormatting sqref="A1485">
    <cfRule type="duplicateValues" dxfId="8608" priority="10814" stopIfTrue="1"/>
  </conditionalFormatting>
  <conditionalFormatting sqref="A1485">
    <cfRule type="duplicateValues" dxfId="8607" priority="10813" stopIfTrue="1"/>
  </conditionalFormatting>
  <conditionalFormatting sqref="A1485">
    <cfRule type="duplicateValues" dxfId="8606" priority="10812" stopIfTrue="1"/>
  </conditionalFormatting>
  <conditionalFormatting sqref="A1485">
    <cfRule type="duplicateValues" dxfId="8605" priority="10811" stopIfTrue="1"/>
  </conditionalFormatting>
  <conditionalFormatting sqref="A1485">
    <cfRule type="duplicateValues" dxfId="8604" priority="10810" stopIfTrue="1"/>
  </conditionalFormatting>
  <conditionalFormatting sqref="A1485">
    <cfRule type="duplicateValues" dxfId="8603" priority="10809" stopIfTrue="1"/>
  </conditionalFormatting>
  <conditionalFormatting sqref="A1485">
    <cfRule type="duplicateValues" dxfId="8602" priority="10808" stopIfTrue="1"/>
  </conditionalFormatting>
  <conditionalFormatting sqref="A1485">
    <cfRule type="duplicateValues" dxfId="8601" priority="10807" stopIfTrue="1"/>
  </conditionalFormatting>
  <conditionalFormatting sqref="A1485">
    <cfRule type="duplicateValues" dxfId="8600" priority="10806" stopIfTrue="1"/>
  </conditionalFormatting>
  <conditionalFormatting sqref="A1485">
    <cfRule type="duplicateValues" dxfId="8599" priority="10805" stopIfTrue="1"/>
  </conditionalFormatting>
  <conditionalFormatting sqref="A1485">
    <cfRule type="duplicateValues" dxfId="8598" priority="10804" stopIfTrue="1"/>
  </conditionalFormatting>
  <conditionalFormatting sqref="A1485">
    <cfRule type="duplicateValues" dxfId="8597" priority="10803" stopIfTrue="1"/>
  </conditionalFormatting>
  <conditionalFormatting sqref="A1485">
    <cfRule type="duplicateValues" dxfId="8596" priority="10802" stopIfTrue="1"/>
  </conditionalFormatting>
  <conditionalFormatting sqref="A1485">
    <cfRule type="duplicateValues" dxfId="8595" priority="10801" stopIfTrue="1"/>
  </conditionalFormatting>
  <conditionalFormatting sqref="A1485">
    <cfRule type="duplicateValues" dxfId="8594" priority="10815" stopIfTrue="1"/>
  </conditionalFormatting>
  <conditionalFormatting sqref="A1485">
    <cfRule type="duplicateValues" dxfId="8593" priority="10800" stopIfTrue="1"/>
  </conditionalFormatting>
  <conditionalFormatting sqref="A1485">
    <cfRule type="duplicateValues" dxfId="8592" priority="10799" stopIfTrue="1"/>
  </conditionalFormatting>
  <conditionalFormatting sqref="A1485">
    <cfRule type="duplicateValues" dxfId="8591" priority="10798" stopIfTrue="1"/>
  </conditionalFormatting>
  <conditionalFormatting sqref="A1485">
    <cfRule type="duplicateValues" dxfId="8590" priority="10797" stopIfTrue="1"/>
  </conditionalFormatting>
  <conditionalFormatting sqref="A1485">
    <cfRule type="duplicateValues" dxfId="8589" priority="10796" stopIfTrue="1"/>
  </conditionalFormatting>
  <conditionalFormatting sqref="A1485">
    <cfRule type="duplicateValues" dxfId="8588" priority="10795" stopIfTrue="1"/>
  </conditionalFormatting>
  <conditionalFormatting sqref="C1485">
    <cfRule type="duplicateValues" dxfId="8587" priority="10794" stopIfTrue="1"/>
  </conditionalFormatting>
  <conditionalFormatting sqref="C1486">
    <cfRule type="duplicateValues" dxfId="8586" priority="10772" stopIfTrue="1"/>
  </conditionalFormatting>
  <conditionalFormatting sqref="A1487">
    <cfRule type="duplicateValues" dxfId="8585" priority="10770" stopIfTrue="1"/>
  </conditionalFormatting>
  <conditionalFormatting sqref="A1487">
    <cfRule type="duplicateValues" dxfId="8584" priority="10769" stopIfTrue="1"/>
  </conditionalFormatting>
  <conditionalFormatting sqref="A1487">
    <cfRule type="duplicateValues" dxfId="8583" priority="10768" stopIfTrue="1"/>
  </conditionalFormatting>
  <conditionalFormatting sqref="A1487">
    <cfRule type="duplicateValues" dxfId="8582" priority="10767" stopIfTrue="1"/>
  </conditionalFormatting>
  <conditionalFormatting sqref="A1487">
    <cfRule type="duplicateValues" dxfId="8581" priority="10766" stopIfTrue="1"/>
  </conditionalFormatting>
  <conditionalFormatting sqref="A1487">
    <cfRule type="duplicateValues" dxfId="8580" priority="10765" stopIfTrue="1"/>
  </conditionalFormatting>
  <conditionalFormatting sqref="A1487">
    <cfRule type="duplicateValues" dxfId="8579" priority="10764" stopIfTrue="1"/>
  </conditionalFormatting>
  <conditionalFormatting sqref="A1487">
    <cfRule type="duplicateValues" dxfId="8578" priority="10763" stopIfTrue="1"/>
  </conditionalFormatting>
  <conditionalFormatting sqref="A1487">
    <cfRule type="duplicateValues" dxfId="8577" priority="10762" stopIfTrue="1"/>
  </conditionalFormatting>
  <conditionalFormatting sqref="A1487">
    <cfRule type="duplicateValues" dxfId="8576" priority="10761" stopIfTrue="1"/>
  </conditionalFormatting>
  <conditionalFormatting sqref="A1487">
    <cfRule type="duplicateValues" dxfId="8575" priority="10760" stopIfTrue="1"/>
  </conditionalFormatting>
  <conditionalFormatting sqref="A1487">
    <cfRule type="duplicateValues" dxfId="8574" priority="10759" stopIfTrue="1"/>
  </conditionalFormatting>
  <conditionalFormatting sqref="A1487">
    <cfRule type="duplicateValues" dxfId="8573" priority="10758" stopIfTrue="1"/>
  </conditionalFormatting>
  <conditionalFormatting sqref="A1487">
    <cfRule type="duplicateValues" dxfId="8572" priority="10757" stopIfTrue="1"/>
  </conditionalFormatting>
  <conditionalFormatting sqref="A1487">
    <cfRule type="duplicateValues" dxfId="8571" priority="10771" stopIfTrue="1"/>
  </conditionalFormatting>
  <conditionalFormatting sqref="A1487">
    <cfRule type="duplicateValues" dxfId="8570" priority="10756" stopIfTrue="1"/>
  </conditionalFormatting>
  <conditionalFormatting sqref="A1487">
    <cfRule type="duplicateValues" dxfId="8569" priority="10755" stopIfTrue="1"/>
  </conditionalFormatting>
  <conditionalFormatting sqref="A1487">
    <cfRule type="duplicateValues" dxfId="8568" priority="10754" stopIfTrue="1"/>
  </conditionalFormatting>
  <conditionalFormatting sqref="A1487">
    <cfRule type="duplicateValues" dxfId="8567" priority="10753" stopIfTrue="1"/>
  </conditionalFormatting>
  <conditionalFormatting sqref="A1487">
    <cfRule type="duplicateValues" dxfId="8566" priority="10752" stopIfTrue="1"/>
  </conditionalFormatting>
  <conditionalFormatting sqref="A1487">
    <cfRule type="duplicateValues" dxfId="8565" priority="10751" stopIfTrue="1"/>
  </conditionalFormatting>
  <conditionalFormatting sqref="C1487">
    <cfRule type="duplicateValues" dxfId="8564" priority="10750" stopIfTrue="1"/>
  </conditionalFormatting>
  <conditionalFormatting sqref="A1899:A66161 A1702:A1715 A1498:A1500 A1722:A1735 A1742:A1756 A1763:A1777 A1681:A1695 A1150:A1151 A1533:A1538 A1 A1044:A1062 A1124 A1529:A1531 A1065:A1070 A362:A529 A1074:A1119 A531:A1041 A357 A1433:A1448 A1159:A1162 A1512:A1524 A1466:A1487 A1450:A1464 A1164:A1408 A1427">
    <cfRule type="duplicateValues" dxfId="8563" priority="10749" stopIfTrue="1"/>
  </conditionalFormatting>
  <conditionalFormatting sqref="A1488 A1490">
    <cfRule type="duplicateValues" dxfId="8562" priority="10747" stopIfTrue="1"/>
  </conditionalFormatting>
  <conditionalFormatting sqref="A1488 A1490">
    <cfRule type="duplicateValues" dxfId="8561" priority="10746" stopIfTrue="1"/>
  </conditionalFormatting>
  <conditionalFormatting sqref="A1488">
    <cfRule type="duplicateValues" dxfId="8560" priority="10745" stopIfTrue="1"/>
  </conditionalFormatting>
  <conditionalFormatting sqref="A1488">
    <cfRule type="duplicateValues" dxfId="8559" priority="10744" stopIfTrue="1"/>
  </conditionalFormatting>
  <conditionalFormatting sqref="A1488">
    <cfRule type="duplicateValues" dxfId="8558" priority="10743" stopIfTrue="1"/>
  </conditionalFormatting>
  <conditionalFormatting sqref="A1488">
    <cfRule type="duplicateValues" dxfId="8557" priority="10742" stopIfTrue="1"/>
  </conditionalFormatting>
  <conditionalFormatting sqref="A1488">
    <cfRule type="duplicateValues" dxfId="8556" priority="10741" stopIfTrue="1"/>
  </conditionalFormatting>
  <conditionalFormatting sqref="A1488">
    <cfRule type="duplicateValues" dxfId="8555" priority="10740" stopIfTrue="1"/>
  </conditionalFormatting>
  <conditionalFormatting sqref="A1488">
    <cfRule type="duplicateValues" dxfId="8554" priority="10739" stopIfTrue="1"/>
  </conditionalFormatting>
  <conditionalFormatting sqref="A1488">
    <cfRule type="duplicateValues" dxfId="8553" priority="10738" stopIfTrue="1"/>
  </conditionalFormatting>
  <conditionalFormatting sqref="A1488">
    <cfRule type="duplicateValues" dxfId="8552" priority="10737" stopIfTrue="1"/>
  </conditionalFormatting>
  <conditionalFormatting sqref="A1488">
    <cfRule type="duplicateValues" dxfId="8551" priority="10736" stopIfTrue="1"/>
  </conditionalFormatting>
  <conditionalFormatting sqref="A1488">
    <cfRule type="duplicateValues" dxfId="8550" priority="10735" stopIfTrue="1"/>
  </conditionalFormatting>
  <conditionalFormatting sqref="A1488">
    <cfRule type="duplicateValues" dxfId="8549" priority="10734" stopIfTrue="1"/>
  </conditionalFormatting>
  <conditionalFormatting sqref="A1488">
    <cfRule type="duplicateValues" dxfId="8548" priority="10748" stopIfTrue="1"/>
  </conditionalFormatting>
  <conditionalFormatting sqref="A1488">
    <cfRule type="duplicateValues" dxfId="8547" priority="10733" stopIfTrue="1"/>
  </conditionalFormatting>
  <conditionalFormatting sqref="A1488">
    <cfRule type="duplicateValues" dxfId="8546" priority="10732" stopIfTrue="1"/>
  </conditionalFormatting>
  <conditionalFormatting sqref="A1488">
    <cfRule type="duplicateValues" dxfId="8545" priority="10731" stopIfTrue="1"/>
  </conditionalFormatting>
  <conditionalFormatting sqref="A1488">
    <cfRule type="duplicateValues" dxfId="8544" priority="10730" stopIfTrue="1"/>
  </conditionalFormatting>
  <conditionalFormatting sqref="A1488">
    <cfRule type="duplicateValues" dxfId="8543" priority="10729" stopIfTrue="1"/>
  </conditionalFormatting>
  <conditionalFormatting sqref="A1488">
    <cfRule type="duplicateValues" dxfId="8542" priority="10728" stopIfTrue="1"/>
  </conditionalFormatting>
  <conditionalFormatting sqref="C1488">
    <cfRule type="duplicateValues" dxfId="8541" priority="10727" stopIfTrue="1"/>
  </conditionalFormatting>
  <conditionalFormatting sqref="A1488">
    <cfRule type="duplicateValues" dxfId="8540" priority="10726" stopIfTrue="1"/>
  </conditionalFormatting>
  <conditionalFormatting sqref="A1696">
    <cfRule type="duplicateValues" dxfId="8539" priority="10718" stopIfTrue="1"/>
  </conditionalFormatting>
  <conditionalFormatting sqref="A1696">
    <cfRule type="duplicateValues" dxfId="8538" priority="10717" stopIfTrue="1"/>
  </conditionalFormatting>
  <conditionalFormatting sqref="A1696">
    <cfRule type="duplicateValues" dxfId="8537" priority="10716" stopIfTrue="1"/>
  </conditionalFormatting>
  <conditionalFormatting sqref="A1696">
    <cfRule type="duplicateValues" dxfId="8536" priority="10715" stopIfTrue="1"/>
  </conditionalFormatting>
  <conditionalFormatting sqref="A1696">
    <cfRule type="duplicateValues" dxfId="8535" priority="10714" stopIfTrue="1"/>
  </conditionalFormatting>
  <conditionalFormatting sqref="A1696">
    <cfRule type="duplicateValues" dxfId="8534" priority="10713" stopIfTrue="1"/>
  </conditionalFormatting>
  <conditionalFormatting sqref="A1696">
    <cfRule type="duplicateValues" dxfId="8533" priority="10712" stopIfTrue="1"/>
  </conditionalFormatting>
  <conditionalFormatting sqref="A1696">
    <cfRule type="duplicateValues" dxfId="8532" priority="10711" stopIfTrue="1"/>
  </conditionalFormatting>
  <conditionalFormatting sqref="A1696">
    <cfRule type="duplicateValues" dxfId="8531" priority="10710" stopIfTrue="1"/>
  </conditionalFormatting>
  <conditionalFormatting sqref="A1696">
    <cfRule type="duplicateValues" dxfId="8530" priority="10709" stopIfTrue="1"/>
  </conditionalFormatting>
  <conditionalFormatting sqref="A1696">
    <cfRule type="duplicateValues" dxfId="8529" priority="10708" stopIfTrue="1"/>
  </conditionalFormatting>
  <conditionalFormatting sqref="A1696">
    <cfRule type="duplicateValues" dxfId="8528" priority="10707" stopIfTrue="1"/>
  </conditionalFormatting>
  <conditionalFormatting sqref="A1696">
    <cfRule type="duplicateValues" dxfId="8527" priority="10719" stopIfTrue="1"/>
  </conditionalFormatting>
  <conditionalFormatting sqref="A1696">
    <cfRule type="duplicateValues" dxfId="8526" priority="10706" stopIfTrue="1"/>
  </conditionalFormatting>
  <conditionalFormatting sqref="A1696">
    <cfRule type="duplicateValues" dxfId="8525" priority="10720" stopIfTrue="1"/>
  </conditionalFormatting>
  <conditionalFormatting sqref="A1696">
    <cfRule type="duplicateValues" dxfId="8524" priority="10721" stopIfTrue="1"/>
  </conditionalFormatting>
  <conditionalFormatting sqref="C1696">
    <cfRule type="duplicateValues" dxfId="8523" priority="10722" stopIfTrue="1"/>
  </conditionalFormatting>
  <conditionalFormatting sqref="A1696">
    <cfRule type="duplicateValues" dxfId="8522" priority="10723" stopIfTrue="1"/>
  </conditionalFormatting>
  <conditionalFormatting sqref="R1696">
    <cfRule type="duplicateValues" dxfId="8521" priority="10724" stopIfTrue="1"/>
  </conditionalFormatting>
  <conditionalFormatting sqref="R1696">
    <cfRule type="duplicateValues" dxfId="8520" priority="10725" stopIfTrue="1"/>
  </conditionalFormatting>
  <conditionalFormatting sqref="A1696">
    <cfRule type="duplicateValues" dxfId="8519" priority="10705" stopIfTrue="1"/>
  </conditionalFormatting>
  <conditionalFormatting sqref="A1697">
    <cfRule type="duplicateValues" dxfId="8518" priority="10697" stopIfTrue="1"/>
  </conditionalFormatting>
  <conditionalFormatting sqref="A1697">
    <cfRule type="duplicateValues" dxfId="8517" priority="10696" stopIfTrue="1"/>
  </conditionalFormatting>
  <conditionalFormatting sqref="A1697">
    <cfRule type="duplicateValues" dxfId="8516" priority="10695" stopIfTrue="1"/>
  </conditionalFormatting>
  <conditionalFormatting sqref="A1697">
    <cfRule type="duplicateValues" dxfId="8515" priority="10694" stopIfTrue="1"/>
  </conditionalFormatting>
  <conditionalFormatting sqref="A1697">
    <cfRule type="duplicateValues" dxfId="8514" priority="10693" stopIfTrue="1"/>
  </conditionalFormatting>
  <conditionalFormatting sqref="A1697">
    <cfRule type="duplicateValues" dxfId="8513" priority="10692" stopIfTrue="1"/>
  </conditionalFormatting>
  <conditionalFormatting sqref="A1697">
    <cfRule type="duplicateValues" dxfId="8512" priority="10691" stopIfTrue="1"/>
  </conditionalFormatting>
  <conditionalFormatting sqref="A1697">
    <cfRule type="duplicateValues" dxfId="8511" priority="10690" stopIfTrue="1"/>
  </conditionalFormatting>
  <conditionalFormatting sqref="A1697">
    <cfRule type="duplicateValues" dxfId="8510" priority="10689" stopIfTrue="1"/>
  </conditionalFormatting>
  <conditionalFormatting sqref="A1697">
    <cfRule type="duplicateValues" dxfId="8509" priority="10688" stopIfTrue="1"/>
  </conditionalFormatting>
  <conditionalFormatting sqref="A1697">
    <cfRule type="duplicateValues" dxfId="8508" priority="10687" stopIfTrue="1"/>
  </conditionalFormatting>
  <conditionalFormatting sqref="A1697">
    <cfRule type="duplicateValues" dxfId="8507" priority="10686" stopIfTrue="1"/>
  </conditionalFormatting>
  <conditionalFormatting sqref="A1697">
    <cfRule type="duplicateValues" dxfId="8506" priority="10698" stopIfTrue="1"/>
  </conditionalFormatting>
  <conditionalFormatting sqref="A1697">
    <cfRule type="duplicateValues" dxfId="8505" priority="10685" stopIfTrue="1"/>
  </conditionalFormatting>
  <conditionalFormatting sqref="A1697">
    <cfRule type="duplicateValues" dxfId="8504" priority="10699" stopIfTrue="1"/>
  </conditionalFormatting>
  <conditionalFormatting sqref="A1697">
    <cfRule type="duplicateValues" dxfId="8503" priority="10700" stopIfTrue="1"/>
  </conditionalFormatting>
  <conditionalFormatting sqref="A1697">
    <cfRule type="duplicateValues" dxfId="8502" priority="10702" stopIfTrue="1"/>
  </conditionalFormatting>
  <conditionalFormatting sqref="R1697">
    <cfRule type="duplicateValues" dxfId="8501" priority="10703" stopIfTrue="1"/>
  </conditionalFormatting>
  <conditionalFormatting sqref="R1697">
    <cfRule type="duplicateValues" dxfId="8500" priority="10704" stopIfTrue="1"/>
  </conditionalFormatting>
  <conditionalFormatting sqref="A1697">
    <cfRule type="duplicateValues" dxfId="8499" priority="10684" stopIfTrue="1"/>
  </conditionalFormatting>
  <conditionalFormatting sqref="A1698">
    <cfRule type="duplicateValues" dxfId="8498" priority="10676" stopIfTrue="1"/>
  </conditionalFormatting>
  <conditionalFormatting sqref="A1698">
    <cfRule type="duplicateValues" dxfId="8497" priority="10675" stopIfTrue="1"/>
  </conditionalFormatting>
  <conditionalFormatting sqref="A1698">
    <cfRule type="duplicateValues" dxfId="8496" priority="10674" stopIfTrue="1"/>
  </conditionalFormatting>
  <conditionalFormatting sqref="A1698">
    <cfRule type="duplicateValues" dxfId="8495" priority="10673" stopIfTrue="1"/>
  </conditionalFormatting>
  <conditionalFormatting sqref="A1698">
    <cfRule type="duplicateValues" dxfId="8494" priority="10672" stopIfTrue="1"/>
  </conditionalFormatting>
  <conditionalFormatting sqref="A1698">
    <cfRule type="duplicateValues" dxfId="8493" priority="10671" stopIfTrue="1"/>
  </conditionalFormatting>
  <conditionalFormatting sqref="A1698">
    <cfRule type="duplicateValues" dxfId="8492" priority="10670" stopIfTrue="1"/>
  </conditionalFormatting>
  <conditionalFormatting sqref="A1698">
    <cfRule type="duplicateValues" dxfId="8491" priority="10669" stopIfTrue="1"/>
  </conditionalFormatting>
  <conditionalFormatting sqref="A1698">
    <cfRule type="duplicateValues" dxfId="8490" priority="10668" stopIfTrue="1"/>
  </conditionalFormatting>
  <conditionalFormatting sqref="A1698">
    <cfRule type="duplicateValues" dxfId="8489" priority="10667" stopIfTrue="1"/>
  </conditionalFormatting>
  <conditionalFormatting sqref="A1698">
    <cfRule type="duplicateValues" dxfId="8488" priority="10666" stopIfTrue="1"/>
  </conditionalFormatting>
  <conditionalFormatting sqref="A1698">
    <cfRule type="duplicateValues" dxfId="8487" priority="10665" stopIfTrue="1"/>
  </conditionalFormatting>
  <conditionalFormatting sqref="A1698">
    <cfRule type="duplicateValues" dxfId="8486" priority="10677" stopIfTrue="1"/>
  </conditionalFormatting>
  <conditionalFormatting sqref="A1698">
    <cfRule type="duplicateValues" dxfId="8485" priority="10664" stopIfTrue="1"/>
  </conditionalFormatting>
  <conditionalFormatting sqref="A1698">
    <cfRule type="duplicateValues" dxfId="8484" priority="10678" stopIfTrue="1"/>
  </conditionalFormatting>
  <conditionalFormatting sqref="A1698">
    <cfRule type="duplicateValues" dxfId="8483" priority="10679" stopIfTrue="1"/>
  </conditionalFormatting>
  <conditionalFormatting sqref="A1698">
    <cfRule type="duplicateValues" dxfId="8482" priority="10681" stopIfTrue="1"/>
  </conditionalFormatting>
  <conditionalFormatting sqref="R1698">
    <cfRule type="duplicateValues" dxfId="8481" priority="10682" stopIfTrue="1"/>
  </conditionalFormatting>
  <conditionalFormatting sqref="R1698">
    <cfRule type="duplicateValues" dxfId="8480" priority="10683" stopIfTrue="1"/>
  </conditionalFormatting>
  <conditionalFormatting sqref="A1698">
    <cfRule type="duplicateValues" dxfId="8479" priority="10663" stopIfTrue="1"/>
  </conditionalFormatting>
  <conditionalFormatting sqref="A1699">
    <cfRule type="duplicateValues" dxfId="8478" priority="10655" stopIfTrue="1"/>
  </conditionalFormatting>
  <conditionalFormatting sqref="A1699">
    <cfRule type="duplicateValues" dxfId="8477" priority="10654" stopIfTrue="1"/>
  </conditionalFormatting>
  <conditionalFormatting sqref="A1699">
    <cfRule type="duplicateValues" dxfId="8476" priority="10653" stopIfTrue="1"/>
  </conditionalFormatting>
  <conditionalFormatting sqref="A1699">
    <cfRule type="duplicateValues" dxfId="8475" priority="10652" stopIfTrue="1"/>
  </conditionalFormatting>
  <conditionalFormatting sqref="A1699">
    <cfRule type="duplicateValues" dxfId="8474" priority="10651" stopIfTrue="1"/>
  </conditionalFormatting>
  <conditionalFormatting sqref="A1699">
    <cfRule type="duplicateValues" dxfId="8473" priority="10650" stopIfTrue="1"/>
  </conditionalFormatting>
  <conditionalFormatting sqref="A1699">
    <cfRule type="duplicateValues" dxfId="8472" priority="10649" stopIfTrue="1"/>
  </conditionalFormatting>
  <conditionalFormatting sqref="A1699">
    <cfRule type="duplicateValues" dxfId="8471" priority="10648" stopIfTrue="1"/>
  </conditionalFormatting>
  <conditionalFormatting sqref="A1699">
    <cfRule type="duplicateValues" dxfId="8470" priority="10647" stopIfTrue="1"/>
  </conditionalFormatting>
  <conditionalFormatting sqref="A1699">
    <cfRule type="duplicateValues" dxfId="8469" priority="10646" stopIfTrue="1"/>
  </conditionalFormatting>
  <conditionalFormatting sqref="A1699">
    <cfRule type="duplicateValues" dxfId="8468" priority="10645" stopIfTrue="1"/>
  </conditionalFormatting>
  <conditionalFormatting sqref="A1699">
    <cfRule type="duplicateValues" dxfId="8467" priority="10644" stopIfTrue="1"/>
  </conditionalFormatting>
  <conditionalFormatting sqref="A1699">
    <cfRule type="duplicateValues" dxfId="8466" priority="10656" stopIfTrue="1"/>
  </conditionalFormatting>
  <conditionalFormatting sqref="A1699">
    <cfRule type="duplicateValues" dxfId="8465" priority="10643" stopIfTrue="1"/>
  </conditionalFormatting>
  <conditionalFormatting sqref="A1699">
    <cfRule type="duplicateValues" dxfId="8464" priority="10657" stopIfTrue="1"/>
  </conditionalFormatting>
  <conditionalFormatting sqref="A1699">
    <cfRule type="duplicateValues" dxfId="8463" priority="10658" stopIfTrue="1"/>
  </conditionalFormatting>
  <conditionalFormatting sqref="A1699">
    <cfRule type="duplicateValues" dxfId="8462" priority="10660" stopIfTrue="1"/>
  </conditionalFormatting>
  <conditionalFormatting sqref="R1699">
    <cfRule type="duplicateValues" dxfId="8461" priority="10661" stopIfTrue="1"/>
  </conditionalFormatting>
  <conditionalFormatting sqref="R1699">
    <cfRule type="duplicateValues" dxfId="8460" priority="10662" stopIfTrue="1"/>
  </conditionalFormatting>
  <conditionalFormatting sqref="A1699">
    <cfRule type="duplicateValues" dxfId="8459" priority="10642" stopIfTrue="1"/>
  </conditionalFormatting>
  <conditionalFormatting sqref="A1716">
    <cfRule type="duplicateValues" dxfId="8458" priority="10634" stopIfTrue="1"/>
  </conditionalFormatting>
  <conditionalFormatting sqref="A1716">
    <cfRule type="duplicateValues" dxfId="8457" priority="10633" stopIfTrue="1"/>
  </conditionalFormatting>
  <conditionalFormatting sqref="A1716">
    <cfRule type="duplicateValues" dxfId="8456" priority="10632" stopIfTrue="1"/>
  </conditionalFormatting>
  <conditionalFormatting sqref="A1716">
    <cfRule type="duplicateValues" dxfId="8455" priority="10631" stopIfTrue="1"/>
  </conditionalFormatting>
  <conditionalFormatting sqref="A1716">
    <cfRule type="duplicateValues" dxfId="8454" priority="10630" stopIfTrue="1"/>
  </conditionalFormatting>
  <conditionalFormatting sqref="A1716">
    <cfRule type="duplicateValues" dxfId="8453" priority="10629" stopIfTrue="1"/>
  </conditionalFormatting>
  <conditionalFormatting sqref="A1716">
    <cfRule type="duplicateValues" dxfId="8452" priority="10628" stopIfTrue="1"/>
  </conditionalFormatting>
  <conditionalFormatting sqref="A1716">
    <cfRule type="duplicateValues" dxfId="8451" priority="10627" stopIfTrue="1"/>
  </conditionalFormatting>
  <conditionalFormatting sqref="A1716">
    <cfRule type="duplicateValues" dxfId="8450" priority="10626" stopIfTrue="1"/>
  </conditionalFormatting>
  <conditionalFormatting sqref="A1716">
    <cfRule type="duplicateValues" dxfId="8449" priority="10625" stopIfTrue="1"/>
  </conditionalFormatting>
  <conditionalFormatting sqref="A1716">
    <cfRule type="duplicateValues" dxfId="8448" priority="10624" stopIfTrue="1"/>
  </conditionalFormatting>
  <conditionalFormatting sqref="A1716">
    <cfRule type="duplicateValues" dxfId="8447" priority="10623" stopIfTrue="1"/>
  </conditionalFormatting>
  <conditionalFormatting sqref="A1716">
    <cfRule type="duplicateValues" dxfId="8446" priority="10635" stopIfTrue="1"/>
  </conditionalFormatting>
  <conditionalFormatting sqref="A1716">
    <cfRule type="duplicateValues" dxfId="8445" priority="10622" stopIfTrue="1"/>
  </conditionalFormatting>
  <conditionalFormatting sqref="A1716">
    <cfRule type="duplicateValues" dxfId="8444" priority="10636" stopIfTrue="1"/>
  </conditionalFormatting>
  <conditionalFormatting sqref="A1716">
    <cfRule type="duplicateValues" dxfId="8443" priority="10637" stopIfTrue="1"/>
  </conditionalFormatting>
  <conditionalFormatting sqref="C1716">
    <cfRule type="duplicateValues" dxfId="8442" priority="10638" stopIfTrue="1"/>
  </conditionalFormatting>
  <conditionalFormatting sqref="A1716">
    <cfRule type="duplicateValues" dxfId="8441" priority="10639" stopIfTrue="1"/>
  </conditionalFormatting>
  <conditionalFormatting sqref="R1716">
    <cfRule type="duplicateValues" dxfId="8440" priority="10640" stopIfTrue="1"/>
  </conditionalFormatting>
  <conditionalFormatting sqref="R1716">
    <cfRule type="duplicateValues" dxfId="8439" priority="10641" stopIfTrue="1"/>
  </conditionalFormatting>
  <conditionalFormatting sqref="A1716">
    <cfRule type="duplicateValues" dxfId="8438" priority="10621" stopIfTrue="1"/>
  </conditionalFormatting>
  <conditionalFormatting sqref="A1717">
    <cfRule type="duplicateValues" dxfId="8437" priority="10613" stopIfTrue="1"/>
  </conditionalFormatting>
  <conditionalFormatting sqref="A1717">
    <cfRule type="duplicateValues" dxfId="8436" priority="10612" stopIfTrue="1"/>
  </conditionalFormatting>
  <conditionalFormatting sqref="A1717">
    <cfRule type="duplicateValues" dxfId="8435" priority="10611" stopIfTrue="1"/>
  </conditionalFormatting>
  <conditionalFormatting sqref="A1717">
    <cfRule type="duplicateValues" dxfId="8434" priority="10610" stopIfTrue="1"/>
  </conditionalFormatting>
  <conditionalFormatting sqref="A1717">
    <cfRule type="duplicateValues" dxfId="8433" priority="10609" stopIfTrue="1"/>
  </conditionalFormatting>
  <conditionalFormatting sqref="A1717">
    <cfRule type="duplicateValues" dxfId="8432" priority="10608" stopIfTrue="1"/>
  </conditionalFormatting>
  <conditionalFormatting sqref="A1717">
    <cfRule type="duplicateValues" dxfId="8431" priority="10607" stopIfTrue="1"/>
  </conditionalFormatting>
  <conditionalFormatting sqref="A1717">
    <cfRule type="duplicateValues" dxfId="8430" priority="10606" stopIfTrue="1"/>
  </conditionalFormatting>
  <conditionalFormatting sqref="A1717">
    <cfRule type="duplicateValues" dxfId="8429" priority="10605" stopIfTrue="1"/>
  </conditionalFormatting>
  <conditionalFormatting sqref="A1717">
    <cfRule type="duplicateValues" dxfId="8428" priority="10604" stopIfTrue="1"/>
  </conditionalFormatting>
  <conditionalFormatting sqref="A1717">
    <cfRule type="duplicateValues" dxfId="8427" priority="10603" stopIfTrue="1"/>
  </conditionalFormatting>
  <conditionalFormatting sqref="A1717">
    <cfRule type="duplicateValues" dxfId="8426" priority="10602" stopIfTrue="1"/>
  </conditionalFormatting>
  <conditionalFormatting sqref="A1717">
    <cfRule type="duplicateValues" dxfId="8425" priority="10614" stopIfTrue="1"/>
  </conditionalFormatting>
  <conditionalFormatting sqref="A1717">
    <cfRule type="duplicateValues" dxfId="8424" priority="10601" stopIfTrue="1"/>
  </conditionalFormatting>
  <conditionalFormatting sqref="A1717">
    <cfRule type="duplicateValues" dxfId="8423" priority="10615" stopIfTrue="1"/>
  </conditionalFormatting>
  <conditionalFormatting sqref="A1717">
    <cfRule type="duplicateValues" dxfId="8422" priority="10616" stopIfTrue="1"/>
  </conditionalFormatting>
  <conditionalFormatting sqref="A1717">
    <cfRule type="duplicateValues" dxfId="8421" priority="10618" stopIfTrue="1"/>
  </conditionalFormatting>
  <conditionalFormatting sqref="R1717">
    <cfRule type="duplicateValues" dxfId="8420" priority="10619" stopIfTrue="1"/>
  </conditionalFormatting>
  <conditionalFormatting sqref="R1717">
    <cfRule type="duplicateValues" dxfId="8419" priority="10620" stopIfTrue="1"/>
  </conditionalFormatting>
  <conditionalFormatting sqref="A1717">
    <cfRule type="duplicateValues" dxfId="8418" priority="10600" stopIfTrue="1"/>
  </conditionalFormatting>
  <conditionalFormatting sqref="A1718">
    <cfRule type="duplicateValues" dxfId="8417" priority="10592" stopIfTrue="1"/>
  </conditionalFormatting>
  <conditionalFormatting sqref="A1718">
    <cfRule type="duplicateValues" dxfId="8416" priority="10591" stopIfTrue="1"/>
  </conditionalFormatting>
  <conditionalFormatting sqref="A1718">
    <cfRule type="duplicateValues" dxfId="8415" priority="10590" stopIfTrue="1"/>
  </conditionalFormatting>
  <conditionalFormatting sqref="A1718">
    <cfRule type="duplicateValues" dxfId="8414" priority="10589" stopIfTrue="1"/>
  </conditionalFormatting>
  <conditionalFormatting sqref="A1718">
    <cfRule type="duplicateValues" dxfId="8413" priority="10588" stopIfTrue="1"/>
  </conditionalFormatting>
  <conditionalFormatting sqref="A1718">
    <cfRule type="duplicateValues" dxfId="8412" priority="10587" stopIfTrue="1"/>
  </conditionalFormatting>
  <conditionalFormatting sqref="A1718">
    <cfRule type="duplicateValues" dxfId="8411" priority="10586" stopIfTrue="1"/>
  </conditionalFormatting>
  <conditionalFormatting sqref="A1718">
    <cfRule type="duplicateValues" dxfId="8410" priority="10585" stopIfTrue="1"/>
  </conditionalFormatting>
  <conditionalFormatting sqref="A1718">
    <cfRule type="duplicateValues" dxfId="8409" priority="10584" stopIfTrue="1"/>
  </conditionalFormatting>
  <conditionalFormatting sqref="A1718">
    <cfRule type="duplicateValues" dxfId="8408" priority="10583" stopIfTrue="1"/>
  </conditionalFormatting>
  <conditionalFormatting sqref="A1718">
    <cfRule type="duplicateValues" dxfId="8407" priority="10582" stopIfTrue="1"/>
  </conditionalFormatting>
  <conditionalFormatting sqref="A1718">
    <cfRule type="duplicateValues" dxfId="8406" priority="10581" stopIfTrue="1"/>
  </conditionalFormatting>
  <conditionalFormatting sqref="A1718">
    <cfRule type="duplicateValues" dxfId="8405" priority="10593" stopIfTrue="1"/>
  </conditionalFormatting>
  <conditionalFormatting sqref="A1718">
    <cfRule type="duplicateValues" dxfId="8404" priority="10580" stopIfTrue="1"/>
  </conditionalFormatting>
  <conditionalFormatting sqref="A1718">
    <cfRule type="duplicateValues" dxfId="8403" priority="10594" stopIfTrue="1"/>
  </conditionalFormatting>
  <conditionalFormatting sqref="A1718">
    <cfRule type="duplicateValues" dxfId="8402" priority="10595" stopIfTrue="1"/>
  </conditionalFormatting>
  <conditionalFormatting sqref="A1718">
    <cfRule type="duplicateValues" dxfId="8401" priority="10597" stopIfTrue="1"/>
  </conditionalFormatting>
  <conditionalFormatting sqref="R1718">
    <cfRule type="duplicateValues" dxfId="8400" priority="10598" stopIfTrue="1"/>
  </conditionalFormatting>
  <conditionalFormatting sqref="R1718">
    <cfRule type="duplicateValues" dxfId="8399" priority="10599" stopIfTrue="1"/>
  </conditionalFormatting>
  <conditionalFormatting sqref="A1718">
    <cfRule type="duplicateValues" dxfId="8398" priority="10579" stopIfTrue="1"/>
  </conditionalFormatting>
  <conditionalFormatting sqref="A1719">
    <cfRule type="duplicateValues" dxfId="8397" priority="10571" stopIfTrue="1"/>
  </conditionalFormatting>
  <conditionalFormatting sqref="A1719">
    <cfRule type="duplicateValues" dxfId="8396" priority="10570" stopIfTrue="1"/>
  </conditionalFormatting>
  <conditionalFormatting sqref="A1719">
    <cfRule type="duplicateValues" dxfId="8395" priority="10569" stopIfTrue="1"/>
  </conditionalFormatting>
  <conditionalFormatting sqref="A1719">
    <cfRule type="duplicateValues" dxfId="8394" priority="10568" stopIfTrue="1"/>
  </conditionalFormatting>
  <conditionalFormatting sqref="A1719">
    <cfRule type="duplicateValues" dxfId="8393" priority="10567" stopIfTrue="1"/>
  </conditionalFormatting>
  <conditionalFormatting sqref="A1719">
    <cfRule type="duplicateValues" dxfId="8392" priority="10566" stopIfTrue="1"/>
  </conditionalFormatting>
  <conditionalFormatting sqref="A1719">
    <cfRule type="duplicateValues" dxfId="8391" priority="10565" stopIfTrue="1"/>
  </conditionalFormatting>
  <conditionalFormatting sqref="A1719">
    <cfRule type="duplicateValues" dxfId="8390" priority="10564" stopIfTrue="1"/>
  </conditionalFormatting>
  <conditionalFormatting sqref="A1719">
    <cfRule type="duplicateValues" dxfId="8389" priority="10563" stopIfTrue="1"/>
  </conditionalFormatting>
  <conditionalFormatting sqref="A1719">
    <cfRule type="duplicateValues" dxfId="8388" priority="10562" stopIfTrue="1"/>
  </conditionalFormatting>
  <conditionalFormatting sqref="A1719">
    <cfRule type="duplicateValues" dxfId="8387" priority="10561" stopIfTrue="1"/>
  </conditionalFormatting>
  <conditionalFormatting sqref="A1719">
    <cfRule type="duplicateValues" dxfId="8386" priority="10560" stopIfTrue="1"/>
  </conditionalFormatting>
  <conditionalFormatting sqref="A1719">
    <cfRule type="duplicateValues" dxfId="8385" priority="10572" stopIfTrue="1"/>
  </conditionalFormatting>
  <conditionalFormatting sqref="A1719">
    <cfRule type="duplicateValues" dxfId="8384" priority="10559" stopIfTrue="1"/>
  </conditionalFormatting>
  <conditionalFormatting sqref="A1719">
    <cfRule type="duplicateValues" dxfId="8383" priority="10573" stopIfTrue="1"/>
  </conditionalFormatting>
  <conditionalFormatting sqref="A1719">
    <cfRule type="duplicateValues" dxfId="8382" priority="10574" stopIfTrue="1"/>
  </conditionalFormatting>
  <conditionalFormatting sqref="A1719">
    <cfRule type="duplicateValues" dxfId="8381" priority="10576" stopIfTrue="1"/>
  </conditionalFormatting>
  <conditionalFormatting sqref="R1719">
    <cfRule type="duplicateValues" dxfId="8380" priority="10577" stopIfTrue="1"/>
  </conditionalFormatting>
  <conditionalFormatting sqref="R1719">
    <cfRule type="duplicateValues" dxfId="8379" priority="10578" stopIfTrue="1"/>
  </conditionalFormatting>
  <conditionalFormatting sqref="A1719">
    <cfRule type="duplicateValues" dxfId="8378" priority="10558" stopIfTrue="1"/>
  </conditionalFormatting>
  <conditionalFormatting sqref="A1736">
    <cfRule type="duplicateValues" dxfId="8377" priority="10550" stopIfTrue="1"/>
  </conditionalFormatting>
  <conditionalFormatting sqref="A1736">
    <cfRule type="duplicateValues" dxfId="8376" priority="10549" stopIfTrue="1"/>
  </conditionalFormatting>
  <conditionalFormatting sqref="A1736">
    <cfRule type="duplicateValues" dxfId="8375" priority="10548" stopIfTrue="1"/>
  </conditionalFormatting>
  <conditionalFormatting sqref="A1736">
    <cfRule type="duplicateValues" dxfId="8374" priority="10547" stopIfTrue="1"/>
  </conditionalFormatting>
  <conditionalFormatting sqref="A1736">
    <cfRule type="duplicateValues" dxfId="8373" priority="10546" stopIfTrue="1"/>
  </conditionalFormatting>
  <conditionalFormatting sqref="A1736">
    <cfRule type="duplicateValues" dxfId="8372" priority="10545" stopIfTrue="1"/>
  </conditionalFormatting>
  <conditionalFormatting sqref="A1736">
    <cfRule type="duplicateValues" dxfId="8371" priority="10544" stopIfTrue="1"/>
  </conditionalFormatting>
  <conditionalFormatting sqref="A1736">
    <cfRule type="duplicateValues" dxfId="8370" priority="10543" stopIfTrue="1"/>
  </conditionalFormatting>
  <conditionalFormatting sqref="A1736">
    <cfRule type="duplicateValues" dxfId="8369" priority="10542" stopIfTrue="1"/>
  </conditionalFormatting>
  <conditionalFormatting sqref="A1736">
    <cfRule type="duplicateValues" dxfId="8368" priority="10541" stopIfTrue="1"/>
  </conditionalFormatting>
  <conditionalFormatting sqref="A1736">
    <cfRule type="duplicateValues" dxfId="8367" priority="10540" stopIfTrue="1"/>
  </conditionalFormatting>
  <conditionalFormatting sqref="A1736">
    <cfRule type="duplicateValues" dxfId="8366" priority="10539" stopIfTrue="1"/>
  </conditionalFormatting>
  <conditionalFormatting sqref="A1736">
    <cfRule type="duplicateValues" dxfId="8365" priority="10551" stopIfTrue="1"/>
  </conditionalFormatting>
  <conditionalFormatting sqref="A1736">
    <cfRule type="duplicateValues" dxfId="8364" priority="10538" stopIfTrue="1"/>
  </conditionalFormatting>
  <conditionalFormatting sqref="A1736">
    <cfRule type="duplicateValues" dxfId="8363" priority="10552" stopIfTrue="1"/>
  </conditionalFormatting>
  <conditionalFormatting sqref="A1736">
    <cfRule type="duplicateValues" dxfId="8362" priority="10553" stopIfTrue="1"/>
  </conditionalFormatting>
  <conditionalFormatting sqref="C1736">
    <cfRule type="duplicateValues" dxfId="8361" priority="10554" stopIfTrue="1"/>
  </conditionalFormatting>
  <conditionalFormatting sqref="A1736">
    <cfRule type="duplicateValues" dxfId="8360" priority="10555" stopIfTrue="1"/>
  </conditionalFormatting>
  <conditionalFormatting sqref="R1736">
    <cfRule type="duplicateValues" dxfId="8359" priority="10556" stopIfTrue="1"/>
  </conditionalFormatting>
  <conditionalFormatting sqref="R1736">
    <cfRule type="duplicateValues" dxfId="8358" priority="10557" stopIfTrue="1"/>
  </conditionalFormatting>
  <conditionalFormatting sqref="A1736">
    <cfRule type="duplicateValues" dxfId="8357" priority="10537" stopIfTrue="1"/>
  </conditionalFormatting>
  <conditionalFormatting sqref="A1737">
    <cfRule type="duplicateValues" dxfId="8356" priority="10529" stopIfTrue="1"/>
  </conditionalFormatting>
  <conditionalFormatting sqref="A1737">
    <cfRule type="duplicateValues" dxfId="8355" priority="10528" stopIfTrue="1"/>
  </conditionalFormatting>
  <conditionalFormatting sqref="A1737">
    <cfRule type="duplicateValues" dxfId="8354" priority="10527" stopIfTrue="1"/>
  </conditionalFormatting>
  <conditionalFormatting sqref="A1737">
    <cfRule type="duplicateValues" dxfId="8353" priority="10526" stopIfTrue="1"/>
  </conditionalFormatting>
  <conditionalFormatting sqref="A1737">
    <cfRule type="duplicateValues" dxfId="8352" priority="10525" stopIfTrue="1"/>
  </conditionalFormatting>
  <conditionalFormatting sqref="A1737">
    <cfRule type="duplicateValues" dxfId="8351" priority="10524" stopIfTrue="1"/>
  </conditionalFormatting>
  <conditionalFormatting sqref="A1737">
    <cfRule type="duplicateValues" dxfId="8350" priority="10523" stopIfTrue="1"/>
  </conditionalFormatting>
  <conditionalFormatting sqref="A1737">
    <cfRule type="duplicateValues" dxfId="8349" priority="10522" stopIfTrue="1"/>
  </conditionalFormatting>
  <conditionalFormatting sqref="A1737">
    <cfRule type="duplicateValues" dxfId="8348" priority="10521" stopIfTrue="1"/>
  </conditionalFormatting>
  <conditionalFormatting sqref="A1737">
    <cfRule type="duplicateValues" dxfId="8347" priority="10520" stopIfTrue="1"/>
  </conditionalFormatting>
  <conditionalFormatting sqref="A1737">
    <cfRule type="duplicateValues" dxfId="8346" priority="10519" stopIfTrue="1"/>
  </conditionalFormatting>
  <conditionalFormatting sqref="A1737">
    <cfRule type="duplicateValues" dxfId="8345" priority="10518" stopIfTrue="1"/>
  </conditionalFormatting>
  <conditionalFormatting sqref="A1737">
    <cfRule type="duplicateValues" dxfId="8344" priority="10530" stopIfTrue="1"/>
  </conditionalFormatting>
  <conditionalFormatting sqref="A1737">
    <cfRule type="duplicateValues" dxfId="8343" priority="10517" stopIfTrue="1"/>
  </conditionalFormatting>
  <conditionalFormatting sqref="A1737">
    <cfRule type="duplicateValues" dxfId="8342" priority="10531" stopIfTrue="1"/>
  </conditionalFormatting>
  <conditionalFormatting sqref="A1737">
    <cfRule type="duplicateValues" dxfId="8341" priority="10532" stopIfTrue="1"/>
  </conditionalFormatting>
  <conditionalFormatting sqref="A1737">
    <cfRule type="duplicateValues" dxfId="8340" priority="10534" stopIfTrue="1"/>
  </conditionalFormatting>
  <conditionalFormatting sqref="R1737">
    <cfRule type="duplicateValues" dxfId="8339" priority="10535" stopIfTrue="1"/>
  </conditionalFormatting>
  <conditionalFormatting sqref="R1737">
    <cfRule type="duplicateValues" dxfId="8338" priority="10536" stopIfTrue="1"/>
  </conditionalFormatting>
  <conditionalFormatting sqref="A1737">
    <cfRule type="duplicateValues" dxfId="8337" priority="10516" stopIfTrue="1"/>
  </conditionalFormatting>
  <conditionalFormatting sqref="A1738">
    <cfRule type="duplicateValues" dxfId="8336" priority="10508" stopIfTrue="1"/>
  </conditionalFormatting>
  <conditionalFormatting sqref="A1738">
    <cfRule type="duplicateValues" dxfId="8335" priority="10507" stopIfTrue="1"/>
  </conditionalFormatting>
  <conditionalFormatting sqref="A1738">
    <cfRule type="duplicateValues" dxfId="8334" priority="10506" stopIfTrue="1"/>
  </conditionalFormatting>
  <conditionalFormatting sqref="A1738">
    <cfRule type="duplicateValues" dxfId="8333" priority="10505" stopIfTrue="1"/>
  </conditionalFormatting>
  <conditionalFormatting sqref="A1738">
    <cfRule type="duplicateValues" dxfId="8332" priority="10504" stopIfTrue="1"/>
  </conditionalFormatting>
  <conditionalFormatting sqref="A1738">
    <cfRule type="duplicateValues" dxfId="8331" priority="10503" stopIfTrue="1"/>
  </conditionalFormatting>
  <conditionalFormatting sqref="A1738">
    <cfRule type="duplicateValues" dxfId="8330" priority="10502" stopIfTrue="1"/>
  </conditionalFormatting>
  <conditionalFormatting sqref="A1738">
    <cfRule type="duplicateValues" dxfId="8329" priority="10501" stopIfTrue="1"/>
  </conditionalFormatting>
  <conditionalFormatting sqref="A1738">
    <cfRule type="duplicateValues" dxfId="8328" priority="10500" stopIfTrue="1"/>
  </conditionalFormatting>
  <conditionalFormatting sqref="A1738">
    <cfRule type="duplicateValues" dxfId="8327" priority="10499" stopIfTrue="1"/>
  </conditionalFormatting>
  <conditionalFormatting sqref="A1738">
    <cfRule type="duplicateValues" dxfId="8326" priority="10498" stopIfTrue="1"/>
  </conditionalFormatting>
  <conditionalFormatting sqref="A1738">
    <cfRule type="duplicateValues" dxfId="8325" priority="10497" stopIfTrue="1"/>
  </conditionalFormatting>
  <conditionalFormatting sqref="A1738">
    <cfRule type="duplicateValues" dxfId="8324" priority="10509" stopIfTrue="1"/>
  </conditionalFormatting>
  <conditionalFormatting sqref="A1738">
    <cfRule type="duplicateValues" dxfId="8323" priority="10496" stopIfTrue="1"/>
  </conditionalFormatting>
  <conditionalFormatting sqref="A1738">
    <cfRule type="duplicateValues" dxfId="8322" priority="10510" stopIfTrue="1"/>
  </conditionalFormatting>
  <conditionalFormatting sqref="A1738">
    <cfRule type="duplicateValues" dxfId="8321" priority="10511" stopIfTrue="1"/>
  </conditionalFormatting>
  <conditionalFormatting sqref="A1738">
    <cfRule type="duplicateValues" dxfId="8320" priority="10513" stopIfTrue="1"/>
  </conditionalFormatting>
  <conditionalFormatting sqref="R1738">
    <cfRule type="duplicateValues" dxfId="8319" priority="10514" stopIfTrue="1"/>
  </conditionalFormatting>
  <conditionalFormatting sqref="R1738">
    <cfRule type="duplicateValues" dxfId="8318" priority="10515" stopIfTrue="1"/>
  </conditionalFormatting>
  <conditionalFormatting sqref="A1738">
    <cfRule type="duplicateValues" dxfId="8317" priority="10495" stopIfTrue="1"/>
  </conditionalFormatting>
  <conditionalFormatting sqref="A1739">
    <cfRule type="duplicateValues" dxfId="8316" priority="10487" stopIfTrue="1"/>
  </conditionalFormatting>
  <conditionalFormatting sqref="A1739">
    <cfRule type="duplicateValues" dxfId="8315" priority="10486" stopIfTrue="1"/>
  </conditionalFormatting>
  <conditionalFormatting sqref="A1739">
    <cfRule type="duplicateValues" dxfId="8314" priority="10485" stopIfTrue="1"/>
  </conditionalFormatting>
  <conditionalFormatting sqref="A1739">
    <cfRule type="duplicateValues" dxfId="8313" priority="10484" stopIfTrue="1"/>
  </conditionalFormatting>
  <conditionalFormatting sqref="A1739">
    <cfRule type="duplicateValues" dxfId="8312" priority="10483" stopIfTrue="1"/>
  </conditionalFormatting>
  <conditionalFormatting sqref="A1739">
    <cfRule type="duplicateValues" dxfId="8311" priority="10482" stopIfTrue="1"/>
  </conditionalFormatting>
  <conditionalFormatting sqref="A1739">
    <cfRule type="duplicateValues" dxfId="8310" priority="10481" stopIfTrue="1"/>
  </conditionalFormatting>
  <conditionalFormatting sqref="A1739">
    <cfRule type="duplicateValues" dxfId="8309" priority="10480" stopIfTrue="1"/>
  </conditionalFormatting>
  <conditionalFormatting sqref="A1739">
    <cfRule type="duplicateValues" dxfId="8308" priority="10479" stopIfTrue="1"/>
  </conditionalFormatting>
  <conditionalFormatting sqref="A1739">
    <cfRule type="duplicateValues" dxfId="8307" priority="10478" stopIfTrue="1"/>
  </conditionalFormatting>
  <conditionalFormatting sqref="A1739">
    <cfRule type="duplicateValues" dxfId="8306" priority="10477" stopIfTrue="1"/>
  </conditionalFormatting>
  <conditionalFormatting sqref="A1739">
    <cfRule type="duplicateValues" dxfId="8305" priority="10476" stopIfTrue="1"/>
  </conditionalFormatting>
  <conditionalFormatting sqref="A1739">
    <cfRule type="duplicateValues" dxfId="8304" priority="10488" stopIfTrue="1"/>
  </conditionalFormatting>
  <conditionalFormatting sqref="A1739">
    <cfRule type="duplicateValues" dxfId="8303" priority="10475" stopIfTrue="1"/>
  </conditionalFormatting>
  <conditionalFormatting sqref="A1739">
    <cfRule type="duplicateValues" dxfId="8302" priority="10489" stopIfTrue="1"/>
  </conditionalFormatting>
  <conditionalFormatting sqref="A1739">
    <cfRule type="duplicateValues" dxfId="8301" priority="10490" stopIfTrue="1"/>
  </conditionalFormatting>
  <conditionalFormatting sqref="A1739">
    <cfRule type="duplicateValues" dxfId="8300" priority="10492" stopIfTrue="1"/>
  </conditionalFormatting>
  <conditionalFormatting sqref="R1739">
    <cfRule type="duplicateValues" dxfId="8299" priority="10493" stopIfTrue="1"/>
  </conditionalFormatting>
  <conditionalFormatting sqref="R1739">
    <cfRule type="duplicateValues" dxfId="8298" priority="10494" stopIfTrue="1"/>
  </conditionalFormatting>
  <conditionalFormatting sqref="A1739">
    <cfRule type="duplicateValues" dxfId="8297" priority="10474" stopIfTrue="1"/>
  </conditionalFormatting>
  <conditionalFormatting sqref="A1757">
    <cfRule type="duplicateValues" dxfId="8296" priority="10466" stopIfTrue="1"/>
  </conditionalFormatting>
  <conditionalFormatting sqref="A1757">
    <cfRule type="duplicateValues" dxfId="8295" priority="10465" stopIfTrue="1"/>
  </conditionalFormatting>
  <conditionalFormatting sqref="A1757">
    <cfRule type="duplicateValues" dxfId="8294" priority="10464" stopIfTrue="1"/>
  </conditionalFormatting>
  <conditionalFormatting sqref="A1757">
    <cfRule type="duplicateValues" dxfId="8293" priority="10463" stopIfTrue="1"/>
  </conditionalFormatting>
  <conditionalFormatting sqref="A1757">
    <cfRule type="duplicateValues" dxfId="8292" priority="10462" stopIfTrue="1"/>
  </conditionalFormatting>
  <conditionalFormatting sqref="A1757">
    <cfRule type="duplicateValues" dxfId="8291" priority="10461" stopIfTrue="1"/>
  </conditionalFormatting>
  <conditionalFormatting sqref="A1757">
    <cfRule type="duplicateValues" dxfId="8290" priority="10460" stopIfTrue="1"/>
  </conditionalFormatting>
  <conditionalFormatting sqref="A1757">
    <cfRule type="duplicateValues" dxfId="8289" priority="10459" stopIfTrue="1"/>
  </conditionalFormatting>
  <conditionalFormatting sqref="A1757">
    <cfRule type="duplicateValues" dxfId="8288" priority="10458" stopIfTrue="1"/>
  </conditionalFormatting>
  <conditionalFormatting sqref="A1757">
    <cfRule type="duplicateValues" dxfId="8287" priority="10457" stopIfTrue="1"/>
  </conditionalFormatting>
  <conditionalFormatting sqref="A1757">
    <cfRule type="duplicateValues" dxfId="8286" priority="10456" stopIfTrue="1"/>
  </conditionalFormatting>
  <conditionalFormatting sqref="A1757">
    <cfRule type="duplicateValues" dxfId="8285" priority="10455" stopIfTrue="1"/>
  </conditionalFormatting>
  <conditionalFormatting sqref="A1757">
    <cfRule type="duplicateValues" dxfId="8284" priority="10467" stopIfTrue="1"/>
  </conditionalFormatting>
  <conditionalFormatting sqref="A1757">
    <cfRule type="duplicateValues" dxfId="8283" priority="10454" stopIfTrue="1"/>
  </conditionalFormatting>
  <conditionalFormatting sqref="A1757">
    <cfRule type="duplicateValues" dxfId="8282" priority="10468" stopIfTrue="1"/>
  </conditionalFormatting>
  <conditionalFormatting sqref="A1757">
    <cfRule type="duplicateValues" dxfId="8281" priority="10469" stopIfTrue="1"/>
  </conditionalFormatting>
  <conditionalFormatting sqref="C1757">
    <cfRule type="duplicateValues" dxfId="8280" priority="10470" stopIfTrue="1"/>
  </conditionalFormatting>
  <conditionalFormatting sqref="A1757">
    <cfRule type="duplicateValues" dxfId="8279" priority="10471" stopIfTrue="1"/>
  </conditionalFormatting>
  <conditionalFormatting sqref="R1757">
    <cfRule type="duplicateValues" dxfId="8278" priority="10472" stopIfTrue="1"/>
  </conditionalFormatting>
  <conditionalFormatting sqref="R1757">
    <cfRule type="duplicateValues" dxfId="8277" priority="10473" stopIfTrue="1"/>
  </conditionalFormatting>
  <conditionalFormatting sqref="A1757">
    <cfRule type="duplicateValues" dxfId="8276" priority="10453" stopIfTrue="1"/>
  </conditionalFormatting>
  <conditionalFormatting sqref="A1758">
    <cfRule type="duplicateValues" dxfId="8275" priority="10445" stopIfTrue="1"/>
  </conditionalFormatting>
  <conditionalFormatting sqref="A1758">
    <cfRule type="duplicateValues" dxfId="8274" priority="10444" stopIfTrue="1"/>
  </conditionalFormatting>
  <conditionalFormatting sqref="A1758">
    <cfRule type="duplicateValues" dxfId="8273" priority="10443" stopIfTrue="1"/>
  </conditionalFormatting>
  <conditionalFormatting sqref="A1758">
    <cfRule type="duplicateValues" dxfId="8272" priority="10442" stopIfTrue="1"/>
  </conditionalFormatting>
  <conditionalFormatting sqref="A1758">
    <cfRule type="duplicateValues" dxfId="8271" priority="10441" stopIfTrue="1"/>
  </conditionalFormatting>
  <conditionalFormatting sqref="A1758">
    <cfRule type="duplicateValues" dxfId="8270" priority="10440" stopIfTrue="1"/>
  </conditionalFormatting>
  <conditionalFormatting sqref="A1758">
    <cfRule type="duplicateValues" dxfId="8269" priority="10439" stopIfTrue="1"/>
  </conditionalFormatting>
  <conditionalFormatting sqref="A1758">
    <cfRule type="duplicateValues" dxfId="8268" priority="10438" stopIfTrue="1"/>
  </conditionalFormatting>
  <conditionalFormatting sqref="A1758">
    <cfRule type="duplicateValues" dxfId="8267" priority="10437" stopIfTrue="1"/>
  </conditionalFormatting>
  <conditionalFormatting sqref="A1758">
    <cfRule type="duplicateValues" dxfId="8266" priority="10436" stopIfTrue="1"/>
  </conditionalFormatting>
  <conditionalFormatting sqref="A1758">
    <cfRule type="duplicateValues" dxfId="8265" priority="10435" stopIfTrue="1"/>
  </conditionalFormatting>
  <conditionalFormatting sqref="A1758">
    <cfRule type="duplicateValues" dxfId="8264" priority="10434" stopIfTrue="1"/>
  </conditionalFormatting>
  <conditionalFormatting sqref="A1758">
    <cfRule type="duplicateValues" dxfId="8263" priority="10446" stopIfTrue="1"/>
  </conditionalFormatting>
  <conditionalFormatting sqref="A1758">
    <cfRule type="duplicateValues" dxfId="8262" priority="10433" stopIfTrue="1"/>
  </conditionalFormatting>
  <conditionalFormatting sqref="A1758">
    <cfRule type="duplicateValues" dxfId="8261" priority="10447" stopIfTrue="1"/>
  </conditionalFormatting>
  <conditionalFormatting sqref="A1758">
    <cfRule type="duplicateValues" dxfId="8260" priority="10448" stopIfTrue="1"/>
  </conditionalFormatting>
  <conditionalFormatting sqref="A1758">
    <cfRule type="duplicateValues" dxfId="8259" priority="10450" stopIfTrue="1"/>
  </conditionalFormatting>
  <conditionalFormatting sqref="R1758">
    <cfRule type="duplicateValues" dxfId="8258" priority="10451" stopIfTrue="1"/>
  </conditionalFormatting>
  <conditionalFormatting sqref="R1758">
    <cfRule type="duplicateValues" dxfId="8257" priority="10452" stopIfTrue="1"/>
  </conditionalFormatting>
  <conditionalFormatting sqref="A1758">
    <cfRule type="duplicateValues" dxfId="8256" priority="10432" stopIfTrue="1"/>
  </conditionalFormatting>
  <conditionalFormatting sqref="A1759">
    <cfRule type="duplicateValues" dxfId="8255" priority="10424" stopIfTrue="1"/>
  </conditionalFormatting>
  <conditionalFormatting sqref="A1759">
    <cfRule type="duplicateValues" dxfId="8254" priority="10423" stopIfTrue="1"/>
  </conditionalFormatting>
  <conditionalFormatting sqref="A1759">
    <cfRule type="duplicateValues" dxfId="8253" priority="10422" stopIfTrue="1"/>
  </conditionalFormatting>
  <conditionalFormatting sqref="A1759">
    <cfRule type="duplicateValues" dxfId="8252" priority="10421" stopIfTrue="1"/>
  </conditionalFormatting>
  <conditionalFormatting sqref="A1759">
    <cfRule type="duplicateValues" dxfId="8251" priority="10420" stopIfTrue="1"/>
  </conditionalFormatting>
  <conditionalFormatting sqref="A1759">
    <cfRule type="duplicateValues" dxfId="8250" priority="10419" stopIfTrue="1"/>
  </conditionalFormatting>
  <conditionalFormatting sqref="A1759">
    <cfRule type="duplicateValues" dxfId="8249" priority="10418" stopIfTrue="1"/>
  </conditionalFormatting>
  <conditionalFormatting sqref="A1759">
    <cfRule type="duplicateValues" dxfId="8248" priority="10417" stopIfTrue="1"/>
  </conditionalFormatting>
  <conditionalFormatting sqref="A1759">
    <cfRule type="duplicateValues" dxfId="8247" priority="10416" stopIfTrue="1"/>
  </conditionalFormatting>
  <conditionalFormatting sqref="A1759">
    <cfRule type="duplicateValues" dxfId="8246" priority="10415" stopIfTrue="1"/>
  </conditionalFormatting>
  <conditionalFormatting sqref="A1759">
    <cfRule type="duplicateValues" dxfId="8245" priority="10414" stopIfTrue="1"/>
  </conditionalFormatting>
  <conditionalFormatting sqref="A1759">
    <cfRule type="duplicateValues" dxfId="8244" priority="10413" stopIfTrue="1"/>
  </conditionalFormatting>
  <conditionalFormatting sqref="A1759">
    <cfRule type="duplicateValues" dxfId="8243" priority="10425" stopIfTrue="1"/>
  </conditionalFormatting>
  <conditionalFormatting sqref="A1759">
    <cfRule type="duplicateValues" dxfId="8242" priority="10412" stopIfTrue="1"/>
  </conditionalFormatting>
  <conditionalFormatting sqref="A1759">
    <cfRule type="duplicateValues" dxfId="8241" priority="10426" stopIfTrue="1"/>
  </conditionalFormatting>
  <conditionalFormatting sqref="A1759">
    <cfRule type="duplicateValues" dxfId="8240" priority="10427" stopIfTrue="1"/>
  </conditionalFormatting>
  <conditionalFormatting sqref="A1759">
    <cfRule type="duplicateValues" dxfId="8239" priority="10429" stopIfTrue="1"/>
  </conditionalFormatting>
  <conditionalFormatting sqref="R1759">
    <cfRule type="duplicateValues" dxfId="8238" priority="10430" stopIfTrue="1"/>
  </conditionalFormatting>
  <conditionalFormatting sqref="R1759">
    <cfRule type="duplicateValues" dxfId="8237" priority="10431" stopIfTrue="1"/>
  </conditionalFormatting>
  <conditionalFormatting sqref="A1759">
    <cfRule type="duplicateValues" dxfId="8236" priority="10411" stopIfTrue="1"/>
  </conditionalFormatting>
  <conditionalFormatting sqref="A1760">
    <cfRule type="duplicateValues" dxfId="8235" priority="10403" stopIfTrue="1"/>
  </conditionalFormatting>
  <conditionalFormatting sqref="A1760">
    <cfRule type="duplicateValues" dxfId="8234" priority="10402" stopIfTrue="1"/>
  </conditionalFormatting>
  <conditionalFormatting sqref="A1760">
    <cfRule type="duplicateValues" dxfId="8233" priority="10401" stopIfTrue="1"/>
  </conditionalFormatting>
  <conditionalFormatting sqref="A1760">
    <cfRule type="duplicateValues" dxfId="8232" priority="10400" stopIfTrue="1"/>
  </conditionalFormatting>
  <conditionalFormatting sqref="A1760">
    <cfRule type="duplicateValues" dxfId="8231" priority="10399" stopIfTrue="1"/>
  </conditionalFormatting>
  <conditionalFormatting sqref="A1760">
    <cfRule type="duplicateValues" dxfId="8230" priority="10398" stopIfTrue="1"/>
  </conditionalFormatting>
  <conditionalFormatting sqref="A1760">
    <cfRule type="duplicateValues" dxfId="8229" priority="10397" stopIfTrue="1"/>
  </conditionalFormatting>
  <conditionalFormatting sqref="A1760">
    <cfRule type="duplicateValues" dxfId="8228" priority="10396" stopIfTrue="1"/>
  </conditionalFormatting>
  <conditionalFormatting sqref="A1760">
    <cfRule type="duplicateValues" dxfId="8227" priority="10395" stopIfTrue="1"/>
  </conditionalFormatting>
  <conditionalFormatting sqref="A1760">
    <cfRule type="duplicateValues" dxfId="8226" priority="10394" stopIfTrue="1"/>
  </conditionalFormatting>
  <conditionalFormatting sqref="A1760">
    <cfRule type="duplicateValues" dxfId="8225" priority="10393" stopIfTrue="1"/>
  </conditionalFormatting>
  <conditionalFormatting sqref="A1760">
    <cfRule type="duplicateValues" dxfId="8224" priority="10392" stopIfTrue="1"/>
  </conditionalFormatting>
  <conditionalFormatting sqref="A1760">
    <cfRule type="duplicateValues" dxfId="8223" priority="10404" stopIfTrue="1"/>
  </conditionalFormatting>
  <conditionalFormatting sqref="A1760">
    <cfRule type="duplicateValues" dxfId="8222" priority="10391" stopIfTrue="1"/>
  </conditionalFormatting>
  <conditionalFormatting sqref="A1760">
    <cfRule type="duplicateValues" dxfId="8221" priority="10405" stopIfTrue="1"/>
  </conditionalFormatting>
  <conditionalFormatting sqref="A1760">
    <cfRule type="duplicateValues" dxfId="8220" priority="10406" stopIfTrue="1"/>
  </conditionalFormatting>
  <conditionalFormatting sqref="A1760">
    <cfRule type="duplicateValues" dxfId="8219" priority="10408" stopIfTrue="1"/>
  </conditionalFormatting>
  <conditionalFormatting sqref="R1760">
    <cfRule type="duplicateValues" dxfId="8218" priority="10409" stopIfTrue="1"/>
  </conditionalFormatting>
  <conditionalFormatting sqref="R1760">
    <cfRule type="duplicateValues" dxfId="8217" priority="10410" stopIfTrue="1"/>
  </conditionalFormatting>
  <conditionalFormatting sqref="A1760">
    <cfRule type="duplicateValues" dxfId="8216" priority="10390" stopIfTrue="1"/>
  </conditionalFormatting>
  <conditionalFormatting sqref="A1778">
    <cfRule type="duplicateValues" dxfId="8215" priority="10382" stopIfTrue="1"/>
  </conditionalFormatting>
  <conditionalFormatting sqref="A1778">
    <cfRule type="duplicateValues" dxfId="8214" priority="10381" stopIfTrue="1"/>
  </conditionalFormatting>
  <conditionalFormatting sqref="A1778">
    <cfRule type="duplicateValues" dxfId="8213" priority="10380" stopIfTrue="1"/>
  </conditionalFormatting>
  <conditionalFormatting sqref="A1778">
    <cfRule type="duplicateValues" dxfId="8212" priority="10379" stopIfTrue="1"/>
  </conditionalFormatting>
  <conditionalFormatting sqref="A1778">
    <cfRule type="duplicateValues" dxfId="8211" priority="10378" stopIfTrue="1"/>
  </conditionalFormatting>
  <conditionalFormatting sqref="A1778">
    <cfRule type="duplicateValues" dxfId="8210" priority="10377" stopIfTrue="1"/>
  </conditionalFormatting>
  <conditionalFormatting sqref="A1778">
    <cfRule type="duplicateValues" dxfId="8209" priority="10376" stopIfTrue="1"/>
  </conditionalFormatting>
  <conditionalFormatting sqref="A1778">
    <cfRule type="duplicateValues" dxfId="8208" priority="10375" stopIfTrue="1"/>
  </conditionalFormatting>
  <conditionalFormatting sqref="A1778">
    <cfRule type="duplicateValues" dxfId="8207" priority="10374" stopIfTrue="1"/>
  </conditionalFormatting>
  <conditionalFormatting sqref="A1778">
    <cfRule type="duplicateValues" dxfId="8206" priority="10373" stopIfTrue="1"/>
  </conditionalFormatting>
  <conditionalFormatting sqref="A1778">
    <cfRule type="duplicateValues" dxfId="8205" priority="10372" stopIfTrue="1"/>
  </conditionalFormatting>
  <conditionalFormatting sqref="A1778">
    <cfRule type="duplicateValues" dxfId="8204" priority="10371" stopIfTrue="1"/>
  </conditionalFormatting>
  <conditionalFormatting sqref="A1778">
    <cfRule type="duplicateValues" dxfId="8203" priority="10383" stopIfTrue="1"/>
  </conditionalFormatting>
  <conditionalFormatting sqref="A1778">
    <cfRule type="duplicateValues" dxfId="8202" priority="10370" stopIfTrue="1"/>
  </conditionalFormatting>
  <conditionalFormatting sqref="A1778">
    <cfRule type="duplicateValues" dxfId="8201" priority="10384" stopIfTrue="1"/>
  </conditionalFormatting>
  <conditionalFormatting sqref="A1778">
    <cfRule type="duplicateValues" dxfId="8200" priority="10385" stopIfTrue="1"/>
  </conditionalFormatting>
  <conditionalFormatting sqref="C1778">
    <cfRule type="duplicateValues" dxfId="8199" priority="10386" stopIfTrue="1"/>
  </conditionalFormatting>
  <conditionalFormatting sqref="A1778">
    <cfRule type="duplicateValues" dxfId="8198" priority="10387" stopIfTrue="1"/>
  </conditionalFormatting>
  <conditionalFormatting sqref="R1778">
    <cfRule type="duplicateValues" dxfId="8197" priority="10388" stopIfTrue="1"/>
  </conditionalFormatting>
  <conditionalFormatting sqref="R1778">
    <cfRule type="duplicateValues" dxfId="8196" priority="10389" stopIfTrue="1"/>
  </conditionalFormatting>
  <conditionalFormatting sqref="A1778">
    <cfRule type="duplicateValues" dxfId="8195" priority="10369" stopIfTrue="1"/>
  </conditionalFormatting>
  <conditionalFormatting sqref="A1779">
    <cfRule type="duplicateValues" dxfId="8194" priority="10361" stopIfTrue="1"/>
  </conditionalFormatting>
  <conditionalFormatting sqref="A1779">
    <cfRule type="duplicateValues" dxfId="8193" priority="10360" stopIfTrue="1"/>
  </conditionalFormatting>
  <conditionalFormatting sqref="A1779">
    <cfRule type="duplicateValues" dxfId="8192" priority="10359" stopIfTrue="1"/>
  </conditionalFormatting>
  <conditionalFormatting sqref="A1779">
    <cfRule type="duplicateValues" dxfId="8191" priority="10358" stopIfTrue="1"/>
  </conditionalFormatting>
  <conditionalFormatting sqref="A1779">
    <cfRule type="duplicateValues" dxfId="8190" priority="10357" stopIfTrue="1"/>
  </conditionalFormatting>
  <conditionalFormatting sqref="A1779">
    <cfRule type="duplicateValues" dxfId="8189" priority="10356" stopIfTrue="1"/>
  </conditionalFormatting>
  <conditionalFormatting sqref="A1779">
    <cfRule type="duplicateValues" dxfId="8188" priority="10355" stopIfTrue="1"/>
  </conditionalFormatting>
  <conditionalFormatting sqref="A1779">
    <cfRule type="duplicateValues" dxfId="8187" priority="10354" stopIfTrue="1"/>
  </conditionalFormatting>
  <conditionalFormatting sqref="A1779">
    <cfRule type="duplicateValues" dxfId="8186" priority="10353" stopIfTrue="1"/>
  </conditionalFormatting>
  <conditionalFormatting sqref="A1779">
    <cfRule type="duplicateValues" dxfId="8185" priority="10352" stopIfTrue="1"/>
  </conditionalFormatting>
  <conditionalFormatting sqref="A1779">
    <cfRule type="duplicateValues" dxfId="8184" priority="10351" stopIfTrue="1"/>
  </conditionalFormatting>
  <conditionalFormatting sqref="A1779">
    <cfRule type="duplicateValues" dxfId="8183" priority="10350" stopIfTrue="1"/>
  </conditionalFormatting>
  <conditionalFormatting sqref="A1779">
    <cfRule type="duplicateValues" dxfId="8182" priority="10362" stopIfTrue="1"/>
  </conditionalFormatting>
  <conditionalFormatting sqref="A1779">
    <cfRule type="duplicateValues" dxfId="8181" priority="10349" stopIfTrue="1"/>
  </conditionalFormatting>
  <conditionalFormatting sqref="A1779">
    <cfRule type="duplicateValues" dxfId="8180" priority="10363" stopIfTrue="1"/>
  </conditionalFormatting>
  <conditionalFormatting sqref="A1779">
    <cfRule type="duplicateValues" dxfId="8179" priority="10364" stopIfTrue="1"/>
  </conditionalFormatting>
  <conditionalFormatting sqref="A1779">
    <cfRule type="duplicateValues" dxfId="8178" priority="10366" stopIfTrue="1"/>
  </conditionalFormatting>
  <conditionalFormatting sqref="R1779">
    <cfRule type="duplicateValues" dxfId="8177" priority="10367" stopIfTrue="1"/>
  </conditionalFormatting>
  <conditionalFormatting sqref="R1779">
    <cfRule type="duplicateValues" dxfId="8176" priority="10368" stopIfTrue="1"/>
  </conditionalFormatting>
  <conditionalFormatting sqref="A1779">
    <cfRule type="duplicateValues" dxfId="8175" priority="10348" stopIfTrue="1"/>
  </conditionalFormatting>
  <conditionalFormatting sqref="A1780">
    <cfRule type="duplicateValues" dxfId="8174" priority="10340" stopIfTrue="1"/>
  </conditionalFormatting>
  <conditionalFormatting sqref="A1780">
    <cfRule type="duplicateValues" dxfId="8173" priority="10339" stopIfTrue="1"/>
  </conditionalFormatting>
  <conditionalFormatting sqref="A1780">
    <cfRule type="duplicateValues" dxfId="8172" priority="10338" stopIfTrue="1"/>
  </conditionalFormatting>
  <conditionalFormatting sqref="A1780">
    <cfRule type="duplicateValues" dxfId="8171" priority="10337" stopIfTrue="1"/>
  </conditionalFormatting>
  <conditionalFormatting sqref="A1780">
    <cfRule type="duplicateValues" dxfId="8170" priority="10336" stopIfTrue="1"/>
  </conditionalFormatting>
  <conditionalFormatting sqref="A1780">
    <cfRule type="duplicateValues" dxfId="8169" priority="10335" stopIfTrue="1"/>
  </conditionalFormatting>
  <conditionalFormatting sqref="A1780">
    <cfRule type="duplicateValues" dxfId="8168" priority="10334" stopIfTrue="1"/>
  </conditionalFormatting>
  <conditionalFormatting sqref="A1780">
    <cfRule type="duplicateValues" dxfId="8167" priority="10333" stopIfTrue="1"/>
  </conditionalFormatting>
  <conditionalFormatting sqref="A1780">
    <cfRule type="duplicateValues" dxfId="8166" priority="10332" stopIfTrue="1"/>
  </conditionalFormatting>
  <conditionalFormatting sqref="A1780">
    <cfRule type="duplicateValues" dxfId="8165" priority="10331" stopIfTrue="1"/>
  </conditionalFormatting>
  <conditionalFormatting sqref="A1780">
    <cfRule type="duplicateValues" dxfId="8164" priority="10330" stopIfTrue="1"/>
  </conditionalFormatting>
  <conditionalFormatting sqref="A1780">
    <cfRule type="duplicateValues" dxfId="8163" priority="10329" stopIfTrue="1"/>
  </conditionalFormatting>
  <conditionalFormatting sqref="A1780">
    <cfRule type="duplicateValues" dxfId="8162" priority="10341" stopIfTrue="1"/>
  </conditionalFormatting>
  <conditionalFormatting sqref="A1780">
    <cfRule type="duplicateValues" dxfId="8161" priority="10328" stopIfTrue="1"/>
  </conditionalFormatting>
  <conditionalFormatting sqref="A1780">
    <cfRule type="duplicateValues" dxfId="8160" priority="10342" stopIfTrue="1"/>
  </conditionalFormatting>
  <conditionalFormatting sqref="A1780">
    <cfRule type="duplicateValues" dxfId="8159" priority="10343" stopIfTrue="1"/>
  </conditionalFormatting>
  <conditionalFormatting sqref="A1780">
    <cfRule type="duplicateValues" dxfId="8158" priority="10345" stopIfTrue="1"/>
  </conditionalFormatting>
  <conditionalFormatting sqref="R1780">
    <cfRule type="duplicateValues" dxfId="8157" priority="10346" stopIfTrue="1"/>
  </conditionalFormatting>
  <conditionalFormatting sqref="R1780">
    <cfRule type="duplicateValues" dxfId="8156" priority="10347" stopIfTrue="1"/>
  </conditionalFormatting>
  <conditionalFormatting sqref="A1780">
    <cfRule type="duplicateValues" dxfId="8155" priority="10327" stopIfTrue="1"/>
  </conditionalFormatting>
  <conditionalFormatting sqref="A1781">
    <cfRule type="duplicateValues" dxfId="8154" priority="10319" stopIfTrue="1"/>
  </conditionalFormatting>
  <conditionalFormatting sqref="A1781">
    <cfRule type="duplicateValues" dxfId="8153" priority="10318" stopIfTrue="1"/>
  </conditionalFormatting>
  <conditionalFormatting sqref="A1781">
    <cfRule type="duplicateValues" dxfId="8152" priority="10317" stopIfTrue="1"/>
  </conditionalFormatting>
  <conditionalFormatting sqref="A1781">
    <cfRule type="duplicateValues" dxfId="8151" priority="10316" stopIfTrue="1"/>
  </conditionalFormatting>
  <conditionalFormatting sqref="A1781">
    <cfRule type="duplicateValues" dxfId="8150" priority="10315" stopIfTrue="1"/>
  </conditionalFormatting>
  <conditionalFormatting sqref="A1781">
    <cfRule type="duplicateValues" dxfId="8149" priority="10314" stopIfTrue="1"/>
  </conditionalFormatting>
  <conditionalFormatting sqref="A1781">
    <cfRule type="duplicateValues" dxfId="8148" priority="10313" stopIfTrue="1"/>
  </conditionalFormatting>
  <conditionalFormatting sqref="A1781">
    <cfRule type="duplicateValues" dxfId="8147" priority="10312" stopIfTrue="1"/>
  </conditionalFormatting>
  <conditionalFormatting sqref="A1781">
    <cfRule type="duplicateValues" dxfId="8146" priority="10311" stopIfTrue="1"/>
  </conditionalFormatting>
  <conditionalFormatting sqref="A1781">
    <cfRule type="duplicateValues" dxfId="8145" priority="10310" stopIfTrue="1"/>
  </conditionalFormatting>
  <conditionalFormatting sqref="A1781">
    <cfRule type="duplicateValues" dxfId="8144" priority="10309" stopIfTrue="1"/>
  </conditionalFormatting>
  <conditionalFormatting sqref="A1781">
    <cfRule type="duplicateValues" dxfId="8143" priority="10308" stopIfTrue="1"/>
  </conditionalFormatting>
  <conditionalFormatting sqref="A1781">
    <cfRule type="duplicateValues" dxfId="8142" priority="10320" stopIfTrue="1"/>
  </conditionalFormatting>
  <conditionalFormatting sqref="A1781">
    <cfRule type="duplicateValues" dxfId="8141" priority="10307" stopIfTrue="1"/>
  </conditionalFormatting>
  <conditionalFormatting sqref="A1781">
    <cfRule type="duplicateValues" dxfId="8140" priority="10321" stopIfTrue="1"/>
  </conditionalFormatting>
  <conditionalFormatting sqref="A1781">
    <cfRule type="duplicateValues" dxfId="8139" priority="10322" stopIfTrue="1"/>
  </conditionalFormatting>
  <conditionalFormatting sqref="A1781">
    <cfRule type="duplicateValues" dxfId="8138" priority="10324" stopIfTrue="1"/>
  </conditionalFormatting>
  <conditionalFormatting sqref="R1781">
    <cfRule type="duplicateValues" dxfId="8137" priority="10325" stopIfTrue="1"/>
  </conditionalFormatting>
  <conditionalFormatting sqref="R1781">
    <cfRule type="duplicateValues" dxfId="8136" priority="10326" stopIfTrue="1"/>
  </conditionalFormatting>
  <conditionalFormatting sqref="A1781">
    <cfRule type="duplicateValues" dxfId="8135" priority="10306" stopIfTrue="1"/>
  </conditionalFormatting>
  <conditionalFormatting sqref="C1693">
    <cfRule type="duplicateValues" dxfId="8134" priority="10305" stopIfTrue="1"/>
  </conditionalFormatting>
  <conditionalFormatting sqref="C1694">
    <cfRule type="duplicateValues" dxfId="8133" priority="10304" stopIfTrue="1"/>
  </conditionalFormatting>
  <conditionalFormatting sqref="C1695">
    <cfRule type="duplicateValues" dxfId="8132" priority="10303" stopIfTrue="1"/>
  </conditionalFormatting>
  <conditionalFormatting sqref="C1697">
    <cfRule type="duplicateValues" dxfId="8131" priority="10302" stopIfTrue="1"/>
  </conditionalFormatting>
  <conditionalFormatting sqref="C1698">
    <cfRule type="duplicateValues" dxfId="8130" priority="10301" stopIfTrue="1"/>
  </conditionalFormatting>
  <conditionalFormatting sqref="C1699">
    <cfRule type="duplicateValues" dxfId="8129" priority="10300" stopIfTrue="1"/>
  </conditionalFormatting>
  <conditionalFormatting sqref="C1713">
    <cfRule type="duplicateValues" dxfId="8128" priority="10299" stopIfTrue="1"/>
  </conditionalFormatting>
  <conditionalFormatting sqref="C1714">
    <cfRule type="duplicateValues" dxfId="8127" priority="10298" stopIfTrue="1"/>
  </conditionalFormatting>
  <conditionalFormatting sqref="C1715">
    <cfRule type="duplicateValues" dxfId="8126" priority="10297" stopIfTrue="1"/>
  </conditionalFormatting>
  <conditionalFormatting sqref="C1717">
    <cfRule type="duplicateValues" dxfId="8125" priority="10296" stopIfTrue="1"/>
  </conditionalFormatting>
  <conditionalFormatting sqref="C1718">
    <cfRule type="duplicateValues" dxfId="8124" priority="10295" stopIfTrue="1"/>
  </conditionalFormatting>
  <conditionalFormatting sqref="C1719">
    <cfRule type="duplicateValues" dxfId="8123" priority="10294" stopIfTrue="1"/>
  </conditionalFormatting>
  <conditionalFormatting sqref="C1733">
    <cfRule type="duplicateValues" dxfId="8122" priority="10293" stopIfTrue="1"/>
  </conditionalFormatting>
  <conditionalFormatting sqref="C1734">
    <cfRule type="duplicateValues" dxfId="8121" priority="10292" stopIfTrue="1"/>
  </conditionalFormatting>
  <conditionalFormatting sqref="C1735">
    <cfRule type="duplicateValues" dxfId="8120" priority="10291" stopIfTrue="1"/>
  </conditionalFormatting>
  <conditionalFormatting sqref="C1737">
    <cfRule type="duplicateValues" dxfId="8119" priority="10290" stopIfTrue="1"/>
  </conditionalFormatting>
  <conditionalFormatting sqref="C1738">
    <cfRule type="duplicateValues" dxfId="8118" priority="10289" stopIfTrue="1"/>
  </conditionalFormatting>
  <conditionalFormatting sqref="C1739">
    <cfRule type="duplicateValues" dxfId="8117" priority="10288" stopIfTrue="1"/>
  </conditionalFormatting>
  <conditionalFormatting sqref="C1754">
    <cfRule type="duplicateValues" dxfId="8116" priority="10287" stopIfTrue="1"/>
  </conditionalFormatting>
  <conditionalFormatting sqref="C1755">
    <cfRule type="duplicateValues" dxfId="8115" priority="10286" stopIfTrue="1"/>
  </conditionalFormatting>
  <conditionalFormatting sqref="C1756">
    <cfRule type="duplicateValues" dxfId="8114" priority="10285" stopIfTrue="1"/>
  </conditionalFormatting>
  <conditionalFormatting sqref="C1758">
    <cfRule type="duplicateValues" dxfId="8113" priority="10284" stopIfTrue="1"/>
  </conditionalFormatting>
  <conditionalFormatting sqref="C1759">
    <cfRule type="duplicateValues" dxfId="8112" priority="10283" stopIfTrue="1"/>
  </conditionalFormatting>
  <conditionalFormatting sqref="C1760">
    <cfRule type="duplicateValues" dxfId="8111" priority="10282" stopIfTrue="1"/>
  </conditionalFormatting>
  <conditionalFormatting sqref="C1776">
    <cfRule type="duplicateValues" dxfId="8110" priority="10281" stopIfTrue="1"/>
  </conditionalFormatting>
  <conditionalFormatting sqref="C1777">
    <cfRule type="duplicateValues" dxfId="8109" priority="10280" stopIfTrue="1"/>
  </conditionalFormatting>
  <conditionalFormatting sqref="C1779">
    <cfRule type="duplicateValues" dxfId="8108" priority="10279" stopIfTrue="1"/>
  </conditionalFormatting>
  <conditionalFormatting sqref="C1780">
    <cfRule type="duplicateValues" dxfId="8107" priority="10278" stopIfTrue="1"/>
  </conditionalFormatting>
  <conditionalFormatting sqref="C1781">
    <cfRule type="duplicateValues" dxfId="8106" priority="10277" stopIfTrue="1"/>
  </conditionalFormatting>
  <conditionalFormatting sqref="A1540">
    <cfRule type="duplicateValues" dxfId="8105" priority="10275" stopIfTrue="1"/>
  </conditionalFormatting>
  <conditionalFormatting sqref="A1540">
    <cfRule type="duplicateValues" dxfId="8104" priority="10274" stopIfTrue="1"/>
  </conditionalFormatting>
  <conditionalFormatting sqref="A1540">
    <cfRule type="duplicateValues" dxfId="8103" priority="10273" stopIfTrue="1"/>
  </conditionalFormatting>
  <conditionalFormatting sqref="A1540">
    <cfRule type="duplicateValues" dxfId="8102" priority="10272" stopIfTrue="1"/>
  </conditionalFormatting>
  <conditionalFormatting sqref="A1540">
    <cfRule type="duplicateValues" dxfId="8101" priority="10271" stopIfTrue="1"/>
  </conditionalFormatting>
  <conditionalFormatting sqref="A1540">
    <cfRule type="duplicateValues" dxfId="8100" priority="10270" stopIfTrue="1"/>
  </conditionalFormatting>
  <conditionalFormatting sqref="A1540">
    <cfRule type="duplicateValues" dxfId="8099" priority="10269" stopIfTrue="1"/>
  </conditionalFormatting>
  <conditionalFormatting sqref="A1540">
    <cfRule type="duplicateValues" dxfId="8098" priority="10268" stopIfTrue="1"/>
  </conditionalFormatting>
  <conditionalFormatting sqref="A1540">
    <cfRule type="duplicateValues" dxfId="8097" priority="10267" stopIfTrue="1"/>
  </conditionalFormatting>
  <conditionalFormatting sqref="A1540">
    <cfRule type="duplicateValues" dxfId="8096" priority="10266" stopIfTrue="1"/>
  </conditionalFormatting>
  <conditionalFormatting sqref="A1540">
    <cfRule type="duplicateValues" dxfId="8095" priority="10265" stopIfTrue="1"/>
  </conditionalFormatting>
  <conditionalFormatting sqref="A1540">
    <cfRule type="duplicateValues" dxfId="8094" priority="10264" stopIfTrue="1"/>
  </conditionalFormatting>
  <conditionalFormatting sqref="A1540">
    <cfRule type="duplicateValues" dxfId="8093" priority="10263" stopIfTrue="1"/>
  </conditionalFormatting>
  <conditionalFormatting sqref="A1540">
    <cfRule type="duplicateValues" dxfId="8092" priority="10262" stopIfTrue="1"/>
  </conditionalFormatting>
  <conditionalFormatting sqref="A1540">
    <cfRule type="duplicateValues" dxfId="8091" priority="10276" stopIfTrue="1"/>
  </conditionalFormatting>
  <conditionalFormatting sqref="A1540">
    <cfRule type="duplicateValues" dxfId="8090" priority="10261" stopIfTrue="1"/>
  </conditionalFormatting>
  <conditionalFormatting sqref="C1540">
    <cfRule type="duplicateValues" dxfId="8089" priority="10260" stopIfTrue="1"/>
  </conditionalFormatting>
  <conditionalFormatting sqref="A1540">
    <cfRule type="duplicateValues" dxfId="8088" priority="10259" stopIfTrue="1"/>
  </conditionalFormatting>
  <conditionalFormatting sqref="A1540">
    <cfRule type="duplicateValues" dxfId="8087" priority="10258" stopIfTrue="1"/>
  </conditionalFormatting>
  <conditionalFormatting sqref="A1540">
    <cfRule type="duplicateValues" dxfId="8086" priority="10257" stopIfTrue="1"/>
  </conditionalFormatting>
  <conditionalFormatting sqref="A1540">
    <cfRule type="duplicateValues" dxfId="8085" priority="10256" stopIfTrue="1"/>
  </conditionalFormatting>
  <conditionalFormatting sqref="A1540">
    <cfRule type="duplicateValues" dxfId="8084" priority="10255" stopIfTrue="1"/>
  </conditionalFormatting>
  <conditionalFormatting sqref="A1540">
    <cfRule type="duplicateValues" dxfId="8083" priority="10254" stopIfTrue="1"/>
  </conditionalFormatting>
  <conditionalFormatting sqref="A1539">
    <cfRule type="duplicateValues" dxfId="8082" priority="10252" stopIfTrue="1"/>
  </conditionalFormatting>
  <conditionalFormatting sqref="A1539">
    <cfRule type="duplicateValues" dxfId="8081" priority="10251" stopIfTrue="1"/>
  </conditionalFormatting>
  <conditionalFormatting sqref="A1539">
    <cfRule type="duplicateValues" dxfId="8080" priority="10250" stopIfTrue="1"/>
  </conditionalFormatting>
  <conditionalFormatting sqref="A1539">
    <cfRule type="duplicateValues" dxfId="8079" priority="10249" stopIfTrue="1"/>
  </conditionalFormatting>
  <conditionalFormatting sqref="A1539">
    <cfRule type="duplicateValues" dxfId="8078" priority="10248" stopIfTrue="1"/>
  </conditionalFormatting>
  <conditionalFormatting sqref="A1539">
    <cfRule type="duplicateValues" dxfId="8077" priority="10247" stopIfTrue="1"/>
  </conditionalFormatting>
  <conditionalFormatting sqref="A1539">
    <cfRule type="duplicateValues" dxfId="8076" priority="10246" stopIfTrue="1"/>
  </conditionalFormatting>
  <conditionalFormatting sqref="A1539">
    <cfRule type="duplicateValues" dxfId="8075" priority="10245" stopIfTrue="1"/>
  </conditionalFormatting>
  <conditionalFormatting sqref="A1539">
    <cfRule type="duplicateValues" dxfId="8074" priority="10244" stopIfTrue="1"/>
  </conditionalFormatting>
  <conditionalFormatting sqref="A1539">
    <cfRule type="duplicateValues" dxfId="8073" priority="10243" stopIfTrue="1"/>
  </conditionalFormatting>
  <conditionalFormatting sqref="A1539">
    <cfRule type="duplicateValues" dxfId="8072" priority="10242" stopIfTrue="1"/>
  </conditionalFormatting>
  <conditionalFormatting sqref="A1539">
    <cfRule type="duplicateValues" dxfId="8071" priority="10241" stopIfTrue="1"/>
  </conditionalFormatting>
  <conditionalFormatting sqref="A1539">
    <cfRule type="duplicateValues" dxfId="8070" priority="10240" stopIfTrue="1"/>
  </conditionalFormatting>
  <conditionalFormatting sqref="A1539">
    <cfRule type="duplicateValues" dxfId="8069" priority="10239" stopIfTrue="1"/>
  </conditionalFormatting>
  <conditionalFormatting sqref="A1539">
    <cfRule type="duplicateValues" dxfId="8068" priority="10253" stopIfTrue="1"/>
  </conditionalFormatting>
  <conditionalFormatting sqref="A1539">
    <cfRule type="duplicateValues" dxfId="8067" priority="10238" stopIfTrue="1"/>
  </conditionalFormatting>
  <conditionalFormatting sqref="C1539">
    <cfRule type="duplicateValues" dxfId="8066" priority="10237" stopIfTrue="1"/>
  </conditionalFormatting>
  <conditionalFormatting sqref="A1539">
    <cfRule type="duplicateValues" dxfId="8065" priority="10236" stopIfTrue="1"/>
  </conditionalFormatting>
  <conditionalFormatting sqref="A1539">
    <cfRule type="duplicateValues" dxfId="8064" priority="10235" stopIfTrue="1"/>
  </conditionalFormatting>
  <conditionalFormatting sqref="A1539">
    <cfRule type="duplicateValues" dxfId="8063" priority="10234" stopIfTrue="1"/>
  </conditionalFormatting>
  <conditionalFormatting sqref="A1539">
    <cfRule type="duplicateValues" dxfId="8062" priority="10233" stopIfTrue="1"/>
  </conditionalFormatting>
  <conditionalFormatting sqref="A1539">
    <cfRule type="duplicateValues" dxfId="8061" priority="10232" stopIfTrue="1"/>
  </conditionalFormatting>
  <conditionalFormatting sqref="A1539">
    <cfRule type="duplicateValues" dxfId="8060" priority="10231" stopIfTrue="1"/>
  </conditionalFormatting>
  <conditionalFormatting sqref="A1541">
    <cfRule type="duplicateValues" dxfId="8059" priority="10229" stopIfTrue="1"/>
  </conditionalFormatting>
  <conditionalFormatting sqref="A1541">
    <cfRule type="duplicateValues" dxfId="8058" priority="10228" stopIfTrue="1"/>
  </conditionalFormatting>
  <conditionalFormatting sqref="A1541">
    <cfRule type="duplicateValues" dxfId="8057" priority="10227" stopIfTrue="1"/>
  </conditionalFormatting>
  <conditionalFormatting sqref="A1541">
    <cfRule type="duplicateValues" dxfId="8056" priority="10226" stopIfTrue="1"/>
  </conditionalFormatting>
  <conditionalFormatting sqref="A1541">
    <cfRule type="duplicateValues" dxfId="8055" priority="10225" stopIfTrue="1"/>
  </conditionalFormatting>
  <conditionalFormatting sqref="A1541">
    <cfRule type="duplicateValues" dxfId="8054" priority="10224" stopIfTrue="1"/>
  </conditionalFormatting>
  <conditionalFormatting sqref="A1541">
    <cfRule type="duplicateValues" dxfId="8053" priority="10223" stopIfTrue="1"/>
  </conditionalFormatting>
  <conditionalFormatting sqref="A1541">
    <cfRule type="duplicateValues" dxfId="8052" priority="10222" stopIfTrue="1"/>
  </conditionalFormatting>
  <conditionalFormatting sqref="A1541">
    <cfRule type="duplicateValues" dxfId="8051" priority="10221" stopIfTrue="1"/>
  </conditionalFormatting>
  <conditionalFormatting sqref="A1541">
    <cfRule type="duplicateValues" dxfId="8050" priority="10220" stopIfTrue="1"/>
  </conditionalFormatting>
  <conditionalFormatting sqref="A1541">
    <cfRule type="duplicateValues" dxfId="8049" priority="10219" stopIfTrue="1"/>
  </conditionalFormatting>
  <conditionalFormatting sqref="A1541">
    <cfRule type="duplicateValues" dxfId="8048" priority="10218" stopIfTrue="1"/>
  </conditionalFormatting>
  <conditionalFormatting sqref="A1541">
    <cfRule type="duplicateValues" dxfId="8047" priority="10217" stopIfTrue="1"/>
  </conditionalFormatting>
  <conditionalFormatting sqref="A1541">
    <cfRule type="duplicateValues" dxfId="8046" priority="10216" stopIfTrue="1"/>
  </conditionalFormatting>
  <conditionalFormatting sqref="A1541">
    <cfRule type="duplicateValues" dxfId="8045" priority="10230" stopIfTrue="1"/>
  </conditionalFormatting>
  <conditionalFormatting sqref="A1541">
    <cfRule type="duplicateValues" dxfId="8044" priority="10215" stopIfTrue="1"/>
  </conditionalFormatting>
  <conditionalFormatting sqref="C1541">
    <cfRule type="duplicateValues" dxfId="8043" priority="10214" stopIfTrue="1"/>
  </conditionalFormatting>
  <conditionalFormatting sqref="A1541">
    <cfRule type="duplicateValues" dxfId="8042" priority="10213" stopIfTrue="1"/>
  </conditionalFormatting>
  <conditionalFormatting sqref="A1541">
    <cfRule type="duplicateValues" dxfId="8041" priority="10212" stopIfTrue="1"/>
  </conditionalFormatting>
  <conditionalFormatting sqref="A1541">
    <cfRule type="duplicateValues" dxfId="8040" priority="10211" stopIfTrue="1"/>
  </conditionalFormatting>
  <conditionalFormatting sqref="A1541">
    <cfRule type="duplicateValues" dxfId="8039" priority="10210" stopIfTrue="1"/>
  </conditionalFormatting>
  <conditionalFormatting sqref="A1541">
    <cfRule type="duplicateValues" dxfId="8038" priority="10209" stopIfTrue="1"/>
  </conditionalFormatting>
  <conditionalFormatting sqref="A1541">
    <cfRule type="duplicateValues" dxfId="8037" priority="10208" stopIfTrue="1"/>
  </conditionalFormatting>
  <conditionalFormatting sqref="A1542">
    <cfRule type="duplicateValues" dxfId="8036" priority="10206" stopIfTrue="1"/>
  </conditionalFormatting>
  <conditionalFormatting sqref="A1542">
    <cfRule type="duplicateValues" dxfId="8035" priority="10205" stopIfTrue="1"/>
  </conditionalFormatting>
  <conditionalFormatting sqref="A1542">
    <cfRule type="duplicateValues" dxfId="8034" priority="10204" stopIfTrue="1"/>
  </conditionalFormatting>
  <conditionalFormatting sqref="A1542">
    <cfRule type="duplicateValues" dxfId="8033" priority="10203" stopIfTrue="1"/>
  </conditionalFormatting>
  <conditionalFormatting sqref="A1542">
    <cfRule type="duplicateValues" dxfId="8032" priority="10202" stopIfTrue="1"/>
  </conditionalFormatting>
  <conditionalFormatting sqref="A1542">
    <cfRule type="duplicateValues" dxfId="8031" priority="10201" stopIfTrue="1"/>
  </conditionalFormatting>
  <conditionalFormatting sqref="A1542">
    <cfRule type="duplicateValues" dxfId="8030" priority="10200" stopIfTrue="1"/>
  </conditionalFormatting>
  <conditionalFormatting sqref="A1542">
    <cfRule type="duplicateValues" dxfId="8029" priority="10199" stopIfTrue="1"/>
  </conditionalFormatting>
  <conditionalFormatting sqref="A1542">
    <cfRule type="duplicateValues" dxfId="8028" priority="10198" stopIfTrue="1"/>
  </conditionalFormatting>
  <conditionalFormatting sqref="A1542">
    <cfRule type="duplicateValues" dxfId="8027" priority="10197" stopIfTrue="1"/>
  </conditionalFormatting>
  <conditionalFormatting sqref="A1542">
    <cfRule type="duplicateValues" dxfId="8026" priority="10196" stopIfTrue="1"/>
  </conditionalFormatting>
  <conditionalFormatting sqref="A1542">
    <cfRule type="duplicateValues" dxfId="8025" priority="10195" stopIfTrue="1"/>
  </conditionalFormatting>
  <conditionalFormatting sqref="A1542">
    <cfRule type="duplicateValues" dxfId="8024" priority="10194" stopIfTrue="1"/>
  </conditionalFormatting>
  <conditionalFormatting sqref="A1542">
    <cfRule type="duplicateValues" dxfId="8023" priority="10193" stopIfTrue="1"/>
  </conditionalFormatting>
  <conditionalFormatting sqref="A1542">
    <cfRule type="duplicateValues" dxfId="8022" priority="10207" stopIfTrue="1"/>
  </conditionalFormatting>
  <conditionalFormatting sqref="A1542">
    <cfRule type="duplicateValues" dxfId="8021" priority="10192" stopIfTrue="1"/>
  </conditionalFormatting>
  <conditionalFormatting sqref="C1542">
    <cfRule type="duplicateValues" dxfId="8020" priority="10191" stopIfTrue="1"/>
  </conditionalFormatting>
  <conditionalFormatting sqref="A1542">
    <cfRule type="duplicateValues" dxfId="8019" priority="10190" stopIfTrue="1"/>
  </conditionalFormatting>
  <conditionalFormatting sqref="A1542">
    <cfRule type="duplicateValues" dxfId="8018" priority="10189" stopIfTrue="1"/>
  </conditionalFormatting>
  <conditionalFormatting sqref="A1542">
    <cfRule type="duplicateValues" dxfId="8017" priority="10188" stopIfTrue="1"/>
  </conditionalFormatting>
  <conditionalFormatting sqref="A1542">
    <cfRule type="duplicateValues" dxfId="8016" priority="10187" stopIfTrue="1"/>
  </conditionalFormatting>
  <conditionalFormatting sqref="A1542">
    <cfRule type="duplicateValues" dxfId="8015" priority="10186" stopIfTrue="1"/>
  </conditionalFormatting>
  <conditionalFormatting sqref="A1542">
    <cfRule type="duplicateValues" dxfId="8014" priority="10185" stopIfTrue="1"/>
  </conditionalFormatting>
  <conditionalFormatting sqref="A1125">
    <cfRule type="duplicateValues" dxfId="8013" priority="10183" stopIfTrue="1"/>
  </conditionalFormatting>
  <conditionalFormatting sqref="A1125">
    <cfRule type="duplicateValues" dxfId="8012" priority="10182" stopIfTrue="1"/>
  </conditionalFormatting>
  <conditionalFormatting sqref="A1125">
    <cfRule type="duplicateValues" dxfId="8011" priority="10181" stopIfTrue="1"/>
  </conditionalFormatting>
  <conditionalFormatting sqref="A1125">
    <cfRule type="duplicateValues" dxfId="8010" priority="10180" stopIfTrue="1"/>
  </conditionalFormatting>
  <conditionalFormatting sqref="A1125">
    <cfRule type="duplicateValues" dxfId="8009" priority="10179" stopIfTrue="1"/>
  </conditionalFormatting>
  <conditionalFormatting sqref="A1125">
    <cfRule type="duplicateValues" dxfId="8008" priority="10178" stopIfTrue="1"/>
  </conditionalFormatting>
  <conditionalFormatting sqref="A1125">
    <cfRule type="duplicateValues" dxfId="8007" priority="10177" stopIfTrue="1"/>
  </conditionalFormatting>
  <conditionalFormatting sqref="A1125">
    <cfRule type="duplicateValues" dxfId="8006" priority="10176" stopIfTrue="1"/>
  </conditionalFormatting>
  <conditionalFormatting sqref="A1125">
    <cfRule type="duplicateValues" dxfId="8005" priority="10175" stopIfTrue="1"/>
  </conditionalFormatting>
  <conditionalFormatting sqref="A1125">
    <cfRule type="duplicateValues" dxfId="8004" priority="10174" stopIfTrue="1"/>
  </conditionalFormatting>
  <conditionalFormatting sqref="A1125">
    <cfRule type="duplicateValues" dxfId="8003" priority="10173" stopIfTrue="1"/>
  </conditionalFormatting>
  <conditionalFormatting sqref="A1125">
    <cfRule type="duplicateValues" dxfId="8002" priority="10172" stopIfTrue="1"/>
  </conditionalFormatting>
  <conditionalFormatting sqref="A1125">
    <cfRule type="duplicateValues" dxfId="8001" priority="10171" stopIfTrue="1"/>
  </conditionalFormatting>
  <conditionalFormatting sqref="A1125">
    <cfRule type="duplicateValues" dxfId="8000" priority="10170" stopIfTrue="1"/>
  </conditionalFormatting>
  <conditionalFormatting sqref="A1125">
    <cfRule type="duplicateValues" dxfId="7999" priority="10169" stopIfTrue="1"/>
  </conditionalFormatting>
  <conditionalFormatting sqref="A1125">
    <cfRule type="duplicateValues" dxfId="7998" priority="10184" stopIfTrue="1"/>
  </conditionalFormatting>
  <conditionalFormatting sqref="A1125">
    <cfRule type="duplicateValues" dxfId="7997" priority="10168" stopIfTrue="1"/>
  </conditionalFormatting>
  <conditionalFormatting sqref="C1125">
    <cfRule type="duplicateValues" dxfId="7996" priority="10167" stopIfTrue="1"/>
  </conditionalFormatting>
  <conditionalFormatting sqref="A1125">
    <cfRule type="duplicateValues" dxfId="7995" priority="10166" stopIfTrue="1"/>
  </conditionalFormatting>
  <conditionalFormatting sqref="A1125">
    <cfRule type="duplicateValues" dxfId="7994" priority="10165" stopIfTrue="1"/>
  </conditionalFormatting>
  <conditionalFormatting sqref="A1125">
    <cfRule type="duplicateValues" dxfId="7993" priority="10164" stopIfTrue="1"/>
  </conditionalFormatting>
  <conditionalFormatting sqref="A1125">
    <cfRule type="duplicateValues" dxfId="7992" priority="10163" stopIfTrue="1"/>
  </conditionalFormatting>
  <conditionalFormatting sqref="A1125">
    <cfRule type="duplicateValues" dxfId="7991" priority="10162" stopIfTrue="1"/>
  </conditionalFormatting>
  <conditionalFormatting sqref="A1125">
    <cfRule type="duplicateValues" dxfId="7990" priority="10161" stopIfTrue="1"/>
  </conditionalFormatting>
  <conditionalFormatting sqref="A1899:A66161 A1681:A1699 A1533:A1542 A1 A1044:A1062 A1124:A1125 A1529:A1531 A1065:A1070 A1150:A1151 A1490 A1498:A1500 A1702:A1719 A1722:A1739 A1742:A1760 A1763:A1781 A362:A529 A1074:A1119 A531:A1041 A357 A1433:A1448 A1159:A1162 A1512:A1524 A1466:A1488 A1450:A1464 A1164:A1408 A1427">
    <cfRule type="duplicateValues" dxfId="7989" priority="10160" stopIfTrue="1"/>
  </conditionalFormatting>
  <conditionalFormatting sqref="A1543">
    <cfRule type="duplicateValues" dxfId="7988" priority="10158" stopIfTrue="1"/>
  </conditionalFormatting>
  <conditionalFormatting sqref="A1543">
    <cfRule type="duplicateValues" dxfId="7987" priority="10157" stopIfTrue="1"/>
  </conditionalFormatting>
  <conditionalFormatting sqref="A1543">
    <cfRule type="duplicateValues" dxfId="7986" priority="10156" stopIfTrue="1"/>
  </conditionalFormatting>
  <conditionalFormatting sqref="A1543">
    <cfRule type="duplicateValues" dxfId="7985" priority="10155" stopIfTrue="1"/>
  </conditionalFormatting>
  <conditionalFormatting sqref="A1543">
    <cfRule type="duplicateValues" dxfId="7984" priority="10154" stopIfTrue="1"/>
  </conditionalFormatting>
  <conditionalFormatting sqref="A1543">
    <cfRule type="duplicateValues" dxfId="7983" priority="10153" stopIfTrue="1"/>
  </conditionalFormatting>
  <conditionalFormatting sqref="A1543">
    <cfRule type="duplicateValues" dxfId="7982" priority="10152" stopIfTrue="1"/>
  </conditionalFormatting>
  <conditionalFormatting sqref="A1543">
    <cfRule type="duplicateValues" dxfId="7981" priority="10151" stopIfTrue="1"/>
  </conditionalFormatting>
  <conditionalFormatting sqref="A1543">
    <cfRule type="duplicateValues" dxfId="7980" priority="10150" stopIfTrue="1"/>
  </conditionalFormatting>
  <conditionalFormatting sqref="A1543">
    <cfRule type="duplicateValues" dxfId="7979" priority="10149" stopIfTrue="1"/>
  </conditionalFormatting>
  <conditionalFormatting sqref="A1543">
    <cfRule type="duplicateValues" dxfId="7978" priority="10148" stopIfTrue="1"/>
  </conditionalFormatting>
  <conditionalFormatting sqref="A1543">
    <cfRule type="duplicateValues" dxfId="7977" priority="10147" stopIfTrue="1"/>
  </conditionalFormatting>
  <conditionalFormatting sqref="A1543">
    <cfRule type="duplicateValues" dxfId="7976" priority="10146" stopIfTrue="1"/>
  </conditionalFormatting>
  <conditionalFormatting sqref="A1543">
    <cfRule type="duplicateValues" dxfId="7975" priority="10145" stopIfTrue="1"/>
  </conditionalFormatting>
  <conditionalFormatting sqref="A1543">
    <cfRule type="duplicateValues" dxfId="7974" priority="10159" stopIfTrue="1"/>
  </conditionalFormatting>
  <conditionalFormatting sqref="A1543">
    <cfRule type="duplicateValues" dxfId="7973" priority="10144" stopIfTrue="1"/>
  </conditionalFormatting>
  <conditionalFormatting sqref="C1543">
    <cfRule type="duplicateValues" dxfId="7972" priority="10143" stopIfTrue="1"/>
  </conditionalFormatting>
  <conditionalFormatting sqref="A1543">
    <cfRule type="duplicateValues" dxfId="7971" priority="10142" stopIfTrue="1"/>
  </conditionalFormatting>
  <conditionalFormatting sqref="A1543">
    <cfRule type="duplicateValues" dxfId="7970" priority="10141" stopIfTrue="1"/>
  </conditionalFormatting>
  <conditionalFormatting sqref="A1543">
    <cfRule type="duplicateValues" dxfId="7969" priority="10140" stopIfTrue="1"/>
  </conditionalFormatting>
  <conditionalFormatting sqref="A1543">
    <cfRule type="duplicateValues" dxfId="7968" priority="10139" stopIfTrue="1"/>
  </conditionalFormatting>
  <conditionalFormatting sqref="A1543">
    <cfRule type="duplicateValues" dxfId="7967" priority="10138" stopIfTrue="1"/>
  </conditionalFormatting>
  <conditionalFormatting sqref="A1543">
    <cfRule type="duplicateValues" dxfId="7966" priority="10137" stopIfTrue="1"/>
  </conditionalFormatting>
  <conditionalFormatting sqref="A1543">
    <cfRule type="duplicateValues" dxfId="7965" priority="10136" stopIfTrue="1"/>
  </conditionalFormatting>
  <conditionalFormatting sqref="A1544">
    <cfRule type="duplicateValues" dxfId="7964" priority="10134" stopIfTrue="1"/>
  </conditionalFormatting>
  <conditionalFormatting sqref="A1544">
    <cfRule type="duplicateValues" dxfId="7963" priority="10133" stopIfTrue="1"/>
  </conditionalFormatting>
  <conditionalFormatting sqref="A1544">
    <cfRule type="duplicateValues" dxfId="7962" priority="10132" stopIfTrue="1"/>
  </conditionalFormatting>
  <conditionalFormatting sqref="A1544">
    <cfRule type="duplicateValues" dxfId="7961" priority="10131" stopIfTrue="1"/>
  </conditionalFormatting>
  <conditionalFormatting sqref="A1544">
    <cfRule type="duplicateValues" dxfId="7960" priority="10130" stopIfTrue="1"/>
  </conditionalFormatting>
  <conditionalFormatting sqref="A1544">
    <cfRule type="duplicateValues" dxfId="7959" priority="10129" stopIfTrue="1"/>
  </conditionalFormatting>
  <conditionalFormatting sqref="A1544">
    <cfRule type="duplicateValues" dxfId="7958" priority="10128" stopIfTrue="1"/>
  </conditionalFormatting>
  <conditionalFormatting sqref="A1544">
    <cfRule type="duplicateValues" dxfId="7957" priority="10127" stopIfTrue="1"/>
  </conditionalFormatting>
  <conditionalFormatting sqref="A1544">
    <cfRule type="duplicateValues" dxfId="7956" priority="10126" stopIfTrue="1"/>
  </conditionalFormatting>
  <conditionalFormatting sqref="A1544">
    <cfRule type="duplicateValues" dxfId="7955" priority="10125" stopIfTrue="1"/>
  </conditionalFormatting>
  <conditionalFormatting sqref="A1544">
    <cfRule type="duplicateValues" dxfId="7954" priority="10124" stopIfTrue="1"/>
  </conditionalFormatting>
  <conditionalFormatting sqref="A1544">
    <cfRule type="duplicateValues" dxfId="7953" priority="10123" stopIfTrue="1"/>
  </conditionalFormatting>
  <conditionalFormatting sqref="A1544">
    <cfRule type="duplicateValues" dxfId="7952" priority="10122" stopIfTrue="1"/>
  </conditionalFormatting>
  <conditionalFormatting sqref="A1544">
    <cfRule type="duplicateValues" dxfId="7951" priority="10121" stopIfTrue="1"/>
  </conditionalFormatting>
  <conditionalFormatting sqref="A1544">
    <cfRule type="duplicateValues" dxfId="7950" priority="10135" stopIfTrue="1"/>
  </conditionalFormatting>
  <conditionalFormatting sqref="A1544">
    <cfRule type="duplicateValues" dxfId="7949" priority="10120" stopIfTrue="1"/>
  </conditionalFormatting>
  <conditionalFormatting sqref="C1544">
    <cfRule type="duplicateValues" dxfId="7948" priority="10119" stopIfTrue="1"/>
  </conditionalFormatting>
  <conditionalFormatting sqref="A1544">
    <cfRule type="duplicateValues" dxfId="7947" priority="10118" stopIfTrue="1"/>
  </conditionalFormatting>
  <conditionalFormatting sqref="A1544">
    <cfRule type="duplicateValues" dxfId="7946" priority="10117" stopIfTrue="1"/>
  </conditionalFormatting>
  <conditionalFormatting sqref="A1544">
    <cfRule type="duplicateValues" dxfId="7945" priority="10116" stopIfTrue="1"/>
  </conditionalFormatting>
  <conditionalFormatting sqref="A1544">
    <cfRule type="duplicateValues" dxfId="7944" priority="10115" stopIfTrue="1"/>
  </conditionalFormatting>
  <conditionalFormatting sqref="A1544">
    <cfRule type="duplicateValues" dxfId="7943" priority="10114" stopIfTrue="1"/>
  </conditionalFormatting>
  <conditionalFormatting sqref="A1544">
    <cfRule type="duplicateValues" dxfId="7942" priority="10113" stopIfTrue="1"/>
  </conditionalFormatting>
  <conditionalFormatting sqref="A1544">
    <cfRule type="duplicateValues" dxfId="7941" priority="10112" stopIfTrue="1"/>
  </conditionalFormatting>
  <conditionalFormatting sqref="A1489">
    <cfRule type="duplicateValues" dxfId="7940" priority="10110" stopIfTrue="1"/>
  </conditionalFormatting>
  <conditionalFormatting sqref="A1489">
    <cfRule type="duplicateValues" dxfId="7939" priority="10109" stopIfTrue="1"/>
  </conditionalFormatting>
  <conditionalFormatting sqref="A1489">
    <cfRule type="duplicateValues" dxfId="7938" priority="10108" stopIfTrue="1"/>
  </conditionalFormatting>
  <conditionalFormatting sqref="A1489">
    <cfRule type="duplicateValues" dxfId="7937" priority="10107" stopIfTrue="1"/>
  </conditionalFormatting>
  <conditionalFormatting sqref="A1489">
    <cfRule type="duplicateValues" dxfId="7936" priority="10106" stopIfTrue="1"/>
  </conditionalFormatting>
  <conditionalFormatting sqref="A1489">
    <cfRule type="duplicateValues" dxfId="7935" priority="10105" stopIfTrue="1"/>
  </conditionalFormatting>
  <conditionalFormatting sqref="A1489">
    <cfRule type="duplicateValues" dxfId="7934" priority="10104" stopIfTrue="1"/>
  </conditionalFormatting>
  <conditionalFormatting sqref="A1489">
    <cfRule type="duplicateValues" dxfId="7933" priority="10103" stopIfTrue="1"/>
  </conditionalFormatting>
  <conditionalFormatting sqref="A1489">
    <cfRule type="duplicateValues" dxfId="7932" priority="10102" stopIfTrue="1"/>
  </conditionalFormatting>
  <conditionalFormatting sqref="A1489">
    <cfRule type="duplicateValues" dxfId="7931" priority="10101" stopIfTrue="1"/>
  </conditionalFormatting>
  <conditionalFormatting sqref="A1489">
    <cfRule type="duplicateValues" dxfId="7930" priority="10100" stopIfTrue="1"/>
  </conditionalFormatting>
  <conditionalFormatting sqref="A1489">
    <cfRule type="duplicateValues" dxfId="7929" priority="10099" stopIfTrue="1"/>
  </conditionalFormatting>
  <conditionalFormatting sqref="A1489">
    <cfRule type="duplicateValues" dxfId="7928" priority="10098" stopIfTrue="1"/>
  </conditionalFormatting>
  <conditionalFormatting sqref="A1489">
    <cfRule type="duplicateValues" dxfId="7927" priority="10097" stopIfTrue="1"/>
  </conditionalFormatting>
  <conditionalFormatting sqref="A1489">
    <cfRule type="duplicateValues" dxfId="7926" priority="10111" stopIfTrue="1"/>
  </conditionalFormatting>
  <conditionalFormatting sqref="A1489">
    <cfRule type="duplicateValues" dxfId="7925" priority="10096" stopIfTrue="1"/>
  </conditionalFormatting>
  <conditionalFormatting sqref="A1489">
    <cfRule type="duplicateValues" dxfId="7924" priority="10095" stopIfTrue="1"/>
  </conditionalFormatting>
  <conditionalFormatting sqref="A1489">
    <cfRule type="duplicateValues" dxfId="7923" priority="10094" stopIfTrue="1"/>
  </conditionalFormatting>
  <conditionalFormatting sqref="A1489">
    <cfRule type="duplicateValues" dxfId="7922" priority="10093" stopIfTrue="1"/>
  </conditionalFormatting>
  <conditionalFormatting sqref="A1489">
    <cfRule type="duplicateValues" dxfId="7921" priority="10092" stopIfTrue="1"/>
  </conditionalFormatting>
  <conditionalFormatting sqref="A1489">
    <cfRule type="duplicateValues" dxfId="7920" priority="10091" stopIfTrue="1"/>
  </conditionalFormatting>
  <conditionalFormatting sqref="C1489">
    <cfRule type="duplicateValues" dxfId="7919" priority="10090" stopIfTrue="1"/>
  </conditionalFormatting>
  <conditionalFormatting sqref="A1489">
    <cfRule type="duplicateValues" dxfId="7918" priority="10089" stopIfTrue="1"/>
  </conditionalFormatting>
  <conditionalFormatting sqref="A1489">
    <cfRule type="duplicateValues" dxfId="7917" priority="10088" stopIfTrue="1"/>
  </conditionalFormatting>
  <conditionalFormatting sqref="A1899:A66161 A1681:A1699 A1533:A1544 A1 A1044:A1062 A1124:A1125 A1529:A1531 A1065:A1070 A1150:A1151 A1498:A1500 A1702:A1719 A1722:A1739 A1742:A1760 A1763:A1781 A362:A529 A1074:A1119 A531:A1041 A357 A1433:A1448 A1159:A1162 A1512:A1524 A1466:A1490 A1450:A1464 A1164:A1408 A1427">
    <cfRule type="duplicateValues" dxfId="7916" priority="10063" stopIfTrue="1"/>
  </conditionalFormatting>
  <conditionalFormatting sqref="A1532">
    <cfRule type="duplicateValues" dxfId="7915" priority="10035" stopIfTrue="1"/>
  </conditionalFormatting>
  <conditionalFormatting sqref="A1532">
    <cfRule type="duplicateValues" dxfId="7914" priority="10034" stopIfTrue="1"/>
  </conditionalFormatting>
  <conditionalFormatting sqref="A1532">
    <cfRule type="duplicateValues" dxfId="7913" priority="10033" stopIfTrue="1"/>
  </conditionalFormatting>
  <conditionalFormatting sqref="A1532">
    <cfRule type="duplicateValues" dxfId="7912" priority="10032" stopIfTrue="1"/>
  </conditionalFormatting>
  <conditionalFormatting sqref="A1532">
    <cfRule type="duplicateValues" dxfId="7911" priority="10031" stopIfTrue="1"/>
  </conditionalFormatting>
  <conditionalFormatting sqref="A1532">
    <cfRule type="duplicateValues" dxfId="7910" priority="10030" stopIfTrue="1"/>
  </conditionalFormatting>
  <conditionalFormatting sqref="A1532">
    <cfRule type="duplicateValues" dxfId="7909" priority="10029" stopIfTrue="1"/>
  </conditionalFormatting>
  <conditionalFormatting sqref="A1532">
    <cfRule type="duplicateValues" dxfId="7908" priority="10028" stopIfTrue="1"/>
  </conditionalFormatting>
  <conditionalFormatting sqref="A1532">
    <cfRule type="duplicateValues" dxfId="7907" priority="10027" stopIfTrue="1"/>
  </conditionalFormatting>
  <conditionalFormatting sqref="A1532">
    <cfRule type="duplicateValues" dxfId="7906" priority="10026" stopIfTrue="1"/>
  </conditionalFormatting>
  <conditionalFormatting sqref="A1532">
    <cfRule type="duplicateValues" dxfId="7905" priority="10025" stopIfTrue="1"/>
  </conditionalFormatting>
  <conditionalFormatting sqref="A1532">
    <cfRule type="duplicateValues" dxfId="7904" priority="10024" stopIfTrue="1"/>
  </conditionalFormatting>
  <conditionalFormatting sqref="A1532">
    <cfRule type="duplicateValues" dxfId="7903" priority="10023" stopIfTrue="1"/>
  </conditionalFormatting>
  <conditionalFormatting sqref="A1532">
    <cfRule type="duplicateValues" dxfId="7902" priority="10022" stopIfTrue="1"/>
  </conditionalFormatting>
  <conditionalFormatting sqref="A1532">
    <cfRule type="duplicateValues" dxfId="7901" priority="10036" stopIfTrue="1"/>
  </conditionalFormatting>
  <conditionalFormatting sqref="A1532">
    <cfRule type="duplicateValues" dxfId="7900" priority="10021" stopIfTrue="1"/>
  </conditionalFormatting>
  <conditionalFormatting sqref="C1532">
    <cfRule type="duplicateValues" dxfId="7899" priority="10020" stopIfTrue="1"/>
  </conditionalFormatting>
  <conditionalFormatting sqref="A1532">
    <cfRule type="duplicateValues" dxfId="7898" priority="10019" stopIfTrue="1"/>
  </conditionalFormatting>
  <conditionalFormatting sqref="A1532">
    <cfRule type="duplicateValues" dxfId="7897" priority="10018" stopIfTrue="1"/>
  </conditionalFormatting>
  <conditionalFormatting sqref="A1532">
    <cfRule type="duplicateValues" dxfId="7896" priority="10017" stopIfTrue="1"/>
  </conditionalFormatting>
  <conditionalFormatting sqref="A1532">
    <cfRule type="duplicateValues" dxfId="7895" priority="10016" stopIfTrue="1"/>
  </conditionalFormatting>
  <conditionalFormatting sqref="A1532">
    <cfRule type="duplicateValues" dxfId="7894" priority="10015" stopIfTrue="1"/>
  </conditionalFormatting>
  <conditionalFormatting sqref="A1532">
    <cfRule type="duplicateValues" dxfId="7893" priority="10014" stopIfTrue="1"/>
  </conditionalFormatting>
  <conditionalFormatting sqref="A1532">
    <cfRule type="duplicateValues" dxfId="7892" priority="10013" stopIfTrue="1"/>
  </conditionalFormatting>
  <conditionalFormatting sqref="A1532">
    <cfRule type="duplicateValues" dxfId="7891" priority="10012" stopIfTrue="1"/>
  </conditionalFormatting>
  <conditionalFormatting sqref="A1899:A66161 A1681:A1699 A1529:A1544 A1 A1044:A1062 A1124:A1125 A1065:A1070 A1150:A1151 A1498:A1500 A1702:A1719 A1722:A1739 A1742:A1760 A1763:A1781 A362:A529 A1074:A1119 A531:A1041 A357 A1433:A1448 A1159:A1162 A1512:A1524 A1466:A1490 A1450:A1464 A1164:A1408 A1427">
    <cfRule type="duplicateValues" dxfId="7890" priority="10010" stopIfTrue="1"/>
    <cfRule type="duplicateValues" dxfId="7889" priority="10011" stopIfTrue="1"/>
  </conditionalFormatting>
  <conditionalFormatting sqref="A1153">
    <cfRule type="duplicateValues" dxfId="7888" priority="10008" stopIfTrue="1"/>
  </conditionalFormatting>
  <conditionalFormatting sqref="A1153">
    <cfRule type="duplicateValues" dxfId="7887" priority="10007" stopIfTrue="1"/>
  </conditionalFormatting>
  <conditionalFormatting sqref="A1153">
    <cfRule type="duplicateValues" dxfId="7886" priority="10006" stopIfTrue="1"/>
  </conditionalFormatting>
  <conditionalFormatting sqref="A1153">
    <cfRule type="duplicateValues" dxfId="7885" priority="10005" stopIfTrue="1"/>
  </conditionalFormatting>
  <conditionalFormatting sqref="A1153">
    <cfRule type="duplicateValues" dxfId="7884" priority="10004" stopIfTrue="1"/>
  </conditionalFormatting>
  <conditionalFormatting sqref="A1153">
    <cfRule type="duplicateValues" dxfId="7883" priority="10003" stopIfTrue="1"/>
  </conditionalFormatting>
  <conditionalFormatting sqref="A1153">
    <cfRule type="duplicateValues" dxfId="7882" priority="10002" stopIfTrue="1"/>
  </conditionalFormatting>
  <conditionalFormatting sqref="A1153">
    <cfRule type="duplicateValues" dxfId="7881" priority="10001" stopIfTrue="1"/>
  </conditionalFormatting>
  <conditionalFormatting sqref="A1153">
    <cfRule type="duplicateValues" dxfId="7880" priority="10000" stopIfTrue="1"/>
  </conditionalFormatting>
  <conditionalFormatting sqref="A1153">
    <cfRule type="duplicateValues" dxfId="7879" priority="9999" stopIfTrue="1"/>
  </conditionalFormatting>
  <conditionalFormatting sqref="A1153">
    <cfRule type="duplicateValues" dxfId="7878" priority="9998" stopIfTrue="1"/>
  </conditionalFormatting>
  <conditionalFormatting sqref="A1153">
    <cfRule type="duplicateValues" dxfId="7877" priority="9997" stopIfTrue="1"/>
  </conditionalFormatting>
  <conditionalFormatting sqref="A1153">
    <cfRule type="duplicateValues" dxfId="7876" priority="9996" stopIfTrue="1"/>
  </conditionalFormatting>
  <conditionalFormatting sqref="A1153">
    <cfRule type="duplicateValues" dxfId="7875" priority="9995" stopIfTrue="1"/>
  </conditionalFormatting>
  <conditionalFormatting sqref="A1153">
    <cfRule type="duplicateValues" dxfId="7874" priority="10009" stopIfTrue="1"/>
  </conditionalFormatting>
  <conditionalFormatting sqref="A1153">
    <cfRule type="duplicateValues" dxfId="7873" priority="9994" stopIfTrue="1"/>
  </conditionalFormatting>
  <conditionalFormatting sqref="A1153">
    <cfRule type="duplicateValues" dxfId="7872" priority="9993" stopIfTrue="1"/>
  </conditionalFormatting>
  <conditionalFormatting sqref="A1153">
    <cfRule type="duplicateValues" dxfId="7871" priority="9992" stopIfTrue="1"/>
  </conditionalFormatting>
  <conditionalFormatting sqref="A1153">
    <cfRule type="duplicateValues" dxfId="7870" priority="9991" stopIfTrue="1"/>
  </conditionalFormatting>
  <conditionalFormatting sqref="A1153">
    <cfRule type="duplicateValues" dxfId="7869" priority="9990" stopIfTrue="1"/>
  </conditionalFormatting>
  <conditionalFormatting sqref="A1153">
    <cfRule type="duplicateValues" dxfId="7868" priority="9989" stopIfTrue="1"/>
  </conditionalFormatting>
  <conditionalFormatting sqref="A1153">
    <cfRule type="duplicateValues" dxfId="7867" priority="9988" stopIfTrue="1"/>
  </conditionalFormatting>
  <conditionalFormatting sqref="A1153">
    <cfRule type="duplicateValues" dxfId="7866" priority="9987" stopIfTrue="1"/>
  </conditionalFormatting>
  <conditionalFormatting sqref="A1152">
    <cfRule type="duplicateValues" dxfId="7865" priority="9985" stopIfTrue="1"/>
  </conditionalFormatting>
  <conditionalFormatting sqref="A1152">
    <cfRule type="duplicateValues" dxfId="7864" priority="9984" stopIfTrue="1"/>
  </conditionalFormatting>
  <conditionalFormatting sqref="A1152">
    <cfRule type="duplicateValues" dxfId="7863" priority="9983" stopIfTrue="1"/>
  </conditionalFormatting>
  <conditionalFormatting sqref="A1152">
    <cfRule type="duplicateValues" dxfId="7862" priority="9982" stopIfTrue="1"/>
  </conditionalFormatting>
  <conditionalFormatting sqref="A1152">
    <cfRule type="duplicateValues" dxfId="7861" priority="9981" stopIfTrue="1"/>
  </conditionalFormatting>
  <conditionalFormatting sqref="A1152">
    <cfRule type="duplicateValues" dxfId="7860" priority="9980" stopIfTrue="1"/>
  </conditionalFormatting>
  <conditionalFormatting sqref="A1152">
    <cfRule type="duplicateValues" dxfId="7859" priority="9979" stopIfTrue="1"/>
  </conditionalFormatting>
  <conditionalFormatting sqref="A1152">
    <cfRule type="duplicateValues" dxfId="7858" priority="9978" stopIfTrue="1"/>
  </conditionalFormatting>
  <conditionalFormatting sqref="A1152">
    <cfRule type="duplicateValues" dxfId="7857" priority="9977" stopIfTrue="1"/>
  </conditionalFormatting>
  <conditionalFormatting sqref="A1152">
    <cfRule type="duplicateValues" dxfId="7856" priority="9976" stopIfTrue="1"/>
  </conditionalFormatting>
  <conditionalFormatting sqref="A1152">
    <cfRule type="duplicateValues" dxfId="7855" priority="9975" stopIfTrue="1"/>
  </conditionalFormatting>
  <conditionalFormatting sqref="A1152">
    <cfRule type="duplicateValues" dxfId="7854" priority="9974" stopIfTrue="1"/>
  </conditionalFormatting>
  <conditionalFormatting sqref="A1152">
    <cfRule type="duplicateValues" dxfId="7853" priority="9973" stopIfTrue="1"/>
  </conditionalFormatting>
  <conditionalFormatting sqref="A1152">
    <cfRule type="duplicateValues" dxfId="7852" priority="9972" stopIfTrue="1"/>
  </conditionalFormatting>
  <conditionalFormatting sqref="A1152">
    <cfRule type="duplicateValues" dxfId="7851" priority="9986" stopIfTrue="1"/>
  </conditionalFormatting>
  <conditionalFormatting sqref="A1152">
    <cfRule type="duplicateValues" dxfId="7850" priority="9971" stopIfTrue="1"/>
  </conditionalFormatting>
  <conditionalFormatting sqref="C1152">
    <cfRule type="duplicateValues" dxfId="7849" priority="9970" stopIfTrue="1"/>
  </conditionalFormatting>
  <conditionalFormatting sqref="A1152">
    <cfRule type="duplicateValues" dxfId="7848" priority="9969" stopIfTrue="1"/>
  </conditionalFormatting>
  <conditionalFormatting sqref="A1152">
    <cfRule type="duplicateValues" dxfId="7847" priority="9968" stopIfTrue="1"/>
  </conditionalFormatting>
  <conditionalFormatting sqref="A1152">
    <cfRule type="duplicateValues" dxfId="7846" priority="9967" stopIfTrue="1"/>
  </conditionalFormatting>
  <conditionalFormatting sqref="A1152">
    <cfRule type="duplicateValues" dxfId="7845" priority="9966" stopIfTrue="1"/>
  </conditionalFormatting>
  <conditionalFormatting sqref="A1152">
    <cfRule type="duplicateValues" dxfId="7844" priority="9965" stopIfTrue="1"/>
  </conditionalFormatting>
  <conditionalFormatting sqref="A1152">
    <cfRule type="duplicateValues" dxfId="7843" priority="9964" stopIfTrue="1"/>
  </conditionalFormatting>
  <conditionalFormatting sqref="A1152">
    <cfRule type="duplicateValues" dxfId="7842" priority="9963" stopIfTrue="1"/>
  </conditionalFormatting>
  <conditionalFormatting sqref="A1152:A1153">
    <cfRule type="duplicateValues" dxfId="7841" priority="9962" stopIfTrue="1"/>
  </conditionalFormatting>
  <conditionalFormatting sqref="C1153">
    <cfRule type="duplicateValues" dxfId="7840" priority="9961" stopIfTrue="1"/>
  </conditionalFormatting>
  <conditionalFormatting sqref="A1042">
    <cfRule type="duplicateValues" dxfId="7839" priority="9797" stopIfTrue="1"/>
  </conditionalFormatting>
  <conditionalFormatting sqref="A1042">
    <cfRule type="duplicateValues" dxfId="7838" priority="9796" stopIfTrue="1"/>
  </conditionalFormatting>
  <conditionalFormatting sqref="A1042">
    <cfRule type="duplicateValues" dxfId="7837" priority="9795" stopIfTrue="1"/>
  </conditionalFormatting>
  <conditionalFormatting sqref="A1042">
    <cfRule type="duplicateValues" dxfId="7836" priority="9794" stopIfTrue="1"/>
  </conditionalFormatting>
  <conditionalFormatting sqref="A1042">
    <cfRule type="duplicateValues" dxfId="7835" priority="9793" stopIfTrue="1"/>
  </conditionalFormatting>
  <conditionalFormatting sqref="A1042">
    <cfRule type="duplicateValues" dxfId="7834" priority="9792" stopIfTrue="1"/>
  </conditionalFormatting>
  <conditionalFormatting sqref="A1042">
    <cfRule type="duplicateValues" dxfId="7833" priority="9791" stopIfTrue="1"/>
  </conditionalFormatting>
  <conditionalFormatting sqref="A1042">
    <cfRule type="duplicateValues" dxfId="7832" priority="9790" stopIfTrue="1"/>
  </conditionalFormatting>
  <conditionalFormatting sqref="A1042">
    <cfRule type="duplicateValues" dxfId="7831" priority="9789" stopIfTrue="1"/>
  </conditionalFormatting>
  <conditionalFormatting sqref="A1042">
    <cfRule type="duplicateValues" dxfId="7830" priority="9788" stopIfTrue="1"/>
  </conditionalFormatting>
  <conditionalFormatting sqref="A1042">
    <cfRule type="duplicateValues" dxfId="7829" priority="9787" stopIfTrue="1"/>
  </conditionalFormatting>
  <conditionalFormatting sqref="A1042">
    <cfRule type="duplicateValues" dxfId="7828" priority="9786" stopIfTrue="1"/>
  </conditionalFormatting>
  <conditionalFormatting sqref="A1042">
    <cfRule type="duplicateValues" dxfId="7827" priority="9785" stopIfTrue="1"/>
  </conditionalFormatting>
  <conditionalFormatting sqref="A1042">
    <cfRule type="duplicateValues" dxfId="7826" priority="9784" stopIfTrue="1"/>
  </conditionalFormatting>
  <conditionalFormatting sqref="A1042">
    <cfRule type="duplicateValues" dxfId="7825" priority="9798" stopIfTrue="1"/>
  </conditionalFormatting>
  <conditionalFormatting sqref="A1042">
    <cfRule type="duplicateValues" dxfId="7824" priority="9783" stopIfTrue="1"/>
  </conditionalFormatting>
  <conditionalFormatting sqref="C1042">
    <cfRule type="duplicateValues" dxfId="7823" priority="9782" stopIfTrue="1"/>
  </conditionalFormatting>
  <conditionalFormatting sqref="A1042">
    <cfRule type="duplicateValues" dxfId="7822" priority="9781" stopIfTrue="1"/>
  </conditionalFormatting>
  <conditionalFormatting sqref="A1042">
    <cfRule type="duplicateValues" dxfId="7821" priority="9780" stopIfTrue="1"/>
  </conditionalFormatting>
  <conditionalFormatting sqref="A1042">
    <cfRule type="duplicateValues" dxfId="7820" priority="9779" stopIfTrue="1"/>
  </conditionalFormatting>
  <conditionalFormatting sqref="A1042">
    <cfRule type="duplicateValues" dxfId="7819" priority="9778" stopIfTrue="1"/>
  </conditionalFormatting>
  <conditionalFormatting sqref="A1042">
    <cfRule type="duplicateValues" dxfId="7818" priority="9777" stopIfTrue="1"/>
  </conditionalFormatting>
  <conditionalFormatting sqref="A1042">
    <cfRule type="duplicateValues" dxfId="7817" priority="9776" stopIfTrue="1"/>
  </conditionalFormatting>
  <conditionalFormatting sqref="A1042">
    <cfRule type="duplicateValues" dxfId="7816" priority="9775" stopIfTrue="1"/>
  </conditionalFormatting>
  <conditionalFormatting sqref="A1042">
    <cfRule type="duplicateValues" dxfId="7815" priority="9774" stopIfTrue="1"/>
  </conditionalFormatting>
  <conditionalFormatting sqref="A1042">
    <cfRule type="duplicateValues" dxfId="7814" priority="9772" stopIfTrue="1"/>
    <cfRule type="duplicateValues" dxfId="7813" priority="9773" stopIfTrue="1"/>
  </conditionalFormatting>
  <conditionalFormatting sqref="A1043">
    <cfRule type="duplicateValues" dxfId="7812" priority="9770" stopIfTrue="1"/>
  </conditionalFormatting>
  <conditionalFormatting sqref="A1043">
    <cfRule type="duplicateValues" dxfId="7811" priority="9769" stopIfTrue="1"/>
  </conditionalFormatting>
  <conditionalFormatting sqref="A1043">
    <cfRule type="duplicateValues" dxfId="7810" priority="9768" stopIfTrue="1"/>
  </conditionalFormatting>
  <conditionalFormatting sqref="A1043">
    <cfRule type="duplicateValues" dxfId="7809" priority="9767" stopIfTrue="1"/>
  </conditionalFormatting>
  <conditionalFormatting sqref="A1043">
    <cfRule type="duplicateValues" dxfId="7808" priority="9766" stopIfTrue="1"/>
  </conditionalFormatting>
  <conditionalFormatting sqref="A1043">
    <cfRule type="duplicateValues" dxfId="7807" priority="9765" stopIfTrue="1"/>
  </conditionalFormatting>
  <conditionalFormatting sqref="A1043">
    <cfRule type="duplicateValues" dxfId="7806" priority="9764" stopIfTrue="1"/>
  </conditionalFormatting>
  <conditionalFormatting sqref="A1043">
    <cfRule type="duplicateValues" dxfId="7805" priority="9763" stopIfTrue="1"/>
  </conditionalFormatting>
  <conditionalFormatting sqref="A1043">
    <cfRule type="duplicateValues" dxfId="7804" priority="9762" stopIfTrue="1"/>
  </conditionalFormatting>
  <conditionalFormatting sqref="A1043">
    <cfRule type="duplicateValues" dxfId="7803" priority="9761" stopIfTrue="1"/>
  </conditionalFormatting>
  <conditionalFormatting sqref="A1043">
    <cfRule type="duplicateValues" dxfId="7802" priority="9760" stopIfTrue="1"/>
  </conditionalFormatting>
  <conditionalFormatting sqref="A1043">
    <cfRule type="duplicateValues" dxfId="7801" priority="9759" stopIfTrue="1"/>
  </conditionalFormatting>
  <conditionalFormatting sqref="A1043">
    <cfRule type="duplicateValues" dxfId="7800" priority="9758" stopIfTrue="1"/>
  </conditionalFormatting>
  <conditionalFormatting sqref="A1043">
    <cfRule type="duplicateValues" dxfId="7799" priority="9757" stopIfTrue="1"/>
  </conditionalFormatting>
  <conditionalFormatting sqref="A1043">
    <cfRule type="duplicateValues" dxfId="7798" priority="9771" stopIfTrue="1"/>
  </conditionalFormatting>
  <conditionalFormatting sqref="A1043">
    <cfRule type="duplicateValues" dxfId="7797" priority="9756" stopIfTrue="1"/>
  </conditionalFormatting>
  <conditionalFormatting sqref="C1043">
    <cfRule type="duplicateValues" dxfId="7796" priority="9755" stopIfTrue="1"/>
  </conditionalFormatting>
  <conditionalFormatting sqref="A1043">
    <cfRule type="duplicateValues" dxfId="7795" priority="9754" stopIfTrue="1"/>
  </conditionalFormatting>
  <conditionalFormatting sqref="A1043">
    <cfRule type="duplicateValues" dxfId="7794" priority="9753" stopIfTrue="1"/>
  </conditionalFormatting>
  <conditionalFormatting sqref="A1043">
    <cfRule type="duplicateValues" dxfId="7793" priority="9752" stopIfTrue="1"/>
  </conditionalFormatting>
  <conditionalFormatting sqref="A1043">
    <cfRule type="duplicateValues" dxfId="7792" priority="9751" stopIfTrue="1"/>
  </conditionalFormatting>
  <conditionalFormatting sqref="A1043">
    <cfRule type="duplicateValues" dxfId="7791" priority="9750" stopIfTrue="1"/>
  </conditionalFormatting>
  <conditionalFormatting sqref="A1043">
    <cfRule type="duplicateValues" dxfId="7790" priority="9749" stopIfTrue="1"/>
  </conditionalFormatting>
  <conditionalFormatting sqref="A1043">
    <cfRule type="duplicateValues" dxfId="7789" priority="9748" stopIfTrue="1"/>
  </conditionalFormatting>
  <conditionalFormatting sqref="A1043">
    <cfRule type="duplicateValues" dxfId="7788" priority="9747" stopIfTrue="1"/>
  </conditionalFormatting>
  <conditionalFormatting sqref="A1043">
    <cfRule type="duplicateValues" dxfId="7787" priority="9745" stopIfTrue="1"/>
    <cfRule type="duplicateValues" dxfId="7786" priority="9746" stopIfTrue="1"/>
  </conditionalFormatting>
  <conditionalFormatting sqref="A1899:A66161 A1681:A1699 A1529:A1544 A1124:A1125 A1 A1065:A1070 A1150:A1153 A1498:A1500 A1702:A1719 A1722:A1739 A1742:A1760 A1763:A1781 A362:A529 A1074:A1119 A531:A1062 A357 A1433:A1448 A1159:A1162 A1512:A1524 A1466:A1490 A1450:A1464 A1164:A1408 A1427">
    <cfRule type="duplicateValues" dxfId="7785" priority="9744" stopIfTrue="1"/>
  </conditionalFormatting>
  <conditionalFormatting sqref="A1120:A1123">
    <cfRule type="duplicateValues" dxfId="7784" priority="9743" stopIfTrue="1"/>
  </conditionalFormatting>
  <conditionalFormatting sqref="C1120:C1123">
    <cfRule type="duplicateValues" dxfId="7783" priority="9742" stopIfTrue="1"/>
  </conditionalFormatting>
  <conditionalFormatting sqref="A1120:A1123">
    <cfRule type="duplicateValues" dxfId="7782" priority="9741" stopIfTrue="1"/>
  </conditionalFormatting>
  <conditionalFormatting sqref="A1120:A1123">
    <cfRule type="duplicateValues" dxfId="7781" priority="9740" stopIfTrue="1"/>
  </conditionalFormatting>
  <conditionalFormatting sqref="A1120:A1123">
    <cfRule type="duplicateValues" dxfId="7780" priority="9739" stopIfTrue="1"/>
  </conditionalFormatting>
  <conditionalFormatting sqref="A1120:A1123">
    <cfRule type="duplicateValues" dxfId="7779" priority="9738" stopIfTrue="1"/>
  </conditionalFormatting>
  <conditionalFormatting sqref="A1120:A1123">
    <cfRule type="duplicateValues" dxfId="7778" priority="9737" stopIfTrue="1"/>
  </conditionalFormatting>
  <conditionalFormatting sqref="A1120:A1123">
    <cfRule type="duplicateValues" dxfId="7777" priority="9736" stopIfTrue="1"/>
  </conditionalFormatting>
  <conditionalFormatting sqref="A1120:A1123">
    <cfRule type="duplicateValues" dxfId="7776" priority="9735" stopIfTrue="1"/>
  </conditionalFormatting>
  <conditionalFormatting sqref="A1120:A1123">
    <cfRule type="duplicateValues" dxfId="7775" priority="9734" stopIfTrue="1"/>
  </conditionalFormatting>
  <conditionalFormatting sqref="A1120:A1123">
    <cfRule type="duplicateValues" dxfId="7774" priority="9732" stopIfTrue="1"/>
    <cfRule type="duplicateValues" dxfId="7773" priority="9733" stopIfTrue="1"/>
  </conditionalFormatting>
  <conditionalFormatting sqref="A1120:A1123">
    <cfRule type="duplicateValues" dxfId="7772" priority="9731" stopIfTrue="1"/>
  </conditionalFormatting>
  <conditionalFormatting sqref="A1525:A1528">
    <cfRule type="duplicateValues" dxfId="7771" priority="9730" stopIfTrue="1"/>
  </conditionalFormatting>
  <conditionalFormatting sqref="C1525:C1528">
    <cfRule type="duplicateValues" dxfId="7770" priority="9729" stopIfTrue="1"/>
  </conditionalFormatting>
  <conditionalFormatting sqref="A1525:A1528">
    <cfRule type="duplicateValues" dxfId="7769" priority="9728" stopIfTrue="1"/>
  </conditionalFormatting>
  <conditionalFormatting sqref="A1525:A1528">
    <cfRule type="duplicateValues" dxfId="7768" priority="9727" stopIfTrue="1"/>
  </conditionalFormatting>
  <conditionalFormatting sqref="A1525:A1528">
    <cfRule type="duplicateValues" dxfId="7767" priority="9726" stopIfTrue="1"/>
  </conditionalFormatting>
  <conditionalFormatting sqref="A1525:A1528">
    <cfRule type="duplicateValues" dxfId="7766" priority="9725" stopIfTrue="1"/>
  </conditionalFormatting>
  <conditionalFormatting sqref="A1525:A1528">
    <cfRule type="duplicateValues" dxfId="7765" priority="9724" stopIfTrue="1"/>
  </conditionalFormatting>
  <conditionalFormatting sqref="A1525:A1528">
    <cfRule type="duplicateValues" dxfId="7764" priority="9723" stopIfTrue="1"/>
  </conditionalFormatting>
  <conditionalFormatting sqref="A1525:A1528">
    <cfRule type="duplicateValues" dxfId="7763" priority="9722" stopIfTrue="1"/>
  </conditionalFormatting>
  <conditionalFormatting sqref="A1525:A1528">
    <cfRule type="duplicateValues" dxfId="7762" priority="9721" stopIfTrue="1"/>
  </conditionalFormatting>
  <conditionalFormatting sqref="A1525:A1528">
    <cfRule type="duplicateValues" dxfId="7761" priority="9719" stopIfTrue="1"/>
    <cfRule type="duplicateValues" dxfId="7760" priority="9720" stopIfTrue="1"/>
  </conditionalFormatting>
  <conditionalFormatting sqref="A1525:A1528">
    <cfRule type="duplicateValues" dxfId="7759" priority="9718" stopIfTrue="1"/>
  </conditionalFormatting>
  <conditionalFormatting sqref="A1899:A66161 A1681:A1699 A1065:A1070 A1 A1150:A1153 A1498:A1500 A1702:A1719 A1722:A1739 A1742:A1760 A1763:A1781 A362:A529 A1074:A1125 A531:A1062 A357 A1433:A1448 A1159:A1162 A1512:A1544 A1466:A1490 A1450:A1464 A1164:A1408 A1427">
    <cfRule type="duplicateValues" dxfId="7758" priority="9717" stopIfTrue="1"/>
  </conditionalFormatting>
  <conditionalFormatting sqref="A1063">
    <cfRule type="duplicateValues" dxfId="7757" priority="9715" stopIfTrue="1"/>
  </conditionalFormatting>
  <conditionalFormatting sqref="A1063">
    <cfRule type="duplicateValues" dxfId="7756" priority="9714" stopIfTrue="1"/>
  </conditionalFormatting>
  <conditionalFormatting sqref="A1063">
    <cfRule type="duplicateValues" dxfId="7755" priority="9713" stopIfTrue="1"/>
  </conditionalFormatting>
  <conditionalFormatting sqref="A1063">
    <cfRule type="duplicateValues" dxfId="7754" priority="9712" stopIfTrue="1"/>
  </conditionalFormatting>
  <conditionalFormatting sqref="A1063">
    <cfRule type="duplicateValues" dxfId="7753" priority="9711" stopIfTrue="1"/>
  </conditionalFormatting>
  <conditionalFormatting sqref="A1063">
    <cfRule type="duplicateValues" dxfId="7752" priority="9710" stopIfTrue="1"/>
  </conditionalFormatting>
  <conditionalFormatting sqref="A1063">
    <cfRule type="duplicateValues" dxfId="7751" priority="9709" stopIfTrue="1"/>
  </conditionalFormatting>
  <conditionalFormatting sqref="A1063">
    <cfRule type="duplicateValues" dxfId="7750" priority="9708" stopIfTrue="1"/>
  </conditionalFormatting>
  <conditionalFormatting sqref="A1063">
    <cfRule type="duplicateValues" dxfId="7749" priority="9707" stopIfTrue="1"/>
  </conditionalFormatting>
  <conditionalFormatting sqref="A1063">
    <cfRule type="duplicateValues" dxfId="7748" priority="9706" stopIfTrue="1"/>
  </conditionalFormatting>
  <conditionalFormatting sqref="A1063">
    <cfRule type="duplicateValues" dxfId="7747" priority="9705" stopIfTrue="1"/>
  </conditionalFormatting>
  <conditionalFormatting sqref="A1063">
    <cfRule type="duplicateValues" dxfId="7746" priority="9704" stopIfTrue="1"/>
  </conditionalFormatting>
  <conditionalFormatting sqref="A1063">
    <cfRule type="duplicateValues" dxfId="7745" priority="9703" stopIfTrue="1"/>
  </conditionalFormatting>
  <conditionalFormatting sqref="A1063">
    <cfRule type="duplicateValues" dxfId="7744" priority="9702" stopIfTrue="1"/>
  </conditionalFormatting>
  <conditionalFormatting sqref="A1063">
    <cfRule type="duplicateValues" dxfId="7743" priority="9716" stopIfTrue="1"/>
  </conditionalFormatting>
  <conditionalFormatting sqref="A1063">
    <cfRule type="duplicateValues" dxfId="7742" priority="9701" stopIfTrue="1"/>
  </conditionalFormatting>
  <conditionalFormatting sqref="C1063">
    <cfRule type="duplicateValues" dxfId="7741" priority="9700" stopIfTrue="1"/>
  </conditionalFormatting>
  <conditionalFormatting sqref="A1063">
    <cfRule type="duplicateValues" dxfId="7740" priority="9699" stopIfTrue="1"/>
  </conditionalFormatting>
  <conditionalFormatting sqref="A1063">
    <cfRule type="duplicateValues" dxfId="7739" priority="9698" stopIfTrue="1"/>
  </conditionalFormatting>
  <conditionalFormatting sqref="A1063">
    <cfRule type="duplicateValues" dxfId="7738" priority="9697" stopIfTrue="1"/>
  </conditionalFormatting>
  <conditionalFormatting sqref="A1063">
    <cfRule type="duplicateValues" dxfId="7737" priority="9696" stopIfTrue="1"/>
  </conditionalFormatting>
  <conditionalFormatting sqref="A1063">
    <cfRule type="duplicateValues" dxfId="7736" priority="9695" stopIfTrue="1"/>
  </conditionalFormatting>
  <conditionalFormatting sqref="A1063">
    <cfRule type="duplicateValues" dxfId="7735" priority="9694" stopIfTrue="1"/>
  </conditionalFormatting>
  <conditionalFormatting sqref="A1063">
    <cfRule type="duplicateValues" dxfId="7734" priority="9693" stopIfTrue="1"/>
  </conditionalFormatting>
  <conditionalFormatting sqref="A1063">
    <cfRule type="duplicateValues" dxfId="7733" priority="9692" stopIfTrue="1"/>
  </conditionalFormatting>
  <conditionalFormatting sqref="A1063">
    <cfRule type="duplicateValues" dxfId="7732" priority="9690" stopIfTrue="1"/>
    <cfRule type="duplicateValues" dxfId="7731" priority="9691" stopIfTrue="1"/>
  </conditionalFormatting>
  <conditionalFormatting sqref="A1063">
    <cfRule type="duplicateValues" dxfId="7730" priority="9689" stopIfTrue="1"/>
  </conditionalFormatting>
  <conditionalFormatting sqref="A1063">
    <cfRule type="duplicateValues" dxfId="7729" priority="9688" stopIfTrue="1"/>
  </conditionalFormatting>
  <conditionalFormatting sqref="A1899:A66161 A1681:A1699 A1 A1065:A1070 A1150:A1153 A1498:A1500 A1702:A1719 A1722:A1739 A1742:A1760 A1763:A1781 A362:A529 A1074:A1125 A531:A1063 A357 A1433:A1448 A1159:A1162 A1512:A1544 A1466:A1490 A1450:A1464 A1164:A1408 A1427">
    <cfRule type="duplicateValues" dxfId="7728" priority="9687" stopIfTrue="1"/>
  </conditionalFormatting>
  <conditionalFormatting sqref="A1064">
    <cfRule type="duplicateValues" dxfId="7727" priority="9685" stopIfTrue="1"/>
  </conditionalFormatting>
  <conditionalFormatting sqref="A1064">
    <cfRule type="duplicateValues" dxfId="7726" priority="9684" stopIfTrue="1"/>
  </conditionalFormatting>
  <conditionalFormatting sqref="A1064">
    <cfRule type="duplicateValues" dxfId="7725" priority="9683" stopIfTrue="1"/>
  </conditionalFormatting>
  <conditionalFormatting sqref="A1064">
    <cfRule type="duplicateValues" dxfId="7724" priority="9682" stopIfTrue="1"/>
  </conditionalFormatting>
  <conditionalFormatting sqref="A1064">
    <cfRule type="duplicateValues" dxfId="7723" priority="9681" stopIfTrue="1"/>
  </conditionalFormatting>
  <conditionalFormatting sqref="A1064">
    <cfRule type="duplicateValues" dxfId="7722" priority="9680" stopIfTrue="1"/>
  </conditionalFormatting>
  <conditionalFormatting sqref="A1064">
    <cfRule type="duplicateValues" dxfId="7721" priority="9679" stopIfTrue="1"/>
  </conditionalFormatting>
  <conditionalFormatting sqref="A1064">
    <cfRule type="duplicateValues" dxfId="7720" priority="9678" stopIfTrue="1"/>
  </conditionalFormatting>
  <conditionalFormatting sqref="A1064">
    <cfRule type="duplicateValues" dxfId="7719" priority="9677" stopIfTrue="1"/>
  </conditionalFormatting>
  <conditionalFormatting sqref="A1064">
    <cfRule type="duplicateValues" dxfId="7718" priority="9676" stopIfTrue="1"/>
  </conditionalFormatting>
  <conditionalFormatting sqref="A1064">
    <cfRule type="duplicateValues" dxfId="7717" priority="9675" stopIfTrue="1"/>
  </conditionalFormatting>
  <conditionalFormatting sqref="A1064">
    <cfRule type="duplicateValues" dxfId="7716" priority="9674" stopIfTrue="1"/>
  </conditionalFormatting>
  <conditionalFormatting sqref="A1064">
    <cfRule type="duplicateValues" dxfId="7715" priority="9673" stopIfTrue="1"/>
  </conditionalFormatting>
  <conditionalFormatting sqref="A1064">
    <cfRule type="duplicateValues" dxfId="7714" priority="9672" stopIfTrue="1"/>
  </conditionalFormatting>
  <conditionalFormatting sqref="A1064">
    <cfRule type="duplicateValues" dxfId="7713" priority="9686" stopIfTrue="1"/>
  </conditionalFormatting>
  <conditionalFormatting sqref="A1064">
    <cfRule type="duplicateValues" dxfId="7712" priority="9671" stopIfTrue="1"/>
  </conditionalFormatting>
  <conditionalFormatting sqref="C1064">
    <cfRule type="duplicateValues" dxfId="7711" priority="9670" stopIfTrue="1"/>
  </conditionalFormatting>
  <conditionalFormatting sqref="A1064">
    <cfRule type="duplicateValues" dxfId="7710" priority="9669" stopIfTrue="1"/>
  </conditionalFormatting>
  <conditionalFormatting sqref="A1064">
    <cfRule type="duplicateValues" dxfId="7709" priority="9668" stopIfTrue="1"/>
  </conditionalFormatting>
  <conditionalFormatting sqref="A1064">
    <cfRule type="duplicateValues" dxfId="7708" priority="9667" stopIfTrue="1"/>
  </conditionalFormatting>
  <conditionalFormatting sqref="A1064">
    <cfRule type="duplicateValues" dxfId="7707" priority="9666" stopIfTrue="1"/>
  </conditionalFormatting>
  <conditionalFormatting sqref="A1064">
    <cfRule type="duplicateValues" dxfId="7706" priority="9665" stopIfTrue="1"/>
  </conditionalFormatting>
  <conditionalFormatting sqref="A1064">
    <cfRule type="duplicateValues" dxfId="7705" priority="9664" stopIfTrue="1"/>
  </conditionalFormatting>
  <conditionalFormatting sqref="A1064">
    <cfRule type="duplicateValues" dxfId="7704" priority="9663" stopIfTrue="1"/>
  </conditionalFormatting>
  <conditionalFormatting sqref="A1064">
    <cfRule type="duplicateValues" dxfId="7703" priority="9662" stopIfTrue="1"/>
  </conditionalFormatting>
  <conditionalFormatting sqref="A1064">
    <cfRule type="duplicateValues" dxfId="7702" priority="9660" stopIfTrue="1"/>
    <cfRule type="duplicateValues" dxfId="7701" priority="9661" stopIfTrue="1"/>
  </conditionalFormatting>
  <conditionalFormatting sqref="A1064">
    <cfRule type="duplicateValues" dxfId="7700" priority="9659" stopIfTrue="1"/>
  </conditionalFormatting>
  <conditionalFormatting sqref="A1064">
    <cfRule type="duplicateValues" dxfId="7699" priority="9658" stopIfTrue="1"/>
  </conditionalFormatting>
  <conditionalFormatting sqref="A1064">
    <cfRule type="duplicateValues" dxfId="7698" priority="9657" stopIfTrue="1"/>
  </conditionalFormatting>
  <conditionalFormatting sqref="A1899:A66161 A1681:A1699 A1 A1150:A1153 A1498:A1500 A1702:A1719 A1722:A1739 A1742:A1760 A1763:A1781 A362:A529 A1074:A1125 A531:A1070 A357 A1433:A1448 A1159:A1162 A1512:A1544 A1466:A1490 A1450:A1464 A1164:A1408 A1427">
    <cfRule type="duplicateValues" dxfId="7697" priority="9656" stopIfTrue="1"/>
  </conditionalFormatting>
  <conditionalFormatting sqref="A1126">
    <cfRule type="duplicateValues" dxfId="7696" priority="9654" stopIfTrue="1"/>
  </conditionalFormatting>
  <conditionalFormatting sqref="A1126">
    <cfRule type="duplicateValues" dxfId="7695" priority="9653" stopIfTrue="1"/>
  </conditionalFormatting>
  <conditionalFormatting sqref="A1126">
    <cfRule type="duplicateValues" dxfId="7694" priority="9652" stopIfTrue="1"/>
  </conditionalFormatting>
  <conditionalFormatting sqref="A1126">
    <cfRule type="duplicateValues" dxfId="7693" priority="9651" stopIfTrue="1"/>
  </conditionalFormatting>
  <conditionalFormatting sqref="A1126">
    <cfRule type="duplicateValues" dxfId="7692" priority="9650" stopIfTrue="1"/>
  </conditionalFormatting>
  <conditionalFormatting sqref="A1126">
    <cfRule type="duplicateValues" dxfId="7691" priority="9649" stopIfTrue="1"/>
  </conditionalFormatting>
  <conditionalFormatting sqref="A1126">
    <cfRule type="duplicateValues" dxfId="7690" priority="9648" stopIfTrue="1"/>
  </conditionalFormatting>
  <conditionalFormatting sqref="A1126">
    <cfRule type="duplicateValues" dxfId="7689" priority="9647" stopIfTrue="1"/>
  </conditionalFormatting>
  <conditionalFormatting sqref="A1126">
    <cfRule type="duplicateValues" dxfId="7688" priority="9646" stopIfTrue="1"/>
  </conditionalFormatting>
  <conditionalFormatting sqref="A1126">
    <cfRule type="duplicateValues" dxfId="7687" priority="9645" stopIfTrue="1"/>
  </conditionalFormatting>
  <conditionalFormatting sqref="A1126">
    <cfRule type="duplicateValues" dxfId="7686" priority="9644" stopIfTrue="1"/>
  </conditionalFormatting>
  <conditionalFormatting sqref="A1126">
    <cfRule type="duplicateValues" dxfId="7685" priority="9643" stopIfTrue="1"/>
  </conditionalFormatting>
  <conditionalFormatting sqref="A1126">
    <cfRule type="duplicateValues" dxfId="7684" priority="9642" stopIfTrue="1"/>
  </conditionalFormatting>
  <conditionalFormatting sqref="A1126">
    <cfRule type="duplicateValues" dxfId="7683" priority="9641" stopIfTrue="1"/>
  </conditionalFormatting>
  <conditionalFormatting sqref="A1126">
    <cfRule type="duplicateValues" dxfId="7682" priority="9640" stopIfTrue="1"/>
  </conditionalFormatting>
  <conditionalFormatting sqref="A1126">
    <cfRule type="duplicateValues" dxfId="7681" priority="9655" stopIfTrue="1"/>
  </conditionalFormatting>
  <conditionalFormatting sqref="A1126">
    <cfRule type="duplicateValues" dxfId="7680" priority="9639" stopIfTrue="1"/>
  </conditionalFormatting>
  <conditionalFormatting sqref="C1126">
    <cfRule type="duplicateValues" dxfId="7679" priority="9638" stopIfTrue="1"/>
  </conditionalFormatting>
  <conditionalFormatting sqref="A1126">
    <cfRule type="duplicateValues" dxfId="7678" priority="9637" stopIfTrue="1"/>
  </conditionalFormatting>
  <conditionalFormatting sqref="A1126">
    <cfRule type="duplicateValues" dxfId="7677" priority="9636" stopIfTrue="1"/>
  </conditionalFormatting>
  <conditionalFormatting sqref="A1126">
    <cfRule type="duplicateValues" dxfId="7676" priority="9635" stopIfTrue="1"/>
  </conditionalFormatting>
  <conditionalFormatting sqref="A1126">
    <cfRule type="duplicateValues" dxfId="7675" priority="9634" stopIfTrue="1"/>
  </conditionalFormatting>
  <conditionalFormatting sqref="A1126">
    <cfRule type="duplicateValues" dxfId="7674" priority="9633" stopIfTrue="1"/>
  </conditionalFormatting>
  <conditionalFormatting sqref="A1126">
    <cfRule type="duplicateValues" dxfId="7673" priority="9632" stopIfTrue="1"/>
  </conditionalFormatting>
  <conditionalFormatting sqref="A1126">
    <cfRule type="duplicateValues" dxfId="7672" priority="9631" stopIfTrue="1"/>
  </conditionalFormatting>
  <conditionalFormatting sqref="A1126">
    <cfRule type="duplicateValues" dxfId="7671" priority="9630" stopIfTrue="1"/>
  </conditionalFormatting>
  <conditionalFormatting sqref="A1126">
    <cfRule type="duplicateValues" dxfId="7670" priority="9628" stopIfTrue="1"/>
    <cfRule type="duplicateValues" dxfId="7669" priority="9629" stopIfTrue="1"/>
  </conditionalFormatting>
  <conditionalFormatting sqref="A1126">
    <cfRule type="duplicateValues" dxfId="7668" priority="9627" stopIfTrue="1"/>
  </conditionalFormatting>
  <conditionalFormatting sqref="A1126">
    <cfRule type="duplicateValues" dxfId="7667" priority="9626" stopIfTrue="1"/>
  </conditionalFormatting>
  <conditionalFormatting sqref="A1126">
    <cfRule type="duplicateValues" dxfId="7666" priority="9625" stopIfTrue="1"/>
  </conditionalFormatting>
  <conditionalFormatting sqref="A1126">
    <cfRule type="duplicateValues" dxfId="7665" priority="9624" stopIfTrue="1"/>
  </conditionalFormatting>
  <conditionalFormatting sqref="A1127">
    <cfRule type="duplicateValues" dxfId="7664" priority="9622" stopIfTrue="1"/>
  </conditionalFormatting>
  <conditionalFormatting sqref="A1127">
    <cfRule type="duplicateValues" dxfId="7663" priority="9621" stopIfTrue="1"/>
  </conditionalFormatting>
  <conditionalFormatting sqref="A1127">
    <cfRule type="duplicateValues" dxfId="7662" priority="9620" stopIfTrue="1"/>
  </conditionalFormatting>
  <conditionalFormatting sqref="A1127">
    <cfRule type="duplicateValues" dxfId="7661" priority="9619" stopIfTrue="1"/>
  </conditionalFormatting>
  <conditionalFormatting sqref="A1127">
    <cfRule type="duplicateValues" dxfId="7660" priority="9618" stopIfTrue="1"/>
  </conditionalFormatting>
  <conditionalFormatting sqref="A1127">
    <cfRule type="duplicateValues" dxfId="7659" priority="9617" stopIfTrue="1"/>
  </conditionalFormatting>
  <conditionalFormatting sqref="A1127">
    <cfRule type="duplicateValues" dxfId="7658" priority="9616" stopIfTrue="1"/>
  </conditionalFormatting>
  <conditionalFormatting sqref="A1127">
    <cfRule type="duplicateValues" dxfId="7657" priority="9615" stopIfTrue="1"/>
  </conditionalFormatting>
  <conditionalFormatting sqref="A1127">
    <cfRule type="duplicateValues" dxfId="7656" priority="9614" stopIfTrue="1"/>
  </conditionalFormatting>
  <conditionalFormatting sqref="A1127">
    <cfRule type="duplicateValues" dxfId="7655" priority="9613" stopIfTrue="1"/>
  </conditionalFormatting>
  <conditionalFormatting sqref="A1127">
    <cfRule type="duplicateValues" dxfId="7654" priority="9612" stopIfTrue="1"/>
  </conditionalFormatting>
  <conditionalFormatting sqref="A1127">
    <cfRule type="duplicateValues" dxfId="7653" priority="9611" stopIfTrue="1"/>
  </conditionalFormatting>
  <conditionalFormatting sqref="A1127">
    <cfRule type="duplicateValues" dxfId="7652" priority="9610" stopIfTrue="1"/>
  </conditionalFormatting>
  <conditionalFormatting sqref="A1127">
    <cfRule type="duplicateValues" dxfId="7651" priority="9609" stopIfTrue="1"/>
  </conditionalFormatting>
  <conditionalFormatting sqref="A1127">
    <cfRule type="duplicateValues" dxfId="7650" priority="9608" stopIfTrue="1"/>
  </conditionalFormatting>
  <conditionalFormatting sqref="A1127">
    <cfRule type="duplicateValues" dxfId="7649" priority="9623" stopIfTrue="1"/>
  </conditionalFormatting>
  <conditionalFormatting sqref="A1127">
    <cfRule type="duplicateValues" dxfId="7648" priority="9607" stopIfTrue="1"/>
  </conditionalFormatting>
  <conditionalFormatting sqref="C1127">
    <cfRule type="duplicateValues" dxfId="7647" priority="9606" stopIfTrue="1"/>
  </conditionalFormatting>
  <conditionalFormatting sqref="A1127">
    <cfRule type="duplicateValues" dxfId="7646" priority="9605" stopIfTrue="1"/>
  </conditionalFormatting>
  <conditionalFormatting sqref="A1127">
    <cfRule type="duplicateValues" dxfId="7645" priority="9604" stopIfTrue="1"/>
  </conditionalFormatting>
  <conditionalFormatting sqref="A1127">
    <cfRule type="duplicateValues" dxfId="7644" priority="9603" stopIfTrue="1"/>
  </conditionalFormatting>
  <conditionalFormatting sqref="A1127">
    <cfRule type="duplicateValues" dxfId="7643" priority="9602" stopIfTrue="1"/>
  </conditionalFormatting>
  <conditionalFormatting sqref="A1127">
    <cfRule type="duplicateValues" dxfId="7642" priority="9601" stopIfTrue="1"/>
  </conditionalFormatting>
  <conditionalFormatting sqref="A1127">
    <cfRule type="duplicateValues" dxfId="7641" priority="9600" stopIfTrue="1"/>
  </conditionalFormatting>
  <conditionalFormatting sqref="A1127">
    <cfRule type="duplicateValues" dxfId="7640" priority="9599" stopIfTrue="1"/>
  </conditionalFormatting>
  <conditionalFormatting sqref="A1127">
    <cfRule type="duplicateValues" dxfId="7639" priority="9598" stopIfTrue="1"/>
  </conditionalFormatting>
  <conditionalFormatting sqref="A1127">
    <cfRule type="duplicateValues" dxfId="7638" priority="9596" stopIfTrue="1"/>
    <cfRule type="duplicateValues" dxfId="7637" priority="9597" stopIfTrue="1"/>
  </conditionalFormatting>
  <conditionalFormatting sqref="A1127">
    <cfRule type="duplicateValues" dxfId="7636" priority="9595" stopIfTrue="1"/>
  </conditionalFormatting>
  <conditionalFormatting sqref="A1127">
    <cfRule type="duplicateValues" dxfId="7635" priority="9594" stopIfTrue="1"/>
  </conditionalFormatting>
  <conditionalFormatting sqref="A1127">
    <cfRule type="duplicateValues" dxfId="7634" priority="9593" stopIfTrue="1"/>
  </conditionalFormatting>
  <conditionalFormatting sqref="A1127">
    <cfRule type="duplicateValues" dxfId="7633" priority="9592" stopIfTrue="1"/>
  </conditionalFormatting>
  <conditionalFormatting sqref="A1128">
    <cfRule type="duplicateValues" dxfId="7632" priority="9590" stopIfTrue="1"/>
  </conditionalFormatting>
  <conditionalFormatting sqref="A1128">
    <cfRule type="duplicateValues" dxfId="7631" priority="9589" stopIfTrue="1"/>
  </conditionalFormatting>
  <conditionalFormatting sqref="A1128">
    <cfRule type="duplicateValues" dxfId="7630" priority="9588" stopIfTrue="1"/>
  </conditionalFormatting>
  <conditionalFormatting sqref="A1128">
    <cfRule type="duplicateValues" dxfId="7629" priority="9587" stopIfTrue="1"/>
  </conditionalFormatting>
  <conditionalFormatting sqref="A1128">
    <cfRule type="duplicateValues" dxfId="7628" priority="9586" stopIfTrue="1"/>
  </conditionalFormatting>
  <conditionalFormatting sqref="A1128">
    <cfRule type="duplicateValues" dxfId="7627" priority="9585" stopIfTrue="1"/>
  </conditionalFormatting>
  <conditionalFormatting sqref="A1128">
    <cfRule type="duplicateValues" dxfId="7626" priority="9584" stopIfTrue="1"/>
  </conditionalFormatting>
  <conditionalFormatting sqref="A1128">
    <cfRule type="duplicateValues" dxfId="7625" priority="9583" stopIfTrue="1"/>
  </conditionalFormatting>
  <conditionalFormatting sqref="A1128">
    <cfRule type="duplicateValues" dxfId="7624" priority="9582" stopIfTrue="1"/>
  </conditionalFormatting>
  <conditionalFormatting sqref="A1128">
    <cfRule type="duplicateValues" dxfId="7623" priority="9581" stopIfTrue="1"/>
  </conditionalFormatting>
  <conditionalFormatting sqref="A1128">
    <cfRule type="duplicateValues" dxfId="7622" priority="9580" stopIfTrue="1"/>
  </conditionalFormatting>
  <conditionalFormatting sqref="A1128">
    <cfRule type="duplicateValues" dxfId="7621" priority="9579" stopIfTrue="1"/>
  </conditionalFormatting>
  <conditionalFormatting sqref="A1128">
    <cfRule type="duplicateValues" dxfId="7620" priority="9578" stopIfTrue="1"/>
  </conditionalFormatting>
  <conditionalFormatting sqref="A1128">
    <cfRule type="duplicateValues" dxfId="7619" priority="9577" stopIfTrue="1"/>
  </conditionalFormatting>
  <conditionalFormatting sqref="A1128">
    <cfRule type="duplicateValues" dxfId="7618" priority="9576" stopIfTrue="1"/>
  </conditionalFormatting>
  <conditionalFormatting sqref="A1128">
    <cfRule type="duplicateValues" dxfId="7617" priority="9591" stopIfTrue="1"/>
  </conditionalFormatting>
  <conditionalFormatting sqref="A1128">
    <cfRule type="duplicateValues" dxfId="7616" priority="9575" stopIfTrue="1"/>
  </conditionalFormatting>
  <conditionalFormatting sqref="C1128">
    <cfRule type="duplicateValues" dxfId="7615" priority="9574" stopIfTrue="1"/>
  </conditionalFormatting>
  <conditionalFormatting sqref="A1128">
    <cfRule type="duplicateValues" dxfId="7614" priority="9573" stopIfTrue="1"/>
  </conditionalFormatting>
  <conditionalFormatting sqref="A1128">
    <cfRule type="duplicateValues" dxfId="7613" priority="9572" stopIfTrue="1"/>
  </conditionalFormatting>
  <conditionalFormatting sqref="A1128">
    <cfRule type="duplicateValues" dxfId="7612" priority="9571" stopIfTrue="1"/>
  </conditionalFormatting>
  <conditionalFormatting sqref="A1128">
    <cfRule type="duplicateValues" dxfId="7611" priority="9570" stopIfTrue="1"/>
  </conditionalFormatting>
  <conditionalFormatting sqref="A1128">
    <cfRule type="duplicateValues" dxfId="7610" priority="9569" stopIfTrue="1"/>
  </conditionalFormatting>
  <conditionalFormatting sqref="A1128">
    <cfRule type="duplicateValues" dxfId="7609" priority="9568" stopIfTrue="1"/>
  </conditionalFormatting>
  <conditionalFormatting sqref="A1128">
    <cfRule type="duplicateValues" dxfId="7608" priority="9567" stopIfTrue="1"/>
  </conditionalFormatting>
  <conditionalFormatting sqref="A1128">
    <cfRule type="duplicateValues" dxfId="7607" priority="9566" stopIfTrue="1"/>
  </conditionalFormatting>
  <conditionalFormatting sqref="A1128">
    <cfRule type="duplicateValues" dxfId="7606" priority="9564" stopIfTrue="1"/>
    <cfRule type="duplicateValues" dxfId="7605" priority="9565" stopIfTrue="1"/>
  </conditionalFormatting>
  <conditionalFormatting sqref="A1128">
    <cfRule type="duplicateValues" dxfId="7604" priority="9563" stopIfTrue="1"/>
  </conditionalFormatting>
  <conditionalFormatting sqref="A1128">
    <cfRule type="duplicateValues" dxfId="7603" priority="9562" stopIfTrue="1"/>
  </conditionalFormatting>
  <conditionalFormatting sqref="A1128">
    <cfRule type="duplicateValues" dxfId="7602" priority="9561" stopIfTrue="1"/>
  </conditionalFormatting>
  <conditionalFormatting sqref="A1128">
    <cfRule type="duplicateValues" dxfId="7601" priority="9560" stopIfTrue="1"/>
  </conditionalFormatting>
  <conditionalFormatting sqref="A1129">
    <cfRule type="duplicateValues" dxfId="7600" priority="9558" stopIfTrue="1"/>
  </conditionalFormatting>
  <conditionalFormatting sqref="A1129">
    <cfRule type="duplicateValues" dxfId="7599" priority="9557" stopIfTrue="1"/>
  </conditionalFormatting>
  <conditionalFormatting sqref="A1129">
    <cfRule type="duplicateValues" dxfId="7598" priority="9556" stopIfTrue="1"/>
  </conditionalFormatting>
  <conditionalFormatting sqref="A1129">
    <cfRule type="duplicateValues" dxfId="7597" priority="9555" stopIfTrue="1"/>
  </conditionalFormatting>
  <conditionalFormatting sqref="A1129">
    <cfRule type="duplicateValues" dxfId="7596" priority="9554" stopIfTrue="1"/>
  </conditionalFormatting>
  <conditionalFormatting sqref="A1129">
    <cfRule type="duplicateValues" dxfId="7595" priority="9553" stopIfTrue="1"/>
  </conditionalFormatting>
  <conditionalFormatting sqref="A1129">
    <cfRule type="duplicateValues" dxfId="7594" priority="9552" stopIfTrue="1"/>
  </conditionalFormatting>
  <conditionalFormatting sqref="A1129">
    <cfRule type="duplicateValues" dxfId="7593" priority="9551" stopIfTrue="1"/>
  </conditionalFormatting>
  <conditionalFormatting sqref="A1129">
    <cfRule type="duplicateValues" dxfId="7592" priority="9550" stopIfTrue="1"/>
  </conditionalFormatting>
  <conditionalFormatting sqref="A1129">
    <cfRule type="duplicateValues" dxfId="7591" priority="9549" stopIfTrue="1"/>
  </conditionalFormatting>
  <conditionalFormatting sqref="A1129">
    <cfRule type="duplicateValues" dxfId="7590" priority="9548" stopIfTrue="1"/>
  </conditionalFormatting>
  <conditionalFormatting sqref="A1129">
    <cfRule type="duplicateValues" dxfId="7589" priority="9547" stopIfTrue="1"/>
  </conditionalFormatting>
  <conditionalFormatting sqref="A1129">
    <cfRule type="duplicateValues" dxfId="7588" priority="9546" stopIfTrue="1"/>
  </conditionalFormatting>
  <conditionalFormatting sqref="A1129">
    <cfRule type="duplicateValues" dxfId="7587" priority="9545" stopIfTrue="1"/>
  </conditionalFormatting>
  <conditionalFormatting sqref="A1129">
    <cfRule type="duplicateValues" dxfId="7586" priority="9544" stopIfTrue="1"/>
  </conditionalFormatting>
  <conditionalFormatting sqref="A1129">
    <cfRule type="duplicateValues" dxfId="7585" priority="9559" stopIfTrue="1"/>
  </conditionalFormatting>
  <conditionalFormatting sqref="A1129">
    <cfRule type="duplicateValues" dxfId="7584" priority="9543" stopIfTrue="1"/>
  </conditionalFormatting>
  <conditionalFormatting sqref="C1129">
    <cfRule type="duplicateValues" dxfId="7583" priority="9542" stopIfTrue="1"/>
  </conditionalFormatting>
  <conditionalFormatting sqref="A1129">
    <cfRule type="duplicateValues" dxfId="7582" priority="9541" stopIfTrue="1"/>
  </conditionalFormatting>
  <conditionalFormatting sqref="A1129">
    <cfRule type="duplicateValues" dxfId="7581" priority="9540" stopIfTrue="1"/>
  </conditionalFormatting>
  <conditionalFormatting sqref="A1129">
    <cfRule type="duplicateValues" dxfId="7580" priority="9539" stopIfTrue="1"/>
  </conditionalFormatting>
  <conditionalFormatting sqref="A1129">
    <cfRule type="duplicateValues" dxfId="7579" priority="9538" stopIfTrue="1"/>
  </conditionalFormatting>
  <conditionalFormatting sqref="A1129">
    <cfRule type="duplicateValues" dxfId="7578" priority="9537" stopIfTrue="1"/>
  </conditionalFormatting>
  <conditionalFormatting sqref="A1129">
    <cfRule type="duplicateValues" dxfId="7577" priority="9536" stopIfTrue="1"/>
  </conditionalFormatting>
  <conditionalFormatting sqref="A1129">
    <cfRule type="duplicateValues" dxfId="7576" priority="9535" stopIfTrue="1"/>
  </conditionalFormatting>
  <conditionalFormatting sqref="A1129">
    <cfRule type="duplicateValues" dxfId="7575" priority="9534" stopIfTrue="1"/>
  </conditionalFormatting>
  <conditionalFormatting sqref="A1129">
    <cfRule type="duplicateValues" dxfId="7574" priority="9532" stopIfTrue="1"/>
    <cfRule type="duplicateValues" dxfId="7573" priority="9533" stopIfTrue="1"/>
  </conditionalFormatting>
  <conditionalFormatting sqref="A1129">
    <cfRule type="duplicateValues" dxfId="7572" priority="9531" stopIfTrue="1"/>
  </conditionalFormatting>
  <conditionalFormatting sqref="A1129">
    <cfRule type="duplicateValues" dxfId="7571" priority="9530" stopIfTrue="1"/>
  </conditionalFormatting>
  <conditionalFormatting sqref="A1129">
    <cfRule type="duplicateValues" dxfId="7570" priority="9529" stopIfTrue="1"/>
  </conditionalFormatting>
  <conditionalFormatting sqref="A1129">
    <cfRule type="duplicateValues" dxfId="7569" priority="9528" stopIfTrue="1"/>
  </conditionalFormatting>
  <conditionalFormatting sqref="A1130">
    <cfRule type="duplicateValues" dxfId="7568" priority="9526" stopIfTrue="1"/>
  </conditionalFormatting>
  <conditionalFormatting sqref="A1130">
    <cfRule type="duplicateValues" dxfId="7567" priority="9525" stopIfTrue="1"/>
  </conditionalFormatting>
  <conditionalFormatting sqref="A1130">
    <cfRule type="duplicateValues" dxfId="7566" priority="9524" stopIfTrue="1"/>
  </conditionalFormatting>
  <conditionalFormatting sqref="A1130">
    <cfRule type="duplicateValues" dxfId="7565" priority="9523" stopIfTrue="1"/>
  </conditionalFormatting>
  <conditionalFormatting sqref="A1130">
    <cfRule type="duplicateValues" dxfId="7564" priority="9522" stopIfTrue="1"/>
  </conditionalFormatting>
  <conditionalFormatting sqref="A1130">
    <cfRule type="duplicateValues" dxfId="7563" priority="9521" stopIfTrue="1"/>
  </conditionalFormatting>
  <conditionalFormatting sqref="A1130">
    <cfRule type="duplicateValues" dxfId="7562" priority="9520" stopIfTrue="1"/>
  </conditionalFormatting>
  <conditionalFormatting sqref="A1130">
    <cfRule type="duplicateValues" dxfId="7561" priority="9519" stopIfTrue="1"/>
  </conditionalFormatting>
  <conditionalFormatting sqref="A1130">
    <cfRule type="duplicateValues" dxfId="7560" priority="9518" stopIfTrue="1"/>
  </conditionalFormatting>
  <conditionalFormatting sqref="A1130">
    <cfRule type="duplicateValues" dxfId="7559" priority="9517" stopIfTrue="1"/>
  </conditionalFormatting>
  <conditionalFormatting sqref="A1130">
    <cfRule type="duplicateValues" dxfId="7558" priority="9516" stopIfTrue="1"/>
  </conditionalFormatting>
  <conditionalFormatting sqref="A1130">
    <cfRule type="duplicateValues" dxfId="7557" priority="9515" stopIfTrue="1"/>
  </conditionalFormatting>
  <conditionalFormatting sqref="A1130">
    <cfRule type="duplicateValues" dxfId="7556" priority="9514" stopIfTrue="1"/>
  </conditionalFormatting>
  <conditionalFormatting sqref="A1130">
    <cfRule type="duplicateValues" dxfId="7555" priority="9513" stopIfTrue="1"/>
  </conditionalFormatting>
  <conditionalFormatting sqref="A1130">
    <cfRule type="duplicateValues" dxfId="7554" priority="9512" stopIfTrue="1"/>
  </conditionalFormatting>
  <conditionalFormatting sqref="A1130">
    <cfRule type="duplicateValues" dxfId="7553" priority="9527" stopIfTrue="1"/>
  </conditionalFormatting>
  <conditionalFormatting sqref="A1130">
    <cfRule type="duplicateValues" dxfId="7552" priority="9511" stopIfTrue="1"/>
  </conditionalFormatting>
  <conditionalFormatting sqref="C1130">
    <cfRule type="duplicateValues" dxfId="7551" priority="9510" stopIfTrue="1"/>
  </conditionalFormatting>
  <conditionalFormatting sqref="A1130">
    <cfRule type="duplicateValues" dxfId="7550" priority="9509" stopIfTrue="1"/>
  </conditionalFormatting>
  <conditionalFormatting sqref="A1130">
    <cfRule type="duplicateValues" dxfId="7549" priority="9508" stopIfTrue="1"/>
  </conditionalFormatting>
  <conditionalFormatting sqref="A1130">
    <cfRule type="duplicateValues" dxfId="7548" priority="9507" stopIfTrue="1"/>
  </conditionalFormatting>
  <conditionalFormatting sqref="A1130">
    <cfRule type="duplicateValues" dxfId="7547" priority="9506" stopIfTrue="1"/>
  </conditionalFormatting>
  <conditionalFormatting sqref="A1130">
    <cfRule type="duplicateValues" dxfId="7546" priority="9505" stopIfTrue="1"/>
  </conditionalFormatting>
  <conditionalFormatting sqref="A1130">
    <cfRule type="duplicateValues" dxfId="7545" priority="9504" stopIfTrue="1"/>
  </conditionalFormatting>
  <conditionalFormatting sqref="A1130">
    <cfRule type="duplicateValues" dxfId="7544" priority="9503" stopIfTrue="1"/>
  </conditionalFormatting>
  <conditionalFormatting sqref="A1130">
    <cfRule type="duplicateValues" dxfId="7543" priority="9502" stopIfTrue="1"/>
  </conditionalFormatting>
  <conditionalFormatting sqref="A1130">
    <cfRule type="duplicateValues" dxfId="7542" priority="9500" stopIfTrue="1"/>
    <cfRule type="duplicateValues" dxfId="7541" priority="9501" stopIfTrue="1"/>
  </conditionalFormatting>
  <conditionalFormatting sqref="A1130">
    <cfRule type="duplicateValues" dxfId="7540" priority="9499" stopIfTrue="1"/>
  </conditionalFormatting>
  <conditionalFormatting sqref="A1130">
    <cfRule type="duplicateValues" dxfId="7539" priority="9498" stopIfTrue="1"/>
  </conditionalFormatting>
  <conditionalFormatting sqref="A1130">
    <cfRule type="duplicateValues" dxfId="7538" priority="9497" stopIfTrue="1"/>
  </conditionalFormatting>
  <conditionalFormatting sqref="A1130">
    <cfRule type="duplicateValues" dxfId="7537" priority="9496" stopIfTrue="1"/>
  </conditionalFormatting>
  <conditionalFormatting sqref="A1131">
    <cfRule type="duplicateValues" dxfId="7536" priority="9494" stopIfTrue="1"/>
  </conditionalFormatting>
  <conditionalFormatting sqref="A1131">
    <cfRule type="duplicateValues" dxfId="7535" priority="9493" stopIfTrue="1"/>
  </conditionalFormatting>
  <conditionalFormatting sqref="A1131">
    <cfRule type="duplicateValues" dxfId="7534" priority="9492" stopIfTrue="1"/>
  </conditionalFormatting>
  <conditionalFormatting sqref="A1131">
    <cfRule type="duplicateValues" dxfId="7533" priority="9491" stopIfTrue="1"/>
  </conditionalFormatting>
  <conditionalFormatting sqref="A1131">
    <cfRule type="duplicateValues" dxfId="7532" priority="9490" stopIfTrue="1"/>
  </conditionalFormatting>
  <conditionalFormatting sqref="A1131">
    <cfRule type="duplicateValues" dxfId="7531" priority="9489" stopIfTrue="1"/>
  </conditionalFormatting>
  <conditionalFormatting sqref="A1131">
    <cfRule type="duplicateValues" dxfId="7530" priority="9488" stopIfTrue="1"/>
  </conditionalFormatting>
  <conditionalFormatting sqref="A1131">
    <cfRule type="duplicateValues" dxfId="7529" priority="9487" stopIfTrue="1"/>
  </conditionalFormatting>
  <conditionalFormatting sqref="A1131">
    <cfRule type="duplicateValues" dxfId="7528" priority="9486" stopIfTrue="1"/>
  </conditionalFormatting>
  <conditionalFormatting sqref="A1131">
    <cfRule type="duplicateValues" dxfId="7527" priority="9485" stopIfTrue="1"/>
  </conditionalFormatting>
  <conditionalFormatting sqref="A1131">
    <cfRule type="duplicateValues" dxfId="7526" priority="9484" stopIfTrue="1"/>
  </conditionalFormatting>
  <conditionalFormatting sqref="A1131">
    <cfRule type="duplicateValues" dxfId="7525" priority="9483" stopIfTrue="1"/>
  </conditionalFormatting>
  <conditionalFormatting sqref="A1131">
    <cfRule type="duplicateValues" dxfId="7524" priority="9482" stopIfTrue="1"/>
  </conditionalFormatting>
  <conditionalFormatting sqref="A1131">
    <cfRule type="duplicateValues" dxfId="7523" priority="9481" stopIfTrue="1"/>
  </conditionalFormatting>
  <conditionalFormatting sqref="A1131">
    <cfRule type="duplicateValues" dxfId="7522" priority="9480" stopIfTrue="1"/>
  </conditionalFormatting>
  <conditionalFormatting sqref="A1131">
    <cfRule type="duplicateValues" dxfId="7521" priority="9495" stopIfTrue="1"/>
  </conditionalFormatting>
  <conditionalFormatting sqref="A1131">
    <cfRule type="duplicateValues" dxfId="7520" priority="9479" stopIfTrue="1"/>
  </conditionalFormatting>
  <conditionalFormatting sqref="C1131">
    <cfRule type="duplicateValues" dxfId="7519" priority="9478" stopIfTrue="1"/>
  </conditionalFormatting>
  <conditionalFormatting sqref="A1131">
    <cfRule type="duplicateValues" dxfId="7518" priority="9477" stopIfTrue="1"/>
  </conditionalFormatting>
  <conditionalFormatting sqref="A1131">
    <cfRule type="duplicateValues" dxfId="7517" priority="9476" stopIfTrue="1"/>
  </conditionalFormatting>
  <conditionalFormatting sqref="A1131">
    <cfRule type="duplicateValues" dxfId="7516" priority="9475" stopIfTrue="1"/>
  </conditionalFormatting>
  <conditionalFormatting sqref="A1131">
    <cfRule type="duplicateValues" dxfId="7515" priority="9474" stopIfTrue="1"/>
  </conditionalFormatting>
  <conditionalFormatting sqref="A1131">
    <cfRule type="duplicateValues" dxfId="7514" priority="9473" stopIfTrue="1"/>
  </conditionalFormatting>
  <conditionalFormatting sqref="A1131">
    <cfRule type="duplicateValues" dxfId="7513" priority="9472" stopIfTrue="1"/>
  </conditionalFormatting>
  <conditionalFormatting sqref="A1131">
    <cfRule type="duplicateValues" dxfId="7512" priority="9471" stopIfTrue="1"/>
  </conditionalFormatting>
  <conditionalFormatting sqref="A1131">
    <cfRule type="duplicateValues" dxfId="7511" priority="9470" stopIfTrue="1"/>
  </conditionalFormatting>
  <conditionalFormatting sqref="A1131">
    <cfRule type="duplicateValues" dxfId="7510" priority="9468" stopIfTrue="1"/>
    <cfRule type="duplicateValues" dxfId="7509" priority="9469" stopIfTrue="1"/>
  </conditionalFormatting>
  <conditionalFormatting sqref="A1131">
    <cfRule type="duplicateValues" dxfId="7508" priority="9467" stopIfTrue="1"/>
  </conditionalFormatting>
  <conditionalFormatting sqref="A1131">
    <cfRule type="duplicateValues" dxfId="7507" priority="9466" stopIfTrue="1"/>
  </conditionalFormatting>
  <conditionalFormatting sqref="A1131">
    <cfRule type="duplicateValues" dxfId="7506" priority="9465" stopIfTrue="1"/>
  </conditionalFormatting>
  <conditionalFormatting sqref="A1131">
    <cfRule type="duplicateValues" dxfId="7505" priority="9464" stopIfTrue="1"/>
  </conditionalFormatting>
  <conditionalFormatting sqref="A1132">
    <cfRule type="duplicateValues" dxfId="7504" priority="9430" stopIfTrue="1"/>
  </conditionalFormatting>
  <conditionalFormatting sqref="A1132">
    <cfRule type="duplicateValues" dxfId="7503" priority="9429" stopIfTrue="1"/>
  </conditionalFormatting>
  <conditionalFormatting sqref="A1132">
    <cfRule type="duplicateValues" dxfId="7502" priority="9428" stopIfTrue="1"/>
  </conditionalFormatting>
  <conditionalFormatting sqref="A1132">
    <cfRule type="duplicateValues" dxfId="7501" priority="9427" stopIfTrue="1"/>
  </conditionalFormatting>
  <conditionalFormatting sqref="A1132">
    <cfRule type="duplicateValues" dxfId="7500" priority="9426" stopIfTrue="1"/>
  </conditionalFormatting>
  <conditionalFormatting sqref="A1132">
    <cfRule type="duplicateValues" dxfId="7499" priority="9425" stopIfTrue="1"/>
  </conditionalFormatting>
  <conditionalFormatting sqref="A1132">
    <cfRule type="duplicateValues" dxfId="7498" priority="9424" stopIfTrue="1"/>
  </conditionalFormatting>
  <conditionalFormatting sqref="A1132">
    <cfRule type="duplicateValues" dxfId="7497" priority="9423" stopIfTrue="1"/>
  </conditionalFormatting>
  <conditionalFormatting sqref="A1132">
    <cfRule type="duplicateValues" dxfId="7496" priority="9422" stopIfTrue="1"/>
  </conditionalFormatting>
  <conditionalFormatting sqref="A1132">
    <cfRule type="duplicateValues" dxfId="7495" priority="9421" stopIfTrue="1"/>
  </conditionalFormatting>
  <conditionalFormatting sqref="A1132">
    <cfRule type="duplicateValues" dxfId="7494" priority="9420" stopIfTrue="1"/>
  </conditionalFormatting>
  <conditionalFormatting sqref="A1132">
    <cfRule type="duplicateValues" dxfId="7493" priority="9419" stopIfTrue="1"/>
  </conditionalFormatting>
  <conditionalFormatting sqref="A1132">
    <cfRule type="duplicateValues" dxfId="7492" priority="9418" stopIfTrue="1"/>
  </conditionalFormatting>
  <conditionalFormatting sqref="A1132">
    <cfRule type="duplicateValues" dxfId="7491" priority="9417" stopIfTrue="1"/>
  </conditionalFormatting>
  <conditionalFormatting sqref="A1132">
    <cfRule type="duplicateValues" dxfId="7490" priority="9416" stopIfTrue="1"/>
  </conditionalFormatting>
  <conditionalFormatting sqref="A1132">
    <cfRule type="duplicateValues" dxfId="7489" priority="9431" stopIfTrue="1"/>
  </conditionalFormatting>
  <conditionalFormatting sqref="A1132">
    <cfRule type="duplicateValues" dxfId="7488" priority="9415" stopIfTrue="1"/>
  </conditionalFormatting>
  <conditionalFormatting sqref="C1132">
    <cfRule type="duplicateValues" dxfId="7487" priority="9414" stopIfTrue="1"/>
  </conditionalFormatting>
  <conditionalFormatting sqref="A1132">
    <cfRule type="duplicateValues" dxfId="7486" priority="9413" stopIfTrue="1"/>
  </conditionalFormatting>
  <conditionalFormatting sqref="A1132">
    <cfRule type="duplicateValues" dxfId="7485" priority="9412" stopIfTrue="1"/>
  </conditionalFormatting>
  <conditionalFormatting sqref="A1132">
    <cfRule type="duplicateValues" dxfId="7484" priority="9411" stopIfTrue="1"/>
  </conditionalFormatting>
  <conditionalFormatting sqref="A1132">
    <cfRule type="duplicateValues" dxfId="7483" priority="9410" stopIfTrue="1"/>
  </conditionalFormatting>
  <conditionalFormatting sqref="A1132">
    <cfRule type="duplicateValues" dxfId="7482" priority="9409" stopIfTrue="1"/>
  </conditionalFormatting>
  <conditionalFormatting sqref="A1132">
    <cfRule type="duplicateValues" dxfId="7481" priority="9408" stopIfTrue="1"/>
  </conditionalFormatting>
  <conditionalFormatting sqref="A1132">
    <cfRule type="duplicateValues" dxfId="7480" priority="9407" stopIfTrue="1"/>
  </conditionalFormatting>
  <conditionalFormatting sqref="A1132">
    <cfRule type="duplicateValues" dxfId="7479" priority="9406" stopIfTrue="1"/>
  </conditionalFormatting>
  <conditionalFormatting sqref="A1132">
    <cfRule type="duplicateValues" dxfId="7478" priority="9404" stopIfTrue="1"/>
    <cfRule type="duplicateValues" dxfId="7477" priority="9405" stopIfTrue="1"/>
  </conditionalFormatting>
  <conditionalFormatting sqref="A1132">
    <cfRule type="duplicateValues" dxfId="7476" priority="9403" stopIfTrue="1"/>
  </conditionalFormatting>
  <conditionalFormatting sqref="A1132">
    <cfRule type="duplicateValues" dxfId="7475" priority="9402" stopIfTrue="1"/>
  </conditionalFormatting>
  <conditionalFormatting sqref="A1132">
    <cfRule type="duplicateValues" dxfId="7474" priority="9401" stopIfTrue="1"/>
  </conditionalFormatting>
  <conditionalFormatting sqref="A1132">
    <cfRule type="duplicateValues" dxfId="7473" priority="9400" stopIfTrue="1"/>
  </conditionalFormatting>
  <conditionalFormatting sqref="A1133">
    <cfRule type="duplicateValues" dxfId="7472" priority="9398" stopIfTrue="1"/>
  </conditionalFormatting>
  <conditionalFormatting sqref="A1133">
    <cfRule type="duplicateValues" dxfId="7471" priority="9397" stopIfTrue="1"/>
  </conditionalFormatting>
  <conditionalFormatting sqref="A1133">
    <cfRule type="duplicateValues" dxfId="7470" priority="9396" stopIfTrue="1"/>
  </conditionalFormatting>
  <conditionalFormatting sqref="A1133">
    <cfRule type="duplicateValues" dxfId="7469" priority="9395" stopIfTrue="1"/>
  </conditionalFormatting>
  <conditionalFormatting sqref="A1133">
    <cfRule type="duplicateValues" dxfId="7468" priority="9394" stopIfTrue="1"/>
  </conditionalFormatting>
  <conditionalFormatting sqref="A1133">
    <cfRule type="duplicateValues" dxfId="7467" priority="9393" stopIfTrue="1"/>
  </conditionalFormatting>
  <conditionalFormatting sqref="A1133">
    <cfRule type="duplicateValues" dxfId="7466" priority="9392" stopIfTrue="1"/>
  </conditionalFormatting>
  <conditionalFormatting sqref="A1133">
    <cfRule type="duplicateValues" dxfId="7465" priority="9391" stopIfTrue="1"/>
  </conditionalFormatting>
  <conditionalFormatting sqref="A1133">
    <cfRule type="duplicateValues" dxfId="7464" priority="9390" stopIfTrue="1"/>
  </conditionalFormatting>
  <conditionalFormatting sqref="A1133">
    <cfRule type="duplicateValues" dxfId="7463" priority="9389" stopIfTrue="1"/>
  </conditionalFormatting>
  <conditionalFormatting sqref="A1133">
    <cfRule type="duplicateValues" dxfId="7462" priority="9388" stopIfTrue="1"/>
  </conditionalFormatting>
  <conditionalFormatting sqref="A1133">
    <cfRule type="duplicateValues" dxfId="7461" priority="9387" stopIfTrue="1"/>
  </conditionalFormatting>
  <conditionalFormatting sqref="A1133">
    <cfRule type="duplicateValues" dxfId="7460" priority="9386" stopIfTrue="1"/>
  </conditionalFormatting>
  <conditionalFormatting sqref="A1133">
    <cfRule type="duplicateValues" dxfId="7459" priority="9385" stopIfTrue="1"/>
  </conditionalFormatting>
  <conditionalFormatting sqref="A1133">
    <cfRule type="duplicateValues" dxfId="7458" priority="9384" stopIfTrue="1"/>
  </conditionalFormatting>
  <conditionalFormatting sqref="A1133">
    <cfRule type="duplicateValues" dxfId="7457" priority="9399" stopIfTrue="1"/>
  </conditionalFormatting>
  <conditionalFormatting sqref="A1133">
    <cfRule type="duplicateValues" dxfId="7456" priority="9383" stopIfTrue="1"/>
  </conditionalFormatting>
  <conditionalFormatting sqref="C1133">
    <cfRule type="duplicateValues" dxfId="7455" priority="9382" stopIfTrue="1"/>
  </conditionalFormatting>
  <conditionalFormatting sqref="A1133">
    <cfRule type="duplicateValues" dxfId="7454" priority="9381" stopIfTrue="1"/>
  </conditionalFormatting>
  <conditionalFormatting sqref="A1133">
    <cfRule type="duplicateValues" dxfId="7453" priority="9380" stopIfTrue="1"/>
  </conditionalFormatting>
  <conditionalFormatting sqref="A1133">
    <cfRule type="duplicateValues" dxfId="7452" priority="9379" stopIfTrue="1"/>
  </conditionalFormatting>
  <conditionalFormatting sqref="A1133">
    <cfRule type="duplicateValues" dxfId="7451" priority="9378" stopIfTrue="1"/>
  </conditionalFormatting>
  <conditionalFormatting sqref="A1133">
    <cfRule type="duplicateValues" dxfId="7450" priority="9377" stopIfTrue="1"/>
  </conditionalFormatting>
  <conditionalFormatting sqref="A1133">
    <cfRule type="duplicateValues" dxfId="7449" priority="9376" stopIfTrue="1"/>
  </conditionalFormatting>
  <conditionalFormatting sqref="A1133">
    <cfRule type="duplicateValues" dxfId="7448" priority="9375" stopIfTrue="1"/>
  </conditionalFormatting>
  <conditionalFormatting sqref="A1133">
    <cfRule type="duplicateValues" dxfId="7447" priority="9374" stopIfTrue="1"/>
  </conditionalFormatting>
  <conditionalFormatting sqref="A1133">
    <cfRule type="duplicateValues" dxfId="7446" priority="9372" stopIfTrue="1"/>
    <cfRule type="duplicateValues" dxfId="7445" priority="9373" stopIfTrue="1"/>
  </conditionalFormatting>
  <conditionalFormatting sqref="A1133">
    <cfRule type="duplicateValues" dxfId="7444" priority="9371" stopIfTrue="1"/>
  </conditionalFormatting>
  <conditionalFormatting sqref="A1133">
    <cfRule type="duplicateValues" dxfId="7443" priority="9370" stopIfTrue="1"/>
  </conditionalFormatting>
  <conditionalFormatting sqref="A1133">
    <cfRule type="duplicateValues" dxfId="7442" priority="9369" stopIfTrue="1"/>
  </conditionalFormatting>
  <conditionalFormatting sqref="A1133">
    <cfRule type="duplicateValues" dxfId="7441" priority="9368" stopIfTrue="1"/>
  </conditionalFormatting>
  <conditionalFormatting sqref="A1545">
    <cfRule type="duplicateValues" dxfId="7440" priority="9366" stopIfTrue="1"/>
  </conditionalFormatting>
  <conditionalFormatting sqref="A1545">
    <cfRule type="duplicateValues" dxfId="7439" priority="9365" stopIfTrue="1"/>
  </conditionalFormatting>
  <conditionalFormatting sqref="A1545">
    <cfRule type="duplicateValues" dxfId="7438" priority="9364" stopIfTrue="1"/>
  </conditionalFormatting>
  <conditionalFormatting sqref="A1545">
    <cfRule type="duplicateValues" dxfId="7437" priority="9363" stopIfTrue="1"/>
  </conditionalFormatting>
  <conditionalFormatting sqref="A1545">
    <cfRule type="duplicateValues" dxfId="7436" priority="9362" stopIfTrue="1"/>
  </conditionalFormatting>
  <conditionalFormatting sqref="A1545">
    <cfRule type="duplicateValues" dxfId="7435" priority="9361" stopIfTrue="1"/>
  </conditionalFormatting>
  <conditionalFormatting sqref="A1545">
    <cfRule type="duplicateValues" dxfId="7434" priority="9360" stopIfTrue="1"/>
  </conditionalFormatting>
  <conditionalFormatting sqref="A1545">
    <cfRule type="duplicateValues" dxfId="7433" priority="9359" stopIfTrue="1"/>
  </conditionalFormatting>
  <conditionalFormatting sqref="A1545">
    <cfRule type="duplicateValues" dxfId="7432" priority="9358" stopIfTrue="1"/>
  </conditionalFormatting>
  <conditionalFormatting sqref="A1545">
    <cfRule type="duplicateValues" dxfId="7431" priority="9357" stopIfTrue="1"/>
  </conditionalFormatting>
  <conditionalFormatting sqref="A1545">
    <cfRule type="duplicateValues" dxfId="7430" priority="9356" stopIfTrue="1"/>
  </conditionalFormatting>
  <conditionalFormatting sqref="A1545">
    <cfRule type="duplicateValues" dxfId="7429" priority="9355" stopIfTrue="1"/>
  </conditionalFormatting>
  <conditionalFormatting sqref="A1545">
    <cfRule type="duplicateValues" dxfId="7428" priority="9354" stopIfTrue="1"/>
  </conditionalFormatting>
  <conditionalFormatting sqref="A1545">
    <cfRule type="duplicateValues" dxfId="7427" priority="9353" stopIfTrue="1"/>
  </conditionalFormatting>
  <conditionalFormatting sqref="A1545">
    <cfRule type="duplicateValues" dxfId="7426" priority="9352" stopIfTrue="1"/>
  </conditionalFormatting>
  <conditionalFormatting sqref="A1545">
    <cfRule type="duplicateValues" dxfId="7425" priority="9367" stopIfTrue="1"/>
  </conditionalFormatting>
  <conditionalFormatting sqref="A1545">
    <cfRule type="duplicateValues" dxfId="7424" priority="9351" stopIfTrue="1"/>
  </conditionalFormatting>
  <conditionalFormatting sqref="C1545">
    <cfRule type="duplicateValues" dxfId="7423" priority="9350" stopIfTrue="1"/>
  </conditionalFormatting>
  <conditionalFormatting sqref="A1545">
    <cfRule type="duplicateValues" dxfId="7422" priority="9349" stopIfTrue="1"/>
  </conditionalFormatting>
  <conditionalFormatting sqref="A1545">
    <cfRule type="duplicateValues" dxfId="7421" priority="9348" stopIfTrue="1"/>
  </conditionalFormatting>
  <conditionalFormatting sqref="A1545">
    <cfRule type="duplicateValues" dxfId="7420" priority="9347" stopIfTrue="1"/>
  </conditionalFormatting>
  <conditionalFormatting sqref="A1545">
    <cfRule type="duplicateValues" dxfId="7419" priority="9346" stopIfTrue="1"/>
  </conditionalFormatting>
  <conditionalFormatting sqref="A1545">
    <cfRule type="duplicateValues" dxfId="7418" priority="9345" stopIfTrue="1"/>
  </conditionalFormatting>
  <conditionalFormatting sqref="A1545">
    <cfRule type="duplicateValues" dxfId="7417" priority="9344" stopIfTrue="1"/>
  </conditionalFormatting>
  <conditionalFormatting sqref="A1545">
    <cfRule type="duplicateValues" dxfId="7416" priority="9343" stopIfTrue="1"/>
  </conditionalFormatting>
  <conditionalFormatting sqref="A1545">
    <cfRule type="duplicateValues" dxfId="7415" priority="9342" stopIfTrue="1"/>
  </conditionalFormatting>
  <conditionalFormatting sqref="A1545">
    <cfRule type="duplicateValues" dxfId="7414" priority="9340" stopIfTrue="1"/>
    <cfRule type="duplicateValues" dxfId="7413" priority="9341" stopIfTrue="1"/>
  </conditionalFormatting>
  <conditionalFormatting sqref="A1545">
    <cfRule type="duplicateValues" dxfId="7412" priority="9339" stopIfTrue="1"/>
  </conditionalFormatting>
  <conditionalFormatting sqref="A1545">
    <cfRule type="duplicateValues" dxfId="7411" priority="9338" stopIfTrue="1"/>
  </conditionalFormatting>
  <conditionalFormatting sqref="A1545">
    <cfRule type="duplicateValues" dxfId="7410" priority="9337" stopIfTrue="1"/>
  </conditionalFormatting>
  <conditionalFormatting sqref="A1545">
    <cfRule type="duplicateValues" dxfId="7409" priority="9336" stopIfTrue="1"/>
  </conditionalFormatting>
  <conditionalFormatting sqref="A1899:A66161 A1681:A1699 A1 A1150:A1153 A1498:A1500 A1702:A1719 A1722:A1739 A1742:A1760 A1763:A1781 A362:A529 A1074:A1133 A531:A1070 A357 A1433:A1448 A1159:A1162 A1512:A1545 A1466:A1490 A1450:A1464 A1164:A1408 A1427">
    <cfRule type="duplicateValues" dxfId="7408" priority="9335" stopIfTrue="1"/>
  </conditionalFormatting>
  <conditionalFormatting sqref="C1490">
    <cfRule type="duplicateValues" dxfId="7407" priority="9318" stopIfTrue="1"/>
  </conditionalFormatting>
  <conditionalFormatting sqref="A1134">
    <cfRule type="duplicateValues" dxfId="7406" priority="9301" stopIfTrue="1"/>
  </conditionalFormatting>
  <conditionalFormatting sqref="A1134">
    <cfRule type="duplicateValues" dxfId="7405" priority="9300" stopIfTrue="1"/>
  </conditionalFormatting>
  <conditionalFormatting sqref="A1134">
    <cfRule type="duplicateValues" dxfId="7404" priority="9299" stopIfTrue="1"/>
  </conditionalFormatting>
  <conditionalFormatting sqref="A1134">
    <cfRule type="duplicateValues" dxfId="7403" priority="9298" stopIfTrue="1"/>
  </conditionalFormatting>
  <conditionalFormatting sqref="A1134">
    <cfRule type="duplicateValues" dxfId="7402" priority="9297" stopIfTrue="1"/>
  </conditionalFormatting>
  <conditionalFormatting sqref="A1134">
    <cfRule type="duplicateValues" dxfId="7401" priority="9296" stopIfTrue="1"/>
  </conditionalFormatting>
  <conditionalFormatting sqref="A1134">
    <cfRule type="duplicateValues" dxfId="7400" priority="9295" stopIfTrue="1"/>
  </conditionalFormatting>
  <conditionalFormatting sqref="A1134">
    <cfRule type="duplicateValues" dxfId="7399" priority="9294" stopIfTrue="1"/>
  </conditionalFormatting>
  <conditionalFormatting sqref="A1134">
    <cfRule type="duplicateValues" dxfId="7398" priority="9293" stopIfTrue="1"/>
  </conditionalFormatting>
  <conditionalFormatting sqref="A1134">
    <cfRule type="duplicateValues" dxfId="7397" priority="9292" stopIfTrue="1"/>
  </conditionalFormatting>
  <conditionalFormatting sqref="A1134">
    <cfRule type="duplicateValues" dxfId="7396" priority="9291" stopIfTrue="1"/>
  </conditionalFormatting>
  <conditionalFormatting sqref="A1134">
    <cfRule type="duplicateValues" dxfId="7395" priority="9290" stopIfTrue="1"/>
  </conditionalFormatting>
  <conditionalFormatting sqref="A1134">
    <cfRule type="duplicateValues" dxfId="7394" priority="9289" stopIfTrue="1"/>
  </conditionalFormatting>
  <conditionalFormatting sqref="A1134">
    <cfRule type="duplicateValues" dxfId="7393" priority="9288" stopIfTrue="1"/>
  </conditionalFormatting>
  <conditionalFormatting sqref="A1134">
    <cfRule type="duplicateValues" dxfId="7392" priority="9302" stopIfTrue="1"/>
  </conditionalFormatting>
  <conditionalFormatting sqref="A1134">
    <cfRule type="duplicateValues" dxfId="7391" priority="9287" stopIfTrue="1"/>
  </conditionalFormatting>
  <conditionalFormatting sqref="C1134">
    <cfRule type="duplicateValues" dxfId="7390" priority="9286" stopIfTrue="1"/>
  </conditionalFormatting>
  <conditionalFormatting sqref="A1134">
    <cfRule type="duplicateValues" dxfId="7389" priority="9285" stopIfTrue="1"/>
  </conditionalFormatting>
  <conditionalFormatting sqref="A1134">
    <cfRule type="duplicateValues" dxfId="7388" priority="9284" stopIfTrue="1"/>
  </conditionalFormatting>
  <conditionalFormatting sqref="A1134">
    <cfRule type="duplicateValues" dxfId="7387" priority="9283" stopIfTrue="1"/>
  </conditionalFormatting>
  <conditionalFormatting sqref="A1134">
    <cfRule type="duplicateValues" dxfId="7386" priority="9282" stopIfTrue="1"/>
  </conditionalFormatting>
  <conditionalFormatting sqref="A1134">
    <cfRule type="duplicateValues" dxfId="7385" priority="9281" stopIfTrue="1"/>
  </conditionalFormatting>
  <conditionalFormatting sqref="A1134">
    <cfRule type="duplicateValues" dxfId="7384" priority="9280" stopIfTrue="1"/>
  </conditionalFormatting>
  <conditionalFormatting sqref="A1134">
    <cfRule type="duplicateValues" dxfId="7383" priority="9279" stopIfTrue="1"/>
  </conditionalFormatting>
  <conditionalFormatting sqref="A1134">
    <cfRule type="duplicateValues" dxfId="7382" priority="9278" stopIfTrue="1"/>
  </conditionalFormatting>
  <conditionalFormatting sqref="A1134">
    <cfRule type="duplicateValues" dxfId="7381" priority="9276" stopIfTrue="1"/>
    <cfRule type="duplicateValues" dxfId="7380" priority="9277" stopIfTrue="1"/>
  </conditionalFormatting>
  <conditionalFormatting sqref="A1134">
    <cfRule type="duplicateValues" dxfId="7379" priority="9275" stopIfTrue="1"/>
  </conditionalFormatting>
  <conditionalFormatting sqref="A1134">
    <cfRule type="duplicateValues" dxfId="7378" priority="9274" stopIfTrue="1"/>
  </conditionalFormatting>
  <conditionalFormatting sqref="A1134">
    <cfRule type="duplicateValues" dxfId="7377" priority="9273" stopIfTrue="1"/>
  </conditionalFormatting>
  <conditionalFormatting sqref="A1134">
    <cfRule type="duplicateValues" dxfId="7376" priority="9272" stopIfTrue="1"/>
  </conditionalFormatting>
  <conditionalFormatting sqref="A1134">
    <cfRule type="duplicateValues" dxfId="7375" priority="9271" stopIfTrue="1"/>
  </conditionalFormatting>
  <conditionalFormatting sqref="A1547">
    <cfRule type="duplicateValues" dxfId="7374" priority="9269" stopIfTrue="1"/>
  </conditionalFormatting>
  <conditionalFormatting sqref="A1547">
    <cfRule type="duplicateValues" dxfId="7373" priority="9268" stopIfTrue="1"/>
  </conditionalFormatting>
  <conditionalFormatting sqref="A1547">
    <cfRule type="duplicateValues" dxfId="7372" priority="9267" stopIfTrue="1"/>
  </conditionalFormatting>
  <conditionalFormatting sqref="A1547">
    <cfRule type="duplicateValues" dxfId="7371" priority="9266" stopIfTrue="1"/>
  </conditionalFormatting>
  <conditionalFormatting sqref="A1547">
    <cfRule type="duplicateValues" dxfId="7370" priority="9265" stopIfTrue="1"/>
  </conditionalFormatting>
  <conditionalFormatting sqref="A1547">
    <cfRule type="duplicateValues" dxfId="7369" priority="9264" stopIfTrue="1"/>
  </conditionalFormatting>
  <conditionalFormatting sqref="A1547">
    <cfRule type="duplicateValues" dxfId="7368" priority="9263" stopIfTrue="1"/>
  </conditionalFormatting>
  <conditionalFormatting sqref="A1547">
    <cfRule type="duplicateValues" dxfId="7367" priority="9262" stopIfTrue="1"/>
  </conditionalFormatting>
  <conditionalFormatting sqref="A1547">
    <cfRule type="duplicateValues" dxfId="7366" priority="9261" stopIfTrue="1"/>
  </conditionalFormatting>
  <conditionalFormatting sqref="A1547">
    <cfRule type="duplicateValues" dxfId="7365" priority="9260" stopIfTrue="1"/>
  </conditionalFormatting>
  <conditionalFormatting sqref="A1547">
    <cfRule type="duplicateValues" dxfId="7364" priority="9259" stopIfTrue="1"/>
  </conditionalFormatting>
  <conditionalFormatting sqref="A1547">
    <cfRule type="duplicateValues" dxfId="7363" priority="9258" stopIfTrue="1"/>
  </conditionalFormatting>
  <conditionalFormatting sqref="A1547">
    <cfRule type="duplicateValues" dxfId="7362" priority="9257" stopIfTrue="1"/>
  </conditionalFormatting>
  <conditionalFormatting sqref="A1547">
    <cfRule type="duplicateValues" dxfId="7361" priority="9256" stopIfTrue="1"/>
  </conditionalFormatting>
  <conditionalFormatting sqref="A1547">
    <cfRule type="duplicateValues" dxfId="7360" priority="9270" stopIfTrue="1"/>
  </conditionalFormatting>
  <conditionalFormatting sqref="A1547">
    <cfRule type="duplicateValues" dxfId="7359" priority="9255" stopIfTrue="1"/>
  </conditionalFormatting>
  <conditionalFormatting sqref="C1547">
    <cfRule type="duplicateValues" dxfId="7358" priority="9254" stopIfTrue="1"/>
  </conditionalFormatting>
  <conditionalFormatting sqref="A1547">
    <cfRule type="duplicateValues" dxfId="7357" priority="9253" stopIfTrue="1"/>
  </conditionalFormatting>
  <conditionalFormatting sqref="A1547">
    <cfRule type="duplicateValues" dxfId="7356" priority="9252" stopIfTrue="1"/>
  </conditionalFormatting>
  <conditionalFormatting sqref="A1547">
    <cfRule type="duplicateValues" dxfId="7355" priority="9251" stopIfTrue="1"/>
  </conditionalFormatting>
  <conditionalFormatting sqref="A1547">
    <cfRule type="duplicateValues" dxfId="7354" priority="9250" stopIfTrue="1"/>
  </conditionalFormatting>
  <conditionalFormatting sqref="A1547">
    <cfRule type="duplicateValues" dxfId="7353" priority="9249" stopIfTrue="1"/>
  </conditionalFormatting>
  <conditionalFormatting sqref="A1547">
    <cfRule type="duplicateValues" dxfId="7352" priority="9248" stopIfTrue="1"/>
  </conditionalFormatting>
  <conditionalFormatting sqref="A1547">
    <cfRule type="duplicateValues" dxfId="7351" priority="9247" stopIfTrue="1"/>
  </conditionalFormatting>
  <conditionalFormatting sqref="A1547">
    <cfRule type="duplicateValues" dxfId="7350" priority="9246" stopIfTrue="1"/>
  </conditionalFormatting>
  <conditionalFormatting sqref="A1547">
    <cfRule type="duplicateValues" dxfId="7349" priority="9244" stopIfTrue="1"/>
    <cfRule type="duplicateValues" dxfId="7348" priority="9245" stopIfTrue="1"/>
  </conditionalFormatting>
  <conditionalFormatting sqref="A1547">
    <cfRule type="duplicateValues" dxfId="7347" priority="9243" stopIfTrue="1"/>
  </conditionalFormatting>
  <conditionalFormatting sqref="A1547">
    <cfRule type="duplicateValues" dxfId="7346" priority="9242" stopIfTrue="1"/>
  </conditionalFormatting>
  <conditionalFormatting sqref="A1547">
    <cfRule type="duplicateValues" dxfId="7345" priority="9241" stopIfTrue="1"/>
  </conditionalFormatting>
  <conditionalFormatting sqref="A1547">
    <cfRule type="duplicateValues" dxfId="7344" priority="9240" stopIfTrue="1"/>
  </conditionalFormatting>
  <conditionalFormatting sqref="A1547">
    <cfRule type="duplicateValues" dxfId="7343" priority="9239" stopIfTrue="1"/>
  </conditionalFormatting>
  <conditionalFormatting sqref="A1546">
    <cfRule type="duplicateValues" dxfId="7342" priority="9231" stopIfTrue="1"/>
  </conditionalFormatting>
  <conditionalFormatting sqref="A1546">
    <cfRule type="duplicateValues" dxfId="7341" priority="9230" stopIfTrue="1"/>
  </conditionalFormatting>
  <conditionalFormatting sqref="A1546">
    <cfRule type="duplicateValues" dxfId="7340" priority="9229" stopIfTrue="1"/>
  </conditionalFormatting>
  <conditionalFormatting sqref="A1546">
    <cfRule type="duplicateValues" dxfId="7339" priority="9228" stopIfTrue="1"/>
  </conditionalFormatting>
  <conditionalFormatting sqref="A1546">
    <cfRule type="duplicateValues" dxfId="7338" priority="9227" stopIfTrue="1"/>
  </conditionalFormatting>
  <conditionalFormatting sqref="A1546">
    <cfRule type="duplicateValues" dxfId="7337" priority="9226" stopIfTrue="1"/>
  </conditionalFormatting>
  <conditionalFormatting sqref="A1546">
    <cfRule type="duplicateValues" dxfId="7336" priority="9225" stopIfTrue="1"/>
  </conditionalFormatting>
  <conditionalFormatting sqref="A1546">
    <cfRule type="duplicateValues" dxfId="7335" priority="9224" stopIfTrue="1"/>
  </conditionalFormatting>
  <conditionalFormatting sqref="A1546">
    <cfRule type="duplicateValues" dxfId="7334" priority="9223" stopIfTrue="1"/>
  </conditionalFormatting>
  <conditionalFormatting sqref="A1546">
    <cfRule type="duplicateValues" dxfId="7333" priority="9222" stopIfTrue="1"/>
  </conditionalFormatting>
  <conditionalFormatting sqref="A1546">
    <cfRule type="duplicateValues" dxfId="7332" priority="9221" stopIfTrue="1"/>
  </conditionalFormatting>
  <conditionalFormatting sqref="A1546">
    <cfRule type="duplicateValues" dxfId="7331" priority="9220" stopIfTrue="1"/>
  </conditionalFormatting>
  <conditionalFormatting sqref="A1546">
    <cfRule type="duplicateValues" dxfId="7330" priority="9232" stopIfTrue="1"/>
  </conditionalFormatting>
  <conditionalFormatting sqref="A1546">
    <cfRule type="duplicateValues" dxfId="7329" priority="9219" stopIfTrue="1"/>
  </conditionalFormatting>
  <conditionalFormatting sqref="A1546">
    <cfRule type="duplicateValues" dxfId="7328" priority="9233" stopIfTrue="1"/>
  </conditionalFormatting>
  <conditionalFormatting sqref="A1546">
    <cfRule type="duplicateValues" dxfId="7327" priority="9234" stopIfTrue="1"/>
  </conditionalFormatting>
  <conditionalFormatting sqref="C1546">
    <cfRule type="duplicateValues" dxfId="7326" priority="9235" stopIfTrue="1"/>
  </conditionalFormatting>
  <conditionalFormatting sqref="A1546">
    <cfRule type="duplicateValues" dxfId="7325" priority="9236" stopIfTrue="1"/>
  </conditionalFormatting>
  <conditionalFormatting sqref="R1546">
    <cfRule type="duplicateValues" dxfId="7324" priority="9237" stopIfTrue="1"/>
  </conditionalFormatting>
  <conditionalFormatting sqref="R1546">
    <cfRule type="duplicateValues" dxfId="7323" priority="9238" stopIfTrue="1"/>
  </conditionalFormatting>
  <conditionalFormatting sqref="A1546">
    <cfRule type="duplicateValues" dxfId="7322" priority="9218" stopIfTrue="1"/>
  </conditionalFormatting>
  <conditionalFormatting sqref="A1546">
    <cfRule type="duplicateValues" dxfId="7321" priority="9217" stopIfTrue="1"/>
  </conditionalFormatting>
  <conditionalFormatting sqref="A1546">
    <cfRule type="duplicateValues" dxfId="7320" priority="9216" stopIfTrue="1"/>
  </conditionalFormatting>
  <conditionalFormatting sqref="A1546">
    <cfRule type="duplicateValues" dxfId="7319" priority="9214" stopIfTrue="1"/>
    <cfRule type="duplicateValues" dxfId="7318" priority="9215" stopIfTrue="1"/>
  </conditionalFormatting>
  <conditionalFormatting sqref="A1546">
    <cfRule type="duplicateValues" dxfId="7317" priority="9213" stopIfTrue="1"/>
  </conditionalFormatting>
  <conditionalFormatting sqref="A1546">
    <cfRule type="duplicateValues" dxfId="7316" priority="9212" stopIfTrue="1"/>
  </conditionalFormatting>
  <conditionalFormatting sqref="A1546">
    <cfRule type="duplicateValues" dxfId="7315" priority="9211" stopIfTrue="1"/>
  </conditionalFormatting>
  <conditionalFormatting sqref="A1546">
    <cfRule type="duplicateValues" dxfId="7314" priority="9210" stopIfTrue="1"/>
  </conditionalFormatting>
  <conditionalFormatting sqref="A1546">
    <cfRule type="duplicateValues" dxfId="7313" priority="9209" stopIfTrue="1"/>
  </conditionalFormatting>
  <conditionalFormatting sqref="A1548">
    <cfRule type="duplicateValues" dxfId="7312" priority="9201" stopIfTrue="1"/>
  </conditionalFormatting>
  <conditionalFormatting sqref="A1548">
    <cfRule type="duplicateValues" dxfId="7311" priority="9200" stopIfTrue="1"/>
  </conditionalFormatting>
  <conditionalFormatting sqref="A1548">
    <cfRule type="duplicateValues" dxfId="7310" priority="9199" stopIfTrue="1"/>
  </conditionalFormatting>
  <conditionalFormatting sqref="A1548">
    <cfRule type="duplicateValues" dxfId="7309" priority="9198" stopIfTrue="1"/>
  </conditionalFormatting>
  <conditionalFormatting sqref="A1548">
    <cfRule type="duplicateValues" dxfId="7308" priority="9197" stopIfTrue="1"/>
  </conditionalFormatting>
  <conditionalFormatting sqref="A1548">
    <cfRule type="duplicateValues" dxfId="7307" priority="9196" stopIfTrue="1"/>
  </conditionalFormatting>
  <conditionalFormatting sqref="A1548">
    <cfRule type="duplicateValues" dxfId="7306" priority="9195" stopIfTrue="1"/>
  </conditionalFormatting>
  <conditionalFormatting sqref="A1548">
    <cfRule type="duplicateValues" dxfId="7305" priority="9194" stopIfTrue="1"/>
  </conditionalFormatting>
  <conditionalFormatting sqref="A1548">
    <cfRule type="duplicateValues" dxfId="7304" priority="9193" stopIfTrue="1"/>
  </conditionalFormatting>
  <conditionalFormatting sqref="A1548">
    <cfRule type="duplicateValues" dxfId="7303" priority="9192" stopIfTrue="1"/>
  </conditionalFormatting>
  <conditionalFormatting sqref="A1548">
    <cfRule type="duplicateValues" dxfId="7302" priority="9191" stopIfTrue="1"/>
  </conditionalFormatting>
  <conditionalFormatting sqref="A1548">
    <cfRule type="duplicateValues" dxfId="7301" priority="9190" stopIfTrue="1"/>
  </conditionalFormatting>
  <conditionalFormatting sqref="A1548">
    <cfRule type="duplicateValues" dxfId="7300" priority="9202" stopIfTrue="1"/>
  </conditionalFormatting>
  <conditionalFormatting sqref="A1548">
    <cfRule type="duplicateValues" dxfId="7299" priority="9189" stopIfTrue="1"/>
  </conditionalFormatting>
  <conditionalFormatting sqref="A1548">
    <cfRule type="duplicateValues" dxfId="7298" priority="9203" stopIfTrue="1"/>
  </conditionalFormatting>
  <conditionalFormatting sqref="A1548">
    <cfRule type="duplicateValues" dxfId="7297" priority="9204" stopIfTrue="1"/>
  </conditionalFormatting>
  <conditionalFormatting sqref="C1548">
    <cfRule type="duplicateValues" dxfId="7296" priority="9205" stopIfTrue="1"/>
  </conditionalFormatting>
  <conditionalFormatting sqref="A1548">
    <cfRule type="duplicateValues" dxfId="7295" priority="9206" stopIfTrue="1"/>
  </conditionalFormatting>
  <conditionalFormatting sqref="R1548">
    <cfRule type="duplicateValues" dxfId="7294" priority="9207" stopIfTrue="1"/>
  </conditionalFormatting>
  <conditionalFormatting sqref="R1548">
    <cfRule type="duplicateValues" dxfId="7293" priority="9208" stopIfTrue="1"/>
  </conditionalFormatting>
  <conditionalFormatting sqref="A1548">
    <cfRule type="duplicateValues" dxfId="7292" priority="9188" stopIfTrue="1"/>
  </conditionalFormatting>
  <conditionalFormatting sqref="A1548">
    <cfRule type="duplicateValues" dxfId="7291" priority="9187" stopIfTrue="1"/>
  </conditionalFormatting>
  <conditionalFormatting sqref="A1548">
    <cfRule type="duplicateValues" dxfId="7290" priority="9186" stopIfTrue="1"/>
  </conditionalFormatting>
  <conditionalFormatting sqref="A1548">
    <cfRule type="duplicateValues" dxfId="7289" priority="9184" stopIfTrue="1"/>
    <cfRule type="duplicateValues" dxfId="7288" priority="9185" stopIfTrue="1"/>
  </conditionalFormatting>
  <conditionalFormatting sqref="A1548">
    <cfRule type="duplicateValues" dxfId="7287" priority="9183" stopIfTrue="1"/>
  </conditionalFormatting>
  <conditionalFormatting sqref="A1548">
    <cfRule type="duplicateValues" dxfId="7286" priority="9182" stopIfTrue="1"/>
  </conditionalFormatting>
  <conditionalFormatting sqref="A1548">
    <cfRule type="duplicateValues" dxfId="7285" priority="9181" stopIfTrue="1"/>
  </conditionalFormatting>
  <conditionalFormatting sqref="A1548">
    <cfRule type="duplicateValues" dxfId="7284" priority="9180" stopIfTrue="1"/>
  </conditionalFormatting>
  <conditionalFormatting sqref="A1548">
    <cfRule type="duplicateValues" dxfId="7283" priority="9179" stopIfTrue="1"/>
  </conditionalFormatting>
  <conditionalFormatting sqref="A1549">
    <cfRule type="duplicateValues" dxfId="7282" priority="9171" stopIfTrue="1"/>
  </conditionalFormatting>
  <conditionalFormatting sqref="A1549">
    <cfRule type="duplicateValues" dxfId="7281" priority="9170" stopIfTrue="1"/>
  </conditionalFormatting>
  <conditionalFormatting sqref="A1549">
    <cfRule type="duplicateValues" dxfId="7280" priority="9169" stopIfTrue="1"/>
  </conditionalFormatting>
  <conditionalFormatting sqref="A1549">
    <cfRule type="duplicateValues" dxfId="7279" priority="9168" stopIfTrue="1"/>
  </conditionalFormatting>
  <conditionalFormatting sqref="A1549">
    <cfRule type="duplicateValues" dxfId="7278" priority="9167" stopIfTrue="1"/>
  </conditionalFormatting>
  <conditionalFormatting sqref="A1549">
    <cfRule type="duplicateValues" dxfId="7277" priority="9166" stopIfTrue="1"/>
  </conditionalFormatting>
  <conditionalFormatting sqref="A1549">
    <cfRule type="duplicateValues" dxfId="7276" priority="9165" stopIfTrue="1"/>
  </conditionalFormatting>
  <conditionalFormatting sqref="A1549">
    <cfRule type="duplicateValues" dxfId="7275" priority="9164" stopIfTrue="1"/>
  </conditionalFormatting>
  <conditionalFormatting sqref="A1549">
    <cfRule type="duplicateValues" dxfId="7274" priority="9163" stopIfTrue="1"/>
  </conditionalFormatting>
  <conditionalFormatting sqref="A1549">
    <cfRule type="duplicateValues" dxfId="7273" priority="9162" stopIfTrue="1"/>
  </conditionalFormatting>
  <conditionalFormatting sqref="A1549">
    <cfRule type="duplicateValues" dxfId="7272" priority="9161" stopIfTrue="1"/>
  </conditionalFormatting>
  <conditionalFormatting sqref="A1549">
    <cfRule type="duplicateValues" dxfId="7271" priority="9160" stopIfTrue="1"/>
  </conditionalFormatting>
  <conditionalFormatting sqref="A1549">
    <cfRule type="duplicateValues" dxfId="7270" priority="9172" stopIfTrue="1"/>
  </conditionalFormatting>
  <conditionalFormatting sqref="A1549">
    <cfRule type="duplicateValues" dxfId="7269" priority="9159" stopIfTrue="1"/>
  </conditionalFormatting>
  <conditionalFormatting sqref="A1549">
    <cfRule type="duplicateValues" dxfId="7268" priority="9173" stopIfTrue="1"/>
  </conditionalFormatting>
  <conditionalFormatting sqref="A1549">
    <cfRule type="duplicateValues" dxfId="7267" priority="9174" stopIfTrue="1"/>
  </conditionalFormatting>
  <conditionalFormatting sqref="C1549">
    <cfRule type="duplicateValues" dxfId="7266" priority="9175" stopIfTrue="1"/>
  </conditionalFormatting>
  <conditionalFormatting sqref="A1549">
    <cfRule type="duplicateValues" dxfId="7265" priority="9176" stopIfTrue="1"/>
  </conditionalFormatting>
  <conditionalFormatting sqref="R1549">
    <cfRule type="duplicateValues" dxfId="7264" priority="9177" stopIfTrue="1"/>
  </conditionalFormatting>
  <conditionalFormatting sqref="R1549">
    <cfRule type="duplicateValues" dxfId="7263" priority="9178" stopIfTrue="1"/>
  </conditionalFormatting>
  <conditionalFormatting sqref="A1549">
    <cfRule type="duplicateValues" dxfId="7262" priority="9158" stopIfTrue="1"/>
  </conditionalFormatting>
  <conditionalFormatting sqref="A1549">
    <cfRule type="duplicateValues" dxfId="7261" priority="9157" stopIfTrue="1"/>
  </conditionalFormatting>
  <conditionalFormatting sqref="A1549">
    <cfRule type="duplicateValues" dxfId="7260" priority="9156" stopIfTrue="1"/>
  </conditionalFormatting>
  <conditionalFormatting sqref="A1549">
    <cfRule type="duplicateValues" dxfId="7259" priority="9154" stopIfTrue="1"/>
    <cfRule type="duplicateValues" dxfId="7258" priority="9155" stopIfTrue="1"/>
  </conditionalFormatting>
  <conditionalFormatting sqref="A1549">
    <cfRule type="duplicateValues" dxfId="7257" priority="9153" stopIfTrue="1"/>
  </conditionalFormatting>
  <conditionalFormatting sqref="A1549">
    <cfRule type="duplicateValues" dxfId="7256" priority="9152" stopIfTrue="1"/>
  </conditionalFormatting>
  <conditionalFormatting sqref="A1549">
    <cfRule type="duplicateValues" dxfId="7255" priority="9151" stopIfTrue="1"/>
  </conditionalFormatting>
  <conditionalFormatting sqref="A1549">
    <cfRule type="duplicateValues" dxfId="7254" priority="9150" stopIfTrue="1"/>
  </conditionalFormatting>
  <conditionalFormatting sqref="A1549">
    <cfRule type="duplicateValues" dxfId="7253" priority="9149" stopIfTrue="1"/>
  </conditionalFormatting>
  <conditionalFormatting sqref="A1550">
    <cfRule type="duplicateValues" dxfId="7252" priority="9141" stopIfTrue="1"/>
  </conditionalFormatting>
  <conditionalFormatting sqref="A1550">
    <cfRule type="duplicateValues" dxfId="7251" priority="9140" stopIfTrue="1"/>
  </conditionalFormatting>
  <conditionalFormatting sqref="A1550">
    <cfRule type="duplicateValues" dxfId="7250" priority="9139" stopIfTrue="1"/>
  </conditionalFormatting>
  <conditionalFormatting sqref="A1550">
    <cfRule type="duplicateValues" dxfId="7249" priority="9138" stopIfTrue="1"/>
  </conditionalFormatting>
  <conditionalFormatting sqref="A1550">
    <cfRule type="duplicateValues" dxfId="7248" priority="9137" stopIfTrue="1"/>
  </conditionalFormatting>
  <conditionalFormatting sqref="A1550">
    <cfRule type="duplicateValues" dxfId="7247" priority="9136" stopIfTrue="1"/>
  </conditionalFormatting>
  <conditionalFormatting sqref="A1550">
    <cfRule type="duplicateValues" dxfId="7246" priority="9135" stopIfTrue="1"/>
  </conditionalFormatting>
  <conditionalFormatting sqref="A1550">
    <cfRule type="duplicateValues" dxfId="7245" priority="9134" stopIfTrue="1"/>
  </conditionalFormatting>
  <conditionalFormatting sqref="A1550">
    <cfRule type="duplicateValues" dxfId="7244" priority="9133" stopIfTrue="1"/>
  </conditionalFormatting>
  <conditionalFormatting sqref="A1550">
    <cfRule type="duplicateValues" dxfId="7243" priority="9132" stopIfTrue="1"/>
  </conditionalFormatting>
  <conditionalFormatting sqref="A1550">
    <cfRule type="duplicateValues" dxfId="7242" priority="9131" stopIfTrue="1"/>
  </conditionalFormatting>
  <conditionalFormatting sqref="A1550">
    <cfRule type="duplicateValues" dxfId="7241" priority="9130" stopIfTrue="1"/>
  </conditionalFormatting>
  <conditionalFormatting sqref="A1550">
    <cfRule type="duplicateValues" dxfId="7240" priority="9142" stopIfTrue="1"/>
  </conditionalFormatting>
  <conditionalFormatting sqref="A1550">
    <cfRule type="duplicateValues" dxfId="7239" priority="9129" stopIfTrue="1"/>
  </conditionalFormatting>
  <conditionalFormatting sqref="A1550">
    <cfRule type="duplicateValues" dxfId="7238" priority="9143" stopIfTrue="1"/>
  </conditionalFormatting>
  <conditionalFormatting sqref="A1550">
    <cfRule type="duplicateValues" dxfId="7237" priority="9144" stopIfTrue="1"/>
  </conditionalFormatting>
  <conditionalFormatting sqref="C1550">
    <cfRule type="duplicateValues" dxfId="7236" priority="9145" stopIfTrue="1"/>
  </conditionalFormatting>
  <conditionalFormatting sqref="A1550">
    <cfRule type="duplicateValues" dxfId="7235" priority="9146" stopIfTrue="1"/>
  </conditionalFormatting>
  <conditionalFormatting sqref="R1550">
    <cfRule type="duplicateValues" dxfId="7234" priority="9147" stopIfTrue="1"/>
  </conditionalFormatting>
  <conditionalFormatting sqref="R1550">
    <cfRule type="duplicateValues" dxfId="7233" priority="9148" stopIfTrue="1"/>
  </conditionalFormatting>
  <conditionalFormatting sqref="A1550">
    <cfRule type="duplicateValues" dxfId="7232" priority="9128" stopIfTrue="1"/>
  </conditionalFormatting>
  <conditionalFormatting sqref="A1550">
    <cfRule type="duplicateValues" dxfId="7231" priority="9127" stopIfTrue="1"/>
  </conditionalFormatting>
  <conditionalFormatting sqref="A1550">
    <cfRule type="duplicateValues" dxfId="7230" priority="9126" stopIfTrue="1"/>
  </conditionalFormatting>
  <conditionalFormatting sqref="A1550">
    <cfRule type="duplicateValues" dxfId="7229" priority="9124" stopIfTrue="1"/>
    <cfRule type="duplicateValues" dxfId="7228" priority="9125" stopIfTrue="1"/>
  </conditionalFormatting>
  <conditionalFormatting sqref="A1550">
    <cfRule type="duplicateValues" dxfId="7227" priority="9123" stopIfTrue="1"/>
  </conditionalFormatting>
  <conditionalFormatting sqref="A1550">
    <cfRule type="duplicateValues" dxfId="7226" priority="9122" stopIfTrue="1"/>
  </conditionalFormatting>
  <conditionalFormatting sqref="A1550">
    <cfRule type="duplicateValues" dxfId="7225" priority="9121" stopIfTrue="1"/>
  </conditionalFormatting>
  <conditionalFormatting sqref="A1550">
    <cfRule type="duplicateValues" dxfId="7224" priority="9120" stopIfTrue="1"/>
  </conditionalFormatting>
  <conditionalFormatting sqref="A1550">
    <cfRule type="duplicateValues" dxfId="7223" priority="9119" stopIfTrue="1"/>
  </conditionalFormatting>
  <conditionalFormatting sqref="A1551">
    <cfRule type="duplicateValues" dxfId="7222" priority="9117" stopIfTrue="1"/>
  </conditionalFormatting>
  <conditionalFormatting sqref="A1551">
    <cfRule type="duplicateValues" dxfId="7221" priority="9116" stopIfTrue="1"/>
  </conditionalFormatting>
  <conditionalFormatting sqref="A1551">
    <cfRule type="duplicateValues" dxfId="7220" priority="9115" stopIfTrue="1"/>
  </conditionalFormatting>
  <conditionalFormatting sqref="A1551">
    <cfRule type="duplicateValues" dxfId="7219" priority="9114" stopIfTrue="1"/>
  </conditionalFormatting>
  <conditionalFormatting sqref="A1551">
    <cfRule type="duplicateValues" dxfId="7218" priority="9113" stopIfTrue="1"/>
  </conditionalFormatting>
  <conditionalFormatting sqref="A1551">
    <cfRule type="duplicateValues" dxfId="7217" priority="9112" stopIfTrue="1"/>
  </conditionalFormatting>
  <conditionalFormatting sqref="A1551">
    <cfRule type="duplicateValues" dxfId="7216" priority="9111" stopIfTrue="1"/>
  </conditionalFormatting>
  <conditionalFormatting sqref="A1551">
    <cfRule type="duplicateValues" dxfId="7215" priority="9110" stopIfTrue="1"/>
  </conditionalFormatting>
  <conditionalFormatting sqref="A1551">
    <cfRule type="duplicateValues" dxfId="7214" priority="9109" stopIfTrue="1"/>
  </conditionalFormatting>
  <conditionalFormatting sqref="A1551">
    <cfRule type="duplicateValues" dxfId="7213" priority="9108" stopIfTrue="1"/>
  </conditionalFormatting>
  <conditionalFormatting sqref="A1551">
    <cfRule type="duplicateValues" dxfId="7212" priority="9107" stopIfTrue="1"/>
  </conditionalFormatting>
  <conditionalFormatting sqref="A1551">
    <cfRule type="duplicateValues" dxfId="7211" priority="9106" stopIfTrue="1"/>
  </conditionalFormatting>
  <conditionalFormatting sqref="A1551">
    <cfRule type="duplicateValues" dxfId="7210" priority="9105" stopIfTrue="1"/>
  </conditionalFormatting>
  <conditionalFormatting sqref="A1551">
    <cfRule type="duplicateValues" dxfId="7209" priority="9104" stopIfTrue="1"/>
  </conditionalFormatting>
  <conditionalFormatting sqref="A1551">
    <cfRule type="duplicateValues" dxfId="7208" priority="9118" stopIfTrue="1"/>
  </conditionalFormatting>
  <conditionalFormatting sqref="A1551">
    <cfRule type="duplicateValues" dxfId="7207" priority="9103" stopIfTrue="1"/>
  </conditionalFormatting>
  <conditionalFormatting sqref="C1551">
    <cfRule type="duplicateValues" dxfId="7206" priority="9102" stopIfTrue="1"/>
  </conditionalFormatting>
  <conditionalFormatting sqref="A1551">
    <cfRule type="duplicateValues" dxfId="7205" priority="9101" stopIfTrue="1"/>
  </conditionalFormatting>
  <conditionalFormatting sqref="A1551">
    <cfRule type="duplicateValues" dxfId="7204" priority="9100" stopIfTrue="1"/>
  </conditionalFormatting>
  <conditionalFormatting sqref="A1551">
    <cfRule type="duplicateValues" dxfId="7203" priority="9099" stopIfTrue="1"/>
  </conditionalFormatting>
  <conditionalFormatting sqref="A1551">
    <cfRule type="duplicateValues" dxfId="7202" priority="9098" stopIfTrue="1"/>
  </conditionalFormatting>
  <conditionalFormatting sqref="A1551">
    <cfRule type="duplicateValues" dxfId="7201" priority="9097" stopIfTrue="1"/>
  </conditionalFormatting>
  <conditionalFormatting sqref="A1551">
    <cfRule type="duplicateValues" dxfId="7200" priority="9096" stopIfTrue="1"/>
  </conditionalFormatting>
  <conditionalFormatting sqref="A1551">
    <cfRule type="duplicateValues" dxfId="7199" priority="9095" stopIfTrue="1"/>
  </conditionalFormatting>
  <conditionalFormatting sqref="A1551">
    <cfRule type="duplicateValues" dxfId="7198" priority="9094" stopIfTrue="1"/>
  </conditionalFormatting>
  <conditionalFormatting sqref="A1551">
    <cfRule type="duplicateValues" dxfId="7197" priority="9092" stopIfTrue="1"/>
    <cfRule type="duplicateValues" dxfId="7196" priority="9093" stopIfTrue="1"/>
  </conditionalFormatting>
  <conditionalFormatting sqref="A1551">
    <cfRule type="duplicateValues" dxfId="7195" priority="9091" stopIfTrue="1"/>
  </conditionalFormatting>
  <conditionalFormatting sqref="A1551">
    <cfRule type="duplicateValues" dxfId="7194" priority="9090" stopIfTrue="1"/>
  </conditionalFormatting>
  <conditionalFormatting sqref="A1551">
    <cfRule type="duplicateValues" dxfId="7193" priority="9089" stopIfTrue="1"/>
  </conditionalFormatting>
  <conditionalFormatting sqref="A1551">
    <cfRule type="duplicateValues" dxfId="7192" priority="9088" stopIfTrue="1"/>
  </conditionalFormatting>
  <conditionalFormatting sqref="A1551">
    <cfRule type="duplicateValues" dxfId="7191" priority="9087" stopIfTrue="1"/>
  </conditionalFormatting>
  <conditionalFormatting sqref="A1554:A1564">
    <cfRule type="duplicateValues" dxfId="7190" priority="9085" stopIfTrue="1"/>
  </conditionalFormatting>
  <conditionalFormatting sqref="A1554:A1564">
    <cfRule type="duplicateValues" dxfId="7189" priority="9084" stopIfTrue="1"/>
  </conditionalFormatting>
  <conditionalFormatting sqref="A1554:A1564">
    <cfRule type="duplicateValues" dxfId="7188" priority="9083" stopIfTrue="1"/>
  </conditionalFormatting>
  <conditionalFormatting sqref="A1554:A1564">
    <cfRule type="duplicateValues" dxfId="7187" priority="9082" stopIfTrue="1"/>
  </conditionalFormatting>
  <conditionalFormatting sqref="A1554:A1564">
    <cfRule type="duplicateValues" dxfId="7186" priority="9081" stopIfTrue="1"/>
  </conditionalFormatting>
  <conditionalFormatting sqref="A1554:A1564">
    <cfRule type="duplicateValues" dxfId="7185" priority="9080" stopIfTrue="1"/>
  </conditionalFormatting>
  <conditionalFormatting sqref="A1554:A1564">
    <cfRule type="duplicateValues" dxfId="7184" priority="9079" stopIfTrue="1"/>
  </conditionalFormatting>
  <conditionalFormatting sqref="A1554:A1564">
    <cfRule type="duplicateValues" dxfId="7183" priority="9078" stopIfTrue="1"/>
  </conditionalFormatting>
  <conditionalFormatting sqref="A1554:A1564">
    <cfRule type="duplicateValues" dxfId="7182" priority="9077" stopIfTrue="1"/>
  </conditionalFormatting>
  <conditionalFormatting sqref="A1554:A1564">
    <cfRule type="duplicateValues" dxfId="7181" priority="9076" stopIfTrue="1"/>
  </conditionalFormatting>
  <conditionalFormatting sqref="A1554:A1564">
    <cfRule type="duplicateValues" dxfId="7180" priority="9075" stopIfTrue="1"/>
  </conditionalFormatting>
  <conditionalFormatting sqref="A1554:A1564">
    <cfRule type="duplicateValues" dxfId="7179" priority="9074" stopIfTrue="1"/>
  </conditionalFormatting>
  <conditionalFormatting sqref="A1554:A1564">
    <cfRule type="duplicateValues" dxfId="7178" priority="9073" stopIfTrue="1"/>
  </conditionalFormatting>
  <conditionalFormatting sqref="A1554:A1564">
    <cfRule type="duplicateValues" dxfId="7177" priority="9072" stopIfTrue="1"/>
  </conditionalFormatting>
  <conditionalFormatting sqref="A1554:A1564">
    <cfRule type="duplicateValues" dxfId="7176" priority="9086" stopIfTrue="1"/>
  </conditionalFormatting>
  <conditionalFormatting sqref="A1554:A1564">
    <cfRule type="duplicateValues" dxfId="7175" priority="9071" stopIfTrue="1"/>
  </conditionalFormatting>
  <conditionalFormatting sqref="C1554:C1564">
    <cfRule type="duplicateValues" dxfId="7174" priority="9070" stopIfTrue="1"/>
  </conditionalFormatting>
  <conditionalFormatting sqref="A1554:A1564">
    <cfRule type="duplicateValues" dxfId="7173" priority="9069" stopIfTrue="1"/>
  </conditionalFormatting>
  <conditionalFormatting sqref="A1554:A1564">
    <cfRule type="duplicateValues" dxfId="7172" priority="9068" stopIfTrue="1"/>
  </conditionalFormatting>
  <conditionalFormatting sqref="A1554:A1564">
    <cfRule type="duplicateValues" dxfId="7171" priority="9067" stopIfTrue="1"/>
  </conditionalFormatting>
  <conditionalFormatting sqref="A1554:A1564">
    <cfRule type="duplicateValues" dxfId="7170" priority="9066" stopIfTrue="1"/>
  </conditionalFormatting>
  <conditionalFormatting sqref="A1554:A1564">
    <cfRule type="duplicateValues" dxfId="7169" priority="9065" stopIfTrue="1"/>
  </conditionalFormatting>
  <conditionalFormatting sqref="A1554:A1564">
    <cfRule type="duplicateValues" dxfId="7168" priority="9064" stopIfTrue="1"/>
  </conditionalFormatting>
  <conditionalFormatting sqref="A1554:A1564">
    <cfRule type="duplicateValues" dxfId="7167" priority="9063" stopIfTrue="1"/>
  </conditionalFormatting>
  <conditionalFormatting sqref="A1554:A1564">
    <cfRule type="duplicateValues" dxfId="7166" priority="9062" stopIfTrue="1"/>
  </conditionalFormatting>
  <conditionalFormatting sqref="A1554:A1564">
    <cfRule type="duplicateValues" dxfId="7165" priority="9060" stopIfTrue="1"/>
    <cfRule type="duplicateValues" dxfId="7164" priority="9061" stopIfTrue="1"/>
  </conditionalFormatting>
  <conditionalFormatting sqref="A1554:A1564">
    <cfRule type="duplicateValues" dxfId="7163" priority="9059" stopIfTrue="1"/>
  </conditionalFormatting>
  <conditionalFormatting sqref="A1554:A1564">
    <cfRule type="duplicateValues" dxfId="7162" priority="9058" stopIfTrue="1"/>
  </conditionalFormatting>
  <conditionalFormatting sqref="A1554:A1564">
    <cfRule type="duplicateValues" dxfId="7161" priority="9057" stopIfTrue="1"/>
  </conditionalFormatting>
  <conditionalFormatting sqref="A1554:A1564">
    <cfRule type="duplicateValues" dxfId="7160" priority="9056" stopIfTrue="1"/>
  </conditionalFormatting>
  <conditionalFormatting sqref="A1554:A1564">
    <cfRule type="duplicateValues" dxfId="7159" priority="9055" stopIfTrue="1"/>
  </conditionalFormatting>
  <conditionalFormatting sqref="A1552">
    <cfRule type="duplicateValues" dxfId="7158" priority="9021" stopIfTrue="1"/>
  </conditionalFormatting>
  <conditionalFormatting sqref="A1552">
    <cfRule type="duplicateValues" dxfId="7157" priority="9020" stopIfTrue="1"/>
  </conditionalFormatting>
  <conditionalFormatting sqref="A1552">
    <cfRule type="duplicateValues" dxfId="7156" priority="9019" stopIfTrue="1"/>
  </conditionalFormatting>
  <conditionalFormatting sqref="A1552">
    <cfRule type="duplicateValues" dxfId="7155" priority="9018" stopIfTrue="1"/>
  </conditionalFormatting>
  <conditionalFormatting sqref="A1552">
    <cfRule type="duplicateValues" dxfId="7154" priority="9017" stopIfTrue="1"/>
  </conditionalFormatting>
  <conditionalFormatting sqref="A1552">
    <cfRule type="duplicateValues" dxfId="7153" priority="9016" stopIfTrue="1"/>
  </conditionalFormatting>
  <conditionalFormatting sqref="A1552">
    <cfRule type="duplicateValues" dxfId="7152" priority="9015" stopIfTrue="1"/>
  </conditionalFormatting>
  <conditionalFormatting sqref="A1552">
    <cfRule type="duplicateValues" dxfId="7151" priority="9014" stopIfTrue="1"/>
  </conditionalFormatting>
  <conditionalFormatting sqref="A1552">
    <cfRule type="duplicateValues" dxfId="7150" priority="9013" stopIfTrue="1"/>
  </conditionalFormatting>
  <conditionalFormatting sqref="A1552">
    <cfRule type="duplicateValues" dxfId="7149" priority="9012" stopIfTrue="1"/>
  </conditionalFormatting>
  <conditionalFormatting sqref="A1552">
    <cfRule type="duplicateValues" dxfId="7148" priority="9011" stopIfTrue="1"/>
  </conditionalFormatting>
  <conditionalFormatting sqref="A1552">
    <cfRule type="duplicateValues" dxfId="7147" priority="9010" stopIfTrue="1"/>
  </conditionalFormatting>
  <conditionalFormatting sqref="A1552">
    <cfRule type="duplicateValues" dxfId="7146" priority="9009" stopIfTrue="1"/>
  </conditionalFormatting>
  <conditionalFormatting sqref="A1552">
    <cfRule type="duplicateValues" dxfId="7145" priority="9008" stopIfTrue="1"/>
  </conditionalFormatting>
  <conditionalFormatting sqref="A1552">
    <cfRule type="duplicateValues" dxfId="7144" priority="9022" stopIfTrue="1"/>
  </conditionalFormatting>
  <conditionalFormatting sqref="A1552">
    <cfRule type="duplicateValues" dxfId="7143" priority="9007" stopIfTrue="1"/>
  </conditionalFormatting>
  <conditionalFormatting sqref="C1552">
    <cfRule type="duplicateValues" dxfId="7142" priority="9006" stopIfTrue="1"/>
  </conditionalFormatting>
  <conditionalFormatting sqref="A1552">
    <cfRule type="duplicateValues" dxfId="7141" priority="9005" stopIfTrue="1"/>
  </conditionalFormatting>
  <conditionalFormatting sqref="A1552">
    <cfRule type="duplicateValues" dxfId="7140" priority="9004" stopIfTrue="1"/>
  </conditionalFormatting>
  <conditionalFormatting sqref="A1552">
    <cfRule type="duplicateValues" dxfId="7139" priority="9003" stopIfTrue="1"/>
  </conditionalFormatting>
  <conditionalFormatting sqref="A1552">
    <cfRule type="duplicateValues" dxfId="7138" priority="9002" stopIfTrue="1"/>
  </conditionalFormatting>
  <conditionalFormatting sqref="A1552">
    <cfRule type="duplicateValues" dxfId="7137" priority="9001" stopIfTrue="1"/>
  </conditionalFormatting>
  <conditionalFormatting sqref="A1552">
    <cfRule type="duplicateValues" dxfId="7136" priority="9000" stopIfTrue="1"/>
  </conditionalFormatting>
  <conditionalFormatting sqref="A1552">
    <cfRule type="duplicateValues" dxfId="7135" priority="8999" stopIfTrue="1"/>
  </conditionalFormatting>
  <conditionalFormatting sqref="A1552">
    <cfRule type="duplicateValues" dxfId="7134" priority="8998" stopIfTrue="1"/>
  </conditionalFormatting>
  <conditionalFormatting sqref="A1552">
    <cfRule type="duplicateValues" dxfId="7133" priority="8996" stopIfTrue="1"/>
    <cfRule type="duplicateValues" dxfId="7132" priority="8997" stopIfTrue="1"/>
  </conditionalFormatting>
  <conditionalFormatting sqref="A1552">
    <cfRule type="duplicateValues" dxfId="7131" priority="8995" stopIfTrue="1"/>
  </conditionalFormatting>
  <conditionalFormatting sqref="A1552">
    <cfRule type="duplicateValues" dxfId="7130" priority="8994" stopIfTrue="1"/>
  </conditionalFormatting>
  <conditionalFormatting sqref="A1552">
    <cfRule type="duplicateValues" dxfId="7129" priority="8993" stopIfTrue="1"/>
  </conditionalFormatting>
  <conditionalFormatting sqref="A1552">
    <cfRule type="duplicateValues" dxfId="7128" priority="8992" stopIfTrue="1"/>
  </conditionalFormatting>
  <conditionalFormatting sqref="A1552">
    <cfRule type="duplicateValues" dxfId="7127" priority="8991" stopIfTrue="1"/>
  </conditionalFormatting>
  <conditionalFormatting sqref="A1135">
    <cfRule type="duplicateValues" dxfId="7126" priority="8989" stopIfTrue="1"/>
  </conditionalFormatting>
  <conditionalFormatting sqref="A1135">
    <cfRule type="duplicateValues" dxfId="7125" priority="8988" stopIfTrue="1"/>
  </conditionalFormatting>
  <conditionalFormatting sqref="A1135">
    <cfRule type="duplicateValues" dxfId="7124" priority="8987" stopIfTrue="1"/>
  </conditionalFormatting>
  <conditionalFormatting sqref="A1135">
    <cfRule type="duplicateValues" dxfId="7123" priority="8986" stopIfTrue="1"/>
  </conditionalFormatting>
  <conditionalFormatting sqref="A1135">
    <cfRule type="duplicateValues" dxfId="7122" priority="8985" stopIfTrue="1"/>
  </conditionalFormatting>
  <conditionalFormatting sqref="A1135">
    <cfRule type="duplicateValues" dxfId="7121" priority="8984" stopIfTrue="1"/>
  </conditionalFormatting>
  <conditionalFormatting sqref="A1135">
    <cfRule type="duplicateValues" dxfId="7120" priority="8983" stopIfTrue="1"/>
  </conditionalFormatting>
  <conditionalFormatting sqref="A1135">
    <cfRule type="duplicateValues" dxfId="7119" priority="8982" stopIfTrue="1"/>
  </conditionalFormatting>
  <conditionalFormatting sqref="A1135">
    <cfRule type="duplicateValues" dxfId="7118" priority="8981" stopIfTrue="1"/>
  </conditionalFormatting>
  <conditionalFormatting sqref="A1135">
    <cfRule type="duplicateValues" dxfId="7117" priority="8980" stopIfTrue="1"/>
  </conditionalFormatting>
  <conditionalFormatting sqref="A1135">
    <cfRule type="duplicateValues" dxfId="7116" priority="8979" stopIfTrue="1"/>
  </conditionalFormatting>
  <conditionalFormatting sqref="A1135">
    <cfRule type="duplicateValues" dxfId="7115" priority="8978" stopIfTrue="1"/>
  </conditionalFormatting>
  <conditionalFormatting sqref="A1135">
    <cfRule type="duplicateValues" dxfId="7114" priority="8977" stopIfTrue="1"/>
  </conditionalFormatting>
  <conditionalFormatting sqref="A1135">
    <cfRule type="duplicateValues" dxfId="7113" priority="8976" stopIfTrue="1"/>
  </conditionalFormatting>
  <conditionalFormatting sqref="A1135">
    <cfRule type="duplicateValues" dxfId="7112" priority="8975" stopIfTrue="1"/>
  </conditionalFormatting>
  <conditionalFormatting sqref="A1135">
    <cfRule type="duplicateValues" dxfId="7111" priority="8990" stopIfTrue="1"/>
  </conditionalFormatting>
  <conditionalFormatting sqref="A1135">
    <cfRule type="duplicateValues" dxfId="7110" priority="8974" stopIfTrue="1"/>
  </conditionalFormatting>
  <conditionalFormatting sqref="C1135">
    <cfRule type="duplicateValues" dxfId="7109" priority="8973" stopIfTrue="1"/>
  </conditionalFormatting>
  <conditionalFormatting sqref="A1135">
    <cfRule type="duplicateValues" dxfId="7108" priority="8972" stopIfTrue="1"/>
  </conditionalFormatting>
  <conditionalFormatting sqref="A1135">
    <cfRule type="duplicateValues" dxfId="7107" priority="8971" stopIfTrue="1"/>
  </conditionalFormatting>
  <conditionalFormatting sqref="A1135">
    <cfRule type="duplicateValues" dxfId="7106" priority="8970" stopIfTrue="1"/>
  </conditionalFormatting>
  <conditionalFormatting sqref="A1135">
    <cfRule type="duplicateValues" dxfId="7105" priority="8969" stopIfTrue="1"/>
  </conditionalFormatting>
  <conditionalFormatting sqref="A1135">
    <cfRule type="duplicateValues" dxfId="7104" priority="8968" stopIfTrue="1"/>
  </conditionalFormatting>
  <conditionalFormatting sqref="A1135">
    <cfRule type="duplicateValues" dxfId="7103" priority="8967" stopIfTrue="1"/>
  </conditionalFormatting>
  <conditionalFormatting sqref="A1135">
    <cfRule type="duplicateValues" dxfId="7102" priority="8966" stopIfTrue="1"/>
  </conditionalFormatting>
  <conditionalFormatting sqref="A1135">
    <cfRule type="duplicateValues" dxfId="7101" priority="8965" stopIfTrue="1"/>
  </conditionalFormatting>
  <conditionalFormatting sqref="A1135">
    <cfRule type="duplicateValues" dxfId="7100" priority="8963" stopIfTrue="1"/>
    <cfRule type="duplicateValues" dxfId="7099" priority="8964" stopIfTrue="1"/>
  </conditionalFormatting>
  <conditionalFormatting sqref="A1135">
    <cfRule type="duplicateValues" dxfId="7098" priority="8962" stopIfTrue="1"/>
  </conditionalFormatting>
  <conditionalFormatting sqref="A1135">
    <cfRule type="duplicateValues" dxfId="7097" priority="8961" stopIfTrue="1"/>
  </conditionalFormatting>
  <conditionalFormatting sqref="A1135">
    <cfRule type="duplicateValues" dxfId="7096" priority="8960" stopIfTrue="1"/>
  </conditionalFormatting>
  <conditionalFormatting sqref="A1135">
    <cfRule type="duplicateValues" dxfId="7095" priority="8959" stopIfTrue="1"/>
  </conditionalFormatting>
  <conditionalFormatting sqref="A1135">
    <cfRule type="duplicateValues" dxfId="7094" priority="8958" stopIfTrue="1"/>
  </conditionalFormatting>
  <conditionalFormatting sqref="A1136">
    <cfRule type="duplicateValues" dxfId="7093" priority="8956" stopIfTrue="1"/>
  </conditionalFormatting>
  <conditionalFormatting sqref="A1136">
    <cfRule type="duplicateValues" dxfId="7092" priority="8955" stopIfTrue="1"/>
  </conditionalFormatting>
  <conditionalFormatting sqref="A1136">
    <cfRule type="duplicateValues" dxfId="7091" priority="8954" stopIfTrue="1"/>
  </conditionalFormatting>
  <conditionalFormatting sqref="A1136">
    <cfRule type="duplicateValues" dxfId="7090" priority="8953" stopIfTrue="1"/>
  </conditionalFormatting>
  <conditionalFormatting sqref="A1136">
    <cfRule type="duplicateValues" dxfId="7089" priority="8952" stopIfTrue="1"/>
  </conditionalFormatting>
  <conditionalFormatting sqref="A1136">
    <cfRule type="duplicateValues" dxfId="7088" priority="8951" stopIfTrue="1"/>
  </conditionalFormatting>
  <conditionalFormatting sqref="A1136">
    <cfRule type="duplicateValues" dxfId="7087" priority="8950" stopIfTrue="1"/>
  </conditionalFormatting>
  <conditionalFormatting sqref="A1136">
    <cfRule type="duplicateValues" dxfId="7086" priority="8949" stopIfTrue="1"/>
  </conditionalFormatting>
  <conditionalFormatting sqref="A1136">
    <cfRule type="duplicateValues" dxfId="7085" priority="8948" stopIfTrue="1"/>
  </conditionalFormatting>
  <conditionalFormatting sqref="A1136">
    <cfRule type="duplicateValues" dxfId="7084" priority="8947" stopIfTrue="1"/>
  </conditionalFormatting>
  <conditionalFormatting sqref="A1136">
    <cfRule type="duplicateValues" dxfId="7083" priority="8946" stopIfTrue="1"/>
  </conditionalFormatting>
  <conditionalFormatting sqref="A1136">
    <cfRule type="duplicateValues" dxfId="7082" priority="8945" stopIfTrue="1"/>
  </conditionalFormatting>
  <conditionalFormatting sqref="A1136">
    <cfRule type="duplicateValues" dxfId="7081" priority="8944" stopIfTrue="1"/>
  </conditionalFormatting>
  <conditionalFormatting sqref="A1136">
    <cfRule type="duplicateValues" dxfId="7080" priority="8943" stopIfTrue="1"/>
  </conditionalFormatting>
  <conditionalFormatting sqref="A1136">
    <cfRule type="duplicateValues" dxfId="7079" priority="8942" stopIfTrue="1"/>
  </conditionalFormatting>
  <conditionalFormatting sqref="A1136">
    <cfRule type="duplicateValues" dxfId="7078" priority="8957" stopIfTrue="1"/>
  </conditionalFormatting>
  <conditionalFormatting sqref="A1136">
    <cfRule type="duplicateValues" dxfId="7077" priority="8941" stopIfTrue="1"/>
  </conditionalFormatting>
  <conditionalFormatting sqref="C1136">
    <cfRule type="duplicateValues" dxfId="7076" priority="8940" stopIfTrue="1"/>
  </conditionalFormatting>
  <conditionalFormatting sqref="A1136">
    <cfRule type="duplicateValues" dxfId="7075" priority="8939" stopIfTrue="1"/>
  </conditionalFormatting>
  <conditionalFormatting sqref="A1136">
    <cfRule type="duplicateValues" dxfId="7074" priority="8938" stopIfTrue="1"/>
  </conditionalFormatting>
  <conditionalFormatting sqref="A1136">
    <cfRule type="duplicateValues" dxfId="7073" priority="8937" stopIfTrue="1"/>
  </conditionalFormatting>
  <conditionalFormatting sqref="A1136">
    <cfRule type="duplicateValues" dxfId="7072" priority="8936" stopIfTrue="1"/>
  </conditionalFormatting>
  <conditionalFormatting sqref="A1136">
    <cfRule type="duplicateValues" dxfId="7071" priority="8935" stopIfTrue="1"/>
  </conditionalFormatting>
  <conditionalFormatting sqref="A1136">
    <cfRule type="duplicateValues" dxfId="7070" priority="8934" stopIfTrue="1"/>
  </conditionalFormatting>
  <conditionalFormatting sqref="A1136">
    <cfRule type="duplicateValues" dxfId="7069" priority="8933" stopIfTrue="1"/>
  </conditionalFormatting>
  <conditionalFormatting sqref="A1136">
    <cfRule type="duplicateValues" dxfId="7068" priority="8932" stopIfTrue="1"/>
  </conditionalFormatting>
  <conditionalFormatting sqref="A1136">
    <cfRule type="duplicateValues" dxfId="7067" priority="8930" stopIfTrue="1"/>
    <cfRule type="duplicateValues" dxfId="7066" priority="8931" stopIfTrue="1"/>
  </conditionalFormatting>
  <conditionalFormatting sqref="A1136">
    <cfRule type="duplicateValues" dxfId="7065" priority="8929" stopIfTrue="1"/>
  </conditionalFormatting>
  <conditionalFormatting sqref="A1136">
    <cfRule type="duplicateValues" dxfId="7064" priority="8928" stopIfTrue="1"/>
  </conditionalFormatting>
  <conditionalFormatting sqref="A1136">
    <cfRule type="duplicateValues" dxfId="7063" priority="8927" stopIfTrue="1"/>
  </conditionalFormatting>
  <conditionalFormatting sqref="A1136">
    <cfRule type="duplicateValues" dxfId="7062" priority="8926" stopIfTrue="1"/>
  </conditionalFormatting>
  <conditionalFormatting sqref="A1136">
    <cfRule type="duplicateValues" dxfId="7061" priority="8925" stopIfTrue="1"/>
  </conditionalFormatting>
  <conditionalFormatting sqref="A1137">
    <cfRule type="duplicateValues" dxfId="7060" priority="8923" stopIfTrue="1"/>
  </conditionalFormatting>
  <conditionalFormatting sqref="A1137">
    <cfRule type="duplicateValues" dxfId="7059" priority="8922" stopIfTrue="1"/>
  </conditionalFormatting>
  <conditionalFormatting sqref="A1137">
    <cfRule type="duplicateValues" dxfId="7058" priority="8921" stopIfTrue="1"/>
  </conditionalFormatting>
  <conditionalFormatting sqref="A1137">
    <cfRule type="duplicateValues" dxfId="7057" priority="8920" stopIfTrue="1"/>
  </conditionalFormatting>
  <conditionalFormatting sqref="A1137">
    <cfRule type="duplicateValues" dxfId="7056" priority="8919" stopIfTrue="1"/>
  </conditionalFormatting>
  <conditionalFormatting sqref="A1137">
    <cfRule type="duplicateValues" dxfId="7055" priority="8918" stopIfTrue="1"/>
  </conditionalFormatting>
  <conditionalFormatting sqref="A1137">
    <cfRule type="duplicateValues" dxfId="7054" priority="8917" stopIfTrue="1"/>
  </conditionalFormatting>
  <conditionalFormatting sqref="A1137">
    <cfRule type="duplicateValues" dxfId="7053" priority="8916" stopIfTrue="1"/>
  </conditionalFormatting>
  <conditionalFormatting sqref="A1137">
    <cfRule type="duplicateValues" dxfId="7052" priority="8915" stopIfTrue="1"/>
  </conditionalFormatting>
  <conditionalFormatting sqref="A1137">
    <cfRule type="duplicateValues" dxfId="7051" priority="8914" stopIfTrue="1"/>
  </conditionalFormatting>
  <conditionalFormatting sqref="A1137">
    <cfRule type="duplicateValues" dxfId="7050" priority="8913" stopIfTrue="1"/>
  </conditionalFormatting>
  <conditionalFormatting sqref="A1137">
    <cfRule type="duplicateValues" dxfId="7049" priority="8912" stopIfTrue="1"/>
  </conditionalFormatting>
  <conditionalFormatting sqref="A1137">
    <cfRule type="duplicateValues" dxfId="7048" priority="8911" stopIfTrue="1"/>
  </conditionalFormatting>
  <conditionalFormatting sqref="A1137">
    <cfRule type="duplicateValues" dxfId="7047" priority="8910" stopIfTrue="1"/>
  </conditionalFormatting>
  <conditionalFormatting sqref="A1137">
    <cfRule type="duplicateValues" dxfId="7046" priority="8909" stopIfTrue="1"/>
  </conditionalFormatting>
  <conditionalFormatting sqref="A1137">
    <cfRule type="duplicateValues" dxfId="7045" priority="8924" stopIfTrue="1"/>
  </conditionalFormatting>
  <conditionalFormatting sqref="A1137">
    <cfRule type="duplicateValues" dxfId="7044" priority="8908" stopIfTrue="1"/>
  </conditionalFormatting>
  <conditionalFormatting sqref="C1137">
    <cfRule type="duplicateValues" dxfId="7043" priority="8907" stopIfTrue="1"/>
  </conditionalFormatting>
  <conditionalFormatting sqref="A1137">
    <cfRule type="duplicateValues" dxfId="7042" priority="8906" stopIfTrue="1"/>
  </conditionalFormatting>
  <conditionalFormatting sqref="A1137">
    <cfRule type="duplicateValues" dxfId="7041" priority="8905" stopIfTrue="1"/>
  </conditionalFormatting>
  <conditionalFormatting sqref="A1137">
    <cfRule type="duplicateValues" dxfId="7040" priority="8904" stopIfTrue="1"/>
  </conditionalFormatting>
  <conditionalFormatting sqref="A1137">
    <cfRule type="duplicateValues" dxfId="7039" priority="8903" stopIfTrue="1"/>
  </conditionalFormatting>
  <conditionalFormatting sqref="A1137">
    <cfRule type="duplicateValues" dxfId="7038" priority="8902" stopIfTrue="1"/>
  </conditionalFormatting>
  <conditionalFormatting sqref="A1137">
    <cfRule type="duplicateValues" dxfId="7037" priority="8901" stopIfTrue="1"/>
  </conditionalFormatting>
  <conditionalFormatting sqref="A1137">
    <cfRule type="duplicateValues" dxfId="7036" priority="8900" stopIfTrue="1"/>
  </conditionalFormatting>
  <conditionalFormatting sqref="A1137">
    <cfRule type="duplicateValues" dxfId="7035" priority="8899" stopIfTrue="1"/>
  </conditionalFormatting>
  <conditionalFormatting sqref="A1137">
    <cfRule type="duplicateValues" dxfId="7034" priority="8897" stopIfTrue="1"/>
    <cfRule type="duplicateValues" dxfId="7033" priority="8898" stopIfTrue="1"/>
  </conditionalFormatting>
  <conditionalFormatting sqref="A1137">
    <cfRule type="duplicateValues" dxfId="7032" priority="8896" stopIfTrue="1"/>
  </conditionalFormatting>
  <conditionalFormatting sqref="A1137">
    <cfRule type="duplicateValues" dxfId="7031" priority="8895" stopIfTrue="1"/>
  </conditionalFormatting>
  <conditionalFormatting sqref="A1137">
    <cfRule type="duplicateValues" dxfId="7030" priority="8894" stopIfTrue="1"/>
  </conditionalFormatting>
  <conditionalFormatting sqref="A1137">
    <cfRule type="duplicateValues" dxfId="7029" priority="8893" stopIfTrue="1"/>
  </conditionalFormatting>
  <conditionalFormatting sqref="A1137">
    <cfRule type="duplicateValues" dxfId="7028" priority="8892" stopIfTrue="1"/>
  </conditionalFormatting>
  <conditionalFormatting sqref="A1138">
    <cfRule type="duplicateValues" dxfId="7027" priority="8890" stopIfTrue="1"/>
  </conditionalFormatting>
  <conditionalFormatting sqref="A1138">
    <cfRule type="duplicateValues" dxfId="7026" priority="8889" stopIfTrue="1"/>
  </conditionalFormatting>
  <conditionalFormatting sqref="A1138">
    <cfRule type="duplicateValues" dxfId="7025" priority="8888" stopIfTrue="1"/>
  </conditionalFormatting>
  <conditionalFormatting sqref="A1138">
    <cfRule type="duplicateValues" dxfId="7024" priority="8887" stopIfTrue="1"/>
  </conditionalFormatting>
  <conditionalFormatting sqref="A1138">
    <cfRule type="duplicateValues" dxfId="7023" priority="8886" stopIfTrue="1"/>
  </conditionalFormatting>
  <conditionalFormatting sqref="A1138">
    <cfRule type="duplicateValues" dxfId="7022" priority="8885" stopIfTrue="1"/>
  </conditionalFormatting>
  <conditionalFormatting sqref="A1138">
    <cfRule type="duplicateValues" dxfId="7021" priority="8884" stopIfTrue="1"/>
  </conditionalFormatting>
  <conditionalFormatting sqref="A1138">
    <cfRule type="duplicateValues" dxfId="7020" priority="8883" stopIfTrue="1"/>
  </conditionalFormatting>
  <conditionalFormatting sqref="A1138">
    <cfRule type="duplicateValues" dxfId="7019" priority="8882" stopIfTrue="1"/>
  </conditionalFormatting>
  <conditionalFormatting sqref="A1138">
    <cfRule type="duplicateValues" dxfId="7018" priority="8881" stopIfTrue="1"/>
  </conditionalFormatting>
  <conditionalFormatting sqref="A1138">
    <cfRule type="duplicateValues" dxfId="7017" priority="8880" stopIfTrue="1"/>
  </conditionalFormatting>
  <conditionalFormatting sqref="A1138">
    <cfRule type="duplicateValues" dxfId="7016" priority="8879" stopIfTrue="1"/>
  </conditionalFormatting>
  <conditionalFormatting sqref="A1138">
    <cfRule type="duplicateValues" dxfId="7015" priority="8878" stopIfTrue="1"/>
  </conditionalFormatting>
  <conditionalFormatting sqref="A1138">
    <cfRule type="duplicateValues" dxfId="7014" priority="8877" stopIfTrue="1"/>
  </conditionalFormatting>
  <conditionalFormatting sqref="A1138">
    <cfRule type="duplicateValues" dxfId="7013" priority="8876" stopIfTrue="1"/>
  </conditionalFormatting>
  <conditionalFormatting sqref="A1138">
    <cfRule type="duplicateValues" dxfId="7012" priority="8891" stopIfTrue="1"/>
  </conditionalFormatting>
  <conditionalFormatting sqref="A1138">
    <cfRule type="duplicateValues" dxfId="7011" priority="8875" stopIfTrue="1"/>
  </conditionalFormatting>
  <conditionalFormatting sqref="C1138">
    <cfRule type="duplicateValues" dxfId="7010" priority="8874" stopIfTrue="1"/>
  </conditionalFormatting>
  <conditionalFormatting sqref="A1138">
    <cfRule type="duplicateValues" dxfId="7009" priority="8873" stopIfTrue="1"/>
  </conditionalFormatting>
  <conditionalFormatting sqref="A1138">
    <cfRule type="duplicateValues" dxfId="7008" priority="8872" stopIfTrue="1"/>
  </conditionalFormatting>
  <conditionalFormatting sqref="A1138">
    <cfRule type="duplicateValues" dxfId="7007" priority="8871" stopIfTrue="1"/>
  </conditionalFormatting>
  <conditionalFormatting sqref="A1138">
    <cfRule type="duplicateValues" dxfId="7006" priority="8870" stopIfTrue="1"/>
  </conditionalFormatting>
  <conditionalFormatting sqref="A1138">
    <cfRule type="duplicateValues" dxfId="7005" priority="8869" stopIfTrue="1"/>
  </conditionalFormatting>
  <conditionalFormatting sqref="A1138">
    <cfRule type="duplicateValues" dxfId="7004" priority="8868" stopIfTrue="1"/>
  </conditionalFormatting>
  <conditionalFormatting sqref="A1138">
    <cfRule type="duplicateValues" dxfId="7003" priority="8867" stopIfTrue="1"/>
  </conditionalFormatting>
  <conditionalFormatting sqref="A1138">
    <cfRule type="duplicateValues" dxfId="7002" priority="8866" stopIfTrue="1"/>
  </conditionalFormatting>
  <conditionalFormatting sqref="A1138">
    <cfRule type="duplicateValues" dxfId="7001" priority="8864" stopIfTrue="1"/>
    <cfRule type="duplicateValues" dxfId="7000" priority="8865" stopIfTrue="1"/>
  </conditionalFormatting>
  <conditionalFormatting sqref="A1138">
    <cfRule type="duplicateValues" dxfId="6999" priority="8863" stopIfTrue="1"/>
  </conditionalFormatting>
  <conditionalFormatting sqref="A1138">
    <cfRule type="duplicateValues" dxfId="6998" priority="8862" stopIfTrue="1"/>
  </conditionalFormatting>
  <conditionalFormatting sqref="A1138">
    <cfRule type="duplicateValues" dxfId="6997" priority="8861" stopIfTrue="1"/>
  </conditionalFormatting>
  <conditionalFormatting sqref="A1138">
    <cfRule type="duplicateValues" dxfId="6996" priority="8860" stopIfTrue="1"/>
  </conditionalFormatting>
  <conditionalFormatting sqref="A1138">
    <cfRule type="duplicateValues" dxfId="6995" priority="8859" stopIfTrue="1"/>
  </conditionalFormatting>
  <conditionalFormatting sqref="A1139">
    <cfRule type="duplicateValues" dxfId="6994" priority="8857" stopIfTrue="1"/>
  </conditionalFormatting>
  <conditionalFormatting sqref="A1139">
    <cfRule type="duplicateValues" dxfId="6993" priority="8856" stopIfTrue="1"/>
  </conditionalFormatting>
  <conditionalFormatting sqref="A1139">
    <cfRule type="duplicateValues" dxfId="6992" priority="8855" stopIfTrue="1"/>
  </conditionalFormatting>
  <conditionalFormatting sqref="A1139">
    <cfRule type="duplicateValues" dxfId="6991" priority="8854" stopIfTrue="1"/>
  </conditionalFormatting>
  <conditionalFormatting sqref="A1139">
    <cfRule type="duplicateValues" dxfId="6990" priority="8853" stopIfTrue="1"/>
  </conditionalFormatting>
  <conditionalFormatting sqref="A1139">
    <cfRule type="duplicateValues" dxfId="6989" priority="8852" stopIfTrue="1"/>
  </conditionalFormatting>
  <conditionalFormatting sqref="A1139">
    <cfRule type="duplicateValues" dxfId="6988" priority="8851" stopIfTrue="1"/>
  </conditionalFormatting>
  <conditionalFormatting sqref="A1139">
    <cfRule type="duplicateValues" dxfId="6987" priority="8850" stopIfTrue="1"/>
  </conditionalFormatting>
  <conditionalFormatting sqref="A1139">
    <cfRule type="duplicateValues" dxfId="6986" priority="8849" stopIfTrue="1"/>
  </conditionalFormatting>
  <conditionalFormatting sqref="A1139">
    <cfRule type="duplicateValues" dxfId="6985" priority="8848" stopIfTrue="1"/>
  </conditionalFormatting>
  <conditionalFormatting sqref="A1139">
    <cfRule type="duplicateValues" dxfId="6984" priority="8847" stopIfTrue="1"/>
  </conditionalFormatting>
  <conditionalFormatting sqref="A1139">
    <cfRule type="duplicateValues" dxfId="6983" priority="8846" stopIfTrue="1"/>
  </conditionalFormatting>
  <conditionalFormatting sqref="A1139">
    <cfRule type="duplicateValues" dxfId="6982" priority="8845" stopIfTrue="1"/>
  </conditionalFormatting>
  <conditionalFormatting sqref="A1139">
    <cfRule type="duplicateValues" dxfId="6981" priority="8844" stopIfTrue="1"/>
  </conditionalFormatting>
  <conditionalFormatting sqref="A1139">
    <cfRule type="duplicateValues" dxfId="6980" priority="8843" stopIfTrue="1"/>
  </conditionalFormatting>
  <conditionalFormatting sqref="A1139">
    <cfRule type="duplicateValues" dxfId="6979" priority="8858" stopIfTrue="1"/>
  </conditionalFormatting>
  <conditionalFormatting sqref="A1139">
    <cfRule type="duplicateValues" dxfId="6978" priority="8842" stopIfTrue="1"/>
  </conditionalFormatting>
  <conditionalFormatting sqref="C1139">
    <cfRule type="duplicateValues" dxfId="6977" priority="8841" stopIfTrue="1"/>
  </conditionalFormatting>
  <conditionalFormatting sqref="A1139">
    <cfRule type="duplicateValues" dxfId="6976" priority="8840" stopIfTrue="1"/>
  </conditionalFormatting>
  <conditionalFormatting sqref="A1139">
    <cfRule type="duplicateValues" dxfId="6975" priority="8839" stopIfTrue="1"/>
  </conditionalFormatting>
  <conditionalFormatting sqref="A1139">
    <cfRule type="duplicateValues" dxfId="6974" priority="8838" stopIfTrue="1"/>
  </conditionalFormatting>
  <conditionalFormatting sqref="A1139">
    <cfRule type="duplicateValues" dxfId="6973" priority="8837" stopIfTrue="1"/>
  </conditionalFormatting>
  <conditionalFormatting sqref="A1139">
    <cfRule type="duplicateValues" dxfId="6972" priority="8836" stopIfTrue="1"/>
  </conditionalFormatting>
  <conditionalFormatting sqref="A1139">
    <cfRule type="duplicateValues" dxfId="6971" priority="8835" stopIfTrue="1"/>
  </conditionalFormatting>
  <conditionalFormatting sqref="A1139">
    <cfRule type="duplicateValues" dxfId="6970" priority="8834" stopIfTrue="1"/>
  </conditionalFormatting>
  <conditionalFormatting sqref="A1139">
    <cfRule type="duplicateValues" dxfId="6969" priority="8833" stopIfTrue="1"/>
  </conditionalFormatting>
  <conditionalFormatting sqref="A1139">
    <cfRule type="duplicateValues" dxfId="6968" priority="8831" stopIfTrue="1"/>
    <cfRule type="duplicateValues" dxfId="6967" priority="8832" stopIfTrue="1"/>
  </conditionalFormatting>
  <conditionalFormatting sqref="A1139">
    <cfRule type="duplicateValues" dxfId="6966" priority="8830" stopIfTrue="1"/>
  </conditionalFormatting>
  <conditionalFormatting sqref="A1139">
    <cfRule type="duplicateValues" dxfId="6965" priority="8829" stopIfTrue="1"/>
  </conditionalFormatting>
  <conditionalFormatting sqref="A1139">
    <cfRule type="duplicateValues" dxfId="6964" priority="8828" stopIfTrue="1"/>
  </conditionalFormatting>
  <conditionalFormatting sqref="A1139">
    <cfRule type="duplicateValues" dxfId="6963" priority="8827" stopIfTrue="1"/>
  </conditionalFormatting>
  <conditionalFormatting sqref="A1139">
    <cfRule type="duplicateValues" dxfId="6962" priority="8826" stopIfTrue="1"/>
  </conditionalFormatting>
  <conditionalFormatting sqref="A1491">
    <cfRule type="duplicateValues" dxfId="6961" priority="8824" stopIfTrue="1"/>
  </conditionalFormatting>
  <conditionalFormatting sqref="A1491">
    <cfRule type="duplicateValues" dxfId="6960" priority="8823" stopIfTrue="1"/>
  </conditionalFormatting>
  <conditionalFormatting sqref="A1491">
    <cfRule type="duplicateValues" dxfId="6959" priority="8822" stopIfTrue="1"/>
  </conditionalFormatting>
  <conditionalFormatting sqref="A1491">
    <cfRule type="duplicateValues" dxfId="6958" priority="8821" stopIfTrue="1"/>
  </conditionalFormatting>
  <conditionalFormatting sqref="A1491">
    <cfRule type="duplicateValues" dxfId="6957" priority="8820" stopIfTrue="1"/>
  </conditionalFormatting>
  <conditionalFormatting sqref="A1491">
    <cfRule type="duplicateValues" dxfId="6956" priority="8819" stopIfTrue="1"/>
  </conditionalFormatting>
  <conditionalFormatting sqref="A1491">
    <cfRule type="duplicateValues" dxfId="6955" priority="8818" stopIfTrue="1"/>
  </conditionalFormatting>
  <conditionalFormatting sqref="A1491">
    <cfRule type="duplicateValues" dxfId="6954" priority="8817" stopIfTrue="1"/>
  </conditionalFormatting>
  <conditionalFormatting sqref="A1491">
    <cfRule type="duplicateValues" dxfId="6953" priority="8816" stopIfTrue="1"/>
  </conditionalFormatting>
  <conditionalFormatting sqref="A1491">
    <cfRule type="duplicateValues" dxfId="6952" priority="8815" stopIfTrue="1"/>
  </conditionalFormatting>
  <conditionalFormatting sqref="A1491">
    <cfRule type="duplicateValues" dxfId="6951" priority="8814" stopIfTrue="1"/>
  </conditionalFormatting>
  <conditionalFormatting sqref="A1491">
    <cfRule type="duplicateValues" dxfId="6950" priority="8813" stopIfTrue="1"/>
  </conditionalFormatting>
  <conditionalFormatting sqref="A1491">
    <cfRule type="duplicateValues" dxfId="6949" priority="8812" stopIfTrue="1"/>
  </conditionalFormatting>
  <conditionalFormatting sqref="A1491">
    <cfRule type="duplicateValues" dxfId="6948" priority="8811" stopIfTrue="1"/>
  </conditionalFormatting>
  <conditionalFormatting sqref="A1491">
    <cfRule type="duplicateValues" dxfId="6947" priority="8825" stopIfTrue="1"/>
  </conditionalFormatting>
  <conditionalFormatting sqref="A1491">
    <cfRule type="duplicateValues" dxfId="6946" priority="8810" stopIfTrue="1"/>
  </conditionalFormatting>
  <conditionalFormatting sqref="C1491">
    <cfRule type="duplicateValues" dxfId="6945" priority="8809" stopIfTrue="1"/>
  </conditionalFormatting>
  <conditionalFormatting sqref="A1491">
    <cfRule type="duplicateValues" dxfId="6944" priority="8808" stopIfTrue="1"/>
  </conditionalFormatting>
  <conditionalFormatting sqref="A1491">
    <cfRule type="duplicateValues" dxfId="6943" priority="8807" stopIfTrue="1"/>
  </conditionalFormatting>
  <conditionalFormatting sqref="A1491">
    <cfRule type="duplicateValues" dxfId="6942" priority="8806" stopIfTrue="1"/>
  </conditionalFormatting>
  <conditionalFormatting sqref="A1491">
    <cfRule type="duplicateValues" dxfId="6941" priority="8805" stopIfTrue="1"/>
  </conditionalFormatting>
  <conditionalFormatting sqref="A1491">
    <cfRule type="duplicateValues" dxfId="6940" priority="8804" stopIfTrue="1"/>
  </conditionalFormatting>
  <conditionalFormatting sqref="A1491">
    <cfRule type="duplicateValues" dxfId="6939" priority="8803" stopIfTrue="1"/>
  </conditionalFormatting>
  <conditionalFormatting sqref="A1491">
    <cfRule type="duplicateValues" dxfId="6938" priority="8802" stopIfTrue="1"/>
  </conditionalFormatting>
  <conditionalFormatting sqref="A1491">
    <cfRule type="duplicateValues" dxfId="6937" priority="8801" stopIfTrue="1"/>
  </conditionalFormatting>
  <conditionalFormatting sqref="A1491">
    <cfRule type="duplicateValues" dxfId="6936" priority="8799" stopIfTrue="1"/>
    <cfRule type="duplicateValues" dxfId="6935" priority="8800" stopIfTrue="1"/>
  </conditionalFormatting>
  <conditionalFormatting sqref="A1491">
    <cfRule type="duplicateValues" dxfId="6934" priority="8798" stopIfTrue="1"/>
  </conditionalFormatting>
  <conditionalFormatting sqref="A1491">
    <cfRule type="duplicateValues" dxfId="6933" priority="8797" stopIfTrue="1"/>
  </conditionalFormatting>
  <conditionalFormatting sqref="A1491">
    <cfRule type="duplicateValues" dxfId="6932" priority="8796" stopIfTrue="1"/>
  </conditionalFormatting>
  <conditionalFormatting sqref="A1491">
    <cfRule type="duplicateValues" dxfId="6931" priority="8795" stopIfTrue="1"/>
  </conditionalFormatting>
  <conditionalFormatting sqref="A1491">
    <cfRule type="duplicateValues" dxfId="6930" priority="8794" stopIfTrue="1"/>
  </conditionalFormatting>
  <conditionalFormatting sqref="A1140">
    <cfRule type="duplicateValues" dxfId="6929" priority="8792" stopIfTrue="1"/>
  </conditionalFormatting>
  <conditionalFormatting sqref="A1140">
    <cfRule type="duplicateValues" dxfId="6928" priority="8791" stopIfTrue="1"/>
  </conditionalFormatting>
  <conditionalFormatting sqref="A1140">
    <cfRule type="duplicateValues" dxfId="6927" priority="8790" stopIfTrue="1"/>
  </conditionalFormatting>
  <conditionalFormatting sqref="A1140">
    <cfRule type="duplicateValues" dxfId="6926" priority="8789" stopIfTrue="1"/>
  </conditionalFormatting>
  <conditionalFormatting sqref="A1140">
    <cfRule type="duplicateValues" dxfId="6925" priority="8788" stopIfTrue="1"/>
  </conditionalFormatting>
  <conditionalFormatting sqref="A1140">
    <cfRule type="duplicateValues" dxfId="6924" priority="8787" stopIfTrue="1"/>
  </conditionalFormatting>
  <conditionalFormatting sqref="A1140">
    <cfRule type="duplicateValues" dxfId="6923" priority="8786" stopIfTrue="1"/>
  </conditionalFormatting>
  <conditionalFormatting sqref="A1140">
    <cfRule type="duplicateValues" dxfId="6922" priority="8785" stopIfTrue="1"/>
  </conditionalFormatting>
  <conditionalFormatting sqref="A1140">
    <cfRule type="duplicateValues" dxfId="6921" priority="8784" stopIfTrue="1"/>
  </conditionalFormatting>
  <conditionalFormatting sqref="A1140">
    <cfRule type="duplicateValues" dxfId="6920" priority="8783" stopIfTrue="1"/>
  </conditionalFormatting>
  <conditionalFormatting sqref="A1140">
    <cfRule type="duplicateValues" dxfId="6919" priority="8782" stopIfTrue="1"/>
  </conditionalFormatting>
  <conditionalFormatting sqref="A1140">
    <cfRule type="duplicateValues" dxfId="6918" priority="8781" stopIfTrue="1"/>
  </conditionalFormatting>
  <conditionalFormatting sqref="A1140">
    <cfRule type="duplicateValues" dxfId="6917" priority="8780" stopIfTrue="1"/>
  </conditionalFormatting>
  <conditionalFormatting sqref="A1140">
    <cfRule type="duplicateValues" dxfId="6916" priority="8779" stopIfTrue="1"/>
  </conditionalFormatting>
  <conditionalFormatting sqref="A1140">
    <cfRule type="duplicateValues" dxfId="6915" priority="8778" stopIfTrue="1"/>
  </conditionalFormatting>
  <conditionalFormatting sqref="A1140">
    <cfRule type="duplicateValues" dxfId="6914" priority="8793" stopIfTrue="1"/>
  </conditionalFormatting>
  <conditionalFormatting sqref="A1140">
    <cfRule type="duplicateValues" dxfId="6913" priority="8777" stopIfTrue="1"/>
  </conditionalFormatting>
  <conditionalFormatting sqref="C1140">
    <cfRule type="duplicateValues" dxfId="6912" priority="8776" stopIfTrue="1"/>
  </conditionalFormatting>
  <conditionalFormatting sqref="A1140">
    <cfRule type="duplicateValues" dxfId="6911" priority="8775" stopIfTrue="1"/>
  </conditionalFormatting>
  <conditionalFormatting sqref="A1140">
    <cfRule type="duplicateValues" dxfId="6910" priority="8774" stopIfTrue="1"/>
  </conditionalFormatting>
  <conditionalFormatting sqref="A1140">
    <cfRule type="duplicateValues" dxfId="6909" priority="8773" stopIfTrue="1"/>
  </conditionalFormatting>
  <conditionalFormatting sqref="A1140">
    <cfRule type="duplicateValues" dxfId="6908" priority="8772" stopIfTrue="1"/>
  </conditionalFormatting>
  <conditionalFormatting sqref="A1140">
    <cfRule type="duplicateValues" dxfId="6907" priority="8771" stopIfTrue="1"/>
  </conditionalFormatting>
  <conditionalFormatting sqref="A1140">
    <cfRule type="duplicateValues" dxfId="6906" priority="8770" stopIfTrue="1"/>
  </conditionalFormatting>
  <conditionalFormatting sqref="A1140">
    <cfRule type="duplicateValues" dxfId="6905" priority="8769" stopIfTrue="1"/>
  </conditionalFormatting>
  <conditionalFormatting sqref="A1140">
    <cfRule type="duplicateValues" dxfId="6904" priority="8768" stopIfTrue="1"/>
  </conditionalFormatting>
  <conditionalFormatting sqref="A1140">
    <cfRule type="duplicateValues" dxfId="6903" priority="8766" stopIfTrue="1"/>
    <cfRule type="duplicateValues" dxfId="6902" priority="8767" stopIfTrue="1"/>
  </conditionalFormatting>
  <conditionalFormatting sqref="A1140">
    <cfRule type="duplicateValues" dxfId="6901" priority="8765" stopIfTrue="1"/>
  </conditionalFormatting>
  <conditionalFormatting sqref="A1140">
    <cfRule type="duplicateValues" dxfId="6900" priority="8764" stopIfTrue="1"/>
  </conditionalFormatting>
  <conditionalFormatting sqref="A1140">
    <cfRule type="duplicateValues" dxfId="6899" priority="8763" stopIfTrue="1"/>
  </conditionalFormatting>
  <conditionalFormatting sqref="A1140">
    <cfRule type="duplicateValues" dxfId="6898" priority="8762" stopIfTrue="1"/>
  </conditionalFormatting>
  <conditionalFormatting sqref="A1140">
    <cfRule type="duplicateValues" dxfId="6897" priority="8761" stopIfTrue="1"/>
  </conditionalFormatting>
  <conditionalFormatting sqref="A1141">
    <cfRule type="duplicateValues" dxfId="6896" priority="8759" stopIfTrue="1"/>
  </conditionalFormatting>
  <conditionalFormatting sqref="A1141">
    <cfRule type="duplicateValues" dxfId="6895" priority="8758" stopIfTrue="1"/>
  </conditionalFormatting>
  <conditionalFormatting sqref="A1141">
    <cfRule type="duplicateValues" dxfId="6894" priority="8757" stopIfTrue="1"/>
  </conditionalFormatting>
  <conditionalFormatting sqref="A1141">
    <cfRule type="duplicateValues" dxfId="6893" priority="8756" stopIfTrue="1"/>
  </conditionalFormatting>
  <conditionalFormatting sqref="A1141">
    <cfRule type="duplicateValues" dxfId="6892" priority="8755" stopIfTrue="1"/>
  </conditionalFormatting>
  <conditionalFormatting sqref="A1141">
    <cfRule type="duplicateValues" dxfId="6891" priority="8754" stopIfTrue="1"/>
  </conditionalFormatting>
  <conditionalFormatting sqref="A1141">
    <cfRule type="duplicateValues" dxfId="6890" priority="8753" stopIfTrue="1"/>
  </conditionalFormatting>
  <conditionalFormatting sqref="A1141">
    <cfRule type="duplicateValues" dxfId="6889" priority="8752" stopIfTrue="1"/>
  </conditionalFormatting>
  <conditionalFormatting sqref="A1141">
    <cfRule type="duplicateValues" dxfId="6888" priority="8751" stopIfTrue="1"/>
  </conditionalFormatting>
  <conditionalFormatting sqref="A1141">
    <cfRule type="duplicateValues" dxfId="6887" priority="8750" stopIfTrue="1"/>
  </conditionalFormatting>
  <conditionalFormatting sqref="A1141">
    <cfRule type="duplicateValues" dxfId="6886" priority="8749" stopIfTrue="1"/>
  </conditionalFormatting>
  <conditionalFormatting sqref="A1141">
    <cfRule type="duplicateValues" dxfId="6885" priority="8748" stopIfTrue="1"/>
  </conditionalFormatting>
  <conditionalFormatting sqref="A1141">
    <cfRule type="duplicateValues" dxfId="6884" priority="8747" stopIfTrue="1"/>
  </conditionalFormatting>
  <conditionalFormatting sqref="A1141">
    <cfRule type="duplicateValues" dxfId="6883" priority="8746" stopIfTrue="1"/>
  </conditionalFormatting>
  <conditionalFormatting sqref="A1141">
    <cfRule type="duplicateValues" dxfId="6882" priority="8760" stopIfTrue="1"/>
  </conditionalFormatting>
  <conditionalFormatting sqref="A1141">
    <cfRule type="duplicateValues" dxfId="6881" priority="8745" stopIfTrue="1"/>
  </conditionalFormatting>
  <conditionalFormatting sqref="C1141">
    <cfRule type="duplicateValues" dxfId="6880" priority="8744" stopIfTrue="1"/>
  </conditionalFormatting>
  <conditionalFormatting sqref="A1141">
    <cfRule type="duplicateValues" dxfId="6879" priority="8743" stopIfTrue="1"/>
  </conditionalFormatting>
  <conditionalFormatting sqref="A1141">
    <cfRule type="duplicateValues" dxfId="6878" priority="8742" stopIfTrue="1"/>
  </conditionalFormatting>
  <conditionalFormatting sqref="A1141">
    <cfRule type="duplicateValues" dxfId="6877" priority="8741" stopIfTrue="1"/>
  </conditionalFormatting>
  <conditionalFormatting sqref="A1141">
    <cfRule type="duplicateValues" dxfId="6876" priority="8740" stopIfTrue="1"/>
  </conditionalFormatting>
  <conditionalFormatting sqref="A1141">
    <cfRule type="duplicateValues" dxfId="6875" priority="8739" stopIfTrue="1"/>
  </conditionalFormatting>
  <conditionalFormatting sqref="A1141">
    <cfRule type="duplicateValues" dxfId="6874" priority="8738" stopIfTrue="1"/>
  </conditionalFormatting>
  <conditionalFormatting sqref="A1141">
    <cfRule type="duplicateValues" dxfId="6873" priority="8737" stopIfTrue="1"/>
  </conditionalFormatting>
  <conditionalFormatting sqref="A1141">
    <cfRule type="duplicateValues" dxfId="6872" priority="8736" stopIfTrue="1"/>
  </conditionalFormatting>
  <conditionalFormatting sqref="A1141">
    <cfRule type="duplicateValues" dxfId="6871" priority="8734" stopIfTrue="1"/>
    <cfRule type="duplicateValues" dxfId="6870" priority="8735" stopIfTrue="1"/>
  </conditionalFormatting>
  <conditionalFormatting sqref="A1141">
    <cfRule type="duplicateValues" dxfId="6869" priority="8733" stopIfTrue="1"/>
  </conditionalFormatting>
  <conditionalFormatting sqref="A1141">
    <cfRule type="duplicateValues" dxfId="6868" priority="8732" stopIfTrue="1"/>
  </conditionalFormatting>
  <conditionalFormatting sqref="A1141">
    <cfRule type="duplicateValues" dxfId="6867" priority="8731" stopIfTrue="1"/>
  </conditionalFormatting>
  <conditionalFormatting sqref="A1141">
    <cfRule type="duplicateValues" dxfId="6866" priority="8730" stopIfTrue="1"/>
  </conditionalFormatting>
  <conditionalFormatting sqref="A1141">
    <cfRule type="duplicateValues" dxfId="6865" priority="8729" stopIfTrue="1"/>
  </conditionalFormatting>
  <conditionalFormatting sqref="A1492">
    <cfRule type="duplicateValues" dxfId="6864" priority="8727" stopIfTrue="1"/>
  </conditionalFormatting>
  <conditionalFormatting sqref="A1492">
    <cfRule type="duplicateValues" dxfId="6863" priority="8726" stopIfTrue="1"/>
  </conditionalFormatting>
  <conditionalFormatting sqref="A1492">
    <cfRule type="duplicateValues" dxfId="6862" priority="8725" stopIfTrue="1"/>
  </conditionalFormatting>
  <conditionalFormatting sqref="A1492">
    <cfRule type="duplicateValues" dxfId="6861" priority="8724" stopIfTrue="1"/>
  </conditionalFormatting>
  <conditionalFormatting sqref="A1492">
    <cfRule type="duplicateValues" dxfId="6860" priority="8723" stopIfTrue="1"/>
  </conditionalFormatting>
  <conditionalFormatting sqref="A1492">
    <cfRule type="duplicateValues" dxfId="6859" priority="8722" stopIfTrue="1"/>
  </conditionalFormatting>
  <conditionalFormatting sqref="A1492">
    <cfRule type="duplicateValues" dxfId="6858" priority="8721" stopIfTrue="1"/>
  </conditionalFormatting>
  <conditionalFormatting sqref="A1492">
    <cfRule type="duplicateValues" dxfId="6857" priority="8720" stopIfTrue="1"/>
  </conditionalFormatting>
  <conditionalFormatting sqref="A1492">
    <cfRule type="duplicateValues" dxfId="6856" priority="8719" stopIfTrue="1"/>
  </conditionalFormatting>
  <conditionalFormatting sqref="A1492">
    <cfRule type="duplicateValues" dxfId="6855" priority="8718" stopIfTrue="1"/>
  </conditionalFormatting>
  <conditionalFormatting sqref="A1492">
    <cfRule type="duplicateValues" dxfId="6854" priority="8717" stopIfTrue="1"/>
  </conditionalFormatting>
  <conditionalFormatting sqref="A1492">
    <cfRule type="duplicateValues" dxfId="6853" priority="8716" stopIfTrue="1"/>
  </conditionalFormatting>
  <conditionalFormatting sqref="A1492">
    <cfRule type="duplicateValues" dxfId="6852" priority="8715" stopIfTrue="1"/>
  </conditionalFormatting>
  <conditionalFormatting sqref="A1492">
    <cfRule type="duplicateValues" dxfId="6851" priority="8714" stopIfTrue="1"/>
  </conditionalFormatting>
  <conditionalFormatting sqref="A1492">
    <cfRule type="duplicateValues" dxfId="6850" priority="8728" stopIfTrue="1"/>
  </conditionalFormatting>
  <conditionalFormatting sqref="A1492">
    <cfRule type="duplicateValues" dxfId="6849" priority="8713" stopIfTrue="1"/>
  </conditionalFormatting>
  <conditionalFormatting sqref="C1492">
    <cfRule type="duplicateValues" dxfId="6848" priority="8712" stopIfTrue="1"/>
  </conditionalFormatting>
  <conditionalFormatting sqref="A1492">
    <cfRule type="duplicateValues" dxfId="6847" priority="8711" stopIfTrue="1"/>
  </conditionalFormatting>
  <conditionalFormatting sqref="A1492">
    <cfRule type="duplicateValues" dxfId="6846" priority="8710" stopIfTrue="1"/>
  </conditionalFormatting>
  <conditionalFormatting sqref="A1492">
    <cfRule type="duplicateValues" dxfId="6845" priority="8709" stopIfTrue="1"/>
  </conditionalFormatting>
  <conditionalFormatting sqref="A1492">
    <cfRule type="duplicateValues" dxfId="6844" priority="8708" stopIfTrue="1"/>
  </conditionalFormatting>
  <conditionalFormatting sqref="A1492">
    <cfRule type="duplicateValues" dxfId="6843" priority="8707" stopIfTrue="1"/>
  </conditionalFormatting>
  <conditionalFormatting sqref="A1492">
    <cfRule type="duplicateValues" dxfId="6842" priority="8706" stopIfTrue="1"/>
  </conditionalFormatting>
  <conditionalFormatting sqref="A1492">
    <cfRule type="duplicateValues" dxfId="6841" priority="8705" stopIfTrue="1"/>
  </conditionalFormatting>
  <conditionalFormatting sqref="A1492">
    <cfRule type="duplicateValues" dxfId="6840" priority="8704" stopIfTrue="1"/>
  </conditionalFormatting>
  <conditionalFormatting sqref="A1492">
    <cfRule type="duplicateValues" dxfId="6839" priority="8702" stopIfTrue="1"/>
    <cfRule type="duplicateValues" dxfId="6838" priority="8703" stopIfTrue="1"/>
  </conditionalFormatting>
  <conditionalFormatting sqref="A1492">
    <cfRule type="duplicateValues" dxfId="6837" priority="8701" stopIfTrue="1"/>
  </conditionalFormatting>
  <conditionalFormatting sqref="A1492">
    <cfRule type="duplicateValues" dxfId="6836" priority="8700" stopIfTrue="1"/>
  </conditionalFormatting>
  <conditionalFormatting sqref="A1492">
    <cfRule type="duplicateValues" dxfId="6835" priority="8699" stopIfTrue="1"/>
  </conditionalFormatting>
  <conditionalFormatting sqref="A1492">
    <cfRule type="duplicateValues" dxfId="6834" priority="8698" stopIfTrue="1"/>
  </conditionalFormatting>
  <conditionalFormatting sqref="A1492">
    <cfRule type="duplicateValues" dxfId="6833" priority="8697" stopIfTrue="1"/>
  </conditionalFormatting>
  <conditionalFormatting sqref="A1493">
    <cfRule type="duplicateValues" dxfId="6832" priority="8695" stopIfTrue="1"/>
  </conditionalFormatting>
  <conditionalFormatting sqref="A1493">
    <cfRule type="duplicateValues" dxfId="6831" priority="8694" stopIfTrue="1"/>
  </conditionalFormatting>
  <conditionalFormatting sqref="A1493">
    <cfRule type="duplicateValues" dxfId="6830" priority="8693" stopIfTrue="1"/>
  </conditionalFormatting>
  <conditionalFormatting sqref="A1493">
    <cfRule type="duplicateValues" dxfId="6829" priority="8692" stopIfTrue="1"/>
  </conditionalFormatting>
  <conditionalFormatting sqref="A1493">
    <cfRule type="duplicateValues" dxfId="6828" priority="8691" stopIfTrue="1"/>
  </conditionalFormatting>
  <conditionalFormatting sqref="A1493">
    <cfRule type="duplicateValues" dxfId="6827" priority="8690" stopIfTrue="1"/>
  </conditionalFormatting>
  <conditionalFormatting sqref="A1493">
    <cfRule type="duplicateValues" dxfId="6826" priority="8689" stopIfTrue="1"/>
  </conditionalFormatting>
  <conditionalFormatting sqref="A1493">
    <cfRule type="duplicateValues" dxfId="6825" priority="8688" stopIfTrue="1"/>
  </conditionalFormatting>
  <conditionalFormatting sqref="A1493">
    <cfRule type="duplicateValues" dxfId="6824" priority="8687" stopIfTrue="1"/>
  </conditionalFormatting>
  <conditionalFormatting sqref="A1493">
    <cfRule type="duplicateValues" dxfId="6823" priority="8686" stopIfTrue="1"/>
  </conditionalFormatting>
  <conditionalFormatting sqref="A1493">
    <cfRule type="duplicateValues" dxfId="6822" priority="8685" stopIfTrue="1"/>
  </conditionalFormatting>
  <conditionalFormatting sqref="A1493">
    <cfRule type="duplicateValues" dxfId="6821" priority="8684" stopIfTrue="1"/>
  </conditionalFormatting>
  <conditionalFormatting sqref="A1493">
    <cfRule type="duplicateValues" dxfId="6820" priority="8683" stopIfTrue="1"/>
  </conditionalFormatting>
  <conditionalFormatting sqref="A1493">
    <cfRule type="duplicateValues" dxfId="6819" priority="8682" stopIfTrue="1"/>
  </conditionalFormatting>
  <conditionalFormatting sqref="A1493">
    <cfRule type="duplicateValues" dxfId="6818" priority="8696" stopIfTrue="1"/>
  </conditionalFormatting>
  <conditionalFormatting sqref="A1493">
    <cfRule type="duplicateValues" dxfId="6817" priority="8681" stopIfTrue="1"/>
  </conditionalFormatting>
  <conditionalFormatting sqref="C1493">
    <cfRule type="duplicateValues" dxfId="6816" priority="8680" stopIfTrue="1"/>
  </conditionalFormatting>
  <conditionalFormatting sqref="A1493">
    <cfRule type="duplicateValues" dxfId="6815" priority="8679" stopIfTrue="1"/>
  </conditionalFormatting>
  <conditionalFormatting sqref="A1493">
    <cfRule type="duplicateValues" dxfId="6814" priority="8678" stopIfTrue="1"/>
  </conditionalFormatting>
  <conditionalFormatting sqref="A1493">
    <cfRule type="duplicateValues" dxfId="6813" priority="8677" stopIfTrue="1"/>
  </conditionalFormatting>
  <conditionalFormatting sqref="A1493">
    <cfRule type="duplicateValues" dxfId="6812" priority="8676" stopIfTrue="1"/>
  </conditionalFormatting>
  <conditionalFormatting sqref="A1493">
    <cfRule type="duplicateValues" dxfId="6811" priority="8675" stopIfTrue="1"/>
  </conditionalFormatting>
  <conditionalFormatting sqref="A1493">
    <cfRule type="duplicateValues" dxfId="6810" priority="8674" stopIfTrue="1"/>
  </conditionalFormatting>
  <conditionalFormatting sqref="A1493">
    <cfRule type="duplicateValues" dxfId="6809" priority="8673" stopIfTrue="1"/>
  </conditionalFormatting>
  <conditionalFormatting sqref="A1493">
    <cfRule type="duplicateValues" dxfId="6808" priority="8672" stopIfTrue="1"/>
  </conditionalFormatting>
  <conditionalFormatting sqref="A1493">
    <cfRule type="duplicateValues" dxfId="6807" priority="8670" stopIfTrue="1"/>
    <cfRule type="duplicateValues" dxfId="6806" priority="8671" stopIfTrue="1"/>
  </conditionalFormatting>
  <conditionalFormatting sqref="A1493">
    <cfRule type="duplicateValues" dxfId="6805" priority="8669" stopIfTrue="1"/>
  </conditionalFormatting>
  <conditionalFormatting sqref="A1493">
    <cfRule type="duplicateValues" dxfId="6804" priority="8668" stopIfTrue="1"/>
  </conditionalFormatting>
  <conditionalFormatting sqref="A1493">
    <cfRule type="duplicateValues" dxfId="6803" priority="8667" stopIfTrue="1"/>
  </conditionalFormatting>
  <conditionalFormatting sqref="A1493">
    <cfRule type="duplicateValues" dxfId="6802" priority="8666" stopIfTrue="1"/>
  </conditionalFormatting>
  <conditionalFormatting sqref="A1493">
    <cfRule type="duplicateValues" dxfId="6801" priority="8665" stopIfTrue="1"/>
  </conditionalFormatting>
  <conditionalFormatting sqref="A1580">
    <cfRule type="duplicateValues" dxfId="6800" priority="8657" stopIfTrue="1"/>
  </conditionalFormatting>
  <conditionalFormatting sqref="A1580">
    <cfRule type="duplicateValues" dxfId="6799" priority="8656" stopIfTrue="1"/>
  </conditionalFormatting>
  <conditionalFormatting sqref="A1580">
    <cfRule type="duplicateValues" dxfId="6798" priority="8655" stopIfTrue="1"/>
  </conditionalFormatting>
  <conditionalFormatting sqref="A1580">
    <cfRule type="duplicateValues" dxfId="6797" priority="8654" stopIfTrue="1"/>
  </conditionalFormatting>
  <conditionalFormatting sqref="A1580">
    <cfRule type="duplicateValues" dxfId="6796" priority="8653" stopIfTrue="1"/>
  </conditionalFormatting>
  <conditionalFormatting sqref="A1580">
    <cfRule type="duplicateValues" dxfId="6795" priority="8652" stopIfTrue="1"/>
  </conditionalFormatting>
  <conditionalFormatting sqref="A1580">
    <cfRule type="duplicateValues" dxfId="6794" priority="8651" stopIfTrue="1"/>
  </conditionalFormatting>
  <conditionalFormatting sqref="A1580">
    <cfRule type="duplicateValues" dxfId="6793" priority="8650" stopIfTrue="1"/>
  </conditionalFormatting>
  <conditionalFormatting sqref="A1580">
    <cfRule type="duplicateValues" dxfId="6792" priority="8649" stopIfTrue="1"/>
  </conditionalFormatting>
  <conditionalFormatting sqref="A1580">
    <cfRule type="duplicateValues" dxfId="6791" priority="8648" stopIfTrue="1"/>
  </conditionalFormatting>
  <conditionalFormatting sqref="A1580">
    <cfRule type="duplicateValues" dxfId="6790" priority="8647" stopIfTrue="1"/>
  </conditionalFormatting>
  <conditionalFormatting sqref="A1580">
    <cfRule type="duplicateValues" dxfId="6789" priority="8646" stopIfTrue="1"/>
  </conditionalFormatting>
  <conditionalFormatting sqref="A1580">
    <cfRule type="duplicateValues" dxfId="6788" priority="8658" stopIfTrue="1"/>
  </conditionalFormatting>
  <conditionalFormatting sqref="A1580">
    <cfRule type="duplicateValues" dxfId="6787" priority="8645" stopIfTrue="1"/>
  </conditionalFormatting>
  <conditionalFormatting sqref="A1580">
    <cfRule type="duplicateValues" dxfId="6786" priority="8659" stopIfTrue="1"/>
  </conditionalFormatting>
  <conditionalFormatting sqref="A1580">
    <cfRule type="duplicateValues" dxfId="6785" priority="8660" stopIfTrue="1"/>
  </conditionalFormatting>
  <conditionalFormatting sqref="C1580">
    <cfRule type="duplicateValues" dxfId="6784" priority="8661" stopIfTrue="1"/>
  </conditionalFormatting>
  <conditionalFormatting sqref="A1580">
    <cfRule type="duplicateValues" dxfId="6783" priority="8662" stopIfTrue="1"/>
  </conditionalFormatting>
  <conditionalFormatting sqref="R1580">
    <cfRule type="duplicateValues" dxfId="6782" priority="8663" stopIfTrue="1"/>
  </conditionalFormatting>
  <conditionalFormatting sqref="R1580">
    <cfRule type="duplicateValues" dxfId="6781" priority="8664" stopIfTrue="1"/>
  </conditionalFormatting>
  <conditionalFormatting sqref="A1580">
    <cfRule type="duplicateValues" dxfId="6780" priority="8644" stopIfTrue="1"/>
  </conditionalFormatting>
  <conditionalFormatting sqref="A1580">
    <cfRule type="duplicateValues" dxfId="6779" priority="8643" stopIfTrue="1"/>
  </conditionalFormatting>
  <conditionalFormatting sqref="A1580">
    <cfRule type="duplicateValues" dxfId="6778" priority="8642" stopIfTrue="1"/>
  </conditionalFormatting>
  <conditionalFormatting sqref="A1580">
    <cfRule type="duplicateValues" dxfId="6777" priority="8640" stopIfTrue="1"/>
    <cfRule type="duplicateValues" dxfId="6776" priority="8641" stopIfTrue="1"/>
  </conditionalFormatting>
  <conditionalFormatting sqref="A1580">
    <cfRule type="duplicateValues" dxfId="6775" priority="8639" stopIfTrue="1"/>
  </conditionalFormatting>
  <conditionalFormatting sqref="A1580">
    <cfRule type="duplicateValues" dxfId="6774" priority="8638" stopIfTrue="1"/>
  </conditionalFormatting>
  <conditionalFormatting sqref="A1580">
    <cfRule type="duplicateValues" dxfId="6773" priority="8637" stopIfTrue="1"/>
  </conditionalFormatting>
  <conditionalFormatting sqref="A1580">
    <cfRule type="duplicateValues" dxfId="6772" priority="8636" stopIfTrue="1"/>
  </conditionalFormatting>
  <conditionalFormatting sqref="A1580">
    <cfRule type="duplicateValues" dxfId="6771" priority="8635" stopIfTrue="1"/>
  </conditionalFormatting>
  <conditionalFormatting sqref="A1899:A1048576 A1702:A1719 A1 A1681:A1699 A1722:A1739 A1742:A1760 A1763:A1781 A1580 A1554:A1564 A1150:A1153 A1498:A1500 A362:A529 A1074:A1141 A531:A1070 A357 A1433:A1448 A1159:A1162 A1512:A1552 A1466:A1493 A1450:A1464 A1164:A1408 A1427">
    <cfRule type="duplicateValues" dxfId="6770" priority="8634"/>
  </conditionalFormatting>
  <conditionalFormatting sqref="A1700">
    <cfRule type="duplicateValues" dxfId="6769" priority="8625" stopIfTrue="1"/>
  </conditionalFormatting>
  <conditionalFormatting sqref="A1700">
    <cfRule type="duplicateValues" dxfId="6768" priority="8624" stopIfTrue="1"/>
  </conditionalFormatting>
  <conditionalFormatting sqref="A1700">
    <cfRule type="duplicateValues" dxfId="6767" priority="8623" stopIfTrue="1"/>
  </conditionalFormatting>
  <conditionalFormatting sqref="A1700">
    <cfRule type="duplicateValues" dxfId="6766" priority="8622" stopIfTrue="1"/>
  </conditionalFormatting>
  <conditionalFormatting sqref="A1700">
    <cfRule type="duplicateValues" dxfId="6765" priority="8621" stopIfTrue="1"/>
  </conditionalFormatting>
  <conditionalFormatting sqref="A1700">
    <cfRule type="duplicateValues" dxfId="6764" priority="8620" stopIfTrue="1"/>
  </conditionalFormatting>
  <conditionalFormatting sqref="A1700">
    <cfRule type="duplicateValues" dxfId="6763" priority="8619" stopIfTrue="1"/>
  </conditionalFormatting>
  <conditionalFormatting sqref="A1700">
    <cfRule type="duplicateValues" dxfId="6762" priority="8618" stopIfTrue="1"/>
  </conditionalFormatting>
  <conditionalFormatting sqref="A1700">
    <cfRule type="duplicateValues" dxfId="6761" priority="8617" stopIfTrue="1"/>
  </conditionalFormatting>
  <conditionalFormatting sqref="A1700">
    <cfRule type="duplicateValues" dxfId="6760" priority="8616" stopIfTrue="1"/>
  </conditionalFormatting>
  <conditionalFormatting sqref="A1700">
    <cfRule type="duplicateValues" dxfId="6759" priority="8615" stopIfTrue="1"/>
  </conditionalFormatting>
  <conditionalFormatting sqref="A1700">
    <cfRule type="duplicateValues" dxfId="6758" priority="8614" stopIfTrue="1"/>
  </conditionalFormatting>
  <conditionalFormatting sqref="A1700">
    <cfRule type="duplicateValues" dxfId="6757" priority="8626" stopIfTrue="1"/>
  </conditionalFormatting>
  <conditionalFormatting sqref="A1700">
    <cfRule type="duplicateValues" dxfId="6756" priority="8613" stopIfTrue="1"/>
  </conditionalFormatting>
  <conditionalFormatting sqref="A1700">
    <cfRule type="duplicateValues" dxfId="6755" priority="8627" stopIfTrue="1"/>
  </conditionalFormatting>
  <conditionalFormatting sqref="A1700">
    <cfRule type="duplicateValues" dxfId="6754" priority="8628" stopIfTrue="1"/>
  </conditionalFormatting>
  <conditionalFormatting sqref="A1700">
    <cfRule type="duplicateValues" dxfId="6753" priority="8629" stopIfTrue="1"/>
  </conditionalFormatting>
  <conditionalFormatting sqref="C1700">
    <cfRule type="duplicateValues" dxfId="6752" priority="8630" stopIfTrue="1"/>
  </conditionalFormatting>
  <conditionalFormatting sqref="A1700">
    <cfRule type="duplicateValues" dxfId="6751" priority="8631" stopIfTrue="1"/>
  </conditionalFormatting>
  <conditionalFormatting sqref="R1700">
    <cfRule type="duplicateValues" dxfId="6750" priority="8632" stopIfTrue="1"/>
  </conditionalFormatting>
  <conditionalFormatting sqref="R1700">
    <cfRule type="duplicateValues" dxfId="6749" priority="8633" stopIfTrue="1"/>
  </conditionalFormatting>
  <conditionalFormatting sqref="A1700">
    <cfRule type="duplicateValues" dxfId="6748" priority="8612" stopIfTrue="1"/>
  </conditionalFormatting>
  <conditionalFormatting sqref="A1700">
    <cfRule type="duplicateValues" dxfId="6747" priority="8611" stopIfTrue="1"/>
  </conditionalFormatting>
  <conditionalFormatting sqref="A1700">
    <cfRule type="duplicateValues" dxfId="6746" priority="8610" stopIfTrue="1"/>
  </conditionalFormatting>
  <conditionalFormatting sqref="A1700">
    <cfRule type="duplicateValues" dxfId="6745" priority="8608" stopIfTrue="1"/>
    <cfRule type="duplicateValues" dxfId="6744" priority="8609" stopIfTrue="1"/>
  </conditionalFormatting>
  <conditionalFormatting sqref="A1700">
    <cfRule type="duplicateValues" dxfId="6743" priority="8607" stopIfTrue="1"/>
  </conditionalFormatting>
  <conditionalFormatting sqref="A1700">
    <cfRule type="duplicateValues" dxfId="6742" priority="8606" stopIfTrue="1"/>
  </conditionalFormatting>
  <conditionalFormatting sqref="A1700">
    <cfRule type="duplicateValues" dxfId="6741" priority="8605" stopIfTrue="1"/>
  </conditionalFormatting>
  <conditionalFormatting sqref="A1700">
    <cfRule type="duplicateValues" dxfId="6740" priority="8604" stopIfTrue="1"/>
  </conditionalFormatting>
  <conditionalFormatting sqref="A1700">
    <cfRule type="duplicateValues" dxfId="6739" priority="8603" stopIfTrue="1"/>
  </conditionalFormatting>
  <conditionalFormatting sqref="A1700">
    <cfRule type="duplicateValues" dxfId="6738" priority="8602"/>
  </conditionalFormatting>
  <conditionalFormatting sqref="A1899:A1048576 A1702:A1719 A1 A1681:A1700 A1722:A1739 A1742:A1760 A1763:A1781 A1580 A1554:A1564 A1150:A1153 A1498:A1500 A362:A529 A1074:A1141 A531:A1070 A357 A1433:A1448 A1159:A1162 A1512:A1552 A1466:A1493 A1450:A1464 A1164:A1408 A1427">
    <cfRule type="duplicateValues" dxfId="6737" priority="8601"/>
  </conditionalFormatting>
  <conditionalFormatting sqref="A1701">
    <cfRule type="duplicateValues" dxfId="6736" priority="8594" stopIfTrue="1"/>
  </conditionalFormatting>
  <conditionalFormatting sqref="A1701">
    <cfRule type="duplicateValues" dxfId="6735" priority="8593" stopIfTrue="1"/>
  </conditionalFormatting>
  <conditionalFormatting sqref="A1701">
    <cfRule type="duplicateValues" dxfId="6734" priority="8592" stopIfTrue="1"/>
  </conditionalFormatting>
  <conditionalFormatting sqref="A1701">
    <cfRule type="duplicateValues" dxfId="6733" priority="8591" stopIfTrue="1"/>
  </conditionalFormatting>
  <conditionalFormatting sqref="A1701">
    <cfRule type="duplicateValues" dxfId="6732" priority="8590" stopIfTrue="1"/>
  </conditionalFormatting>
  <conditionalFormatting sqref="A1701">
    <cfRule type="duplicateValues" dxfId="6731" priority="8589" stopIfTrue="1"/>
  </conditionalFormatting>
  <conditionalFormatting sqref="A1701">
    <cfRule type="duplicateValues" dxfId="6730" priority="8588" stopIfTrue="1"/>
  </conditionalFormatting>
  <conditionalFormatting sqref="A1701">
    <cfRule type="duplicateValues" dxfId="6729" priority="8587" stopIfTrue="1"/>
  </conditionalFormatting>
  <conditionalFormatting sqref="A1701">
    <cfRule type="duplicateValues" dxfId="6728" priority="8586" stopIfTrue="1"/>
  </conditionalFormatting>
  <conditionalFormatting sqref="A1701">
    <cfRule type="duplicateValues" dxfId="6727" priority="8585" stopIfTrue="1"/>
  </conditionalFormatting>
  <conditionalFormatting sqref="A1701">
    <cfRule type="duplicateValues" dxfId="6726" priority="8584" stopIfTrue="1"/>
  </conditionalFormatting>
  <conditionalFormatting sqref="A1701">
    <cfRule type="duplicateValues" dxfId="6725" priority="8583" stopIfTrue="1"/>
  </conditionalFormatting>
  <conditionalFormatting sqref="A1701">
    <cfRule type="duplicateValues" dxfId="6724" priority="8595" stopIfTrue="1"/>
  </conditionalFormatting>
  <conditionalFormatting sqref="A1701">
    <cfRule type="duplicateValues" dxfId="6723" priority="8582" stopIfTrue="1"/>
  </conditionalFormatting>
  <conditionalFormatting sqref="A1701">
    <cfRule type="duplicateValues" dxfId="6722" priority="8596" stopIfTrue="1"/>
  </conditionalFormatting>
  <conditionalFormatting sqref="A1701">
    <cfRule type="duplicateValues" dxfId="6721" priority="8597" stopIfTrue="1"/>
  </conditionalFormatting>
  <conditionalFormatting sqref="A1701">
    <cfRule type="duplicateValues" dxfId="6720" priority="8598" stopIfTrue="1"/>
  </conditionalFormatting>
  <conditionalFormatting sqref="R1701">
    <cfRule type="duplicateValues" dxfId="6719" priority="8599" stopIfTrue="1"/>
  </conditionalFormatting>
  <conditionalFormatting sqref="R1701">
    <cfRule type="duplicateValues" dxfId="6718" priority="8600" stopIfTrue="1"/>
  </conditionalFormatting>
  <conditionalFormatting sqref="A1701">
    <cfRule type="duplicateValues" dxfId="6717" priority="8581" stopIfTrue="1"/>
  </conditionalFormatting>
  <conditionalFormatting sqref="C1701">
    <cfRule type="duplicateValues" dxfId="6716" priority="8580" stopIfTrue="1"/>
  </conditionalFormatting>
  <conditionalFormatting sqref="A1701">
    <cfRule type="duplicateValues" dxfId="6715" priority="8579" stopIfTrue="1"/>
  </conditionalFormatting>
  <conditionalFormatting sqref="A1701">
    <cfRule type="duplicateValues" dxfId="6714" priority="8578" stopIfTrue="1"/>
  </conditionalFormatting>
  <conditionalFormatting sqref="A1701">
    <cfRule type="duplicateValues" dxfId="6713" priority="8576" stopIfTrue="1"/>
    <cfRule type="duplicateValues" dxfId="6712" priority="8577" stopIfTrue="1"/>
  </conditionalFormatting>
  <conditionalFormatting sqref="A1701">
    <cfRule type="duplicateValues" dxfId="6711" priority="8575" stopIfTrue="1"/>
  </conditionalFormatting>
  <conditionalFormatting sqref="A1701">
    <cfRule type="duplicateValues" dxfId="6710" priority="8574" stopIfTrue="1"/>
  </conditionalFormatting>
  <conditionalFormatting sqref="A1701">
    <cfRule type="duplicateValues" dxfId="6709" priority="8573" stopIfTrue="1"/>
  </conditionalFormatting>
  <conditionalFormatting sqref="A1701">
    <cfRule type="duplicateValues" dxfId="6708" priority="8572" stopIfTrue="1"/>
  </conditionalFormatting>
  <conditionalFormatting sqref="A1701">
    <cfRule type="duplicateValues" dxfId="6707" priority="8571" stopIfTrue="1"/>
  </conditionalFormatting>
  <conditionalFormatting sqref="A1701">
    <cfRule type="duplicateValues" dxfId="6706" priority="8570"/>
  </conditionalFormatting>
  <conditionalFormatting sqref="A1701">
    <cfRule type="duplicateValues" dxfId="6705" priority="8569"/>
  </conditionalFormatting>
  <conditionalFormatting sqref="A1581">
    <cfRule type="duplicateValues" dxfId="6704" priority="8561" stopIfTrue="1"/>
  </conditionalFormatting>
  <conditionalFormatting sqref="A1581">
    <cfRule type="duplicateValues" dxfId="6703" priority="8560" stopIfTrue="1"/>
  </conditionalFormatting>
  <conditionalFormatting sqref="A1581">
    <cfRule type="duplicateValues" dxfId="6702" priority="8559" stopIfTrue="1"/>
  </conditionalFormatting>
  <conditionalFormatting sqref="A1581">
    <cfRule type="duplicateValues" dxfId="6701" priority="8558" stopIfTrue="1"/>
  </conditionalFormatting>
  <conditionalFormatting sqref="A1581">
    <cfRule type="duplicateValues" dxfId="6700" priority="8557" stopIfTrue="1"/>
  </conditionalFormatting>
  <conditionalFormatting sqref="A1581">
    <cfRule type="duplicateValues" dxfId="6699" priority="8556" stopIfTrue="1"/>
  </conditionalFormatting>
  <conditionalFormatting sqref="A1581">
    <cfRule type="duplicateValues" dxfId="6698" priority="8555" stopIfTrue="1"/>
  </conditionalFormatting>
  <conditionalFormatting sqref="A1581">
    <cfRule type="duplicateValues" dxfId="6697" priority="8554" stopIfTrue="1"/>
  </conditionalFormatting>
  <conditionalFormatting sqref="A1581">
    <cfRule type="duplicateValues" dxfId="6696" priority="8553" stopIfTrue="1"/>
  </conditionalFormatting>
  <conditionalFormatting sqref="A1581">
    <cfRule type="duplicateValues" dxfId="6695" priority="8552" stopIfTrue="1"/>
  </conditionalFormatting>
  <conditionalFormatting sqref="A1581">
    <cfRule type="duplicateValues" dxfId="6694" priority="8551" stopIfTrue="1"/>
  </conditionalFormatting>
  <conditionalFormatting sqref="A1581">
    <cfRule type="duplicateValues" dxfId="6693" priority="8550" stopIfTrue="1"/>
  </conditionalFormatting>
  <conditionalFormatting sqref="A1581">
    <cfRule type="duplicateValues" dxfId="6692" priority="8562" stopIfTrue="1"/>
  </conditionalFormatting>
  <conditionalFormatting sqref="A1581">
    <cfRule type="duplicateValues" dxfId="6691" priority="8549" stopIfTrue="1"/>
  </conditionalFormatting>
  <conditionalFormatting sqref="A1581">
    <cfRule type="duplicateValues" dxfId="6690" priority="8563" stopIfTrue="1"/>
  </conditionalFormatting>
  <conditionalFormatting sqref="A1581">
    <cfRule type="duplicateValues" dxfId="6689" priority="8564" stopIfTrue="1"/>
  </conditionalFormatting>
  <conditionalFormatting sqref="A1581">
    <cfRule type="duplicateValues" dxfId="6688" priority="8566" stopIfTrue="1"/>
  </conditionalFormatting>
  <conditionalFormatting sqref="R1581">
    <cfRule type="duplicateValues" dxfId="6687" priority="8567" stopIfTrue="1"/>
  </conditionalFormatting>
  <conditionalFormatting sqref="R1581">
    <cfRule type="duplicateValues" dxfId="6686" priority="8568" stopIfTrue="1"/>
  </conditionalFormatting>
  <conditionalFormatting sqref="A1581">
    <cfRule type="duplicateValues" dxfId="6685" priority="8548" stopIfTrue="1"/>
  </conditionalFormatting>
  <conditionalFormatting sqref="A1581">
    <cfRule type="duplicateValues" dxfId="6684" priority="8547" stopIfTrue="1"/>
  </conditionalFormatting>
  <conditionalFormatting sqref="A1581">
    <cfRule type="duplicateValues" dxfId="6683" priority="8546" stopIfTrue="1"/>
  </conditionalFormatting>
  <conditionalFormatting sqref="A1581">
    <cfRule type="duplicateValues" dxfId="6682" priority="8544" stopIfTrue="1"/>
    <cfRule type="duplicateValues" dxfId="6681" priority="8545" stopIfTrue="1"/>
  </conditionalFormatting>
  <conditionalFormatting sqref="A1581">
    <cfRule type="duplicateValues" dxfId="6680" priority="8543" stopIfTrue="1"/>
  </conditionalFormatting>
  <conditionalFormatting sqref="A1581">
    <cfRule type="duplicateValues" dxfId="6679" priority="8542" stopIfTrue="1"/>
  </conditionalFormatting>
  <conditionalFormatting sqref="A1581">
    <cfRule type="duplicateValues" dxfId="6678" priority="8541" stopIfTrue="1"/>
  </conditionalFormatting>
  <conditionalFormatting sqref="A1581">
    <cfRule type="duplicateValues" dxfId="6677" priority="8540" stopIfTrue="1"/>
  </conditionalFormatting>
  <conditionalFormatting sqref="A1581">
    <cfRule type="duplicateValues" dxfId="6676" priority="8539" stopIfTrue="1"/>
  </conditionalFormatting>
  <conditionalFormatting sqref="A1581">
    <cfRule type="duplicateValues" dxfId="6675" priority="8538"/>
  </conditionalFormatting>
  <conditionalFormatting sqref="A1581">
    <cfRule type="duplicateValues" dxfId="6674" priority="8537"/>
  </conditionalFormatting>
  <conditionalFormatting sqref="A1720">
    <cfRule type="duplicateValues" dxfId="6673" priority="8528" stopIfTrue="1"/>
  </conditionalFormatting>
  <conditionalFormatting sqref="A1720">
    <cfRule type="duplicateValues" dxfId="6672" priority="8527" stopIfTrue="1"/>
  </conditionalFormatting>
  <conditionalFormatting sqref="A1720">
    <cfRule type="duplicateValues" dxfId="6671" priority="8526" stopIfTrue="1"/>
  </conditionalFormatting>
  <conditionalFormatting sqref="A1720">
    <cfRule type="duplicateValues" dxfId="6670" priority="8525" stopIfTrue="1"/>
  </conditionalFormatting>
  <conditionalFormatting sqref="A1720">
    <cfRule type="duplicateValues" dxfId="6669" priority="8524" stopIfTrue="1"/>
  </conditionalFormatting>
  <conditionalFormatting sqref="A1720">
    <cfRule type="duplicateValues" dxfId="6668" priority="8523" stopIfTrue="1"/>
  </conditionalFormatting>
  <conditionalFormatting sqref="A1720">
    <cfRule type="duplicateValues" dxfId="6667" priority="8522" stopIfTrue="1"/>
  </conditionalFormatting>
  <conditionalFormatting sqref="A1720">
    <cfRule type="duplicateValues" dxfId="6666" priority="8521" stopIfTrue="1"/>
  </conditionalFormatting>
  <conditionalFormatting sqref="A1720">
    <cfRule type="duplicateValues" dxfId="6665" priority="8520" stopIfTrue="1"/>
  </conditionalFormatting>
  <conditionalFormatting sqref="A1720">
    <cfRule type="duplicateValues" dxfId="6664" priority="8519" stopIfTrue="1"/>
  </conditionalFormatting>
  <conditionalFormatting sqref="A1720">
    <cfRule type="duplicateValues" dxfId="6663" priority="8518" stopIfTrue="1"/>
  </conditionalFormatting>
  <conditionalFormatting sqref="A1720">
    <cfRule type="duplicateValues" dxfId="6662" priority="8517" stopIfTrue="1"/>
  </conditionalFormatting>
  <conditionalFormatting sqref="A1720">
    <cfRule type="duplicateValues" dxfId="6661" priority="8529" stopIfTrue="1"/>
  </conditionalFormatting>
  <conditionalFormatting sqref="A1720">
    <cfRule type="duplicateValues" dxfId="6660" priority="8516" stopIfTrue="1"/>
  </conditionalFormatting>
  <conditionalFormatting sqref="A1720">
    <cfRule type="duplicateValues" dxfId="6659" priority="8530" stopIfTrue="1"/>
  </conditionalFormatting>
  <conditionalFormatting sqref="A1720">
    <cfRule type="duplicateValues" dxfId="6658" priority="8531" stopIfTrue="1"/>
  </conditionalFormatting>
  <conditionalFormatting sqref="A1720">
    <cfRule type="duplicateValues" dxfId="6657" priority="8532" stopIfTrue="1"/>
  </conditionalFormatting>
  <conditionalFormatting sqref="C1720">
    <cfRule type="duplicateValues" dxfId="6656" priority="8533" stopIfTrue="1"/>
  </conditionalFormatting>
  <conditionalFormatting sqref="A1720">
    <cfRule type="duplicateValues" dxfId="6655" priority="8534" stopIfTrue="1"/>
  </conditionalFormatting>
  <conditionalFormatting sqref="R1720">
    <cfRule type="duplicateValues" dxfId="6654" priority="8535" stopIfTrue="1"/>
  </conditionalFormatting>
  <conditionalFormatting sqref="R1720">
    <cfRule type="duplicateValues" dxfId="6653" priority="8536" stopIfTrue="1"/>
  </conditionalFormatting>
  <conditionalFormatting sqref="A1720">
    <cfRule type="duplicateValues" dxfId="6652" priority="8515" stopIfTrue="1"/>
  </conditionalFormatting>
  <conditionalFormatting sqref="A1720">
    <cfRule type="duplicateValues" dxfId="6651" priority="8514" stopIfTrue="1"/>
  </conditionalFormatting>
  <conditionalFormatting sqref="A1720">
    <cfRule type="duplicateValues" dxfId="6650" priority="8513" stopIfTrue="1"/>
  </conditionalFormatting>
  <conditionalFormatting sqref="A1720">
    <cfRule type="duplicateValues" dxfId="6649" priority="8511" stopIfTrue="1"/>
    <cfRule type="duplicateValues" dxfId="6648" priority="8512" stopIfTrue="1"/>
  </conditionalFormatting>
  <conditionalFormatting sqref="A1720">
    <cfRule type="duplicateValues" dxfId="6647" priority="8510" stopIfTrue="1"/>
  </conditionalFormatting>
  <conditionalFormatting sqref="A1720">
    <cfRule type="duplicateValues" dxfId="6646" priority="8509" stopIfTrue="1"/>
  </conditionalFormatting>
  <conditionalFormatting sqref="A1720">
    <cfRule type="duplicateValues" dxfId="6645" priority="8508" stopIfTrue="1"/>
  </conditionalFormatting>
  <conditionalFormatting sqref="A1720">
    <cfRule type="duplicateValues" dxfId="6644" priority="8507" stopIfTrue="1"/>
  </conditionalFormatting>
  <conditionalFormatting sqref="A1720">
    <cfRule type="duplicateValues" dxfId="6643" priority="8506" stopIfTrue="1"/>
  </conditionalFormatting>
  <conditionalFormatting sqref="A1720">
    <cfRule type="duplicateValues" dxfId="6642" priority="8505"/>
  </conditionalFormatting>
  <conditionalFormatting sqref="A1720">
    <cfRule type="duplicateValues" dxfId="6641" priority="8504"/>
  </conditionalFormatting>
  <conditionalFormatting sqref="A1721">
    <cfRule type="duplicateValues" dxfId="6640" priority="8497" stopIfTrue="1"/>
  </conditionalFormatting>
  <conditionalFormatting sqref="A1721">
    <cfRule type="duplicateValues" dxfId="6639" priority="8496" stopIfTrue="1"/>
  </conditionalFormatting>
  <conditionalFormatting sqref="A1721">
    <cfRule type="duplicateValues" dxfId="6638" priority="8495" stopIfTrue="1"/>
  </conditionalFormatting>
  <conditionalFormatting sqref="A1721">
    <cfRule type="duplicateValues" dxfId="6637" priority="8494" stopIfTrue="1"/>
  </conditionalFormatting>
  <conditionalFormatting sqref="A1721">
    <cfRule type="duplicateValues" dxfId="6636" priority="8493" stopIfTrue="1"/>
  </conditionalFormatting>
  <conditionalFormatting sqref="A1721">
    <cfRule type="duplicateValues" dxfId="6635" priority="8492" stopIfTrue="1"/>
  </conditionalFormatting>
  <conditionalFormatting sqref="A1721">
    <cfRule type="duplicateValues" dxfId="6634" priority="8491" stopIfTrue="1"/>
  </conditionalFormatting>
  <conditionalFormatting sqref="A1721">
    <cfRule type="duplicateValues" dxfId="6633" priority="8490" stopIfTrue="1"/>
  </conditionalFormatting>
  <conditionalFormatting sqref="A1721">
    <cfRule type="duplicateValues" dxfId="6632" priority="8489" stopIfTrue="1"/>
  </conditionalFormatting>
  <conditionalFormatting sqref="A1721">
    <cfRule type="duplicateValues" dxfId="6631" priority="8488" stopIfTrue="1"/>
  </conditionalFormatting>
  <conditionalFormatting sqref="A1721">
    <cfRule type="duplicateValues" dxfId="6630" priority="8487" stopIfTrue="1"/>
  </conditionalFormatting>
  <conditionalFormatting sqref="A1721">
    <cfRule type="duplicateValues" dxfId="6629" priority="8486" stopIfTrue="1"/>
  </conditionalFormatting>
  <conditionalFormatting sqref="A1721">
    <cfRule type="duplicateValues" dxfId="6628" priority="8498" stopIfTrue="1"/>
  </conditionalFormatting>
  <conditionalFormatting sqref="A1721">
    <cfRule type="duplicateValues" dxfId="6627" priority="8485" stopIfTrue="1"/>
  </conditionalFormatting>
  <conditionalFormatting sqref="A1721">
    <cfRule type="duplicateValues" dxfId="6626" priority="8499" stopIfTrue="1"/>
  </conditionalFormatting>
  <conditionalFormatting sqref="A1721">
    <cfRule type="duplicateValues" dxfId="6625" priority="8500" stopIfTrue="1"/>
  </conditionalFormatting>
  <conditionalFormatting sqref="A1721">
    <cfRule type="duplicateValues" dxfId="6624" priority="8501" stopIfTrue="1"/>
  </conditionalFormatting>
  <conditionalFormatting sqref="R1721">
    <cfRule type="duplicateValues" dxfId="6623" priority="8502" stopIfTrue="1"/>
  </conditionalFormatting>
  <conditionalFormatting sqref="R1721">
    <cfRule type="duplicateValues" dxfId="6622" priority="8503" stopIfTrue="1"/>
  </conditionalFormatting>
  <conditionalFormatting sqref="A1721">
    <cfRule type="duplicateValues" dxfId="6621" priority="8484" stopIfTrue="1"/>
  </conditionalFormatting>
  <conditionalFormatting sqref="C1721">
    <cfRule type="duplicateValues" dxfId="6620" priority="8483" stopIfTrue="1"/>
  </conditionalFormatting>
  <conditionalFormatting sqref="A1721">
    <cfRule type="duplicateValues" dxfId="6619" priority="8482" stopIfTrue="1"/>
  </conditionalFormatting>
  <conditionalFormatting sqref="A1721">
    <cfRule type="duplicateValues" dxfId="6618" priority="8481" stopIfTrue="1"/>
  </conditionalFormatting>
  <conditionalFormatting sqref="A1721">
    <cfRule type="duplicateValues" dxfId="6617" priority="8479" stopIfTrue="1"/>
    <cfRule type="duplicateValues" dxfId="6616" priority="8480" stopIfTrue="1"/>
  </conditionalFormatting>
  <conditionalFormatting sqref="A1721">
    <cfRule type="duplicateValues" dxfId="6615" priority="8478" stopIfTrue="1"/>
  </conditionalFormatting>
  <conditionalFormatting sqref="A1721">
    <cfRule type="duplicateValues" dxfId="6614" priority="8477" stopIfTrue="1"/>
  </conditionalFormatting>
  <conditionalFormatting sqref="A1721">
    <cfRule type="duplicateValues" dxfId="6613" priority="8476" stopIfTrue="1"/>
  </conditionalFormatting>
  <conditionalFormatting sqref="A1721">
    <cfRule type="duplicateValues" dxfId="6612" priority="8475" stopIfTrue="1"/>
  </conditionalFormatting>
  <conditionalFormatting sqref="A1721">
    <cfRule type="duplicateValues" dxfId="6611" priority="8474" stopIfTrue="1"/>
  </conditionalFormatting>
  <conditionalFormatting sqref="A1721">
    <cfRule type="duplicateValues" dxfId="6610" priority="8473"/>
  </conditionalFormatting>
  <conditionalFormatting sqref="A1721">
    <cfRule type="duplicateValues" dxfId="6609" priority="8472"/>
  </conditionalFormatting>
  <conditionalFormatting sqref="A1740">
    <cfRule type="duplicateValues" dxfId="6608" priority="8463" stopIfTrue="1"/>
  </conditionalFormatting>
  <conditionalFormatting sqref="A1740">
    <cfRule type="duplicateValues" dxfId="6607" priority="8462" stopIfTrue="1"/>
  </conditionalFormatting>
  <conditionalFormatting sqref="A1740">
    <cfRule type="duplicateValues" dxfId="6606" priority="8461" stopIfTrue="1"/>
  </conditionalFormatting>
  <conditionalFormatting sqref="A1740">
    <cfRule type="duplicateValues" dxfId="6605" priority="8460" stopIfTrue="1"/>
  </conditionalFormatting>
  <conditionalFormatting sqref="A1740">
    <cfRule type="duplicateValues" dxfId="6604" priority="8459" stopIfTrue="1"/>
  </conditionalFormatting>
  <conditionalFormatting sqref="A1740">
    <cfRule type="duplicateValues" dxfId="6603" priority="8458" stopIfTrue="1"/>
  </conditionalFormatting>
  <conditionalFormatting sqref="A1740">
    <cfRule type="duplicateValues" dxfId="6602" priority="8457" stopIfTrue="1"/>
  </conditionalFormatting>
  <conditionalFormatting sqref="A1740">
    <cfRule type="duplicateValues" dxfId="6601" priority="8456" stopIfTrue="1"/>
  </conditionalFormatting>
  <conditionalFormatting sqref="A1740">
    <cfRule type="duplicateValues" dxfId="6600" priority="8455" stopIfTrue="1"/>
  </conditionalFormatting>
  <conditionalFormatting sqref="A1740">
    <cfRule type="duplicateValues" dxfId="6599" priority="8454" stopIfTrue="1"/>
  </conditionalFormatting>
  <conditionalFormatting sqref="A1740">
    <cfRule type="duplicateValues" dxfId="6598" priority="8453" stopIfTrue="1"/>
  </conditionalFormatting>
  <conditionalFormatting sqref="A1740">
    <cfRule type="duplicateValues" dxfId="6597" priority="8452" stopIfTrue="1"/>
  </conditionalFormatting>
  <conditionalFormatting sqref="A1740">
    <cfRule type="duplicateValues" dxfId="6596" priority="8464" stopIfTrue="1"/>
  </conditionalFormatting>
  <conditionalFormatting sqref="A1740">
    <cfRule type="duplicateValues" dxfId="6595" priority="8451" stopIfTrue="1"/>
  </conditionalFormatting>
  <conditionalFormatting sqref="A1740">
    <cfRule type="duplicateValues" dxfId="6594" priority="8465" stopIfTrue="1"/>
  </conditionalFormatting>
  <conditionalFormatting sqref="A1740">
    <cfRule type="duplicateValues" dxfId="6593" priority="8466" stopIfTrue="1"/>
  </conditionalFormatting>
  <conditionalFormatting sqref="A1740">
    <cfRule type="duplicateValues" dxfId="6592" priority="8467" stopIfTrue="1"/>
  </conditionalFormatting>
  <conditionalFormatting sqref="C1740">
    <cfRule type="duplicateValues" dxfId="6591" priority="8468" stopIfTrue="1"/>
  </conditionalFormatting>
  <conditionalFormatting sqref="A1740">
    <cfRule type="duplicateValues" dxfId="6590" priority="8469" stopIfTrue="1"/>
  </conditionalFormatting>
  <conditionalFormatting sqref="R1740">
    <cfRule type="duplicateValues" dxfId="6589" priority="8470" stopIfTrue="1"/>
  </conditionalFormatting>
  <conditionalFormatting sqref="R1740">
    <cfRule type="duplicateValues" dxfId="6588" priority="8471" stopIfTrue="1"/>
  </conditionalFormatting>
  <conditionalFormatting sqref="A1740">
    <cfRule type="duplicateValues" dxfId="6587" priority="8450" stopIfTrue="1"/>
  </conditionalFormatting>
  <conditionalFormatting sqref="A1740">
    <cfRule type="duplicateValues" dxfId="6586" priority="8449" stopIfTrue="1"/>
  </conditionalFormatting>
  <conditionalFormatting sqref="A1740">
    <cfRule type="duplicateValues" dxfId="6585" priority="8448" stopIfTrue="1"/>
  </conditionalFormatting>
  <conditionalFormatting sqref="A1740">
    <cfRule type="duplicateValues" dxfId="6584" priority="8446" stopIfTrue="1"/>
    <cfRule type="duplicateValues" dxfId="6583" priority="8447" stopIfTrue="1"/>
  </conditionalFormatting>
  <conditionalFormatting sqref="A1740">
    <cfRule type="duplicateValues" dxfId="6582" priority="8445" stopIfTrue="1"/>
  </conditionalFormatting>
  <conditionalFormatting sqref="A1740">
    <cfRule type="duplicateValues" dxfId="6581" priority="8444" stopIfTrue="1"/>
  </conditionalFormatting>
  <conditionalFormatting sqref="A1740">
    <cfRule type="duplicateValues" dxfId="6580" priority="8443" stopIfTrue="1"/>
  </conditionalFormatting>
  <conditionalFormatting sqref="A1740">
    <cfRule type="duplicateValues" dxfId="6579" priority="8442" stopIfTrue="1"/>
  </conditionalFormatting>
  <conditionalFormatting sqref="A1740">
    <cfRule type="duplicateValues" dxfId="6578" priority="8441" stopIfTrue="1"/>
  </conditionalFormatting>
  <conditionalFormatting sqref="A1740">
    <cfRule type="duplicateValues" dxfId="6577" priority="8440"/>
  </conditionalFormatting>
  <conditionalFormatting sqref="A1740">
    <cfRule type="duplicateValues" dxfId="6576" priority="8439"/>
  </conditionalFormatting>
  <conditionalFormatting sqref="A1741">
    <cfRule type="duplicateValues" dxfId="6575" priority="8432" stopIfTrue="1"/>
  </conditionalFormatting>
  <conditionalFormatting sqref="A1741">
    <cfRule type="duplicateValues" dxfId="6574" priority="8431" stopIfTrue="1"/>
  </conditionalFormatting>
  <conditionalFormatting sqref="A1741">
    <cfRule type="duplicateValues" dxfId="6573" priority="8430" stopIfTrue="1"/>
  </conditionalFormatting>
  <conditionalFormatting sqref="A1741">
    <cfRule type="duplicateValues" dxfId="6572" priority="8429" stopIfTrue="1"/>
  </conditionalFormatting>
  <conditionalFormatting sqref="A1741">
    <cfRule type="duplicateValues" dxfId="6571" priority="8428" stopIfTrue="1"/>
  </conditionalFormatting>
  <conditionalFormatting sqref="A1741">
    <cfRule type="duplicateValues" dxfId="6570" priority="8427" stopIfTrue="1"/>
  </conditionalFormatting>
  <conditionalFormatting sqref="A1741">
    <cfRule type="duplicateValues" dxfId="6569" priority="8426" stopIfTrue="1"/>
  </conditionalFormatting>
  <conditionalFormatting sqref="A1741">
    <cfRule type="duplicateValues" dxfId="6568" priority="8425" stopIfTrue="1"/>
  </conditionalFormatting>
  <conditionalFormatting sqref="A1741">
    <cfRule type="duplicateValues" dxfId="6567" priority="8424" stopIfTrue="1"/>
  </conditionalFormatting>
  <conditionalFormatting sqref="A1741">
    <cfRule type="duplicateValues" dxfId="6566" priority="8423" stopIfTrue="1"/>
  </conditionalFormatting>
  <conditionalFormatting sqref="A1741">
    <cfRule type="duplicateValues" dxfId="6565" priority="8422" stopIfTrue="1"/>
  </conditionalFormatting>
  <conditionalFormatting sqref="A1741">
    <cfRule type="duplicateValues" dxfId="6564" priority="8421" stopIfTrue="1"/>
  </conditionalFormatting>
  <conditionalFormatting sqref="A1741">
    <cfRule type="duplicateValues" dxfId="6563" priority="8433" stopIfTrue="1"/>
  </conditionalFormatting>
  <conditionalFormatting sqref="A1741">
    <cfRule type="duplicateValues" dxfId="6562" priority="8420" stopIfTrue="1"/>
  </conditionalFormatting>
  <conditionalFormatting sqref="A1741">
    <cfRule type="duplicateValues" dxfId="6561" priority="8434" stopIfTrue="1"/>
  </conditionalFormatting>
  <conditionalFormatting sqref="A1741">
    <cfRule type="duplicateValues" dxfId="6560" priority="8435" stopIfTrue="1"/>
  </conditionalFormatting>
  <conditionalFormatting sqref="A1741">
    <cfRule type="duplicateValues" dxfId="6559" priority="8436" stopIfTrue="1"/>
  </conditionalFormatting>
  <conditionalFormatting sqref="R1741">
    <cfRule type="duplicateValues" dxfId="6558" priority="8437" stopIfTrue="1"/>
  </conditionalFormatting>
  <conditionalFormatting sqref="R1741">
    <cfRule type="duplicateValues" dxfId="6557" priority="8438" stopIfTrue="1"/>
  </conditionalFormatting>
  <conditionalFormatting sqref="A1741">
    <cfRule type="duplicateValues" dxfId="6556" priority="8419" stopIfTrue="1"/>
  </conditionalFormatting>
  <conditionalFormatting sqref="C1741">
    <cfRule type="duplicateValues" dxfId="6555" priority="8418" stopIfTrue="1"/>
  </conditionalFormatting>
  <conditionalFormatting sqref="A1741">
    <cfRule type="duplicateValues" dxfId="6554" priority="8417" stopIfTrue="1"/>
  </conditionalFormatting>
  <conditionalFormatting sqref="A1741">
    <cfRule type="duplicateValues" dxfId="6553" priority="8416" stopIfTrue="1"/>
  </conditionalFormatting>
  <conditionalFormatting sqref="A1741">
    <cfRule type="duplicateValues" dxfId="6552" priority="8414" stopIfTrue="1"/>
    <cfRule type="duplicateValues" dxfId="6551" priority="8415" stopIfTrue="1"/>
  </conditionalFormatting>
  <conditionalFormatting sqref="A1741">
    <cfRule type="duplicateValues" dxfId="6550" priority="8413" stopIfTrue="1"/>
  </conditionalFormatting>
  <conditionalFormatting sqref="A1741">
    <cfRule type="duplicateValues" dxfId="6549" priority="8412" stopIfTrue="1"/>
  </conditionalFormatting>
  <conditionalFormatting sqref="A1741">
    <cfRule type="duplicateValues" dxfId="6548" priority="8411" stopIfTrue="1"/>
  </conditionalFormatting>
  <conditionalFormatting sqref="A1741">
    <cfRule type="duplicateValues" dxfId="6547" priority="8410" stopIfTrue="1"/>
  </conditionalFormatting>
  <conditionalFormatting sqref="A1741">
    <cfRule type="duplicateValues" dxfId="6546" priority="8409" stopIfTrue="1"/>
  </conditionalFormatting>
  <conditionalFormatting sqref="A1741">
    <cfRule type="duplicateValues" dxfId="6545" priority="8408"/>
  </conditionalFormatting>
  <conditionalFormatting sqref="A1741">
    <cfRule type="duplicateValues" dxfId="6544" priority="8407"/>
  </conditionalFormatting>
  <conditionalFormatting sqref="A1761">
    <cfRule type="duplicateValues" dxfId="6543" priority="8398" stopIfTrue="1"/>
  </conditionalFormatting>
  <conditionalFormatting sqref="A1761">
    <cfRule type="duplicateValues" dxfId="6542" priority="8397" stopIfTrue="1"/>
  </conditionalFormatting>
  <conditionalFormatting sqref="A1761">
    <cfRule type="duplicateValues" dxfId="6541" priority="8396" stopIfTrue="1"/>
  </conditionalFormatting>
  <conditionalFormatting sqref="A1761">
    <cfRule type="duplicateValues" dxfId="6540" priority="8395" stopIfTrue="1"/>
  </conditionalFormatting>
  <conditionalFormatting sqref="A1761">
    <cfRule type="duplicateValues" dxfId="6539" priority="8394" stopIfTrue="1"/>
  </conditionalFormatting>
  <conditionalFormatting sqref="A1761">
    <cfRule type="duplicateValues" dxfId="6538" priority="8393" stopIfTrue="1"/>
  </conditionalFormatting>
  <conditionalFormatting sqref="A1761">
    <cfRule type="duplicateValues" dxfId="6537" priority="8392" stopIfTrue="1"/>
  </conditionalFormatting>
  <conditionalFormatting sqref="A1761">
    <cfRule type="duplicateValues" dxfId="6536" priority="8391" stopIfTrue="1"/>
  </conditionalFormatting>
  <conditionalFormatting sqref="A1761">
    <cfRule type="duplicateValues" dxfId="6535" priority="8390" stopIfTrue="1"/>
  </conditionalFormatting>
  <conditionalFormatting sqref="A1761">
    <cfRule type="duplicateValues" dxfId="6534" priority="8389" stopIfTrue="1"/>
  </conditionalFormatting>
  <conditionalFormatting sqref="A1761">
    <cfRule type="duplicateValues" dxfId="6533" priority="8388" stopIfTrue="1"/>
  </conditionalFormatting>
  <conditionalFormatting sqref="A1761">
    <cfRule type="duplicateValues" dxfId="6532" priority="8387" stopIfTrue="1"/>
  </conditionalFormatting>
  <conditionalFormatting sqref="A1761">
    <cfRule type="duplicateValues" dxfId="6531" priority="8399" stopIfTrue="1"/>
  </conditionalFormatting>
  <conditionalFormatting sqref="A1761">
    <cfRule type="duplicateValues" dxfId="6530" priority="8386" stopIfTrue="1"/>
  </conditionalFormatting>
  <conditionalFormatting sqref="A1761">
    <cfRule type="duplicateValues" dxfId="6529" priority="8400" stopIfTrue="1"/>
  </conditionalFormatting>
  <conditionalFormatting sqref="A1761">
    <cfRule type="duplicateValues" dxfId="6528" priority="8401" stopIfTrue="1"/>
  </conditionalFormatting>
  <conditionalFormatting sqref="A1761">
    <cfRule type="duplicateValues" dxfId="6527" priority="8402" stopIfTrue="1"/>
  </conditionalFormatting>
  <conditionalFormatting sqref="C1761">
    <cfRule type="duplicateValues" dxfId="6526" priority="8403" stopIfTrue="1"/>
  </conditionalFormatting>
  <conditionalFormatting sqref="A1761">
    <cfRule type="duplicateValues" dxfId="6525" priority="8404" stopIfTrue="1"/>
  </conditionalFormatting>
  <conditionalFormatting sqref="R1761">
    <cfRule type="duplicateValues" dxfId="6524" priority="8405" stopIfTrue="1"/>
  </conditionalFormatting>
  <conditionalFormatting sqref="R1761">
    <cfRule type="duplicateValues" dxfId="6523" priority="8406" stopIfTrue="1"/>
  </conditionalFormatting>
  <conditionalFormatting sqref="A1761">
    <cfRule type="duplicateValues" dxfId="6522" priority="8385" stopIfTrue="1"/>
  </conditionalFormatting>
  <conditionalFormatting sqref="A1761">
    <cfRule type="duplicateValues" dxfId="6521" priority="8384" stopIfTrue="1"/>
  </conditionalFormatting>
  <conditionalFormatting sqref="A1761">
    <cfRule type="duplicateValues" dxfId="6520" priority="8383" stopIfTrue="1"/>
  </conditionalFormatting>
  <conditionalFormatting sqref="A1761">
    <cfRule type="duplicateValues" dxfId="6519" priority="8381" stopIfTrue="1"/>
    <cfRule type="duplicateValues" dxfId="6518" priority="8382" stopIfTrue="1"/>
  </conditionalFormatting>
  <conditionalFormatting sqref="A1761">
    <cfRule type="duplicateValues" dxfId="6517" priority="8380" stopIfTrue="1"/>
  </conditionalFormatting>
  <conditionalFormatting sqref="A1761">
    <cfRule type="duplicateValues" dxfId="6516" priority="8379" stopIfTrue="1"/>
  </conditionalFormatting>
  <conditionalFormatting sqref="A1761">
    <cfRule type="duplicateValues" dxfId="6515" priority="8378" stopIfTrue="1"/>
  </conditionalFormatting>
  <conditionalFormatting sqref="A1761">
    <cfRule type="duplicateValues" dxfId="6514" priority="8377" stopIfTrue="1"/>
  </conditionalFormatting>
  <conditionalFormatting sqref="A1761">
    <cfRule type="duplicateValues" dxfId="6513" priority="8376" stopIfTrue="1"/>
  </conditionalFormatting>
  <conditionalFormatting sqref="A1761">
    <cfRule type="duplicateValues" dxfId="6512" priority="8375"/>
  </conditionalFormatting>
  <conditionalFormatting sqref="A1761">
    <cfRule type="duplicateValues" dxfId="6511" priority="8374"/>
  </conditionalFormatting>
  <conditionalFormatting sqref="A1762">
    <cfRule type="duplicateValues" dxfId="6510" priority="8367" stopIfTrue="1"/>
  </conditionalFormatting>
  <conditionalFormatting sqref="A1762">
    <cfRule type="duplicateValues" dxfId="6509" priority="8366" stopIfTrue="1"/>
  </conditionalFormatting>
  <conditionalFormatting sqref="A1762">
    <cfRule type="duplicateValues" dxfId="6508" priority="8365" stopIfTrue="1"/>
  </conditionalFormatting>
  <conditionalFormatting sqref="A1762">
    <cfRule type="duplicateValues" dxfId="6507" priority="8364" stopIfTrue="1"/>
  </conditionalFormatting>
  <conditionalFormatting sqref="A1762">
    <cfRule type="duplicateValues" dxfId="6506" priority="8363" stopIfTrue="1"/>
  </conditionalFormatting>
  <conditionalFormatting sqref="A1762">
    <cfRule type="duplicateValues" dxfId="6505" priority="8362" stopIfTrue="1"/>
  </conditionalFormatting>
  <conditionalFormatting sqref="A1762">
    <cfRule type="duplicateValues" dxfId="6504" priority="8361" stopIfTrue="1"/>
  </conditionalFormatting>
  <conditionalFormatting sqref="A1762">
    <cfRule type="duplicateValues" dxfId="6503" priority="8360" stopIfTrue="1"/>
  </conditionalFormatting>
  <conditionalFormatting sqref="A1762">
    <cfRule type="duplicateValues" dxfId="6502" priority="8359" stopIfTrue="1"/>
  </conditionalFormatting>
  <conditionalFormatting sqref="A1762">
    <cfRule type="duplicateValues" dxfId="6501" priority="8358" stopIfTrue="1"/>
  </conditionalFormatting>
  <conditionalFormatting sqref="A1762">
    <cfRule type="duplicateValues" dxfId="6500" priority="8357" stopIfTrue="1"/>
  </conditionalFormatting>
  <conditionalFormatting sqref="A1762">
    <cfRule type="duplicateValues" dxfId="6499" priority="8356" stopIfTrue="1"/>
  </conditionalFormatting>
  <conditionalFormatting sqref="A1762">
    <cfRule type="duplicateValues" dxfId="6498" priority="8368" stopIfTrue="1"/>
  </conditionalFormatting>
  <conditionalFormatting sqref="A1762">
    <cfRule type="duplicateValues" dxfId="6497" priority="8355" stopIfTrue="1"/>
  </conditionalFormatting>
  <conditionalFormatting sqref="A1762">
    <cfRule type="duplicateValues" dxfId="6496" priority="8369" stopIfTrue="1"/>
  </conditionalFormatting>
  <conditionalFormatting sqref="A1762">
    <cfRule type="duplicateValues" dxfId="6495" priority="8370" stopIfTrue="1"/>
  </conditionalFormatting>
  <conditionalFormatting sqref="A1762">
    <cfRule type="duplicateValues" dxfId="6494" priority="8371" stopIfTrue="1"/>
  </conditionalFormatting>
  <conditionalFormatting sqref="R1762">
    <cfRule type="duplicateValues" dxfId="6493" priority="8372" stopIfTrue="1"/>
  </conditionalFormatting>
  <conditionalFormatting sqref="R1762">
    <cfRule type="duplicateValues" dxfId="6492" priority="8373" stopIfTrue="1"/>
  </conditionalFormatting>
  <conditionalFormatting sqref="A1762">
    <cfRule type="duplicateValues" dxfId="6491" priority="8354" stopIfTrue="1"/>
  </conditionalFormatting>
  <conditionalFormatting sqref="C1762">
    <cfRule type="duplicateValues" dxfId="6490" priority="8353" stopIfTrue="1"/>
  </conditionalFormatting>
  <conditionalFormatting sqref="A1762">
    <cfRule type="duplicateValues" dxfId="6489" priority="8352" stopIfTrue="1"/>
  </conditionalFormatting>
  <conditionalFormatting sqref="A1762">
    <cfRule type="duplicateValues" dxfId="6488" priority="8351" stopIfTrue="1"/>
  </conditionalFormatting>
  <conditionalFormatting sqref="A1762">
    <cfRule type="duplicateValues" dxfId="6487" priority="8349" stopIfTrue="1"/>
    <cfRule type="duplicateValues" dxfId="6486" priority="8350" stopIfTrue="1"/>
  </conditionalFormatting>
  <conditionalFormatting sqref="A1762">
    <cfRule type="duplicateValues" dxfId="6485" priority="8348" stopIfTrue="1"/>
  </conditionalFormatting>
  <conditionalFormatting sqref="A1762">
    <cfRule type="duplicateValues" dxfId="6484" priority="8347" stopIfTrue="1"/>
  </conditionalFormatting>
  <conditionalFormatting sqref="A1762">
    <cfRule type="duplicateValues" dxfId="6483" priority="8346" stopIfTrue="1"/>
  </conditionalFormatting>
  <conditionalFormatting sqref="A1762">
    <cfRule type="duplicateValues" dxfId="6482" priority="8345" stopIfTrue="1"/>
  </conditionalFormatting>
  <conditionalFormatting sqref="A1762">
    <cfRule type="duplicateValues" dxfId="6481" priority="8344" stopIfTrue="1"/>
  </conditionalFormatting>
  <conditionalFormatting sqref="A1762">
    <cfRule type="duplicateValues" dxfId="6480" priority="8343"/>
  </conditionalFormatting>
  <conditionalFormatting sqref="A1762">
    <cfRule type="duplicateValues" dxfId="6479" priority="8342"/>
  </conditionalFormatting>
  <conditionalFormatting sqref="A1782">
    <cfRule type="duplicateValues" dxfId="6478" priority="8333" stopIfTrue="1"/>
  </conditionalFormatting>
  <conditionalFormatting sqref="A1782">
    <cfRule type="duplicateValues" dxfId="6477" priority="8332" stopIfTrue="1"/>
  </conditionalFormatting>
  <conditionalFormatting sqref="A1782">
    <cfRule type="duplicateValues" dxfId="6476" priority="8331" stopIfTrue="1"/>
  </conditionalFormatting>
  <conditionalFormatting sqref="A1782">
    <cfRule type="duplicateValues" dxfId="6475" priority="8330" stopIfTrue="1"/>
  </conditionalFormatting>
  <conditionalFormatting sqref="A1782">
    <cfRule type="duplicateValues" dxfId="6474" priority="8329" stopIfTrue="1"/>
  </conditionalFormatting>
  <conditionalFormatting sqref="A1782">
    <cfRule type="duplicateValues" dxfId="6473" priority="8328" stopIfTrue="1"/>
  </conditionalFormatting>
  <conditionalFormatting sqref="A1782">
    <cfRule type="duplicateValues" dxfId="6472" priority="8327" stopIfTrue="1"/>
  </conditionalFormatting>
  <conditionalFormatting sqref="A1782">
    <cfRule type="duplicateValues" dxfId="6471" priority="8326" stopIfTrue="1"/>
  </conditionalFormatting>
  <conditionalFormatting sqref="A1782">
    <cfRule type="duplicateValues" dxfId="6470" priority="8325" stopIfTrue="1"/>
  </conditionalFormatting>
  <conditionalFormatting sqref="A1782">
    <cfRule type="duplicateValues" dxfId="6469" priority="8324" stopIfTrue="1"/>
  </conditionalFormatting>
  <conditionalFormatting sqref="A1782">
    <cfRule type="duplicateValues" dxfId="6468" priority="8323" stopIfTrue="1"/>
  </conditionalFormatting>
  <conditionalFormatting sqref="A1782">
    <cfRule type="duplicateValues" dxfId="6467" priority="8322" stopIfTrue="1"/>
  </conditionalFormatting>
  <conditionalFormatting sqref="A1782">
    <cfRule type="duplicateValues" dxfId="6466" priority="8334" stopIfTrue="1"/>
  </conditionalFormatting>
  <conditionalFormatting sqref="A1782">
    <cfRule type="duplicateValues" dxfId="6465" priority="8321" stopIfTrue="1"/>
  </conditionalFormatting>
  <conditionalFormatting sqref="A1782">
    <cfRule type="duplicateValues" dxfId="6464" priority="8335" stopIfTrue="1"/>
  </conditionalFormatting>
  <conditionalFormatting sqref="A1782">
    <cfRule type="duplicateValues" dxfId="6463" priority="8336" stopIfTrue="1"/>
  </conditionalFormatting>
  <conditionalFormatting sqref="A1782">
    <cfRule type="duplicateValues" dxfId="6462" priority="8337" stopIfTrue="1"/>
  </conditionalFormatting>
  <conditionalFormatting sqref="C1782">
    <cfRule type="duplicateValues" dxfId="6461" priority="8338" stopIfTrue="1"/>
  </conditionalFormatting>
  <conditionalFormatting sqref="A1782">
    <cfRule type="duplicateValues" dxfId="6460" priority="8339" stopIfTrue="1"/>
  </conditionalFormatting>
  <conditionalFormatting sqref="R1782">
    <cfRule type="duplicateValues" dxfId="6459" priority="8340" stopIfTrue="1"/>
  </conditionalFormatting>
  <conditionalFormatting sqref="R1782">
    <cfRule type="duplicateValues" dxfId="6458" priority="8341" stopIfTrue="1"/>
  </conditionalFormatting>
  <conditionalFormatting sqref="A1782">
    <cfRule type="duplicateValues" dxfId="6457" priority="8320" stopIfTrue="1"/>
  </conditionalFormatting>
  <conditionalFormatting sqref="A1782">
    <cfRule type="duplicateValues" dxfId="6456" priority="8319" stopIfTrue="1"/>
  </conditionalFormatting>
  <conditionalFormatting sqref="A1782">
    <cfRule type="duplicateValues" dxfId="6455" priority="8318" stopIfTrue="1"/>
  </conditionalFormatting>
  <conditionalFormatting sqref="A1782">
    <cfRule type="duplicateValues" dxfId="6454" priority="8316" stopIfTrue="1"/>
    <cfRule type="duplicateValues" dxfId="6453" priority="8317" stopIfTrue="1"/>
  </conditionalFormatting>
  <conditionalFormatting sqref="A1782">
    <cfRule type="duplicateValues" dxfId="6452" priority="8315" stopIfTrue="1"/>
  </conditionalFormatting>
  <conditionalFormatting sqref="A1782">
    <cfRule type="duplicateValues" dxfId="6451" priority="8314" stopIfTrue="1"/>
  </conditionalFormatting>
  <conditionalFormatting sqref="A1782">
    <cfRule type="duplicateValues" dxfId="6450" priority="8313" stopIfTrue="1"/>
  </conditionalFormatting>
  <conditionalFormatting sqref="A1782">
    <cfRule type="duplicateValues" dxfId="6449" priority="8312" stopIfTrue="1"/>
  </conditionalFormatting>
  <conditionalFormatting sqref="A1782">
    <cfRule type="duplicateValues" dxfId="6448" priority="8311" stopIfTrue="1"/>
  </conditionalFormatting>
  <conditionalFormatting sqref="A1782">
    <cfRule type="duplicateValues" dxfId="6447" priority="8310"/>
  </conditionalFormatting>
  <conditionalFormatting sqref="A1782">
    <cfRule type="duplicateValues" dxfId="6446" priority="8309"/>
  </conditionalFormatting>
  <conditionalFormatting sqref="A1783">
    <cfRule type="duplicateValues" dxfId="6445" priority="8302" stopIfTrue="1"/>
  </conditionalFormatting>
  <conditionalFormatting sqref="A1783">
    <cfRule type="duplicateValues" dxfId="6444" priority="8301" stopIfTrue="1"/>
  </conditionalFormatting>
  <conditionalFormatting sqref="A1783">
    <cfRule type="duplicateValues" dxfId="6443" priority="8300" stopIfTrue="1"/>
  </conditionalFormatting>
  <conditionalFormatting sqref="A1783">
    <cfRule type="duplicateValues" dxfId="6442" priority="8299" stopIfTrue="1"/>
  </conditionalFormatting>
  <conditionalFormatting sqref="A1783">
    <cfRule type="duplicateValues" dxfId="6441" priority="8298" stopIfTrue="1"/>
  </conditionalFormatting>
  <conditionalFormatting sqref="A1783">
    <cfRule type="duplicateValues" dxfId="6440" priority="8297" stopIfTrue="1"/>
  </conditionalFormatting>
  <conditionalFormatting sqref="A1783">
    <cfRule type="duplicateValues" dxfId="6439" priority="8296" stopIfTrue="1"/>
  </conditionalFormatting>
  <conditionalFormatting sqref="A1783">
    <cfRule type="duplicateValues" dxfId="6438" priority="8295" stopIfTrue="1"/>
  </conditionalFormatting>
  <conditionalFormatting sqref="A1783">
    <cfRule type="duplicateValues" dxfId="6437" priority="8294" stopIfTrue="1"/>
  </conditionalFormatting>
  <conditionalFormatting sqref="A1783">
    <cfRule type="duplicateValues" dxfId="6436" priority="8293" stopIfTrue="1"/>
  </conditionalFormatting>
  <conditionalFormatting sqref="A1783">
    <cfRule type="duplicateValues" dxfId="6435" priority="8292" stopIfTrue="1"/>
  </conditionalFormatting>
  <conditionalFormatting sqref="A1783">
    <cfRule type="duplicateValues" dxfId="6434" priority="8291" stopIfTrue="1"/>
  </conditionalFormatting>
  <conditionalFormatting sqref="A1783">
    <cfRule type="duplicateValues" dxfId="6433" priority="8303" stopIfTrue="1"/>
  </conditionalFormatting>
  <conditionalFormatting sqref="A1783">
    <cfRule type="duplicateValues" dxfId="6432" priority="8290" stopIfTrue="1"/>
  </conditionalFormatting>
  <conditionalFormatting sqref="A1783">
    <cfRule type="duplicateValues" dxfId="6431" priority="8304" stopIfTrue="1"/>
  </conditionalFormatting>
  <conditionalFormatting sqref="A1783">
    <cfRule type="duplicateValues" dxfId="6430" priority="8305" stopIfTrue="1"/>
  </conditionalFormatting>
  <conditionalFormatting sqref="A1783">
    <cfRule type="duplicateValues" dxfId="6429" priority="8306" stopIfTrue="1"/>
  </conditionalFormatting>
  <conditionalFormatting sqref="R1783">
    <cfRule type="duplicateValues" dxfId="6428" priority="8307" stopIfTrue="1"/>
  </conditionalFormatting>
  <conditionalFormatting sqref="R1783">
    <cfRule type="duplicateValues" dxfId="6427" priority="8308" stopIfTrue="1"/>
  </conditionalFormatting>
  <conditionalFormatting sqref="A1783">
    <cfRule type="duplicateValues" dxfId="6426" priority="8289" stopIfTrue="1"/>
  </conditionalFormatting>
  <conditionalFormatting sqref="C1783">
    <cfRule type="duplicateValues" dxfId="6425" priority="8288" stopIfTrue="1"/>
  </conditionalFormatting>
  <conditionalFormatting sqref="A1783">
    <cfRule type="duplicateValues" dxfId="6424" priority="8287" stopIfTrue="1"/>
  </conditionalFormatting>
  <conditionalFormatting sqref="A1783">
    <cfRule type="duplicateValues" dxfId="6423" priority="8286" stopIfTrue="1"/>
  </conditionalFormatting>
  <conditionalFormatting sqref="A1783">
    <cfRule type="duplicateValues" dxfId="6422" priority="8284" stopIfTrue="1"/>
    <cfRule type="duplicateValues" dxfId="6421" priority="8285" stopIfTrue="1"/>
  </conditionalFormatting>
  <conditionalFormatting sqref="A1783">
    <cfRule type="duplicateValues" dxfId="6420" priority="8283" stopIfTrue="1"/>
  </conditionalFormatting>
  <conditionalFormatting sqref="A1783">
    <cfRule type="duplicateValues" dxfId="6419" priority="8282" stopIfTrue="1"/>
  </conditionalFormatting>
  <conditionalFormatting sqref="A1783">
    <cfRule type="duplicateValues" dxfId="6418" priority="8281" stopIfTrue="1"/>
  </conditionalFormatting>
  <conditionalFormatting sqref="A1783">
    <cfRule type="duplicateValues" dxfId="6417" priority="8280" stopIfTrue="1"/>
  </conditionalFormatting>
  <conditionalFormatting sqref="A1783">
    <cfRule type="duplicateValues" dxfId="6416" priority="8279" stopIfTrue="1"/>
  </conditionalFormatting>
  <conditionalFormatting sqref="A1783">
    <cfRule type="duplicateValues" dxfId="6415" priority="8278"/>
  </conditionalFormatting>
  <conditionalFormatting sqref="A1783">
    <cfRule type="duplicateValues" dxfId="6414" priority="8277"/>
  </conditionalFormatting>
  <conditionalFormatting sqref="A1582">
    <cfRule type="duplicateValues" dxfId="6413" priority="8269" stopIfTrue="1"/>
  </conditionalFormatting>
  <conditionalFormatting sqref="A1582">
    <cfRule type="duplicateValues" dxfId="6412" priority="8268" stopIfTrue="1"/>
  </conditionalFormatting>
  <conditionalFormatting sqref="A1582">
    <cfRule type="duplicateValues" dxfId="6411" priority="8267" stopIfTrue="1"/>
  </conditionalFormatting>
  <conditionalFormatting sqref="A1582">
    <cfRule type="duplicateValues" dxfId="6410" priority="8266" stopIfTrue="1"/>
  </conditionalFormatting>
  <conditionalFormatting sqref="A1582">
    <cfRule type="duplicateValues" dxfId="6409" priority="8265" stopIfTrue="1"/>
  </conditionalFormatting>
  <conditionalFormatting sqref="A1582">
    <cfRule type="duplicateValues" dxfId="6408" priority="8264" stopIfTrue="1"/>
  </conditionalFormatting>
  <conditionalFormatting sqref="A1582">
    <cfRule type="duplicateValues" dxfId="6407" priority="8263" stopIfTrue="1"/>
  </conditionalFormatting>
  <conditionalFormatting sqref="A1582">
    <cfRule type="duplicateValues" dxfId="6406" priority="8262" stopIfTrue="1"/>
  </conditionalFormatting>
  <conditionalFormatting sqref="A1582">
    <cfRule type="duplicateValues" dxfId="6405" priority="8261" stopIfTrue="1"/>
  </conditionalFormatting>
  <conditionalFormatting sqref="A1582">
    <cfRule type="duplicateValues" dxfId="6404" priority="8260" stopIfTrue="1"/>
  </conditionalFormatting>
  <conditionalFormatting sqref="A1582">
    <cfRule type="duplicateValues" dxfId="6403" priority="8259" stopIfTrue="1"/>
  </conditionalFormatting>
  <conditionalFormatting sqref="A1582">
    <cfRule type="duplicateValues" dxfId="6402" priority="8258" stopIfTrue="1"/>
  </conditionalFormatting>
  <conditionalFormatting sqref="A1582">
    <cfRule type="duplicateValues" dxfId="6401" priority="8270" stopIfTrue="1"/>
  </conditionalFormatting>
  <conditionalFormatting sqref="A1582">
    <cfRule type="duplicateValues" dxfId="6400" priority="8257" stopIfTrue="1"/>
  </conditionalFormatting>
  <conditionalFormatting sqref="A1582">
    <cfRule type="duplicateValues" dxfId="6399" priority="8271" stopIfTrue="1"/>
  </conditionalFormatting>
  <conditionalFormatting sqref="A1582">
    <cfRule type="duplicateValues" dxfId="6398" priority="8272" stopIfTrue="1"/>
  </conditionalFormatting>
  <conditionalFormatting sqref="A1582">
    <cfRule type="duplicateValues" dxfId="6397" priority="8274" stopIfTrue="1"/>
  </conditionalFormatting>
  <conditionalFormatting sqref="R1582">
    <cfRule type="duplicateValues" dxfId="6396" priority="8275" stopIfTrue="1"/>
  </conditionalFormatting>
  <conditionalFormatting sqref="R1582">
    <cfRule type="duplicateValues" dxfId="6395" priority="8276" stopIfTrue="1"/>
  </conditionalFormatting>
  <conditionalFormatting sqref="A1582">
    <cfRule type="duplicateValues" dxfId="6394" priority="8256" stopIfTrue="1"/>
  </conditionalFormatting>
  <conditionalFormatting sqref="A1582">
    <cfRule type="duplicateValues" dxfId="6393" priority="8255" stopIfTrue="1"/>
  </conditionalFormatting>
  <conditionalFormatting sqref="A1582">
    <cfRule type="duplicateValues" dxfId="6392" priority="8254" stopIfTrue="1"/>
  </conditionalFormatting>
  <conditionalFormatting sqref="A1582">
    <cfRule type="duplicateValues" dxfId="6391" priority="8252" stopIfTrue="1"/>
    <cfRule type="duplicateValues" dxfId="6390" priority="8253" stopIfTrue="1"/>
  </conditionalFormatting>
  <conditionalFormatting sqref="A1582">
    <cfRule type="duplicateValues" dxfId="6389" priority="8251" stopIfTrue="1"/>
  </conditionalFormatting>
  <conditionalFormatting sqref="A1582">
    <cfRule type="duplicateValues" dxfId="6388" priority="8250" stopIfTrue="1"/>
  </conditionalFormatting>
  <conditionalFormatting sqref="A1582">
    <cfRule type="duplicateValues" dxfId="6387" priority="8249" stopIfTrue="1"/>
  </conditionalFormatting>
  <conditionalFormatting sqref="A1582">
    <cfRule type="duplicateValues" dxfId="6386" priority="8248" stopIfTrue="1"/>
  </conditionalFormatting>
  <conditionalFormatting sqref="A1582">
    <cfRule type="duplicateValues" dxfId="6385" priority="8247" stopIfTrue="1"/>
  </conditionalFormatting>
  <conditionalFormatting sqref="A1582">
    <cfRule type="duplicateValues" dxfId="6384" priority="8246"/>
  </conditionalFormatting>
  <conditionalFormatting sqref="A1582">
    <cfRule type="duplicateValues" dxfId="6383" priority="8245"/>
  </conditionalFormatting>
  <conditionalFormatting sqref="A1154">
    <cfRule type="duplicateValues" dxfId="6382" priority="8243" stopIfTrue="1"/>
  </conditionalFormatting>
  <conditionalFormatting sqref="A1154">
    <cfRule type="duplicateValues" dxfId="6381" priority="8242" stopIfTrue="1"/>
  </conditionalFormatting>
  <conditionalFormatting sqref="A1154">
    <cfRule type="duplicateValues" dxfId="6380" priority="8241" stopIfTrue="1"/>
  </conditionalFormatting>
  <conditionalFormatting sqref="A1154">
    <cfRule type="duplicateValues" dxfId="6379" priority="8240" stopIfTrue="1"/>
  </conditionalFormatting>
  <conditionalFormatting sqref="A1154">
    <cfRule type="duplicateValues" dxfId="6378" priority="8239" stopIfTrue="1"/>
  </conditionalFormatting>
  <conditionalFormatting sqref="A1154">
    <cfRule type="duplicateValues" dxfId="6377" priority="8238" stopIfTrue="1"/>
  </conditionalFormatting>
  <conditionalFormatting sqref="A1154">
    <cfRule type="duplicateValues" dxfId="6376" priority="8237" stopIfTrue="1"/>
  </conditionalFormatting>
  <conditionalFormatting sqref="A1154">
    <cfRule type="duplicateValues" dxfId="6375" priority="8236" stopIfTrue="1"/>
  </conditionalFormatting>
  <conditionalFormatting sqref="A1154">
    <cfRule type="duplicateValues" dxfId="6374" priority="8235" stopIfTrue="1"/>
  </conditionalFormatting>
  <conditionalFormatting sqref="A1154">
    <cfRule type="duplicateValues" dxfId="6373" priority="8234" stopIfTrue="1"/>
  </conditionalFormatting>
  <conditionalFormatting sqref="A1154">
    <cfRule type="duplicateValues" dxfId="6372" priority="8233" stopIfTrue="1"/>
  </conditionalFormatting>
  <conditionalFormatting sqref="A1154">
    <cfRule type="duplicateValues" dxfId="6371" priority="8232" stopIfTrue="1"/>
  </conditionalFormatting>
  <conditionalFormatting sqref="A1154">
    <cfRule type="duplicateValues" dxfId="6370" priority="8231" stopIfTrue="1"/>
  </conditionalFormatting>
  <conditionalFormatting sqref="A1154">
    <cfRule type="duplicateValues" dxfId="6369" priority="8230" stopIfTrue="1"/>
  </conditionalFormatting>
  <conditionalFormatting sqref="A1154">
    <cfRule type="duplicateValues" dxfId="6368" priority="8244" stopIfTrue="1"/>
  </conditionalFormatting>
  <conditionalFormatting sqref="A1154">
    <cfRule type="duplicateValues" dxfId="6367" priority="8229" stopIfTrue="1"/>
  </conditionalFormatting>
  <conditionalFormatting sqref="C1154">
    <cfRule type="duplicateValues" dxfId="6366" priority="8228" stopIfTrue="1"/>
  </conditionalFormatting>
  <conditionalFormatting sqref="A1154">
    <cfRule type="duplicateValues" dxfId="6365" priority="8227" stopIfTrue="1"/>
  </conditionalFormatting>
  <conditionalFormatting sqref="A1154">
    <cfRule type="duplicateValues" dxfId="6364" priority="8226" stopIfTrue="1"/>
  </conditionalFormatting>
  <conditionalFormatting sqref="A1154">
    <cfRule type="duplicateValues" dxfId="6363" priority="8225" stopIfTrue="1"/>
  </conditionalFormatting>
  <conditionalFormatting sqref="A1154">
    <cfRule type="duplicateValues" dxfId="6362" priority="8224" stopIfTrue="1"/>
  </conditionalFormatting>
  <conditionalFormatting sqref="A1154">
    <cfRule type="duplicateValues" dxfId="6361" priority="8223" stopIfTrue="1"/>
  </conditionalFormatting>
  <conditionalFormatting sqref="A1154">
    <cfRule type="duplicateValues" dxfId="6360" priority="8222" stopIfTrue="1"/>
  </conditionalFormatting>
  <conditionalFormatting sqref="A1154">
    <cfRule type="duplicateValues" dxfId="6359" priority="8221" stopIfTrue="1"/>
  </conditionalFormatting>
  <conditionalFormatting sqref="A1154">
    <cfRule type="duplicateValues" dxfId="6358" priority="8220" stopIfTrue="1"/>
  </conditionalFormatting>
  <conditionalFormatting sqref="A1154">
    <cfRule type="duplicateValues" dxfId="6357" priority="8218" stopIfTrue="1"/>
    <cfRule type="duplicateValues" dxfId="6356" priority="8219" stopIfTrue="1"/>
  </conditionalFormatting>
  <conditionalFormatting sqref="A1154">
    <cfRule type="duplicateValues" dxfId="6355" priority="8217" stopIfTrue="1"/>
  </conditionalFormatting>
  <conditionalFormatting sqref="A1154">
    <cfRule type="duplicateValues" dxfId="6354" priority="8216" stopIfTrue="1"/>
  </conditionalFormatting>
  <conditionalFormatting sqref="A1154">
    <cfRule type="duplicateValues" dxfId="6353" priority="8215" stopIfTrue="1"/>
  </conditionalFormatting>
  <conditionalFormatting sqref="A1154">
    <cfRule type="duplicateValues" dxfId="6352" priority="8214" stopIfTrue="1"/>
  </conditionalFormatting>
  <conditionalFormatting sqref="A1154">
    <cfRule type="duplicateValues" dxfId="6351" priority="8213" stopIfTrue="1"/>
  </conditionalFormatting>
  <conditionalFormatting sqref="A1154">
    <cfRule type="duplicateValues" dxfId="6350" priority="8212"/>
  </conditionalFormatting>
  <conditionalFormatting sqref="A1154">
    <cfRule type="duplicateValues" dxfId="6349" priority="8211"/>
  </conditionalFormatting>
  <conditionalFormatting sqref="A1565:A1575">
    <cfRule type="duplicateValues" dxfId="6348" priority="8209" stopIfTrue="1"/>
  </conditionalFormatting>
  <conditionalFormatting sqref="A1565:A1575">
    <cfRule type="duplicateValues" dxfId="6347" priority="8208" stopIfTrue="1"/>
  </conditionalFormatting>
  <conditionalFormatting sqref="A1565:A1575">
    <cfRule type="duplicateValues" dxfId="6346" priority="8207" stopIfTrue="1"/>
  </conditionalFormatting>
  <conditionalFormatting sqref="A1565:A1575">
    <cfRule type="duplicateValues" dxfId="6345" priority="8206" stopIfTrue="1"/>
  </conditionalFormatting>
  <conditionalFormatting sqref="A1565:A1575">
    <cfRule type="duplicateValues" dxfId="6344" priority="8205" stopIfTrue="1"/>
  </conditionalFormatting>
  <conditionalFormatting sqref="A1565:A1575">
    <cfRule type="duplicateValues" dxfId="6343" priority="8204" stopIfTrue="1"/>
  </conditionalFormatting>
  <conditionalFormatting sqref="A1565:A1575">
    <cfRule type="duplicateValues" dxfId="6342" priority="8203" stopIfTrue="1"/>
  </conditionalFormatting>
  <conditionalFormatting sqref="A1565:A1575">
    <cfRule type="duplicateValues" dxfId="6341" priority="8202" stopIfTrue="1"/>
  </conditionalFormatting>
  <conditionalFormatting sqref="A1565:A1575">
    <cfRule type="duplicateValues" dxfId="6340" priority="8201" stopIfTrue="1"/>
  </conditionalFormatting>
  <conditionalFormatting sqref="A1565:A1575">
    <cfRule type="duplicateValues" dxfId="6339" priority="8200" stopIfTrue="1"/>
  </conditionalFormatting>
  <conditionalFormatting sqref="A1565:A1575">
    <cfRule type="duplicateValues" dxfId="6338" priority="8199" stopIfTrue="1"/>
  </conditionalFormatting>
  <conditionalFormatting sqref="A1565:A1575">
    <cfRule type="duplicateValues" dxfId="6337" priority="8198" stopIfTrue="1"/>
  </conditionalFormatting>
  <conditionalFormatting sqref="A1565:A1575">
    <cfRule type="duplicateValues" dxfId="6336" priority="8197" stopIfTrue="1"/>
  </conditionalFormatting>
  <conditionalFormatting sqref="A1565:A1575">
    <cfRule type="duplicateValues" dxfId="6335" priority="8196" stopIfTrue="1"/>
  </conditionalFormatting>
  <conditionalFormatting sqref="A1565:A1575">
    <cfRule type="duplicateValues" dxfId="6334" priority="8210" stopIfTrue="1"/>
  </conditionalFormatting>
  <conditionalFormatting sqref="A1565:A1575">
    <cfRule type="duplicateValues" dxfId="6333" priority="8195" stopIfTrue="1"/>
  </conditionalFormatting>
  <conditionalFormatting sqref="C1565:C1575">
    <cfRule type="duplicateValues" dxfId="6332" priority="8194" stopIfTrue="1"/>
  </conditionalFormatting>
  <conditionalFormatting sqref="A1565:A1575">
    <cfRule type="duplicateValues" dxfId="6331" priority="8193" stopIfTrue="1"/>
  </conditionalFormatting>
  <conditionalFormatting sqref="A1565:A1575">
    <cfRule type="duplicateValues" dxfId="6330" priority="8192" stopIfTrue="1"/>
  </conditionalFormatting>
  <conditionalFormatting sqref="A1565:A1575">
    <cfRule type="duplicateValues" dxfId="6329" priority="8191" stopIfTrue="1"/>
  </conditionalFormatting>
  <conditionalFormatting sqref="A1565:A1575">
    <cfRule type="duplicateValues" dxfId="6328" priority="8190" stopIfTrue="1"/>
  </conditionalFormatting>
  <conditionalFormatting sqref="A1565:A1575">
    <cfRule type="duplicateValues" dxfId="6327" priority="8189" stopIfTrue="1"/>
  </conditionalFormatting>
  <conditionalFormatting sqref="A1565:A1575">
    <cfRule type="duplicateValues" dxfId="6326" priority="8188" stopIfTrue="1"/>
  </conditionalFormatting>
  <conditionalFormatting sqref="A1565:A1575">
    <cfRule type="duplicateValues" dxfId="6325" priority="8187" stopIfTrue="1"/>
  </conditionalFormatting>
  <conditionalFormatting sqref="A1565:A1575">
    <cfRule type="duplicateValues" dxfId="6324" priority="8186" stopIfTrue="1"/>
  </conditionalFormatting>
  <conditionalFormatting sqref="A1565:A1575">
    <cfRule type="duplicateValues" dxfId="6323" priority="8184" stopIfTrue="1"/>
    <cfRule type="duplicateValues" dxfId="6322" priority="8185" stopIfTrue="1"/>
  </conditionalFormatting>
  <conditionalFormatting sqref="A1565:A1575">
    <cfRule type="duplicateValues" dxfId="6321" priority="8183" stopIfTrue="1"/>
  </conditionalFormatting>
  <conditionalFormatting sqref="A1565:A1575">
    <cfRule type="duplicateValues" dxfId="6320" priority="8182" stopIfTrue="1"/>
  </conditionalFormatting>
  <conditionalFormatting sqref="A1565:A1575">
    <cfRule type="duplicateValues" dxfId="6319" priority="8181" stopIfTrue="1"/>
  </conditionalFormatting>
  <conditionalFormatting sqref="A1565:A1575">
    <cfRule type="duplicateValues" dxfId="6318" priority="8180" stopIfTrue="1"/>
  </conditionalFormatting>
  <conditionalFormatting sqref="A1565:A1575">
    <cfRule type="duplicateValues" dxfId="6317" priority="8179" stopIfTrue="1"/>
  </conditionalFormatting>
  <conditionalFormatting sqref="A1565:A1575">
    <cfRule type="duplicateValues" dxfId="6316" priority="8178"/>
  </conditionalFormatting>
  <conditionalFormatting sqref="A1565:A1575">
    <cfRule type="duplicateValues" dxfId="6315" priority="8177"/>
  </conditionalFormatting>
  <conditionalFormatting sqref="A1553">
    <cfRule type="duplicateValues" dxfId="6314" priority="8175" stopIfTrue="1"/>
  </conditionalFormatting>
  <conditionalFormatting sqref="A1553">
    <cfRule type="duplicateValues" dxfId="6313" priority="8174" stopIfTrue="1"/>
  </conditionalFormatting>
  <conditionalFormatting sqref="A1553">
    <cfRule type="duplicateValues" dxfId="6312" priority="8173" stopIfTrue="1"/>
  </conditionalFormatting>
  <conditionalFormatting sqref="A1553">
    <cfRule type="duplicateValues" dxfId="6311" priority="8172" stopIfTrue="1"/>
  </conditionalFormatting>
  <conditionalFormatting sqref="A1553">
    <cfRule type="duplicateValues" dxfId="6310" priority="8171" stopIfTrue="1"/>
  </conditionalFormatting>
  <conditionalFormatting sqref="A1553">
    <cfRule type="duplicateValues" dxfId="6309" priority="8170" stopIfTrue="1"/>
  </conditionalFormatting>
  <conditionalFormatting sqref="A1553">
    <cfRule type="duplicateValues" dxfId="6308" priority="8169" stopIfTrue="1"/>
  </conditionalFormatting>
  <conditionalFormatting sqref="A1553">
    <cfRule type="duplicateValues" dxfId="6307" priority="8168" stopIfTrue="1"/>
  </conditionalFormatting>
  <conditionalFormatting sqref="A1553">
    <cfRule type="duplicateValues" dxfId="6306" priority="8167" stopIfTrue="1"/>
  </conditionalFormatting>
  <conditionalFormatting sqref="A1553">
    <cfRule type="duplicateValues" dxfId="6305" priority="8166" stopIfTrue="1"/>
  </conditionalFormatting>
  <conditionalFormatting sqref="A1553">
    <cfRule type="duplicateValues" dxfId="6304" priority="8165" stopIfTrue="1"/>
  </conditionalFormatting>
  <conditionalFormatting sqref="A1553">
    <cfRule type="duplicateValues" dxfId="6303" priority="8164" stopIfTrue="1"/>
  </conditionalFormatting>
  <conditionalFormatting sqref="A1553">
    <cfRule type="duplicateValues" dxfId="6302" priority="8163" stopIfTrue="1"/>
  </conditionalFormatting>
  <conditionalFormatting sqref="A1553">
    <cfRule type="duplicateValues" dxfId="6301" priority="8162" stopIfTrue="1"/>
  </conditionalFormatting>
  <conditionalFormatting sqref="A1553">
    <cfRule type="duplicateValues" dxfId="6300" priority="8176" stopIfTrue="1"/>
  </conditionalFormatting>
  <conditionalFormatting sqref="A1553">
    <cfRule type="duplicateValues" dxfId="6299" priority="8161" stopIfTrue="1"/>
  </conditionalFormatting>
  <conditionalFormatting sqref="C1553">
    <cfRule type="duplicateValues" dxfId="6298" priority="8160" stopIfTrue="1"/>
  </conditionalFormatting>
  <conditionalFormatting sqref="A1553">
    <cfRule type="duplicateValues" dxfId="6297" priority="8159" stopIfTrue="1"/>
  </conditionalFormatting>
  <conditionalFormatting sqref="A1553">
    <cfRule type="duplicateValues" dxfId="6296" priority="8158" stopIfTrue="1"/>
  </conditionalFormatting>
  <conditionalFormatting sqref="A1553">
    <cfRule type="duplicateValues" dxfId="6295" priority="8157" stopIfTrue="1"/>
  </conditionalFormatting>
  <conditionalFormatting sqref="A1553">
    <cfRule type="duplicateValues" dxfId="6294" priority="8156" stopIfTrue="1"/>
  </conditionalFormatting>
  <conditionalFormatting sqref="A1553">
    <cfRule type="duplicateValues" dxfId="6293" priority="8155" stopIfTrue="1"/>
  </conditionalFormatting>
  <conditionalFormatting sqref="A1553">
    <cfRule type="duplicateValues" dxfId="6292" priority="8154" stopIfTrue="1"/>
  </conditionalFormatting>
  <conditionalFormatting sqref="A1553">
    <cfRule type="duplicateValues" dxfId="6291" priority="8153" stopIfTrue="1"/>
  </conditionalFormatting>
  <conditionalFormatting sqref="A1553">
    <cfRule type="duplicateValues" dxfId="6290" priority="8152" stopIfTrue="1"/>
  </conditionalFormatting>
  <conditionalFormatting sqref="A1553">
    <cfRule type="duplicateValues" dxfId="6289" priority="8150" stopIfTrue="1"/>
    <cfRule type="duplicateValues" dxfId="6288" priority="8151" stopIfTrue="1"/>
  </conditionalFormatting>
  <conditionalFormatting sqref="A1553">
    <cfRule type="duplicateValues" dxfId="6287" priority="8149" stopIfTrue="1"/>
  </conditionalFormatting>
  <conditionalFormatting sqref="A1553">
    <cfRule type="duplicateValues" dxfId="6286" priority="8148" stopIfTrue="1"/>
  </conditionalFormatting>
  <conditionalFormatting sqref="A1553">
    <cfRule type="duplicateValues" dxfId="6285" priority="8147" stopIfTrue="1"/>
  </conditionalFormatting>
  <conditionalFormatting sqref="A1553">
    <cfRule type="duplicateValues" dxfId="6284" priority="8146" stopIfTrue="1"/>
  </conditionalFormatting>
  <conditionalFormatting sqref="A1553">
    <cfRule type="duplicateValues" dxfId="6283" priority="8145" stopIfTrue="1"/>
  </conditionalFormatting>
  <conditionalFormatting sqref="A1553">
    <cfRule type="duplicateValues" dxfId="6282" priority="8144"/>
  </conditionalFormatting>
  <conditionalFormatting sqref="A1553">
    <cfRule type="duplicateValues" dxfId="6281" priority="8143"/>
  </conditionalFormatting>
  <conditionalFormatting sqref="A1899:A1048576 A1681:A1783 A1 A1150:A1154 A1580:A1582 A1498:A1500 A362:A529 A1074:A1141 A531:A1070 A357 A1433:A1448 A1159:A1162 A1512:A1575 A1466:A1493 A1450:A1464 A1164:A1408 A1427">
    <cfRule type="duplicateValues" dxfId="6280" priority="8142"/>
  </conditionalFormatting>
  <conditionalFormatting sqref="C1597">
    <cfRule type="duplicateValues" dxfId="6279" priority="8139" stopIfTrue="1"/>
  </conditionalFormatting>
  <conditionalFormatting sqref="R1597">
    <cfRule type="duplicateValues" dxfId="6278" priority="8140" stopIfTrue="1"/>
  </conditionalFormatting>
  <conditionalFormatting sqref="R1597">
    <cfRule type="duplicateValues" dxfId="6277" priority="8141" stopIfTrue="1"/>
  </conditionalFormatting>
  <conditionalFormatting sqref="C1598:C1606 C1637:C1641">
    <cfRule type="duplicateValues" dxfId="6276" priority="8136" stopIfTrue="1"/>
  </conditionalFormatting>
  <conditionalFormatting sqref="R1598:R1606 R1637:R1641">
    <cfRule type="duplicateValues" dxfId="6275" priority="8137" stopIfTrue="1"/>
  </conditionalFormatting>
  <conditionalFormatting sqref="R1598:R1606 R1637:R1641">
    <cfRule type="duplicateValues" dxfId="6274" priority="8138" stopIfTrue="1"/>
  </conditionalFormatting>
  <conditionalFormatting sqref="C1642">
    <cfRule type="duplicateValues" dxfId="6273" priority="8133" stopIfTrue="1"/>
  </conditionalFormatting>
  <conditionalFormatting sqref="R1642">
    <cfRule type="duplicateValues" dxfId="6272" priority="8134" stopIfTrue="1"/>
  </conditionalFormatting>
  <conditionalFormatting sqref="R1642">
    <cfRule type="duplicateValues" dxfId="6271" priority="8135" stopIfTrue="1"/>
  </conditionalFormatting>
  <conditionalFormatting sqref="C1643:C1644">
    <cfRule type="duplicateValues" dxfId="6270" priority="8130" stopIfTrue="1"/>
  </conditionalFormatting>
  <conditionalFormatting sqref="R1643:R1644">
    <cfRule type="duplicateValues" dxfId="6269" priority="8131" stopIfTrue="1"/>
  </conditionalFormatting>
  <conditionalFormatting sqref="R1643:R1644">
    <cfRule type="duplicateValues" dxfId="6268" priority="8132" stopIfTrue="1"/>
  </conditionalFormatting>
  <conditionalFormatting sqref="A1637:A1644 A1591:A1595 A1597:A1606">
    <cfRule type="duplicateValues" dxfId="6267" priority="8123" stopIfTrue="1"/>
  </conditionalFormatting>
  <conditionalFormatting sqref="A1637:A1644 A1591:A1595 A1597:A1606">
    <cfRule type="duplicateValues" dxfId="6266" priority="8126" stopIfTrue="1"/>
  </conditionalFormatting>
  <conditionalFormatting sqref="R1591:R1595">
    <cfRule type="duplicateValues" dxfId="6265" priority="8128" stopIfTrue="1"/>
  </conditionalFormatting>
  <conditionalFormatting sqref="R1591:R1595">
    <cfRule type="duplicateValues" dxfId="6264" priority="8129" stopIfTrue="1"/>
  </conditionalFormatting>
  <conditionalFormatting sqref="A1637:A1644 A1591:A1595 A1597:A1606">
    <cfRule type="duplicateValues" dxfId="6263" priority="8106" stopIfTrue="1"/>
    <cfRule type="duplicateValues" dxfId="6262" priority="8107" stopIfTrue="1"/>
  </conditionalFormatting>
  <conditionalFormatting sqref="A1637:A1644 A1591:A1595 A1597:A1606">
    <cfRule type="duplicateValues" dxfId="6261" priority="8100"/>
  </conditionalFormatting>
  <conditionalFormatting sqref="A1590">
    <cfRule type="duplicateValues" dxfId="6260" priority="8091" stopIfTrue="1"/>
  </conditionalFormatting>
  <conditionalFormatting sqref="A1590">
    <cfRule type="duplicateValues" dxfId="6259" priority="8090" stopIfTrue="1"/>
  </conditionalFormatting>
  <conditionalFormatting sqref="A1590">
    <cfRule type="duplicateValues" dxfId="6258" priority="8089" stopIfTrue="1"/>
  </conditionalFormatting>
  <conditionalFormatting sqref="A1590">
    <cfRule type="duplicateValues" dxfId="6257" priority="8088" stopIfTrue="1"/>
  </conditionalFormatting>
  <conditionalFormatting sqref="A1590">
    <cfRule type="duplicateValues" dxfId="6256" priority="8087" stopIfTrue="1"/>
  </conditionalFormatting>
  <conditionalFormatting sqref="A1590">
    <cfRule type="duplicateValues" dxfId="6255" priority="8086" stopIfTrue="1"/>
  </conditionalFormatting>
  <conditionalFormatting sqref="A1590">
    <cfRule type="duplicateValues" dxfId="6254" priority="8085" stopIfTrue="1"/>
  </conditionalFormatting>
  <conditionalFormatting sqref="A1590">
    <cfRule type="duplicateValues" dxfId="6253" priority="8084" stopIfTrue="1"/>
  </conditionalFormatting>
  <conditionalFormatting sqref="A1590">
    <cfRule type="duplicateValues" dxfId="6252" priority="8083" stopIfTrue="1"/>
  </conditionalFormatting>
  <conditionalFormatting sqref="A1590">
    <cfRule type="duplicateValues" dxfId="6251" priority="8082" stopIfTrue="1"/>
  </conditionalFormatting>
  <conditionalFormatting sqref="A1590">
    <cfRule type="duplicateValues" dxfId="6250" priority="8081" stopIfTrue="1"/>
  </conditionalFormatting>
  <conditionalFormatting sqref="A1590">
    <cfRule type="duplicateValues" dxfId="6249" priority="8080" stopIfTrue="1"/>
  </conditionalFormatting>
  <conditionalFormatting sqref="A1590">
    <cfRule type="duplicateValues" dxfId="6248" priority="8092" stopIfTrue="1"/>
  </conditionalFormatting>
  <conditionalFormatting sqref="A1590">
    <cfRule type="duplicateValues" dxfId="6247" priority="8079" stopIfTrue="1"/>
  </conditionalFormatting>
  <conditionalFormatting sqref="A1590">
    <cfRule type="duplicateValues" dxfId="6246" priority="8093" stopIfTrue="1"/>
  </conditionalFormatting>
  <conditionalFormatting sqref="A1590">
    <cfRule type="duplicateValues" dxfId="6245" priority="8094" stopIfTrue="1"/>
  </conditionalFormatting>
  <conditionalFormatting sqref="A1590">
    <cfRule type="duplicateValues" dxfId="6244" priority="8095" stopIfTrue="1"/>
  </conditionalFormatting>
  <conditionalFormatting sqref="R1590">
    <cfRule type="duplicateValues" dxfId="6243" priority="8096" stopIfTrue="1"/>
  </conditionalFormatting>
  <conditionalFormatting sqref="R1590">
    <cfRule type="duplicateValues" dxfId="6242" priority="8097" stopIfTrue="1"/>
  </conditionalFormatting>
  <conditionalFormatting sqref="A1590">
    <cfRule type="duplicateValues" dxfId="6241" priority="8078" stopIfTrue="1"/>
  </conditionalFormatting>
  <conditionalFormatting sqref="A1590">
    <cfRule type="duplicateValues" dxfId="6240" priority="8077" stopIfTrue="1"/>
  </conditionalFormatting>
  <conditionalFormatting sqref="A1590">
    <cfRule type="duplicateValues" dxfId="6239" priority="8076" stopIfTrue="1"/>
  </conditionalFormatting>
  <conditionalFormatting sqref="A1590">
    <cfRule type="duplicateValues" dxfId="6238" priority="8074" stopIfTrue="1"/>
    <cfRule type="duplicateValues" dxfId="6237" priority="8075" stopIfTrue="1"/>
  </conditionalFormatting>
  <conditionalFormatting sqref="A1590">
    <cfRule type="duplicateValues" dxfId="6236" priority="8073" stopIfTrue="1"/>
  </conditionalFormatting>
  <conditionalFormatting sqref="A1590">
    <cfRule type="duplicateValues" dxfId="6235" priority="8072" stopIfTrue="1"/>
  </conditionalFormatting>
  <conditionalFormatting sqref="A1590">
    <cfRule type="duplicateValues" dxfId="6234" priority="8071" stopIfTrue="1"/>
  </conditionalFormatting>
  <conditionalFormatting sqref="A1590">
    <cfRule type="duplicateValues" dxfId="6233" priority="8070" stopIfTrue="1"/>
  </conditionalFormatting>
  <conditionalFormatting sqref="A1590">
    <cfRule type="duplicateValues" dxfId="6232" priority="8069" stopIfTrue="1"/>
  </conditionalFormatting>
  <conditionalFormatting sqref="A1590">
    <cfRule type="duplicateValues" dxfId="6231" priority="8068"/>
  </conditionalFormatting>
  <conditionalFormatting sqref="A1590">
    <cfRule type="duplicateValues" dxfId="6230" priority="8067"/>
  </conditionalFormatting>
  <conditionalFormatting sqref="A1590">
    <cfRule type="duplicateValues" dxfId="6229" priority="8066"/>
  </conditionalFormatting>
  <conditionalFormatting sqref="AW1597">
    <cfRule type="duplicateValues" dxfId="6228" priority="8033" stopIfTrue="1"/>
  </conditionalFormatting>
  <conditionalFormatting sqref="AW1598:AW1606 AW1637:AW1641">
    <cfRule type="duplicateValues" dxfId="6227" priority="8032" stopIfTrue="1"/>
  </conditionalFormatting>
  <conditionalFormatting sqref="AW1642">
    <cfRule type="duplicateValues" dxfId="6226" priority="8031" stopIfTrue="1"/>
  </conditionalFormatting>
  <conditionalFormatting sqref="AW1643:AW1644">
    <cfRule type="duplicateValues" dxfId="6225" priority="8030" stopIfTrue="1"/>
  </conditionalFormatting>
  <conditionalFormatting sqref="A1899:A1048576 A1681:A1783 A1637:A1644 A1 A1150:A1154 A1597:A1606 A1580:A1582 A1590:A1595 A1498:A1500 A362:A529 A1074:A1141 A531:A1070 A357 A1433:A1448 A1159:A1162 A1512:A1575 A1466:A1493 A1450:A1464 A1164:A1408 A1427">
    <cfRule type="duplicateValues" dxfId="6224" priority="7873"/>
  </conditionalFormatting>
  <conditionalFormatting sqref="A1591:A1595">
    <cfRule type="duplicateValues" dxfId="6223" priority="34125" stopIfTrue="1"/>
  </conditionalFormatting>
  <conditionalFormatting sqref="A1591:A1595">
    <cfRule type="duplicateValues" dxfId="6222" priority="34152"/>
  </conditionalFormatting>
  <conditionalFormatting sqref="C1607">
    <cfRule type="duplicateValues" dxfId="6221" priority="7870" stopIfTrue="1"/>
  </conditionalFormatting>
  <conditionalFormatting sqref="R1607">
    <cfRule type="duplicateValues" dxfId="6220" priority="7871" stopIfTrue="1"/>
  </conditionalFormatting>
  <conditionalFormatting sqref="R1607">
    <cfRule type="duplicateValues" dxfId="6219" priority="7872" stopIfTrue="1"/>
  </conditionalFormatting>
  <conditionalFormatting sqref="C1608:C1616">
    <cfRule type="duplicateValues" dxfId="6218" priority="7867" stopIfTrue="1"/>
  </conditionalFormatting>
  <conditionalFormatting sqref="R1608:R1616">
    <cfRule type="duplicateValues" dxfId="6217" priority="7868" stopIfTrue="1"/>
  </conditionalFormatting>
  <conditionalFormatting sqref="R1608:R1616">
    <cfRule type="duplicateValues" dxfId="6216" priority="7869" stopIfTrue="1"/>
  </conditionalFormatting>
  <conditionalFormatting sqref="AW1607">
    <cfRule type="duplicateValues" dxfId="6215" priority="7861" stopIfTrue="1"/>
  </conditionalFormatting>
  <conditionalFormatting sqref="AW1608:AW1616">
    <cfRule type="duplicateValues" dxfId="6214" priority="7860" stopIfTrue="1"/>
  </conditionalFormatting>
  <conditionalFormatting sqref="C1617">
    <cfRule type="duplicateValues" dxfId="6213" priority="7856" stopIfTrue="1"/>
  </conditionalFormatting>
  <conditionalFormatting sqref="R1617">
    <cfRule type="duplicateValues" dxfId="6212" priority="7857" stopIfTrue="1"/>
  </conditionalFormatting>
  <conditionalFormatting sqref="R1617">
    <cfRule type="duplicateValues" dxfId="6211" priority="7858" stopIfTrue="1"/>
  </conditionalFormatting>
  <conditionalFormatting sqref="C1618:C1625">
    <cfRule type="duplicateValues" dxfId="6210" priority="7853" stopIfTrue="1"/>
  </conditionalFormatting>
  <conditionalFormatting sqref="R1618:R1626">
    <cfRule type="duplicateValues" dxfId="6209" priority="7854" stopIfTrue="1"/>
  </conditionalFormatting>
  <conditionalFormatting sqref="R1618:R1626">
    <cfRule type="duplicateValues" dxfId="6208" priority="7855" stopIfTrue="1"/>
  </conditionalFormatting>
  <conditionalFormatting sqref="AW1617">
    <cfRule type="duplicateValues" dxfId="6207" priority="7847" stopIfTrue="1"/>
  </conditionalFormatting>
  <conditionalFormatting sqref="AW1618:AW1626">
    <cfRule type="duplicateValues" dxfId="6206" priority="7846" stopIfTrue="1"/>
  </conditionalFormatting>
  <conditionalFormatting sqref="C1627">
    <cfRule type="duplicateValues" dxfId="6205" priority="7842" stopIfTrue="1"/>
  </conditionalFormatting>
  <conditionalFormatting sqref="R1627">
    <cfRule type="duplicateValues" dxfId="6204" priority="7843" stopIfTrue="1"/>
  </conditionalFormatting>
  <conditionalFormatting sqref="R1627">
    <cfRule type="duplicateValues" dxfId="6203" priority="7844" stopIfTrue="1"/>
  </conditionalFormatting>
  <conditionalFormatting sqref="C1628:C1635">
    <cfRule type="duplicateValues" dxfId="6202" priority="7839" stopIfTrue="1"/>
  </conditionalFormatting>
  <conditionalFormatting sqref="R1628:R1636">
    <cfRule type="duplicateValues" dxfId="6201" priority="7840" stopIfTrue="1"/>
  </conditionalFormatting>
  <conditionalFormatting sqref="R1628:R1636">
    <cfRule type="duplicateValues" dxfId="6200" priority="7841" stopIfTrue="1"/>
  </conditionalFormatting>
  <conditionalFormatting sqref="AW1627">
    <cfRule type="duplicateValues" dxfId="6199" priority="7833" stopIfTrue="1"/>
  </conditionalFormatting>
  <conditionalFormatting sqref="AW1628:AW1636">
    <cfRule type="duplicateValues" dxfId="6198" priority="7832" stopIfTrue="1"/>
  </conditionalFormatting>
  <conditionalFormatting sqref="A1607:A1616">
    <cfRule type="duplicateValues" dxfId="6197" priority="7829" stopIfTrue="1"/>
  </conditionalFormatting>
  <conditionalFormatting sqref="A1607:A1616">
    <cfRule type="duplicateValues" dxfId="6196" priority="7830" stopIfTrue="1"/>
  </conditionalFormatting>
  <conditionalFormatting sqref="A1607:A1616">
    <cfRule type="duplicateValues" dxfId="6195" priority="7827" stopIfTrue="1"/>
    <cfRule type="duplicateValues" dxfId="6194" priority="7828" stopIfTrue="1"/>
  </conditionalFormatting>
  <conditionalFormatting sqref="A1607:A1616">
    <cfRule type="duplicateValues" dxfId="6193" priority="7826"/>
  </conditionalFormatting>
  <conditionalFormatting sqref="A1607:A1616">
    <cfRule type="duplicateValues" dxfId="6192" priority="7825"/>
  </conditionalFormatting>
  <conditionalFormatting sqref="A1617:A1626">
    <cfRule type="duplicateValues" dxfId="6191" priority="7823" stopIfTrue="1"/>
  </conditionalFormatting>
  <conditionalFormatting sqref="A1617:A1626">
    <cfRule type="duplicateValues" dxfId="6190" priority="7824" stopIfTrue="1"/>
  </conditionalFormatting>
  <conditionalFormatting sqref="A1617:A1626">
    <cfRule type="duplicateValues" dxfId="6189" priority="7821" stopIfTrue="1"/>
    <cfRule type="duplicateValues" dxfId="6188" priority="7822" stopIfTrue="1"/>
  </conditionalFormatting>
  <conditionalFormatting sqref="A1617:A1626">
    <cfRule type="duplicateValues" dxfId="6187" priority="7820"/>
  </conditionalFormatting>
  <conditionalFormatting sqref="A1617:A1626">
    <cfRule type="duplicateValues" dxfId="6186" priority="7819"/>
  </conditionalFormatting>
  <conditionalFormatting sqref="A1627:A1636">
    <cfRule type="duplicateValues" dxfId="6185" priority="7817" stopIfTrue="1"/>
  </conditionalFormatting>
  <conditionalFormatting sqref="A1627:A1636">
    <cfRule type="duplicateValues" dxfId="6184" priority="7818" stopIfTrue="1"/>
  </conditionalFormatting>
  <conditionalFormatting sqref="A1627:A1636">
    <cfRule type="duplicateValues" dxfId="6183" priority="7815" stopIfTrue="1"/>
    <cfRule type="duplicateValues" dxfId="6182" priority="7816" stopIfTrue="1"/>
  </conditionalFormatting>
  <conditionalFormatting sqref="A1627:A1636">
    <cfRule type="duplicateValues" dxfId="6181" priority="7814"/>
  </conditionalFormatting>
  <conditionalFormatting sqref="A1627:A1636">
    <cfRule type="duplicateValues" dxfId="6180" priority="7813"/>
  </conditionalFormatting>
  <conditionalFormatting sqref="C1645:C1647 C1649">
    <cfRule type="duplicateValues" dxfId="6179" priority="7810" stopIfTrue="1"/>
  </conditionalFormatting>
  <conditionalFormatting sqref="R1645:R1649">
    <cfRule type="duplicateValues" dxfId="6178" priority="7811" stopIfTrue="1"/>
  </conditionalFormatting>
  <conditionalFormatting sqref="R1645:R1649">
    <cfRule type="duplicateValues" dxfId="6177" priority="7812" stopIfTrue="1"/>
  </conditionalFormatting>
  <conditionalFormatting sqref="C1650">
    <cfRule type="duplicateValues" dxfId="6176" priority="7807" stopIfTrue="1"/>
  </conditionalFormatting>
  <conditionalFormatting sqref="R1650">
    <cfRule type="duplicateValues" dxfId="6175" priority="7808" stopIfTrue="1"/>
  </conditionalFormatting>
  <conditionalFormatting sqref="R1650">
    <cfRule type="duplicateValues" dxfId="6174" priority="7809" stopIfTrue="1"/>
  </conditionalFormatting>
  <conditionalFormatting sqref="C1651:C1652">
    <cfRule type="duplicateValues" dxfId="6173" priority="7804" stopIfTrue="1"/>
  </conditionalFormatting>
  <conditionalFormatting sqref="R1651:R1652">
    <cfRule type="duplicateValues" dxfId="6172" priority="7805" stopIfTrue="1"/>
  </conditionalFormatting>
  <conditionalFormatting sqref="R1651:R1652">
    <cfRule type="duplicateValues" dxfId="6171" priority="7806" stopIfTrue="1"/>
  </conditionalFormatting>
  <conditionalFormatting sqref="A1645:A1652">
    <cfRule type="duplicateValues" dxfId="6170" priority="7802" stopIfTrue="1"/>
  </conditionalFormatting>
  <conditionalFormatting sqref="A1645:A1652">
    <cfRule type="duplicateValues" dxfId="6169" priority="7803" stopIfTrue="1"/>
  </conditionalFormatting>
  <conditionalFormatting sqref="A1645:A1652">
    <cfRule type="duplicateValues" dxfId="6168" priority="7800" stopIfTrue="1"/>
    <cfRule type="duplicateValues" dxfId="6167" priority="7801" stopIfTrue="1"/>
  </conditionalFormatting>
  <conditionalFormatting sqref="A1645:A1652">
    <cfRule type="duplicateValues" dxfId="6166" priority="7799"/>
  </conditionalFormatting>
  <conditionalFormatting sqref="AW1645:AW1649">
    <cfRule type="duplicateValues" dxfId="6165" priority="7798" stopIfTrue="1"/>
  </conditionalFormatting>
  <conditionalFormatting sqref="AW1650">
    <cfRule type="duplicateValues" dxfId="6164" priority="7797" stopIfTrue="1"/>
  </conditionalFormatting>
  <conditionalFormatting sqref="AW1651:AW1652">
    <cfRule type="duplicateValues" dxfId="6163" priority="7796" stopIfTrue="1"/>
  </conditionalFormatting>
  <conditionalFormatting sqref="A1645:A1652">
    <cfRule type="duplicateValues" dxfId="6162" priority="7795"/>
  </conditionalFormatting>
  <conditionalFormatting sqref="A1899:A1048576 A1681:A1783 A1 A1150:A1154 A1597:A1652 A1580:A1582 A1590:A1595 A1498:A1500 A362:A529 A1074:A1141 A531:A1070 A357 A1433:A1448 A1159:A1162 A1512:A1575 A1466:A1493 A1450:A1464 A1164:A1408 A1427">
    <cfRule type="duplicateValues" dxfId="6161" priority="7794"/>
  </conditionalFormatting>
  <conditionalFormatting sqref="C1626">
    <cfRule type="duplicateValues" dxfId="6160" priority="7793" stopIfTrue="1"/>
  </conditionalFormatting>
  <conditionalFormatting sqref="C1636">
    <cfRule type="duplicateValues" dxfId="6159" priority="7792" stopIfTrue="1"/>
  </conditionalFormatting>
  <conditionalFormatting sqref="C1648">
    <cfRule type="duplicateValues" dxfId="6158" priority="7791" stopIfTrue="1"/>
  </conditionalFormatting>
  <conditionalFormatting sqref="C1653">
    <cfRule type="duplicateValues" dxfId="6157" priority="7777" stopIfTrue="1"/>
  </conditionalFormatting>
  <conditionalFormatting sqref="R1653">
    <cfRule type="duplicateValues" dxfId="6156" priority="7778" stopIfTrue="1"/>
  </conditionalFormatting>
  <conditionalFormatting sqref="R1653">
    <cfRule type="duplicateValues" dxfId="6155" priority="7779" stopIfTrue="1"/>
  </conditionalFormatting>
  <conditionalFormatting sqref="C1654:C1661">
    <cfRule type="duplicateValues" dxfId="6154" priority="7774" stopIfTrue="1"/>
  </conditionalFormatting>
  <conditionalFormatting sqref="R1654:R1662">
    <cfRule type="duplicateValues" dxfId="6153" priority="7775" stopIfTrue="1"/>
  </conditionalFormatting>
  <conditionalFormatting sqref="R1654:R1662">
    <cfRule type="duplicateValues" dxfId="6152" priority="7776" stopIfTrue="1"/>
  </conditionalFormatting>
  <conditionalFormatting sqref="AW1653">
    <cfRule type="duplicateValues" dxfId="6151" priority="7773" stopIfTrue="1"/>
  </conditionalFormatting>
  <conditionalFormatting sqref="AW1654:AW1662">
    <cfRule type="duplicateValues" dxfId="6150" priority="7772" stopIfTrue="1"/>
  </conditionalFormatting>
  <conditionalFormatting sqref="A1653:A1662">
    <cfRule type="duplicateValues" dxfId="6149" priority="7770" stopIfTrue="1"/>
  </conditionalFormatting>
  <conditionalFormatting sqref="A1653:A1662">
    <cfRule type="duplicateValues" dxfId="6148" priority="7771" stopIfTrue="1"/>
  </conditionalFormatting>
  <conditionalFormatting sqref="A1653:A1662">
    <cfRule type="duplicateValues" dxfId="6147" priority="7768" stopIfTrue="1"/>
    <cfRule type="duplicateValues" dxfId="6146" priority="7769" stopIfTrue="1"/>
  </conditionalFormatting>
  <conditionalFormatting sqref="A1653:A1662">
    <cfRule type="duplicateValues" dxfId="6145" priority="7767"/>
  </conditionalFormatting>
  <conditionalFormatting sqref="A1653:A1662">
    <cfRule type="duplicateValues" dxfId="6144" priority="7766"/>
  </conditionalFormatting>
  <conditionalFormatting sqref="A1653:A1662">
    <cfRule type="duplicateValues" dxfId="6143" priority="7765"/>
  </conditionalFormatting>
  <conditionalFormatting sqref="C1662">
    <cfRule type="duplicateValues" dxfId="6142" priority="7764" stopIfTrue="1"/>
  </conditionalFormatting>
  <conditionalFormatting sqref="C1663:C1667">
    <cfRule type="duplicateValues" dxfId="6141" priority="7761" stopIfTrue="1"/>
  </conditionalFormatting>
  <conditionalFormatting sqref="R1663:R1667">
    <cfRule type="duplicateValues" dxfId="6140" priority="7762" stopIfTrue="1"/>
  </conditionalFormatting>
  <conditionalFormatting sqref="R1663:R1667">
    <cfRule type="duplicateValues" dxfId="6139" priority="7763" stopIfTrue="1"/>
  </conditionalFormatting>
  <conditionalFormatting sqref="C1668">
    <cfRule type="duplicateValues" dxfId="6138" priority="7758" stopIfTrue="1"/>
  </conditionalFormatting>
  <conditionalFormatting sqref="R1668">
    <cfRule type="duplicateValues" dxfId="6137" priority="7759" stopIfTrue="1"/>
  </conditionalFormatting>
  <conditionalFormatting sqref="R1668">
    <cfRule type="duplicateValues" dxfId="6136" priority="7760" stopIfTrue="1"/>
  </conditionalFormatting>
  <conditionalFormatting sqref="C1669:C1670">
    <cfRule type="duplicateValues" dxfId="6135" priority="7755" stopIfTrue="1"/>
  </conditionalFormatting>
  <conditionalFormatting sqref="R1669:R1670">
    <cfRule type="duplicateValues" dxfId="6134" priority="7756" stopIfTrue="1"/>
  </conditionalFormatting>
  <conditionalFormatting sqref="R1669:R1670">
    <cfRule type="duplicateValues" dxfId="6133" priority="7757" stopIfTrue="1"/>
  </conditionalFormatting>
  <conditionalFormatting sqref="A1663:A1670">
    <cfRule type="duplicateValues" dxfId="6132" priority="7753" stopIfTrue="1"/>
  </conditionalFormatting>
  <conditionalFormatting sqref="A1663:A1670">
    <cfRule type="duplicateValues" dxfId="6131" priority="7754" stopIfTrue="1"/>
  </conditionalFormatting>
  <conditionalFormatting sqref="A1663:A1670">
    <cfRule type="duplicateValues" dxfId="6130" priority="7751" stopIfTrue="1"/>
    <cfRule type="duplicateValues" dxfId="6129" priority="7752" stopIfTrue="1"/>
  </conditionalFormatting>
  <conditionalFormatting sqref="A1663:A1670">
    <cfRule type="duplicateValues" dxfId="6128" priority="7750"/>
  </conditionalFormatting>
  <conditionalFormatting sqref="AW1663:AW1667">
    <cfRule type="duplicateValues" dxfId="6127" priority="7749" stopIfTrue="1"/>
  </conditionalFormatting>
  <conditionalFormatting sqref="AW1668">
    <cfRule type="duplicateValues" dxfId="6126" priority="7748" stopIfTrue="1"/>
  </conditionalFormatting>
  <conditionalFormatting sqref="AW1669:AW1670">
    <cfRule type="duplicateValues" dxfId="6125" priority="7747" stopIfTrue="1"/>
  </conditionalFormatting>
  <conditionalFormatting sqref="A1663:A1670">
    <cfRule type="duplicateValues" dxfId="6124" priority="7746"/>
  </conditionalFormatting>
  <conditionalFormatting sqref="A1663:A1670">
    <cfRule type="duplicateValues" dxfId="6123" priority="7745"/>
  </conditionalFormatting>
  <conditionalFormatting sqref="A1899:A1048576 A1597:A1670 A1 A1150:A1154 A1681:A1783 A1580:A1582 A1590:A1595 A1498:A1500 A362:A529 A1074:A1141 A531:A1070 A357 A1433:A1448 A1159:A1162 A1512:A1575 A1466:A1493 A1450:A1464 A1164:A1408 A1427">
    <cfRule type="duplicateValues" dxfId="6122" priority="7744"/>
  </conditionalFormatting>
  <conditionalFormatting sqref="A1142">
    <cfRule type="duplicateValues" dxfId="6121" priority="7742" stopIfTrue="1"/>
  </conditionalFormatting>
  <conditionalFormatting sqref="A1142">
    <cfRule type="duplicateValues" dxfId="6120" priority="7741" stopIfTrue="1"/>
  </conditionalFormatting>
  <conditionalFormatting sqref="A1142">
    <cfRule type="duplicateValues" dxfId="6119" priority="7740" stopIfTrue="1"/>
  </conditionalFormatting>
  <conditionalFormatting sqref="A1142">
    <cfRule type="duplicateValues" dxfId="6118" priority="7739" stopIfTrue="1"/>
  </conditionalFormatting>
  <conditionalFormatting sqref="A1142">
    <cfRule type="duplicateValues" dxfId="6117" priority="7738" stopIfTrue="1"/>
  </conditionalFormatting>
  <conditionalFormatting sqref="A1142">
    <cfRule type="duplicateValues" dxfId="6116" priority="7737" stopIfTrue="1"/>
  </conditionalFormatting>
  <conditionalFormatting sqref="A1142">
    <cfRule type="duplicateValues" dxfId="6115" priority="7736" stopIfTrue="1"/>
  </conditionalFormatting>
  <conditionalFormatting sqref="A1142">
    <cfRule type="duplicateValues" dxfId="6114" priority="7735" stopIfTrue="1"/>
  </conditionalFormatting>
  <conditionalFormatting sqref="A1142">
    <cfRule type="duplicateValues" dxfId="6113" priority="7734" stopIfTrue="1"/>
  </conditionalFormatting>
  <conditionalFormatting sqref="A1142">
    <cfRule type="duplicateValues" dxfId="6112" priority="7733" stopIfTrue="1"/>
  </conditionalFormatting>
  <conditionalFormatting sqref="A1142">
    <cfRule type="duplicateValues" dxfId="6111" priority="7732" stopIfTrue="1"/>
  </conditionalFormatting>
  <conditionalFormatting sqref="A1142">
    <cfRule type="duplicateValues" dxfId="6110" priority="7731" stopIfTrue="1"/>
  </conditionalFormatting>
  <conditionalFormatting sqref="A1142">
    <cfRule type="duplicateValues" dxfId="6109" priority="7730" stopIfTrue="1"/>
  </conditionalFormatting>
  <conditionalFormatting sqref="A1142">
    <cfRule type="duplicateValues" dxfId="6108" priority="7729" stopIfTrue="1"/>
  </conditionalFormatting>
  <conditionalFormatting sqref="A1142">
    <cfRule type="duplicateValues" dxfId="6107" priority="7743" stopIfTrue="1"/>
  </conditionalFormatting>
  <conditionalFormatting sqref="A1142">
    <cfRule type="duplicateValues" dxfId="6106" priority="7728" stopIfTrue="1"/>
  </conditionalFormatting>
  <conditionalFormatting sqref="C1142">
    <cfRule type="duplicateValues" dxfId="6105" priority="7727" stopIfTrue="1"/>
  </conditionalFormatting>
  <conditionalFormatting sqref="A1142">
    <cfRule type="duplicateValues" dxfId="6104" priority="7726" stopIfTrue="1"/>
  </conditionalFormatting>
  <conditionalFormatting sqref="A1142">
    <cfRule type="duplicateValues" dxfId="6103" priority="7725" stopIfTrue="1"/>
  </conditionalFormatting>
  <conditionalFormatting sqref="A1142">
    <cfRule type="duplicateValues" dxfId="6102" priority="7724" stopIfTrue="1"/>
  </conditionalFormatting>
  <conditionalFormatting sqref="A1142">
    <cfRule type="duplicateValues" dxfId="6101" priority="7723" stopIfTrue="1"/>
  </conditionalFormatting>
  <conditionalFormatting sqref="A1142">
    <cfRule type="duplicateValues" dxfId="6100" priority="7722" stopIfTrue="1"/>
  </conditionalFormatting>
  <conditionalFormatting sqref="A1142">
    <cfRule type="duplicateValues" dxfId="6099" priority="7721" stopIfTrue="1"/>
  </conditionalFormatting>
  <conditionalFormatting sqref="A1142">
    <cfRule type="duplicateValues" dxfId="6098" priority="7720" stopIfTrue="1"/>
  </conditionalFormatting>
  <conditionalFormatting sqref="A1142">
    <cfRule type="duplicateValues" dxfId="6097" priority="7719" stopIfTrue="1"/>
  </conditionalFormatting>
  <conditionalFormatting sqref="A1142">
    <cfRule type="duplicateValues" dxfId="6096" priority="7717" stopIfTrue="1"/>
    <cfRule type="duplicateValues" dxfId="6095" priority="7718" stopIfTrue="1"/>
  </conditionalFormatting>
  <conditionalFormatting sqref="A1142">
    <cfRule type="duplicateValues" dxfId="6094" priority="7716" stopIfTrue="1"/>
  </conditionalFormatting>
  <conditionalFormatting sqref="A1142">
    <cfRule type="duplicateValues" dxfId="6093" priority="7715" stopIfTrue="1"/>
  </conditionalFormatting>
  <conditionalFormatting sqref="A1142">
    <cfRule type="duplicateValues" dxfId="6092" priority="7714" stopIfTrue="1"/>
  </conditionalFormatting>
  <conditionalFormatting sqref="A1142">
    <cfRule type="duplicateValues" dxfId="6091" priority="7713" stopIfTrue="1"/>
  </conditionalFormatting>
  <conditionalFormatting sqref="A1142">
    <cfRule type="duplicateValues" dxfId="6090" priority="7712" stopIfTrue="1"/>
  </conditionalFormatting>
  <conditionalFormatting sqref="A1142">
    <cfRule type="duplicateValues" dxfId="6089" priority="7711"/>
  </conditionalFormatting>
  <conditionalFormatting sqref="A1142">
    <cfRule type="duplicateValues" dxfId="6088" priority="7710"/>
  </conditionalFormatting>
  <conditionalFormatting sqref="A1142">
    <cfRule type="duplicateValues" dxfId="6087" priority="7709"/>
  </conditionalFormatting>
  <conditionalFormatting sqref="A1142">
    <cfRule type="duplicateValues" dxfId="6086" priority="7708"/>
  </conditionalFormatting>
  <conditionalFormatting sqref="A1142">
    <cfRule type="duplicateValues" dxfId="6085" priority="7707"/>
  </conditionalFormatting>
  <conditionalFormatting sqref="A1142">
    <cfRule type="duplicateValues" dxfId="6084" priority="7706"/>
  </conditionalFormatting>
  <conditionalFormatting sqref="A1899:A1048576 A1597:A1670 A1 A1681:A1783 A1580:A1582 A1150:A1154 A1590:A1595 A1498:A1500 A362:A529 A1074:A1142 A531:A1070 A357 A1433:A1448 A1159:A1162 A1512:A1575 A1466:A1493 A1450:A1464 A1164:A1408 A1427">
    <cfRule type="duplicateValues" dxfId="6083" priority="7705"/>
  </conditionalFormatting>
  <conditionalFormatting sqref="A1596">
    <cfRule type="duplicateValues" dxfId="6082" priority="7699" stopIfTrue="1"/>
  </conditionalFormatting>
  <conditionalFormatting sqref="A1596">
    <cfRule type="duplicateValues" dxfId="6081" priority="7700" stopIfTrue="1"/>
  </conditionalFormatting>
  <conditionalFormatting sqref="R1596">
    <cfRule type="duplicateValues" dxfId="6080" priority="7701" stopIfTrue="1"/>
  </conditionalFormatting>
  <conditionalFormatting sqref="R1596">
    <cfRule type="duplicateValues" dxfId="6079" priority="7702" stopIfTrue="1"/>
  </conditionalFormatting>
  <conditionalFormatting sqref="A1596">
    <cfRule type="duplicateValues" dxfId="6078" priority="7697" stopIfTrue="1"/>
    <cfRule type="duplicateValues" dxfId="6077" priority="7698" stopIfTrue="1"/>
  </conditionalFormatting>
  <conditionalFormatting sqref="A1596">
    <cfRule type="duplicateValues" dxfId="6076" priority="7696"/>
  </conditionalFormatting>
  <conditionalFormatting sqref="A1596">
    <cfRule type="duplicateValues" dxfId="6075" priority="7695"/>
  </conditionalFormatting>
  <conditionalFormatting sqref="A1596">
    <cfRule type="duplicateValues" dxfId="6074" priority="7703" stopIfTrue="1"/>
  </conditionalFormatting>
  <conditionalFormatting sqref="A1596">
    <cfRule type="duplicateValues" dxfId="6073" priority="7704"/>
  </conditionalFormatting>
  <conditionalFormatting sqref="A1596">
    <cfRule type="duplicateValues" dxfId="6072" priority="7694"/>
  </conditionalFormatting>
  <conditionalFormatting sqref="A1596">
    <cfRule type="duplicateValues" dxfId="6071" priority="7693"/>
  </conditionalFormatting>
  <conditionalFormatting sqref="A1596">
    <cfRule type="duplicateValues" dxfId="6070" priority="7692"/>
  </conditionalFormatting>
  <conditionalFormatting sqref="C1671">
    <cfRule type="duplicateValues" dxfId="6069" priority="7689" stopIfTrue="1"/>
  </conditionalFormatting>
  <conditionalFormatting sqref="R1671">
    <cfRule type="duplicateValues" dxfId="6068" priority="7690" stopIfTrue="1"/>
  </conditionalFormatting>
  <conditionalFormatting sqref="R1671">
    <cfRule type="duplicateValues" dxfId="6067" priority="7691" stopIfTrue="1"/>
  </conditionalFormatting>
  <conditionalFormatting sqref="C1672:C1679">
    <cfRule type="duplicateValues" dxfId="6066" priority="7686" stopIfTrue="1"/>
  </conditionalFormatting>
  <conditionalFormatting sqref="R1672:R1680">
    <cfRule type="duplicateValues" dxfId="6065" priority="7687" stopIfTrue="1"/>
  </conditionalFormatting>
  <conditionalFormatting sqref="R1672:R1680">
    <cfRule type="duplicateValues" dxfId="6064" priority="7688" stopIfTrue="1"/>
  </conditionalFormatting>
  <conditionalFormatting sqref="AW1671">
    <cfRule type="duplicateValues" dxfId="6063" priority="7685" stopIfTrue="1"/>
  </conditionalFormatting>
  <conditionalFormatting sqref="AW1672:AW1680">
    <cfRule type="duplicateValues" dxfId="6062" priority="7684" stopIfTrue="1"/>
  </conditionalFormatting>
  <conditionalFormatting sqref="A1671:A1680">
    <cfRule type="duplicateValues" dxfId="6061" priority="7682" stopIfTrue="1"/>
  </conditionalFormatting>
  <conditionalFormatting sqref="A1671:A1680">
    <cfRule type="duplicateValues" dxfId="6060" priority="7683" stopIfTrue="1"/>
  </conditionalFormatting>
  <conditionalFormatting sqref="A1671:A1680">
    <cfRule type="duplicateValues" dxfId="6059" priority="7680" stopIfTrue="1"/>
    <cfRule type="duplicateValues" dxfId="6058" priority="7681" stopIfTrue="1"/>
  </conditionalFormatting>
  <conditionalFormatting sqref="A1671:A1680">
    <cfRule type="duplicateValues" dxfId="6057" priority="7679"/>
  </conditionalFormatting>
  <conditionalFormatting sqref="A1671:A1680">
    <cfRule type="duplicateValues" dxfId="6056" priority="7678"/>
  </conditionalFormatting>
  <conditionalFormatting sqref="A1671:A1680">
    <cfRule type="duplicateValues" dxfId="6055" priority="7677"/>
  </conditionalFormatting>
  <conditionalFormatting sqref="C1680">
    <cfRule type="duplicateValues" dxfId="6054" priority="7676" stopIfTrue="1"/>
  </conditionalFormatting>
  <conditionalFormatting sqref="A1671:A1680">
    <cfRule type="duplicateValues" dxfId="6053" priority="7675"/>
  </conditionalFormatting>
  <conditionalFormatting sqref="A1671:A1680">
    <cfRule type="duplicateValues" dxfId="6052" priority="7674"/>
  </conditionalFormatting>
  <conditionalFormatting sqref="A1899:A1048576 A1580:A1582 A1 A1150:A1154 A1590:A1783 A1498:A1500 A362:A529 A1074:A1142 A531:A1070 A357 A1433:A1448 A1159:A1162 A1512:A1575 A1466:A1493 A1450:A1464 A1164:A1408 A1427">
    <cfRule type="duplicateValues" dxfId="6051" priority="7664"/>
  </conditionalFormatting>
  <conditionalFormatting sqref="A1576">
    <cfRule type="duplicateValues" dxfId="6050" priority="7662" stopIfTrue="1"/>
  </conditionalFormatting>
  <conditionalFormatting sqref="A1576">
    <cfRule type="duplicateValues" dxfId="6049" priority="7661" stopIfTrue="1"/>
  </conditionalFormatting>
  <conditionalFormatting sqref="A1576">
    <cfRule type="duplicateValues" dxfId="6048" priority="7660" stopIfTrue="1"/>
  </conditionalFormatting>
  <conditionalFormatting sqref="A1576">
    <cfRule type="duplicateValues" dxfId="6047" priority="7659" stopIfTrue="1"/>
  </conditionalFormatting>
  <conditionalFormatting sqref="A1576">
    <cfRule type="duplicateValues" dxfId="6046" priority="7658" stopIfTrue="1"/>
  </conditionalFormatting>
  <conditionalFormatting sqref="A1576">
    <cfRule type="duplicateValues" dxfId="6045" priority="7657" stopIfTrue="1"/>
  </conditionalFormatting>
  <conditionalFormatting sqref="A1576">
    <cfRule type="duplicateValues" dxfId="6044" priority="7656" stopIfTrue="1"/>
  </conditionalFormatting>
  <conditionalFormatting sqref="A1576">
    <cfRule type="duplicateValues" dxfId="6043" priority="7655" stopIfTrue="1"/>
  </conditionalFormatting>
  <conditionalFormatting sqref="A1576">
    <cfRule type="duplicateValues" dxfId="6042" priority="7654" stopIfTrue="1"/>
  </conditionalFormatting>
  <conditionalFormatting sqref="A1576">
    <cfRule type="duplicateValues" dxfId="6041" priority="7653" stopIfTrue="1"/>
  </conditionalFormatting>
  <conditionalFormatting sqref="A1576">
    <cfRule type="duplicateValues" dxfId="6040" priority="7652" stopIfTrue="1"/>
  </conditionalFormatting>
  <conditionalFormatting sqref="A1576">
    <cfRule type="duplicateValues" dxfId="6039" priority="7651" stopIfTrue="1"/>
  </conditionalFormatting>
  <conditionalFormatting sqref="A1576">
    <cfRule type="duplicateValues" dxfId="6038" priority="7650" stopIfTrue="1"/>
  </conditionalFormatting>
  <conditionalFormatting sqref="A1576">
    <cfRule type="duplicateValues" dxfId="6037" priority="7649" stopIfTrue="1"/>
  </conditionalFormatting>
  <conditionalFormatting sqref="A1576">
    <cfRule type="duplicateValues" dxfId="6036" priority="7663" stopIfTrue="1"/>
  </conditionalFormatting>
  <conditionalFormatting sqref="A1576">
    <cfRule type="duplicateValues" dxfId="6035" priority="7648" stopIfTrue="1"/>
  </conditionalFormatting>
  <conditionalFormatting sqref="C1576">
    <cfRule type="duplicateValues" dxfId="6034" priority="7647" stopIfTrue="1"/>
  </conditionalFormatting>
  <conditionalFormatting sqref="A1576">
    <cfRule type="duplicateValues" dxfId="6033" priority="7646" stopIfTrue="1"/>
  </conditionalFormatting>
  <conditionalFormatting sqref="A1576">
    <cfRule type="duplicateValues" dxfId="6032" priority="7645" stopIfTrue="1"/>
  </conditionalFormatting>
  <conditionalFormatting sqref="A1576">
    <cfRule type="duplicateValues" dxfId="6031" priority="7644" stopIfTrue="1"/>
  </conditionalFormatting>
  <conditionalFormatting sqref="A1576">
    <cfRule type="duplicateValues" dxfId="6030" priority="7643" stopIfTrue="1"/>
  </conditionalFormatting>
  <conditionalFormatting sqref="A1576">
    <cfRule type="duplicateValues" dxfId="6029" priority="7642" stopIfTrue="1"/>
  </conditionalFormatting>
  <conditionalFormatting sqref="A1576">
    <cfRule type="duplicateValues" dxfId="6028" priority="7641" stopIfTrue="1"/>
  </conditionalFormatting>
  <conditionalFormatting sqref="A1576">
    <cfRule type="duplicateValues" dxfId="6027" priority="7640" stopIfTrue="1"/>
  </conditionalFormatting>
  <conditionalFormatting sqref="A1576">
    <cfRule type="duplicateValues" dxfId="6026" priority="7639" stopIfTrue="1"/>
  </conditionalFormatting>
  <conditionalFormatting sqref="A1576">
    <cfRule type="duplicateValues" dxfId="6025" priority="7637" stopIfTrue="1"/>
    <cfRule type="duplicateValues" dxfId="6024" priority="7638" stopIfTrue="1"/>
  </conditionalFormatting>
  <conditionalFormatting sqref="A1576">
    <cfRule type="duplicateValues" dxfId="6023" priority="7636" stopIfTrue="1"/>
  </conditionalFormatting>
  <conditionalFormatting sqref="A1576">
    <cfRule type="duplicateValues" dxfId="6022" priority="7635" stopIfTrue="1"/>
  </conditionalFormatting>
  <conditionalFormatting sqref="A1576">
    <cfRule type="duplicateValues" dxfId="6021" priority="7634" stopIfTrue="1"/>
  </conditionalFormatting>
  <conditionalFormatting sqref="A1576">
    <cfRule type="duplicateValues" dxfId="6020" priority="7633" stopIfTrue="1"/>
  </conditionalFormatting>
  <conditionalFormatting sqref="A1576">
    <cfRule type="duplicateValues" dxfId="6019" priority="7632" stopIfTrue="1"/>
  </conditionalFormatting>
  <conditionalFormatting sqref="A1576">
    <cfRule type="duplicateValues" dxfId="6018" priority="7631"/>
  </conditionalFormatting>
  <conditionalFormatting sqref="A1576">
    <cfRule type="duplicateValues" dxfId="6017" priority="7630"/>
  </conditionalFormatting>
  <conditionalFormatting sqref="A1576">
    <cfRule type="duplicateValues" dxfId="6016" priority="7629"/>
  </conditionalFormatting>
  <conditionalFormatting sqref="A1576">
    <cfRule type="duplicateValues" dxfId="6015" priority="7628"/>
  </conditionalFormatting>
  <conditionalFormatting sqref="A1576">
    <cfRule type="duplicateValues" dxfId="6014" priority="7627"/>
  </conditionalFormatting>
  <conditionalFormatting sqref="A1576">
    <cfRule type="duplicateValues" dxfId="6013" priority="7626"/>
  </conditionalFormatting>
  <conditionalFormatting sqref="A1576">
    <cfRule type="duplicateValues" dxfId="6012" priority="7625"/>
  </conditionalFormatting>
  <conditionalFormatting sqref="A1576">
    <cfRule type="duplicateValues" dxfId="6011" priority="7624"/>
  </conditionalFormatting>
  <conditionalFormatting sqref="A1577">
    <cfRule type="duplicateValues" dxfId="6010" priority="7616" stopIfTrue="1"/>
  </conditionalFormatting>
  <conditionalFormatting sqref="A1577">
    <cfRule type="duplicateValues" dxfId="6009" priority="7615" stopIfTrue="1"/>
  </conditionalFormatting>
  <conditionalFormatting sqref="A1577">
    <cfRule type="duplicateValues" dxfId="6008" priority="7614" stopIfTrue="1"/>
  </conditionalFormatting>
  <conditionalFormatting sqref="A1577">
    <cfRule type="duplicateValues" dxfId="6007" priority="7613" stopIfTrue="1"/>
  </conditionalFormatting>
  <conditionalFormatting sqref="A1577">
    <cfRule type="duplicateValues" dxfId="6006" priority="7612" stopIfTrue="1"/>
  </conditionalFormatting>
  <conditionalFormatting sqref="A1577">
    <cfRule type="duplicateValues" dxfId="6005" priority="7611" stopIfTrue="1"/>
  </conditionalFormatting>
  <conditionalFormatting sqref="A1577">
    <cfRule type="duplicateValues" dxfId="6004" priority="7610" stopIfTrue="1"/>
  </conditionalFormatting>
  <conditionalFormatting sqref="A1577">
    <cfRule type="duplicateValues" dxfId="6003" priority="7609" stopIfTrue="1"/>
  </conditionalFormatting>
  <conditionalFormatting sqref="A1577">
    <cfRule type="duplicateValues" dxfId="6002" priority="7608" stopIfTrue="1"/>
  </conditionalFormatting>
  <conditionalFormatting sqref="A1577">
    <cfRule type="duplicateValues" dxfId="6001" priority="7607" stopIfTrue="1"/>
  </conditionalFormatting>
  <conditionalFormatting sqref="A1577">
    <cfRule type="duplicateValues" dxfId="6000" priority="7606" stopIfTrue="1"/>
  </conditionalFormatting>
  <conditionalFormatting sqref="A1577">
    <cfRule type="duplicateValues" dxfId="5999" priority="7605" stopIfTrue="1"/>
  </conditionalFormatting>
  <conditionalFormatting sqref="A1577">
    <cfRule type="duplicateValues" dxfId="5998" priority="7617" stopIfTrue="1"/>
  </conditionalFormatting>
  <conditionalFormatting sqref="A1577">
    <cfRule type="duplicateValues" dxfId="5997" priority="7604" stopIfTrue="1"/>
  </conditionalFormatting>
  <conditionalFormatting sqref="A1577">
    <cfRule type="duplicateValues" dxfId="5996" priority="7618" stopIfTrue="1"/>
  </conditionalFormatting>
  <conditionalFormatting sqref="A1577">
    <cfRule type="duplicateValues" dxfId="5995" priority="7619" stopIfTrue="1"/>
  </conditionalFormatting>
  <conditionalFormatting sqref="C1577">
    <cfRule type="duplicateValues" dxfId="5994" priority="7620" stopIfTrue="1"/>
  </conditionalFormatting>
  <conditionalFormatting sqref="A1577">
    <cfRule type="duplicateValues" dxfId="5993" priority="7621" stopIfTrue="1"/>
  </conditionalFormatting>
  <conditionalFormatting sqref="R1577">
    <cfRule type="duplicateValues" dxfId="5992" priority="7622" stopIfTrue="1"/>
  </conditionalFormatting>
  <conditionalFormatting sqref="R1577">
    <cfRule type="duplicateValues" dxfId="5991" priority="7623" stopIfTrue="1"/>
  </conditionalFormatting>
  <conditionalFormatting sqref="A1577">
    <cfRule type="duplicateValues" dxfId="5990" priority="7603" stopIfTrue="1"/>
  </conditionalFormatting>
  <conditionalFormatting sqref="A1577">
    <cfRule type="duplicateValues" dxfId="5989" priority="7602" stopIfTrue="1"/>
  </conditionalFormatting>
  <conditionalFormatting sqref="A1577">
    <cfRule type="duplicateValues" dxfId="5988" priority="7601" stopIfTrue="1"/>
  </conditionalFormatting>
  <conditionalFormatting sqref="A1577">
    <cfRule type="duplicateValues" dxfId="5987" priority="7599" stopIfTrue="1"/>
    <cfRule type="duplicateValues" dxfId="5986" priority="7600" stopIfTrue="1"/>
  </conditionalFormatting>
  <conditionalFormatting sqref="A1577">
    <cfRule type="duplicateValues" dxfId="5985" priority="7598" stopIfTrue="1"/>
  </conditionalFormatting>
  <conditionalFormatting sqref="A1577">
    <cfRule type="duplicateValues" dxfId="5984" priority="7597" stopIfTrue="1"/>
  </conditionalFormatting>
  <conditionalFormatting sqref="A1577">
    <cfRule type="duplicateValues" dxfId="5983" priority="7596" stopIfTrue="1"/>
  </conditionalFormatting>
  <conditionalFormatting sqref="A1577">
    <cfRule type="duplicateValues" dxfId="5982" priority="7595" stopIfTrue="1"/>
  </conditionalFormatting>
  <conditionalFormatting sqref="A1577">
    <cfRule type="duplicateValues" dxfId="5981" priority="7594" stopIfTrue="1"/>
  </conditionalFormatting>
  <conditionalFormatting sqref="A1577">
    <cfRule type="duplicateValues" dxfId="5980" priority="7593"/>
  </conditionalFormatting>
  <conditionalFormatting sqref="A1577">
    <cfRule type="duplicateValues" dxfId="5979" priority="7592"/>
  </conditionalFormatting>
  <conditionalFormatting sqref="A1577">
    <cfRule type="duplicateValues" dxfId="5978" priority="7591"/>
  </conditionalFormatting>
  <conditionalFormatting sqref="A1577">
    <cfRule type="duplicateValues" dxfId="5977" priority="7590"/>
  </conditionalFormatting>
  <conditionalFormatting sqref="A1577">
    <cfRule type="duplicateValues" dxfId="5976" priority="7589"/>
  </conditionalFormatting>
  <conditionalFormatting sqref="A1577">
    <cfRule type="duplicateValues" dxfId="5975" priority="7588"/>
  </conditionalFormatting>
  <conditionalFormatting sqref="A1577">
    <cfRule type="duplicateValues" dxfId="5974" priority="7587"/>
  </conditionalFormatting>
  <conditionalFormatting sqref="A1577">
    <cfRule type="duplicateValues" dxfId="5973" priority="7586"/>
  </conditionalFormatting>
  <conditionalFormatting sqref="A1578">
    <cfRule type="duplicateValues" dxfId="5972" priority="7584" stopIfTrue="1"/>
  </conditionalFormatting>
  <conditionalFormatting sqref="A1578">
    <cfRule type="duplicateValues" dxfId="5971" priority="7583" stopIfTrue="1"/>
  </conditionalFormatting>
  <conditionalFormatting sqref="A1578">
    <cfRule type="duplicateValues" dxfId="5970" priority="7582" stopIfTrue="1"/>
  </conditionalFormatting>
  <conditionalFormatting sqref="A1578">
    <cfRule type="duplicateValues" dxfId="5969" priority="7581" stopIfTrue="1"/>
  </conditionalFormatting>
  <conditionalFormatting sqref="A1578">
    <cfRule type="duplicateValues" dxfId="5968" priority="7580" stopIfTrue="1"/>
  </conditionalFormatting>
  <conditionalFormatting sqref="A1578">
    <cfRule type="duplicateValues" dxfId="5967" priority="7579" stopIfTrue="1"/>
  </conditionalFormatting>
  <conditionalFormatting sqref="A1578">
    <cfRule type="duplicateValues" dxfId="5966" priority="7578" stopIfTrue="1"/>
  </conditionalFormatting>
  <conditionalFormatting sqref="A1578">
    <cfRule type="duplicateValues" dxfId="5965" priority="7577" stopIfTrue="1"/>
  </conditionalFormatting>
  <conditionalFormatting sqref="A1578">
    <cfRule type="duplicateValues" dxfId="5964" priority="7576" stopIfTrue="1"/>
  </conditionalFormatting>
  <conditionalFormatting sqref="A1578">
    <cfRule type="duplicateValues" dxfId="5963" priority="7575" stopIfTrue="1"/>
  </conditionalFormatting>
  <conditionalFormatting sqref="A1578">
    <cfRule type="duplicateValues" dxfId="5962" priority="7574" stopIfTrue="1"/>
  </conditionalFormatting>
  <conditionalFormatting sqref="A1578">
    <cfRule type="duplicateValues" dxfId="5961" priority="7573" stopIfTrue="1"/>
  </conditionalFormatting>
  <conditionalFormatting sqref="A1578">
    <cfRule type="duplicateValues" dxfId="5960" priority="7572" stopIfTrue="1"/>
  </conditionalFormatting>
  <conditionalFormatting sqref="A1578">
    <cfRule type="duplicateValues" dxfId="5959" priority="7571" stopIfTrue="1"/>
  </conditionalFormatting>
  <conditionalFormatting sqref="A1578">
    <cfRule type="duplicateValues" dxfId="5958" priority="7585" stopIfTrue="1"/>
  </conditionalFormatting>
  <conditionalFormatting sqref="A1578">
    <cfRule type="duplicateValues" dxfId="5957" priority="7570" stopIfTrue="1"/>
  </conditionalFormatting>
  <conditionalFormatting sqref="C1578">
    <cfRule type="duplicateValues" dxfId="5956" priority="7569" stopIfTrue="1"/>
  </conditionalFormatting>
  <conditionalFormatting sqref="A1578">
    <cfRule type="duplicateValues" dxfId="5955" priority="7568" stopIfTrue="1"/>
  </conditionalFormatting>
  <conditionalFormatting sqref="A1578">
    <cfRule type="duplicateValues" dxfId="5954" priority="7567" stopIfTrue="1"/>
  </conditionalFormatting>
  <conditionalFormatting sqref="A1578">
    <cfRule type="duplicateValues" dxfId="5953" priority="7566" stopIfTrue="1"/>
  </conditionalFormatting>
  <conditionalFormatting sqref="A1578">
    <cfRule type="duplicateValues" dxfId="5952" priority="7565" stopIfTrue="1"/>
  </conditionalFormatting>
  <conditionalFormatting sqref="A1578">
    <cfRule type="duplicateValues" dxfId="5951" priority="7564" stopIfTrue="1"/>
  </conditionalFormatting>
  <conditionalFormatting sqref="A1578">
    <cfRule type="duplicateValues" dxfId="5950" priority="7563" stopIfTrue="1"/>
  </conditionalFormatting>
  <conditionalFormatting sqref="A1578">
    <cfRule type="duplicateValues" dxfId="5949" priority="7562" stopIfTrue="1"/>
  </conditionalFormatting>
  <conditionalFormatting sqref="A1578">
    <cfRule type="duplicateValues" dxfId="5948" priority="7561" stopIfTrue="1"/>
  </conditionalFormatting>
  <conditionalFormatting sqref="A1578">
    <cfRule type="duplicateValues" dxfId="5947" priority="7559" stopIfTrue="1"/>
    <cfRule type="duplicateValues" dxfId="5946" priority="7560" stopIfTrue="1"/>
  </conditionalFormatting>
  <conditionalFormatting sqref="A1578">
    <cfRule type="duplicateValues" dxfId="5945" priority="7558" stopIfTrue="1"/>
  </conditionalFormatting>
  <conditionalFormatting sqref="A1578">
    <cfRule type="duplicateValues" dxfId="5944" priority="7557" stopIfTrue="1"/>
  </conditionalFormatting>
  <conditionalFormatting sqref="A1578">
    <cfRule type="duplicateValues" dxfId="5943" priority="7556" stopIfTrue="1"/>
  </conditionalFormatting>
  <conditionalFormatting sqref="A1578">
    <cfRule type="duplicateValues" dxfId="5942" priority="7555" stopIfTrue="1"/>
  </conditionalFormatting>
  <conditionalFormatting sqref="A1578">
    <cfRule type="duplicateValues" dxfId="5941" priority="7554" stopIfTrue="1"/>
  </conditionalFormatting>
  <conditionalFormatting sqref="A1578">
    <cfRule type="duplicateValues" dxfId="5940" priority="7553"/>
  </conditionalFormatting>
  <conditionalFormatting sqref="A1578">
    <cfRule type="duplicateValues" dxfId="5939" priority="7552"/>
  </conditionalFormatting>
  <conditionalFormatting sqref="A1578">
    <cfRule type="duplicateValues" dxfId="5938" priority="7551"/>
  </conditionalFormatting>
  <conditionalFormatting sqref="A1578">
    <cfRule type="duplicateValues" dxfId="5937" priority="7550"/>
  </conditionalFormatting>
  <conditionalFormatting sqref="A1578">
    <cfRule type="duplicateValues" dxfId="5936" priority="7549"/>
  </conditionalFormatting>
  <conditionalFormatting sqref="A1578">
    <cfRule type="duplicateValues" dxfId="5935" priority="7548"/>
  </conditionalFormatting>
  <conditionalFormatting sqref="A1578">
    <cfRule type="duplicateValues" dxfId="5934" priority="7547"/>
  </conditionalFormatting>
  <conditionalFormatting sqref="A1578">
    <cfRule type="duplicateValues" dxfId="5933" priority="7546"/>
  </conditionalFormatting>
  <conditionalFormatting sqref="A1579">
    <cfRule type="duplicateValues" dxfId="5932" priority="7544" stopIfTrue="1"/>
  </conditionalFormatting>
  <conditionalFormatting sqref="A1579">
    <cfRule type="duplicateValues" dxfId="5931" priority="7543" stopIfTrue="1"/>
  </conditionalFormatting>
  <conditionalFormatting sqref="A1579">
    <cfRule type="duplicateValues" dxfId="5930" priority="7542" stopIfTrue="1"/>
  </conditionalFormatting>
  <conditionalFormatting sqref="A1579">
    <cfRule type="duplicateValues" dxfId="5929" priority="7541" stopIfTrue="1"/>
  </conditionalFormatting>
  <conditionalFormatting sqref="A1579">
    <cfRule type="duplicateValues" dxfId="5928" priority="7540" stopIfTrue="1"/>
  </conditionalFormatting>
  <conditionalFormatting sqref="A1579">
    <cfRule type="duplicateValues" dxfId="5927" priority="7539" stopIfTrue="1"/>
  </conditionalFormatting>
  <conditionalFormatting sqref="A1579">
    <cfRule type="duplicateValues" dxfId="5926" priority="7538" stopIfTrue="1"/>
  </conditionalFormatting>
  <conditionalFormatting sqref="A1579">
    <cfRule type="duplicateValues" dxfId="5925" priority="7537" stopIfTrue="1"/>
  </conditionalFormatting>
  <conditionalFormatting sqref="A1579">
    <cfRule type="duplicateValues" dxfId="5924" priority="7536" stopIfTrue="1"/>
  </conditionalFormatting>
  <conditionalFormatting sqref="A1579">
    <cfRule type="duplicateValues" dxfId="5923" priority="7535" stopIfTrue="1"/>
  </conditionalFormatting>
  <conditionalFormatting sqref="A1579">
    <cfRule type="duplicateValues" dxfId="5922" priority="7534" stopIfTrue="1"/>
  </conditionalFormatting>
  <conditionalFormatting sqref="A1579">
    <cfRule type="duplicateValues" dxfId="5921" priority="7533" stopIfTrue="1"/>
  </conditionalFormatting>
  <conditionalFormatting sqref="A1579">
    <cfRule type="duplicateValues" dxfId="5920" priority="7532" stopIfTrue="1"/>
  </conditionalFormatting>
  <conditionalFormatting sqref="A1579">
    <cfRule type="duplicateValues" dxfId="5919" priority="7531" stopIfTrue="1"/>
  </conditionalFormatting>
  <conditionalFormatting sqref="A1579">
    <cfRule type="duplicateValues" dxfId="5918" priority="7545" stopIfTrue="1"/>
  </conditionalFormatting>
  <conditionalFormatting sqref="A1579">
    <cfRule type="duplicateValues" dxfId="5917" priority="7530" stopIfTrue="1"/>
  </conditionalFormatting>
  <conditionalFormatting sqref="C1579">
    <cfRule type="duplicateValues" dxfId="5916" priority="7529" stopIfTrue="1"/>
  </conditionalFormatting>
  <conditionalFormatting sqref="A1579">
    <cfRule type="duplicateValues" dxfId="5915" priority="7528" stopIfTrue="1"/>
  </conditionalFormatting>
  <conditionalFormatting sqref="A1579">
    <cfRule type="duplicateValues" dxfId="5914" priority="7527" stopIfTrue="1"/>
  </conditionalFormatting>
  <conditionalFormatting sqref="A1579">
    <cfRule type="duplicateValues" dxfId="5913" priority="7526" stopIfTrue="1"/>
  </conditionalFormatting>
  <conditionalFormatting sqref="A1579">
    <cfRule type="duplicateValues" dxfId="5912" priority="7525" stopIfTrue="1"/>
  </conditionalFormatting>
  <conditionalFormatting sqref="A1579">
    <cfRule type="duplicateValues" dxfId="5911" priority="7524" stopIfTrue="1"/>
  </conditionalFormatting>
  <conditionalFormatting sqref="A1579">
    <cfRule type="duplicateValues" dxfId="5910" priority="7523" stopIfTrue="1"/>
  </conditionalFormatting>
  <conditionalFormatting sqref="A1579">
    <cfRule type="duplicateValues" dxfId="5909" priority="7522" stopIfTrue="1"/>
  </conditionalFormatting>
  <conditionalFormatting sqref="A1579">
    <cfRule type="duplicateValues" dxfId="5908" priority="7521" stopIfTrue="1"/>
  </conditionalFormatting>
  <conditionalFormatting sqref="A1579">
    <cfRule type="duplicateValues" dxfId="5907" priority="7519" stopIfTrue="1"/>
    <cfRule type="duplicateValues" dxfId="5906" priority="7520" stopIfTrue="1"/>
  </conditionalFormatting>
  <conditionalFormatting sqref="A1579">
    <cfRule type="duplicateValues" dxfId="5905" priority="7518" stopIfTrue="1"/>
  </conditionalFormatting>
  <conditionalFormatting sqref="A1579">
    <cfRule type="duplicateValues" dxfId="5904" priority="7517" stopIfTrue="1"/>
  </conditionalFormatting>
  <conditionalFormatting sqref="A1579">
    <cfRule type="duplicateValues" dxfId="5903" priority="7516" stopIfTrue="1"/>
  </conditionalFormatting>
  <conditionalFormatting sqref="A1579">
    <cfRule type="duplicateValues" dxfId="5902" priority="7515" stopIfTrue="1"/>
  </conditionalFormatting>
  <conditionalFormatting sqref="A1579">
    <cfRule type="duplicateValues" dxfId="5901" priority="7514" stopIfTrue="1"/>
  </conditionalFormatting>
  <conditionalFormatting sqref="A1579">
    <cfRule type="duplicateValues" dxfId="5900" priority="7513"/>
  </conditionalFormatting>
  <conditionalFormatting sqref="A1579">
    <cfRule type="duplicateValues" dxfId="5899" priority="7512"/>
  </conditionalFormatting>
  <conditionalFormatting sqref="A1579">
    <cfRule type="duplicateValues" dxfId="5898" priority="7511"/>
  </conditionalFormatting>
  <conditionalFormatting sqref="A1579">
    <cfRule type="duplicateValues" dxfId="5897" priority="7510"/>
  </conditionalFormatting>
  <conditionalFormatting sqref="A1579">
    <cfRule type="duplicateValues" dxfId="5896" priority="7509"/>
  </conditionalFormatting>
  <conditionalFormatting sqref="A1579">
    <cfRule type="duplicateValues" dxfId="5895" priority="7508"/>
  </conditionalFormatting>
  <conditionalFormatting sqref="A1579">
    <cfRule type="duplicateValues" dxfId="5894" priority="7507"/>
  </conditionalFormatting>
  <conditionalFormatting sqref="A1579">
    <cfRule type="duplicateValues" dxfId="5893" priority="7506"/>
  </conditionalFormatting>
  <conditionalFormatting sqref="A1155">
    <cfRule type="duplicateValues" dxfId="5892" priority="7504" stopIfTrue="1"/>
  </conditionalFormatting>
  <conditionalFormatting sqref="A1155">
    <cfRule type="duplicateValues" dxfId="5891" priority="7503" stopIfTrue="1"/>
  </conditionalFormatting>
  <conditionalFormatting sqref="A1155">
    <cfRule type="duplicateValues" dxfId="5890" priority="7502" stopIfTrue="1"/>
  </conditionalFormatting>
  <conditionalFormatting sqref="A1155">
    <cfRule type="duplicateValues" dxfId="5889" priority="7501" stopIfTrue="1"/>
  </conditionalFormatting>
  <conditionalFormatting sqref="A1155">
    <cfRule type="duplicateValues" dxfId="5888" priority="7500" stopIfTrue="1"/>
  </conditionalFormatting>
  <conditionalFormatting sqref="A1155">
    <cfRule type="duplicateValues" dxfId="5887" priority="7499" stopIfTrue="1"/>
  </conditionalFormatting>
  <conditionalFormatting sqref="A1155">
    <cfRule type="duplicateValues" dxfId="5886" priority="7498" stopIfTrue="1"/>
  </conditionalFormatting>
  <conditionalFormatting sqref="A1155">
    <cfRule type="duplicateValues" dxfId="5885" priority="7497" stopIfTrue="1"/>
  </conditionalFormatting>
  <conditionalFormatting sqref="A1155">
    <cfRule type="duplicateValues" dxfId="5884" priority="7496" stopIfTrue="1"/>
  </conditionalFormatting>
  <conditionalFormatting sqref="A1155">
    <cfRule type="duplicateValues" dxfId="5883" priority="7495" stopIfTrue="1"/>
  </conditionalFormatting>
  <conditionalFormatting sqref="A1155">
    <cfRule type="duplicateValues" dxfId="5882" priority="7494" stopIfTrue="1"/>
  </conditionalFormatting>
  <conditionalFormatting sqref="A1155">
    <cfRule type="duplicateValues" dxfId="5881" priority="7493" stopIfTrue="1"/>
  </conditionalFormatting>
  <conditionalFormatting sqref="A1155">
    <cfRule type="duplicateValues" dxfId="5880" priority="7492" stopIfTrue="1"/>
  </conditionalFormatting>
  <conditionalFormatting sqref="A1155">
    <cfRule type="duplicateValues" dxfId="5879" priority="7491" stopIfTrue="1"/>
  </conditionalFormatting>
  <conditionalFormatting sqref="A1155">
    <cfRule type="duplicateValues" dxfId="5878" priority="7505" stopIfTrue="1"/>
  </conditionalFormatting>
  <conditionalFormatting sqref="A1155">
    <cfRule type="duplicateValues" dxfId="5877" priority="7490" stopIfTrue="1"/>
  </conditionalFormatting>
  <conditionalFormatting sqref="A1155">
    <cfRule type="duplicateValues" dxfId="5876" priority="7489" stopIfTrue="1"/>
  </conditionalFormatting>
  <conditionalFormatting sqref="A1155">
    <cfRule type="duplicateValues" dxfId="5875" priority="7488" stopIfTrue="1"/>
  </conditionalFormatting>
  <conditionalFormatting sqref="A1155">
    <cfRule type="duplicateValues" dxfId="5874" priority="7487" stopIfTrue="1"/>
  </conditionalFormatting>
  <conditionalFormatting sqref="A1155">
    <cfRule type="duplicateValues" dxfId="5873" priority="7486" stopIfTrue="1"/>
  </conditionalFormatting>
  <conditionalFormatting sqref="A1155">
    <cfRule type="duplicateValues" dxfId="5872" priority="7485" stopIfTrue="1"/>
  </conditionalFormatting>
  <conditionalFormatting sqref="A1155">
    <cfRule type="duplicateValues" dxfId="5871" priority="7484" stopIfTrue="1"/>
  </conditionalFormatting>
  <conditionalFormatting sqref="A1155">
    <cfRule type="duplicateValues" dxfId="5870" priority="7483" stopIfTrue="1"/>
  </conditionalFormatting>
  <conditionalFormatting sqref="A1155">
    <cfRule type="duplicateValues" dxfId="5869" priority="7482" stopIfTrue="1"/>
  </conditionalFormatting>
  <conditionalFormatting sqref="C1155">
    <cfRule type="duplicateValues" dxfId="5868" priority="7481" stopIfTrue="1"/>
  </conditionalFormatting>
  <conditionalFormatting sqref="A1155">
    <cfRule type="duplicateValues" dxfId="5867" priority="7480" stopIfTrue="1"/>
  </conditionalFormatting>
  <conditionalFormatting sqref="A1155">
    <cfRule type="duplicateValues" dxfId="5866" priority="7479" stopIfTrue="1"/>
  </conditionalFormatting>
  <conditionalFormatting sqref="A1155">
    <cfRule type="duplicateValues" dxfId="5865" priority="7478" stopIfTrue="1"/>
  </conditionalFormatting>
  <conditionalFormatting sqref="A1155">
    <cfRule type="duplicateValues" dxfId="5864" priority="7477" stopIfTrue="1"/>
  </conditionalFormatting>
  <conditionalFormatting sqref="A1155">
    <cfRule type="duplicateValues" dxfId="5863" priority="7476" stopIfTrue="1"/>
  </conditionalFormatting>
  <conditionalFormatting sqref="A1155">
    <cfRule type="duplicateValues" dxfId="5862" priority="7475"/>
  </conditionalFormatting>
  <conditionalFormatting sqref="A1155">
    <cfRule type="duplicateValues" dxfId="5861" priority="7474"/>
  </conditionalFormatting>
  <conditionalFormatting sqref="A1155">
    <cfRule type="duplicateValues" dxfId="5860" priority="7473"/>
  </conditionalFormatting>
  <conditionalFormatting sqref="A1155">
    <cfRule type="duplicateValues" dxfId="5859" priority="7472"/>
  </conditionalFormatting>
  <conditionalFormatting sqref="A1155">
    <cfRule type="duplicateValues" dxfId="5858" priority="7471"/>
  </conditionalFormatting>
  <conditionalFormatting sqref="A1155">
    <cfRule type="duplicateValues" dxfId="5857" priority="7470"/>
  </conditionalFormatting>
  <conditionalFormatting sqref="A1155">
    <cfRule type="duplicateValues" dxfId="5856" priority="7469"/>
  </conditionalFormatting>
  <conditionalFormatting sqref="A1155">
    <cfRule type="duplicateValues" dxfId="5855" priority="7468"/>
  </conditionalFormatting>
  <conditionalFormatting sqref="A1144 A1146 A1148">
    <cfRule type="duplicateValues" dxfId="5854" priority="7465" stopIfTrue="1"/>
  </conditionalFormatting>
  <conditionalFormatting sqref="A1144 A1146 A1148">
    <cfRule type="duplicateValues" dxfId="5853" priority="7464" stopIfTrue="1"/>
  </conditionalFormatting>
  <conditionalFormatting sqref="A1144">
    <cfRule type="duplicateValues" dxfId="5852" priority="7463" stopIfTrue="1"/>
  </conditionalFormatting>
  <conditionalFormatting sqref="A1144">
    <cfRule type="duplicateValues" dxfId="5851" priority="7462" stopIfTrue="1"/>
  </conditionalFormatting>
  <conditionalFormatting sqref="A1144">
    <cfRule type="duplicateValues" dxfId="5850" priority="7461" stopIfTrue="1"/>
  </conditionalFormatting>
  <conditionalFormatting sqref="A1144">
    <cfRule type="duplicateValues" dxfId="5849" priority="7460" stopIfTrue="1"/>
  </conditionalFormatting>
  <conditionalFormatting sqref="A1144">
    <cfRule type="duplicateValues" dxfId="5848" priority="7459" stopIfTrue="1"/>
  </conditionalFormatting>
  <conditionalFormatting sqref="A1144">
    <cfRule type="duplicateValues" dxfId="5847" priority="7458" stopIfTrue="1"/>
  </conditionalFormatting>
  <conditionalFormatting sqref="A1144">
    <cfRule type="duplicateValues" dxfId="5846" priority="7457" stopIfTrue="1"/>
  </conditionalFormatting>
  <conditionalFormatting sqref="A1144">
    <cfRule type="duplicateValues" dxfId="5845" priority="7456" stopIfTrue="1"/>
  </conditionalFormatting>
  <conditionalFormatting sqref="A1144">
    <cfRule type="duplicateValues" dxfId="5844" priority="7455" stopIfTrue="1"/>
  </conditionalFormatting>
  <conditionalFormatting sqref="A1144">
    <cfRule type="duplicateValues" dxfId="5843" priority="7454" stopIfTrue="1"/>
  </conditionalFormatting>
  <conditionalFormatting sqref="A1144">
    <cfRule type="duplicateValues" dxfId="5842" priority="7453" stopIfTrue="1"/>
  </conditionalFormatting>
  <conditionalFormatting sqref="A1144">
    <cfRule type="duplicateValues" dxfId="5841" priority="7452" stopIfTrue="1"/>
  </conditionalFormatting>
  <conditionalFormatting sqref="A1144">
    <cfRule type="duplicateValues" dxfId="5840" priority="7451" stopIfTrue="1"/>
  </conditionalFormatting>
  <conditionalFormatting sqref="A1144">
    <cfRule type="duplicateValues" dxfId="5839" priority="7466" stopIfTrue="1"/>
  </conditionalFormatting>
  <conditionalFormatting sqref="A1144">
    <cfRule type="duplicateValues" dxfId="5838" priority="7450" stopIfTrue="1"/>
  </conditionalFormatting>
  <conditionalFormatting sqref="C1144">
    <cfRule type="duplicateValues" dxfId="5837" priority="7449" stopIfTrue="1"/>
  </conditionalFormatting>
  <conditionalFormatting sqref="A1144">
    <cfRule type="duplicateValues" dxfId="5836" priority="7448" stopIfTrue="1"/>
  </conditionalFormatting>
  <conditionalFormatting sqref="A1144">
    <cfRule type="duplicateValues" dxfId="5835" priority="7447" stopIfTrue="1"/>
  </conditionalFormatting>
  <conditionalFormatting sqref="A1144">
    <cfRule type="duplicateValues" dxfId="5834" priority="7446" stopIfTrue="1"/>
  </conditionalFormatting>
  <conditionalFormatting sqref="A1144">
    <cfRule type="duplicateValues" dxfId="5833" priority="7445" stopIfTrue="1"/>
  </conditionalFormatting>
  <conditionalFormatting sqref="A1144">
    <cfRule type="duplicateValues" dxfId="5832" priority="7444" stopIfTrue="1"/>
  </conditionalFormatting>
  <conditionalFormatting sqref="A1144">
    <cfRule type="duplicateValues" dxfId="5831" priority="7443" stopIfTrue="1"/>
  </conditionalFormatting>
  <conditionalFormatting sqref="A1144">
    <cfRule type="duplicateValues" dxfId="5830" priority="7442" stopIfTrue="1"/>
  </conditionalFormatting>
  <conditionalFormatting sqref="A1144">
    <cfRule type="duplicateValues" dxfId="5829" priority="7441" stopIfTrue="1"/>
  </conditionalFormatting>
  <conditionalFormatting sqref="A1144 A1146 A1148">
    <cfRule type="duplicateValues" dxfId="5828" priority="7439" stopIfTrue="1"/>
    <cfRule type="duplicateValues" dxfId="5827" priority="7440" stopIfTrue="1"/>
  </conditionalFormatting>
  <conditionalFormatting sqref="A1144">
    <cfRule type="duplicateValues" dxfId="5826" priority="7438" stopIfTrue="1"/>
  </conditionalFormatting>
  <conditionalFormatting sqref="A1144">
    <cfRule type="duplicateValues" dxfId="5825" priority="7437" stopIfTrue="1"/>
  </conditionalFormatting>
  <conditionalFormatting sqref="A1144">
    <cfRule type="duplicateValues" dxfId="5824" priority="7436" stopIfTrue="1"/>
  </conditionalFormatting>
  <conditionalFormatting sqref="A1144">
    <cfRule type="duplicateValues" dxfId="5823" priority="7435" stopIfTrue="1"/>
  </conditionalFormatting>
  <conditionalFormatting sqref="A1144">
    <cfRule type="duplicateValues" dxfId="5822" priority="7434" stopIfTrue="1"/>
  </conditionalFormatting>
  <conditionalFormatting sqref="A1144 A1146 A1148">
    <cfRule type="duplicateValues" dxfId="5821" priority="7433"/>
  </conditionalFormatting>
  <conditionalFormatting sqref="A1144">
    <cfRule type="duplicateValues" dxfId="5820" priority="7432"/>
  </conditionalFormatting>
  <conditionalFormatting sqref="A1144">
    <cfRule type="duplicateValues" dxfId="5819" priority="7431"/>
  </conditionalFormatting>
  <conditionalFormatting sqref="A1144">
    <cfRule type="duplicateValues" dxfId="5818" priority="7430"/>
  </conditionalFormatting>
  <conditionalFormatting sqref="A1144">
    <cfRule type="duplicateValues" dxfId="5817" priority="7429"/>
  </conditionalFormatting>
  <conditionalFormatting sqref="A1144">
    <cfRule type="duplicateValues" dxfId="5816" priority="7428"/>
  </conditionalFormatting>
  <conditionalFormatting sqref="A1144">
    <cfRule type="duplicateValues" dxfId="5815" priority="7427"/>
  </conditionalFormatting>
  <conditionalFormatting sqref="A1144">
    <cfRule type="duplicateValues" dxfId="5814" priority="7426"/>
  </conditionalFormatting>
  <conditionalFormatting sqref="A1144">
    <cfRule type="duplicateValues" dxfId="5813" priority="7425"/>
  </conditionalFormatting>
  <conditionalFormatting sqref="A1143">
    <cfRule type="duplicateValues" dxfId="5812" priority="7423" stopIfTrue="1"/>
  </conditionalFormatting>
  <conditionalFormatting sqref="A1143">
    <cfRule type="duplicateValues" dxfId="5811" priority="7422" stopIfTrue="1"/>
  </conditionalFormatting>
  <conditionalFormatting sqref="A1143">
    <cfRule type="duplicateValues" dxfId="5810" priority="7421" stopIfTrue="1"/>
  </conditionalFormatting>
  <conditionalFormatting sqref="A1143">
    <cfRule type="duplicateValues" dxfId="5809" priority="7420" stopIfTrue="1"/>
  </conditionalFormatting>
  <conditionalFormatting sqref="A1143">
    <cfRule type="duplicateValues" dxfId="5808" priority="7419" stopIfTrue="1"/>
  </conditionalFormatting>
  <conditionalFormatting sqref="A1143">
    <cfRule type="duplicateValues" dxfId="5807" priority="7418" stopIfTrue="1"/>
  </conditionalFormatting>
  <conditionalFormatting sqref="A1143">
    <cfRule type="duplicateValues" dxfId="5806" priority="7417" stopIfTrue="1"/>
  </conditionalFormatting>
  <conditionalFormatting sqref="A1143">
    <cfRule type="duplicateValues" dxfId="5805" priority="7416" stopIfTrue="1"/>
  </conditionalFormatting>
  <conditionalFormatting sqref="A1143">
    <cfRule type="duplicateValues" dxfId="5804" priority="7415" stopIfTrue="1"/>
  </conditionalFormatting>
  <conditionalFormatting sqref="A1143">
    <cfRule type="duplicateValues" dxfId="5803" priority="7414" stopIfTrue="1"/>
  </conditionalFormatting>
  <conditionalFormatting sqref="A1143">
    <cfRule type="duplicateValues" dxfId="5802" priority="7413" stopIfTrue="1"/>
  </conditionalFormatting>
  <conditionalFormatting sqref="A1143">
    <cfRule type="duplicateValues" dxfId="5801" priority="7412" stopIfTrue="1"/>
  </conditionalFormatting>
  <conditionalFormatting sqref="A1143">
    <cfRule type="duplicateValues" dxfId="5800" priority="7411" stopIfTrue="1"/>
  </conditionalFormatting>
  <conditionalFormatting sqref="A1143">
    <cfRule type="duplicateValues" dxfId="5799" priority="7410" stopIfTrue="1"/>
  </conditionalFormatting>
  <conditionalFormatting sqref="A1143">
    <cfRule type="duplicateValues" dxfId="5798" priority="7409" stopIfTrue="1"/>
  </conditionalFormatting>
  <conditionalFormatting sqref="A1143">
    <cfRule type="duplicateValues" dxfId="5797" priority="7424" stopIfTrue="1"/>
  </conditionalFormatting>
  <conditionalFormatting sqref="A1143">
    <cfRule type="duplicateValues" dxfId="5796" priority="7408" stopIfTrue="1"/>
  </conditionalFormatting>
  <conditionalFormatting sqref="C1143">
    <cfRule type="duplicateValues" dxfId="5795" priority="7407" stopIfTrue="1"/>
  </conditionalFormatting>
  <conditionalFormatting sqref="A1143">
    <cfRule type="duplicateValues" dxfId="5794" priority="7406" stopIfTrue="1"/>
  </conditionalFormatting>
  <conditionalFormatting sqref="A1143">
    <cfRule type="duplicateValues" dxfId="5793" priority="7405" stopIfTrue="1"/>
  </conditionalFormatting>
  <conditionalFormatting sqref="A1143">
    <cfRule type="duplicateValues" dxfId="5792" priority="7404" stopIfTrue="1"/>
  </conditionalFormatting>
  <conditionalFormatting sqref="A1143">
    <cfRule type="duplicateValues" dxfId="5791" priority="7403" stopIfTrue="1"/>
  </conditionalFormatting>
  <conditionalFormatting sqref="A1143">
    <cfRule type="duplicateValues" dxfId="5790" priority="7402" stopIfTrue="1"/>
  </conditionalFormatting>
  <conditionalFormatting sqref="A1143">
    <cfRule type="duplicateValues" dxfId="5789" priority="7401" stopIfTrue="1"/>
  </conditionalFormatting>
  <conditionalFormatting sqref="A1143">
    <cfRule type="duplicateValues" dxfId="5788" priority="7400" stopIfTrue="1"/>
  </conditionalFormatting>
  <conditionalFormatting sqref="A1143">
    <cfRule type="duplicateValues" dxfId="5787" priority="7399" stopIfTrue="1"/>
  </conditionalFormatting>
  <conditionalFormatting sqref="A1143">
    <cfRule type="duplicateValues" dxfId="5786" priority="7397" stopIfTrue="1"/>
    <cfRule type="duplicateValues" dxfId="5785" priority="7398" stopIfTrue="1"/>
  </conditionalFormatting>
  <conditionalFormatting sqref="A1143">
    <cfRule type="duplicateValues" dxfId="5784" priority="7396" stopIfTrue="1"/>
  </conditionalFormatting>
  <conditionalFormatting sqref="A1143">
    <cfRule type="duplicateValues" dxfId="5783" priority="7395" stopIfTrue="1"/>
  </conditionalFormatting>
  <conditionalFormatting sqref="A1143">
    <cfRule type="duplicateValues" dxfId="5782" priority="7394" stopIfTrue="1"/>
  </conditionalFormatting>
  <conditionalFormatting sqref="A1143">
    <cfRule type="duplicateValues" dxfId="5781" priority="7393" stopIfTrue="1"/>
  </conditionalFormatting>
  <conditionalFormatting sqref="A1143">
    <cfRule type="duplicateValues" dxfId="5780" priority="7392" stopIfTrue="1"/>
  </conditionalFormatting>
  <conditionalFormatting sqref="A1143">
    <cfRule type="duplicateValues" dxfId="5779" priority="7391"/>
  </conditionalFormatting>
  <conditionalFormatting sqref="A1143">
    <cfRule type="duplicateValues" dxfId="5778" priority="7390"/>
  </conditionalFormatting>
  <conditionalFormatting sqref="A1143">
    <cfRule type="duplicateValues" dxfId="5777" priority="7389"/>
  </conditionalFormatting>
  <conditionalFormatting sqref="A1143">
    <cfRule type="duplicateValues" dxfId="5776" priority="7388"/>
  </conditionalFormatting>
  <conditionalFormatting sqref="A1143">
    <cfRule type="duplicateValues" dxfId="5775" priority="7387"/>
  </conditionalFormatting>
  <conditionalFormatting sqref="A1143">
    <cfRule type="duplicateValues" dxfId="5774" priority="7386"/>
  </conditionalFormatting>
  <conditionalFormatting sqref="A1143">
    <cfRule type="duplicateValues" dxfId="5773" priority="7385"/>
  </conditionalFormatting>
  <conditionalFormatting sqref="A1143">
    <cfRule type="duplicateValues" dxfId="5772" priority="7384"/>
  </conditionalFormatting>
  <conditionalFormatting sqref="A1143">
    <cfRule type="duplicateValues" dxfId="5771" priority="7383"/>
  </conditionalFormatting>
  <conditionalFormatting sqref="A1145 A1147">
    <cfRule type="duplicateValues" dxfId="5770" priority="7381" stopIfTrue="1"/>
  </conditionalFormatting>
  <conditionalFormatting sqref="A1145 A1147">
    <cfRule type="duplicateValues" dxfId="5769" priority="7380" stopIfTrue="1"/>
  </conditionalFormatting>
  <conditionalFormatting sqref="A1145">
    <cfRule type="duplicateValues" dxfId="5768" priority="7379" stopIfTrue="1"/>
  </conditionalFormatting>
  <conditionalFormatting sqref="A1145">
    <cfRule type="duplicateValues" dxfId="5767" priority="7378" stopIfTrue="1"/>
  </conditionalFormatting>
  <conditionalFormatting sqref="A1145">
    <cfRule type="duplicateValues" dxfId="5766" priority="7377" stopIfTrue="1"/>
  </conditionalFormatting>
  <conditionalFormatting sqref="A1145">
    <cfRule type="duplicateValues" dxfId="5765" priority="7376" stopIfTrue="1"/>
  </conditionalFormatting>
  <conditionalFormatting sqref="A1145">
    <cfRule type="duplicateValues" dxfId="5764" priority="7375" stopIfTrue="1"/>
  </conditionalFormatting>
  <conditionalFormatting sqref="A1145">
    <cfRule type="duplicateValues" dxfId="5763" priority="7374" stopIfTrue="1"/>
  </conditionalFormatting>
  <conditionalFormatting sqref="A1145">
    <cfRule type="duplicateValues" dxfId="5762" priority="7373" stopIfTrue="1"/>
  </conditionalFormatting>
  <conditionalFormatting sqref="A1145">
    <cfRule type="duplicateValues" dxfId="5761" priority="7372" stopIfTrue="1"/>
  </conditionalFormatting>
  <conditionalFormatting sqref="A1145">
    <cfRule type="duplicateValues" dxfId="5760" priority="7371" stopIfTrue="1"/>
  </conditionalFormatting>
  <conditionalFormatting sqref="A1145">
    <cfRule type="duplicateValues" dxfId="5759" priority="7370" stopIfTrue="1"/>
  </conditionalFormatting>
  <conditionalFormatting sqref="A1145">
    <cfRule type="duplicateValues" dxfId="5758" priority="7369" stopIfTrue="1"/>
  </conditionalFormatting>
  <conditionalFormatting sqref="A1145">
    <cfRule type="duplicateValues" dxfId="5757" priority="7368" stopIfTrue="1"/>
  </conditionalFormatting>
  <conditionalFormatting sqref="A1145">
    <cfRule type="duplicateValues" dxfId="5756" priority="7367" stopIfTrue="1"/>
  </conditionalFormatting>
  <conditionalFormatting sqref="A1145">
    <cfRule type="duplicateValues" dxfId="5755" priority="7382" stopIfTrue="1"/>
  </conditionalFormatting>
  <conditionalFormatting sqref="A1145">
    <cfRule type="duplicateValues" dxfId="5754" priority="7366" stopIfTrue="1"/>
  </conditionalFormatting>
  <conditionalFormatting sqref="C1145">
    <cfRule type="duplicateValues" dxfId="5753" priority="7365" stopIfTrue="1"/>
  </conditionalFormatting>
  <conditionalFormatting sqref="A1145">
    <cfRule type="duplicateValues" dxfId="5752" priority="7364" stopIfTrue="1"/>
  </conditionalFormatting>
  <conditionalFormatting sqref="A1145">
    <cfRule type="duplicateValues" dxfId="5751" priority="7363" stopIfTrue="1"/>
  </conditionalFormatting>
  <conditionalFormatting sqref="A1145">
    <cfRule type="duplicateValues" dxfId="5750" priority="7362" stopIfTrue="1"/>
  </conditionalFormatting>
  <conditionalFormatting sqref="A1145">
    <cfRule type="duplicateValues" dxfId="5749" priority="7361" stopIfTrue="1"/>
  </conditionalFormatting>
  <conditionalFormatting sqref="A1145">
    <cfRule type="duplicateValues" dxfId="5748" priority="7360" stopIfTrue="1"/>
  </conditionalFormatting>
  <conditionalFormatting sqref="A1145">
    <cfRule type="duplicateValues" dxfId="5747" priority="7359" stopIfTrue="1"/>
  </conditionalFormatting>
  <conditionalFormatting sqref="A1145">
    <cfRule type="duplicateValues" dxfId="5746" priority="7358" stopIfTrue="1"/>
  </conditionalFormatting>
  <conditionalFormatting sqref="A1145">
    <cfRule type="duplicateValues" dxfId="5745" priority="7357" stopIfTrue="1"/>
  </conditionalFormatting>
  <conditionalFormatting sqref="A1145 A1147">
    <cfRule type="duplicateValues" dxfId="5744" priority="7355" stopIfTrue="1"/>
    <cfRule type="duplicateValues" dxfId="5743" priority="7356" stopIfTrue="1"/>
  </conditionalFormatting>
  <conditionalFormatting sqref="A1145">
    <cfRule type="duplicateValues" dxfId="5742" priority="7354" stopIfTrue="1"/>
  </conditionalFormatting>
  <conditionalFormatting sqref="A1145">
    <cfRule type="duplicateValues" dxfId="5741" priority="7353" stopIfTrue="1"/>
  </conditionalFormatting>
  <conditionalFormatting sqref="A1145">
    <cfRule type="duplicateValues" dxfId="5740" priority="7352" stopIfTrue="1"/>
  </conditionalFormatting>
  <conditionalFormatting sqref="A1145">
    <cfRule type="duplicateValues" dxfId="5739" priority="7351" stopIfTrue="1"/>
  </conditionalFormatting>
  <conditionalFormatting sqref="A1145">
    <cfRule type="duplicateValues" dxfId="5738" priority="7350" stopIfTrue="1"/>
  </conditionalFormatting>
  <conditionalFormatting sqref="A1145 A1147">
    <cfRule type="duplicateValues" dxfId="5737" priority="7349"/>
  </conditionalFormatting>
  <conditionalFormatting sqref="A1145">
    <cfRule type="duplicateValues" dxfId="5736" priority="7348"/>
  </conditionalFormatting>
  <conditionalFormatting sqref="A1145">
    <cfRule type="duplicateValues" dxfId="5735" priority="7347"/>
  </conditionalFormatting>
  <conditionalFormatting sqref="A1145">
    <cfRule type="duplicateValues" dxfId="5734" priority="7346"/>
  </conditionalFormatting>
  <conditionalFormatting sqref="A1145">
    <cfRule type="duplicateValues" dxfId="5733" priority="7345"/>
  </conditionalFormatting>
  <conditionalFormatting sqref="A1145">
    <cfRule type="duplicateValues" dxfId="5732" priority="7344"/>
  </conditionalFormatting>
  <conditionalFormatting sqref="A1145">
    <cfRule type="duplicateValues" dxfId="5731" priority="7343"/>
  </conditionalFormatting>
  <conditionalFormatting sqref="A1145">
    <cfRule type="duplicateValues" dxfId="5730" priority="7342"/>
  </conditionalFormatting>
  <conditionalFormatting sqref="A1145">
    <cfRule type="duplicateValues" dxfId="5729" priority="7341"/>
  </conditionalFormatting>
  <conditionalFormatting sqref="A1796:C1842">
    <cfRule type="duplicateValues" dxfId="5728" priority="7289" stopIfTrue="1"/>
  </conditionalFormatting>
  <conditionalFormatting sqref="A1796:C1842">
    <cfRule type="duplicateValues" dxfId="5727" priority="7290" stopIfTrue="1"/>
  </conditionalFormatting>
  <conditionalFormatting sqref="A1796:C1842">
    <cfRule type="duplicateValues" dxfId="5726" priority="7291" stopIfTrue="1"/>
    <cfRule type="duplicateValues" dxfId="5725" priority="7292" stopIfTrue="1"/>
  </conditionalFormatting>
  <conditionalFormatting sqref="A1796:C1842">
    <cfRule type="duplicateValues" dxfId="5724" priority="7293"/>
  </conditionalFormatting>
  <conditionalFormatting sqref="A1583">
    <cfRule type="duplicateValues" dxfId="5723" priority="7282" stopIfTrue="1"/>
  </conditionalFormatting>
  <conditionalFormatting sqref="A1583">
    <cfRule type="duplicateValues" dxfId="5722" priority="7281" stopIfTrue="1"/>
  </conditionalFormatting>
  <conditionalFormatting sqref="A1583">
    <cfRule type="duplicateValues" dxfId="5721" priority="7280" stopIfTrue="1"/>
  </conditionalFormatting>
  <conditionalFormatting sqref="A1583">
    <cfRule type="duplicateValues" dxfId="5720" priority="7279" stopIfTrue="1"/>
  </conditionalFormatting>
  <conditionalFormatting sqref="A1583">
    <cfRule type="duplicateValues" dxfId="5719" priority="7278" stopIfTrue="1"/>
  </conditionalFormatting>
  <conditionalFormatting sqref="A1583">
    <cfRule type="duplicateValues" dxfId="5718" priority="7277" stopIfTrue="1"/>
  </conditionalFormatting>
  <conditionalFormatting sqref="A1583">
    <cfRule type="duplicateValues" dxfId="5717" priority="7276" stopIfTrue="1"/>
  </conditionalFormatting>
  <conditionalFormatting sqref="A1583">
    <cfRule type="duplicateValues" dxfId="5716" priority="7275" stopIfTrue="1"/>
  </conditionalFormatting>
  <conditionalFormatting sqref="A1583">
    <cfRule type="duplicateValues" dxfId="5715" priority="7274" stopIfTrue="1"/>
  </conditionalFormatting>
  <conditionalFormatting sqref="A1583">
    <cfRule type="duplicateValues" dxfId="5714" priority="7273" stopIfTrue="1"/>
  </conditionalFormatting>
  <conditionalFormatting sqref="A1583">
    <cfRule type="duplicateValues" dxfId="5713" priority="7272" stopIfTrue="1"/>
  </conditionalFormatting>
  <conditionalFormatting sqref="A1583">
    <cfRule type="duplicateValues" dxfId="5712" priority="7271" stopIfTrue="1"/>
  </conditionalFormatting>
  <conditionalFormatting sqref="A1583">
    <cfRule type="duplicateValues" dxfId="5711" priority="7270" stopIfTrue="1"/>
  </conditionalFormatting>
  <conditionalFormatting sqref="A1583">
    <cfRule type="duplicateValues" dxfId="5710" priority="7269" stopIfTrue="1"/>
  </conditionalFormatting>
  <conditionalFormatting sqref="A1583">
    <cfRule type="duplicateValues" dxfId="5709" priority="7283" stopIfTrue="1"/>
  </conditionalFormatting>
  <conditionalFormatting sqref="A1583">
    <cfRule type="duplicateValues" dxfId="5708" priority="7268" stopIfTrue="1"/>
  </conditionalFormatting>
  <conditionalFormatting sqref="C1583">
    <cfRule type="duplicateValues" dxfId="5707" priority="7267" stopIfTrue="1"/>
  </conditionalFormatting>
  <conditionalFormatting sqref="A1583">
    <cfRule type="duplicateValues" dxfId="5706" priority="7266" stopIfTrue="1"/>
  </conditionalFormatting>
  <conditionalFormatting sqref="A1583">
    <cfRule type="duplicateValues" dxfId="5705" priority="7265" stopIfTrue="1"/>
  </conditionalFormatting>
  <conditionalFormatting sqref="A1583">
    <cfRule type="duplicateValues" dxfId="5704" priority="7264" stopIfTrue="1"/>
  </conditionalFormatting>
  <conditionalFormatting sqref="A1583">
    <cfRule type="duplicateValues" dxfId="5703" priority="7263" stopIfTrue="1"/>
  </conditionalFormatting>
  <conditionalFormatting sqref="A1583">
    <cfRule type="duplicateValues" dxfId="5702" priority="7262" stopIfTrue="1"/>
  </conditionalFormatting>
  <conditionalFormatting sqref="A1583">
    <cfRule type="duplicateValues" dxfId="5701" priority="7261" stopIfTrue="1"/>
  </conditionalFormatting>
  <conditionalFormatting sqref="A1583">
    <cfRule type="duplicateValues" dxfId="5700" priority="7260" stopIfTrue="1"/>
  </conditionalFormatting>
  <conditionalFormatting sqref="A1583">
    <cfRule type="duplicateValues" dxfId="5699" priority="7259" stopIfTrue="1"/>
  </conditionalFormatting>
  <conditionalFormatting sqref="A1583">
    <cfRule type="duplicateValues" dxfId="5698" priority="7257" stopIfTrue="1"/>
    <cfRule type="duplicateValues" dxfId="5697" priority="7258" stopIfTrue="1"/>
  </conditionalFormatting>
  <conditionalFormatting sqref="A1583">
    <cfRule type="duplicateValues" dxfId="5696" priority="7256" stopIfTrue="1"/>
  </conditionalFormatting>
  <conditionalFormatting sqref="A1583">
    <cfRule type="duplicateValues" dxfId="5695" priority="7255" stopIfTrue="1"/>
  </conditionalFormatting>
  <conditionalFormatting sqref="A1583">
    <cfRule type="duplicateValues" dxfId="5694" priority="7254" stopIfTrue="1"/>
  </conditionalFormatting>
  <conditionalFormatting sqref="A1583">
    <cfRule type="duplicateValues" dxfId="5693" priority="7253" stopIfTrue="1"/>
  </conditionalFormatting>
  <conditionalFormatting sqref="A1583">
    <cfRule type="duplicateValues" dxfId="5692" priority="7252" stopIfTrue="1"/>
  </conditionalFormatting>
  <conditionalFormatting sqref="A1583">
    <cfRule type="duplicateValues" dxfId="5691" priority="7251"/>
  </conditionalFormatting>
  <conditionalFormatting sqref="A1583">
    <cfRule type="duplicateValues" dxfId="5690" priority="7250"/>
  </conditionalFormatting>
  <conditionalFormatting sqref="A1583">
    <cfRule type="duplicateValues" dxfId="5689" priority="7249"/>
  </conditionalFormatting>
  <conditionalFormatting sqref="A1583">
    <cfRule type="duplicateValues" dxfId="5688" priority="7248"/>
  </conditionalFormatting>
  <conditionalFormatting sqref="A1583">
    <cfRule type="duplicateValues" dxfId="5687" priority="7247"/>
  </conditionalFormatting>
  <conditionalFormatting sqref="A1583">
    <cfRule type="duplicateValues" dxfId="5686" priority="7246"/>
  </conditionalFormatting>
  <conditionalFormatting sqref="A1583">
    <cfRule type="duplicateValues" dxfId="5685" priority="7245"/>
  </conditionalFormatting>
  <conditionalFormatting sqref="A1583">
    <cfRule type="duplicateValues" dxfId="5684" priority="7244"/>
  </conditionalFormatting>
  <conditionalFormatting sqref="A1583">
    <cfRule type="duplicateValues" dxfId="5683" priority="7243"/>
  </conditionalFormatting>
  <conditionalFormatting sqref="A1885">
    <cfRule type="duplicateValues" dxfId="5682" priority="7159" stopIfTrue="1"/>
  </conditionalFormatting>
  <conditionalFormatting sqref="A1885">
    <cfRule type="duplicateValues" dxfId="5681" priority="7157" stopIfTrue="1"/>
  </conditionalFormatting>
  <conditionalFormatting sqref="A1885">
    <cfRule type="duplicateValues" dxfId="5680" priority="7156" stopIfTrue="1"/>
  </conditionalFormatting>
  <conditionalFormatting sqref="A1885">
    <cfRule type="duplicateValues" dxfId="5679" priority="7155" stopIfTrue="1"/>
  </conditionalFormatting>
  <conditionalFormatting sqref="A1885">
    <cfRule type="duplicateValues" dxfId="5678" priority="7154" stopIfTrue="1"/>
  </conditionalFormatting>
  <conditionalFormatting sqref="A1885">
    <cfRule type="duplicateValues" dxfId="5677" priority="7153" stopIfTrue="1"/>
  </conditionalFormatting>
  <conditionalFormatting sqref="A1885">
    <cfRule type="duplicateValues" dxfId="5676" priority="7152" stopIfTrue="1"/>
  </conditionalFormatting>
  <conditionalFormatting sqref="A1885">
    <cfRule type="duplicateValues" dxfId="5675" priority="7151" stopIfTrue="1"/>
  </conditionalFormatting>
  <conditionalFormatting sqref="A1885">
    <cfRule type="duplicateValues" dxfId="5674" priority="7150" stopIfTrue="1"/>
  </conditionalFormatting>
  <conditionalFormatting sqref="A1885">
    <cfRule type="duplicateValues" dxfId="5673" priority="7149" stopIfTrue="1"/>
  </conditionalFormatting>
  <conditionalFormatting sqref="A1885">
    <cfRule type="duplicateValues" dxfId="5672" priority="7148" stopIfTrue="1"/>
  </conditionalFormatting>
  <conditionalFormatting sqref="A1885">
    <cfRule type="duplicateValues" dxfId="5671" priority="7147" stopIfTrue="1"/>
  </conditionalFormatting>
  <conditionalFormatting sqref="A1885">
    <cfRule type="duplicateValues" dxfId="5670" priority="7146" stopIfTrue="1"/>
  </conditionalFormatting>
  <conditionalFormatting sqref="A1885">
    <cfRule type="duplicateValues" dxfId="5669" priority="7145" stopIfTrue="1"/>
  </conditionalFormatting>
  <conditionalFormatting sqref="C1885">
    <cfRule type="duplicateValues" dxfId="5668" priority="7184" stopIfTrue="1"/>
  </conditionalFormatting>
  <conditionalFormatting sqref="A1885">
    <cfRule type="duplicateValues" dxfId="5667" priority="7143" stopIfTrue="1"/>
  </conditionalFormatting>
  <conditionalFormatting sqref="A1885">
    <cfRule type="duplicateValues" dxfId="5666" priority="7142" stopIfTrue="1"/>
  </conditionalFormatting>
  <conditionalFormatting sqref="A1885">
    <cfRule type="duplicateValues" dxfId="5665" priority="7141" stopIfTrue="1"/>
  </conditionalFormatting>
  <conditionalFormatting sqref="A1885">
    <cfRule type="duplicateValues" dxfId="5664" priority="7140" stopIfTrue="1"/>
  </conditionalFormatting>
  <conditionalFormatting sqref="A1885">
    <cfRule type="duplicateValues" dxfId="5663" priority="7139" stopIfTrue="1"/>
  </conditionalFormatting>
  <conditionalFormatting sqref="A1885">
    <cfRule type="duplicateValues" dxfId="5662" priority="7138" stopIfTrue="1"/>
  </conditionalFormatting>
  <conditionalFormatting sqref="A1885">
    <cfRule type="duplicateValues" dxfId="5661" priority="7137" stopIfTrue="1"/>
  </conditionalFormatting>
  <conditionalFormatting sqref="A1885">
    <cfRule type="duplicateValues" dxfId="5660" priority="7136" stopIfTrue="1"/>
  </conditionalFormatting>
  <conditionalFormatting sqref="A1885">
    <cfRule type="duplicateValues" dxfId="5659" priority="7134" stopIfTrue="1"/>
    <cfRule type="duplicateValues" dxfId="5658" priority="7135" stopIfTrue="1"/>
  </conditionalFormatting>
  <conditionalFormatting sqref="A1885">
    <cfRule type="duplicateValues" dxfId="5657" priority="7133" stopIfTrue="1"/>
  </conditionalFormatting>
  <conditionalFormatting sqref="A1885">
    <cfRule type="duplicateValues" dxfId="5656" priority="7132" stopIfTrue="1"/>
  </conditionalFormatting>
  <conditionalFormatting sqref="A1885">
    <cfRule type="duplicateValues" dxfId="5655" priority="7131" stopIfTrue="1"/>
  </conditionalFormatting>
  <conditionalFormatting sqref="A1885">
    <cfRule type="duplicateValues" dxfId="5654" priority="7130" stopIfTrue="1"/>
  </conditionalFormatting>
  <conditionalFormatting sqref="A1885">
    <cfRule type="duplicateValues" dxfId="5653" priority="7129" stopIfTrue="1"/>
  </conditionalFormatting>
  <conditionalFormatting sqref="A1885">
    <cfRule type="duplicateValues" dxfId="5652" priority="7128"/>
  </conditionalFormatting>
  <conditionalFormatting sqref="A1885">
    <cfRule type="duplicateValues" dxfId="5651" priority="7127"/>
  </conditionalFormatting>
  <conditionalFormatting sqref="A1885">
    <cfRule type="duplicateValues" dxfId="5650" priority="7126"/>
  </conditionalFormatting>
  <conditionalFormatting sqref="A1885">
    <cfRule type="duplicateValues" dxfId="5649" priority="7125"/>
  </conditionalFormatting>
  <conditionalFormatting sqref="A1885">
    <cfRule type="duplicateValues" dxfId="5648" priority="7124"/>
  </conditionalFormatting>
  <conditionalFormatting sqref="A1885">
    <cfRule type="duplicateValues" dxfId="5647" priority="7123"/>
  </conditionalFormatting>
  <conditionalFormatting sqref="A1885">
    <cfRule type="duplicateValues" dxfId="5646" priority="7122"/>
  </conditionalFormatting>
  <conditionalFormatting sqref="A1885">
    <cfRule type="duplicateValues" dxfId="5645" priority="7121"/>
  </conditionalFormatting>
  <conditionalFormatting sqref="A1885">
    <cfRule type="duplicateValues" dxfId="5644" priority="7120"/>
  </conditionalFormatting>
  <conditionalFormatting sqref="A1885">
    <cfRule type="duplicateValues" dxfId="5643" priority="7158" stopIfTrue="1"/>
  </conditionalFormatting>
  <conditionalFormatting sqref="A1885">
    <cfRule type="duplicateValues" dxfId="5642" priority="7144" stopIfTrue="1"/>
  </conditionalFormatting>
  <conditionalFormatting sqref="A1886">
    <cfRule type="duplicateValues" dxfId="5641" priority="7118" stopIfTrue="1"/>
  </conditionalFormatting>
  <conditionalFormatting sqref="A1886">
    <cfRule type="duplicateValues" dxfId="5640" priority="7117" stopIfTrue="1"/>
  </conditionalFormatting>
  <conditionalFormatting sqref="A1886">
    <cfRule type="duplicateValues" dxfId="5639" priority="7116" stopIfTrue="1"/>
  </conditionalFormatting>
  <conditionalFormatting sqref="A1886">
    <cfRule type="duplicateValues" dxfId="5638" priority="7115" stopIfTrue="1"/>
  </conditionalFormatting>
  <conditionalFormatting sqref="A1886">
    <cfRule type="duplicateValues" dxfId="5637" priority="7114" stopIfTrue="1"/>
  </conditionalFormatting>
  <conditionalFormatting sqref="A1886">
    <cfRule type="duplicateValues" dxfId="5636" priority="7113" stopIfTrue="1"/>
  </conditionalFormatting>
  <conditionalFormatting sqref="A1886">
    <cfRule type="duplicateValues" dxfId="5635" priority="7112" stopIfTrue="1"/>
  </conditionalFormatting>
  <conditionalFormatting sqref="A1886">
    <cfRule type="duplicateValues" dxfId="5634" priority="7111" stopIfTrue="1"/>
  </conditionalFormatting>
  <conditionalFormatting sqref="A1886">
    <cfRule type="duplicateValues" dxfId="5633" priority="7110" stopIfTrue="1"/>
  </conditionalFormatting>
  <conditionalFormatting sqref="A1886">
    <cfRule type="duplicateValues" dxfId="5632" priority="7109" stopIfTrue="1"/>
  </conditionalFormatting>
  <conditionalFormatting sqref="A1886">
    <cfRule type="duplicateValues" dxfId="5631" priority="7108" stopIfTrue="1"/>
  </conditionalFormatting>
  <conditionalFormatting sqref="A1886">
    <cfRule type="duplicateValues" dxfId="5630" priority="7107" stopIfTrue="1"/>
  </conditionalFormatting>
  <conditionalFormatting sqref="A1886">
    <cfRule type="duplicateValues" dxfId="5629" priority="7106" stopIfTrue="1"/>
  </conditionalFormatting>
  <conditionalFormatting sqref="A1886">
    <cfRule type="duplicateValues" dxfId="5628" priority="7105" stopIfTrue="1"/>
  </conditionalFormatting>
  <conditionalFormatting sqref="A1886">
    <cfRule type="duplicateValues" dxfId="5627" priority="7119" stopIfTrue="1"/>
  </conditionalFormatting>
  <conditionalFormatting sqref="A1886">
    <cfRule type="duplicateValues" dxfId="5626" priority="7104" stopIfTrue="1"/>
  </conditionalFormatting>
  <conditionalFormatting sqref="C1886">
    <cfRule type="duplicateValues" dxfId="5625" priority="7103" stopIfTrue="1"/>
  </conditionalFormatting>
  <conditionalFormatting sqref="A1886">
    <cfRule type="duplicateValues" dxfId="5624" priority="7102" stopIfTrue="1"/>
  </conditionalFormatting>
  <conditionalFormatting sqref="A1886">
    <cfRule type="duplicateValues" dxfId="5623" priority="7101" stopIfTrue="1"/>
  </conditionalFormatting>
  <conditionalFormatting sqref="A1886">
    <cfRule type="duplicateValues" dxfId="5622" priority="7100" stopIfTrue="1"/>
  </conditionalFormatting>
  <conditionalFormatting sqref="A1886">
    <cfRule type="duplicateValues" dxfId="5621" priority="7099" stopIfTrue="1"/>
  </conditionalFormatting>
  <conditionalFormatting sqref="A1886">
    <cfRule type="duplicateValues" dxfId="5620" priority="7098" stopIfTrue="1"/>
  </conditionalFormatting>
  <conditionalFormatting sqref="A1886">
    <cfRule type="duplicateValues" dxfId="5619" priority="7097" stopIfTrue="1"/>
  </conditionalFormatting>
  <conditionalFormatting sqref="A1886">
    <cfRule type="duplicateValues" dxfId="5618" priority="7096" stopIfTrue="1"/>
  </conditionalFormatting>
  <conditionalFormatting sqref="A1886">
    <cfRule type="duplicateValues" dxfId="5617" priority="7095" stopIfTrue="1"/>
  </conditionalFormatting>
  <conditionalFormatting sqref="A1886">
    <cfRule type="duplicateValues" dxfId="5616" priority="7093" stopIfTrue="1"/>
    <cfRule type="duplicateValues" dxfId="5615" priority="7094" stopIfTrue="1"/>
  </conditionalFormatting>
  <conditionalFormatting sqref="A1886">
    <cfRule type="duplicateValues" dxfId="5614" priority="7092" stopIfTrue="1"/>
  </conditionalFormatting>
  <conditionalFormatting sqref="A1886">
    <cfRule type="duplicateValues" dxfId="5613" priority="7091" stopIfTrue="1"/>
  </conditionalFormatting>
  <conditionalFormatting sqref="A1886">
    <cfRule type="duplicateValues" dxfId="5612" priority="7090" stopIfTrue="1"/>
  </conditionalFormatting>
  <conditionalFormatting sqref="A1886">
    <cfRule type="duplicateValues" dxfId="5611" priority="7089" stopIfTrue="1"/>
  </conditionalFormatting>
  <conditionalFormatting sqref="A1886">
    <cfRule type="duplicateValues" dxfId="5610" priority="7088" stopIfTrue="1"/>
  </conditionalFormatting>
  <conditionalFormatting sqref="A1886">
    <cfRule type="duplicateValues" dxfId="5609" priority="7087"/>
  </conditionalFormatting>
  <conditionalFormatting sqref="A1886">
    <cfRule type="duplicateValues" dxfId="5608" priority="7086"/>
  </conditionalFormatting>
  <conditionalFormatting sqref="A1886">
    <cfRule type="duplicateValues" dxfId="5607" priority="7085"/>
  </conditionalFormatting>
  <conditionalFormatting sqref="A1886">
    <cfRule type="duplicateValues" dxfId="5606" priority="7084"/>
  </conditionalFormatting>
  <conditionalFormatting sqref="A1886">
    <cfRule type="duplicateValues" dxfId="5605" priority="7083"/>
  </conditionalFormatting>
  <conditionalFormatting sqref="A1886">
    <cfRule type="duplicateValues" dxfId="5604" priority="7082"/>
  </conditionalFormatting>
  <conditionalFormatting sqref="A1886">
    <cfRule type="duplicateValues" dxfId="5603" priority="7081"/>
  </conditionalFormatting>
  <conditionalFormatting sqref="A1886">
    <cfRule type="duplicateValues" dxfId="5602" priority="7080"/>
  </conditionalFormatting>
  <conditionalFormatting sqref="A1886">
    <cfRule type="duplicateValues" dxfId="5601" priority="7079"/>
  </conditionalFormatting>
  <conditionalFormatting sqref="A1875:A1884">
    <cfRule type="duplicateValues" dxfId="5600" priority="37664" stopIfTrue="1"/>
  </conditionalFormatting>
  <conditionalFormatting sqref="A1875:A1884">
    <cfRule type="duplicateValues" dxfId="5599" priority="37666" stopIfTrue="1"/>
  </conditionalFormatting>
  <conditionalFormatting sqref="C1875:C1883">
    <cfRule type="duplicateValues" dxfId="5598" priority="37668" stopIfTrue="1"/>
  </conditionalFormatting>
  <conditionalFormatting sqref="A1875:A1884">
    <cfRule type="duplicateValues" dxfId="5597" priority="37670" stopIfTrue="1"/>
    <cfRule type="duplicateValues" dxfId="5596" priority="37671" stopIfTrue="1"/>
  </conditionalFormatting>
  <conditionalFormatting sqref="A1875:A1884">
    <cfRule type="duplicateValues" dxfId="5595" priority="37674"/>
  </conditionalFormatting>
  <conditionalFormatting sqref="C1884">
    <cfRule type="duplicateValues" dxfId="5594" priority="7072" stopIfTrue="1"/>
  </conditionalFormatting>
  <conditionalFormatting sqref="A1157">
    <cfRule type="duplicateValues" dxfId="5593" priority="7031" stopIfTrue="1"/>
  </conditionalFormatting>
  <conditionalFormatting sqref="A1157">
    <cfRule type="duplicateValues" dxfId="5592" priority="7030" stopIfTrue="1"/>
  </conditionalFormatting>
  <conditionalFormatting sqref="A1157">
    <cfRule type="duplicateValues" dxfId="5591" priority="7029" stopIfTrue="1"/>
  </conditionalFormatting>
  <conditionalFormatting sqref="A1157">
    <cfRule type="duplicateValues" dxfId="5590" priority="7028" stopIfTrue="1"/>
  </conditionalFormatting>
  <conditionalFormatting sqref="A1157">
    <cfRule type="duplicateValues" dxfId="5589" priority="7027" stopIfTrue="1"/>
  </conditionalFormatting>
  <conditionalFormatting sqref="A1157">
    <cfRule type="duplicateValues" dxfId="5588" priority="7026" stopIfTrue="1"/>
  </conditionalFormatting>
  <conditionalFormatting sqref="A1157">
    <cfRule type="duplicateValues" dxfId="5587" priority="7025" stopIfTrue="1"/>
  </conditionalFormatting>
  <conditionalFormatting sqref="A1157">
    <cfRule type="duplicateValues" dxfId="5586" priority="7024" stopIfTrue="1"/>
  </conditionalFormatting>
  <conditionalFormatting sqref="A1157">
    <cfRule type="duplicateValues" dxfId="5585" priority="7023" stopIfTrue="1"/>
  </conditionalFormatting>
  <conditionalFormatting sqref="A1157">
    <cfRule type="duplicateValues" dxfId="5584" priority="7022" stopIfTrue="1"/>
  </conditionalFormatting>
  <conditionalFormatting sqref="A1157">
    <cfRule type="duplicateValues" dxfId="5583" priority="7021" stopIfTrue="1"/>
  </conditionalFormatting>
  <conditionalFormatting sqref="A1157">
    <cfRule type="duplicateValues" dxfId="5582" priority="7020" stopIfTrue="1"/>
  </conditionalFormatting>
  <conditionalFormatting sqref="A1157">
    <cfRule type="duplicateValues" dxfId="5581" priority="7019" stopIfTrue="1"/>
  </conditionalFormatting>
  <conditionalFormatting sqref="A1157">
    <cfRule type="duplicateValues" dxfId="5580" priority="7018" stopIfTrue="1"/>
  </conditionalFormatting>
  <conditionalFormatting sqref="A1157">
    <cfRule type="duplicateValues" dxfId="5579" priority="7032" stopIfTrue="1"/>
  </conditionalFormatting>
  <conditionalFormatting sqref="A1157">
    <cfRule type="duplicateValues" dxfId="5578" priority="7017" stopIfTrue="1"/>
  </conditionalFormatting>
  <conditionalFormatting sqref="A1157">
    <cfRule type="duplicateValues" dxfId="5577" priority="7016" stopIfTrue="1"/>
  </conditionalFormatting>
  <conditionalFormatting sqref="A1157">
    <cfRule type="duplicateValues" dxfId="5576" priority="7015" stopIfTrue="1"/>
  </conditionalFormatting>
  <conditionalFormatting sqref="A1157">
    <cfRule type="duplicateValues" dxfId="5575" priority="7014" stopIfTrue="1"/>
  </conditionalFormatting>
  <conditionalFormatting sqref="A1157">
    <cfRule type="duplicateValues" dxfId="5574" priority="7013" stopIfTrue="1"/>
  </conditionalFormatting>
  <conditionalFormatting sqref="A1157">
    <cfRule type="duplicateValues" dxfId="5573" priority="7012" stopIfTrue="1"/>
  </conditionalFormatting>
  <conditionalFormatting sqref="A1157">
    <cfRule type="duplicateValues" dxfId="5572" priority="7011" stopIfTrue="1"/>
  </conditionalFormatting>
  <conditionalFormatting sqref="A1157">
    <cfRule type="duplicateValues" dxfId="5571" priority="7010" stopIfTrue="1"/>
  </conditionalFormatting>
  <conditionalFormatting sqref="A1157">
    <cfRule type="duplicateValues" dxfId="5570" priority="7009" stopIfTrue="1"/>
  </conditionalFormatting>
  <conditionalFormatting sqref="C1157">
    <cfRule type="duplicateValues" dxfId="5569" priority="7008" stopIfTrue="1"/>
  </conditionalFormatting>
  <conditionalFormatting sqref="A1157">
    <cfRule type="duplicateValues" dxfId="5568" priority="7007" stopIfTrue="1"/>
  </conditionalFormatting>
  <conditionalFormatting sqref="A1157">
    <cfRule type="duplicateValues" dxfId="5567" priority="7006" stopIfTrue="1"/>
  </conditionalFormatting>
  <conditionalFormatting sqref="A1157">
    <cfRule type="duplicateValues" dxfId="5566" priority="7005" stopIfTrue="1"/>
  </conditionalFormatting>
  <conditionalFormatting sqref="A1157">
    <cfRule type="duplicateValues" dxfId="5565" priority="7004" stopIfTrue="1"/>
  </conditionalFormatting>
  <conditionalFormatting sqref="A1157">
    <cfRule type="duplicateValues" dxfId="5564" priority="7003" stopIfTrue="1"/>
  </conditionalFormatting>
  <conditionalFormatting sqref="A1157">
    <cfRule type="duplicateValues" dxfId="5563" priority="7002"/>
  </conditionalFormatting>
  <conditionalFormatting sqref="A1157">
    <cfRule type="duplicateValues" dxfId="5562" priority="7001"/>
  </conditionalFormatting>
  <conditionalFormatting sqref="A1157">
    <cfRule type="duplicateValues" dxfId="5561" priority="7000"/>
  </conditionalFormatting>
  <conditionalFormatting sqref="A1157">
    <cfRule type="duplicateValues" dxfId="5560" priority="6999"/>
  </conditionalFormatting>
  <conditionalFormatting sqref="A1157">
    <cfRule type="duplicateValues" dxfId="5559" priority="6998"/>
  </conditionalFormatting>
  <conditionalFormatting sqref="A1157">
    <cfRule type="duplicateValues" dxfId="5558" priority="6997"/>
  </conditionalFormatting>
  <conditionalFormatting sqref="A1157">
    <cfRule type="duplicateValues" dxfId="5557" priority="6996"/>
  </conditionalFormatting>
  <conditionalFormatting sqref="A1157">
    <cfRule type="duplicateValues" dxfId="5556" priority="6995"/>
  </conditionalFormatting>
  <conditionalFormatting sqref="A1157">
    <cfRule type="duplicateValues" dxfId="5555" priority="6994"/>
  </conditionalFormatting>
  <conditionalFormatting sqref="A1156">
    <cfRule type="duplicateValues" dxfId="5554" priority="6992" stopIfTrue="1"/>
  </conditionalFormatting>
  <conditionalFormatting sqref="A1156">
    <cfRule type="duplicateValues" dxfId="5553" priority="6991" stopIfTrue="1"/>
  </conditionalFormatting>
  <conditionalFormatting sqref="A1156">
    <cfRule type="duplicateValues" dxfId="5552" priority="6990" stopIfTrue="1"/>
  </conditionalFormatting>
  <conditionalFormatting sqref="A1156">
    <cfRule type="duplicateValues" dxfId="5551" priority="6989" stopIfTrue="1"/>
  </conditionalFormatting>
  <conditionalFormatting sqref="A1156">
    <cfRule type="duplicateValues" dxfId="5550" priority="6988" stopIfTrue="1"/>
  </conditionalFormatting>
  <conditionalFormatting sqref="A1156">
    <cfRule type="duplicateValues" dxfId="5549" priority="6987" stopIfTrue="1"/>
  </conditionalFormatting>
  <conditionalFormatting sqref="A1156">
    <cfRule type="duplicateValues" dxfId="5548" priority="6986" stopIfTrue="1"/>
  </conditionalFormatting>
  <conditionalFormatting sqref="A1156">
    <cfRule type="duplicateValues" dxfId="5547" priority="6985" stopIfTrue="1"/>
  </conditionalFormatting>
  <conditionalFormatting sqref="A1156">
    <cfRule type="duplicateValues" dxfId="5546" priority="6984" stopIfTrue="1"/>
  </conditionalFormatting>
  <conditionalFormatting sqref="A1156">
    <cfRule type="duplicateValues" dxfId="5545" priority="6983" stopIfTrue="1"/>
  </conditionalFormatting>
  <conditionalFormatting sqref="A1156">
    <cfRule type="duplicateValues" dxfId="5544" priority="6982" stopIfTrue="1"/>
  </conditionalFormatting>
  <conditionalFormatting sqref="A1156">
    <cfRule type="duplicateValues" dxfId="5543" priority="6981" stopIfTrue="1"/>
  </conditionalFormatting>
  <conditionalFormatting sqref="A1156">
    <cfRule type="duplicateValues" dxfId="5542" priority="6980" stopIfTrue="1"/>
  </conditionalFormatting>
  <conditionalFormatting sqref="A1156">
    <cfRule type="duplicateValues" dxfId="5541" priority="6979" stopIfTrue="1"/>
  </conditionalFormatting>
  <conditionalFormatting sqref="A1156">
    <cfRule type="duplicateValues" dxfId="5540" priority="6993" stopIfTrue="1"/>
  </conditionalFormatting>
  <conditionalFormatting sqref="A1156">
    <cfRule type="duplicateValues" dxfId="5539" priority="6978" stopIfTrue="1"/>
  </conditionalFormatting>
  <conditionalFormatting sqref="A1156">
    <cfRule type="duplicateValues" dxfId="5538" priority="6976" stopIfTrue="1"/>
  </conditionalFormatting>
  <conditionalFormatting sqref="A1156">
    <cfRule type="duplicateValues" dxfId="5537" priority="6975" stopIfTrue="1"/>
  </conditionalFormatting>
  <conditionalFormatting sqref="A1156">
    <cfRule type="duplicateValues" dxfId="5536" priority="6974" stopIfTrue="1"/>
  </conditionalFormatting>
  <conditionalFormatting sqref="A1156">
    <cfRule type="duplicateValues" dxfId="5535" priority="6973" stopIfTrue="1"/>
  </conditionalFormatting>
  <conditionalFormatting sqref="A1156">
    <cfRule type="duplicateValues" dxfId="5534" priority="6972" stopIfTrue="1"/>
  </conditionalFormatting>
  <conditionalFormatting sqref="A1156">
    <cfRule type="duplicateValues" dxfId="5533" priority="6971" stopIfTrue="1"/>
  </conditionalFormatting>
  <conditionalFormatting sqref="A1156">
    <cfRule type="duplicateValues" dxfId="5532" priority="6970" stopIfTrue="1"/>
  </conditionalFormatting>
  <conditionalFormatting sqref="A1156">
    <cfRule type="duplicateValues" dxfId="5531" priority="6969" stopIfTrue="1"/>
  </conditionalFormatting>
  <conditionalFormatting sqref="A1156">
    <cfRule type="duplicateValues" dxfId="5530" priority="6967" stopIfTrue="1"/>
    <cfRule type="duplicateValues" dxfId="5529" priority="6968" stopIfTrue="1"/>
  </conditionalFormatting>
  <conditionalFormatting sqref="A1156">
    <cfRule type="duplicateValues" dxfId="5528" priority="6966" stopIfTrue="1"/>
  </conditionalFormatting>
  <conditionalFormatting sqref="A1156">
    <cfRule type="duplicateValues" dxfId="5527" priority="6965" stopIfTrue="1"/>
  </conditionalFormatting>
  <conditionalFormatting sqref="A1156">
    <cfRule type="duplicateValues" dxfId="5526" priority="6964" stopIfTrue="1"/>
  </conditionalFormatting>
  <conditionalFormatting sqref="A1156">
    <cfRule type="duplicateValues" dxfId="5525" priority="6963" stopIfTrue="1"/>
  </conditionalFormatting>
  <conditionalFormatting sqref="A1156">
    <cfRule type="duplicateValues" dxfId="5524" priority="6962" stopIfTrue="1"/>
  </conditionalFormatting>
  <conditionalFormatting sqref="A1156">
    <cfRule type="duplicateValues" dxfId="5523" priority="6961"/>
  </conditionalFormatting>
  <conditionalFormatting sqref="A1156">
    <cfRule type="duplicateValues" dxfId="5522" priority="6960"/>
  </conditionalFormatting>
  <conditionalFormatting sqref="A1156">
    <cfRule type="duplicateValues" dxfId="5521" priority="6959"/>
  </conditionalFormatting>
  <conditionalFormatting sqref="A1156">
    <cfRule type="duplicateValues" dxfId="5520" priority="6958"/>
  </conditionalFormatting>
  <conditionalFormatting sqref="A1156">
    <cfRule type="duplicateValues" dxfId="5519" priority="6957"/>
  </conditionalFormatting>
  <conditionalFormatting sqref="A1156">
    <cfRule type="duplicateValues" dxfId="5518" priority="6956"/>
  </conditionalFormatting>
  <conditionalFormatting sqref="A1156">
    <cfRule type="duplicateValues" dxfId="5517" priority="6955"/>
  </conditionalFormatting>
  <conditionalFormatting sqref="A1156">
    <cfRule type="duplicateValues" dxfId="5516" priority="6954"/>
  </conditionalFormatting>
  <conditionalFormatting sqref="A1156">
    <cfRule type="duplicateValues" dxfId="5515" priority="6953"/>
  </conditionalFormatting>
  <conditionalFormatting sqref="C1156">
    <cfRule type="duplicateValues" dxfId="5514" priority="6952" stopIfTrue="1"/>
  </conditionalFormatting>
  <conditionalFormatting sqref="A1899:A1048576 A1590:A1783 A1 A1498:A1500 A1150:A1157 A1796:A1847 A362:A529 A1074:A1148 A531:A1070 A1875:A1886 A357 A1433:A1448 A1159:A1162 A1512:A1583 A1466:A1493 A1450:A1464 A1164:A1408 A1427">
    <cfRule type="duplicateValues" dxfId="5513" priority="6909"/>
    <cfRule type="duplicateValues" dxfId="5512" priority="6910"/>
  </conditionalFormatting>
  <conditionalFormatting sqref="C1147">
    <cfRule type="duplicateValues" dxfId="5511" priority="6891" stopIfTrue="1"/>
  </conditionalFormatting>
  <conditionalFormatting sqref="C1146">
    <cfRule type="duplicateValues" dxfId="5510" priority="6849" stopIfTrue="1"/>
  </conditionalFormatting>
  <conditionalFormatting sqref="C1148">
    <cfRule type="duplicateValues" dxfId="5509" priority="6807" stopIfTrue="1"/>
  </conditionalFormatting>
  <conditionalFormatting sqref="A1494">
    <cfRule type="duplicateValues" dxfId="5508" priority="6780" stopIfTrue="1"/>
  </conditionalFormatting>
  <conditionalFormatting sqref="A1494">
    <cfRule type="duplicateValues" dxfId="5507" priority="6779" stopIfTrue="1"/>
  </conditionalFormatting>
  <conditionalFormatting sqref="C1494">
    <cfRule type="duplicateValues" dxfId="5506" priority="6778" stopIfTrue="1"/>
  </conditionalFormatting>
  <conditionalFormatting sqref="A1494">
    <cfRule type="duplicateValues" dxfId="5505" priority="6777" stopIfTrue="1"/>
  </conditionalFormatting>
  <conditionalFormatting sqref="A1494">
    <cfRule type="duplicateValues" dxfId="5504" priority="6776" stopIfTrue="1"/>
  </conditionalFormatting>
  <conditionalFormatting sqref="A1494">
    <cfRule type="duplicateValues" dxfId="5503" priority="6775" stopIfTrue="1"/>
  </conditionalFormatting>
  <conditionalFormatting sqref="A1494">
    <cfRule type="duplicateValues" dxfId="5502" priority="6773" stopIfTrue="1"/>
    <cfRule type="duplicateValues" dxfId="5501" priority="6774" stopIfTrue="1"/>
  </conditionalFormatting>
  <conditionalFormatting sqref="A1494">
    <cfRule type="duplicateValues" dxfId="5500" priority="6772" stopIfTrue="1"/>
  </conditionalFormatting>
  <conditionalFormatting sqref="A1494">
    <cfRule type="duplicateValues" dxfId="5499" priority="6771" stopIfTrue="1"/>
  </conditionalFormatting>
  <conditionalFormatting sqref="A1494">
    <cfRule type="duplicateValues" dxfId="5498" priority="6770" stopIfTrue="1"/>
  </conditionalFormatting>
  <conditionalFormatting sqref="A1494">
    <cfRule type="duplicateValues" dxfId="5497" priority="6769" stopIfTrue="1"/>
  </conditionalFormatting>
  <conditionalFormatting sqref="A1494">
    <cfRule type="duplicateValues" dxfId="5496" priority="6768" stopIfTrue="1"/>
  </conditionalFormatting>
  <conditionalFormatting sqref="A1494">
    <cfRule type="duplicateValues" dxfId="5495" priority="6767"/>
  </conditionalFormatting>
  <conditionalFormatting sqref="A1494">
    <cfRule type="duplicateValues" dxfId="5494" priority="6766"/>
  </conditionalFormatting>
  <conditionalFormatting sqref="A1494">
    <cfRule type="duplicateValues" dxfId="5493" priority="6765"/>
  </conditionalFormatting>
  <conditionalFormatting sqref="A1494">
    <cfRule type="duplicateValues" dxfId="5492" priority="6764"/>
  </conditionalFormatting>
  <conditionalFormatting sqref="A1494">
    <cfRule type="duplicateValues" dxfId="5491" priority="6763"/>
  </conditionalFormatting>
  <conditionalFormatting sqref="A1494">
    <cfRule type="duplicateValues" dxfId="5490" priority="6762"/>
  </conditionalFormatting>
  <conditionalFormatting sqref="A1494">
    <cfRule type="duplicateValues" dxfId="5489" priority="6761"/>
  </conditionalFormatting>
  <conditionalFormatting sqref="A1494">
    <cfRule type="duplicateValues" dxfId="5488" priority="6760"/>
  </conditionalFormatting>
  <conditionalFormatting sqref="A1494">
    <cfRule type="duplicateValues" dxfId="5487" priority="6759"/>
  </conditionalFormatting>
  <conditionalFormatting sqref="A1494">
    <cfRule type="duplicateValues" dxfId="5486" priority="6757"/>
    <cfRule type="duplicateValues" dxfId="5485" priority="6758"/>
  </conditionalFormatting>
  <conditionalFormatting sqref="A1584 A1586">
    <cfRule type="duplicateValues" dxfId="5484" priority="6755" stopIfTrue="1"/>
  </conditionalFormatting>
  <conditionalFormatting sqref="A1584 A1586">
    <cfRule type="duplicateValues" dxfId="5483" priority="6754" stopIfTrue="1"/>
  </conditionalFormatting>
  <conditionalFormatting sqref="A1584">
    <cfRule type="duplicateValues" dxfId="5482" priority="6753" stopIfTrue="1"/>
  </conditionalFormatting>
  <conditionalFormatting sqref="A1584">
    <cfRule type="duplicateValues" dxfId="5481" priority="6752" stopIfTrue="1"/>
  </conditionalFormatting>
  <conditionalFormatting sqref="A1584">
    <cfRule type="duplicateValues" dxfId="5480" priority="6751" stopIfTrue="1"/>
  </conditionalFormatting>
  <conditionalFormatting sqref="A1584">
    <cfRule type="duplicateValues" dxfId="5479" priority="6750" stopIfTrue="1"/>
  </conditionalFormatting>
  <conditionalFormatting sqref="A1584">
    <cfRule type="duplicateValues" dxfId="5478" priority="6749" stopIfTrue="1"/>
  </conditionalFormatting>
  <conditionalFormatting sqref="A1584">
    <cfRule type="duplicateValues" dxfId="5477" priority="6748" stopIfTrue="1"/>
  </conditionalFormatting>
  <conditionalFormatting sqref="A1584">
    <cfRule type="duplicateValues" dxfId="5476" priority="6747" stopIfTrue="1"/>
  </conditionalFormatting>
  <conditionalFormatting sqref="A1584">
    <cfRule type="duplicateValues" dxfId="5475" priority="6746" stopIfTrue="1"/>
  </conditionalFormatting>
  <conditionalFormatting sqref="A1584">
    <cfRule type="duplicateValues" dxfId="5474" priority="6745" stopIfTrue="1"/>
  </conditionalFormatting>
  <conditionalFormatting sqref="A1584">
    <cfRule type="duplicateValues" dxfId="5473" priority="6744" stopIfTrue="1"/>
  </conditionalFormatting>
  <conditionalFormatting sqref="A1584">
    <cfRule type="duplicateValues" dxfId="5472" priority="6743" stopIfTrue="1"/>
  </conditionalFormatting>
  <conditionalFormatting sqref="A1584">
    <cfRule type="duplicateValues" dxfId="5471" priority="6742" stopIfTrue="1"/>
  </conditionalFormatting>
  <conditionalFormatting sqref="A1584">
    <cfRule type="duplicateValues" dxfId="5470" priority="6756" stopIfTrue="1"/>
  </conditionalFormatting>
  <conditionalFormatting sqref="A1584">
    <cfRule type="duplicateValues" dxfId="5469" priority="6741" stopIfTrue="1"/>
  </conditionalFormatting>
  <conditionalFormatting sqref="C1584:C1587">
    <cfRule type="duplicateValues" dxfId="5468" priority="6740" stopIfTrue="1"/>
  </conditionalFormatting>
  <conditionalFormatting sqref="A1584">
    <cfRule type="duplicateValues" dxfId="5467" priority="6739" stopIfTrue="1"/>
  </conditionalFormatting>
  <conditionalFormatting sqref="A1584">
    <cfRule type="duplicateValues" dxfId="5466" priority="6738" stopIfTrue="1"/>
  </conditionalFormatting>
  <conditionalFormatting sqref="A1584">
    <cfRule type="duplicateValues" dxfId="5465" priority="6737" stopIfTrue="1"/>
  </conditionalFormatting>
  <conditionalFormatting sqref="A1584">
    <cfRule type="duplicateValues" dxfId="5464" priority="6736" stopIfTrue="1"/>
  </conditionalFormatting>
  <conditionalFormatting sqref="A1584">
    <cfRule type="duplicateValues" dxfId="5463" priority="6735" stopIfTrue="1"/>
  </conditionalFormatting>
  <conditionalFormatting sqref="A1584">
    <cfRule type="duplicateValues" dxfId="5462" priority="6734" stopIfTrue="1"/>
  </conditionalFormatting>
  <conditionalFormatting sqref="A1584">
    <cfRule type="duplicateValues" dxfId="5461" priority="6733" stopIfTrue="1"/>
  </conditionalFormatting>
  <conditionalFormatting sqref="A1584">
    <cfRule type="duplicateValues" dxfId="5460" priority="6732" stopIfTrue="1"/>
  </conditionalFormatting>
  <conditionalFormatting sqref="A1584 A1586">
    <cfRule type="duplicateValues" dxfId="5459" priority="6730" stopIfTrue="1"/>
    <cfRule type="duplicateValues" dxfId="5458" priority="6731" stopIfTrue="1"/>
  </conditionalFormatting>
  <conditionalFormatting sqref="A1584">
    <cfRule type="duplicateValues" dxfId="5457" priority="6729" stopIfTrue="1"/>
  </conditionalFormatting>
  <conditionalFormatting sqref="A1584">
    <cfRule type="duplicateValues" dxfId="5456" priority="6728" stopIfTrue="1"/>
  </conditionalFormatting>
  <conditionalFormatting sqref="A1584">
    <cfRule type="duplicateValues" dxfId="5455" priority="6727" stopIfTrue="1"/>
  </conditionalFormatting>
  <conditionalFormatting sqref="A1584">
    <cfRule type="duplicateValues" dxfId="5454" priority="6726" stopIfTrue="1"/>
  </conditionalFormatting>
  <conditionalFormatting sqref="A1584">
    <cfRule type="duplicateValues" dxfId="5453" priority="6725" stopIfTrue="1"/>
  </conditionalFormatting>
  <conditionalFormatting sqref="A1584 A1586">
    <cfRule type="duplicateValues" dxfId="5452" priority="6724"/>
  </conditionalFormatting>
  <conditionalFormatting sqref="A1584">
    <cfRule type="duplicateValues" dxfId="5451" priority="6723"/>
  </conditionalFormatting>
  <conditionalFormatting sqref="A1584">
    <cfRule type="duplicateValues" dxfId="5450" priority="6722"/>
  </conditionalFormatting>
  <conditionalFormatting sqref="A1584">
    <cfRule type="duplicateValues" dxfId="5449" priority="6721"/>
  </conditionalFormatting>
  <conditionalFormatting sqref="A1584">
    <cfRule type="duplicateValues" dxfId="5448" priority="6720"/>
  </conditionalFormatting>
  <conditionalFormatting sqref="A1584">
    <cfRule type="duplicateValues" dxfId="5447" priority="6719"/>
  </conditionalFormatting>
  <conditionalFormatting sqref="A1584">
    <cfRule type="duplicateValues" dxfId="5446" priority="6718"/>
  </conditionalFormatting>
  <conditionalFormatting sqref="A1584">
    <cfRule type="duplicateValues" dxfId="5445" priority="6717"/>
  </conditionalFormatting>
  <conditionalFormatting sqref="A1584">
    <cfRule type="duplicateValues" dxfId="5444" priority="6716"/>
  </conditionalFormatting>
  <conditionalFormatting sqref="A1584 A1586">
    <cfRule type="duplicateValues" dxfId="5443" priority="6714"/>
    <cfRule type="duplicateValues" dxfId="5442" priority="6715"/>
  </conditionalFormatting>
  <conditionalFormatting sqref="A1585 A1587">
    <cfRule type="duplicateValues" dxfId="5441" priority="6712" stopIfTrue="1"/>
  </conditionalFormatting>
  <conditionalFormatting sqref="A1585 A1587">
    <cfRule type="duplicateValues" dxfId="5440" priority="6711" stopIfTrue="1"/>
  </conditionalFormatting>
  <conditionalFormatting sqref="A1585">
    <cfRule type="duplicateValues" dxfId="5439" priority="6710" stopIfTrue="1"/>
  </conditionalFormatting>
  <conditionalFormatting sqref="A1585">
    <cfRule type="duplicateValues" dxfId="5438" priority="6709" stopIfTrue="1"/>
  </conditionalFormatting>
  <conditionalFormatting sqref="A1585">
    <cfRule type="duplicateValues" dxfId="5437" priority="6708" stopIfTrue="1"/>
  </conditionalFormatting>
  <conditionalFormatting sqref="A1585">
    <cfRule type="duplicateValues" dxfId="5436" priority="6707" stopIfTrue="1"/>
  </conditionalFormatting>
  <conditionalFormatting sqref="A1585">
    <cfRule type="duplicateValues" dxfId="5435" priority="6706" stopIfTrue="1"/>
  </conditionalFormatting>
  <conditionalFormatting sqref="A1585">
    <cfRule type="duplicateValues" dxfId="5434" priority="6705" stopIfTrue="1"/>
  </conditionalFormatting>
  <conditionalFormatting sqref="A1585">
    <cfRule type="duplicateValues" dxfId="5433" priority="6704" stopIfTrue="1"/>
  </conditionalFormatting>
  <conditionalFormatting sqref="A1585">
    <cfRule type="duplicateValues" dxfId="5432" priority="6703" stopIfTrue="1"/>
  </conditionalFormatting>
  <conditionalFormatting sqref="A1585">
    <cfRule type="duplicateValues" dxfId="5431" priority="6702" stopIfTrue="1"/>
  </conditionalFormatting>
  <conditionalFormatting sqref="A1585">
    <cfRule type="duplicateValues" dxfId="5430" priority="6701" stopIfTrue="1"/>
  </conditionalFormatting>
  <conditionalFormatting sqref="A1585">
    <cfRule type="duplicateValues" dxfId="5429" priority="6700" stopIfTrue="1"/>
  </conditionalFormatting>
  <conditionalFormatting sqref="A1585">
    <cfRule type="duplicateValues" dxfId="5428" priority="6699" stopIfTrue="1"/>
  </conditionalFormatting>
  <conditionalFormatting sqref="A1585">
    <cfRule type="duplicateValues" dxfId="5427" priority="6713" stopIfTrue="1"/>
  </conditionalFormatting>
  <conditionalFormatting sqref="A1585">
    <cfRule type="duplicateValues" dxfId="5426" priority="6698" stopIfTrue="1"/>
  </conditionalFormatting>
  <conditionalFormatting sqref="A1585">
    <cfRule type="duplicateValues" dxfId="5425" priority="6696" stopIfTrue="1"/>
  </conditionalFormatting>
  <conditionalFormatting sqref="A1585">
    <cfRule type="duplicateValues" dxfId="5424" priority="6695" stopIfTrue="1"/>
  </conditionalFormatting>
  <conditionalFormatting sqref="A1585">
    <cfRule type="duplicateValues" dxfId="5423" priority="6694" stopIfTrue="1"/>
  </conditionalFormatting>
  <conditionalFormatting sqref="A1585">
    <cfRule type="duplicateValues" dxfId="5422" priority="6693" stopIfTrue="1"/>
  </conditionalFormatting>
  <conditionalFormatting sqref="A1585">
    <cfRule type="duplicateValues" dxfId="5421" priority="6692" stopIfTrue="1"/>
  </conditionalFormatting>
  <conditionalFormatting sqref="A1585">
    <cfRule type="duplicateValues" dxfId="5420" priority="6691" stopIfTrue="1"/>
  </conditionalFormatting>
  <conditionalFormatting sqref="A1585">
    <cfRule type="duplicateValues" dxfId="5419" priority="6690" stopIfTrue="1"/>
  </conditionalFormatting>
  <conditionalFormatting sqref="A1585">
    <cfRule type="duplicateValues" dxfId="5418" priority="6689" stopIfTrue="1"/>
  </conditionalFormatting>
  <conditionalFormatting sqref="A1585 A1587">
    <cfRule type="duplicateValues" dxfId="5417" priority="6687" stopIfTrue="1"/>
    <cfRule type="duplicateValues" dxfId="5416" priority="6688" stopIfTrue="1"/>
  </conditionalFormatting>
  <conditionalFormatting sqref="A1585">
    <cfRule type="duplicateValues" dxfId="5415" priority="6686" stopIfTrue="1"/>
  </conditionalFormatting>
  <conditionalFormatting sqref="A1585">
    <cfRule type="duplicateValues" dxfId="5414" priority="6685" stopIfTrue="1"/>
  </conditionalFormatting>
  <conditionalFormatting sqref="A1585">
    <cfRule type="duplicateValues" dxfId="5413" priority="6684" stopIfTrue="1"/>
  </conditionalFormatting>
  <conditionalFormatting sqref="A1585">
    <cfRule type="duplicateValues" dxfId="5412" priority="6683" stopIfTrue="1"/>
  </conditionalFormatting>
  <conditionalFormatting sqref="A1585">
    <cfRule type="duplicateValues" dxfId="5411" priority="6682" stopIfTrue="1"/>
  </conditionalFormatting>
  <conditionalFormatting sqref="A1585 A1587">
    <cfRule type="duplicateValues" dxfId="5410" priority="6681"/>
  </conditionalFormatting>
  <conditionalFormatting sqref="A1585">
    <cfRule type="duplicateValues" dxfId="5409" priority="6680"/>
  </conditionalFormatting>
  <conditionalFormatting sqref="A1585">
    <cfRule type="duplicateValues" dxfId="5408" priority="6679"/>
  </conditionalFormatting>
  <conditionalFormatting sqref="A1585">
    <cfRule type="duplicateValues" dxfId="5407" priority="6678"/>
  </conditionalFormatting>
  <conditionalFormatting sqref="A1585">
    <cfRule type="duplicateValues" dxfId="5406" priority="6677"/>
  </conditionalFormatting>
  <conditionalFormatting sqref="A1585">
    <cfRule type="duplicateValues" dxfId="5405" priority="6676"/>
  </conditionalFormatting>
  <conditionalFormatting sqref="A1585">
    <cfRule type="duplicateValues" dxfId="5404" priority="6675"/>
  </conditionalFormatting>
  <conditionalFormatting sqref="A1585">
    <cfRule type="duplicateValues" dxfId="5403" priority="6674"/>
  </conditionalFormatting>
  <conditionalFormatting sqref="A1585">
    <cfRule type="duplicateValues" dxfId="5402" priority="6673"/>
  </conditionalFormatting>
  <conditionalFormatting sqref="A1585 A1587">
    <cfRule type="duplicateValues" dxfId="5401" priority="6671"/>
    <cfRule type="duplicateValues" dxfId="5400" priority="6672"/>
  </conditionalFormatting>
  <conditionalFormatting sqref="A1495">
    <cfRule type="duplicateValues" dxfId="5399" priority="6584" stopIfTrue="1"/>
  </conditionalFormatting>
  <conditionalFormatting sqref="A1495">
    <cfRule type="duplicateValues" dxfId="5398" priority="6583" stopIfTrue="1"/>
  </conditionalFormatting>
  <conditionalFormatting sqref="C1495">
    <cfRule type="duplicateValues" dxfId="5397" priority="6582" stopIfTrue="1"/>
  </conditionalFormatting>
  <conditionalFormatting sqref="A1495">
    <cfRule type="duplicateValues" dxfId="5396" priority="6581" stopIfTrue="1"/>
  </conditionalFormatting>
  <conditionalFormatting sqref="A1495">
    <cfRule type="duplicateValues" dxfId="5395" priority="6580" stopIfTrue="1"/>
  </conditionalFormatting>
  <conditionalFormatting sqref="A1495">
    <cfRule type="duplicateValues" dxfId="5394" priority="6579" stopIfTrue="1"/>
  </conditionalFormatting>
  <conditionalFormatting sqref="A1495">
    <cfRule type="duplicateValues" dxfId="5393" priority="6577" stopIfTrue="1"/>
    <cfRule type="duplicateValues" dxfId="5392" priority="6578" stopIfTrue="1"/>
  </conditionalFormatting>
  <conditionalFormatting sqref="A1495">
    <cfRule type="duplicateValues" dxfId="5391" priority="6576" stopIfTrue="1"/>
  </conditionalFormatting>
  <conditionalFormatting sqref="A1495">
    <cfRule type="duplicateValues" dxfId="5390" priority="6575" stopIfTrue="1"/>
  </conditionalFormatting>
  <conditionalFormatting sqref="A1495">
    <cfRule type="duplicateValues" dxfId="5389" priority="6574" stopIfTrue="1"/>
  </conditionalFormatting>
  <conditionalFormatting sqref="A1495">
    <cfRule type="duplicateValues" dxfId="5388" priority="6573" stopIfTrue="1"/>
  </conditionalFormatting>
  <conditionalFormatting sqref="A1495">
    <cfRule type="duplicateValues" dxfId="5387" priority="6572" stopIfTrue="1"/>
  </conditionalFormatting>
  <conditionalFormatting sqref="A1495">
    <cfRule type="duplicateValues" dxfId="5386" priority="6571"/>
  </conditionalFormatting>
  <conditionalFormatting sqref="A1495">
    <cfRule type="duplicateValues" dxfId="5385" priority="6570"/>
  </conditionalFormatting>
  <conditionalFormatting sqref="A1495">
    <cfRule type="duplicateValues" dxfId="5384" priority="6569"/>
  </conditionalFormatting>
  <conditionalFormatting sqref="A1495">
    <cfRule type="duplicateValues" dxfId="5383" priority="6568"/>
  </conditionalFormatting>
  <conditionalFormatting sqref="A1495">
    <cfRule type="duplicateValues" dxfId="5382" priority="6567"/>
  </conditionalFormatting>
  <conditionalFormatting sqref="A1495">
    <cfRule type="duplicateValues" dxfId="5381" priority="6566"/>
  </conditionalFormatting>
  <conditionalFormatting sqref="A1495">
    <cfRule type="duplicateValues" dxfId="5380" priority="6565"/>
  </conditionalFormatting>
  <conditionalFormatting sqref="A1495">
    <cfRule type="duplicateValues" dxfId="5379" priority="6564"/>
  </conditionalFormatting>
  <conditionalFormatting sqref="A1495">
    <cfRule type="duplicateValues" dxfId="5378" priority="6563"/>
  </conditionalFormatting>
  <conditionalFormatting sqref="A1495">
    <cfRule type="duplicateValues" dxfId="5377" priority="6561"/>
    <cfRule type="duplicateValues" dxfId="5376" priority="6562"/>
  </conditionalFormatting>
  <conditionalFormatting sqref="A1899:A1048576 A1 A1150:A1157 A1796:A1847 A362:A529 A1074:A1148 A531:A1070 A1875:A1886 A357 A1433:A1448 A1159:A1162 A1590:A1783 A1512:A1587 A1466:A1495 A1450:A1464 A1498:A1500 A1164:A1408 A1427">
    <cfRule type="duplicateValues" dxfId="5375" priority="6560"/>
  </conditionalFormatting>
  <conditionalFormatting sqref="A1158">
    <cfRule type="duplicateValues" dxfId="5374" priority="6558" stopIfTrue="1"/>
  </conditionalFormatting>
  <conditionalFormatting sqref="A1158">
    <cfRule type="duplicateValues" dxfId="5373" priority="6557" stopIfTrue="1"/>
  </conditionalFormatting>
  <conditionalFormatting sqref="A1158">
    <cfRule type="duplicateValues" dxfId="5372" priority="6556" stopIfTrue="1"/>
  </conditionalFormatting>
  <conditionalFormatting sqref="A1158">
    <cfRule type="duplicateValues" dxfId="5371" priority="6555" stopIfTrue="1"/>
  </conditionalFormatting>
  <conditionalFormatting sqref="A1158">
    <cfRule type="duplicateValues" dxfId="5370" priority="6554" stopIfTrue="1"/>
  </conditionalFormatting>
  <conditionalFormatting sqref="A1158">
    <cfRule type="duplicateValues" dxfId="5369" priority="6553" stopIfTrue="1"/>
  </conditionalFormatting>
  <conditionalFormatting sqref="A1158">
    <cfRule type="duplicateValues" dxfId="5368" priority="6552" stopIfTrue="1"/>
  </conditionalFormatting>
  <conditionalFormatting sqref="A1158">
    <cfRule type="duplicateValues" dxfId="5367" priority="6551" stopIfTrue="1"/>
  </conditionalFormatting>
  <conditionalFormatting sqref="A1158">
    <cfRule type="duplicateValues" dxfId="5366" priority="6550" stopIfTrue="1"/>
  </conditionalFormatting>
  <conditionalFormatting sqref="A1158">
    <cfRule type="duplicateValues" dxfId="5365" priority="6549" stopIfTrue="1"/>
  </conditionalFormatting>
  <conditionalFormatting sqref="A1158">
    <cfRule type="duplicateValues" dxfId="5364" priority="6548" stopIfTrue="1"/>
  </conditionalFormatting>
  <conditionalFormatting sqref="A1158">
    <cfRule type="duplicateValues" dxfId="5363" priority="6547" stopIfTrue="1"/>
  </conditionalFormatting>
  <conditionalFormatting sqref="A1158">
    <cfRule type="duplicateValues" dxfId="5362" priority="6546" stopIfTrue="1"/>
  </conditionalFormatting>
  <conditionalFormatting sqref="A1158">
    <cfRule type="duplicateValues" dxfId="5361" priority="6545" stopIfTrue="1"/>
  </conditionalFormatting>
  <conditionalFormatting sqref="A1158">
    <cfRule type="duplicateValues" dxfId="5360" priority="6559" stopIfTrue="1"/>
  </conditionalFormatting>
  <conditionalFormatting sqref="A1158">
    <cfRule type="duplicateValues" dxfId="5359" priority="6544" stopIfTrue="1"/>
  </conditionalFormatting>
  <conditionalFormatting sqref="C1158">
    <cfRule type="duplicateValues" dxfId="5358" priority="6543" stopIfTrue="1"/>
  </conditionalFormatting>
  <conditionalFormatting sqref="A1158">
    <cfRule type="duplicateValues" dxfId="5357" priority="6542" stopIfTrue="1"/>
  </conditionalFormatting>
  <conditionalFormatting sqref="A1158">
    <cfRule type="duplicateValues" dxfId="5356" priority="6541" stopIfTrue="1"/>
  </conditionalFormatting>
  <conditionalFormatting sqref="A1158">
    <cfRule type="duplicateValues" dxfId="5355" priority="6540" stopIfTrue="1"/>
  </conditionalFormatting>
  <conditionalFormatting sqref="A1158">
    <cfRule type="duplicateValues" dxfId="5354" priority="6539" stopIfTrue="1"/>
  </conditionalFormatting>
  <conditionalFormatting sqref="A1158">
    <cfRule type="duplicateValues" dxfId="5353" priority="6538" stopIfTrue="1"/>
  </conditionalFormatting>
  <conditionalFormatting sqref="A1158">
    <cfRule type="duplicateValues" dxfId="5352" priority="6537" stopIfTrue="1"/>
  </conditionalFormatting>
  <conditionalFormatting sqref="A1158">
    <cfRule type="duplicateValues" dxfId="5351" priority="6536" stopIfTrue="1"/>
  </conditionalFormatting>
  <conditionalFormatting sqref="A1158">
    <cfRule type="duplicateValues" dxfId="5350" priority="6535" stopIfTrue="1"/>
  </conditionalFormatting>
  <conditionalFormatting sqref="A1158">
    <cfRule type="duplicateValues" dxfId="5349" priority="6533" stopIfTrue="1"/>
    <cfRule type="duplicateValues" dxfId="5348" priority="6534" stopIfTrue="1"/>
  </conditionalFormatting>
  <conditionalFormatting sqref="A1158">
    <cfRule type="duplicateValues" dxfId="5347" priority="6532" stopIfTrue="1"/>
  </conditionalFormatting>
  <conditionalFormatting sqref="A1158">
    <cfRule type="duplicateValues" dxfId="5346" priority="6531" stopIfTrue="1"/>
  </conditionalFormatting>
  <conditionalFormatting sqref="A1158">
    <cfRule type="duplicateValues" dxfId="5345" priority="6530" stopIfTrue="1"/>
  </conditionalFormatting>
  <conditionalFormatting sqref="A1158">
    <cfRule type="duplicateValues" dxfId="5344" priority="6529" stopIfTrue="1"/>
  </conditionalFormatting>
  <conditionalFormatting sqref="A1158">
    <cfRule type="duplicateValues" dxfId="5343" priority="6528" stopIfTrue="1"/>
  </conditionalFormatting>
  <conditionalFormatting sqref="A1158">
    <cfRule type="duplicateValues" dxfId="5342" priority="6527"/>
  </conditionalFormatting>
  <conditionalFormatting sqref="A1158">
    <cfRule type="duplicateValues" dxfId="5341" priority="6526"/>
  </conditionalFormatting>
  <conditionalFormatting sqref="A1158">
    <cfRule type="duplicateValues" dxfId="5340" priority="6525"/>
  </conditionalFormatting>
  <conditionalFormatting sqref="A1158">
    <cfRule type="duplicateValues" dxfId="5339" priority="6524"/>
  </conditionalFormatting>
  <conditionalFormatting sqref="A1158">
    <cfRule type="duplicateValues" dxfId="5338" priority="6523"/>
  </conditionalFormatting>
  <conditionalFormatting sqref="A1158">
    <cfRule type="duplicateValues" dxfId="5337" priority="6522"/>
  </conditionalFormatting>
  <conditionalFormatting sqref="A1158">
    <cfRule type="duplicateValues" dxfId="5336" priority="6521"/>
  </conditionalFormatting>
  <conditionalFormatting sqref="A1158">
    <cfRule type="duplicateValues" dxfId="5335" priority="6520"/>
  </conditionalFormatting>
  <conditionalFormatting sqref="A1158">
    <cfRule type="duplicateValues" dxfId="5334" priority="6519"/>
  </conditionalFormatting>
  <conditionalFormatting sqref="A1158">
    <cfRule type="duplicateValues" dxfId="5333" priority="6517"/>
    <cfRule type="duplicateValues" dxfId="5332" priority="6518"/>
  </conditionalFormatting>
  <conditionalFormatting sqref="A1158">
    <cfRule type="duplicateValues" dxfId="5331" priority="6516"/>
  </conditionalFormatting>
  <conditionalFormatting sqref="A1899:A1048576 A1150:A1155 A1 A1590:A1783 A1498:A1500 A362:A529 A1074:A1142 A531:A1070 A357 A1433:A1448 A1159:A1162 A1512:A1582 A1466:A1493 A1450:A1464 A1164:A1408 A1427">
    <cfRule type="duplicateValues" dxfId="5330" priority="39459"/>
  </conditionalFormatting>
  <conditionalFormatting sqref="A1149">
    <cfRule type="duplicateValues" dxfId="5329" priority="6514" stopIfTrue="1"/>
  </conditionalFormatting>
  <conditionalFormatting sqref="A1149">
    <cfRule type="duplicateValues" dxfId="5328" priority="6513" stopIfTrue="1"/>
  </conditionalFormatting>
  <conditionalFormatting sqref="A1149">
    <cfRule type="duplicateValues" dxfId="5327" priority="6512" stopIfTrue="1"/>
  </conditionalFormatting>
  <conditionalFormatting sqref="A1149">
    <cfRule type="duplicateValues" dxfId="5326" priority="6511" stopIfTrue="1"/>
  </conditionalFormatting>
  <conditionalFormatting sqref="A1149">
    <cfRule type="duplicateValues" dxfId="5325" priority="6510" stopIfTrue="1"/>
  </conditionalFormatting>
  <conditionalFormatting sqref="A1149">
    <cfRule type="duplicateValues" dxfId="5324" priority="6509" stopIfTrue="1"/>
  </conditionalFormatting>
  <conditionalFormatting sqref="A1149">
    <cfRule type="duplicateValues" dxfId="5323" priority="6508" stopIfTrue="1"/>
  </conditionalFormatting>
  <conditionalFormatting sqref="A1149">
    <cfRule type="duplicateValues" dxfId="5322" priority="6507" stopIfTrue="1"/>
  </conditionalFormatting>
  <conditionalFormatting sqref="A1149">
    <cfRule type="duplicateValues" dxfId="5321" priority="6506" stopIfTrue="1"/>
  </conditionalFormatting>
  <conditionalFormatting sqref="A1149">
    <cfRule type="duplicateValues" dxfId="5320" priority="6505" stopIfTrue="1"/>
  </conditionalFormatting>
  <conditionalFormatting sqref="A1149">
    <cfRule type="duplicateValues" dxfId="5319" priority="6504" stopIfTrue="1"/>
  </conditionalFormatting>
  <conditionalFormatting sqref="A1149">
    <cfRule type="duplicateValues" dxfId="5318" priority="6503" stopIfTrue="1"/>
  </conditionalFormatting>
  <conditionalFormatting sqref="A1149">
    <cfRule type="duplicateValues" dxfId="5317" priority="6502" stopIfTrue="1"/>
  </conditionalFormatting>
  <conditionalFormatting sqref="A1149">
    <cfRule type="duplicateValues" dxfId="5316" priority="6501" stopIfTrue="1"/>
  </conditionalFormatting>
  <conditionalFormatting sqref="A1149">
    <cfRule type="duplicateValues" dxfId="5315" priority="6500" stopIfTrue="1"/>
  </conditionalFormatting>
  <conditionalFormatting sqref="A1149">
    <cfRule type="duplicateValues" dxfId="5314" priority="6515" stopIfTrue="1"/>
  </conditionalFormatting>
  <conditionalFormatting sqref="A1149">
    <cfRule type="duplicateValues" dxfId="5313" priority="6499" stopIfTrue="1"/>
  </conditionalFormatting>
  <conditionalFormatting sqref="A1149">
    <cfRule type="duplicateValues" dxfId="5312" priority="6498" stopIfTrue="1"/>
  </conditionalFormatting>
  <conditionalFormatting sqref="A1149">
    <cfRule type="duplicateValues" dxfId="5311" priority="6497" stopIfTrue="1"/>
  </conditionalFormatting>
  <conditionalFormatting sqref="A1149">
    <cfRule type="duplicateValues" dxfId="5310" priority="6496" stopIfTrue="1"/>
  </conditionalFormatting>
  <conditionalFormatting sqref="A1149">
    <cfRule type="duplicateValues" dxfId="5309" priority="6495" stopIfTrue="1"/>
  </conditionalFormatting>
  <conditionalFormatting sqref="A1149">
    <cfRule type="duplicateValues" dxfId="5308" priority="6494" stopIfTrue="1"/>
  </conditionalFormatting>
  <conditionalFormatting sqref="A1149">
    <cfRule type="duplicateValues" dxfId="5307" priority="6493" stopIfTrue="1"/>
  </conditionalFormatting>
  <conditionalFormatting sqref="A1149">
    <cfRule type="duplicateValues" dxfId="5306" priority="6492" stopIfTrue="1"/>
  </conditionalFormatting>
  <conditionalFormatting sqref="A1149">
    <cfRule type="duplicateValues" dxfId="5305" priority="6491" stopIfTrue="1"/>
  </conditionalFormatting>
  <conditionalFormatting sqref="A1149">
    <cfRule type="duplicateValues" dxfId="5304" priority="6489" stopIfTrue="1"/>
    <cfRule type="duplicateValues" dxfId="5303" priority="6490" stopIfTrue="1"/>
  </conditionalFormatting>
  <conditionalFormatting sqref="A1149">
    <cfRule type="duplicateValues" dxfId="5302" priority="6488" stopIfTrue="1"/>
  </conditionalFormatting>
  <conditionalFormatting sqref="A1149">
    <cfRule type="duplicateValues" dxfId="5301" priority="6487" stopIfTrue="1"/>
  </conditionalFormatting>
  <conditionalFormatting sqref="A1149">
    <cfRule type="duplicateValues" dxfId="5300" priority="6486" stopIfTrue="1"/>
  </conditionalFormatting>
  <conditionalFormatting sqref="A1149">
    <cfRule type="duplicateValues" dxfId="5299" priority="6485" stopIfTrue="1"/>
  </conditionalFormatting>
  <conditionalFormatting sqref="A1149">
    <cfRule type="duplicateValues" dxfId="5298" priority="6484" stopIfTrue="1"/>
  </conditionalFormatting>
  <conditionalFormatting sqref="A1149">
    <cfRule type="duplicateValues" dxfId="5297" priority="6483"/>
  </conditionalFormatting>
  <conditionalFormatting sqref="A1149">
    <cfRule type="duplicateValues" dxfId="5296" priority="6482"/>
  </conditionalFormatting>
  <conditionalFormatting sqref="A1149">
    <cfRule type="duplicateValues" dxfId="5295" priority="6481"/>
  </conditionalFormatting>
  <conditionalFormatting sqref="A1149">
    <cfRule type="duplicateValues" dxfId="5294" priority="6480"/>
  </conditionalFormatting>
  <conditionalFormatting sqref="A1149">
    <cfRule type="duplicateValues" dxfId="5293" priority="6479"/>
  </conditionalFormatting>
  <conditionalFormatting sqref="A1149">
    <cfRule type="duplicateValues" dxfId="5292" priority="6478"/>
  </conditionalFormatting>
  <conditionalFormatting sqref="A1149">
    <cfRule type="duplicateValues" dxfId="5291" priority="6477"/>
  </conditionalFormatting>
  <conditionalFormatting sqref="A1149">
    <cfRule type="duplicateValues" dxfId="5290" priority="6476"/>
  </conditionalFormatting>
  <conditionalFormatting sqref="A1149">
    <cfRule type="duplicateValues" dxfId="5289" priority="6475"/>
  </conditionalFormatting>
  <conditionalFormatting sqref="A1149">
    <cfRule type="duplicateValues" dxfId="5288" priority="6473"/>
    <cfRule type="duplicateValues" dxfId="5287" priority="6474"/>
  </conditionalFormatting>
  <conditionalFormatting sqref="C1149">
    <cfRule type="duplicateValues" dxfId="5286" priority="6472" stopIfTrue="1"/>
  </conditionalFormatting>
  <conditionalFormatting sqref="A1149">
    <cfRule type="duplicateValues" dxfId="5285" priority="6471"/>
  </conditionalFormatting>
  <conditionalFormatting sqref="A1784">
    <cfRule type="duplicateValues" dxfId="5284" priority="6468" stopIfTrue="1"/>
  </conditionalFormatting>
  <conditionalFormatting sqref="A1784">
    <cfRule type="duplicateValues" dxfId="5283" priority="6467" stopIfTrue="1"/>
  </conditionalFormatting>
  <conditionalFormatting sqref="A1784">
    <cfRule type="duplicateValues" dxfId="5282" priority="6466" stopIfTrue="1"/>
  </conditionalFormatting>
  <conditionalFormatting sqref="A1784">
    <cfRule type="duplicateValues" dxfId="5281" priority="6465" stopIfTrue="1"/>
  </conditionalFormatting>
  <conditionalFormatting sqref="A1784">
    <cfRule type="duplicateValues" dxfId="5280" priority="6464" stopIfTrue="1"/>
  </conditionalFormatting>
  <conditionalFormatting sqref="A1784">
    <cfRule type="duplicateValues" dxfId="5279" priority="6463" stopIfTrue="1"/>
  </conditionalFormatting>
  <conditionalFormatting sqref="A1784">
    <cfRule type="duplicateValues" dxfId="5278" priority="6462" stopIfTrue="1"/>
  </conditionalFormatting>
  <conditionalFormatting sqref="A1784">
    <cfRule type="duplicateValues" dxfId="5277" priority="6461" stopIfTrue="1"/>
  </conditionalFormatting>
  <conditionalFormatting sqref="A1784">
    <cfRule type="duplicateValues" dxfId="5276" priority="6460" stopIfTrue="1"/>
  </conditionalFormatting>
  <conditionalFormatting sqref="A1784">
    <cfRule type="duplicateValues" dxfId="5275" priority="6459" stopIfTrue="1"/>
  </conditionalFormatting>
  <conditionalFormatting sqref="A1784">
    <cfRule type="duplicateValues" dxfId="5274" priority="6458" stopIfTrue="1"/>
  </conditionalFormatting>
  <conditionalFormatting sqref="A1784">
    <cfRule type="duplicateValues" dxfId="5273" priority="6457" stopIfTrue="1"/>
  </conditionalFormatting>
  <conditionalFormatting sqref="A1784">
    <cfRule type="duplicateValues" dxfId="5272" priority="6456" stopIfTrue="1"/>
  </conditionalFormatting>
  <conditionalFormatting sqref="A1784">
    <cfRule type="duplicateValues" dxfId="5271" priority="6455" stopIfTrue="1"/>
  </conditionalFormatting>
  <conditionalFormatting sqref="A1784">
    <cfRule type="duplicateValues" dxfId="5270" priority="6469" stopIfTrue="1"/>
  </conditionalFormatting>
  <conditionalFormatting sqref="A1784">
    <cfRule type="duplicateValues" dxfId="5269" priority="6454" stopIfTrue="1"/>
  </conditionalFormatting>
  <conditionalFormatting sqref="C1784">
    <cfRule type="duplicateValues" dxfId="5268" priority="6453" stopIfTrue="1"/>
  </conditionalFormatting>
  <conditionalFormatting sqref="A1784">
    <cfRule type="duplicateValues" dxfId="5267" priority="6452" stopIfTrue="1"/>
  </conditionalFormatting>
  <conditionalFormatting sqref="A1784">
    <cfRule type="duplicateValues" dxfId="5266" priority="6451" stopIfTrue="1"/>
  </conditionalFormatting>
  <conditionalFormatting sqref="A1784">
    <cfRule type="duplicateValues" dxfId="5265" priority="6450" stopIfTrue="1"/>
  </conditionalFormatting>
  <conditionalFormatting sqref="A1784">
    <cfRule type="duplicateValues" dxfId="5264" priority="6449" stopIfTrue="1"/>
  </conditionalFormatting>
  <conditionalFormatting sqref="A1784">
    <cfRule type="duplicateValues" dxfId="5263" priority="6448" stopIfTrue="1"/>
  </conditionalFormatting>
  <conditionalFormatting sqref="A1784">
    <cfRule type="duplicateValues" dxfId="5262" priority="6447" stopIfTrue="1"/>
  </conditionalFormatting>
  <conditionalFormatting sqref="A1784">
    <cfRule type="duplicateValues" dxfId="5261" priority="6446" stopIfTrue="1"/>
  </conditionalFormatting>
  <conditionalFormatting sqref="A1784">
    <cfRule type="duplicateValues" dxfId="5260" priority="6445" stopIfTrue="1"/>
  </conditionalFormatting>
  <conditionalFormatting sqref="A1784">
    <cfRule type="duplicateValues" dxfId="5259" priority="6443" stopIfTrue="1"/>
    <cfRule type="duplicateValues" dxfId="5258" priority="6444" stopIfTrue="1"/>
  </conditionalFormatting>
  <conditionalFormatting sqref="A1784">
    <cfRule type="duplicateValues" dxfId="5257" priority="6442" stopIfTrue="1"/>
  </conditionalFormatting>
  <conditionalFormatting sqref="A1784">
    <cfRule type="duplicateValues" dxfId="5256" priority="6441" stopIfTrue="1"/>
  </conditionalFormatting>
  <conditionalFormatting sqref="A1784">
    <cfRule type="duplicateValues" dxfId="5255" priority="6440" stopIfTrue="1"/>
  </conditionalFormatting>
  <conditionalFormatting sqref="A1784">
    <cfRule type="duplicateValues" dxfId="5254" priority="6439" stopIfTrue="1"/>
  </conditionalFormatting>
  <conditionalFormatting sqref="A1784">
    <cfRule type="duplicateValues" dxfId="5253" priority="6438" stopIfTrue="1"/>
  </conditionalFormatting>
  <conditionalFormatting sqref="A1784">
    <cfRule type="duplicateValues" dxfId="5252" priority="6437"/>
  </conditionalFormatting>
  <conditionalFormatting sqref="A1784">
    <cfRule type="duplicateValues" dxfId="5251" priority="6436"/>
  </conditionalFormatting>
  <conditionalFormatting sqref="A1784">
    <cfRule type="duplicateValues" dxfId="5250" priority="6435"/>
  </conditionalFormatting>
  <conditionalFormatting sqref="A1784">
    <cfRule type="duplicateValues" dxfId="5249" priority="6434"/>
  </conditionalFormatting>
  <conditionalFormatting sqref="A1784">
    <cfRule type="duplicateValues" dxfId="5248" priority="6433"/>
  </conditionalFormatting>
  <conditionalFormatting sqref="A1784">
    <cfRule type="duplicateValues" dxfId="5247" priority="6432"/>
  </conditionalFormatting>
  <conditionalFormatting sqref="A1784">
    <cfRule type="duplicateValues" dxfId="5246" priority="6431"/>
  </conditionalFormatting>
  <conditionalFormatting sqref="A1784">
    <cfRule type="duplicateValues" dxfId="5245" priority="6430"/>
  </conditionalFormatting>
  <conditionalFormatting sqref="A1784">
    <cfRule type="duplicateValues" dxfId="5244" priority="6428"/>
    <cfRule type="duplicateValues" dxfId="5243" priority="6429"/>
  </conditionalFormatting>
  <conditionalFormatting sqref="A1784">
    <cfRule type="duplicateValues" dxfId="5242" priority="6427"/>
  </conditionalFormatting>
  <conditionalFormatting sqref="A1784">
    <cfRule type="duplicateValues" dxfId="5241" priority="6470"/>
  </conditionalFormatting>
  <conditionalFormatting sqref="A1891:A1897">
    <cfRule type="duplicateValues" dxfId="5240" priority="6421" stopIfTrue="1"/>
  </conditionalFormatting>
  <conditionalFormatting sqref="A1891:A1897">
    <cfRule type="duplicateValues" dxfId="5239" priority="6422" stopIfTrue="1"/>
  </conditionalFormatting>
  <conditionalFormatting sqref="C1891:C1897">
    <cfRule type="duplicateValues" dxfId="5238" priority="6423" stopIfTrue="1"/>
  </conditionalFormatting>
  <conditionalFormatting sqref="A1891:A1897">
    <cfRule type="duplicateValues" dxfId="5237" priority="6424" stopIfTrue="1"/>
    <cfRule type="duplicateValues" dxfId="5236" priority="6425" stopIfTrue="1"/>
  </conditionalFormatting>
  <conditionalFormatting sqref="A1891:A1897">
    <cfRule type="duplicateValues" dxfId="5235" priority="6426"/>
  </conditionalFormatting>
  <conditionalFormatting sqref="A1891:A1897">
    <cfRule type="duplicateValues" dxfId="5234" priority="6419"/>
    <cfRule type="duplicateValues" dxfId="5233" priority="6420"/>
  </conditionalFormatting>
  <conditionalFormatting sqref="A1891:A1897">
    <cfRule type="duplicateValues" dxfId="5232" priority="6418"/>
  </conditionalFormatting>
  <conditionalFormatting sqref="A1887">
    <cfRule type="duplicateValues" dxfId="5231" priority="6416" stopIfTrue="1"/>
  </conditionalFormatting>
  <conditionalFormatting sqref="A1887">
    <cfRule type="duplicateValues" dxfId="5230" priority="6415" stopIfTrue="1"/>
  </conditionalFormatting>
  <conditionalFormatting sqref="A1887">
    <cfRule type="duplicateValues" dxfId="5229" priority="6414" stopIfTrue="1"/>
  </conditionalFormatting>
  <conditionalFormatting sqref="A1887">
    <cfRule type="duplicateValues" dxfId="5228" priority="6413" stopIfTrue="1"/>
  </conditionalFormatting>
  <conditionalFormatting sqref="A1887">
    <cfRule type="duplicateValues" dxfId="5227" priority="6412" stopIfTrue="1"/>
  </conditionalFormatting>
  <conditionalFormatting sqref="A1887">
    <cfRule type="duplicateValues" dxfId="5226" priority="6411" stopIfTrue="1"/>
  </conditionalFormatting>
  <conditionalFormatting sqref="A1887">
    <cfRule type="duplicateValues" dxfId="5225" priority="6410" stopIfTrue="1"/>
  </conditionalFormatting>
  <conditionalFormatting sqref="A1887">
    <cfRule type="duplicateValues" dxfId="5224" priority="6409" stopIfTrue="1"/>
  </conditionalFormatting>
  <conditionalFormatting sqref="A1887">
    <cfRule type="duplicateValues" dxfId="5223" priority="6408" stopIfTrue="1"/>
  </conditionalFormatting>
  <conditionalFormatting sqref="A1887">
    <cfRule type="duplicateValues" dxfId="5222" priority="6407" stopIfTrue="1"/>
  </conditionalFormatting>
  <conditionalFormatting sqref="A1887">
    <cfRule type="duplicateValues" dxfId="5221" priority="6406" stopIfTrue="1"/>
  </conditionalFormatting>
  <conditionalFormatting sqref="A1887">
    <cfRule type="duplicateValues" dxfId="5220" priority="6405" stopIfTrue="1"/>
  </conditionalFormatting>
  <conditionalFormatting sqref="A1887">
    <cfRule type="duplicateValues" dxfId="5219" priority="6404" stopIfTrue="1"/>
  </conditionalFormatting>
  <conditionalFormatting sqref="A1887">
    <cfRule type="duplicateValues" dxfId="5218" priority="6403" stopIfTrue="1"/>
  </conditionalFormatting>
  <conditionalFormatting sqref="A1887">
    <cfRule type="duplicateValues" dxfId="5217" priority="6417" stopIfTrue="1"/>
  </conditionalFormatting>
  <conditionalFormatting sqref="A1887">
    <cfRule type="duplicateValues" dxfId="5216" priority="6402" stopIfTrue="1"/>
  </conditionalFormatting>
  <conditionalFormatting sqref="C1887">
    <cfRule type="duplicateValues" dxfId="5215" priority="6401" stopIfTrue="1"/>
  </conditionalFormatting>
  <conditionalFormatting sqref="A1887">
    <cfRule type="duplicateValues" dxfId="5214" priority="6400" stopIfTrue="1"/>
  </conditionalFormatting>
  <conditionalFormatting sqref="A1887">
    <cfRule type="duplicateValues" dxfId="5213" priority="6399" stopIfTrue="1"/>
  </conditionalFormatting>
  <conditionalFormatting sqref="A1887">
    <cfRule type="duplicateValues" dxfId="5212" priority="6398" stopIfTrue="1"/>
  </conditionalFormatting>
  <conditionalFormatting sqref="A1887">
    <cfRule type="duplicateValues" dxfId="5211" priority="6397" stopIfTrue="1"/>
  </conditionalFormatting>
  <conditionalFormatting sqref="A1887">
    <cfRule type="duplicateValues" dxfId="5210" priority="6396" stopIfTrue="1"/>
  </conditionalFormatting>
  <conditionalFormatting sqref="A1887">
    <cfRule type="duplicateValues" dxfId="5209" priority="6395" stopIfTrue="1"/>
  </conditionalFormatting>
  <conditionalFormatting sqref="A1887">
    <cfRule type="duplicateValues" dxfId="5208" priority="6394" stopIfTrue="1"/>
  </conditionalFormatting>
  <conditionalFormatting sqref="A1887">
    <cfRule type="duplicateValues" dxfId="5207" priority="6393" stopIfTrue="1"/>
  </conditionalFormatting>
  <conditionalFormatting sqref="A1887">
    <cfRule type="duplicateValues" dxfId="5206" priority="6391" stopIfTrue="1"/>
    <cfRule type="duplicateValues" dxfId="5205" priority="6392" stopIfTrue="1"/>
  </conditionalFormatting>
  <conditionalFormatting sqref="A1887">
    <cfRule type="duplicateValues" dxfId="5204" priority="6390" stopIfTrue="1"/>
  </conditionalFormatting>
  <conditionalFormatting sqref="A1887">
    <cfRule type="duplicateValues" dxfId="5203" priority="6389" stopIfTrue="1"/>
  </conditionalFormatting>
  <conditionalFormatting sqref="A1887">
    <cfRule type="duplicateValues" dxfId="5202" priority="6388" stopIfTrue="1"/>
  </conditionalFormatting>
  <conditionalFormatting sqref="A1887">
    <cfRule type="duplicateValues" dxfId="5201" priority="6387" stopIfTrue="1"/>
  </conditionalFormatting>
  <conditionalFormatting sqref="A1887">
    <cfRule type="duplicateValues" dxfId="5200" priority="6386" stopIfTrue="1"/>
  </conditionalFormatting>
  <conditionalFormatting sqref="A1887">
    <cfRule type="duplicateValues" dxfId="5199" priority="6385"/>
  </conditionalFormatting>
  <conditionalFormatting sqref="A1887">
    <cfRule type="duplicateValues" dxfId="5198" priority="6384"/>
  </conditionalFormatting>
  <conditionalFormatting sqref="A1887">
    <cfRule type="duplicateValues" dxfId="5197" priority="6383"/>
  </conditionalFormatting>
  <conditionalFormatting sqref="A1887">
    <cfRule type="duplicateValues" dxfId="5196" priority="6382"/>
  </conditionalFormatting>
  <conditionalFormatting sqref="A1887">
    <cfRule type="duplicateValues" dxfId="5195" priority="6381"/>
  </conditionalFormatting>
  <conditionalFormatting sqref="A1887">
    <cfRule type="duplicateValues" dxfId="5194" priority="6380"/>
  </conditionalFormatting>
  <conditionalFormatting sqref="A1887">
    <cfRule type="duplicateValues" dxfId="5193" priority="6379"/>
  </conditionalFormatting>
  <conditionalFormatting sqref="A1887">
    <cfRule type="duplicateValues" dxfId="5192" priority="6378"/>
  </conditionalFormatting>
  <conditionalFormatting sqref="A1887">
    <cfRule type="duplicateValues" dxfId="5191" priority="6377"/>
  </conditionalFormatting>
  <conditionalFormatting sqref="A1887">
    <cfRule type="duplicateValues" dxfId="5190" priority="6375"/>
    <cfRule type="duplicateValues" dxfId="5189" priority="6376"/>
  </conditionalFormatting>
  <conditionalFormatting sqref="A1887">
    <cfRule type="duplicateValues" dxfId="5188" priority="6374"/>
  </conditionalFormatting>
  <conditionalFormatting sqref="A1888">
    <cfRule type="duplicateValues" dxfId="5187" priority="6372" stopIfTrue="1"/>
  </conditionalFormatting>
  <conditionalFormatting sqref="A1888">
    <cfRule type="duplicateValues" dxfId="5186" priority="6371" stopIfTrue="1"/>
  </conditionalFormatting>
  <conditionalFormatting sqref="A1888">
    <cfRule type="duplicateValues" dxfId="5185" priority="6370" stopIfTrue="1"/>
  </conditionalFormatting>
  <conditionalFormatting sqref="A1888">
    <cfRule type="duplicateValues" dxfId="5184" priority="6369" stopIfTrue="1"/>
  </conditionalFormatting>
  <conditionalFormatting sqref="A1888">
    <cfRule type="duplicateValues" dxfId="5183" priority="6368" stopIfTrue="1"/>
  </conditionalFormatting>
  <conditionalFormatting sqref="A1888">
    <cfRule type="duplicateValues" dxfId="5182" priority="6367" stopIfTrue="1"/>
  </conditionalFormatting>
  <conditionalFormatting sqref="A1888">
    <cfRule type="duplicateValues" dxfId="5181" priority="6366" stopIfTrue="1"/>
  </conditionalFormatting>
  <conditionalFormatting sqref="A1888">
    <cfRule type="duplicateValues" dxfId="5180" priority="6365" stopIfTrue="1"/>
  </conditionalFormatting>
  <conditionalFormatting sqref="A1888">
    <cfRule type="duplicateValues" dxfId="5179" priority="6364" stopIfTrue="1"/>
  </conditionalFormatting>
  <conditionalFormatting sqref="A1888">
    <cfRule type="duplicateValues" dxfId="5178" priority="6363" stopIfTrue="1"/>
  </conditionalFormatting>
  <conditionalFormatting sqref="A1888">
    <cfRule type="duplicateValues" dxfId="5177" priority="6362" stopIfTrue="1"/>
  </conditionalFormatting>
  <conditionalFormatting sqref="A1888">
    <cfRule type="duplicateValues" dxfId="5176" priority="6361" stopIfTrue="1"/>
  </conditionalFormatting>
  <conditionalFormatting sqref="A1888">
    <cfRule type="duplicateValues" dxfId="5175" priority="6360" stopIfTrue="1"/>
  </conditionalFormatting>
  <conditionalFormatting sqref="A1888">
    <cfRule type="duplicateValues" dxfId="5174" priority="6359" stopIfTrue="1"/>
  </conditionalFormatting>
  <conditionalFormatting sqref="A1888">
    <cfRule type="duplicateValues" dxfId="5173" priority="6373" stopIfTrue="1"/>
  </conditionalFormatting>
  <conditionalFormatting sqref="A1888">
    <cfRule type="duplicateValues" dxfId="5172" priority="6358" stopIfTrue="1"/>
  </conditionalFormatting>
  <conditionalFormatting sqref="C1888">
    <cfRule type="duplicateValues" dxfId="5171" priority="6357" stopIfTrue="1"/>
  </conditionalFormatting>
  <conditionalFormatting sqref="A1888">
    <cfRule type="duplicateValues" dxfId="5170" priority="6356" stopIfTrue="1"/>
  </conditionalFormatting>
  <conditionalFormatting sqref="A1888">
    <cfRule type="duplicateValues" dxfId="5169" priority="6355" stopIfTrue="1"/>
  </conditionalFormatting>
  <conditionalFormatting sqref="A1888">
    <cfRule type="duplicateValues" dxfId="5168" priority="6354" stopIfTrue="1"/>
  </conditionalFormatting>
  <conditionalFormatting sqref="A1888">
    <cfRule type="duplicateValues" dxfId="5167" priority="6353" stopIfTrue="1"/>
  </conditionalFormatting>
  <conditionalFormatting sqref="A1888">
    <cfRule type="duplicateValues" dxfId="5166" priority="6352" stopIfTrue="1"/>
  </conditionalFormatting>
  <conditionalFormatting sqref="A1888">
    <cfRule type="duplicateValues" dxfId="5165" priority="6351" stopIfTrue="1"/>
  </conditionalFormatting>
  <conditionalFormatting sqref="A1888">
    <cfRule type="duplicateValues" dxfId="5164" priority="6350" stopIfTrue="1"/>
  </conditionalFormatting>
  <conditionalFormatting sqref="A1888">
    <cfRule type="duplicateValues" dxfId="5163" priority="6349" stopIfTrue="1"/>
  </conditionalFormatting>
  <conditionalFormatting sqref="A1888">
    <cfRule type="duplicateValues" dxfId="5162" priority="6347" stopIfTrue="1"/>
    <cfRule type="duplicateValues" dxfId="5161" priority="6348" stopIfTrue="1"/>
  </conditionalFormatting>
  <conditionalFormatting sqref="A1888">
    <cfRule type="duplicateValues" dxfId="5160" priority="6346" stopIfTrue="1"/>
  </conditionalFormatting>
  <conditionalFormatting sqref="A1888">
    <cfRule type="duplicateValues" dxfId="5159" priority="6345" stopIfTrue="1"/>
  </conditionalFormatting>
  <conditionalFormatting sqref="A1888">
    <cfRule type="duplicateValues" dxfId="5158" priority="6344" stopIfTrue="1"/>
  </conditionalFormatting>
  <conditionalFormatting sqref="A1888">
    <cfRule type="duplicateValues" dxfId="5157" priority="6343" stopIfTrue="1"/>
  </conditionalFormatting>
  <conditionalFormatting sqref="A1888">
    <cfRule type="duplicateValues" dxfId="5156" priority="6342" stopIfTrue="1"/>
  </conditionalFormatting>
  <conditionalFormatting sqref="A1888">
    <cfRule type="duplicateValues" dxfId="5155" priority="6341"/>
  </conditionalFormatting>
  <conditionalFormatting sqref="A1888">
    <cfRule type="duplicateValues" dxfId="5154" priority="6340"/>
  </conditionalFormatting>
  <conditionalFormatting sqref="A1888">
    <cfRule type="duplicateValues" dxfId="5153" priority="6339"/>
  </conditionalFormatting>
  <conditionalFormatting sqref="A1888">
    <cfRule type="duplicateValues" dxfId="5152" priority="6338"/>
  </conditionalFormatting>
  <conditionalFormatting sqref="A1888">
    <cfRule type="duplicateValues" dxfId="5151" priority="6337"/>
  </conditionalFormatting>
  <conditionalFormatting sqref="A1888">
    <cfRule type="duplicateValues" dxfId="5150" priority="6336"/>
  </conditionalFormatting>
  <conditionalFormatting sqref="A1888">
    <cfRule type="duplicateValues" dxfId="5149" priority="6335"/>
  </conditionalFormatting>
  <conditionalFormatting sqref="A1888">
    <cfRule type="duplicateValues" dxfId="5148" priority="6334"/>
  </conditionalFormatting>
  <conditionalFormatting sqref="A1888">
    <cfRule type="duplicateValues" dxfId="5147" priority="6333"/>
  </conditionalFormatting>
  <conditionalFormatting sqref="A1888">
    <cfRule type="duplicateValues" dxfId="5146" priority="6331"/>
    <cfRule type="duplicateValues" dxfId="5145" priority="6332"/>
  </conditionalFormatting>
  <conditionalFormatting sqref="A1888">
    <cfRule type="duplicateValues" dxfId="5144" priority="6330"/>
  </conditionalFormatting>
  <conditionalFormatting sqref="A1889">
    <cfRule type="duplicateValues" dxfId="5143" priority="6328" stopIfTrue="1"/>
  </conditionalFormatting>
  <conditionalFormatting sqref="A1889">
    <cfRule type="duplicateValues" dxfId="5142" priority="6327" stopIfTrue="1"/>
  </conditionalFormatting>
  <conditionalFormatting sqref="A1889">
    <cfRule type="duplicateValues" dxfId="5141" priority="6326" stopIfTrue="1"/>
  </conditionalFormatting>
  <conditionalFormatting sqref="A1889">
    <cfRule type="duplicateValues" dxfId="5140" priority="6325" stopIfTrue="1"/>
  </conditionalFormatting>
  <conditionalFormatting sqref="A1889">
    <cfRule type="duplicateValues" dxfId="5139" priority="6324" stopIfTrue="1"/>
  </conditionalFormatting>
  <conditionalFormatting sqref="A1889">
    <cfRule type="duplicateValues" dxfId="5138" priority="6323" stopIfTrue="1"/>
  </conditionalFormatting>
  <conditionalFormatting sqref="A1889">
    <cfRule type="duplicateValues" dxfId="5137" priority="6322" stopIfTrue="1"/>
  </conditionalFormatting>
  <conditionalFormatting sqref="A1889">
    <cfRule type="duplicateValues" dxfId="5136" priority="6321" stopIfTrue="1"/>
  </conditionalFormatting>
  <conditionalFormatting sqref="A1889">
    <cfRule type="duplicateValues" dxfId="5135" priority="6320" stopIfTrue="1"/>
  </conditionalFormatting>
  <conditionalFormatting sqref="A1889">
    <cfRule type="duplicateValues" dxfId="5134" priority="6319" stopIfTrue="1"/>
  </conditionalFormatting>
  <conditionalFormatting sqref="A1889">
    <cfRule type="duplicateValues" dxfId="5133" priority="6318" stopIfTrue="1"/>
  </conditionalFormatting>
  <conditionalFormatting sqref="A1889">
    <cfRule type="duplicateValues" dxfId="5132" priority="6317" stopIfTrue="1"/>
  </conditionalFormatting>
  <conditionalFormatting sqref="A1889">
    <cfRule type="duplicateValues" dxfId="5131" priority="6316" stopIfTrue="1"/>
  </conditionalFormatting>
  <conditionalFormatting sqref="A1889">
    <cfRule type="duplicateValues" dxfId="5130" priority="6315" stopIfTrue="1"/>
  </conditionalFormatting>
  <conditionalFormatting sqref="A1889">
    <cfRule type="duplicateValues" dxfId="5129" priority="6329" stopIfTrue="1"/>
  </conditionalFormatting>
  <conditionalFormatting sqref="A1889">
    <cfRule type="duplicateValues" dxfId="5128" priority="6314" stopIfTrue="1"/>
  </conditionalFormatting>
  <conditionalFormatting sqref="C1889">
    <cfRule type="duplicateValues" dxfId="5127" priority="6313" stopIfTrue="1"/>
  </conditionalFormatting>
  <conditionalFormatting sqref="A1889">
    <cfRule type="duplicateValues" dxfId="5126" priority="6312" stopIfTrue="1"/>
  </conditionalFormatting>
  <conditionalFormatting sqref="A1889">
    <cfRule type="duplicateValues" dxfId="5125" priority="6311" stopIfTrue="1"/>
  </conditionalFormatting>
  <conditionalFormatting sqref="A1889">
    <cfRule type="duplicateValues" dxfId="5124" priority="6310" stopIfTrue="1"/>
  </conditionalFormatting>
  <conditionalFormatting sqref="A1889">
    <cfRule type="duplicateValues" dxfId="5123" priority="6309" stopIfTrue="1"/>
  </conditionalFormatting>
  <conditionalFormatting sqref="A1889">
    <cfRule type="duplicateValues" dxfId="5122" priority="6308" stopIfTrue="1"/>
  </conditionalFormatting>
  <conditionalFormatting sqref="A1889">
    <cfRule type="duplicateValues" dxfId="5121" priority="6307" stopIfTrue="1"/>
  </conditionalFormatting>
  <conditionalFormatting sqref="A1889">
    <cfRule type="duplicateValues" dxfId="5120" priority="6306" stopIfTrue="1"/>
  </conditionalFormatting>
  <conditionalFormatting sqref="A1889">
    <cfRule type="duplicateValues" dxfId="5119" priority="6305" stopIfTrue="1"/>
  </conditionalFormatting>
  <conditionalFormatting sqref="A1889">
    <cfRule type="duplicateValues" dxfId="5118" priority="6303" stopIfTrue="1"/>
    <cfRule type="duplicateValues" dxfId="5117" priority="6304" stopIfTrue="1"/>
  </conditionalFormatting>
  <conditionalFormatting sqref="A1889">
    <cfRule type="duplicateValues" dxfId="5116" priority="6302" stopIfTrue="1"/>
  </conditionalFormatting>
  <conditionalFormatting sqref="A1889">
    <cfRule type="duplicateValues" dxfId="5115" priority="6301" stopIfTrue="1"/>
  </conditionalFormatting>
  <conditionalFormatting sqref="A1889">
    <cfRule type="duplicateValues" dxfId="5114" priority="6300" stopIfTrue="1"/>
  </conditionalFormatting>
  <conditionalFormatting sqref="A1889">
    <cfRule type="duplicateValues" dxfId="5113" priority="6299" stopIfTrue="1"/>
  </conditionalFormatting>
  <conditionalFormatting sqref="A1889">
    <cfRule type="duplicateValues" dxfId="5112" priority="6298" stopIfTrue="1"/>
  </conditionalFormatting>
  <conditionalFormatting sqref="A1889">
    <cfRule type="duplicateValues" dxfId="5111" priority="6297"/>
  </conditionalFormatting>
  <conditionalFormatting sqref="A1889">
    <cfRule type="duplicateValues" dxfId="5110" priority="6296"/>
  </conditionalFormatting>
  <conditionalFormatting sqref="A1889">
    <cfRule type="duplicateValues" dxfId="5109" priority="6295"/>
  </conditionalFormatting>
  <conditionalFormatting sqref="A1889">
    <cfRule type="duplicateValues" dxfId="5108" priority="6294"/>
  </conditionalFormatting>
  <conditionalFormatting sqref="A1889">
    <cfRule type="duplicateValues" dxfId="5107" priority="6293"/>
  </conditionalFormatting>
  <conditionalFormatting sqref="A1889">
    <cfRule type="duplicateValues" dxfId="5106" priority="6292"/>
  </conditionalFormatting>
  <conditionalFormatting sqref="A1889">
    <cfRule type="duplicateValues" dxfId="5105" priority="6291"/>
  </conditionalFormatting>
  <conditionalFormatting sqref="A1889">
    <cfRule type="duplicateValues" dxfId="5104" priority="6290"/>
  </conditionalFormatting>
  <conditionalFormatting sqref="A1889">
    <cfRule type="duplicateValues" dxfId="5103" priority="6289"/>
  </conditionalFormatting>
  <conditionalFormatting sqref="A1889">
    <cfRule type="duplicateValues" dxfId="5102" priority="6287"/>
    <cfRule type="duplicateValues" dxfId="5101" priority="6288"/>
  </conditionalFormatting>
  <conditionalFormatting sqref="A1889">
    <cfRule type="duplicateValues" dxfId="5100" priority="6286"/>
  </conditionalFormatting>
  <conditionalFormatting sqref="A1890">
    <cfRule type="duplicateValues" dxfId="5099" priority="6284" stopIfTrue="1"/>
  </conditionalFormatting>
  <conditionalFormatting sqref="A1890">
    <cfRule type="duplicateValues" dxfId="5098" priority="6283" stopIfTrue="1"/>
  </conditionalFormatting>
  <conditionalFormatting sqref="A1890">
    <cfRule type="duplicateValues" dxfId="5097" priority="6282" stopIfTrue="1"/>
  </conditionalFormatting>
  <conditionalFormatting sqref="A1890">
    <cfRule type="duplicateValues" dxfId="5096" priority="6281" stopIfTrue="1"/>
  </conditionalFormatting>
  <conditionalFormatting sqref="A1890">
    <cfRule type="duplicateValues" dxfId="5095" priority="6280" stopIfTrue="1"/>
  </conditionalFormatting>
  <conditionalFormatting sqref="A1890">
    <cfRule type="duplicateValues" dxfId="5094" priority="6279" stopIfTrue="1"/>
  </conditionalFormatting>
  <conditionalFormatting sqref="A1890">
    <cfRule type="duplicateValues" dxfId="5093" priority="6278" stopIfTrue="1"/>
  </conditionalFormatting>
  <conditionalFormatting sqref="A1890">
    <cfRule type="duplicateValues" dxfId="5092" priority="6277" stopIfTrue="1"/>
  </conditionalFormatting>
  <conditionalFormatting sqref="A1890">
    <cfRule type="duplicateValues" dxfId="5091" priority="6276" stopIfTrue="1"/>
  </conditionalFormatting>
  <conditionalFormatting sqref="A1890">
    <cfRule type="duplicateValues" dxfId="5090" priority="6275" stopIfTrue="1"/>
  </conditionalFormatting>
  <conditionalFormatting sqref="A1890">
    <cfRule type="duplicateValues" dxfId="5089" priority="6274" stopIfTrue="1"/>
  </conditionalFormatting>
  <conditionalFormatting sqref="A1890">
    <cfRule type="duplicateValues" dxfId="5088" priority="6273" stopIfTrue="1"/>
  </conditionalFormatting>
  <conditionalFormatting sqref="A1890">
    <cfRule type="duplicateValues" dxfId="5087" priority="6272" stopIfTrue="1"/>
  </conditionalFormatting>
  <conditionalFormatting sqref="A1890">
    <cfRule type="duplicateValues" dxfId="5086" priority="6271" stopIfTrue="1"/>
  </conditionalFormatting>
  <conditionalFormatting sqref="A1890">
    <cfRule type="duplicateValues" dxfId="5085" priority="6285" stopIfTrue="1"/>
  </conditionalFormatting>
  <conditionalFormatting sqref="A1890">
    <cfRule type="duplicateValues" dxfId="5084" priority="6270" stopIfTrue="1"/>
  </conditionalFormatting>
  <conditionalFormatting sqref="C1890">
    <cfRule type="duplicateValues" dxfId="5083" priority="6269" stopIfTrue="1"/>
  </conditionalFormatting>
  <conditionalFormatting sqref="A1890">
    <cfRule type="duplicateValues" dxfId="5082" priority="6268" stopIfTrue="1"/>
  </conditionalFormatting>
  <conditionalFormatting sqref="A1890">
    <cfRule type="duplicateValues" dxfId="5081" priority="6267" stopIfTrue="1"/>
  </conditionalFormatting>
  <conditionalFormatting sqref="A1890">
    <cfRule type="duplicateValues" dxfId="5080" priority="6266" stopIfTrue="1"/>
  </conditionalFormatting>
  <conditionalFormatting sqref="A1890">
    <cfRule type="duplicateValues" dxfId="5079" priority="6265" stopIfTrue="1"/>
  </conditionalFormatting>
  <conditionalFormatting sqref="A1890">
    <cfRule type="duplicateValues" dxfId="5078" priority="6264" stopIfTrue="1"/>
  </conditionalFormatting>
  <conditionalFormatting sqref="A1890">
    <cfRule type="duplicateValues" dxfId="5077" priority="6263" stopIfTrue="1"/>
  </conditionalFormatting>
  <conditionalFormatting sqref="A1890">
    <cfRule type="duplicateValues" dxfId="5076" priority="6262" stopIfTrue="1"/>
  </conditionalFormatting>
  <conditionalFormatting sqref="A1890">
    <cfRule type="duplicateValues" dxfId="5075" priority="6261" stopIfTrue="1"/>
  </conditionalFormatting>
  <conditionalFormatting sqref="A1890">
    <cfRule type="duplicateValues" dxfId="5074" priority="6259" stopIfTrue="1"/>
    <cfRule type="duplicateValues" dxfId="5073" priority="6260" stopIfTrue="1"/>
  </conditionalFormatting>
  <conditionalFormatting sqref="A1890">
    <cfRule type="duplicateValues" dxfId="5072" priority="6258" stopIfTrue="1"/>
  </conditionalFormatting>
  <conditionalFormatting sqref="A1890">
    <cfRule type="duplicateValues" dxfId="5071" priority="6257" stopIfTrue="1"/>
  </conditionalFormatting>
  <conditionalFormatting sqref="A1890">
    <cfRule type="duplicateValues" dxfId="5070" priority="6256" stopIfTrue="1"/>
  </conditionalFormatting>
  <conditionalFormatting sqref="A1890">
    <cfRule type="duplicateValues" dxfId="5069" priority="6255" stopIfTrue="1"/>
  </conditionalFormatting>
  <conditionalFormatting sqref="A1890">
    <cfRule type="duplicateValues" dxfId="5068" priority="6254" stopIfTrue="1"/>
  </conditionalFormatting>
  <conditionalFormatting sqref="A1890">
    <cfRule type="duplicateValues" dxfId="5067" priority="6253"/>
  </conditionalFormatting>
  <conditionalFormatting sqref="A1890">
    <cfRule type="duplicateValues" dxfId="5066" priority="6252"/>
  </conditionalFormatting>
  <conditionalFormatting sqref="A1890">
    <cfRule type="duplicateValues" dxfId="5065" priority="6251"/>
  </conditionalFormatting>
  <conditionalFormatting sqref="A1890">
    <cfRule type="duplicateValues" dxfId="5064" priority="6250"/>
  </conditionalFormatting>
  <conditionalFormatting sqref="A1890">
    <cfRule type="duplicateValues" dxfId="5063" priority="6249"/>
  </conditionalFormatting>
  <conditionalFormatting sqref="A1890">
    <cfRule type="duplicateValues" dxfId="5062" priority="6248"/>
  </conditionalFormatting>
  <conditionalFormatting sqref="A1890">
    <cfRule type="duplicateValues" dxfId="5061" priority="6247"/>
  </conditionalFormatting>
  <conditionalFormatting sqref="A1890">
    <cfRule type="duplicateValues" dxfId="5060" priority="6246"/>
  </conditionalFormatting>
  <conditionalFormatting sqref="A1890">
    <cfRule type="duplicateValues" dxfId="5059" priority="6245"/>
  </conditionalFormatting>
  <conditionalFormatting sqref="A1890">
    <cfRule type="duplicateValues" dxfId="5058" priority="6243"/>
    <cfRule type="duplicateValues" dxfId="5057" priority="6244"/>
  </conditionalFormatting>
  <conditionalFormatting sqref="A1890">
    <cfRule type="duplicateValues" dxfId="5056" priority="6242"/>
  </conditionalFormatting>
  <conditionalFormatting sqref="A358">
    <cfRule type="duplicateValues" dxfId="5055" priority="6239" stopIfTrue="1"/>
  </conditionalFormatting>
  <conditionalFormatting sqref="A358">
    <cfRule type="duplicateValues" dxfId="5054" priority="6238" stopIfTrue="1"/>
  </conditionalFormatting>
  <conditionalFormatting sqref="A358">
    <cfRule type="duplicateValues" dxfId="5053" priority="6237" stopIfTrue="1"/>
  </conditionalFormatting>
  <conditionalFormatting sqref="A358">
    <cfRule type="duplicateValues" dxfId="5052" priority="6236" stopIfTrue="1"/>
  </conditionalFormatting>
  <conditionalFormatting sqref="A358">
    <cfRule type="duplicateValues" dxfId="5051" priority="6235" stopIfTrue="1"/>
  </conditionalFormatting>
  <conditionalFormatting sqref="A358">
    <cfRule type="duplicateValues" dxfId="5050" priority="6234" stopIfTrue="1"/>
  </conditionalFormatting>
  <conditionalFormatting sqref="A358">
    <cfRule type="duplicateValues" dxfId="5049" priority="6233" stopIfTrue="1"/>
  </conditionalFormatting>
  <conditionalFormatting sqref="A358">
    <cfRule type="duplicateValues" dxfId="5048" priority="6232" stopIfTrue="1"/>
  </conditionalFormatting>
  <conditionalFormatting sqref="A358">
    <cfRule type="duplicateValues" dxfId="5047" priority="6231" stopIfTrue="1"/>
  </conditionalFormatting>
  <conditionalFormatting sqref="A358">
    <cfRule type="duplicateValues" dxfId="5046" priority="6230" stopIfTrue="1"/>
  </conditionalFormatting>
  <conditionalFormatting sqref="A358">
    <cfRule type="duplicateValues" dxfId="5045" priority="6229" stopIfTrue="1"/>
  </conditionalFormatting>
  <conditionalFormatting sqref="A358">
    <cfRule type="duplicateValues" dxfId="5044" priority="6228" stopIfTrue="1"/>
  </conditionalFormatting>
  <conditionalFormatting sqref="A358">
    <cfRule type="duplicateValues" dxfId="5043" priority="6227" stopIfTrue="1"/>
  </conditionalFormatting>
  <conditionalFormatting sqref="A358">
    <cfRule type="duplicateValues" dxfId="5042" priority="6240" stopIfTrue="1"/>
  </conditionalFormatting>
  <conditionalFormatting sqref="A358">
    <cfRule type="duplicateValues" dxfId="5041" priority="6226" stopIfTrue="1"/>
  </conditionalFormatting>
  <conditionalFormatting sqref="C358">
    <cfRule type="duplicateValues" dxfId="5040" priority="6225" stopIfTrue="1"/>
  </conditionalFormatting>
  <conditionalFormatting sqref="A358">
    <cfRule type="duplicateValues" dxfId="5039" priority="6224" stopIfTrue="1"/>
  </conditionalFormatting>
  <conditionalFormatting sqref="A358">
    <cfRule type="duplicateValues" dxfId="5038" priority="6223" stopIfTrue="1"/>
  </conditionalFormatting>
  <conditionalFormatting sqref="A358">
    <cfRule type="duplicateValues" dxfId="5037" priority="6222" stopIfTrue="1"/>
  </conditionalFormatting>
  <conditionalFormatting sqref="A358">
    <cfRule type="duplicateValues" dxfId="5036" priority="6221" stopIfTrue="1"/>
  </conditionalFormatting>
  <conditionalFormatting sqref="A358">
    <cfRule type="duplicateValues" dxfId="5035" priority="6220" stopIfTrue="1"/>
  </conditionalFormatting>
  <conditionalFormatting sqref="A358">
    <cfRule type="duplicateValues" dxfId="5034" priority="6219" stopIfTrue="1"/>
  </conditionalFormatting>
  <conditionalFormatting sqref="A358">
    <cfRule type="duplicateValues" dxfId="5033" priority="6218" stopIfTrue="1"/>
  </conditionalFormatting>
  <conditionalFormatting sqref="A358">
    <cfRule type="duplicateValues" dxfId="5032" priority="6217" stopIfTrue="1"/>
  </conditionalFormatting>
  <conditionalFormatting sqref="A358">
    <cfRule type="duplicateValues" dxfId="5031" priority="6215" stopIfTrue="1"/>
    <cfRule type="duplicateValues" dxfId="5030" priority="6216" stopIfTrue="1"/>
  </conditionalFormatting>
  <conditionalFormatting sqref="A358">
    <cfRule type="duplicateValues" dxfId="5029" priority="6214" stopIfTrue="1"/>
  </conditionalFormatting>
  <conditionalFormatting sqref="A358">
    <cfRule type="duplicateValues" dxfId="5028" priority="6213" stopIfTrue="1"/>
  </conditionalFormatting>
  <conditionalFormatting sqref="A358">
    <cfRule type="duplicateValues" dxfId="5027" priority="6212" stopIfTrue="1"/>
  </conditionalFormatting>
  <conditionalFormatting sqref="A358">
    <cfRule type="duplicateValues" dxfId="5026" priority="6211" stopIfTrue="1"/>
  </conditionalFormatting>
  <conditionalFormatting sqref="A358">
    <cfRule type="duplicateValues" dxfId="5025" priority="6210" stopIfTrue="1"/>
  </conditionalFormatting>
  <conditionalFormatting sqref="A358">
    <cfRule type="duplicateValues" dxfId="5024" priority="6209"/>
  </conditionalFormatting>
  <conditionalFormatting sqref="A358">
    <cfRule type="duplicateValues" dxfId="5023" priority="6208"/>
  </conditionalFormatting>
  <conditionalFormatting sqref="A358">
    <cfRule type="duplicateValues" dxfId="5022" priority="6207"/>
  </conditionalFormatting>
  <conditionalFormatting sqref="A358">
    <cfRule type="duplicateValues" dxfId="5021" priority="6206"/>
  </conditionalFormatting>
  <conditionalFormatting sqref="A358">
    <cfRule type="duplicateValues" dxfId="5020" priority="6205"/>
  </conditionalFormatting>
  <conditionalFormatting sqref="A358">
    <cfRule type="duplicateValues" dxfId="5019" priority="6204"/>
  </conditionalFormatting>
  <conditionalFormatting sqref="A358">
    <cfRule type="duplicateValues" dxfId="5018" priority="6203"/>
  </conditionalFormatting>
  <conditionalFormatting sqref="A358">
    <cfRule type="duplicateValues" dxfId="5017" priority="6202"/>
  </conditionalFormatting>
  <conditionalFormatting sqref="A358">
    <cfRule type="duplicateValues" dxfId="5016" priority="6200"/>
    <cfRule type="duplicateValues" dxfId="5015" priority="6201"/>
  </conditionalFormatting>
  <conditionalFormatting sqref="A358">
    <cfRule type="duplicateValues" dxfId="5014" priority="6199"/>
  </conditionalFormatting>
  <conditionalFormatting sqref="A358">
    <cfRule type="duplicateValues" dxfId="5013" priority="6241"/>
  </conditionalFormatting>
  <conditionalFormatting sqref="A359:A361">
    <cfRule type="duplicateValues" dxfId="5012" priority="6196" stopIfTrue="1"/>
  </conditionalFormatting>
  <conditionalFormatting sqref="A359:A361">
    <cfRule type="duplicateValues" dxfId="5011" priority="6195" stopIfTrue="1"/>
  </conditionalFormatting>
  <conditionalFormatting sqref="A359:A361">
    <cfRule type="duplicateValues" dxfId="5010" priority="6194" stopIfTrue="1"/>
  </conditionalFormatting>
  <conditionalFormatting sqref="A359:A361">
    <cfRule type="duplicateValues" dxfId="5009" priority="6193" stopIfTrue="1"/>
  </conditionalFormatting>
  <conditionalFormatting sqref="A359:A361">
    <cfRule type="duplicateValues" dxfId="5008" priority="6192" stopIfTrue="1"/>
  </conditionalFormatting>
  <conditionalFormatting sqref="A359:A361">
    <cfRule type="duplicateValues" dxfId="5007" priority="6191" stopIfTrue="1"/>
  </conditionalFormatting>
  <conditionalFormatting sqref="A359:A361">
    <cfRule type="duplicateValues" dxfId="5006" priority="6190" stopIfTrue="1"/>
  </conditionalFormatting>
  <conditionalFormatting sqref="A359:A361">
    <cfRule type="duplicateValues" dxfId="5005" priority="6189" stopIfTrue="1"/>
  </conditionalFormatting>
  <conditionalFormatting sqref="A359:A361">
    <cfRule type="duplicateValues" dxfId="5004" priority="6188" stopIfTrue="1"/>
  </conditionalFormatting>
  <conditionalFormatting sqref="A359:A361">
    <cfRule type="duplicateValues" dxfId="5003" priority="6187" stopIfTrue="1"/>
  </conditionalFormatting>
  <conditionalFormatting sqref="A359:A361">
    <cfRule type="duplicateValues" dxfId="5002" priority="6186" stopIfTrue="1"/>
  </conditionalFormatting>
  <conditionalFormatting sqref="A359:A361">
    <cfRule type="duplicateValues" dxfId="5001" priority="6185" stopIfTrue="1"/>
  </conditionalFormatting>
  <conditionalFormatting sqref="A359:A361">
    <cfRule type="duplicateValues" dxfId="5000" priority="6184" stopIfTrue="1"/>
  </conditionalFormatting>
  <conditionalFormatting sqref="A359:A361">
    <cfRule type="duplicateValues" dxfId="4999" priority="6197" stopIfTrue="1"/>
  </conditionalFormatting>
  <conditionalFormatting sqref="A359:A361">
    <cfRule type="duplicateValues" dxfId="4998" priority="6183" stopIfTrue="1"/>
  </conditionalFormatting>
  <conditionalFormatting sqref="C359:C361">
    <cfRule type="duplicateValues" dxfId="4997" priority="6182" stopIfTrue="1"/>
  </conditionalFormatting>
  <conditionalFormatting sqref="A359:A361">
    <cfRule type="duplicateValues" dxfId="4996" priority="6181" stopIfTrue="1"/>
  </conditionalFormatting>
  <conditionalFormatting sqref="A359:A361">
    <cfRule type="duplicateValues" dxfId="4995" priority="6180" stopIfTrue="1"/>
  </conditionalFormatting>
  <conditionalFormatting sqref="A359:A361">
    <cfRule type="duplicateValues" dxfId="4994" priority="6179" stopIfTrue="1"/>
  </conditionalFormatting>
  <conditionalFormatting sqref="A359:A361">
    <cfRule type="duplicateValues" dxfId="4993" priority="6178" stopIfTrue="1"/>
  </conditionalFormatting>
  <conditionalFormatting sqref="A359:A361">
    <cfRule type="duplicateValues" dxfId="4992" priority="6177" stopIfTrue="1"/>
  </conditionalFormatting>
  <conditionalFormatting sqref="A359:A361">
    <cfRule type="duplicateValues" dxfId="4991" priority="6176" stopIfTrue="1"/>
  </conditionalFormatting>
  <conditionalFormatting sqref="A359:A361">
    <cfRule type="duplicateValues" dxfId="4990" priority="6175" stopIfTrue="1"/>
  </conditionalFormatting>
  <conditionalFormatting sqref="A359:A361">
    <cfRule type="duplicateValues" dxfId="4989" priority="6174" stopIfTrue="1"/>
  </conditionalFormatting>
  <conditionalFormatting sqref="A359:A361">
    <cfRule type="duplicateValues" dxfId="4988" priority="6172" stopIfTrue="1"/>
    <cfRule type="duplicateValues" dxfId="4987" priority="6173" stopIfTrue="1"/>
  </conditionalFormatting>
  <conditionalFormatting sqref="A359:A361">
    <cfRule type="duplicateValues" dxfId="4986" priority="6171" stopIfTrue="1"/>
  </conditionalFormatting>
  <conditionalFormatting sqref="A359:A361">
    <cfRule type="duplicateValues" dxfId="4985" priority="6170" stopIfTrue="1"/>
  </conditionalFormatting>
  <conditionalFormatting sqref="A359:A361">
    <cfRule type="duplicateValues" dxfId="4984" priority="6169" stopIfTrue="1"/>
  </conditionalFormatting>
  <conditionalFormatting sqref="A359:A361">
    <cfRule type="duplicateValues" dxfId="4983" priority="6168" stopIfTrue="1"/>
  </conditionalFormatting>
  <conditionalFormatting sqref="A359:A361">
    <cfRule type="duplicateValues" dxfId="4982" priority="6167" stopIfTrue="1"/>
  </conditionalFormatting>
  <conditionalFormatting sqref="A359:A361">
    <cfRule type="duplicateValues" dxfId="4981" priority="6166"/>
  </conditionalFormatting>
  <conditionalFormatting sqref="A359:A361">
    <cfRule type="duplicateValues" dxfId="4980" priority="6165"/>
  </conditionalFormatting>
  <conditionalFormatting sqref="A359:A361">
    <cfRule type="duplicateValues" dxfId="4979" priority="6164"/>
  </conditionalFormatting>
  <conditionalFormatting sqref="A359:A361">
    <cfRule type="duplicateValues" dxfId="4978" priority="6163"/>
  </conditionalFormatting>
  <conditionalFormatting sqref="A359:A361">
    <cfRule type="duplicateValues" dxfId="4977" priority="6162"/>
  </conditionalFormatting>
  <conditionalFormatting sqref="A359:A361">
    <cfRule type="duplicateValues" dxfId="4976" priority="6161"/>
  </conditionalFormatting>
  <conditionalFormatting sqref="A359:A361">
    <cfRule type="duplicateValues" dxfId="4975" priority="6160"/>
  </conditionalFormatting>
  <conditionalFormatting sqref="A359:A361">
    <cfRule type="duplicateValues" dxfId="4974" priority="6159"/>
  </conditionalFormatting>
  <conditionalFormatting sqref="A359:A361">
    <cfRule type="duplicateValues" dxfId="4973" priority="6157"/>
    <cfRule type="duplicateValues" dxfId="4972" priority="6158"/>
  </conditionalFormatting>
  <conditionalFormatting sqref="A359:A361">
    <cfRule type="duplicateValues" dxfId="4971" priority="6156"/>
  </conditionalFormatting>
  <conditionalFormatting sqref="A359:A361">
    <cfRule type="duplicateValues" dxfId="4970" priority="6198"/>
  </conditionalFormatting>
  <conditionalFormatting sqref="A1071:A1073">
    <cfRule type="duplicateValues" dxfId="4969" priority="6153" stopIfTrue="1"/>
  </conditionalFormatting>
  <conditionalFormatting sqref="A1071:A1073">
    <cfRule type="duplicateValues" dxfId="4968" priority="6152" stopIfTrue="1"/>
  </conditionalFormatting>
  <conditionalFormatting sqref="A1071:A1073">
    <cfRule type="duplicateValues" dxfId="4967" priority="6151" stopIfTrue="1"/>
  </conditionalFormatting>
  <conditionalFormatting sqref="A1071:A1073">
    <cfRule type="duplicateValues" dxfId="4966" priority="6150" stopIfTrue="1"/>
  </conditionalFormatting>
  <conditionalFormatting sqref="A1071:A1073">
    <cfRule type="duplicateValues" dxfId="4965" priority="6149" stopIfTrue="1"/>
  </conditionalFormatting>
  <conditionalFormatting sqref="A1071:A1073">
    <cfRule type="duplicateValues" dxfId="4964" priority="6148" stopIfTrue="1"/>
  </conditionalFormatting>
  <conditionalFormatting sqref="A1071:A1073">
    <cfRule type="duplicateValues" dxfId="4963" priority="6147" stopIfTrue="1"/>
  </conditionalFormatting>
  <conditionalFormatting sqref="A1071:A1073">
    <cfRule type="duplicateValues" dxfId="4962" priority="6146" stopIfTrue="1"/>
  </conditionalFormatting>
  <conditionalFormatting sqref="A1071:A1073">
    <cfRule type="duplicateValues" dxfId="4961" priority="6145" stopIfTrue="1"/>
  </conditionalFormatting>
  <conditionalFormatting sqref="A1071:A1073">
    <cfRule type="duplicateValues" dxfId="4960" priority="6144" stopIfTrue="1"/>
  </conditionalFormatting>
  <conditionalFormatting sqref="A1071:A1073">
    <cfRule type="duplicateValues" dxfId="4959" priority="6143" stopIfTrue="1"/>
  </conditionalFormatting>
  <conditionalFormatting sqref="A1071:A1073">
    <cfRule type="duplicateValues" dxfId="4958" priority="6142" stopIfTrue="1"/>
  </conditionalFormatting>
  <conditionalFormatting sqref="A1071:A1073">
    <cfRule type="duplicateValues" dxfId="4957" priority="6141" stopIfTrue="1"/>
  </conditionalFormatting>
  <conditionalFormatting sqref="A1071:A1073">
    <cfRule type="duplicateValues" dxfId="4956" priority="6154" stopIfTrue="1"/>
  </conditionalFormatting>
  <conditionalFormatting sqref="A1071:A1073">
    <cfRule type="duplicateValues" dxfId="4955" priority="6140" stopIfTrue="1"/>
  </conditionalFormatting>
  <conditionalFormatting sqref="C1071:C1073">
    <cfRule type="duplicateValues" dxfId="4954" priority="6139" stopIfTrue="1"/>
  </conditionalFormatting>
  <conditionalFormatting sqref="A1071:A1073">
    <cfRule type="duplicateValues" dxfId="4953" priority="6138" stopIfTrue="1"/>
  </conditionalFormatting>
  <conditionalFormatting sqref="A1071:A1073">
    <cfRule type="duplicateValues" dxfId="4952" priority="6137" stopIfTrue="1"/>
  </conditionalFormatting>
  <conditionalFormatting sqref="A1071:A1073">
    <cfRule type="duplicateValues" dxfId="4951" priority="6136" stopIfTrue="1"/>
  </conditionalFormatting>
  <conditionalFormatting sqref="A1071:A1073">
    <cfRule type="duplicateValues" dxfId="4950" priority="6135" stopIfTrue="1"/>
  </conditionalFormatting>
  <conditionalFormatting sqref="A1071:A1073">
    <cfRule type="duplicateValues" dxfId="4949" priority="6134" stopIfTrue="1"/>
  </conditionalFormatting>
  <conditionalFormatting sqref="A1071:A1073">
    <cfRule type="duplicateValues" dxfId="4948" priority="6133" stopIfTrue="1"/>
  </conditionalFormatting>
  <conditionalFormatting sqref="A1071:A1073">
    <cfRule type="duplicateValues" dxfId="4947" priority="6132" stopIfTrue="1"/>
  </conditionalFormatting>
  <conditionalFormatting sqref="A1071:A1073">
    <cfRule type="duplicateValues" dxfId="4946" priority="6131" stopIfTrue="1"/>
  </conditionalFormatting>
  <conditionalFormatting sqref="A1071:A1073">
    <cfRule type="duplicateValues" dxfId="4945" priority="6129" stopIfTrue="1"/>
    <cfRule type="duplicateValues" dxfId="4944" priority="6130" stopIfTrue="1"/>
  </conditionalFormatting>
  <conditionalFormatting sqref="A1071:A1073">
    <cfRule type="duplicateValues" dxfId="4943" priority="6128" stopIfTrue="1"/>
  </conditionalFormatting>
  <conditionalFormatting sqref="A1071:A1073">
    <cfRule type="duplicateValues" dxfId="4942" priority="6127" stopIfTrue="1"/>
  </conditionalFormatting>
  <conditionalFormatting sqref="A1071:A1073">
    <cfRule type="duplicateValues" dxfId="4941" priority="6126" stopIfTrue="1"/>
  </conditionalFormatting>
  <conditionalFormatting sqref="A1071:A1073">
    <cfRule type="duplicateValues" dxfId="4940" priority="6125" stopIfTrue="1"/>
  </conditionalFormatting>
  <conditionalFormatting sqref="A1071:A1073">
    <cfRule type="duplicateValues" dxfId="4939" priority="6124" stopIfTrue="1"/>
  </conditionalFormatting>
  <conditionalFormatting sqref="A1071:A1073">
    <cfRule type="duplicateValues" dxfId="4938" priority="6123"/>
  </conditionalFormatting>
  <conditionalFormatting sqref="A1071:A1073">
    <cfRule type="duplicateValues" dxfId="4937" priority="6122"/>
  </conditionalFormatting>
  <conditionalFormatting sqref="A1071:A1073">
    <cfRule type="duplicateValues" dxfId="4936" priority="6121"/>
  </conditionalFormatting>
  <conditionalFormatting sqref="A1071:A1073">
    <cfRule type="duplicateValues" dxfId="4935" priority="6120"/>
  </conditionalFormatting>
  <conditionalFormatting sqref="A1071:A1073">
    <cfRule type="duplicateValues" dxfId="4934" priority="6119"/>
  </conditionalFormatting>
  <conditionalFormatting sqref="A1071:A1073">
    <cfRule type="duplicateValues" dxfId="4933" priority="6118"/>
  </conditionalFormatting>
  <conditionalFormatting sqref="A1071:A1073">
    <cfRule type="duplicateValues" dxfId="4932" priority="6117"/>
  </conditionalFormatting>
  <conditionalFormatting sqref="A1071:A1073">
    <cfRule type="duplicateValues" dxfId="4931" priority="6116"/>
  </conditionalFormatting>
  <conditionalFormatting sqref="A1071:A1073">
    <cfRule type="duplicateValues" dxfId="4930" priority="6114"/>
    <cfRule type="duplicateValues" dxfId="4929" priority="6115"/>
  </conditionalFormatting>
  <conditionalFormatting sqref="A1071:A1073">
    <cfRule type="duplicateValues" dxfId="4928" priority="6113"/>
  </conditionalFormatting>
  <conditionalFormatting sqref="A1071:A1073">
    <cfRule type="duplicateValues" dxfId="4927" priority="6155"/>
  </conditionalFormatting>
  <conditionalFormatting sqref="A530">
    <cfRule type="duplicateValues" dxfId="4926" priority="6090" stopIfTrue="1"/>
  </conditionalFormatting>
  <conditionalFormatting sqref="A530">
    <cfRule type="duplicateValues" dxfId="4925" priority="6089" stopIfTrue="1"/>
  </conditionalFormatting>
  <conditionalFormatting sqref="A530">
    <cfRule type="duplicateValues" dxfId="4924" priority="6088" stopIfTrue="1"/>
  </conditionalFormatting>
  <conditionalFormatting sqref="A530">
    <cfRule type="duplicateValues" dxfId="4923" priority="6087" stopIfTrue="1"/>
  </conditionalFormatting>
  <conditionalFormatting sqref="A530">
    <cfRule type="duplicateValues" dxfId="4922" priority="6086" stopIfTrue="1"/>
  </conditionalFormatting>
  <conditionalFormatting sqref="A530">
    <cfRule type="duplicateValues" dxfId="4921" priority="6085" stopIfTrue="1"/>
  </conditionalFormatting>
  <conditionalFormatting sqref="A530">
    <cfRule type="duplicateValues" dxfId="4920" priority="6084" stopIfTrue="1"/>
  </conditionalFormatting>
  <conditionalFormatting sqref="A530">
    <cfRule type="duplicateValues" dxfId="4919" priority="6083" stopIfTrue="1"/>
  </conditionalFormatting>
  <conditionalFormatting sqref="A530">
    <cfRule type="duplicateValues" dxfId="4918" priority="6082" stopIfTrue="1"/>
  </conditionalFormatting>
  <conditionalFormatting sqref="A530">
    <cfRule type="duplicateValues" dxfId="4917" priority="6081" stopIfTrue="1"/>
  </conditionalFormatting>
  <conditionalFormatting sqref="A530">
    <cfRule type="duplicateValues" dxfId="4916" priority="6080" stopIfTrue="1"/>
  </conditionalFormatting>
  <conditionalFormatting sqref="A530">
    <cfRule type="duplicateValues" dxfId="4915" priority="6079" stopIfTrue="1"/>
  </conditionalFormatting>
  <conditionalFormatting sqref="A530">
    <cfRule type="duplicateValues" dxfId="4914" priority="6078" stopIfTrue="1"/>
  </conditionalFormatting>
  <conditionalFormatting sqref="A530">
    <cfRule type="duplicateValues" dxfId="4913" priority="6091" stopIfTrue="1"/>
  </conditionalFormatting>
  <conditionalFormatting sqref="A530">
    <cfRule type="duplicateValues" dxfId="4912" priority="6077" stopIfTrue="1"/>
  </conditionalFormatting>
  <conditionalFormatting sqref="C530">
    <cfRule type="duplicateValues" dxfId="4911" priority="6076" stopIfTrue="1"/>
  </conditionalFormatting>
  <conditionalFormatting sqref="A530">
    <cfRule type="duplicateValues" dxfId="4910" priority="6075" stopIfTrue="1"/>
  </conditionalFormatting>
  <conditionalFormatting sqref="A530">
    <cfRule type="duplicateValues" dxfId="4909" priority="6074" stopIfTrue="1"/>
  </conditionalFormatting>
  <conditionalFormatting sqref="A530">
    <cfRule type="duplicateValues" dxfId="4908" priority="6073" stopIfTrue="1"/>
  </conditionalFormatting>
  <conditionalFormatting sqref="A530">
    <cfRule type="duplicateValues" dxfId="4907" priority="6072" stopIfTrue="1"/>
  </conditionalFormatting>
  <conditionalFormatting sqref="A530">
    <cfRule type="duplicateValues" dxfId="4906" priority="6071" stopIfTrue="1"/>
  </conditionalFormatting>
  <conditionalFormatting sqref="A530">
    <cfRule type="duplicateValues" dxfId="4905" priority="6070" stopIfTrue="1"/>
  </conditionalFormatting>
  <conditionalFormatting sqref="A530">
    <cfRule type="duplicateValues" dxfId="4904" priority="6069" stopIfTrue="1"/>
  </conditionalFormatting>
  <conditionalFormatting sqref="A530">
    <cfRule type="duplicateValues" dxfId="4903" priority="6068" stopIfTrue="1"/>
  </conditionalFormatting>
  <conditionalFormatting sqref="A530">
    <cfRule type="duplicateValues" dxfId="4902" priority="6066" stopIfTrue="1"/>
    <cfRule type="duplicateValues" dxfId="4901" priority="6067" stopIfTrue="1"/>
  </conditionalFormatting>
  <conditionalFormatting sqref="A530">
    <cfRule type="duplicateValues" dxfId="4900" priority="6065" stopIfTrue="1"/>
  </conditionalFormatting>
  <conditionalFormatting sqref="A530">
    <cfRule type="duplicateValues" dxfId="4899" priority="6064" stopIfTrue="1"/>
  </conditionalFormatting>
  <conditionalFormatting sqref="A530">
    <cfRule type="duplicateValues" dxfId="4898" priority="6063" stopIfTrue="1"/>
  </conditionalFormatting>
  <conditionalFormatting sqref="A530">
    <cfRule type="duplicateValues" dxfId="4897" priority="6062" stopIfTrue="1"/>
  </conditionalFormatting>
  <conditionalFormatting sqref="A530">
    <cfRule type="duplicateValues" dxfId="4896" priority="6061" stopIfTrue="1"/>
  </conditionalFormatting>
  <conditionalFormatting sqref="A530">
    <cfRule type="duplicateValues" dxfId="4895" priority="6060"/>
  </conditionalFormatting>
  <conditionalFormatting sqref="A530">
    <cfRule type="duplicateValues" dxfId="4894" priority="6059"/>
  </conditionalFormatting>
  <conditionalFormatting sqref="A530">
    <cfRule type="duplicateValues" dxfId="4893" priority="6058"/>
  </conditionalFormatting>
  <conditionalFormatting sqref="A530">
    <cfRule type="duplicateValues" dxfId="4892" priority="6057"/>
  </conditionalFormatting>
  <conditionalFormatting sqref="A530">
    <cfRule type="duplicateValues" dxfId="4891" priority="6056"/>
  </conditionalFormatting>
  <conditionalFormatting sqref="A530">
    <cfRule type="duplicateValues" dxfId="4890" priority="6055"/>
  </conditionalFormatting>
  <conditionalFormatting sqref="A530">
    <cfRule type="duplicateValues" dxfId="4889" priority="6054"/>
  </conditionalFormatting>
  <conditionalFormatting sqref="A530">
    <cfRule type="duplicateValues" dxfId="4888" priority="6053"/>
  </conditionalFormatting>
  <conditionalFormatting sqref="A530">
    <cfRule type="duplicateValues" dxfId="4887" priority="6051"/>
    <cfRule type="duplicateValues" dxfId="4886" priority="6052"/>
  </conditionalFormatting>
  <conditionalFormatting sqref="A530">
    <cfRule type="duplicateValues" dxfId="4885" priority="6050"/>
  </conditionalFormatting>
  <conditionalFormatting sqref="A530">
    <cfRule type="duplicateValues" dxfId="4884" priority="6092"/>
  </conditionalFormatting>
  <conditionalFormatting sqref="A1856 A1848:C1848 A1850 A1860 A1852 A1858 A1862">
    <cfRule type="duplicateValues" dxfId="4883" priority="6029" stopIfTrue="1"/>
  </conditionalFormatting>
  <conditionalFormatting sqref="A1856 A1848:C1848 A1850 A1860 A1852 A1858 A1862">
    <cfRule type="duplicateValues" dxfId="4882" priority="6030" stopIfTrue="1"/>
  </conditionalFormatting>
  <conditionalFormatting sqref="A1856 A1848:C1848 A1850 A1860 A1852 A1858 A1862">
    <cfRule type="duplicateValues" dxfId="4881" priority="6031" stopIfTrue="1"/>
    <cfRule type="duplicateValues" dxfId="4880" priority="6032" stopIfTrue="1"/>
  </conditionalFormatting>
  <conditionalFormatting sqref="A1856 A1848:C1848 A1850 A1860 A1852 A1858 A1862">
    <cfRule type="duplicateValues" dxfId="4879" priority="6033"/>
  </conditionalFormatting>
  <conditionalFormatting sqref="A1856 A1848 A1850 A1860 A1852 A1858 A1862">
    <cfRule type="duplicateValues" dxfId="4878" priority="6027"/>
    <cfRule type="duplicateValues" dxfId="4877" priority="6028"/>
  </conditionalFormatting>
  <conditionalFormatting sqref="A1856 A1848 A1850 A1860 A1852 A1858 A1862">
    <cfRule type="duplicateValues" dxfId="4876" priority="6026"/>
  </conditionalFormatting>
  <conditionalFormatting sqref="A1856 A1848 A1850 A1860 A1852 A1858 A1862">
    <cfRule type="duplicateValues" dxfId="4875" priority="6023"/>
    <cfRule type="duplicateValues" dxfId="4874" priority="6024"/>
    <cfRule type="duplicateValues" dxfId="4873" priority="6025"/>
  </conditionalFormatting>
  <conditionalFormatting sqref="B1850">
    <cfRule type="duplicateValues" dxfId="4872" priority="6018" stopIfTrue="1"/>
  </conditionalFormatting>
  <conditionalFormatting sqref="B1850">
    <cfRule type="duplicateValues" dxfId="4871" priority="6019" stopIfTrue="1"/>
  </conditionalFormatting>
  <conditionalFormatting sqref="B1850">
    <cfRule type="duplicateValues" dxfId="4870" priority="6020" stopIfTrue="1"/>
    <cfRule type="duplicateValues" dxfId="4869" priority="6021" stopIfTrue="1"/>
  </conditionalFormatting>
  <conditionalFormatting sqref="B1850">
    <cfRule type="duplicateValues" dxfId="4868" priority="6022"/>
  </conditionalFormatting>
  <conditionalFormatting sqref="B1851">
    <cfRule type="duplicateValues" dxfId="4867" priority="6013" stopIfTrue="1"/>
  </conditionalFormatting>
  <conditionalFormatting sqref="B1851">
    <cfRule type="duplicateValues" dxfId="4866" priority="6014" stopIfTrue="1"/>
  </conditionalFormatting>
  <conditionalFormatting sqref="B1851">
    <cfRule type="duplicateValues" dxfId="4865" priority="6015" stopIfTrue="1"/>
    <cfRule type="duplicateValues" dxfId="4864" priority="6016" stopIfTrue="1"/>
  </conditionalFormatting>
  <conditionalFormatting sqref="B1851">
    <cfRule type="duplicateValues" dxfId="4863" priority="6017"/>
  </conditionalFormatting>
  <conditionalFormatting sqref="B1852">
    <cfRule type="duplicateValues" dxfId="4862" priority="6008" stopIfTrue="1"/>
  </conditionalFormatting>
  <conditionalFormatting sqref="B1852">
    <cfRule type="duplicateValues" dxfId="4861" priority="6009" stopIfTrue="1"/>
  </conditionalFormatting>
  <conditionalFormatting sqref="B1852">
    <cfRule type="duplicateValues" dxfId="4860" priority="6010" stopIfTrue="1"/>
    <cfRule type="duplicateValues" dxfId="4859" priority="6011" stopIfTrue="1"/>
  </conditionalFormatting>
  <conditionalFormatting sqref="B1852">
    <cfRule type="duplicateValues" dxfId="4858" priority="6012"/>
  </conditionalFormatting>
  <conditionalFormatting sqref="B1855:B1856">
    <cfRule type="duplicateValues" dxfId="4857" priority="6003" stopIfTrue="1"/>
  </conditionalFormatting>
  <conditionalFormatting sqref="B1855:B1856">
    <cfRule type="duplicateValues" dxfId="4856" priority="6004" stopIfTrue="1"/>
  </conditionalFormatting>
  <conditionalFormatting sqref="B1855:B1856">
    <cfRule type="duplicateValues" dxfId="4855" priority="6005" stopIfTrue="1"/>
    <cfRule type="duplicateValues" dxfId="4854" priority="6006" stopIfTrue="1"/>
  </conditionalFormatting>
  <conditionalFormatting sqref="B1855:B1856">
    <cfRule type="duplicateValues" dxfId="4853" priority="6007"/>
  </conditionalFormatting>
  <conditionalFormatting sqref="B1857">
    <cfRule type="duplicateValues" dxfId="4852" priority="5998" stopIfTrue="1"/>
  </conditionalFormatting>
  <conditionalFormatting sqref="B1857">
    <cfRule type="duplicateValues" dxfId="4851" priority="5999" stopIfTrue="1"/>
  </conditionalFormatting>
  <conditionalFormatting sqref="B1857">
    <cfRule type="duplicateValues" dxfId="4850" priority="6000" stopIfTrue="1"/>
    <cfRule type="duplicateValues" dxfId="4849" priority="6001" stopIfTrue="1"/>
  </conditionalFormatting>
  <conditionalFormatting sqref="B1857">
    <cfRule type="duplicateValues" dxfId="4848" priority="6002"/>
  </conditionalFormatting>
  <conditionalFormatting sqref="B1858">
    <cfRule type="duplicateValues" dxfId="4847" priority="5993" stopIfTrue="1"/>
  </conditionalFormatting>
  <conditionalFormatting sqref="B1858">
    <cfRule type="duplicateValues" dxfId="4846" priority="5994" stopIfTrue="1"/>
  </conditionalFormatting>
  <conditionalFormatting sqref="B1858">
    <cfRule type="duplicateValues" dxfId="4845" priority="5995" stopIfTrue="1"/>
    <cfRule type="duplicateValues" dxfId="4844" priority="5996" stopIfTrue="1"/>
  </conditionalFormatting>
  <conditionalFormatting sqref="B1858">
    <cfRule type="duplicateValues" dxfId="4843" priority="5997"/>
  </conditionalFormatting>
  <conditionalFormatting sqref="B1859">
    <cfRule type="duplicateValues" dxfId="4842" priority="5988" stopIfTrue="1"/>
  </conditionalFormatting>
  <conditionalFormatting sqref="B1859">
    <cfRule type="duplicateValues" dxfId="4841" priority="5989" stopIfTrue="1"/>
  </conditionalFormatting>
  <conditionalFormatting sqref="B1859">
    <cfRule type="duplicateValues" dxfId="4840" priority="5990" stopIfTrue="1"/>
    <cfRule type="duplicateValues" dxfId="4839" priority="5991" stopIfTrue="1"/>
  </conditionalFormatting>
  <conditionalFormatting sqref="B1859">
    <cfRule type="duplicateValues" dxfId="4838" priority="5992"/>
  </conditionalFormatting>
  <conditionalFormatting sqref="B1860">
    <cfRule type="duplicateValues" dxfId="4837" priority="5983" stopIfTrue="1"/>
  </conditionalFormatting>
  <conditionalFormatting sqref="B1860">
    <cfRule type="duplicateValues" dxfId="4836" priority="5984" stopIfTrue="1"/>
  </conditionalFormatting>
  <conditionalFormatting sqref="B1860">
    <cfRule type="duplicateValues" dxfId="4835" priority="5985" stopIfTrue="1"/>
    <cfRule type="duplicateValues" dxfId="4834" priority="5986" stopIfTrue="1"/>
  </conditionalFormatting>
  <conditionalFormatting sqref="B1860">
    <cfRule type="duplicateValues" dxfId="4833" priority="5987"/>
  </conditionalFormatting>
  <conditionalFormatting sqref="B1861">
    <cfRule type="duplicateValues" dxfId="4832" priority="5978" stopIfTrue="1"/>
  </conditionalFormatting>
  <conditionalFormatting sqref="B1861">
    <cfRule type="duplicateValues" dxfId="4831" priority="5979" stopIfTrue="1"/>
  </conditionalFormatting>
  <conditionalFormatting sqref="B1861">
    <cfRule type="duplicateValues" dxfId="4830" priority="5980" stopIfTrue="1"/>
    <cfRule type="duplicateValues" dxfId="4829" priority="5981" stopIfTrue="1"/>
  </conditionalFormatting>
  <conditionalFormatting sqref="B1861">
    <cfRule type="duplicateValues" dxfId="4828" priority="5982"/>
  </conditionalFormatting>
  <conditionalFormatting sqref="B1862">
    <cfRule type="duplicateValues" dxfId="4827" priority="5973" stopIfTrue="1"/>
  </conditionalFormatting>
  <conditionalFormatting sqref="B1862">
    <cfRule type="duplicateValues" dxfId="4826" priority="5974" stopIfTrue="1"/>
  </conditionalFormatting>
  <conditionalFormatting sqref="B1862">
    <cfRule type="duplicateValues" dxfId="4825" priority="5975" stopIfTrue="1"/>
    <cfRule type="duplicateValues" dxfId="4824" priority="5976" stopIfTrue="1"/>
  </conditionalFormatting>
  <conditionalFormatting sqref="B1862">
    <cfRule type="duplicateValues" dxfId="4823" priority="5977"/>
  </conditionalFormatting>
  <conditionalFormatting sqref="A1857 A1849:B1849 A1851 A1861 A1855 A1859">
    <cfRule type="duplicateValues" dxfId="4822" priority="6034" stopIfTrue="1"/>
  </conditionalFormatting>
  <conditionalFormatting sqref="A1857 A1849:B1849 A1851 A1861 A1855 A1859">
    <cfRule type="duplicateValues" dxfId="4821" priority="6035" stopIfTrue="1"/>
  </conditionalFormatting>
  <conditionalFormatting sqref="A1857 A1849:B1849 A1851 A1861 A1855 A1859">
    <cfRule type="duplicateValues" dxfId="4820" priority="6036" stopIfTrue="1"/>
    <cfRule type="duplicateValues" dxfId="4819" priority="6037" stopIfTrue="1"/>
  </conditionalFormatting>
  <conditionalFormatting sqref="A1857 A1849:B1849 A1851 A1861 A1855 A1859">
    <cfRule type="duplicateValues" dxfId="4818" priority="6038"/>
  </conditionalFormatting>
  <conditionalFormatting sqref="A1857 A1849 A1851 A1861 A1855 A1859">
    <cfRule type="duplicateValues" dxfId="4817" priority="6039"/>
    <cfRule type="duplicateValues" dxfId="4816" priority="6040"/>
  </conditionalFormatting>
  <conditionalFormatting sqref="A1857 A1849 A1851 A1861 A1855 A1859">
    <cfRule type="duplicateValues" dxfId="4815" priority="6041"/>
  </conditionalFormatting>
  <conditionalFormatting sqref="A1857 A1849 A1851 A1861 A1855 A1859">
    <cfRule type="duplicateValues" dxfId="4814" priority="6042"/>
    <cfRule type="duplicateValues" dxfId="4813" priority="6043"/>
    <cfRule type="duplicateValues" dxfId="4812" priority="6044"/>
  </conditionalFormatting>
  <conditionalFormatting sqref="C1849:C1852 C1855:C1862">
    <cfRule type="duplicateValues" dxfId="4811" priority="6045" stopIfTrue="1"/>
  </conditionalFormatting>
  <conditionalFormatting sqref="C1849:C1852 C1855:C1862">
    <cfRule type="duplicateValues" dxfId="4810" priority="6046" stopIfTrue="1"/>
  </conditionalFormatting>
  <conditionalFormatting sqref="C1849:C1852 C1855:C1862">
    <cfRule type="duplicateValues" dxfId="4809" priority="6047" stopIfTrue="1"/>
    <cfRule type="duplicateValues" dxfId="4808" priority="6048" stopIfTrue="1"/>
  </conditionalFormatting>
  <conditionalFormatting sqref="C1849:C1852 C1855:C1862">
    <cfRule type="duplicateValues" dxfId="4807" priority="6049"/>
  </conditionalFormatting>
  <conditionalFormatting sqref="A1854">
    <cfRule type="duplicateValues" dxfId="4806" priority="5952" stopIfTrue="1"/>
  </conditionalFormatting>
  <conditionalFormatting sqref="A1854">
    <cfRule type="duplicateValues" dxfId="4805" priority="5953" stopIfTrue="1"/>
  </conditionalFormatting>
  <conditionalFormatting sqref="A1854">
    <cfRule type="duplicateValues" dxfId="4804" priority="5954" stopIfTrue="1"/>
    <cfRule type="duplicateValues" dxfId="4803" priority="5955" stopIfTrue="1"/>
  </conditionalFormatting>
  <conditionalFormatting sqref="A1854">
    <cfRule type="duplicateValues" dxfId="4802" priority="5956"/>
  </conditionalFormatting>
  <conditionalFormatting sqref="A1854">
    <cfRule type="duplicateValues" dxfId="4801" priority="5950"/>
    <cfRule type="duplicateValues" dxfId="4800" priority="5951"/>
  </conditionalFormatting>
  <conditionalFormatting sqref="A1854">
    <cfRule type="duplicateValues" dxfId="4799" priority="5949"/>
  </conditionalFormatting>
  <conditionalFormatting sqref="A1854">
    <cfRule type="duplicateValues" dxfId="4798" priority="5946"/>
    <cfRule type="duplicateValues" dxfId="4797" priority="5947"/>
    <cfRule type="duplicateValues" dxfId="4796" priority="5948"/>
  </conditionalFormatting>
  <conditionalFormatting sqref="B1853">
    <cfRule type="duplicateValues" dxfId="4795" priority="5941" stopIfTrue="1"/>
  </conditionalFormatting>
  <conditionalFormatting sqref="B1853">
    <cfRule type="duplicateValues" dxfId="4794" priority="5942" stopIfTrue="1"/>
  </conditionalFormatting>
  <conditionalFormatting sqref="B1853">
    <cfRule type="duplicateValues" dxfId="4793" priority="5943" stopIfTrue="1"/>
    <cfRule type="duplicateValues" dxfId="4792" priority="5944" stopIfTrue="1"/>
  </conditionalFormatting>
  <conditionalFormatting sqref="B1853">
    <cfRule type="duplicateValues" dxfId="4791" priority="5945"/>
  </conditionalFormatting>
  <conditionalFormatting sqref="B1854">
    <cfRule type="duplicateValues" dxfId="4790" priority="5936" stopIfTrue="1"/>
  </conditionalFormatting>
  <conditionalFormatting sqref="B1854">
    <cfRule type="duplicateValues" dxfId="4789" priority="5937" stopIfTrue="1"/>
  </conditionalFormatting>
  <conditionalFormatting sqref="B1854">
    <cfRule type="duplicateValues" dxfId="4788" priority="5938" stopIfTrue="1"/>
    <cfRule type="duplicateValues" dxfId="4787" priority="5939" stopIfTrue="1"/>
  </conditionalFormatting>
  <conditionalFormatting sqref="B1854">
    <cfRule type="duplicateValues" dxfId="4786" priority="5940"/>
  </conditionalFormatting>
  <conditionalFormatting sqref="A1853">
    <cfRule type="duplicateValues" dxfId="4785" priority="5957" stopIfTrue="1"/>
  </conditionalFormatting>
  <conditionalFormatting sqref="A1853">
    <cfRule type="duplicateValues" dxfId="4784" priority="5958" stopIfTrue="1"/>
  </conditionalFormatting>
  <conditionalFormatting sqref="A1853">
    <cfRule type="duplicateValues" dxfId="4783" priority="5959" stopIfTrue="1"/>
    <cfRule type="duplicateValues" dxfId="4782" priority="5960" stopIfTrue="1"/>
  </conditionalFormatting>
  <conditionalFormatting sqref="A1853">
    <cfRule type="duplicateValues" dxfId="4781" priority="5961"/>
  </conditionalFormatting>
  <conditionalFormatting sqref="A1853">
    <cfRule type="duplicateValues" dxfId="4780" priority="5962"/>
    <cfRule type="duplicateValues" dxfId="4779" priority="5963"/>
  </conditionalFormatting>
  <conditionalFormatting sqref="A1853">
    <cfRule type="duplicateValues" dxfId="4778" priority="5964"/>
  </conditionalFormatting>
  <conditionalFormatting sqref="A1853">
    <cfRule type="duplicateValues" dxfId="4777" priority="5965"/>
    <cfRule type="duplicateValues" dxfId="4776" priority="5966"/>
    <cfRule type="duplicateValues" dxfId="4775" priority="5967"/>
  </conditionalFormatting>
  <conditionalFormatting sqref="C1853:C1854">
    <cfRule type="duplicateValues" dxfId="4774" priority="5968" stopIfTrue="1"/>
  </conditionalFormatting>
  <conditionalFormatting sqref="C1853:C1854">
    <cfRule type="duplicateValues" dxfId="4773" priority="5969" stopIfTrue="1"/>
  </conditionalFormatting>
  <conditionalFormatting sqref="C1853:C1854">
    <cfRule type="duplicateValues" dxfId="4772" priority="5970" stopIfTrue="1"/>
    <cfRule type="duplicateValues" dxfId="4771" priority="5971" stopIfTrue="1"/>
  </conditionalFormatting>
  <conditionalFormatting sqref="C1853:C1854">
    <cfRule type="duplicateValues" dxfId="4770" priority="5972"/>
  </conditionalFormatting>
  <conditionalFormatting sqref="A1864 A1866 A1868 A1870 A1872 A1874">
    <cfRule type="duplicateValues" dxfId="4769" priority="5905" stopIfTrue="1"/>
  </conditionalFormatting>
  <conditionalFormatting sqref="A1864 A1866 A1868 A1870 A1872 A1874">
    <cfRule type="duplicateValues" dxfId="4768" priority="5906" stopIfTrue="1"/>
  </conditionalFormatting>
  <conditionalFormatting sqref="A1864 A1866 A1868 A1870 A1872 A1874">
    <cfRule type="duplicateValues" dxfId="4767" priority="5907" stopIfTrue="1"/>
    <cfRule type="duplicateValues" dxfId="4766" priority="5908" stopIfTrue="1"/>
  </conditionalFormatting>
  <conditionalFormatting sqref="A1864 A1866 A1868 A1870 A1872 A1874">
    <cfRule type="duplicateValues" dxfId="4765" priority="5909"/>
  </conditionalFormatting>
  <conditionalFormatting sqref="A1864 A1866 A1868 A1870 A1872 A1874">
    <cfRule type="duplicateValues" dxfId="4764" priority="5903"/>
    <cfRule type="duplicateValues" dxfId="4763" priority="5904"/>
  </conditionalFormatting>
  <conditionalFormatting sqref="A1864">
    <cfRule type="duplicateValues" dxfId="4762" priority="5902"/>
  </conditionalFormatting>
  <conditionalFormatting sqref="A1864 A1866 A1868 A1870 A1872 A1874">
    <cfRule type="duplicateValues" dxfId="4761" priority="5899"/>
    <cfRule type="duplicateValues" dxfId="4760" priority="5900"/>
    <cfRule type="duplicateValues" dxfId="4759" priority="5901"/>
  </conditionalFormatting>
  <conditionalFormatting sqref="A1865 A1867 A1869 A1871 A1873">
    <cfRule type="duplicateValues" dxfId="4758" priority="5894" stopIfTrue="1"/>
  </conditionalFormatting>
  <conditionalFormatting sqref="A1865 A1867 A1869 A1871 A1873">
    <cfRule type="duplicateValues" dxfId="4757" priority="5895" stopIfTrue="1"/>
  </conditionalFormatting>
  <conditionalFormatting sqref="A1865 A1867 A1869 A1871 A1873">
    <cfRule type="duplicateValues" dxfId="4756" priority="5896" stopIfTrue="1"/>
    <cfRule type="duplicateValues" dxfId="4755" priority="5897" stopIfTrue="1"/>
  </conditionalFormatting>
  <conditionalFormatting sqref="A1865 A1867 A1869 A1871 A1873">
    <cfRule type="duplicateValues" dxfId="4754" priority="5898"/>
  </conditionalFormatting>
  <conditionalFormatting sqref="A1865 A1867 A1869 A1871 A1873">
    <cfRule type="duplicateValues" dxfId="4753" priority="5892"/>
    <cfRule type="duplicateValues" dxfId="4752" priority="5893"/>
  </conditionalFormatting>
  <conditionalFormatting sqref="A1865">
    <cfRule type="duplicateValues" dxfId="4751" priority="5891"/>
  </conditionalFormatting>
  <conditionalFormatting sqref="A1865 A1867 A1869 A1871 A1873">
    <cfRule type="duplicateValues" dxfId="4750" priority="5888"/>
    <cfRule type="duplicateValues" dxfId="4749" priority="5889"/>
    <cfRule type="duplicateValues" dxfId="4748" priority="5890"/>
  </conditionalFormatting>
  <conditionalFormatting sqref="B1865">
    <cfRule type="duplicateValues" dxfId="4747" priority="5883" stopIfTrue="1"/>
  </conditionalFormatting>
  <conditionalFormatting sqref="B1865">
    <cfRule type="duplicateValues" dxfId="4746" priority="5884" stopIfTrue="1"/>
  </conditionalFormatting>
  <conditionalFormatting sqref="B1865">
    <cfRule type="duplicateValues" dxfId="4745" priority="5885" stopIfTrue="1"/>
    <cfRule type="duplicateValues" dxfId="4744" priority="5886" stopIfTrue="1"/>
  </conditionalFormatting>
  <conditionalFormatting sqref="B1865">
    <cfRule type="duplicateValues" dxfId="4743" priority="5887"/>
  </conditionalFormatting>
  <conditionalFormatting sqref="B1866">
    <cfRule type="duplicateValues" dxfId="4742" priority="5878" stopIfTrue="1"/>
  </conditionalFormatting>
  <conditionalFormatting sqref="B1866">
    <cfRule type="duplicateValues" dxfId="4741" priority="5879" stopIfTrue="1"/>
  </conditionalFormatting>
  <conditionalFormatting sqref="B1866">
    <cfRule type="duplicateValues" dxfId="4740" priority="5880" stopIfTrue="1"/>
    <cfRule type="duplicateValues" dxfId="4739" priority="5881" stopIfTrue="1"/>
  </conditionalFormatting>
  <conditionalFormatting sqref="B1866">
    <cfRule type="duplicateValues" dxfId="4738" priority="5882"/>
  </conditionalFormatting>
  <conditionalFormatting sqref="B1867">
    <cfRule type="duplicateValues" dxfId="4737" priority="5873" stopIfTrue="1"/>
  </conditionalFormatting>
  <conditionalFormatting sqref="B1867">
    <cfRule type="duplicateValues" dxfId="4736" priority="5874" stopIfTrue="1"/>
  </conditionalFormatting>
  <conditionalFormatting sqref="B1867">
    <cfRule type="duplicateValues" dxfId="4735" priority="5875" stopIfTrue="1"/>
    <cfRule type="duplicateValues" dxfId="4734" priority="5876" stopIfTrue="1"/>
  </conditionalFormatting>
  <conditionalFormatting sqref="B1867">
    <cfRule type="duplicateValues" dxfId="4733" priority="5877"/>
  </conditionalFormatting>
  <conditionalFormatting sqref="B1868">
    <cfRule type="duplicateValues" dxfId="4732" priority="5868" stopIfTrue="1"/>
  </conditionalFormatting>
  <conditionalFormatting sqref="B1868">
    <cfRule type="duplicateValues" dxfId="4731" priority="5869" stopIfTrue="1"/>
  </conditionalFormatting>
  <conditionalFormatting sqref="B1868">
    <cfRule type="duplicateValues" dxfId="4730" priority="5870" stopIfTrue="1"/>
    <cfRule type="duplicateValues" dxfId="4729" priority="5871" stopIfTrue="1"/>
  </conditionalFormatting>
  <conditionalFormatting sqref="B1868">
    <cfRule type="duplicateValues" dxfId="4728" priority="5872"/>
  </conditionalFormatting>
  <conditionalFormatting sqref="B1869">
    <cfRule type="duplicateValues" dxfId="4727" priority="5863" stopIfTrue="1"/>
  </conditionalFormatting>
  <conditionalFormatting sqref="B1869">
    <cfRule type="duplicateValues" dxfId="4726" priority="5864" stopIfTrue="1"/>
  </conditionalFormatting>
  <conditionalFormatting sqref="B1869">
    <cfRule type="duplicateValues" dxfId="4725" priority="5865" stopIfTrue="1"/>
    <cfRule type="duplicateValues" dxfId="4724" priority="5866" stopIfTrue="1"/>
  </conditionalFormatting>
  <conditionalFormatting sqref="B1869">
    <cfRule type="duplicateValues" dxfId="4723" priority="5867"/>
  </conditionalFormatting>
  <conditionalFormatting sqref="B1870">
    <cfRule type="duplicateValues" dxfId="4722" priority="5858" stopIfTrue="1"/>
  </conditionalFormatting>
  <conditionalFormatting sqref="B1870">
    <cfRule type="duplicateValues" dxfId="4721" priority="5859" stopIfTrue="1"/>
  </conditionalFormatting>
  <conditionalFormatting sqref="B1870">
    <cfRule type="duplicateValues" dxfId="4720" priority="5860" stopIfTrue="1"/>
    <cfRule type="duplicateValues" dxfId="4719" priority="5861" stopIfTrue="1"/>
  </conditionalFormatting>
  <conditionalFormatting sqref="B1870">
    <cfRule type="duplicateValues" dxfId="4718" priority="5862"/>
  </conditionalFormatting>
  <conditionalFormatting sqref="B1871">
    <cfRule type="duplicateValues" dxfId="4717" priority="5853" stopIfTrue="1"/>
  </conditionalFormatting>
  <conditionalFormatting sqref="B1871">
    <cfRule type="duplicateValues" dxfId="4716" priority="5854" stopIfTrue="1"/>
  </conditionalFormatting>
  <conditionalFormatting sqref="B1871">
    <cfRule type="duplicateValues" dxfId="4715" priority="5855" stopIfTrue="1"/>
    <cfRule type="duplicateValues" dxfId="4714" priority="5856" stopIfTrue="1"/>
  </conditionalFormatting>
  <conditionalFormatting sqref="B1871">
    <cfRule type="duplicateValues" dxfId="4713" priority="5857"/>
  </conditionalFormatting>
  <conditionalFormatting sqref="B1872">
    <cfRule type="duplicateValues" dxfId="4712" priority="5848" stopIfTrue="1"/>
  </conditionalFormatting>
  <conditionalFormatting sqref="B1872">
    <cfRule type="duplicateValues" dxfId="4711" priority="5849" stopIfTrue="1"/>
  </conditionalFormatting>
  <conditionalFormatting sqref="B1872">
    <cfRule type="duplicateValues" dxfId="4710" priority="5850" stopIfTrue="1"/>
    <cfRule type="duplicateValues" dxfId="4709" priority="5851" stopIfTrue="1"/>
  </conditionalFormatting>
  <conditionalFormatting sqref="B1872">
    <cfRule type="duplicateValues" dxfId="4708" priority="5852"/>
  </conditionalFormatting>
  <conditionalFormatting sqref="B1873">
    <cfRule type="duplicateValues" dxfId="4707" priority="5843" stopIfTrue="1"/>
  </conditionalFormatting>
  <conditionalFormatting sqref="B1873">
    <cfRule type="duplicateValues" dxfId="4706" priority="5844" stopIfTrue="1"/>
  </conditionalFormatting>
  <conditionalFormatting sqref="B1873">
    <cfRule type="duplicateValues" dxfId="4705" priority="5845" stopIfTrue="1"/>
    <cfRule type="duplicateValues" dxfId="4704" priority="5846" stopIfTrue="1"/>
  </conditionalFormatting>
  <conditionalFormatting sqref="B1873">
    <cfRule type="duplicateValues" dxfId="4703" priority="5847"/>
  </conditionalFormatting>
  <conditionalFormatting sqref="B1874">
    <cfRule type="duplicateValues" dxfId="4702" priority="5838" stopIfTrue="1"/>
  </conditionalFormatting>
  <conditionalFormatting sqref="B1874">
    <cfRule type="duplicateValues" dxfId="4701" priority="5839" stopIfTrue="1"/>
  </conditionalFormatting>
  <conditionalFormatting sqref="B1874">
    <cfRule type="duplicateValues" dxfId="4700" priority="5840" stopIfTrue="1"/>
    <cfRule type="duplicateValues" dxfId="4699" priority="5841" stopIfTrue="1"/>
  </conditionalFormatting>
  <conditionalFormatting sqref="B1874">
    <cfRule type="duplicateValues" dxfId="4698" priority="5842"/>
  </conditionalFormatting>
  <conditionalFormatting sqref="C1864:C1874">
    <cfRule type="duplicateValues" dxfId="4697" priority="5833" stopIfTrue="1"/>
  </conditionalFormatting>
  <conditionalFormatting sqref="C1864:C1874">
    <cfRule type="duplicateValues" dxfId="4696" priority="5834" stopIfTrue="1"/>
  </conditionalFormatting>
  <conditionalFormatting sqref="C1864:C1874">
    <cfRule type="duplicateValues" dxfId="4695" priority="5835" stopIfTrue="1"/>
    <cfRule type="duplicateValues" dxfId="4694" priority="5836" stopIfTrue="1"/>
  </conditionalFormatting>
  <conditionalFormatting sqref="C1864:C1874">
    <cfRule type="duplicateValues" dxfId="4693" priority="5837"/>
  </conditionalFormatting>
  <conditionalFormatting sqref="B1864">
    <cfRule type="duplicateValues" dxfId="4692" priority="5910" stopIfTrue="1"/>
  </conditionalFormatting>
  <conditionalFormatting sqref="B1864">
    <cfRule type="duplicateValues" dxfId="4691" priority="5911" stopIfTrue="1"/>
  </conditionalFormatting>
  <conditionalFormatting sqref="B1864">
    <cfRule type="duplicateValues" dxfId="4690" priority="5912" stopIfTrue="1"/>
    <cfRule type="duplicateValues" dxfId="4689" priority="5913" stopIfTrue="1"/>
  </conditionalFormatting>
  <conditionalFormatting sqref="B1864">
    <cfRule type="duplicateValues" dxfId="4688" priority="5914"/>
  </conditionalFormatting>
  <conditionalFormatting sqref="A1843:A1847 C1843:C1847">
    <cfRule type="duplicateValues" dxfId="4687" priority="41220" stopIfTrue="1"/>
  </conditionalFormatting>
  <conditionalFormatting sqref="A1843:A1847 C1843:C1847">
    <cfRule type="duplicateValues" dxfId="4686" priority="41222" stopIfTrue="1"/>
  </conditionalFormatting>
  <conditionalFormatting sqref="A1843:A1847 C1843:C1847">
    <cfRule type="duplicateValues" dxfId="4685" priority="41224" stopIfTrue="1"/>
    <cfRule type="duplicateValues" dxfId="4684" priority="41225" stopIfTrue="1"/>
  </conditionalFormatting>
  <conditionalFormatting sqref="A1843:A1847 C1843:C1847">
    <cfRule type="duplicateValues" dxfId="4683" priority="41228"/>
  </conditionalFormatting>
  <conditionalFormatting sqref="B1843:B1847">
    <cfRule type="duplicateValues" dxfId="4682" priority="41230" stopIfTrue="1"/>
  </conditionalFormatting>
  <conditionalFormatting sqref="B1843:B1847">
    <cfRule type="duplicateValues" dxfId="4681" priority="41231" stopIfTrue="1"/>
  </conditionalFormatting>
  <conditionalFormatting sqref="B1843:B1847">
    <cfRule type="duplicateValues" dxfId="4680" priority="41232" stopIfTrue="1"/>
    <cfRule type="duplicateValues" dxfId="4679" priority="41233" stopIfTrue="1"/>
  </conditionalFormatting>
  <conditionalFormatting sqref="B1843:B1847">
    <cfRule type="duplicateValues" dxfId="4678" priority="41234"/>
  </conditionalFormatting>
  <conditionalFormatting sqref="A1863">
    <cfRule type="duplicateValues" dxfId="4677" priority="41271" stopIfTrue="1"/>
  </conditionalFormatting>
  <conditionalFormatting sqref="A1863">
    <cfRule type="duplicateValues" dxfId="4676" priority="41272" stopIfTrue="1"/>
  </conditionalFormatting>
  <conditionalFormatting sqref="A1863">
    <cfRule type="duplicateValues" dxfId="4675" priority="41273" stopIfTrue="1"/>
    <cfRule type="duplicateValues" dxfId="4674" priority="41274" stopIfTrue="1"/>
  </conditionalFormatting>
  <conditionalFormatting sqref="A1863">
    <cfRule type="duplicateValues" dxfId="4673" priority="41275"/>
  </conditionalFormatting>
  <conditionalFormatting sqref="A1863">
    <cfRule type="duplicateValues" dxfId="4672" priority="41276"/>
    <cfRule type="duplicateValues" dxfId="4671" priority="41277"/>
  </conditionalFormatting>
  <conditionalFormatting sqref="A1863">
    <cfRule type="duplicateValues" dxfId="4670" priority="41279"/>
    <cfRule type="duplicateValues" dxfId="4669" priority="41280"/>
    <cfRule type="duplicateValues" dxfId="4668" priority="41281"/>
  </conditionalFormatting>
  <conditionalFormatting sqref="B1863">
    <cfRule type="duplicateValues" dxfId="4667" priority="41282" stopIfTrue="1"/>
  </conditionalFormatting>
  <conditionalFormatting sqref="B1863">
    <cfRule type="duplicateValues" dxfId="4666" priority="41283" stopIfTrue="1"/>
  </conditionalFormatting>
  <conditionalFormatting sqref="B1863">
    <cfRule type="duplicateValues" dxfId="4665" priority="41284" stopIfTrue="1"/>
    <cfRule type="duplicateValues" dxfId="4664" priority="41285" stopIfTrue="1"/>
  </conditionalFormatting>
  <conditionalFormatting sqref="B1863">
    <cfRule type="duplicateValues" dxfId="4663" priority="41286"/>
  </conditionalFormatting>
  <conditionalFormatting sqref="C1863">
    <cfRule type="duplicateValues" dxfId="4662" priority="41287" stopIfTrue="1"/>
  </conditionalFormatting>
  <conditionalFormatting sqref="C1863">
    <cfRule type="duplicateValues" dxfId="4661" priority="41288" stopIfTrue="1"/>
  </conditionalFormatting>
  <conditionalFormatting sqref="C1863">
    <cfRule type="duplicateValues" dxfId="4660" priority="41289" stopIfTrue="1"/>
    <cfRule type="duplicateValues" dxfId="4659" priority="41290" stopIfTrue="1"/>
  </conditionalFormatting>
  <conditionalFormatting sqref="C1863">
    <cfRule type="duplicateValues" dxfId="4658" priority="41291"/>
  </conditionalFormatting>
  <conditionalFormatting sqref="C2">
    <cfRule type="duplicateValues" dxfId="4657" priority="5696" stopIfTrue="1"/>
  </conditionalFormatting>
  <conditionalFormatting sqref="A2">
    <cfRule type="duplicateValues" dxfId="4656" priority="5697" stopIfTrue="1"/>
  </conditionalFormatting>
  <conditionalFormatting sqref="A2">
    <cfRule type="duplicateValues" dxfId="4655" priority="5698" stopIfTrue="1"/>
  </conditionalFormatting>
  <conditionalFormatting sqref="A2">
    <cfRule type="duplicateValues" dxfId="4654" priority="5699" stopIfTrue="1"/>
    <cfRule type="duplicateValues" dxfId="4653" priority="5700" stopIfTrue="1"/>
  </conditionalFormatting>
  <conditionalFormatting sqref="A2">
    <cfRule type="duplicateValues" dxfId="4652" priority="5701"/>
  </conditionalFormatting>
  <conditionalFormatting sqref="A2">
    <cfRule type="duplicateValues" dxfId="4651" priority="5702"/>
    <cfRule type="duplicateValues" dxfId="4650" priority="5703"/>
  </conditionalFormatting>
  <conditionalFormatting sqref="C3">
    <cfRule type="duplicateValues" dxfId="4649" priority="5687" stopIfTrue="1"/>
  </conditionalFormatting>
  <conditionalFormatting sqref="A3">
    <cfRule type="duplicateValues" dxfId="4648" priority="5688" stopIfTrue="1"/>
  </conditionalFormatting>
  <conditionalFormatting sqref="A3">
    <cfRule type="duplicateValues" dxfId="4647" priority="5689" stopIfTrue="1"/>
  </conditionalFormatting>
  <conditionalFormatting sqref="A3">
    <cfRule type="duplicateValues" dxfId="4646" priority="5690" stopIfTrue="1"/>
    <cfRule type="duplicateValues" dxfId="4645" priority="5691" stopIfTrue="1"/>
  </conditionalFormatting>
  <conditionalFormatting sqref="A3">
    <cfRule type="duplicateValues" dxfId="4644" priority="5692"/>
  </conditionalFormatting>
  <conditionalFormatting sqref="A3">
    <cfRule type="duplicateValues" dxfId="4643" priority="5693"/>
    <cfRule type="duplicateValues" dxfId="4642" priority="5694"/>
  </conditionalFormatting>
  <conditionalFormatting sqref="C7">
    <cfRule type="duplicateValues" dxfId="4641" priority="5686" stopIfTrue="1"/>
  </conditionalFormatting>
  <conditionalFormatting sqref="C8">
    <cfRule type="duplicateValues" dxfId="4640" priority="5685" stopIfTrue="1"/>
  </conditionalFormatting>
  <conditionalFormatting sqref="C9">
    <cfRule type="duplicateValues" dxfId="4639" priority="5684" stopIfTrue="1"/>
  </conditionalFormatting>
  <conditionalFormatting sqref="C11">
    <cfRule type="duplicateValues" dxfId="4638" priority="5683" stopIfTrue="1"/>
  </conditionalFormatting>
  <conditionalFormatting sqref="C12">
    <cfRule type="duplicateValues" dxfId="4637" priority="5682" stopIfTrue="1"/>
  </conditionalFormatting>
  <conditionalFormatting sqref="C20">
    <cfRule type="duplicateValues" dxfId="4636" priority="5681" stopIfTrue="1"/>
  </conditionalFormatting>
  <conditionalFormatting sqref="C21">
    <cfRule type="duplicateValues" dxfId="4635" priority="5680" stopIfTrue="1"/>
  </conditionalFormatting>
  <conditionalFormatting sqref="C31">
    <cfRule type="duplicateValues" dxfId="4634" priority="5671" stopIfTrue="1"/>
  </conditionalFormatting>
  <conditionalFormatting sqref="C32">
    <cfRule type="duplicateValues" dxfId="4633" priority="5670" stopIfTrue="1"/>
  </conditionalFormatting>
  <conditionalFormatting sqref="C35">
    <cfRule type="duplicateValues" dxfId="4632" priority="5650" stopIfTrue="1"/>
  </conditionalFormatting>
  <conditionalFormatting sqref="C36">
    <cfRule type="duplicateValues" dxfId="4631" priority="5638" stopIfTrue="1"/>
  </conditionalFormatting>
  <conditionalFormatting sqref="C39">
    <cfRule type="duplicateValues" dxfId="4630" priority="5637" stopIfTrue="1"/>
  </conditionalFormatting>
  <conditionalFormatting sqref="J79 J69 J49 J36 J43:J44 J52 J54 J59 J71 J73:J74 J76:J77 J81:J82 J84 J86 J88 J90 J96 J101:J102 J94 J62 J64:J65">
    <cfRule type="duplicateValues" dxfId="4629" priority="5630" stopIfTrue="1"/>
  </conditionalFormatting>
  <conditionalFormatting sqref="J79 J69 J49 J36 J43:J44 J52 J54 J59 J71 J73:J74 J76:J77 J81:J82 J84 J86 J88 J90 J96 J101:J102 J94 J62 J64:J65">
    <cfRule type="duplicateValues" dxfId="4628" priority="5631" stopIfTrue="1"/>
  </conditionalFormatting>
  <conditionalFormatting sqref="J79 J69 J49 J36 J43:J44 J52 J54 J59 J71 J73:J74 J76:J77 J81:J82 J84 J86 J88 J90 J96 J101:J102 J94 J62 J64:J65">
    <cfRule type="duplicateValues" dxfId="4627" priority="5632" stopIfTrue="1"/>
    <cfRule type="duplicateValues" dxfId="4626" priority="5633" stopIfTrue="1"/>
  </conditionalFormatting>
  <conditionalFormatting sqref="J79 J69 J49 J36 J43:J44 J52 J54 J59 J71 J73:J74 J76:J77 J81:J82 J84 J86 J88 J90 J96 J101:J102 J94 J62 J64:J65">
    <cfRule type="duplicateValues" dxfId="4625" priority="5634"/>
  </conditionalFormatting>
  <conditionalFormatting sqref="J79 J69 J49 J36 J43:J44 J52 J54 J59 J71 J73:J74 J76:J77 J81:J82 J84 J86 J88 J90 J96 J101:J102 J94 J62 J64:J65">
    <cfRule type="duplicateValues" dxfId="4624" priority="5635"/>
    <cfRule type="duplicateValues" dxfId="4623" priority="5636"/>
  </conditionalFormatting>
  <conditionalFormatting sqref="C42">
    <cfRule type="duplicateValues" dxfId="4622" priority="5629" stopIfTrue="1"/>
  </conditionalFormatting>
  <conditionalFormatting sqref="C47">
    <cfRule type="duplicateValues" dxfId="4621" priority="5616" stopIfTrue="1"/>
  </conditionalFormatting>
  <conditionalFormatting sqref="C48">
    <cfRule type="duplicateValues" dxfId="4620" priority="5615" stopIfTrue="1"/>
  </conditionalFormatting>
  <conditionalFormatting sqref="C49">
    <cfRule type="duplicateValues" dxfId="4619" priority="5614" stopIfTrue="1"/>
  </conditionalFormatting>
  <conditionalFormatting sqref="C50">
    <cfRule type="duplicateValues" dxfId="4618" priority="5613" stopIfTrue="1"/>
  </conditionalFormatting>
  <conditionalFormatting sqref="C51">
    <cfRule type="duplicateValues" dxfId="4617" priority="5601" stopIfTrue="1"/>
  </conditionalFormatting>
  <conditionalFormatting sqref="C52">
    <cfRule type="duplicateValues" dxfId="4616" priority="5589" stopIfTrue="1"/>
  </conditionalFormatting>
  <conditionalFormatting sqref="L59">
    <cfRule type="duplicateValues" dxfId="4615" priority="5585" stopIfTrue="1"/>
  </conditionalFormatting>
  <conditionalFormatting sqref="L62">
    <cfRule type="duplicateValues" dxfId="4614" priority="5584" stopIfTrue="1"/>
  </conditionalFormatting>
  <conditionalFormatting sqref="L63">
    <cfRule type="duplicateValues" dxfId="4613" priority="5583" stopIfTrue="1"/>
  </conditionalFormatting>
  <conditionalFormatting sqref="L64">
    <cfRule type="duplicateValues" dxfId="4612" priority="5581" stopIfTrue="1"/>
  </conditionalFormatting>
  <conditionalFormatting sqref="L65">
    <cfRule type="duplicateValues" dxfId="4611" priority="5579" stopIfTrue="1"/>
  </conditionalFormatting>
  <conditionalFormatting sqref="L82">
    <cfRule type="duplicateValues" dxfId="4610" priority="5573" stopIfTrue="1"/>
  </conditionalFormatting>
  <conditionalFormatting sqref="L83">
    <cfRule type="duplicateValues" dxfId="4609" priority="5572" stopIfTrue="1"/>
  </conditionalFormatting>
  <conditionalFormatting sqref="L84">
    <cfRule type="duplicateValues" dxfId="4608" priority="5571" stopIfTrue="1"/>
  </conditionalFormatting>
  <conditionalFormatting sqref="L85">
    <cfRule type="duplicateValues" dxfId="4607" priority="5570" stopIfTrue="1"/>
  </conditionalFormatting>
  <conditionalFormatting sqref="L86">
    <cfRule type="duplicateValues" dxfId="4606" priority="5568" stopIfTrue="1"/>
  </conditionalFormatting>
  <conditionalFormatting sqref="L88">
    <cfRule type="duplicateValues" dxfId="4605" priority="5566" stopIfTrue="1"/>
  </conditionalFormatting>
  <conditionalFormatting sqref="A79 A67 A48 A35 A39 A50 A52 A54 A59 A63 A70 A73 A77 A82 A85 A88 A94 A98 A101:A102 A43:A44">
    <cfRule type="duplicateValues" dxfId="4604" priority="48417" stopIfTrue="1"/>
  </conditionalFormatting>
  <conditionalFormatting sqref="A79 A67 A48 A35 A39 A50 A52 A54 A59 A63 A70 A73 A77 A82 A85 A88 A94 A98 A101:A102 A43:A44">
    <cfRule type="duplicateValues" dxfId="4603" priority="48437" stopIfTrue="1"/>
  </conditionalFormatting>
  <conditionalFormatting sqref="A79 A67 A48 A35 A39 A50 A52 A54 A59 A63 A70 A73 A77 A82 A85 A88 A94 A98 A101:A102 A43:A44">
    <cfRule type="duplicateValues" dxfId="4602" priority="48457" stopIfTrue="1"/>
    <cfRule type="duplicateValues" dxfId="4601" priority="48458" stopIfTrue="1"/>
  </conditionalFormatting>
  <conditionalFormatting sqref="A79 A67 A48 A35 A39 A50 A52 A54 A59 A63 A70 A73 A77 A82 A85 A88 A94 A98 A101:A102 A43:A44">
    <cfRule type="duplicateValues" dxfId="4600" priority="48497"/>
  </conditionalFormatting>
  <conditionalFormatting sqref="A79 A67 A48 A35 A39 A50 A52 A54 A59 A63 A70 A73 A77 A82 A85 A88 A94 A98 A101:A102 A43:A44">
    <cfRule type="duplicateValues" dxfId="4599" priority="48517"/>
    <cfRule type="duplicateValues" dxfId="4598" priority="48518"/>
  </conditionalFormatting>
  <conditionalFormatting sqref="N58">
    <cfRule type="duplicateValues" dxfId="4597" priority="5500" stopIfTrue="1"/>
  </conditionalFormatting>
  <conditionalFormatting sqref="M59:N59">
    <cfRule type="duplicateValues" dxfId="4596" priority="5499" stopIfTrue="1"/>
  </conditionalFormatting>
  <conditionalFormatting sqref="M62:N62">
    <cfRule type="duplicateValues" dxfId="4595" priority="5498" stopIfTrue="1"/>
  </conditionalFormatting>
  <conditionalFormatting sqref="N63">
    <cfRule type="duplicateValues" dxfId="4594" priority="5497" stopIfTrue="1"/>
  </conditionalFormatting>
  <conditionalFormatting sqref="M64:N64">
    <cfRule type="duplicateValues" dxfId="4593" priority="5496" stopIfTrue="1"/>
  </conditionalFormatting>
  <conditionalFormatting sqref="M65">
    <cfRule type="duplicateValues" dxfId="4592" priority="5495" stopIfTrue="1"/>
  </conditionalFormatting>
  <conditionalFormatting sqref="N81">
    <cfRule type="duplicateValues" dxfId="4591" priority="5494" stopIfTrue="1"/>
  </conditionalFormatting>
  <conditionalFormatting sqref="M82:N82">
    <cfRule type="duplicateValues" dxfId="4590" priority="5493" stopIfTrue="1"/>
  </conditionalFormatting>
  <conditionalFormatting sqref="M83:N83">
    <cfRule type="duplicateValues" dxfId="4589" priority="5492" stopIfTrue="1"/>
  </conditionalFormatting>
  <conditionalFormatting sqref="M84:N84">
    <cfRule type="duplicateValues" dxfId="4588" priority="5491" stopIfTrue="1"/>
  </conditionalFormatting>
  <conditionalFormatting sqref="M85:N85">
    <cfRule type="duplicateValues" dxfId="4587" priority="5490" stopIfTrue="1"/>
  </conditionalFormatting>
  <conditionalFormatting sqref="M86:N86">
    <cfRule type="duplicateValues" dxfId="4586" priority="5489" stopIfTrue="1"/>
  </conditionalFormatting>
  <conditionalFormatting sqref="M88:N88">
    <cfRule type="duplicateValues" dxfId="4585" priority="5488" stopIfTrue="1"/>
  </conditionalFormatting>
  <conditionalFormatting sqref="N98">
    <cfRule type="duplicateValues" dxfId="4584" priority="5487" stopIfTrue="1"/>
  </conditionalFormatting>
  <conditionalFormatting sqref="N94">
    <cfRule type="duplicateValues" dxfId="4583" priority="5486" stopIfTrue="1"/>
  </conditionalFormatting>
  <conditionalFormatting sqref="O58">
    <cfRule type="duplicateValues" dxfId="4582" priority="5484" stopIfTrue="1"/>
  </conditionalFormatting>
  <conditionalFormatting sqref="O59">
    <cfRule type="duplicateValues" dxfId="4581" priority="5483" stopIfTrue="1"/>
  </conditionalFormatting>
  <conditionalFormatting sqref="O62">
    <cfRule type="duplicateValues" dxfId="4580" priority="5482" stopIfTrue="1"/>
  </conditionalFormatting>
  <conditionalFormatting sqref="O63">
    <cfRule type="duplicateValues" dxfId="4579" priority="5481" stopIfTrue="1"/>
  </conditionalFormatting>
  <conditionalFormatting sqref="O64">
    <cfRule type="duplicateValues" dxfId="4578" priority="5480" stopIfTrue="1"/>
  </conditionalFormatting>
  <conditionalFormatting sqref="O81">
    <cfRule type="duplicateValues" dxfId="4577" priority="5478" stopIfTrue="1"/>
  </conditionalFormatting>
  <conditionalFormatting sqref="O82">
    <cfRule type="duplicateValues" dxfId="4576" priority="5477" stopIfTrue="1"/>
  </conditionalFormatting>
  <conditionalFormatting sqref="O83">
    <cfRule type="duplicateValues" dxfId="4575" priority="5476" stopIfTrue="1"/>
  </conditionalFormatting>
  <conditionalFormatting sqref="O84">
    <cfRule type="duplicateValues" dxfId="4574" priority="5475" stopIfTrue="1"/>
  </conditionalFormatting>
  <conditionalFormatting sqref="O85">
    <cfRule type="duplicateValues" dxfId="4573" priority="5474" stopIfTrue="1"/>
  </conditionalFormatting>
  <conditionalFormatting sqref="O86">
    <cfRule type="duplicateValues" dxfId="4572" priority="5473" stopIfTrue="1"/>
  </conditionalFormatting>
  <conditionalFormatting sqref="O88">
    <cfRule type="duplicateValues" dxfId="4571" priority="5472" stopIfTrue="1"/>
  </conditionalFormatting>
  <conditionalFormatting sqref="O98">
    <cfRule type="duplicateValues" dxfId="4570" priority="5471" stopIfTrue="1"/>
  </conditionalFormatting>
  <conditionalFormatting sqref="O94">
    <cfRule type="duplicateValues" dxfId="4569" priority="5470" stopIfTrue="1"/>
  </conditionalFormatting>
  <conditionalFormatting sqref="A4:A6">
    <cfRule type="duplicateValues" dxfId="4568" priority="5373" stopIfTrue="1"/>
  </conditionalFormatting>
  <conditionalFormatting sqref="A4:A6">
    <cfRule type="duplicateValues" dxfId="4567" priority="5374" stopIfTrue="1"/>
  </conditionalFormatting>
  <conditionalFormatting sqref="A4:A6">
    <cfRule type="duplicateValues" dxfId="4566" priority="5375" stopIfTrue="1"/>
    <cfRule type="duplicateValues" dxfId="4565" priority="5376" stopIfTrue="1"/>
  </conditionalFormatting>
  <conditionalFormatting sqref="A4:A6">
    <cfRule type="duplicateValues" dxfId="4564" priority="5377"/>
  </conditionalFormatting>
  <conditionalFormatting sqref="A4:A6">
    <cfRule type="duplicateValues" dxfId="4563" priority="5378"/>
    <cfRule type="duplicateValues" dxfId="4562" priority="5379"/>
  </conditionalFormatting>
  <conditionalFormatting sqref="C4:C6">
    <cfRule type="duplicateValues" dxfId="4561" priority="5371" stopIfTrue="1"/>
  </conditionalFormatting>
  <conditionalFormatting sqref="C40:C41">
    <cfRule type="duplicateValues" dxfId="4560" priority="5363" stopIfTrue="1"/>
  </conditionalFormatting>
  <conditionalFormatting sqref="A40:A41">
    <cfRule type="duplicateValues" dxfId="4559" priority="5364" stopIfTrue="1"/>
  </conditionalFormatting>
  <conditionalFormatting sqref="A40:A41">
    <cfRule type="duplicateValues" dxfId="4558" priority="5365" stopIfTrue="1"/>
  </conditionalFormatting>
  <conditionalFormatting sqref="A40:A41">
    <cfRule type="duplicateValues" dxfId="4557" priority="5366" stopIfTrue="1"/>
    <cfRule type="duplicateValues" dxfId="4556" priority="5367" stopIfTrue="1"/>
  </conditionalFormatting>
  <conditionalFormatting sqref="A40:A41">
    <cfRule type="duplicateValues" dxfId="4555" priority="5368"/>
  </conditionalFormatting>
  <conditionalFormatting sqref="A40:A41">
    <cfRule type="duplicateValues" dxfId="4554" priority="5369"/>
    <cfRule type="duplicateValues" dxfId="4553" priority="5370"/>
  </conditionalFormatting>
  <conditionalFormatting sqref="C37:C38">
    <cfRule type="duplicateValues" dxfId="4552" priority="5354" stopIfTrue="1"/>
  </conditionalFormatting>
  <conditionalFormatting sqref="J37:J38">
    <cfRule type="duplicateValues" dxfId="4551" priority="5347" stopIfTrue="1"/>
  </conditionalFormatting>
  <conditionalFormatting sqref="J37:J38">
    <cfRule type="duplicateValues" dxfId="4550" priority="5348" stopIfTrue="1"/>
  </conditionalFormatting>
  <conditionalFormatting sqref="J37:J38">
    <cfRule type="duplicateValues" dxfId="4549" priority="5349" stopIfTrue="1"/>
    <cfRule type="duplicateValues" dxfId="4548" priority="5350" stopIfTrue="1"/>
  </conditionalFormatting>
  <conditionalFormatting sqref="J37:J38">
    <cfRule type="duplicateValues" dxfId="4547" priority="5351"/>
  </conditionalFormatting>
  <conditionalFormatting sqref="J37:J38">
    <cfRule type="duplicateValues" dxfId="4546" priority="5352"/>
    <cfRule type="duplicateValues" dxfId="4545" priority="5353"/>
  </conditionalFormatting>
  <conditionalFormatting sqref="A37:A38">
    <cfRule type="duplicateValues" dxfId="4544" priority="5355" stopIfTrue="1"/>
  </conditionalFormatting>
  <conditionalFormatting sqref="A37:A38">
    <cfRule type="duplicateValues" dxfId="4543" priority="5356" stopIfTrue="1"/>
  </conditionalFormatting>
  <conditionalFormatting sqref="A37:A38">
    <cfRule type="duplicateValues" dxfId="4542" priority="5357" stopIfTrue="1"/>
    <cfRule type="duplicateValues" dxfId="4541" priority="5358" stopIfTrue="1"/>
  </conditionalFormatting>
  <conditionalFormatting sqref="A37:A38">
    <cfRule type="duplicateValues" dxfId="4540" priority="5359"/>
  </conditionalFormatting>
  <conditionalFormatting sqref="A37:A38">
    <cfRule type="duplicateValues" dxfId="4539" priority="5360"/>
    <cfRule type="duplicateValues" dxfId="4538" priority="5361"/>
  </conditionalFormatting>
  <conditionalFormatting sqref="A37:A38">
    <cfRule type="duplicateValues" dxfId="4537" priority="5346"/>
  </conditionalFormatting>
  <conditionalFormatting sqref="J91:J93">
    <cfRule type="duplicateValues" dxfId="4536" priority="5331" stopIfTrue="1"/>
  </conditionalFormatting>
  <conditionalFormatting sqref="J91:J93">
    <cfRule type="duplicateValues" dxfId="4535" priority="5332" stopIfTrue="1"/>
  </conditionalFormatting>
  <conditionalFormatting sqref="J91:J93">
    <cfRule type="duplicateValues" dxfId="4534" priority="5333" stopIfTrue="1"/>
    <cfRule type="duplicateValues" dxfId="4533" priority="5334" stopIfTrue="1"/>
  </conditionalFormatting>
  <conditionalFormatting sqref="J91:J93">
    <cfRule type="duplicateValues" dxfId="4532" priority="5335"/>
  </conditionalFormatting>
  <conditionalFormatting sqref="J91:J93">
    <cfRule type="duplicateValues" dxfId="4531" priority="5336"/>
    <cfRule type="duplicateValues" dxfId="4530" priority="5337"/>
  </conditionalFormatting>
  <conditionalFormatting sqref="A91:A93">
    <cfRule type="duplicateValues" dxfId="4529" priority="5338" stopIfTrue="1"/>
  </conditionalFormatting>
  <conditionalFormatting sqref="A91:A93">
    <cfRule type="duplicateValues" dxfId="4528" priority="5339" stopIfTrue="1"/>
  </conditionalFormatting>
  <conditionalFormatting sqref="A91:A93">
    <cfRule type="duplicateValues" dxfId="4527" priority="5340" stopIfTrue="1"/>
    <cfRule type="duplicateValues" dxfId="4526" priority="5341" stopIfTrue="1"/>
  </conditionalFormatting>
  <conditionalFormatting sqref="A91:A93">
    <cfRule type="duplicateValues" dxfId="4525" priority="5342"/>
  </conditionalFormatting>
  <conditionalFormatting sqref="A91:A93">
    <cfRule type="duplicateValues" dxfId="4524" priority="5343"/>
    <cfRule type="duplicateValues" dxfId="4523" priority="5344"/>
  </conditionalFormatting>
  <conditionalFormatting sqref="C91:C93">
    <cfRule type="duplicateValues" dxfId="4522" priority="5345" stopIfTrue="1"/>
  </conditionalFormatting>
  <conditionalFormatting sqref="A91:A93">
    <cfRule type="duplicateValues" dxfId="4521" priority="5330"/>
  </conditionalFormatting>
  <conditionalFormatting sqref="A127:A128">
    <cfRule type="duplicateValues" dxfId="4520" priority="5322" stopIfTrue="1"/>
  </conditionalFormatting>
  <conditionalFormatting sqref="A127:A128">
    <cfRule type="duplicateValues" dxfId="4519" priority="5323" stopIfTrue="1"/>
  </conditionalFormatting>
  <conditionalFormatting sqref="A127:A128">
    <cfRule type="duplicateValues" dxfId="4518" priority="5324" stopIfTrue="1"/>
    <cfRule type="duplicateValues" dxfId="4517" priority="5325" stopIfTrue="1"/>
  </conditionalFormatting>
  <conditionalFormatting sqref="A127:A128">
    <cfRule type="duplicateValues" dxfId="4516" priority="5326"/>
  </conditionalFormatting>
  <conditionalFormatting sqref="A127:A128">
    <cfRule type="duplicateValues" dxfId="4515" priority="5327"/>
    <cfRule type="duplicateValues" dxfId="4514" priority="5328"/>
  </conditionalFormatting>
  <conditionalFormatting sqref="C127:C128">
    <cfRule type="duplicateValues" dxfId="4513" priority="5329" stopIfTrue="1"/>
  </conditionalFormatting>
  <conditionalFormatting sqref="A127:A128">
    <cfRule type="duplicateValues" dxfId="4512" priority="5321"/>
  </conditionalFormatting>
  <conditionalFormatting sqref="C27:C29">
    <cfRule type="duplicateValues" dxfId="4511" priority="5313" stopIfTrue="1"/>
  </conditionalFormatting>
  <conditionalFormatting sqref="A27:A29">
    <cfRule type="duplicateValues" dxfId="4510" priority="5314" stopIfTrue="1"/>
  </conditionalFormatting>
  <conditionalFormatting sqref="A27:A29">
    <cfRule type="duplicateValues" dxfId="4509" priority="5315" stopIfTrue="1"/>
  </conditionalFormatting>
  <conditionalFormatting sqref="A27:A29">
    <cfRule type="duplicateValues" dxfId="4508" priority="5316" stopIfTrue="1"/>
    <cfRule type="duplicateValues" dxfId="4507" priority="5317" stopIfTrue="1"/>
  </conditionalFormatting>
  <conditionalFormatting sqref="A27:A29">
    <cfRule type="duplicateValues" dxfId="4506" priority="5318"/>
  </conditionalFormatting>
  <conditionalFormatting sqref="A27:A29">
    <cfRule type="duplicateValues" dxfId="4505" priority="5319"/>
    <cfRule type="duplicateValues" dxfId="4504" priority="5320"/>
  </conditionalFormatting>
  <conditionalFormatting sqref="A27:A29">
    <cfRule type="duplicateValues" dxfId="4503" priority="5312"/>
  </conditionalFormatting>
  <conditionalFormatting sqref="C22:C24">
    <cfRule type="duplicateValues" dxfId="4502" priority="5304" stopIfTrue="1"/>
  </conditionalFormatting>
  <conditionalFormatting sqref="A22:A24">
    <cfRule type="duplicateValues" dxfId="4501" priority="5305" stopIfTrue="1"/>
  </conditionalFormatting>
  <conditionalFormatting sqref="A22:A24">
    <cfRule type="duplicateValues" dxfId="4500" priority="5306" stopIfTrue="1"/>
  </conditionalFormatting>
  <conditionalFormatting sqref="A22:A24">
    <cfRule type="duplicateValues" dxfId="4499" priority="5307" stopIfTrue="1"/>
    <cfRule type="duplicateValues" dxfId="4498" priority="5308" stopIfTrue="1"/>
  </conditionalFormatting>
  <conditionalFormatting sqref="A22:A24">
    <cfRule type="duplicateValues" dxfId="4497" priority="5309"/>
  </conditionalFormatting>
  <conditionalFormatting sqref="A22:A24">
    <cfRule type="duplicateValues" dxfId="4496" priority="5310"/>
    <cfRule type="duplicateValues" dxfId="4495" priority="5311"/>
  </conditionalFormatting>
  <conditionalFormatting sqref="A22:A24">
    <cfRule type="duplicateValues" dxfId="4494" priority="5303"/>
  </conditionalFormatting>
  <conditionalFormatting sqref="C18:C19">
    <cfRule type="duplicateValues" dxfId="4493" priority="5295" stopIfTrue="1"/>
  </conditionalFormatting>
  <conditionalFormatting sqref="A18:A19">
    <cfRule type="duplicateValues" dxfId="4492" priority="5296" stopIfTrue="1"/>
  </conditionalFormatting>
  <conditionalFormatting sqref="A18:A19">
    <cfRule type="duplicateValues" dxfId="4491" priority="5297" stopIfTrue="1"/>
  </conditionalFormatting>
  <conditionalFormatting sqref="A18:A19">
    <cfRule type="duplicateValues" dxfId="4490" priority="5298" stopIfTrue="1"/>
    <cfRule type="duplicateValues" dxfId="4489" priority="5299" stopIfTrue="1"/>
  </conditionalFormatting>
  <conditionalFormatting sqref="A18:A19">
    <cfRule type="duplicateValues" dxfId="4488" priority="5300"/>
  </conditionalFormatting>
  <conditionalFormatting sqref="A18:A19">
    <cfRule type="duplicateValues" dxfId="4487" priority="5301"/>
    <cfRule type="duplicateValues" dxfId="4486" priority="5302"/>
  </conditionalFormatting>
  <conditionalFormatting sqref="A18:A19">
    <cfRule type="duplicateValues" dxfId="4485" priority="5294"/>
  </conditionalFormatting>
  <conditionalFormatting sqref="J60:J61">
    <cfRule type="duplicateValues" dxfId="4484" priority="5270" stopIfTrue="1"/>
  </conditionalFormatting>
  <conditionalFormatting sqref="J60:J61">
    <cfRule type="duplicateValues" dxfId="4483" priority="5271" stopIfTrue="1"/>
  </conditionalFormatting>
  <conditionalFormatting sqref="J60:J61">
    <cfRule type="duplicateValues" dxfId="4482" priority="5272" stopIfTrue="1"/>
    <cfRule type="duplicateValues" dxfId="4481" priority="5273" stopIfTrue="1"/>
  </conditionalFormatting>
  <conditionalFormatting sqref="J60:J61">
    <cfRule type="duplicateValues" dxfId="4480" priority="5274"/>
  </conditionalFormatting>
  <conditionalFormatting sqref="J60:J61">
    <cfRule type="duplicateValues" dxfId="4479" priority="5275"/>
    <cfRule type="duplicateValues" dxfId="4478" priority="5276"/>
  </conditionalFormatting>
  <conditionalFormatting sqref="L60:L61">
    <cfRule type="duplicateValues" dxfId="4477" priority="5269" stopIfTrue="1"/>
  </conditionalFormatting>
  <conditionalFormatting sqref="A60:A61">
    <cfRule type="duplicateValues" dxfId="4476" priority="5277" stopIfTrue="1"/>
  </conditionalFormatting>
  <conditionalFormatting sqref="A60:A61">
    <cfRule type="duplicateValues" dxfId="4475" priority="5278" stopIfTrue="1"/>
  </conditionalFormatting>
  <conditionalFormatting sqref="A60:A61">
    <cfRule type="duplicateValues" dxfId="4474" priority="5279" stopIfTrue="1"/>
    <cfRule type="duplicateValues" dxfId="4473" priority="5280" stopIfTrue="1"/>
  </conditionalFormatting>
  <conditionalFormatting sqref="A60:A61">
    <cfRule type="duplicateValues" dxfId="4472" priority="5281"/>
  </conditionalFormatting>
  <conditionalFormatting sqref="A60:A61">
    <cfRule type="duplicateValues" dxfId="4471" priority="5282"/>
    <cfRule type="duplicateValues" dxfId="4470" priority="5283"/>
  </conditionalFormatting>
  <conditionalFormatting sqref="C60:C61">
    <cfRule type="duplicateValues" dxfId="4469" priority="5284" stopIfTrue="1"/>
  </conditionalFormatting>
  <conditionalFormatting sqref="M60:N61">
    <cfRule type="duplicateValues" dxfId="4468" priority="5268" stopIfTrue="1"/>
  </conditionalFormatting>
  <conditionalFormatting sqref="O60:O61">
    <cfRule type="duplicateValues" dxfId="4467" priority="5267" stopIfTrue="1"/>
  </conditionalFormatting>
  <conditionalFormatting sqref="A60:A61">
    <cfRule type="duplicateValues" dxfId="4466" priority="5266"/>
  </conditionalFormatting>
  <conditionalFormatting sqref="A1796:A1897 A1590:A1784 A1433:A1448 A1512:A1587 A58:A65 A67 A69:A96 A98 A100:A102 A109:A132 A165 A178:A200 A134:A139 A205 A1:A44 A105:A106 A141:A162 A47:A54 A1466:A1495 A1450:A1464 A297:A1162 A1498:A1500 A1164:A1408 A1427 A1899:A1048576">
    <cfRule type="duplicateValues" dxfId="4465" priority="5265"/>
  </conditionalFormatting>
  <conditionalFormatting sqref="J55:J57">
    <cfRule type="duplicateValues" dxfId="4464" priority="5250" stopIfTrue="1"/>
  </conditionalFormatting>
  <conditionalFormatting sqref="J55:J57">
    <cfRule type="duplicateValues" dxfId="4463" priority="5251" stopIfTrue="1"/>
  </conditionalFormatting>
  <conditionalFormatting sqref="J55:J57">
    <cfRule type="duplicateValues" dxfId="4462" priority="5252" stopIfTrue="1"/>
    <cfRule type="duplicateValues" dxfId="4461" priority="5253" stopIfTrue="1"/>
  </conditionalFormatting>
  <conditionalFormatting sqref="J55:J57">
    <cfRule type="duplicateValues" dxfId="4460" priority="5254"/>
  </conditionalFormatting>
  <conditionalFormatting sqref="J55:J57">
    <cfRule type="duplicateValues" dxfId="4459" priority="5255"/>
    <cfRule type="duplicateValues" dxfId="4458" priority="5256"/>
  </conditionalFormatting>
  <conditionalFormatting sqref="A55:A57">
    <cfRule type="duplicateValues" dxfId="4457" priority="5257" stopIfTrue="1"/>
  </conditionalFormatting>
  <conditionalFormatting sqref="A55:A57">
    <cfRule type="duplicateValues" dxfId="4456" priority="5258" stopIfTrue="1"/>
  </conditionalFormatting>
  <conditionalFormatting sqref="A55:A57">
    <cfRule type="duplicateValues" dxfId="4455" priority="5259" stopIfTrue="1"/>
    <cfRule type="duplicateValues" dxfId="4454" priority="5260" stopIfTrue="1"/>
  </conditionalFormatting>
  <conditionalFormatting sqref="A55:A57">
    <cfRule type="duplicateValues" dxfId="4453" priority="5261"/>
  </conditionalFormatting>
  <conditionalFormatting sqref="A55:A57">
    <cfRule type="duplicateValues" dxfId="4452" priority="5262"/>
    <cfRule type="duplicateValues" dxfId="4451" priority="5263"/>
  </conditionalFormatting>
  <conditionalFormatting sqref="C55:C57">
    <cfRule type="duplicateValues" dxfId="4450" priority="5264" stopIfTrue="1"/>
  </conditionalFormatting>
  <conditionalFormatting sqref="A55:A57">
    <cfRule type="duplicateValues" dxfId="4449" priority="5249"/>
  </conditionalFormatting>
  <conditionalFormatting sqref="A55:A57">
    <cfRule type="duplicateValues" dxfId="4448" priority="5248"/>
  </conditionalFormatting>
  <conditionalFormatting sqref="S1360">
    <cfRule type="duplicateValues" dxfId="4447" priority="5231"/>
  </conditionalFormatting>
  <conditionalFormatting sqref="S1360">
    <cfRule type="duplicateValues" dxfId="4446" priority="5232"/>
  </conditionalFormatting>
  <conditionalFormatting sqref="S1360">
    <cfRule type="duplicateValues" dxfId="4445" priority="5233"/>
    <cfRule type="duplicateValues" dxfId="4444" priority="5234"/>
    <cfRule type="duplicateValues" dxfId="4443" priority="5235"/>
    <cfRule type="duplicateValues" dxfId="4442" priority="5236"/>
  </conditionalFormatting>
  <conditionalFormatting sqref="S1360">
    <cfRule type="duplicateValues" dxfId="4441" priority="5230"/>
  </conditionalFormatting>
  <conditionalFormatting sqref="S1360">
    <cfRule type="duplicateValues" dxfId="4440" priority="5237" stopIfTrue="1"/>
  </conditionalFormatting>
  <conditionalFormatting sqref="S1360">
    <cfRule type="duplicateValues" dxfId="4439" priority="5238" stopIfTrue="1"/>
  </conditionalFormatting>
  <conditionalFormatting sqref="S1360">
    <cfRule type="duplicateValues" dxfId="4438" priority="5239" stopIfTrue="1"/>
  </conditionalFormatting>
  <conditionalFormatting sqref="S1360">
    <cfRule type="duplicateValues" dxfId="4437" priority="5240" stopIfTrue="1"/>
  </conditionalFormatting>
  <conditionalFormatting sqref="S1360">
    <cfRule type="duplicateValues" dxfId="4436" priority="5241" stopIfTrue="1"/>
  </conditionalFormatting>
  <conditionalFormatting sqref="S1360">
    <cfRule type="duplicateValues" dxfId="4435" priority="5242" stopIfTrue="1"/>
  </conditionalFormatting>
  <conditionalFormatting sqref="S1360">
    <cfRule type="duplicateValues" dxfId="4434" priority="5243" stopIfTrue="1"/>
  </conditionalFormatting>
  <conditionalFormatting sqref="S1360">
    <cfRule type="duplicateValues" dxfId="4433" priority="5244" stopIfTrue="1"/>
  </conditionalFormatting>
  <conditionalFormatting sqref="S1360">
    <cfRule type="duplicateValues" dxfId="4432" priority="5245" stopIfTrue="1"/>
  </conditionalFormatting>
  <conditionalFormatting sqref="S1360">
    <cfRule type="duplicateValues" dxfId="4431" priority="5246"/>
    <cfRule type="duplicateValues" dxfId="4430" priority="5247"/>
  </conditionalFormatting>
  <conditionalFormatting sqref="S1360">
    <cfRule type="duplicateValues" dxfId="4429" priority="5228"/>
    <cfRule type="duplicateValues" dxfId="4428" priority="5229"/>
  </conditionalFormatting>
  <conditionalFormatting sqref="S1360">
    <cfRule type="duplicateValues" dxfId="4427" priority="5227"/>
  </conditionalFormatting>
  <conditionalFormatting sqref="A1428:A1432">
    <cfRule type="duplicateValues" dxfId="4426" priority="5134" stopIfTrue="1"/>
  </conditionalFormatting>
  <conditionalFormatting sqref="A1428:A1432">
    <cfRule type="duplicateValues" dxfId="4425" priority="5135" stopIfTrue="1"/>
  </conditionalFormatting>
  <conditionalFormatting sqref="A1428:A1432">
    <cfRule type="duplicateValues" dxfId="4424" priority="5133" stopIfTrue="1"/>
  </conditionalFormatting>
  <conditionalFormatting sqref="C1428">
    <cfRule type="duplicateValues" dxfId="4423" priority="5132" stopIfTrue="1"/>
  </conditionalFormatting>
  <conditionalFormatting sqref="A1428:A1432">
    <cfRule type="duplicateValues" dxfId="4422" priority="5131" stopIfTrue="1"/>
  </conditionalFormatting>
  <conditionalFormatting sqref="A1428:A1432">
    <cfRule type="duplicateValues" dxfId="4421" priority="5130" stopIfTrue="1"/>
  </conditionalFormatting>
  <conditionalFormatting sqref="A1428:A1432">
    <cfRule type="duplicateValues" dxfId="4420" priority="5129" stopIfTrue="1"/>
  </conditionalFormatting>
  <conditionalFormatting sqref="A1428:A1432">
    <cfRule type="duplicateValues" dxfId="4419" priority="5128" stopIfTrue="1"/>
  </conditionalFormatting>
  <conditionalFormatting sqref="A1428:A1432">
    <cfRule type="duplicateValues" dxfId="4418" priority="5127" stopIfTrue="1"/>
  </conditionalFormatting>
  <conditionalFormatting sqref="A1428:A1432">
    <cfRule type="duplicateValues" dxfId="4417" priority="5126" stopIfTrue="1"/>
  </conditionalFormatting>
  <conditionalFormatting sqref="A1428:A1432">
    <cfRule type="duplicateValues" dxfId="4416" priority="5125" stopIfTrue="1"/>
  </conditionalFormatting>
  <conditionalFormatting sqref="A1428:A1432">
    <cfRule type="duplicateValues" dxfId="4415" priority="5124" stopIfTrue="1"/>
  </conditionalFormatting>
  <conditionalFormatting sqref="A1428:A1432">
    <cfRule type="duplicateValues" dxfId="4414" priority="5122" stopIfTrue="1"/>
    <cfRule type="duplicateValues" dxfId="4413" priority="5123" stopIfTrue="1"/>
  </conditionalFormatting>
  <conditionalFormatting sqref="A1428:A1432">
    <cfRule type="duplicateValues" dxfId="4412" priority="5121" stopIfTrue="1"/>
  </conditionalFormatting>
  <conditionalFormatting sqref="A1428:A1432">
    <cfRule type="duplicateValues" dxfId="4411" priority="5120" stopIfTrue="1"/>
  </conditionalFormatting>
  <conditionalFormatting sqref="A1428:A1432">
    <cfRule type="duplicateValues" dxfId="4410" priority="5119" stopIfTrue="1"/>
  </conditionalFormatting>
  <conditionalFormatting sqref="A1428:A1432">
    <cfRule type="duplicateValues" dxfId="4409" priority="5118" stopIfTrue="1"/>
  </conditionalFormatting>
  <conditionalFormatting sqref="A1428:A1432">
    <cfRule type="duplicateValues" dxfId="4408" priority="5117" stopIfTrue="1"/>
  </conditionalFormatting>
  <conditionalFormatting sqref="A1428:A1432">
    <cfRule type="duplicateValues" dxfId="4407" priority="5116"/>
  </conditionalFormatting>
  <conditionalFormatting sqref="A1428:A1432">
    <cfRule type="duplicateValues" dxfId="4406" priority="5115"/>
  </conditionalFormatting>
  <conditionalFormatting sqref="A1428:A1432">
    <cfRule type="duplicateValues" dxfId="4405" priority="5114"/>
  </conditionalFormatting>
  <conditionalFormatting sqref="A1428:A1432">
    <cfRule type="duplicateValues" dxfId="4404" priority="5113"/>
  </conditionalFormatting>
  <conditionalFormatting sqref="A1428:A1432">
    <cfRule type="duplicateValues" dxfId="4403" priority="5112"/>
  </conditionalFormatting>
  <conditionalFormatting sqref="A1428:A1432">
    <cfRule type="duplicateValues" dxfId="4402" priority="5111"/>
  </conditionalFormatting>
  <conditionalFormatting sqref="A1428:A1432">
    <cfRule type="duplicateValues" dxfId="4401" priority="5110"/>
  </conditionalFormatting>
  <conditionalFormatting sqref="A1428:A1432">
    <cfRule type="duplicateValues" dxfId="4400" priority="5109"/>
  </conditionalFormatting>
  <conditionalFormatting sqref="A1428:A1432">
    <cfRule type="duplicateValues" dxfId="4399" priority="5107"/>
    <cfRule type="duplicateValues" dxfId="4398" priority="5108"/>
  </conditionalFormatting>
  <conditionalFormatting sqref="A1428:A1432">
    <cfRule type="duplicateValues" dxfId="4397" priority="5106"/>
  </conditionalFormatting>
  <conditionalFormatting sqref="A1428:A1432">
    <cfRule type="duplicateValues" dxfId="4396" priority="5136"/>
  </conditionalFormatting>
  <conditionalFormatting sqref="A1428:A1432">
    <cfRule type="duplicateValues" dxfId="4395" priority="5105"/>
  </conditionalFormatting>
  <conditionalFormatting sqref="A1428:A1432">
    <cfRule type="duplicateValues" dxfId="4394" priority="5104"/>
  </conditionalFormatting>
  <conditionalFormatting sqref="C1429:C1432">
    <cfRule type="duplicateValues" dxfId="4393" priority="5098" stopIfTrue="1"/>
  </conditionalFormatting>
  <conditionalFormatting sqref="A1588">
    <cfRule type="duplicateValues" dxfId="4392" priority="5095" stopIfTrue="1"/>
  </conditionalFormatting>
  <conditionalFormatting sqref="A1588">
    <cfRule type="duplicateValues" dxfId="4391" priority="5094" stopIfTrue="1"/>
  </conditionalFormatting>
  <conditionalFormatting sqref="A1588">
    <cfRule type="duplicateValues" dxfId="4390" priority="5093" stopIfTrue="1"/>
  </conditionalFormatting>
  <conditionalFormatting sqref="A1588">
    <cfRule type="duplicateValues" dxfId="4389" priority="5092" stopIfTrue="1"/>
  </conditionalFormatting>
  <conditionalFormatting sqref="A1588">
    <cfRule type="duplicateValues" dxfId="4388" priority="5091" stopIfTrue="1"/>
  </conditionalFormatting>
  <conditionalFormatting sqref="A1588">
    <cfRule type="duplicateValues" dxfId="4387" priority="5090" stopIfTrue="1"/>
  </conditionalFormatting>
  <conditionalFormatting sqref="A1588">
    <cfRule type="duplicateValues" dxfId="4386" priority="5089" stopIfTrue="1"/>
  </conditionalFormatting>
  <conditionalFormatting sqref="A1588">
    <cfRule type="duplicateValues" dxfId="4385" priority="5088" stopIfTrue="1"/>
  </conditionalFormatting>
  <conditionalFormatting sqref="A1588">
    <cfRule type="duplicateValues" dxfId="4384" priority="5087" stopIfTrue="1"/>
  </conditionalFormatting>
  <conditionalFormatting sqref="A1588">
    <cfRule type="duplicateValues" dxfId="4383" priority="5086" stopIfTrue="1"/>
  </conditionalFormatting>
  <conditionalFormatting sqref="A1588">
    <cfRule type="duplicateValues" dxfId="4382" priority="5085" stopIfTrue="1"/>
  </conditionalFormatting>
  <conditionalFormatting sqref="A1588">
    <cfRule type="duplicateValues" dxfId="4381" priority="5084" stopIfTrue="1"/>
  </conditionalFormatting>
  <conditionalFormatting sqref="A1588">
    <cfRule type="duplicateValues" dxfId="4380" priority="5083" stopIfTrue="1"/>
  </conditionalFormatting>
  <conditionalFormatting sqref="A1588">
    <cfRule type="duplicateValues" dxfId="4379" priority="5096" stopIfTrue="1"/>
  </conditionalFormatting>
  <conditionalFormatting sqref="A1588">
    <cfRule type="duplicateValues" dxfId="4378" priority="5082" stopIfTrue="1"/>
  </conditionalFormatting>
  <conditionalFormatting sqref="C1588">
    <cfRule type="duplicateValues" dxfId="4377" priority="5081" stopIfTrue="1"/>
  </conditionalFormatting>
  <conditionalFormatting sqref="A1588">
    <cfRule type="duplicateValues" dxfId="4376" priority="5080" stopIfTrue="1"/>
  </conditionalFormatting>
  <conditionalFormatting sqref="A1588">
    <cfRule type="duplicateValues" dxfId="4375" priority="5079" stopIfTrue="1"/>
  </conditionalFormatting>
  <conditionalFormatting sqref="A1588">
    <cfRule type="duplicateValues" dxfId="4374" priority="5078" stopIfTrue="1"/>
  </conditionalFormatting>
  <conditionalFormatting sqref="A1588">
    <cfRule type="duplicateValues" dxfId="4373" priority="5077" stopIfTrue="1"/>
  </conditionalFormatting>
  <conditionalFormatting sqref="A1588">
    <cfRule type="duplicateValues" dxfId="4372" priority="5076" stopIfTrue="1"/>
  </conditionalFormatting>
  <conditionalFormatting sqref="A1588">
    <cfRule type="duplicateValues" dxfId="4371" priority="5075" stopIfTrue="1"/>
  </conditionalFormatting>
  <conditionalFormatting sqref="A1588">
    <cfRule type="duplicateValues" dxfId="4370" priority="5074" stopIfTrue="1"/>
  </conditionalFormatting>
  <conditionalFormatting sqref="A1588">
    <cfRule type="duplicateValues" dxfId="4369" priority="5073" stopIfTrue="1"/>
  </conditionalFormatting>
  <conditionalFormatting sqref="A1588">
    <cfRule type="duplicateValues" dxfId="4368" priority="5071" stopIfTrue="1"/>
    <cfRule type="duplicateValues" dxfId="4367" priority="5072" stopIfTrue="1"/>
  </conditionalFormatting>
  <conditionalFormatting sqref="A1588">
    <cfRule type="duplicateValues" dxfId="4366" priority="5070" stopIfTrue="1"/>
  </conditionalFormatting>
  <conditionalFormatting sqref="A1588">
    <cfRule type="duplicateValues" dxfId="4365" priority="5069" stopIfTrue="1"/>
  </conditionalFormatting>
  <conditionalFormatting sqref="A1588">
    <cfRule type="duplicateValues" dxfId="4364" priority="5068" stopIfTrue="1"/>
  </conditionalFormatting>
  <conditionalFormatting sqref="A1588">
    <cfRule type="duplicateValues" dxfId="4363" priority="5067" stopIfTrue="1"/>
  </conditionalFormatting>
  <conditionalFormatting sqref="A1588">
    <cfRule type="duplicateValues" dxfId="4362" priority="5066" stopIfTrue="1"/>
  </conditionalFormatting>
  <conditionalFormatting sqref="A1588">
    <cfRule type="duplicateValues" dxfId="4361" priority="5065"/>
  </conditionalFormatting>
  <conditionalFormatting sqref="A1588">
    <cfRule type="duplicateValues" dxfId="4360" priority="5064"/>
  </conditionalFormatting>
  <conditionalFormatting sqref="A1588">
    <cfRule type="duplicateValues" dxfId="4359" priority="5063"/>
  </conditionalFormatting>
  <conditionalFormatting sqref="A1588">
    <cfRule type="duplicateValues" dxfId="4358" priority="5062"/>
  </conditionalFormatting>
  <conditionalFormatting sqref="A1588">
    <cfRule type="duplicateValues" dxfId="4357" priority="5061"/>
  </conditionalFormatting>
  <conditionalFormatting sqref="A1588">
    <cfRule type="duplicateValues" dxfId="4356" priority="5060"/>
  </conditionalFormatting>
  <conditionalFormatting sqref="A1588">
    <cfRule type="duplicateValues" dxfId="4355" priority="5059"/>
  </conditionalFormatting>
  <conditionalFormatting sqref="A1588">
    <cfRule type="duplicateValues" dxfId="4354" priority="5058"/>
  </conditionalFormatting>
  <conditionalFormatting sqref="A1588">
    <cfRule type="duplicateValues" dxfId="4353" priority="5056"/>
    <cfRule type="duplicateValues" dxfId="4352" priority="5057"/>
  </conditionalFormatting>
  <conditionalFormatting sqref="A1588">
    <cfRule type="duplicateValues" dxfId="4351" priority="5055"/>
  </conditionalFormatting>
  <conditionalFormatting sqref="A1588">
    <cfRule type="duplicateValues" dxfId="4350" priority="5097"/>
  </conditionalFormatting>
  <conditionalFormatting sqref="A1588">
    <cfRule type="duplicateValues" dxfId="4349" priority="5052"/>
    <cfRule type="duplicateValues" dxfId="4348" priority="5053"/>
    <cfRule type="duplicateValues" dxfId="4347" priority="5054"/>
  </conditionalFormatting>
  <conditionalFormatting sqref="A1588">
    <cfRule type="duplicateValues" dxfId="4346" priority="5051"/>
  </conditionalFormatting>
  <conditionalFormatting sqref="A1589">
    <cfRule type="duplicateValues" dxfId="4345" priority="5048" stopIfTrue="1"/>
  </conditionalFormatting>
  <conditionalFormatting sqref="A1589">
    <cfRule type="duplicateValues" dxfId="4344" priority="5047" stopIfTrue="1"/>
  </conditionalFormatting>
  <conditionalFormatting sqref="A1589">
    <cfRule type="duplicateValues" dxfId="4343" priority="5046" stopIfTrue="1"/>
  </conditionalFormatting>
  <conditionalFormatting sqref="A1589">
    <cfRule type="duplicateValues" dxfId="4342" priority="5045" stopIfTrue="1"/>
  </conditionalFormatting>
  <conditionalFormatting sqref="A1589">
    <cfRule type="duplicateValues" dxfId="4341" priority="5044" stopIfTrue="1"/>
  </conditionalFormatting>
  <conditionalFormatting sqref="A1589">
    <cfRule type="duplicateValues" dxfId="4340" priority="5043" stopIfTrue="1"/>
  </conditionalFormatting>
  <conditionalFormatting sqref="A1589">
    <cfRule type="duplicateValues" dxfId="4339" priority="5042" stopIfTrue="1"/>
  </conditionalFormatting>
  <conditionalFormatting sqref="A1589">
    <cfRule type="duplicateValues" dxfId="4338" priority="5041" stopIfTrue="1"/>
  </conditionalFormatting>
  <conditionalFormatting sqref="A1589">
    <cfRule type="duplicateValues" dxfId="4337" priority="5040" stopIfTrue="1"/>
  </conditionalFormatting>
  <conditionalFormatting sqref="A1589">
    <cfRule type="duplicateValues" dxfId="4336" priority="5039" stopIfTrue="1"/>
  </conditionalFormatting>
  <conditionalFormatting sqref="A1589">
    <cfRule type="duplicateValues" dxfId="4335" priority="5038" stopIfTrue="1"/>
  </conditionalFormatting>
  <conditionalFormatting sqref="A1589">
    <cfRule type="duplicateValues" dxfId="4334" priority="5037" stopIfTrue="1"/>
  </conditionalFormatting>
  <conditionalFormatting sqref="A1589">
    <cfRule type="duplicateValues" dxfId="4333" priority="5036" stopIfTrue="1"/>
  </conditionalFormatting>
  <conditionalFormatting sqref="A1589">
    <cfRule type="duplicateValues" dxfId="4332" priority="5049" stopIfTrue="1"/>
  </conditionalFormatting>
  <conditionalFormatting sqref="A1589">
    <cfRule type="duplicateValues" dxfId="4331" priority="5035" stopIfTrue="1"/>
  </conditionalFormatting>
  <conditionalFormatting sqref="C1589">
    <cfRule type="duplicateValues" dxfId="4330" priority="5034" stopIfTrue="1"/>
  </conditionalFormatting>
  <conditionalFormatting sqref="A1589">
    <cfRule type="duplicateValues" dxfId="4329" priority="5033" stopIfTrue="1"/>
  </conditionalFormatting>
  <conditionalFormatting sqref="A1589">
    <cfRule type="duplicateValues" dxfId="4328" priority="5032" stopIfTrue="1"/>
  </conditionalFormatting>
  <conditionalFormatting sqref="A1589">
    <cfRule type="duplicateValues" dxfId="4327" priority="5031" stopIfTrue="1"/>
  </conditionalFormatting>
  <conditionalFormatting sqref="A1589">
    <cfRule type="duplicateValues" dxfId="4326" priority="5030" stopIfTrue="1"/>
  </conditionalFormatting>
  <conditionalFormatting sqref="A1589">
    <cfRule type="duplicateValues" dxfId="4325" priority="5029" stopIfTrue="1"/>
  </conditionalFormatting>
  <conditionalFormatting sqref="A1589">
    <cfRule type="duplicateValues" dxfId="4324" priority="5028" stopIfTrue="1"/>
  </conditionalFormatting>
  <conditionalFormatting sqref="A1589">
    <cfRule type="duplicateValues" dxfId="4323" priority="5027" stopIfTrue="1"/>
  </conditionalFormatting>
  <conditionalFormatting sqref="A1589">
    <cfRule type="duplicateValues" dxfId="4322" priority="5026" stopIfTrue="1"/>
  </conditionalFormatting>
  <conditionalFormatting sqref="A1589">
    <cfRule type="duplicateValues" dxfId="4321" priority="5024" stopIfTrue="1"/>
    <cfRule type="duplicateValues" dxfId="4320" priority="5025" stopIfTrue="1"/>
  </conditionalFormatting>
  <conditionalFormatting sqref="A1589">
    <cfRule type="duplicateValues" dxfId="4319" priority="5023" stopIfTrue="1"/>
  </conditionalFormatting>
  <conditionalFormatting sqref="A1589">
    <cfRule type="duplicateValues" dxfId="4318" priority="5022" stopIfTrue="1"/>
  </conditionalFormatting>
  <conditionalFormatting sqref="A1589">
    <cfRule type="duplicateValues" dxfId="4317" priority="5021" stopIfTrue="1"/>
  </conditionalFormatting>
  <conditionalFormatting sqref="A1589">
    <cfRule type="duplicateValues" dxfId="4316" priority="5020" stopIfTrue="1"/>
  </conditionalFormatting>
  <conditionalFormatting sqref="A1589">
    <cfRule type="duplicateValues" dxfId="4315" priority="5019" stopIfTrue="1"/>
  </conditionalFormatting>
  <conditionalFormatting sqref="A1589">
    <cfRule type="duplicateValues" dxfId="4314" priority="5018"/>
  </conditionalFormatting>
  <conditionalFormatting sqref="A1589">
    <cfRule type="duplicateValues" dxfId="4313" priority="5017"/>
  </conditionalFormatting>
  <conditionalFormatting sqref="A1589">
    <cfRule type="duplicateValues" dxfId="4312" priority="5016"/>
  </conditionalFormatting>
  <conditionalFormatting sqref="A1589">
    <cfRule type="duplicateValues" dxfId="4311" priority="5015"/>
  </conditionalFormatting>
  <conditionalFormatting sqref="A1589">
    <cfRule type="duplicateValues" dxfId="4310" priority="5014"/>
  </conditionalFormatting>
  <conditionalFormatting sqref="A1589">
    <cfRule type="duplicateValues" dxfId="4309" priority="5013"/>
  </conditionalFormatting>
  <conditionalFormatting sqref="A1589">
    <cfRule type="duplicateValues" dxfId="4308" priority="5012"/>
  </conditionalFormatting>
  <conditionalFormatting sqref="A1589">
    <cfRule type="duplicateValues" dxfId="4307" priority="5011"/>
  </conditionalFormatting>
  <conditionalFormatting sqref="A1589">
    <cfRule type="duplicateValues" dxfId="4306" priority="5009"/>
    <cfRule type="duplicateValues" dxfId="4305" priority="5010"/>
  </conditionalFormatting>
  <conditionalFormatting sqref="A1589">
    <cfRule type="duplicateValues" dxfId="4304" priority="5008"/>
  </conditionalFormatting>
  <conditionalFormatting sqref="A1589">
    <cfRule type="duplicateValues" dxfId="4303" priority="5050"/>
  </conditionalFormatting>
  <conditionalFormatting sqref="A1589">
    <cfRule type="duplicateValues" dxfId="4302" priority="5005"/>
    <cfRule type="duplicateValues" dxfId="4301" priority="5006"/>
    <cfRule type="duplicateValues" dxfId="4300" priority="5007"/>
  </conditionalFormatting>
  <conditionalFormatting sqref="A1589">
    <cfRule type="duplicateValues" dxfId="4299" priority="5004"/>
  </conditionalFormatting>
  <conditionalFormatting sqref="A1588:A1589">
    <cfRule type="duplicateValues" dxfId="4298" priority="5003"/>
  </conditionalFormatting>
  <conditionalFormatting sqref="A1501:A1511">
    <cfRule type="duplicateValues" dxfId="4297" priority="5000" stopIfTrue="1"/>
  </conditionalFormatting>
  <conditionalFormatting sqref="A1501:A1511">
    <cfRule type="duplicateValues" dxfId="4296" priority="4999" stopIfTrue="1"/>
  </conditionalFormatting>
  <conditionalFormatting sqref="A1501:A1511">
    <cfRule type="duplicateValues" dxfId="4295" priority="4998" stopIfTrue="1"/>
  </conditionalFormatting>
  <conditionalFormatting sqref="A1501:A1511">
    <cfRule type="duplicateValues" dxfId="4294" priority="4997" stopIfTrue="1"/>
  </conditionalFormatting>
  <conditionalFormatting sqref="A1501:A1511">
    <cfRule type="duplicateValues" dxfId="4293" priority="4996" stopIfTrue="1"/>
  </conditionalFormatting>
  <conditionalFormatting sqref="A1501:A1511">
    <cfRule type="duplicateValues" dxfId="4292" priority="4995" stopIfTrue="1"/>
  </conditionalFormatting>
  <conditionalFormatting sqref="A1501:A1511">
    <cfRule type="duplicateValues" dxfId="4291" priority="4994" stopIfTrue="1"/>
  </conditionalFormatting>
  <conditionalFormatting sqref="A1501:A1511">
    <cfRule type="duplicateValues" dxfId="4290" priority="4993" stopIfTrue="1"/>
  </conditionalFormatting>
  <conditionalFormatting sqref="A1501:A1511">
    <cfRule type="duplicateValues" dxfId="4289" priority="4992" stopIfTrue="1"/>
  </conditionalFormatting>
  <conditionalFormatting sqref="A1501:A1511">
    <cfRule type="duplicateValues" dxfId="4288" priority="4991" stopIfTrue="1"/>
  </conditionalFormatting>
  <conditionalFormatting sqref="A1501:A1511">
    <cfRule type="duplicateValues" dxfId="4287" priority="4990" stopIfTrue="1"/>
  </conditionalFormatting>
  <conditionalFormatting sqref="A1501:A1511">
    <cfRule type="duplicateValues" dxfId="4286" priority="4989" stopIfTrue="1"/>
  </conditionalFormatting>
  <conditionalFormatting sqref="A1501:A1511">
    <cfRule type="duplicateValues" dxfId="4285" priority="4988" stopIfTrue="1"/>
  </conditionalFormatting>
  <conditionalFormatting sqref="A1501:A1511">
    <cfRule type="duplicateValues" dxfId="4284" priority="4987" stopIfTrue="1"/>
  </conditionalFormatting>
  <conditionalFormatting sqref="A1501:A1511">
    <cfRule type="duplicateValues" dxfId="4283" priority="5001" stopIfTrue="1"/>
  </conditionalFormatting>
  <conditionalFormatting sqref="A1501:A1511">
    <cfRule type="duplicateValues" dxfId="4282" priority="4986" stopIfTrue="1"/>
  </conditionalFormatting>
  <conditionalFormatting sqref="C1501">
    <cfRule type="duplicateValues" dxfId="4281" priority="4985" stopIfTrue="1"/>
  </conditionalFormatting>
  <conditionalFormatting sqref="A1501:A1511">
    <cfRule type="duplicateValues" dxfId="4280" priority="4984" stopIfTrue="1"/>
  </conditionalFormatting>
  <conditionalFormatting sqref="A1501:A1511">
    <cfRule type="duplicateValues" dxfId="4279" priority="4983" stopIfTrue="1"/>
  </conditionalFormatting>
  <conditionalFormatting sqref="A1501:A1511">
    <cfRule type="duplicateValues" dxfId="4278" priority="4982" stopIfTrue="1"/>
  </conditionalFormatting>
  <conditionalFormatting sqref="A1501:A1511">
    <cfRule type="duplicateValues" dxfId="4277" priority="4981" stopIfTrue="1"/>
  </conditionalFormatting>
  <conditionalFormatting sqref="A1501:A1511">
    <cfRule type="duplicateValues" dxfId="4276" priority="4980" stopIfTrue="1"/>
  </conditionalFormatting>
  <conditionalFormatting sqref="A1501:A1511">
    <cfRule type="duplicateValues" dxfId="4275" priority="4979" stopIfTrue="1"/>
  </conditionalFormatting>
  <conditionalFormatting sqref="A1501:A1511">
    <cfRule type="duplicateValues" dxfId="4274" priority="4978" stopIfTrue="1"/>
  </conditionalFormatting>
  <conditionalFormatting sqref="A1501:A1511">
    <cfRule type="duplicateValues" dxfId="4273" priority="4977" stopIfTrue="1"/>
  </conditionalFormatting>
  <conditionalFormatting sqref="A1501:A1511">
    <cfRule type="duplicateValues" dxfId="4272" priority="4975" stopIfTrue="1"/>
    <cfRule type="duplicateValues" dxfId="4271" priority="4976" stopIfTrue="1"/>
  </conditionalFormatting>
  <conditionalFormatting sqref="A1501:A1511">
    <cfRule type="duplicateValues" dxfId="4270" priority="4974" stopIfTrue="1"/>
  </conditionalFormatting>
  <conditionalFormatting sqref="A1501:A1511">
    <cfRule type="duplicateValues" dxfId="4269" priority="4973" stopIfTrue="1"/>
  </conditionalFormatting>
  <conditionalFormatting sqref="A1501:A1511">
    <cfRule type="duplicateValues" dxfId="4268" priority="4972" stopIfTrue="1"/>
  </conditionalFormatting>
  <conditionalFormatting sqref="A1501:A1511">
    <cfRule type="duplicateValues" dxfId="4267" priority="4971" stopIfTrue="1"/>
  </conditionalFormatting>
  <conditionalFormatting sqref="A1501:A1511">
    <cfRule type="duplicateValues" dxfId="4266" priority="4970" stopIfTrue="1"/>
  </conditionalFormatting>
  <conditionalFormatting sqref="A1501:A1511">
    <cfRule type="duplicateValues" dxfId="4265" priority="4969"/>
  </conditionalFormatting>
  <conditionalFormatting sqref="A1501:A1511">
    <cfRule type="duplicateValues" dxfId="4264" priority="4968"/>
  </conditionalFormatting>
  <conditionalFormatting sqref="A1501:A1511">
    <cfRule type="duplicateValues" dxfId="4263" priority="4967"/>
  </conditionalFormatting>
  <conditionalFormatting sqref="A1501:A1511">
    <cfRule type="duplicateValues" dxfId="4262" priority="4966"/>
  </conditionalFormatting>
  <conditionalFormatting sqref="A1501:A1511">
    <cfRule type="duplicateValues" dxfId="4261" priority="4965"/>
  </conditionalFormatting>
  <conditionalFormatting sqref="A1501:A1511">
    <cfRule type="duplicateValues" dxfId="4260" priority="4964"/>
  </conditionalFormatting>
  <conditionalFormatting sqref="A1501:A1511">
    <cfRule type="duplicateValues" dxfId="4259" priority="4963"/>
  </conditionalFormatting>
  <conditionalFormatting sqref="A1501:A1511">
    <cfRule type="duplicateValues" dxfId="4258" priority="4962"/>
  </conditionalFormatting>
  <conditionalFormatting sqref="A1501:A1511">
    <cfRule type="duplicateValues" dxfId="4257" priority="4960"/>
    <cfRule type="duplicateValues" dxfId="4256" priority="4961"/>
  </conditionalFormatting>
  <conditionalFormatting sqref="A1501:A1511">
    <cfRule type="duplicateValues" dxfId="4255" priority="4959"/>
  </conditionalFormatting>
  <conditionalFormatting sqref="A1501:A1511">
    <cfRule type="duplicateValues" dxfId="4254" priority="5002"/>
  </conditionalFormatting>
  <conditionalFormatting sqref="C1502">
    <cfRule type="duplicateValues" dxfId="4253" priority="4958" stopIfTrue="1"/>
  </conditionalFormatting>
  <conditionalFormatting sqref="C1503">
    <cfRule type="duplicateValues" dxfId="4252" priority="4957" stopIfTrue="1"/>
  </conditionalFormatting>
  <conditionalFormatting sqref="C1504">
    <cfRule type="duplicateValues" dxfId="4251" priority="4956" stopIfTrue="1"/>
  </conditionalFormatting>
  <conditionalFormatting sqref="C1505">
    <cfRule type="duplicateValues" dxfId="4250" priority="4955" stopIfTrue="1"/>
  </conditionalFormatting>
  <conditionalFormatting sqref="C1506">
    <cfRule type="duplicateValues" dxfId="4249" priority="4954" stopIfTrue="1"/>
  </conditionalFormatting>
  <conditionalFormatting sqref="C1507">
    <cfRule type="duplicateValues" dxfId="4248" priority="4953" stopIfTrue="1"/>
  </conditionalFormatting>
  <conditionalFormatting sqref="C1508">
    <cfRule type="duplicateValues" dxfId="4247" priority="4952" stopIfTrue="1"/>
  </conditionalFormatting>
  <conditionalFormatting sqref="C1509">
    <cfRule type="duplicateValues" dxfId="4246" priority="4951" stopIfTrue="1"/>
  </conditionalFormatting>
  <conditionalFormatting sqref="C1510">
    <cfRule type="duplicateValues" dxfId="4245" priority="4950" stopIfTrue="1"/>
  </conditionalFormatting>
  <conditionalFormatting sqref="C1511">
    <cfRule type="duplicateValues" dxfId="4244" priority="4949" stopIfTrue="1"/>
  </conditionalFormatting>
  <conditionalFormatting sqref="C30 C10 C13:C17 C25:C26">
    <cfRule type="duplicateValues" dxfId="4243" priority="60995" stopIfTrue="1"/>
  </conditionalFormatting>
  <conditionalFormatting sqref="A1796:A1897 A1590:A1784 A1433:A1448 A94:A96 A30:A36 A58:A59 A129:A132 A1512:A1587 A39:A44 A1:A17 A62:A65 A67 A69:A90 A98 A100:A102 A109:A126 A165 A178:A200 A134:A139 A205 A20:A21 A25:A26 A105:A106 A141:A162 A47:A54 A1466:A1495 A1450:A1464 A297:A1162 A1498:A1500 A1164:A1408 A1427 A1899:A1048576">
    <cfRule type="duplicateValues" dxfId="4242" priority="61195"/>
  </conditionalFormatting>
  <conditionalFormatting sqref="C43:C44">
    <cfRule type="duplicateValues" dxfId="4241" priority="66933" stopIfTrue="1"/>
  </conditionalFormatting>
  <conditionalFormatting sqref="L44:M44">
    <cfRule type="duplicateValues" dxfId="4240" priority="4942" stopIfTrue="1"/>
  </conditionalFormatting>
  <conditionalFormatting sqref="L44:M44">
    <cfRule type="duplicateValues" dxfId="4239" priority="4943" stopIfTrue="1"/>
  </conditionalFormatting>
  <conditionalFormatting sqref="L44:M44">
    <cfRule type="duplicateValues" dxfId="4238" priority="4944" stopIfTrue="1"/>
    <cfRule type="duplicateValues" dxfId="4237" priority="4945" stopIfTrue="1"/>
  </conditionalFormatting>
  <conditionalFormatting sqref="L44:M44">
    <cfRule type="duplicateValues" dxfId="4236" priority="4946"/>
  </conditionalFormatting>
  <conditionalFormatting sqref="L44:M44">
    <cfRule type="duplicateValues" dxfId="4235" priority="4947"/>
    <cfRule type="duplicateValues" dxfId="4234" priority="4948"/>
  </conditionalFormatting>
  <conditionalFormatting sqref="N44:O44">
    <cfRule type="duplicateValues" dxfId="4233" priority="4935" stopIfTrue="1"/>
  </conditionalFormatting>
  <conditionalFormatting sqref="N44:O44">
    <cfRule type="duplicateValues" dxfId="4232" priority="4936" stopIfTrue="1"/>
  </conditionalFormatting>
  <conditionalFormatting sqref="N44:O44">
    <cfRule type="duplicateValues" dxfId="4231" priority="4937" stopIfTrue="1"/>
    <cfRule type="duplicateValues" dxfId="4230" priority="4938" stopIfTrue="1"/>
  </conditionalFormatting>
  <conditionalFormatting sqref="N44:O44">
    <cfRule type="duplicateValues" dxfId="4229" priority="4939"/>
  </conditionalFormatting>
  <conditionalFormatting sqref="N44:O44">
    <cfRule type="duplicateValues" dxfId="4228" priority="4940"/>
    <cfRule type="duplicateValues" dxfId="4227" priority="4941"/>
  </conditionalFormatting>
  <conditionalFormatting sqref="M63">
    <cfRule type="duplicateValues" dxfId="4226" priority="4934" stopIfTrue="1"/>
  </conditionalFormatting>
  <conditionalFormatting sqref="N65">
    <cfRule type="duplicateValues" dxfId="4225" priority="4933" stopIfTrue="1"/>
  </conditionalFormatting>
  <conditionalFormatting sqref="O65">
    <cfRule type="duplicateValues" dxfId="4224" priority="4932" stopIfTrue="1"/>
  </conditionalFormatting>
  <conditionalFormatting sqref="L66">
    <cfRule type="duplicateValues" dxfId="4223" priority="4931" stopIfTrue="1"/>
  </conditionalFormatting>
  <conditionalFormatting sqref="M66">
    <cfRule type="duplicateValues" dxfId="4222" priority="4930" stopIfTrue="1"/>
  </conditionalFormatting>
  <conditionalFormatting sqref="N66">
    <cfRule type="duplicateValues" dxfId="4221" priority="4929" stopIfTrue="1"/>
  </conditionalFormatting>
  <conditionalFormatting sqref="O66">
    <cfRule type="duplicateValues" dxfId="4220" priority="4928" stopIfTrue="1"/>
  </conditionalFormatting>
  <conditionalFormatting sqref="L94">
    <cfRule type="duplicateValues" dxfId="4219" priority="4927" stopIfTrue="1"/>
  </conditionalFormatting>
  <conditionalFormatting sqref="M94">
    <cfRule type="duplicateValues" dxfId="4218" priority="4926" stopIfTrue="1"/>
  </conditionalFormatting>
  <conditionalFormatting sqref="L68">
    <cfRule type="duplicateValues" dxfId="4217" priority="4923" stopIfTrue="1"/>
  </conditionalFormatting>
  <conditionalFormatting sqref="M68">
    <cfRule type="duplicateValues" dxfId="4216" priority="4922" stopIfTrue="1"/>
  </conditionalFormatting>
  <conditionalFormatting sqref="J97">
    <cfRule type="duplicateValues" dxfId="4215" priority="4906" stopIfTrue="1"/>
  </conditionalFormatting>
  <conditionalFormatting sqref="J97">
    <cfRule type="duplicateValues" dxfId="4214" priority="4907" stopIfTrue="1"/>
  </conditionalFormatting>
  <conditionalFormatting sqref="J97">
    <cfRule type="duplicateValues" dxfId="4213" priority="4908" stopIfTrue="1"/>
    <cfRule type="duplicateValues" dxfId="4212" priority="4909" stopIfTrue="1"/>
  </conditionalFormatting>
  <conditionalFormatting sqref="J97">
    <cfRule type="duplicateValues" dxfId="4211" priority="4910"/>
  </conditionalFormatting>
  <conditionalFormatting sqref="J97">
    <cfRule type="duplicateValues" dxfId="4210" priority="4911"/>
    <cfRule type="duplicateValues" dxfId="4209" priority="4912"/>
  </conditionalFormatting>
  <conditionalFormatting sqref="C97">
    <cfRule type="duplicateValues" dxfId="4208" priority="4913" stopIfTrue="1"/>
  </conditionalFormatting>
  <conditionalFormatting sqref="A97">
    <cfRule type="duplicateValues" dxfId="4207" priority="4905"/>
  </conditionalFormatting>
  <conditionalFormatting sqref="A97">
    <cfRule type="duplicateValues" dxfId="4206" priority="4914"/>
  </conditionalFormatting>
  <conditionalFormatting sqref="A97">
    <cfRule type="duplicateValues" dxfId="4205" priority="4915" stopIfTrue="1"/>
  </conditionalFormatting>
  <conditionalFormatting sqref="A97">
    <cfRule type="duplicateValues" dxfId="4204" priority="4916" stopIfTrue="1"/>
  </conditionalFormatting>
  <conditionalFormatting sqref="A97">
    <cfRule type="duplicateValues" dxfId="4203" priority="4917" stopIfTrue="1"/>
    <cfRule type="duplicateValues" dxfId="4202" priority="4918" stopIfTrue="1"/>
  </conditionalFormatting>
  <conditionalFormatting sqref="A97">
    <cfRule type="duplicateValues" dxfId="4201" priority="4919"/>
  </conditionalFormatting>
  <conditionalFormatting sqref="A97">
    <cfRule type="duplicateValues" dxfId="4200" priority="4920"/>
    <cfRule type="duplicateValues" dxfId="4199" priority="4921"/>
  </conditionalFormatting>
  <conditionalFormatting sqref="A99:K99">
    <cfRule type="duplicateValues" dxfId="4198" priority="4897" stopIfTrue="1"/>
  </conditionalFormatting>
  <conditionalFormatting sqref="A99:K99">
    <cfRule type="duplicateValues" dxfId="4197" priority="4898" stopIfTrue="1"/>
  </conditionalFormatting>
  <conditionalFormatting sqref="A99:K99">
    <cfRule type="duplicateValues" dxfId="4196" priority="4899" stopIfTrue="1"/>
    <cfRule type="duplicateValues" dxfId="4195" priority="4900" stopIfTrue="1"/>
  </conditionalFormatting>
  <conditionalFormatting sqref="A99:K99">
    <cfRule type="duplicateValues" dxfId="4194" priority="4901"/>
  </conditionalFormatting>
  <conditionalFormatting sqref="A99:K99">
    <cfRule type="duplicateValues" dxfId="4193" priority="4902"/>
    <cfRule type="duplicateValues" dxfId="4192" priority="4903"/>
  </conditionalFormatting>
  <conditionalFormatting sqref="A99:K99">
    <cfRule type="duplicateValues" dxfId="4191" priority="4896"/>
  </conditionalFormatting>
  <conditionalFormatting sqref="A99:K99">
    <cfRule type="duplicateValues" dxfId="4190" priority="4904"/>
  </conditionalFormatting>
  <conditionalFormatting sqref="A108:K108">
    <cfRule type="duplicateValues" dxfId="4189" priority="4887"/>
  </conditionalFormatting>
  <conditionalFormatting sqref="A108:K108">
    <cfRule type="duplicateValues" dxfId="4188" priority="4888"/>
  </conditionalFormatting>
  <conditionalFormatting sqref="A108:K108">
    <cfRule type="duplicateValues" dxfId="4187" priority="4889" stopIfTrue="1"/>
  </conditionalFormatting>
  <conditionalFormatting sqref="A108:K108">
    <cfRule type="duplicateValues" dxfId="4186" priority="4890" stopIfTrue="1"/>
  </conditionalFormatting>
  <conditionalFormatting sqref="A108:K108">
    <cfRule type="duplicateValues" dxfId="4185" priority="4891" stopIfTrue="1"/>
    <cfRule type="duplicateValues" dxfId="4184" priority="4892" stopIfTrue="1"/>
  </conditionalFormatting>
  <conditionalFormatting sqref="A108:K108">
    <cfRule type="duplicateValues" dxfId="4183" priority="4893"/>
  </conditionalFormatting>
  <conditionalFormatting sqref="A108:K108">
    <cfRule type="duplicateValues" dxfId="4182" priority="4894"/>
    <cfRule type="duplicateValues" dxfId="4181" priority="4895"/>
  </conditionalFormatting>
  <conditionalFormatting sqref="C133">
    <cfRule type="duplicateValues" dxfId="4180" priority="72135" stopIfTrue="1"/>
  </conditionalFormatting>
  <conditionalFormatting sqref="A133">
    <cfRule type="duplicateValues" dxfId="4179" priority="72136"/>
  </conditionalFormatting>
  <conditionalFormatting sqref="A133">
    <cfRule type="duplicateValues" dxfId="4178" priority="72138" stopIfTrue="1"/>
  </conditionalFormatting>
  <conditionalFormatting sqref="A133">
    <cfRule type="duplicateValues" dxfId="4177" priority="72139" stopIfTrue="1"/>
  </conditionalFormatting>
  <conditionalFormatting sqref="A133">
    <cfRule type="duplicateValues" dxfId="4176" priority="72140" stopIfTrue="1"/>
    <cfRule type="duplicateValues" dxfId="4175" priority="72141" stopIfTrue="1"/>
  </conditionalFormatting>
  <conditionalFormatting sqref="A133">
    <cfRule type="duplicateValues" dxfId="4174" priority="72143"/>
    <cfRule type="duplicateValues" dxfId="4173" priority="72144"/>
  </conditionalFormatting>
  <conditionalFormatting sqref="C163">
    <cfRule type="duplicateValues" dxfId="4172" priority="4868" stopIfTrue="1"/>
  </conditionalFormatting>
  <conditionalFormatting sqref="A163:A164">
    <cfRule type="duplicateValues" dxfId="4171" priority="4867"/>
  </conditionalFormatting>
  <conditionalFormatting sqref="A163:A164">
    <cfRule type="duplicateValues" dxfId="4170" priority="4869"/>
  </conditionalFormatting>
  <conditionalFormatting sqref="A163:A164">
    <cfRule type="duplicateValues" dxfId="4169" priority="4870" stopIfTrue="1"/>
  </conditionalFormatting>
  <conditionalFormatting sqref="A163:A164">
    <cfRule type="duplicateValues" dxfId="4168" priority="4871" stopIfTrue="1"/>
  </conditionalFormatting>
  <conditionalFormatting sqref="A163:A164">
    <cfRule type="duplicateValues" dxfId="4167" priority="4872" stopIfTrue="1"/>
    <cfRule type="duplicateValues" dxfId="4166" priority="4873" stopIfTrue="1"/>
  </conditionalFormatting>
  <conditionalFormatting sqref="A163:A164">
    <cfRule type="duplicateValues" dxfId="4165" priority="4874"/>
  </conditionalFormatting>
  <conditionalFormatting sqref="A163:A164">
    <cfRule type="duplicateValues" dxfId="4164" priority="4875"/>
    <cfRule type="duplicateValues" dxfId="4163" priority="4876"/>
  </conditionalFormatting>
  <conditionalFormatting sqref="C296">
    <cfRule type="duplicateValues" dxfId="4162" priority="4839" stopIfTrue="1"/>
  </conditionalFormatting>
  <conditionalFormatting sqref="A296 A299 A302 A305 A308 A311 A314 A317:A318 A321 A324 A327 A330 A333 A335 A338 A341 A344 A347 A353 A350 A356">
    <cfRule type="duplicateValues" dxfId="4161" priority="4838"/>
  </conditionalFormatting>
  <conditionalFormatting sqref="A296 A299 A302 A305 A308 A311 A314 A317:A318 A321 A324 A327 A330 A333 A335 A338 A341 A344 A347 A353 A350 A356">
    <cfRule type="duplicateValues" dxfId="4160" priority="4840"/>
  </conditionalFormatting>
  <conditionalFormatting sqref="A296 A299 A302 A305 A308 A311 A314 A317:A318 A321 A324 A327 A330 A333 A335 A338 A341 A344 A347 A353 A350 A356">
    <cfRule type="duplicateValues" dxfId="4159" priority="4841" stopIfTrue="1"/>
  </conditionalFormatting>
  <conditionalFormatting sqref="A296 A299 A302 A305 A308 A311 A314 A317:A318 A321 A324 A327 A330 A333 A335 A338 A341 A344 A347 A353 A350 A356">
    <cfRule type="duplicateValues" dxfId="4158" priority="4842" stopIfTrue="1"/>
  </conditionalFormatting>
  <conditionalFormatting sqref="A296 A299 A302 A305 A308 A311 A314 A317:A318 A321 A324 A327 A330 A333 A335 A338 A341 A344 A347 A353 A350 A356">
    <cfRule type="duplicateValues" dxfId="4157" priority="4843" stopIfTrue="1"/>
    <cfRule type="duplicateValues" dxfId="4156" priority="4844" stopIfTrue="1"/>
  </conditionalFormatting>
  <conditionalFormatting sqref="A296 A299 A302 A305 A308 A311 A314 A317:A318 A321 A324 A327 A330 A333 A335 A338 A341 A344 A347 A353 A350 A356">
    <cfRule type="duplicateValues" dxfId="4155" priority="4845"/>
  </conditionalFormatting>
  <conditionalFormatting sqref="A296 A299 A302 A305 A308 A311 A314 A317:A318 A321 A324 A327 A330 A333 A335 A338 A341 A344 A347 A353 A350 A356">
    <cfRule type="duplicateValues" dxfId="4154" priority="4846"/>
    <cfRule type="duplicateValues" dxfId="4153" priority="4847"/>
  </conditionalFormatting>
  <conditionalFormatting sqref="C53:C54 C94:C96 C129:C132 C58:C59 C62:C65 C67 C69:C90 C98 C100:C102 C109:C126 C165 C178:C200 C134:C139 C205 C105:C106 C141:C162">
    <cfRule type="duplicateValues" dxfId="4152" priority="74697" stopIfTrue="1"/>
  </conditionalFormatting>
  <conditionalFormatting sqref="A169:A170">
    <cfRule type="duplicateValues" dxfId="4151" priority="4817"/>
  </conditionalFormatting>
  <conditionalFormatting sqref="A169:A170">
    <cfRule type="duplicateValues" dxfId="4150" priority="4819"/>
  </conditionalFormatting>
  <conditionalFormatting sqref="A169:A170">
    <cfRule type="duplicateValues" dxfId="4149" priority="4820" stopIfTrue="1"/>
  </conditionalFormatting>
  <conditionalFormatting sqref="A169:A170">
    <cfRule type="duplicateValues" dxfId="4148" priority="4821" stopIfTrue="1"/>
  </conditionalFormatting>
  <conditionalFormatting sqref="A169:A170">
    <cfRule type="duplicateValues" dxfId="4147" priority="4822" stopIfTrue="1"/>
    <cfRule type="duplicateValues" dxfId="4146" priority="4823" stopIfTrue="1"/>
  </conditionalFormatting>
  <conditionalFormatting sqref="A169:A170">
    <cfRule type="duplicateValues" dxfId="4145" priority="4824"/>
  </conditionalFormatting>
  <conditionalFormatting sqref="A169:A170">
    <cfRule type="duplicateValues" dxfId="4144" priority="4825"/>
    <cfRule type="duplicateValues" dxfId="4143" priority="4826"/>
  </conditionalFormatting>
  <conditionalFormatting sqref="A171:A177">
    <cfRule type="duplicateValues" dxfId="4142" priority="4798"/>
  </conditionalFormatting>
  <conditionalFormatting sqref="A171:A177">
    <cfRule type="duplicateValues" dxfId="4141" priority="4799"/>
  </conditionalFormatting>
  <conditionalFormatting sqref="A171:A177">
    <cfRule type="duplicateValues" dxfId="4140" priority="4800" stopIfTrue="1"/>
  </conditionalFormatting>
  <conditionalFormatting sqref="A171:A177">
    <cfRule type="duplicateValues" dxfId="4139" priority="4801" stopIfTrue="1"/>
  </conditionalFormatting>
  <conditionalFormatting sqref="A171:A177">
    <cfRule type="duplicateValues" dxfId="4138" priority="4802" stopIfTrue="1"/>
    <cfRule type="duplicateValues" dxfId="4137" priority="4803" stopIfTrue="1"/>
  </conditionalFormatting>
  <conditionalFormatting sqref="A171:A177">
    <cfRule type="duplicateValues" dxfId="4136" priority="4804"/>
  </conditionalFormatting>
  <conditionalFormatting sqref="A171:A177">
    <cfRule type="duplicateValues" dxfId="4135" priority="4805"/>
    <cfRule type="duplicateValues" dxfId="4134" priority="4806"/>
  </conditionalFormatting>
  <conditionalFormatting sqref="C168">
    <cfRule type="duplicateValues" dxfId="4133" priority="4788" stopIfTrue="1"/>
  </conditionalFormatting>
  <conditionalFormatting sqref="A168">
    <cfRule type="duplicateValues" dxfId="4132" priority="4787"/>
  </conditionalFormatting>
  <conditionalFormatting sqref="A168">
    <cfRule type="duplicateValues" dxfId="4131" priority="4789"/>
  </conditionalFormatting>
  <conditionalFormatting sqref="A168">
    <cfRule type="duplicateValues" dxfId="4130" priority="4790" stopIfTrue="1"/>
  </conditionalFormatting>
  <conditionalFormatting sqref="A168">
    <cfRule type="duplicateValues" dxfId="4129" priority="4791" stopIfTrue="1"/>
  </conditionalFormatting>
  <conditionalFormatting sqref="A168">
    <cfRule type="duplicateValues" dxfId="4128" priority="4792" stopIfTrue="1"/>
    <cfRule type="duplicateValues" dxfId="4127" priority="4793" stopIfTrue="1"/>
  </conditionalFormatting>
  <conditionalFormatting sqref="A168">
    <cfRule type="duplicateValues" dxfId="4126" priority="4794"/>
  </conditionalFormatting>
  <conditionalFormatting sqref="A168">
    <cfRule type="duplicateValues" dxfId="4125" priority="4795"/>
    <cfRule type="duplicateValues" dxfId="4124" priority="4796"/>
  </conditionalFormatting>
  <conditionalFormatting sqref="C169:C174">
    <cfRule type="duplicateValues" dxfId="4123" priority="4786" stopIfTrue="1"/>
  </conditionalFormatting>
  <conditionalFormatting sqref="N169">
    <cfRule type="duplicateValues" dxfId="4122" priority="4769"/>
  </conditionalFormatting>
  <conditionalFormatting sqref="N169">
    <cfRule type="duplicateValues" dxfId="4121" priority="4770"/>
  </conditionalFormatting>
  <conditionalFormatting sqref="N169">
    <cfRule type="duplicateValues" dxfId="4120" priority="4771"/>
    <cfRule type="duplicateValues" dxfId="4119" priority="4772"/>
    <cfRule type="duplicateValues" dxfId="4118" priority="4773"/>
    <cfRule type="duplicateValues" dxfId="4117" priority="4774"/>
  </conditionalFormatting>
  <conditionalFormatting sqref="N169">
    <cfRule type="duplicateValues" dxfId="4116" priority="4768"/>
  </conditionalFormatting>
  <conditionalFormatting sqref="N169">
    <cfRule type="duplicateValues" dxfId="4115" priority="4775" stopIfTrue="1"/>
  </conditionalFormatting>
  <conditionalFormatting sqref="N169">
    <cfRule type="duplicateValues" dxfId="4114" priority="4776" stopIfTrue="1"/>
  </conditionalFormatting>
  <conditionalFormatting sqref="N169">
    <cfRule type="duplicateValues" dxfId="4113" priority="4777" stopIfTrue="1"/>
  </conditionalFormatting>
  <conditionalFormatting sqref="N169">
    <cfRule type="duplicateValues" dxfId="4112" priority="4778" stopIfTrue="1"/>
  </conditionalFormatting>
  <conditionalFormatting sqref="N169">
    <cfRule type="duplicateValues" dxfId="4111" priority="4779" stopIfTrue="1"/>
  </conditionalFormatting>
  <conditionalFormatting sqref="N169">
    <cfRule type="duplicateValues" dxfId="4110" priority="4780" stopIfTrue="1"/>
  </conditionalFormatting>
  <conditionalFormatting sqref="N169">
    <cfRule type="duplicateValues" dxfId="4109" priority="4781" stopIfTrue="1"/>
  </conditionalFormatting>
  <conditionalFormatting sqref="N169">
    <cfRule type="duplicateValues" dxfId="4108" priority="4782" stopIfTrue="1"/>
  </conditionalFormatting>
  <conditionalFormatting sqref="N169">
    <cfRule type="duplicateValues" dxfId="4107" priority="4783" stopIfTrue="1"/>
  </conditionalFormatting>
  <conditionalFormatting sqref="N169">
    <cfRule type="duplicateValues" dxfId="4106" priority="4784"/>
    <cfRule type="duplicateValues" dxfId="4105" priority="4785"/>
  </conditionalFormatting>
  <conditionalFormatting sqref="N169">
    <cfRule type="duplicateValues" dxfId="4104" priority="4766"/>
    <cfRule type="duplicateValues" dxfId="4103" priority="4767"/>
  </conditionalFormatting>
  <conditionalFormatting sqref="N169">
    <cfRule type="duplicateValues" dxfId="4102" priority="4765"/>
  </conditionalFormatting>
  <conditionalFormatting sqref="N169">
    <cfRule type="duplicateValues" dxfId="4101" priority="4764"/>
  </conditionalFormatting>
  <conditionalFormatting sqref="N169">
    <cfRule type="duplicateValues" dxfId="4100" priority="4763"/>
  </conditionalFormatting>
  <conditionalFormatting sqref="N170">
    <cfRule type="duplicateValues" dxfId="4099" priority="4746"/>
  </conditionalFormatting>
  <conditionalFormatting sqref="N170">
    <cfRule type="duplicateValues" dxfId="4098" priority="4747"/>
  </conditionalFormatting>
  <conditionalFormatting sqref="N170">
    <cfRule type="duplicateValues" dxfId="4097" priority="4748"/>
    <cfRule type="duplicateValues" dxfId="4096" priority="4749"/>
    <cfRule type="duplicateValues" dxfId="4095" priority="4750"/>
    <cfRule type="duplicateValues" dxfId="4094" priority="4751"/>
  </conditionalFormatting>
  <conditionalFormatting sqref="N170">
    <cfRule type="duplicateValues" dxfId="4093" priority="4745"/>
  </conditionalFormatting>
  <conditionalFormatting sqref="N170">
    <cfRule type="duplicateValues" dxfId="4092" priority="4752" stopIfTrue="1"/>
  </conditionalFormatting>
  <conditionalFormatting sqref="N170">
    <cfRule type="duplicateValues" dxfId="4091" priority="4753" stopIfTrue="1"/>
  </conditionalFormatting>
  <conditionalFormatting sqref="N170">
    <cfRule type="duplicateValues" dxfId="4090" priority="4754" stopIfTrue="1"/>
  </conditionalFormatting>
  <conditionalFormatting sqref="N170">
    <cfRule type="duplicateValues" dxfId="4089" priority="4755" stopIfTrue="1"/>
  </conditionalFormatting>
  <conditionalFormatting sqref="N170">
    <cfRule type="duplicateValues" dxfId="4088" priority="4756" stopIfTrue="1"/>
  </conditionalFormatting>
  <conditionalFormatting sqref="N170">
    <cfRule type="duplicateValues" dxfId="4087" priority="4757" stopIfTrue="1"/>
  </conditionalFormatting>
  <conditionalFormatting sqref="N170">
    <cfRule type="duplicateValues" dxfId="4086" priority="4758" stopIfTrue="1"/>
  </conditionalFormatting>
  <conditionalFormatting sqref="N170">
    <cfRule type="duplicateValues" dxfId="4085" priority="4759" stopIfTrue="1"/>
  </conditionalFormatting>
  <conditionalFormatting sqref="N170">
    <cfRule type="duplicateValues" dxfId="4084" priority="4760" stopIfTrue="1"/>
  </conditionalFormatting>
  <conditionalFormatting sqref="N170">
    <cfRule type="duplicateValues" dxfId="4083" priority="4761"/>
    <cfRule type="duplicateValues" dxfId="4082" priority="4762"/>
  </conditionalFormatting>
  <conditionalFormatting sqref="N170">
    <cfRule type="duplicateValues" dxfId="4081" priority="4743"/>
    <cfRule type="duplicateValues" dxfId="4080" priority="4744"/>
  </conditionalFormatting>
  <conditionalFormatting sqref="N170">
    <cfRule type="duplicateValues" dxfId="4079" priority="4742"/>
  </conditionalFormatting>
  <conditionalFormatting sqref="N170">
    <cfRule type="duplicateValues" dxfId="4078" priority="4741"/>
  </conditionalFormatting>
  <conditionalFormatting sqref="N170">
    <cfRule type="duplicateValues" dxfId="4077" priority="4740"/>
  </conditionalFormatting>
  <conditionalFormatting sqref="N171:N174">
    <cfRule type="duplicateValues" dxfId="4076" priority="4723"/>
  </conditionalFormatting>
  <conditionalFormatting sqref="N171:N174">
    <cfRule type="duplicateValues" dxfId="4075" priority="4724"/>
  </conditionalFormatting>
  <conditionalFormatting sqref="N171:N174">
    <cfRule type="duplicateValues" dxfId="4074" priority="4725"/>
    <cfRule type="duplicateValues" dxfId="4073" priority="4726"/>
    <cfRule type="duplicateValues" dxfId="4072" priority="4727"/>
    <cfRule type="duplicateValues" dxfId="4071" priority="4728"/>
  </conditionalFormatting>
  <conditionalFormatting sqref="N171:N174">
    <cfRule type="duplicateValues" dxfId="4070" priority="4722"/>
  </conditionalFormatting>
  <conditionalFormatting sqref="N171:N174">
    <cfRule type="duplicateValues" dxfId="4069" priority="4729" stopIfTrue="1"/>
  </conditionalFormatting>
  <conditionalFormatting sqref="N171:N174">
    <cfRule type="duplicateValues" dxfId="4068" priority="4730" stopIfTrue="1"/>
  </conditionalFormatting>
  <conditionalFormatting sqref="N171:N174">
    <cfRule type="duplicateValues" dxfId="4067" priority="4731" stopIfTrue="1"/>
  </conditionalFormatting>
  <conditionalFormatting sqref="N171:N174">
    <cfRule type="duplicateValues" dxfId="4066" priority="4732" stopIfTrue="1"/>
  </conditionalFormatting>
  <conditionalFormatting sqref="N171:N174">
    <cfRule type="duplicateValues" dxfId="4065" priority="4733" stopIfTrue="1"/>
  </conditionalFormatting>
  <conditionalFormatting sqref="N171:N174">
    <cfRule type="duplicateValues" dxfId="4064" priority="4734" stopIfTrue="1"/>
  </conditionalFormatting>
  <conditionalFormatting sqref="N171:N174">
    <cfRule type="duplicateValues" dxfId="4063" priority="4735" stopIfTrue="1"/>
  </conditionalFormatting>
  <conditionalFormatting sqref="N171:N174">
    <cfRule type="duplicateValues" dxfId="4062" priority="4736" stopIfTrue="1"/>
  </conditionalFormatting>
  <conditionalFormatting sqref="N171:N174">
    <cfRule type="duplicateValues" dxfId="4061" priority="4737" stopIfTrue="1"/>
  </conditionalFormatting>
  <conditionalFormatting sqref="N171:N174">
    <cfRule type="duplicateValues" dxfId="4060" priority="4738"/>
    <cfRule type="duplicateValues" dxfId="4059" priority="4739"/>
  </conditionalFormatting>
  <conditionalFormatting sqref="N171:N174">
    <cfRule type="duplicateValues" dxfId="4058" priority="4720"/>
    <cfRule type="duplicateValues" dxfId="4057" priority="4721"/>
  </conditionalFormatting>
  <conditionalFormatting sqref="N171:N174">
    <cfRule type="duplicateValues" dxfId="4056" priority="4719"/>
  </conditionalFormatting>
  <conditionalFormatting sqref="N171:N174">
    <cfRule type="duplicateValues" dxfId="4055" priority="4718"/>
  </conditionalFormatting>
  <conditionalFormatting sqref="N171:N174">
    <cfRule type="duplicateValues" dxfId="4054" priority="4717"/>
  </conditionalFormatting>
  <conditionalFormatting sqref="A103">
    <cfRule type="duplicateValues" dxfId="4053" priority="4706"/>
  </conditionalFormatting>
  <conditionalFormatting sqref="A103">
    <cfRule type="duplicateValues" dxfId="4052" priority="4705"/>
  </conditionalFormatting>
  <conditionalFormatting sqref="C103">
    <cfRule type="duplicateValues" dxfId="4051" priority="4704" stopIfTrue="1"/>
  </conditionalFormatting>
  <conditionalFormatting sqref="A103">
    <cfRule type="duplicateValues" dxfId="4050" priority="4703" stopIfTrue="1"/>
  </conditionalFormatting>
  <conditionalFormatting sqref="A103">
    <cfRule type="duplicateValues" dxfId="4049" priority="4702" stopIfTrue="1"/>
  </conditionalFormatting>
  <conditionalFormatting sqref="A103">
    <cfRule type="duplicateValues" dxfId="4048" priority="4700" stopIfTrue="1"/>
    <cfRule type="duplicateValues" dxfId="4047" priority="4701" stopIfTrue="1"/>
  </conditionalFormatting>
  <conditionalFormatting sqref="A103">
    <cfRule type="duplicateValues" dxfId="4046" priority="4699"/>
  </conditionalFormatting>
  <conditionalFormatting sqref="A103">
    <cfRule type="duplicateValues" dxfId="4045" priority="4697"/>
    <cfRule type="duplicateValues" dxfId="4044" priority="4698"/>
  </conditionalFormatting>
  <conditionalFormatting sqref="A104">
    <cfRule type="duplicateValues" dxfId="4043" priority="4696"/>
  </conditionalFormatting>
  <conditionalFormatting sqref="A104">
    <cfRule type="duplicateValues" dxfId="4042" priority="4695"/>
  </conditionalFormatting>
  <conditionalFormatting sqref="C104">
    <cfRule type="duplicateValues" dxfId="4041" priority="4694" stopIfTrue="1"/>
  </conditionalFormatting>
  <conditionalFormatting sqref="A104">
    <cfRule type="duplicateValues" dxfId="4040" priority="4693" stopIfTrue="1"/>
  </conditionalFormatting>
  <conditionalFormatting sqref="A104">
    <cfRule type="duplicateValues" dxfId="4039" priority="4692" stopIfTrue="1"/>
  </conditionalFormatting>
  <conditionalFormatting sqref="A104">
    <cfRule type="duplicateValues" dxfId="4038" priority="4690" stopIfTrue="1"/>
    <cfRule type="duplicateValues" dxfId="4037" priority="4691" stopIfTrue="1"/>
  </conditionalFormatting>
  <conditionalFormatting sqref="A104">
    <cfRule type="duplicateValues" dxfId="4036" priority="4689"/>
  </conditionalFormatting>
  <conditionalFormatting sqref="A104">
    <cfRule type="duplicateValues" dxfId="4035" priority="4687"/>
    <cfRule type="duplicateValues" dxfId="4034" priority="4688"/>
  </conditionalFormatting>
  <conditionalFormatting sqref="A107:K107">
    <cfRule type="duplicateValues" dxfId="4033" priority="4678"/>
  </conditionalFormatting>
  <conditionalFormatting sqref="A107:K107">
    <cfRule type="duplicateValues" dxfId="4032" priority="4679"/>
  </conditionalFormatting>
  <conditionalFormatting sqref="A107:K107">
    <cfRule type="duplicateValues" dxfId="4031" priority="4680" stopIfTrue="1"/>
  </conditionalFormatting>
  <conditionalFormatting sqref="A107:K107">
    <cfRule type="duplicateValues" dxfId="4030" priority="4681" stopIfTrue="1"/>
  </conditionalFormatting>
  <conditionalFormatting sqref="A107:K107">
    <cfRule type="duplicateValues" dxfId="4029" priority="4682" stopIfTrue="1"/>
    <cfRule type="duplicateValues" dxfId="4028" priority="4683" stopIfTrue="1"/>
  </conditionalFormatting>
  <conditionalFormatting sqref="A107:K107">
    <cfRule type="duplicateValues" dxfId="4027" priority="4684"/>
  </conditionalFormatting>
  <conditionalFormatting sqref="A107:K107">
    <cfRule type="duplicateValues" dxfId="4026" priority="4685"/>
    <cfRule type="duplicateValues" dxfId="4025" priority="4686"/>
  </conditionalFormatting>
  <conditionalFormatting sqref="A166">
    <cfRule type="duplicateValues" dxfId="4024" priority="4677"/>
  </conditionalFormatting>
  <conditionalFormatting sqref="A166">
    <cfRule type="duplicateValues" dxfId="4023" priority="4676"/>
  </conditionalFormatting>
  <conditionalFormatting sqref="C166">
    <cfRule type="duplicateValues" dxfId="4022" priority="4675" stopIfTrue="1"/>
  </conditionalFormatting>
  <conditionalFormatting sqref="A166">
    <cfRule type="duplicateValues" dxfId="4021" priority="4674" stopIfTrue="1"/>
  </conditionalFormatting>
  <conditionalFormatting sqref="A166">
    <cfRule type="duplicateValues" dxfId="4020" priority="4673" stopIfTrue="1"/>
  </conditionalFormatting>
  <conditionalFormatting sqref="A166">
    <cfRule type="duplicateValues" dxfId="4019" priority="4671" stopIfTrue="1"/>
    <cfRule type="duplicateValues" dxfId="4018" priority="4672" stopIfTrue="1"/>
  </conditionalFormatting>
  <conditionalFormatting sqref="A166">
    <cfRule type="duplicateValues" dxfId="4017" priority="4670"/>
  </conditionalFormatting>
  <conditionalFormatting sqref="A166">
    <cfRule type="duplicateValues" dxfId="4016" priority="4668"/>
    <cfRule type="duplicateValues" dxfId="4015" priority="4669"/>
  </conditionalFormatting>
  <conditionalFormatting sqref="J205">
    <cfRule type="duplicateValues" dxfId="4014" priority="4648"/>
  </conditionalFormatting>
  <conditionalFormatting sqref="J205">
    <cfRule type="duplicateValues" dxfId="4013" priority="4647"/>
  </conditionalFormatting>
  <conditionalFormatting sqref="J205">
    <cfRule type="duplicateValues" dxfId="4012" priority="4646" stopIfTrue="1"/>
  </conditionalFormatting>
  <conditionalFormatting sqref="J205">
    <cfRule type="duplicateValues" dxfId="4011" priority="4645" stopIfTrue="1"/>
  </conditionalFormatting>
  <conditionalFormatting sqref="J205">
    <cfRule type="duplicateValues" dxfId="4010" priority="4643" stopIfTrue="1"/>
    <cfRule type="duplicateValues" dxfId="4009" priority="4644" stopIfTrue="1"/>
  </conditionalFormatting>
  <conditionalFormatting sqref="J205">
    <cfRule type="duplicateValues" dxfId="4008" priority="4642"/>
  </conditionalFormatting>
  <conditionalFormatting sqref="J205">
    <cfRule type="duplicateValues" dxfId="4007" priority="4640"/>
    <cfRule type="duplicateValues" dxfId="4006" priority="4641"/>
  </conditionalFormatting>
  <conditionalFormatting sqref="A202 A204">
    <cfRule type="duplicateValues" dxfId="4005" priority="4639"/>
  </conditionalFormatting>
  <conditionalFormatting sqref="A202">
    <cfRule type="duplicateValues" dxfId="4004" priority="4638"/>
  </conditionalFormatting>
  <conditionalFormatting sqref="C202">
    <cfRule type="duplicateValues" dxfId="4003" priority="4637" stopIfTrue="1"/>
  </conditionalFormatting>
  <conditionalFormatting sqref="A202 A204">
    <cfRule type="duplicateValues" dxfId="4002" priority="4636" stopIfTrue="1"/>
  </conditionalFormatting>
  <conditionalFormatting sqref="A202 A204">
    <cfRule type="duplicateValues" dxfId="4001" priority="4635" stopIfTrue="1"/>
  </conditionalFormatting>
  <conditionalFormatting sqref="A202 A204">
    <cfRule type="duplicateValues" dxfId="4000" priority="4633" stopIfTrue="1"/>
    <cfRule type="duplicateValues" dxfId="3999" priority="4634" stopIfTrue="1"/>
  </conditionalFormatting>
  <conditionalFormatting sqref="A202">
    <cfRule type="duplicateValues" dxfId="3998" priority="4632"/>
  </conditionalFormatting>
  <conditionalFormatting sqref="A202 A204">
    <cfRule type="duplicateValues" dxfId="3997" priority="4630"/>
    <cfRule type="duplicateValues" dxfId="3996" priority="4631"/>
  </conditionalFormatting>
  <conditionalFormatting sqref="J202">
    <cfRule type="duplicateValues" dxfId="3995" priority="4629"/>
  </conditionalFormatting>
  <conditionalFormatting sqref="J202">
    <cfRule type="duplicateValues" dxfId="3994" priority="4628"/>
  </conditionalFormatting>
  <conditionalFormatting sqref="J202">
    <cfRule type="duplicateValues" dxfId="3993" priority="4627" stopIfTrue="1"/>
  </conditionalFormatting>
  <conditionalFormatting sqref="J202">
    <cfRule type="duplicateValues" dxfId="3992" priority="4626" stopIfTrue="1"/>
  </conditionalFormatting>
  <conditionalFormatting sqref="J202">
    <cfRule type="duplicateValues" dxfId="3991" priority="4624" stopIfTrue="1"/>
    <cfRule type="duplicateValues" dxfId="3990" priority="4625" stopIfTrue="1"/>
  </conditionalFormatting>
  <conditionalFormatting sqref="J202">
    <cfRule type="duplicateValues" dxfId="3989" priority="4623"/>
  </conditionalFormatting>
  <conditionalFormatting sqref="J202">
    <cfRule type="duplicateValues" dxfId="3988" priority="4621"/>
    <cfRule type="duplicateValues" dxfId="3987" priority="4622"/>
  </conditionalFormatting>
  <conditionalFormatting sqref="A203">
    <cfRule type="duplicateValues" dxfId="3986" priority="4620"/>
  </conditionalFormatting>
  <conditionalFormatting sqref="A203">
    <cfRule type="duplicateValues" dxfId="3985" priority="4619"/>
  </conditionalFormatting>
  <conditionalFormatting sqref="C203">
    <cfRule type="duplicateValues" dxfId="3984" priority="4618" stopIfTrue="1"/>
  </conditionalFormatting>
  <conditionalFormatting sqref="A203">
    <cfRule type="duplicateValues" dxfId="3983" priority="4617" stopIfTrue="1"/>
  </conditionalFormatting>
  <conditionalFormatting sqref="A203">
    <cfRule type="duplicateValues" dxfId="3982" priority="4616" stopIfTrue="1"/>
  </conditionalFormatting>
  <conditionalFormatting sqref="A203">
    <cfRule type="duplicateValues" dxfId="3981" priority="4614" stopIfTrue="1"/>
    <cfRule type="duplicateValues" dxfId="3980" priority="4615" stopIfTrue="1"/>
  </conditionalFormatting>
  <conditionalFormatting sqref="A203">
    <cfRule type="duplicateValues" dxfId="3979" priority="4613"/>
  </conditionalFormatting>
  <conditionalFormatting sqref="A203">
    <cfRule type="duplicateValues" dxfId="3978" priority="4611"/>
    <cfRule type="duplicateValues" dxfId="3977" priority="4612"/>
  </conditionalFormatting>
  <conditionalFormatting sqref="J203">
    <cfRule type="duplicateValues" dxfId="3976" priority="4610"/>
  </conditionalFormatting>
  <conditionalFormatting sqref="J203">
    <cfRule type="duplicateValues" dxfId="3975" priority="4609"/>
  </conditionalFormatting>
  <conditionalFormatting sqref="J203">
    <cfRule type="duplicateValues" dxfId="3974" priority="4608" stopIfTrue="1"/>
  </conditionalFormatting>
  <conditionalFormatting sqref="J203">
    <cfRule type="duplicateValues" dxfId="3973" priority="4607" stopIfTrue="1"/>
  </conditionalFormatting>
  <conditionalFormatting sqref="J203">
    <cfRule type="duplicateValues" dxfId="3972" priority="4605" stopIfTrue="1"/>
    <cfRule type="duplicateValues" dxfId="3971" priority="4606" stopIfTrue="1"/>
  </conditionalFormatting>
  <conditionalFormatting sqref="J203">
    <cfRule type="duplicateValues" dxfId="3970" priority="4604"/>
  </conditionalFormatting>
  <conditionalFormatting sqref="J203">
    <cfRule type="duplicateValues" dxfId="3969" priority="4602"/>
    <cfRule type="duplicateValues" dxfId="3968" priority="4603"/>
  </conditionalFormatting>
  <conditionalFormatting sqref="C204">
    <cfRule type="duplicateValues" dxfId="3967" priority="4599" stopIfTrue="1"/>
  </conditionalFormatting>
  <conditionalFormatting sqref="J204">
    <cfRule type="duplicateValues" dxfId="3966" priority="4591"/>
  </conditionalFormatting>
  <conditionalFormatting sqref="J204">
    <cfRule type="duplicateValues" dxfId="3965" priority="4590"/>
  </conditionalFormatting>
  <conditionalFormatting sqref="J204">
    <cfRule type="duplicateValues" dxfId="3964" priority="4589" stopIfTrue="1"/>
  </conditionalFormatting>
  <conditionalFormatting sqref="J204">
    <cfRule type="duplicateValues" dxfId="3963" priority="4588" stopIfTrue="1"/>
  </conditionalFormatting>
  <conditionalFormatting sqref="J204">
    <cfRule type="duplicateValues" dxfId="3962" priority="4586" stopIfTrue="1"/>
    <cfRule type="duplicateValues" dxfId="3961" priority="4587" stopIfTrue="1"/>
  </conditionalFormatting>
  <conditionalFormatting sqref="J204">
    <cfRule type="duplicateValues" dxfId="3960" priority="4585"/>
  </conditionalFormatting>
  <conditionalFormatting sqref="J204">
    <cfRule type="duplicateValues" dxfId="3959" priority="4583"/>
    <cfRule type="duplicateValues" dxfId="3958" priority="4584"/>
  </conditionalFormatting>
  <conditionalFormatting sqref="A201">
    <cfRule type="duplicateValues" dxfId="3957" priority="77741"/>
  </conditionalFormatting>
  <conditionalFormatting sqref="C201">
    <cfRule type="duplicateValues" dxfId="3956" priority="77743" stopIfTrue="1"/>
  </conditionalFormatting>
  <conditionalFormatting sqref="A201">
    <cfRule type="duplicateValues" dxfId="3955" priority="77744" stopIfTrue="1"/>
  </conditionalFormatting>
  <conditionalFormatting sqref="A201">
    <cfRule type="duplicateValues" dxfId="3954" priority="77745" stopIfTrue="1"/>
  </conditionalFormatting>
  <conditionalFormatting sqref="A201">
    <cfRule type="duplicateValues" dxfId="3953" priority="77746" stopIfTrue="1"/>
    <cfRule type="duplicateValues" dxfId="3952" priority="77747" stopIfTrue="1"/>
  </conditionalFormatting>
  <conditionalFormatting sqref="A201">
    <cfRule type="duplicateValues" dxfId="3951" priority="77749"/>
    <cfRule type="duplicateValues" dxfId="3950" priority="77750"/>
  </conditionalFormatting>
  <conditionalFormatting sqref="J201">
    <cfRule type="duplicateValues" dxfId="3949" priority="77751"/>
  </conditionalFormatting>
  <conditionalFormatting sqref="J201">
    <cfRule type="duplicateValues" dxfId="3948" priority="77753" stopIfTrue="1"/>
  </conditionalFormatting>
  <conditionalFormatting sqref="J201">
    <cfRule type="duplicateValues" dxfId="3947" priority="77754" stopIfTrue="1"/>
  </conditionalFormatting>
  <conditionalFormatting sqref="J201">
    <cfRule type="duplicateValues" dxfId="3946" priority="77755" stopIfTrue="1"/>
    <cfRule type="duplicateValues" dxfId="3945" priority="77756" stopIfTrue="1"/>
  </conditionalFormatting>
  <conditionalFormatting sqref="J201">
    <cfRule type="duplicateValues" dxfId="3944" priority="77758"/>
    <cfRule type="duplicateValues" dxfId="3943" priority="77759"/>
  </conditionalFormatting>
  <conditionalFormatting sqref="J140">
    <cfRule type="duplicateValues" dxfId="3942" priority="4582" stopIfTrue="1"/>
  </conditionalFormatting>
  <conditionalFormatting sqref="J140">
    <cfRule type="duplicateValues" dxfId="3941" priority="4581" stopIfTrue="1"/>
  </conditionalFormatting>
  <conditionalFormatting sqref="J140">
    <cfRule type="duplicateValues" dxfId="3940" priority="4579" stopIfTrue="1"/>
    <cfRule type="duplicateValues" dxfId="3939" priority="4580" stopIfTrue="1"/>
  </conditionalFormatting>
  <conditionalFormatting sqref="J140">
    <cfRule type="duplicateValues" dxfId="3938" priority="4578"/>
  </conditionalFormatting>
  <conditionalFormatting sqref="J140">
    <cfRule type="duplicateValues" dxfId="3937" priority="4576"/>
    <cfRule type="duplicateValues" dxfId="3936" priority="4577"/>
  </conditionalFormatting>
  <conditionalFormatting sqref="A140">
    <cfRule type="duplicateValues" dxfId="3935" priority="4575" stopIfTrue="1"/>
  </conditionalFormatting>
  <conditionalFormatting sqref="A140">
    <cfRule type="duplicateValues" dxfId="3934" priority="4574" stopIfTrue="1"/>
  </conditionalFormatting>
  <conditionalFormatting sqref="A140">
    <cfRule type="duplicateValues" dxfId="3933" priority="4572" stopIfTrue="1"/>
    <cfRule type="duplicateValues" dxfId="3932" priority="4573" stopIfTrue="1"/>
  </conditionalFormatting>
  <conditionalFormatting sqref="A140">
    <cfRule type="duplicateValues" dxfId="3931" priority="4571"/>
  </conditionalFormatting>
  <conditionalFormatting sqref="A140">
    <cfRule type="duplicateValues" dxfId="3930" priority="4569"/>
    <cfRule type="duplicateValues" dxfId="3929" priority="4570"/>
  </conditionalFormatting>
  <conditionalFormatting sqref="A140">
    <cfRule type="duplicateValues" dxfId="3928" priority="4568"/>
  </conditionalFormatting>
  <conditionalFormatting sqref="A140">
    <cfRule type="duplicateValues" dxfId="3927" priority="4567"/>
  </conditionalFormatting>
  <conditionalFormatting sqref="C140">
    <cfRule type="duplicateValues" dxfId="3926" priority="4566" stopIfTrue="1"/>
  </conditionalFormatting>
  <conditionalFormatting sqref="A167">
    <cfRule type="duplicateValues" dxfId="3925" priority="80591"/>
  </conditionalFormatting>
  <conditionalFormatting sqref="C167">
    <cfRule type="duplicateValues" dxfId="3924" priority="80593" stopIfTrue="1"/>
  </conditionalFormatting>
  <conditionalFormatting sqref="A167">
    <cfRule type="duplicateValues" dxfId="3923" priority="80594" stopIfTrue="1"/>
  </conditionalFormatting>
  <conditionalFormatting sqref="A167">
    <cfRule type="duplicateValues" dxfId="3922" priority="80595" stopIfTrue="1"/>
  </conditionalFormatting>
  <conditionalFormatting sqref="A167">
    <cfRule type="duplicateValues" dxfId="3921" priority="80596" stopIfTrue="1"/>
    <cfRule type="duplicateValues" dxfId="3920" priority="80597" stopIfTrue="1"/>
  </conditionalFormatting>
  <conditionalFormatting sqref="A167">
    <cfRule type="duplicateValues" dxfId="3919" priority="80599"/>
    <cfRule type="duplicateValues" dxfId="3918" priority="80600"/>
  </conditionalFormatting>
  <conditionalFormatting sqref="L172">
    <cfRule type="duplicateValues" dxfId="3917" priority="4549"/>
  </conditionalFormatting>
  <conditionalFormatting sqref="L172">
    <cfRule type="duplicateValues" dxfId="3916" priority="4550"/>
  </conditionalFormatting>
  <conditionalFormatting sqref="L172">
    <cfRule type="duplicateValues" dxfId="3915" priority="4551"/>
    <cfRule type="duplicateValues" dxfId="3914" priority="4552"/>
    <cfRule type="duplicateValues" dxfId="3913" priority="4553"/>
    <cfRule type="duplicateValues" dxfId="3912" priority="4554"/>
  </conditionalFormatting>
  <conditionalFormatting sqref="L172">
    <cfRule type="duplicateValues" dxfId="3911" priority="4548"/>
  </conditionalFormatting>
  <conditionalFormatting sqref="L172">
    <cfRule type="duplicateValues" dxfId="3910" priority="4555" stopIfTrue="1"/>
  </conditionalFormatting>
  <conditionalFormatting sqref="L172">
    <cfRule type="duplicateValues" dxfId="3909" priority="4556" stopIfTrue="1"/>
  </conditionalFormatting>
  <conditionalFormatting sqref="L172">
    <cfRule type="duplicateValues" dxfId="3908" priority="4557" stopIfTrue="1"/>
  </conditionalFormatting>
  <conditionalFormatting sqref="L172">
    <cfRule type="duplicateValues" dxfId="3907" priority="4558" stopIfTrue="1"/>
  </conditionalFormatting>
  <conditionalFormatting sqref="L172">
    <cfRule type="duplicateValues" dxfId="3906" priority="4559" stopIfTrue="1"/>
  </conditionalFormatting>
  <conditionalFormatting sqref="L172">
    <cfRule type="duplicateValues" dxfId="3905" priority="4560" stopIfTrue="1"/>
  </conditionalFormatting>
  <conditionalFormatting sqref="L172">
    <cfRule type="duplicateValues" dxfId="3904" priority="4561" stopIfTrue="1"/>
  </conditionalFormatting>
  <conditionalFormatting sqref="L172">
    <cfRule type="duplicateValues" dxfId="3903" priority="4562" stopIfTrue="1"/>
  </conditionalFormatting>
  <conditionalFormatting sqref="L172">
    <cfRule type="duplicateValues" dxfId="3902" priority="4563" stopIfTrue="1"/>
  </conditionalFormatting>
  <conditionalFormatting sqref="L172">
    <cfRule type="duplicateValues" dxfId="3901" priority="4564"/>
    <cfRule type="duplicateValues" dxfId="3900" priority="4565"/>
  </conditionalFormatting>
  <conditionalFormatting sqref="L172">
    <cfRule type="duplicateValues" dxfId="3899" priority="4546"/>
    <cfRule type="duplicateValues" dxfId="3898" priority="4547"/>
  </conditionalFormatting>
  <conditionalFormatting sqref="L172">
    <cfRule type="duplicateValues" dxfId="3897" priority="4545"/>
  </conditionalFormatting>
  <conditionalFormatting sqref="L172">
    <cfRule type="duplicateValues" dxfId="3896" priority="4544"/>
  </conditionalFormatting>
  <conditionalFormatting sqref="L172">
    <cfRule type="duplicateValues" dxfId="3895" priority="4543"/>
  </conditionalFormatting>
  <conditionalFormatting sqref="L173">
    <cfRule type="duplicateValues" dxfId="3894" priority="4526"/>
  </conditionalFormatting>
  <conditionalFormatting sqref="L173">
    <cfRule type="duplicateValues" dxfId="3893" priority="4527"/>
  </conditionalFormatting>
  <conditionalFormatting sqref="L173">
    <cfRule type="duplicateValues" dxfId="3892" priority="4528"/>
    <cfRule type="duplicateValues" dxfId="3891" priority="4529"/>
    <cfRule type="duplicateValues" dxfId="3890" priority="4530"/>
    <cfRule type="duplicateValues" dxfId="3889" priority="4531"/>
  </conditionalFormatting>
  <conditionalFormatting sqref="L173">
    <cfRule type="duplicateValues" dxfId="3888" priority="4525"/>
  </conditionalFormatting>
  <conditionalFormatting sqref="L173">
    <cfRule type="duplicateValues" dxfId="3887" priority="4532" stopIfTrue="1"/>
  </conditionalFormatting>
  <conditionalFormatting sqref="L173">
    <cfRule type="duplicateValues" dxfId="3886" priority="4533" stopIfTrue="1"/>
  </conditionalFormatting>
  <conditionalFormatting sqref="L173">
    <cfRule type="duplicateValues" dxfId="3885" priority="4534" stopIfTrue="1"/>
  </conditionalFormatting>
  <conditionalFormatting sqref="L173">
    <cfRule type="duplicateValues" dxfId="3884" priority="4535" stopIfTrue="1"/>
  </conditionalFormatting>
  <conditionalFormatting sqref="L173">
    <cfRule type="duplicateValues" dxfId="3883" priority="4536" stopIfTrue="1"/>
  </conditionalFormatting>
  <conditionalFormatting sqref="L173">
    <cfRule type="duplicateValues" dxfId="3882" priority="4537" stopIfTrue="1"/>
  </conditionalFormatting>
  <conditionalFormatting sqref="L173">
    <cfRule type="duplicateValues" dxfId="3881" priority="4538" stopIfTrue="1"/>
  </conditionalFormatting>
  <conditionalFormatting sqref="L173">
    <cfRule type="duplicateValues" dxfId="3880" priority="4539" stopIfTrue="1"/>
  </conditionalFormatting>
  <conditionalFormatting sqref="L173">
    <cfRule type="duplicateValues" dxfId="3879" priority="4540" stopIfTrue="1"/>
  </conditionalFormatting>
  <conditionalFormatting sqref="L173">
    <cfRule type="duplicateValues" dxfId="3878" priority="4541"/>
    <cfRule type="duplicateValues" dxfId="3877" priority="4542"/>
  </conditionalFormatting>
  <conditionalFormatting sqref="L173">
    <cfRule type="duplicateValues" dxfId="3876" priority="4523"/>
    <cfRule type="duplicateValues" dxfId="3875" priority="4524"/>
  </conditionalFormatting>
  <conditionalFormatting sqref="L173">
    <cfRule type="duplicateValues" dxfId="3874" priority="4522"/>
  </conditionalFormatting>
  <conditionalFormatting sqref="L173">
    <cfRule type="duplicateValues" dxfId="3873" priority="4521"/>
  </conditionalFormatting>
  <conditionalFormatting sqref="L173">
    <cfRule type="duplicateValues" dxfId="3872" priority="4520"/>
  </conditionalFormatting>
  <conditionalFormatting sqref="L174">
    <cfRule type="duplicateValues" dxfId="3871" priority="4503"/>
  </conditionalFormatting>
  <conditionalFormatting sqref="L174">
    <cfRule type="duplicateValues" dxfId="3870" priority="4504"/>
  </conditionalFormatting>
  <conditionalFormatting sqref="L174">
    <cfRule type="duplicateValues" dxfId="3869" priority="4505"/>
    <cfRule type="duplicateValues" dxfId="3868" priority="4506"/>
    <cfRule type="duplicateValues" dxfId="3867" priority="4507"/>
    <cfRule type="duplicateValues" dxfId="3866" priority="4508"/>
  </conditionalFormatting>
  <conditionalFormatting sqref="L174">
    <cfRule type="duplicateValues" dxfId="3865" priority="4502"/>
  </conditionalFormatting>
  <conditionalFormatting sqref="L174">
    <cfRule type="duplicateValues" dxfId="3864" priority="4509" stopIfTrue="1"/>
  </conditionalFormatting>
  <conditionalFormatting sqref="L174">
    <cfRule type="duplicateValues" dxfId="3863" priority="4510" stopIfTrue="1"/>
  </conditionalFormatting>
  <conditionalFormatting sqref="L174">
    <cfRule type="duplicateValues" dxfId="3862" priority="4511" stopIfTrue="1"/>
  </conditionalFormatting>
  <conditionalFormatting sqref="L174">
    <cfRule type="duplicateValues" dxfId="3861" priority="4512" stopIfTrue="1"/>
  </conditionalFormatting>
  <conditionalFormatting sqref="L174">
    <cfRule type="duplicateValues" dxfId="3860" priority="4513" stopIfTrue="1"/>
  </conditionalFormatting>
  <conditionalFormatting sqref="L174">
    <cfRule type="duplicateValues" dxfId="3859" priority="4514" stopIfTrue="1"/>
  </conditionalFormatting>
  <conditionalFormatting sqref="L174">
    <cfRule type="duplicateValues" dxfId="3858" priority="4515" stopIfTrue="1"/>
  </conditionalFormatting>
  <conditionalFormatting sqref="L174">
    <cfRule type="duplicateValues" dxfId="3857" priority="4516" stopIfTrue="1"/>
  </conditionalFormatting>
  <conditionalFormatting sqref="L174">
    <cfRule type="duplicateValues" dxfId="3856" priority="4517" stopIfTrue="1"/>
  </conditionalFormatting>
  <conditionalFormatting sqref="L174">
    <cfRule type="duplicateValues" dxfId="3855" priority="4518"/>
    <cfRule type="duplicateValues" dxfId="3854" priority="4519"/>
  </conditionalFormatting>
  <conditionalFormatting sqref="L174">
    <cfRule type="duplicateValues" dxfId="3853" priority="4500"/>
    <cfRule type="duplicateValues" dxfId="3852" priority="4501"/>
  </conditionalFormatting>
  <conditionalFormatting sqref="L174">
    <cfRule type="duplicateValues" dxfId="3851" priority="4499"/>
  </conditionalFormatting>
  <conditionalFormatting sqref="L174">
    <cfRule type="duplicateValues" dxfId="3850" priority="4498"/>
  </conditionalFormatting>
  <conditionalFormatting sqref="L174">
    <cfRule type="duplicateValues" dxfId="3849" priority="4497"/>
  </conditionalFormatting>
  <conditionalFormatting sqref="C175:C177">
    <cfRule type="duplicateValues" dxfId="3848" priority="4487" stopIfTrue="1"/>
  </conditionalFormatting>
  <conditionalFormatting sqref="L175:L177">
    <cfRule type="duplicateValues" dxfId="3847" priority="4378"/>
  </conditionalFormatting>
  <conditionalFormatting sqref="L175:L177">
    <cfRule type="duplicateValues" dxfId="3846" priority="4379"/>
  </conditionalFormatting>
  <conditionalFormatting sqref="L175:L177">
    <cfRule type="duplicateValues" dxfId="3845" priority="4380"/>
    <cfRule type="duplicateValues" dxfId="3844" priority="4381"/>
    <cfRule type="duplicateValues" dxfId="3843" priority="4382"/>
    <cfRule type="duplicateValues" dxfId="3842" priority="4383"/>
  </conditionalFormatting>
  <conditionalFormatting sqref="L175:L177">
    <cfRule type="duplicateValues" dxfId="3841" priority="4377"/>
  </conditionalFormatting>
  <conditionalFormatting sqref="L175:L177">
    <cfRule type="duplicateValues" dxfId="3840" priority="4384" stopIfTrue="1"/>
  </conditionalFormatting>
  <conditionalFormatting sqref="L175:L177">
    <cfRule type="duplicateValues" dxfId="3839" priority="4385" stopIfTrue="1"/>
  </conditionalFormatting>
  <conditionalFormatting sqref="L175:L177">
    <cfRule type="duplicateValues" dxfId="3838" priority="4386" stopIfTrue="1"/>
  </conditionalFormatting>
  <conditionalFormatting sqref="L175:L177">
    <cfRule type="duplicateValues" dxfId="3837" priority="4387" stopIfTrue="1"/>
  </conditionalFormatting>
  <conditionalFormatting sqref="L175:L177">
    <cfRule type="duplicateValues" dxfId="3836" priority="4388" stopIfTrue="1"/>
  </conditionalFormatting>
  <conditionalFormatting sqref="L175:L177">
    <cfRule type="duplicateValues" dxfId="3835" priority="4389" stopIfTrue="1"/>
  </conditionalFormatting>
  <conditionalFormatting sqref="L175:L177">
    <cfRule type="duplicateValues" dxfId="3834" priority="4390" stopIfTrue="1"/>
  </conditionalFormatting>
  <conditionalFormatting sqref="L175:L177">
    <cfRule type="duplicateValues" dxfId="3833" priority="4391" stopIfTrue="1"/>
  </conditionalFormatting>
  <conditionalFormatting sqref="L175:L177">
    <cfRule type="duplicateValues" dxfId="3832" priority="4392" stopIfTrue="1"/>
  </conditionalFormatting>
  <conditionalFormatting sqref="L175:L177">
    <cfRule type="duplicateValues" dxfId="3831" priority="4393"/>
    <cfRule type="duplicateValues" dxfId="3830" priority="4394"/>
  </conditionalFormatting>
  <conditionalFormatting sqref="L175:L177">
    <cfRule type="duplicateValues" dxfId="3829" priority="4375"/>
    <cfRule type="duplicateValues" dxfId="3828" priority="4376"/>
  </conditionalFormatting>
  <conditionalFormatting sqref="L175:L177">
    <cfRule type="duplicateValues" dxfId="3827" priority="4374"/>
  </conditionalFormatting>
  <conditionalFormatting sqref="L175:L177">
    <cfRule type="duplicateValues" dxfId="3826" priority="4373"/>
  </conditionalFormatting>
  <conditionalFormatting sqref="L175:L177">
    <cfRule type="duplicateValues" dxfId="3825" priority="4372"/>
  </conditionalFormatting>
  <conditionalFormatting sqref="J45">
    <cfRule type="duplicateValues" dxfId="3824" priority="4356" stopIfTrue="1"/>
  </conditionalFormatting>
  <conditionalFormatting sqref="J45">
    <cfRule type="duplicateValues" dxfId="3823" priority="4357" stopIfTrue="1"/>
  </conditionalFormatting>
  <conditionalFormatting sqref="J45">
    <cfRule type="duplicateValues" dxfId="3822" priority="4358" stopIfTrue="1"/>
    <cfRule type="duplicateValues" dxfId="3821" priority="4359" stopIfTrue="1"/>
  </conditionalFormatting>
  <conditionalFormatting sqref="J45">
    <cfRule type="duplicateValues" dxfId="3820" priority="4360"/>
  </conditionalFormatting>
  <conditionalFormatting sqref="J45">
    <cfRule type="duplicateValues" dxfId="3819" priority="4361"/>
    <cfRule type="duplicateValues" dxfId="3818" priority="4362"/>
  </conditionalFormatting>
  <conditionalFormatting sqref="A45">
    <cfRule type="duplicateValues" dxfId="3817" priority="4363" stopIfTrue="1"/>
  </conditionalFormatting>
  <conditionalFormatting sqref="A45">
    <cfRule type="duplicateValues" dxfId="3816" priority="4364" stopIfTrue="1"/>
  </conditionalFormatting>
  <conditionalFormatting sqref="A45">
    <cfRule type="duplicateValues" dxfId="3815" priority="4365" stopIfTrue="1"/>
    <cfRule type="duplicateValues" dxfId="3814" priority="4366" stopIfTrue="1"/>
  </conditionalFormatting>
  <conditionalFormatting sqref="A45">
    <cfRule type="duplicateValues" dxfId="3813" priority="4367"/>
  </conditionalFormatting>
  <conditionalFormatting sqref="A45">
    <cfRule type="duplicateValues" dxfId="3812" priority="4368"/>
    <cfRule type="duplicateValues" dxfId="3811" priority="4369"/>
  </conditionalFormatting>
  <conditionalFormatting sqref="A45">
    <cfRule type="duplicateValues" dxfId="3810" priority="4355"/>
  </conditionalFormatting>
  <conditionalFormatting sqref="A45">
    <cfRule type="duplicateValues" dxfId="3809" priority="4370"/>
  </conditionalFormatting>
  <conditionalFormatting sqref="C45">
    <cfRule type="duplicateValues" dxfId="3808" priority="4371" stopIfTrue="1"/>
  </conditionalFormatting>
  <conditionalFormatting sqref="L45:M45">
    <cfRule type="duplicateValues" dxfId="3807" priority="4348" stopIfTrue="1"/>
  </conditionalFormatting>
  <conditionalFormatting sqref="L45:M45">
    <cfRule type="duplicateValues" dxfId="3806" priority="4349" stopIfTrue="1"/>
  </conditionalFormatting>
  <conditionalFormatting sqref="L45:M45">
    <cfRule type="duplicateValues" dxfId="3805" priority="4350" stopIfTrue="1"/>
    <cfRule type="duplicateValues" dxfId="3804" priority="4351" stopIfTrue="1"/>
  </conditionalFormatting>
  <conditionalFormatting sqref="L45:M45">
    <cfRule type="duplicateValues" dxfId="3803" priority="4352"/>
  </conditionalFormatting>
  <conditionalFormatting sqref="L45:M45">
    <cfRule type="duplicateValues" dxfId="3802" priority="4353"/>
    <cfRule type="duplicateValues" dxfId="3801" priority="4354"/>
  </conditionalFormatting>
  <conditionalFormatting sqref="N45:O45">
    <cfRule type="duplicateValues" dxfId="3800" priority="4341" stopIfTrue="1"/>
  </conditionalFormatting>
  <conditionalFormatting sqref="N45:O45">
    <cfRule type="duplicateValues" dxfId="3799" priority="4342" stopIfTrue="1"/>
  </conditionalFormatting>
  <conditionalFormatting sqref="N45:O45">
    <cfRule type="duplicateValues" dxfId="3798" priority="4343" stopIfTrue="1"/>
    <cfRule type="duplicateValues" dxfId="3797" priority="4344" stopIfTrue="1"/>
  </conditionalFormatting>
  <conditionalFormatting sqref="N45:O45">
    <cfRule type="duplicateValues" dxfId="3796" priority="4345"/>
  </conditionalFormatting>
  <conditionalFormatting sqref="N45:O45">
    <cfRule type="duplicateValues" dxfId="3795" priority="4346"/>
    <cfRule type="duplicateValues" dxfId="3794" priority="4347"/>
  </conditionalFormatting>
  <conditionalFormatting sqref="J46">
    <cfRule type="duplicateValues" dxfId="3793" priority="4325" stopIfTrue="1"/>
  </conditionalFormatting>
  <conditionalFormatting sqref="J46">
    <cfRule type="duplicateValues" dxfId="3792" priority="4326" stopIfTrue="1"/>
  </conditionalFormatting>
  <conditionalFormatting sqref="J46">
    <cfRule type="duplicateValues" dxfId="3791" priority="4327" stopIfTrue="1"/>
    <cfRule type="duplicateValues" dxfId="3790" priority="4328" stopIfTrue="1"/>
  </conditionalFormatting>
  <conditionalFormatting sqref="J46">
    <cfRule type="duplicateValues" dxfId="3789" priority="4329"/>
  </conditionalFormatting>
  <conditionalFormatting sqref="J46">
    <cfRule type="duplicateValues" dxfId="3788" priority="4330"/>
    <cfRule type="duplicateValues" dxfId="3787" priority="4331"/>
  </conditionalFormatting>
  <conditionalFormatting sqref="A46">
    <cfRule type="duplicateValues" dxfId="3786" priority="4332" stopIfTrue="1"/>
  </conditionalFormatting>
  <conditionalFormatting sqref="A46">
    <cfRule type="duplicateValues" dxfId="3785" priority="4333" stopIfTrue="1"/>
  </conditionalFormatting>
  <conditionalFormatting sqref="A46">
    <cfRule type="duplicateValues" dxfId="3784" priority="4334" stopIfTrue="1"/>
    <cfRule type="duplicateValues" dxfId="3783" priority="4335" stopIfTrue="1"/>
  </conditionalFormatting>
  <conditionalFormatting sqref="A46">
    <cfRule type="duplicateValues" dxfId="3782" priority="4336"/>
  </conditionalFormatting>
  <conditionalFormatting sqref="A46">
    <cfRule type="duplicateValues" dxfId="3781" priority="4337"/>
    <cfRule type="duplicateValues" dxfId="3780" priority="4338"/>
  </conditionalFormatting>
  <conditionalFormatting sqref="A46">
    <cfRule type="duplicateValues" dxfId="3779" priority="4324"/>
  </conditionalFormatting>
  <conditionalFormatting sqref="A46">
    <cfRule type="duplicateValues" dxfId="3778" priority="4339"/>
  </conditionalFormatting>
  <conditionalFormatting sqref="C46">
    <cfRule type="duplicateValues" dxfId="3777" priority="4340" stopIfTrue="1"/>
  </conditionalFormatting>
  <conditionalFormatting sqref="L46:M46">
    <cfRule type="duplicateValues" dxfId="3776" priority="4317" stopIfTrue="1"/>
  </conditionalFormatting>
  <conditionalFormatting sqref="L46:M46">
    <cfRule type="duplicateValues" dxfId="3775" priority="4318" stopIfTrue="1"/>
  </conditionalFormatting>
  <conditionalFormatting sqref="L46:M46">
    <cfRule type="duplicateValues" dxfId="3774" priority="4319" stopIfTrue="1"/>
    <cfRule type="duplicateValues" dxfId="3773" priority="4320" stopIfTrue="1"/>
  </conditionalFormatting>
  <conditionalFormatting sqref="L46:M46">
    <cfRule type="duplicateValues" dxfId="3772" priority="4321"/>
  </conditionalFormatting>
  <conditionalFormatting sqref="L46:M46">
    <cfRule type="duplicateValues" dxfId="3771" priority="4322"/>
    <cfRule type="duplicateValues" dxfId="3770" priority="4323"/>
  </conditionalFormatting>
  <conditionalFormatting sqref="N46:O46">
    <cfRule type="duplicateValues" dxfId="3769" priority="4310" stopIfTrue="1"/>
  </conditionalFormatting>
  <conditionalFormatting sqref="N46:O46">
    <cfRule type="duplicateValues" dxfId="3768" priority="4311" stopIfTrue="1"/>
  </conditionalFormatting>
  <conditionalFormatting sqref="N46:O46">
    <cfRule type="duplicateValues" dxfId="3767" priority="4312" stopIfTrue="1"/>
    <cfRule type="duplicateValues" dxfId="3766" priority="4313" stopIfTrue="1"/>
  </conditionalFormatting>
  <conditionalFormatting sqref="N46:O46">
    <cfRule type="duplicateValues" dxfId="3765" priority="4314"/>
  </conditionalFormatting>
  <conditionalFormatting sqref="N46:O46">
    <cfRule type="duplicateValues" dxfId="3764" priority="4315"/>
    <cfRule type="duplicateValues" dxfId="3763" priority="4316"/>
  </conditionalFormatting>
  <conditionalFormatting sqref="A1465">
    <cfRule type="duplicateValues" dxfId="3762" priority="4306" stopIfTrue="1"/>
  </conditionalFormatting>
  <conditionalFormatting sqref="A1465">
    <cfRule type="duplicateValues" dxfId="3761" priority="4305" stopIfTrue="1"/>
  </conditionalFormatting>
  <conditionalFormatting sqref="A1465">
    <cfRule type="duplicateValues" dxfId="3760" priority="4304" stopIfTrue="1"/>
  </conditionalFormatting>
  <conditionalFormatting sqref="A1465">
    <cfRule type="duplicateValues" dxfId="3759" priority="4303" stopIfTrue="1"/>
  </conditionalFormatting>
  <conditionalFormatting sqref="A1465">
    <cfRule type="duplicateValues" dxfId="3758" priority="4302" stopIfTrue="1"/>
  </conditionalFormatting>
  <conditionalFormatting sqref="A1465">
    <cfRule type="duplicateValues" dxfId="3757" priority="4301" stopIfTrue="1"/>
  </conditionalFormatting>
  <conditionalFormatting sqref="A1465">
    <cfRule type="duplicateValues" dxfId="3756" priority="4300" stopIfTrue="1"/>
  </conditionalFormatting>
  <conditionalFormatting sqref="A1465">
    <cfRule type="duplicateValues" dxfId="3755" priority="4299" stopIfTrue="1"/>
  </conditionalFormatting>
  <conditionalFormatting sqref="A1465">
    <cfRule type="duplicateValues" dxfId="3754" priority="4298" stopIfTrue="1"/>
  </conditionalFormatting>
  <conditionalFormatting sqref="A1465">
    <cfRule type="duplicateValues" dxfId="3753" priority="4297" stopIfTrue="1"/>
  </conditionalFormatting>
  <conditionalFormatting sqref="A1465">
    <cfRule type="duplicateValues" dxfId="3752" priority="4296" stopIfTrue="1"/>
  </conditionalFormatting>
  <conditionalFormatting sqref="A1465">
    <cfRule type="duplicateValues" dxfId="3751" priority="4295" stopIfTrue="1"/>
  </conditionalFormatting>
  <conditionalFormatting sqref="A1465">
    <cfRule type="duplicateValues" dxfId="3750" priority="4294" stopIfTrue="1"/>
  </conditionalFormatting>
  <conditionalFormatting sqref="A1465">
    <cfRule type="duplicateValues" dxfId="3749" priority="4293" stopIfTrue="1"/>
  </conditionalFormatting>
  <conditionalFormatting sqref="A1465">
    <cfRule type="duplicateValues" dxfId="3748" priority="4307" stopIfTrue="1"/>
  </conditionalFormatting>
  <conditionalFormatting sqref="A1465">
    <cfRule type="duplicateValues" dxfId="3747" priority="4292" stopIfTrue="1"/>
  </conditionalFormatting>
  <conditionalFormatting sqref="C1465">
    <cfRule type="duplicateValues" dxfId="3746" priority="4291" stopIfTrue="1"/>
  </conditionalFormatting>
  <conditionalFormatting sqref="A1465">
    <cfRule type="duplicateValues" dxfId="3745" priority="4290" stopIfTrue="1"/>
  </conditionalFormatting>
  <conditionalFormatting sqref="A1465">
    <cfRule type="duplicateValues" dxfId="3744" priority="4289" stopIfTrue="1"/>
  </conditionalFormatting>
  <conditionalFormatting sqref="A1465">
    <cfRule type="duplicateValues" dxfId="3743" priority="4288" stopIfTrue="1"/>
  </conditionalFormatting>
  <conditionalFormatting sqref="A1465">
    <cfRule type="duplicateValues" dxfId="3742" priority="4287" stopIfTrue="1"/>
  </conditionalFormatting>
  <conditionalFormatting sqref="A1465">
    <cfRule type="duplicateValues" dxfId="3741" priority="4286" stopIfTrue="1"/>
  </conditionalFormatting>
  <conditionalFormatting sqref="A1465">
    <cfRule type="duplicateValues" dxfId="3740" priority="4285" stopIfTrue="1"/>
  </conditionalFormatting>
  <conditionalFormatting sqref="A1465">
    <cfRule type="duplicateValues" dxfId="3739" priority="4284" stopIfTrue="1"/>
  </conditionalFormatting>
  <conditionalFormatting sqref="A1465">
    <cfRule type="duplicateValues" dxfId="3738" priority="4283" stopIfTrue="1"/>
  </conditionalFormatting>
  <conditionalFormatting sqref="A1465">
    <cfRule type="duplicateValues" dxfId="3737" priority="4281" stopIfTrue="1"/>
    <cfRule type="duplicateValues" dxfId="3736" priority="4282" stopIfTrue="1"/>
  </conditionalFormatting>
  <conditionalFormatting sqref="A1465">
    <cfRule type="duplicateValues" dxfId="3735" priority="4280" stopIfTrue="1"/>
  </conditionalFormatting>
  <conditionalFormatting sqref="A1465">
    <cfRule type="duplicateValues" dxfId="3734" priority="4279" stopIfTrue="1"/>
  </conditionalFormatting>
  <conditionalFormatting sqref="A1465">
    <cfRule type="duplicateValues" dxfId="3733" priority="4278" stopIfTrue="1"/>
  </conditionalFormatting>
  <conditionalFormatting sqref="A1465">
    <cfRule type="duplicateValues" dxfId="3732" priority="4277" stopIfTrue="1"/>
  </conditionalFormatting>
  <conditionalFormatting sqref="A1465">
    <cfRule type="duplicateValues" dxfId="3731" priority="4276" stopIfTrue="1"/>
  </conditionalFormatting>
  <conditionalFormatting sqref="A1465">
    <cfRule type="duplicateValues" dxfId="3730" priority="4275"/>
  </conditionalFormatting>
  <conditionalFormatting sqref="A1465">
    <cfRule type="duplicateValues" dxfId="3729" priority="4274"/>
  </conditionalFormatting>
  <conditionalFormatting sqref="A1465">
    <cfRule type="duplicateValues" dxfId="3728" priority="4273"/>
  </conditionalFormatting>
  <conditionalFormatting sqref="A1465">
    <cfRule type="duplicateValues" dxfId="3727" priority="4272"/>
  </conditionalFormatting>
  <conditionalFormatting sqref="A1465">
    <cfRule type="duplicateValues" dxfId="3726" priority="4271"/>
  </conditionalFormatting>
  <conditionalFormatting sqref="A1465">
    <cfRule type="duplicateValues" dxfId="3725" priority="4270"/>
  </conditionalFormatting>
  <conditionalFormatting sqref="A1465">
    <cfRule type="duplicateValues" dxfId="3724" priority="4269"/>
  </conditionalFormatting>
  <conditionalFormatting sqref="A1465">
    <cfRule type="duplicateValues" dxfId="3723" priority="4268"/>
  </conditionalFormatting>
  <conditionalFormatting sqref="A1465">
    <cfRule type="duplicateValues" dxfId="3722" priority="4266"/>
    <cfRule type="duplicateValues" dxfId="3721" priority="4267"/>
  </conditionalFormatting>
  <conditionalFormatting sqref="A1465">
    <cfRule type="duplicateValues" dxfId="3720" priority="4265"/>
  </conditionalFormatting>
  <conditionalFormatting sqref="A1465">
    <cfRule type="duplicateValues" dxfId="3719" priority="4308"/>
  </conditionalFormatting>
  <conditionalFormatting sqref="A1465">
    <cfRule type="duplicateValues" dxfId="3718" priority="4264"/>
  </conditionalFormatting>
  <conditionalFormatting sqref="A1465">
    <cfRule type="duplicateValues" dxfId="3717" priority="4309"/>
  </conditionalFormatting>
  <conditionalFormatting sqref="A1449">
    <cfRule type="duplicateValues" dxfId="3716" priority="4260" stopIfTrue="1"/>
  </conditionalFormatting>
  <conditionalFormatting sqref="A1449">
    <cfRule type="duplicateValues" dxfId="3715" priority="4259" stopIfTrue="1"/>
  </conditionalFormatting>
  <conditionalFormatting sqref="A1449">
    <cfRule type="duplicateValues" dxfId="3714" priority="4258" stopIfTrue="1"/>
  </conditionalFormatting>
  <conditionalFormatting sqref="A1449">
    <cfRule type="duplicateValues" dxfId="3713" priority="4257" stopIfTrue="1"/>
  </conditionalFormatting>
  <conditionalFormatting sqref="A1449">
    <cfRule type="duplicateValues" dxfId="3712" priority="4256" stopIfTrue="1"/>
  </conditionalFormatting>
  <conditionalFormatting sqref="A1449">
    <cfRule type="duplicateValues" dxfId="3711" priority="4255" stopIfTrue="1"/>
  </conditionalFormatting>
  <conditionalFormatting sqref="A1449">
    <cfRule type="duplicateValues" dxfId="3710" priority="4254" stopIfTrue="1"/>
  </conditionalFormatting>
  <conditionalFormatting sqref="A1449">
    <cfRule type="duplicateValues" dxfId="3709" priority="4253" stopIfTrue="1"/>
  </conditionalFormatting>
  <conditionalFormatting sqref="A1449">
    <cfRule type="duplicateValues" dxfId="3708" priority="4252" stopIfTrue="1"/>
  </conditionalFormatting>
  <conditionalFormatting sqref="A1449">
    <cfRule type="duplicateValues" dxfId="3707" priority="4251" stopIfTrue="1"/>
  </conditionalFormatting>
  <conditionalFormatting sqref="A1449">
    <cfRule type="duplicateValues" dxfId="3706" priority="4250" stopIfTrue="1"/>
  </conditionalFormatting>
  <conditionalFormatting sqref="A1449">
    <cfRule type="duplicateValues" dxfId="3705" priority="4249" stopIfTrue="1"/>
  </conditionalFormatting>
  <conditionalFormatting sqref="A1449">
    <cfRule type="duplicateValues" dxfId="3704" priority="4248" stopIfTrue="1"/>
  </conditionalFormatting>
  <conditionalFormatting sqref="A1449">
    <cfRule type="duplicateValues" dxfId="3703" priority="4247" stopIfTrue="1"/>
  </conditionalFormatting>
  <conditionalFormatting sqref="A1449">
    <cfRule type="duplicateValues" dxfId="3702" priority="4261" stopIfTrue="1"/>
  </conditionalFormatting>
  <conditionalFormatting sqref="A1449">
    <cfRule type="duplicateValues" dxfId="3701" priority="4246" stopIfTrue="1"/>
  </conditionalFormatting>
  <conditionalFormatting sqref="C1449">
    <cfRule type="duplicateValues" dxfId="3700" priority="4245" stopIfTrue="1"/>
  </conditionalFormatting>
  <conditionalFormatting sqref="A1449">
    <cfRule type="duplicateValues" dxfId="3699" priority="4244" stopIfTrue="1"/>
  </conditionalFormatting>
  <conditionalFormatting sqref="A1449">
    <cfRule type="duplicateValues" dxfId="3698" priority="4243" stopIfTrue="1"/>
  </conditionalFormatting>
  <conditionalFormatting sqref="A1449">
    <cfRule type="duplicateValues" dxfId="3697" priority="4242" stopIfTrue="1"/>
  </conditionalFormatting>
  <conditionalFormatting sqref="A1449">
    <cfRule type="duplicateValues" dxfId="3696" priority="4241" stopIfTrue="1"/>
  </conditionalFormatting>
  <conditionalFormatting sqref="A1449">
    <cfRule type="duplicateValues" dxfId="3695" priority="4240" stopIfTrue="1"/>
  </conditionalFormatting>
  <conditionalFormatting sqref="A1449">
    <cfRule type="duplicateValues" dxfId="3694" priority="4239" stopIfTrue="1"/>
  </conditionalFormatting>
  <conditionalFormatting sqref="A1449">
    <cfRule type="duplicateValues" dxfId="3693" priority="4238" stopIfTrue="1"/>
  </conditionalFormatting>
  <conditionalFormatting sqref="A1449">
    <cfRule type="duplicateValues" dxfId="3692" priority="4237" stopIfTrue="1"/>
  </conditionalFormatting>
  <conditionalFormatting sqref="A1449">
    <cfRule type="duplicateValues" dxfId="3691" priority="4235" stopIfTrue="1"/>
    <cfRule type="duplicateValues" dxfId="3690" priority="4236" stopIfTrue="1"/>
  </conditionalFormatting>
  <conditionalFormatting sqref="A1449">
    <cfRule type="duplicateValues" dxfId="3689" priority="4234" stopIfTrue="1"/>
  </conditionalFormatting>
  <conditionalFormatting sqref="A1449">
    <cfRule type="duplicateValues" dxfId="3688" priority="4233" stopIfTrue="1"/>
  </conditionalFormatting>
  <conditionalFormatting sqref="A1449">
    <cfRule type="duplicateValues" dxfId="3687" priority="4232" stopIfTrue="1"/>
  </conditionalFormatting>
  <conditionalFormatting sqref="A1449">
    <cfRule type="duplicateValues" dxfId="3686" priority="4231" stopIfTrue="1"/>
  </conditionalFormatting>
  <conditionalFormatting sqref="A1449">
    <cfRule type="duplicateValues" dxfId="3685" priority="4230" stopIfTrue="1"/>
  </conditionalFormatting>
  <conditionalFormatting sqref="A1449">
    <cfRule type="duplicateValues" dxfId="3684" priority="4229"/>
  </conditionalFormatting>
  <conditionalFormatting sqref="A1449">
    <cfRule type="duplicateValues" dxfId="3683" priority="4228"/>
  </conditionalFormatting>
  <conditionalFormatting sqref="A1449">
    <cfRule type="duplicateValues" dxfId="3682" priority="4227"/>
  </conditionalFormatting>
  <conditionalFormatting sqref="A1449">
    <cfRule type="duplicateValues" dxfId="3681" priority="4226"/>
  </conditionalFormatting>
  <conditionalFormatting sqref="A1449">
    <cfRule type="duplicateValues" dxfId="3680" priority="4225"/>
  </conditionalFormatting>
  <conditionalFormatting sqref="A1449">
    <cfRule type="duplicateValues" dxfId="3679" priority="4224"/>
  </conditionalFormatting>
  <conditionalFormatting sqref="A1449">
    <cfRule type="duplicateValues" dxfId="3678" priority="4223"/>
  </conditionalFormatting>
  <conditionalFormatting sqref="A1449">
    <cfRule type="duplicateValues" dxfId="3677" priority="4222"/>
  </conditionalFormatting>
  <conditionalFormatting sqref="A1449">
    <cfRule type="duplicateValues" dxfId="3676" priority="4220"/>
    <cfRule type="duplicateValues" dxfId="3675" priority="4221"/>
  </conditionalFormatting>
  <conditionalFormatting sqref="A1449">
    <cfRule type="duplicateValues" dxfId="3674" priority="4219"/>
  </conditionalFormatting>
  <conditionalFormatting sqref="A1449">
    <cfRule type="duplicateValues" dxfId="3673" priority="4262"/>
  </conditionalFormatting>
  <conditionalFormatting sqref="A1449">
    <cfRule type="duplicateValues" dxfId="3672" priority="4218"/>
  </conditionalFormatting>
  <conditionalFormatting sqref="A1449">
    <cfRule type="duplicateValues" dxfId="3671" priority="4263"/>
  </conditionalFormatting>
  <conditionalFormatting sqref="A1785:C1791 A1794">
    <cfRule type="duplicateValues" dxfId="3670" priority="82858" stopIfTrue="1"/>
  </conditionalFormatting>
  <conditionalFormatting sqref="A1785:C1791 A1794">
    <cfRule type="duplicateValues" dxfId="3669" priority="82859" stopIfTrue="1"/>
  </conditionalFormatting>
  <conditionalFormatting sqref="A1785:C1791 A1794">
    <cfRule type="duplicateValues" dxfId="3668" priority="82860" stopIfTrue="1"/>
    <cfRule type="duplicateValues" dxfId="3667" priority="82861" stopIfTrue="1"/>
  </conditionalFormatting>
  <conditionalFormatting sqref="A1785:C1791 A1794">
    <cfRule type="duplicateValues" dxfId="3666" priority="82862"/>
  </conditionalFormatting>
  <conditionalFormatting sqref="A1785:A1791 A1794">
    <cfRule type="duplicateValues" dxfId="3665" priority="82863"/>
    <cfRule type="duplicateValues" dxfId="3664" priority="82864"/>
  </conditionalFormatting>
  <conditionalFormatting sqref="A1785:A1791 A1794">
    <cfRule type="duplicateValues" dxfId="3663" priority="82865"/>
  </conditionalFormatting>
  <conditionalFormatting sqref="A1498:A1791 A1:A205 A296:A1162 A1164:A1408 A1427:A1495 A1794 A1796:A1897 A1899:A1048576">
    <cfRule type="duplicateValues" dxfId="3662" priority="4207"/>
  </conditionalFormatting>
  <conditionalFormatting sqref="N233">
    <cfRule type="duplicateValues" dxfId="3661" priority="4206" stopIfTrue="1"/>
  </conditionalFormatting>
  <conditionalFormatting sqref="N233">
    <cfRule type="duplicateValues" dxfId="3660" priority="4204"/>
    <cfRule type="duplicateValues" dxfId="3659" priority="4205"/>
  </conditionalFormatting>
  <conditionalFormatting sqref="N233">
    <cfRule type="duplicateValues" dxfId="3658" priority="4203"/>
  </conditionalFormatting>
  <conditionalFormatting sqref="N233">
    <cfRule type="duplicateValues" dxfId="3657" priority="4199"/>
    <cfRule type="duplicateValues" dxfId="3656" priority="4200"/>
    <cfRule type="duplicateValues" dxfId="3655" priority="4201"/>
    <cfRule type="duplicateValues" dxfId="3654" priority="4202"/>
  </conditionalFormatting>
  <conditionalFormatting sqref="N233">
    <cfRule type="duplicateValues" dxfId="3653" priority="4197"/>
    <cfRule type="duplicateValues" dxfId="3652" priority="4198"/>
  </conditionalFormatting>
  <conditionalFormatting sqref="N233">
    <cfRule type="duplicateValues" dxfId="3651" priority="4196"/>
  </conditionalFormatting>
  <conditionalFormatting sqref="A211:A217 A219">
    <cfRule type="duplicateValues" dxfId="3650" priority="4173" stopIfTrue="1"/>
  </conditionalFormatting>
  <conditionalFormatting sqref="A211:A217 A219">
    <cfRule type="duplicateValues" dxfId="3649" priority="4172" stopIfTrue="1"/>
  </conditionalFormatting>
  <conditionalFormatting sqref="A211:A217 A219">
    <cfRule type="duplicateValues" dxfId="3648" priority="4170" stopIfTrue="1"/>
    <cfRule type="duplicateValues" dxfId="3647" priority="4171" stopIfTrue="1"/>
  </conditionalFormatting>
  <conditionalFormatting sqref="A211:A217 A219">
    <cfRule type="duplicateValues" dxfId="3646" priority="4169"/>
  </conditionalFormatting>
  <conditionalFormatting sqref="A211:A217 A219">
    <cfRule type="duplicateValues" dxfId="3645" priority="4167"/>
    <cfRule type="duplicateValues" dxfId="3644" priority="4168"/>
  </conditionalFormatting>
  <conditionalFormatting sqref="C211:C217 C219">
    <cfRule type="duplicateValues" dxfId="3643" priority="4166" stopIfTrue="1"/>
  </conditionalFormatting>
  <conditionalFormatting sqref="A206:A217 A219:A233">
    <cfRule type="duplicateValues" dxfId="3642" priority="4165"/>
  </conditionalFormatting>
  <conditionalFormatting sqref="A206:A217 A219:A233">
    <cfRule type="duplicateValues" dxfId="3641" priority="4164"/>
  </conditionalFormatting>
  <conditionalFormatting sqref="C220:C233 C206:C210">
    <cfRule type="duplicateValues" dxfId="3640" priority="4163" stopIfTrue="1"/>
  </conditionalFormatting>
  <conditionalFormatting sqref="A220:A233 A206:A210">
    <cfRule type="duplicateValues" dxfId="3639" priority="4162" stopIfTrue="1"/>
  </conditionalFormatting>
  <conditionalFormatting sqref="A220:A233 A206:A210">
    <cfRule type="duplicateValues" dxfId="3638" priority="4161" stopIfTrue="1"/>
  </conditionalFormatting>
  <conditionalFormatting sqref="A220:A233 A206:A210">
    <cfRule type="duplicateValues" dxfId="3637" priority="4159" stopIfTrue="1"/>
    <cfRule type="duplicateValues" dxfId="3636" priority="4160" stopIfTrue="1"/>
  </conditionalFormatting>
  <conditionalFormatting sqref="A220:A233 A206:A210">
    <cfRule type="duplicateValues" dxfId="3635" priority="4158"/>
  </conditionalFormatting>
  <conditionalFormatting sqref="A220:A233 A206:A210">
    <cfRule type="duplicateValues" dxfId="3634" priority="4156"/>
    <cfRule type="duplicateValues" dxfId="3633" priority="4157"/>
  </conditionalFormatting>
  <conditionalFormatting sqref="L234">
    <cfRule type="duplicateValues" dxfId="3632" priority="4155" stopIfTrue="1"/>
  </conditionalFormatting>
  <conditionalFormatting sqref="L234">
    <cfRule type="duplicateValues" dxfId="3631" priority="4153"/>
    <cfRule type="duplicateValues" dxfId="3630" priority="4154"/>
  </conditionalFormatting>
  <conditionalFormatting sqref="L234">
    <cfRule type="duplicateValues" dxfId="3629" priority="4152"/>
  </conditionalFormatting>
  <conditionalFormatting sqref="L234">
    <cfRule type="duplicateValues" dxfId="3628" priority="4148"/>
    <cfRule type="duplicateValues" dxfId="3627" priority="4149"/>
    <cfRule type="duplicateValues" dxfId="3626" priority="4150"/>
    <cfRule type="duplicateValues" dxfId="3625" priority="4151"/>
  </conditionalFormatting>
  <conditionalFormatting sqref="L234">
    <cfRule type="duplicateValues" dxfId="3624" priority="4146"/>
    <cfRule type="duplicateValues" dxfId="3623" priority="4147"/>
  </conditionalFormatting>
  <conditionalFormatting sqref="L234">
    <cfRule type="duplicateValues" dxfId="3622" priority="4145"/>
  </conditionalFormatting>
  <conditionalFormatting sqref="N234">
    <cfRule type="duplicateValues" dxfId="3621" priority="4144" stopIfTrue="1"/>
  </conditionalFormatting>
  <conditionalFormatting sqref="N234">
    <cfRule type="duplicateValues" dxfId="3620" priority="4142"/>
    <cfRule type="duplicateValues" dxfId="3619" priority="4143"/>
  </conditionalFormatting>
  <conditionalFormatting sqref="N234">
    <cfRule type="duplicateValues" dxfId="3618" priority="4141"/>
  </conditionalFormatting>
  <conditionalFormatting sqref="N234">
    <cfRule type="duplicateValues" dxfId="3617" priority="4137"/>
    <cfRule type="duplicateValues" dxfId="3616" priority="4138"/>
    <cfRule type="duplicateValues" dxfId="3615" priority="4139"/>
    <cfRule type="duplicateValues" dxfId="3614" priority="4140"/>
  </conditionalFormatting>
  <conditionalFormatting sqref="N234">
    <cfRule type="duplicateValues" dxfId="3613" priority="4135"/>
    <cfRule type="duplicateValues" dxfId="3612" priority="4136"/>
  </conditionalFormatting>
  <conditionalFormatting sqref="N234">
    <cfRule type="duplicateValues" dxfId="3611" priority="4134"/>
  </conditionalFormatting>
  <conditionalFormatting sqref="A234:A265">
    <cfRule type="duplicateValues" dxfId="3610" priority="4133"/>
  </conditionalFormatting>
  <conditionalFormatting sqref="A234:A265">
    <cfRule type="duplicateValues" dxfId="3609" priority="4132"/>
  </conditionalFormatting>
  <conditionalFormatting sqref="C234:C265">
    <cfRule type="duplicateValues" dxfId="3608" priority="4131" stopIfTrue="1"/>
  </conditionalFormatting>
  <conditionalFormatting sqref="A234:A265">
    <cfRule type="duplicateValues" dxfId="3607" priority="4130" stopIfTrue="1"/>
  </conditionalFormatting>
  <conditionalFormatting sqref="A234:A265">
    <cfRule type="duplicateValues" dxfId="3606" priority="4129" stopIfTrue="1"/>
  </conditionalFormatting>
  <conditionalFormatting sqref="A234:A265">
    <cfRule type="duplicateValues" dxfId="3605" priority="4127" stopIfTrue="1"/>
    <cfRule type="duplicateValues" dxfId="3604" priority="4128" stopIfTrue="1"/>
  </conditionalFormatting>
  <conditionalFormatting sqref="A234:A265">
    <cfRule type="duplicateValues" dxfId="3603" priority="4126"/>
  </conditionalFormatting>
  <conditionalFormatting sqref="A234:A265">
    <cfRule type="duplicateValues" dxfId="3602" priority="4124"/>
    <cfRule type="duplicateValues" dxfId="3601" priority="4125"/>
  </conditionalFormatting>
  <conditionalFormatting sqref="N238">
    <cfRule type="duplicateValues" dxfId="3600" priority="4123"/>
  </conditionalFormatting>
  <conditionalFormatting sqref="N238">
    <cfRule type="duplicateValues" dxfId="3599" priority="4122"/>
  </conditionalFormatting>
  <conditionalFormatting sqref="N238">
    <cfRule type="duplicateValues" dxfId="3598" priority="4121" stopIfTrue="1"/>
  </conditionalFormatting>
  <conditionalFormatting sqref="N238">
    <cfRule type="duplicateValues" dxfId="3597" priority="4119"/>
    <cfRule type="duplicateValues" dxfId="3596" priority="4120"/>
  </conditionalFormatting>
  <conditionalFormatting sqref="N238">
    <cfRule type="duplicateValues" dxfId="3595" priority="4118"/>
  </conditionalFormatting>
  <conditionalFormatting sqref="N238">
    <cfRule type="duplicateValues" dxfId="3594" priority="4114"/>
    <cfRule type="duplicateValues" dxfId="3593" priority="4115"/>
    <cfRule type="duplicateValues" dxfId="3592" priority="4116"/>
    <cfRule type="duplicateValues" dxfId="3591" priority="4117"/>
  </conditionalFormatting>
  <conditionalFormatting sqref="L239">
    <cfRule type="duplicateValues" dxfId="3590" priority="4113"/>
  </conditionalFormatting>
  <conditionalFormatting sqref="L239">
    <cfRule type="duplicateValues" dxfId="3589" priority="4112"/>
  </conditionalFormatting>
  <conditionalFormatting sqref="L239">
    <cfRule type="duplicateValues" dxfId="3588" priority="4111" stopIfTrue="1"/>
  </conditionalFormatting>
  <conditionalFormatting sqref="L239">
    <cfRule type="duplicateValues" dxfId="3587" priority="4109"/>
    <cfRule type="duplicateValues" dxfId="3586" priority="4110"/>
  </conditionalFormatting>
  <conditionalFormatting sqref="L239">
    <cfRule type="duplicateValues" dxfId="3585" priority="4108"/>
  </conditionalFormatting>
  <conditionalFormatting sqref="L239">
    <cfRule type="duplicateValues" dxfId="3584" priority="4104"/>
    <cfRule type="duplicateValues" dxfId="3583" priority="4105"/>
    <cfRule type="duplicateValues" dxfId="3582" priority="4106"/>
    <cfRule type="duplicateValues" dxfId="3581" priority="4107"/>
  </conditionalFormatting>
  <conditionalFormatting sqref="L239">
    <cfRule type="duplicateValues" dxfId="3580" priority="4103"/>
  </conditionalFormatting>
  <conditionalFormatting sqref="L239">
    <cfRule type="duplicateValues" dxfId="3579" priority="4102" stopIfTrue="1"/>
  </conditionalFormatting>
  <conditionalFormatting sqref="L239">
    <cfRule type="duplicateValues" dxfId="3578" priority="4100"/>
    <cfRule type="duplicateValues" dxfId="3577" priority="4101"/>
  </conditionalFormatting>
  <conditionalFormatting sqref="L239">
    <cfRule type="duplicateValues" dxfId="3576" priority="4096"/>
    <cfRule type="duplicateValues" dxfId="3575" priority="4097"/>
    <cfRule type="duplicateValues" dxfId="3574" priority="4098"/>
    <cfRule type="duplicateValues" dxfId="3573" priority="4099"/>
  </conditionalFormatting>
  <conditionalFormatting sqref="N239">
    <cfRule type="duplicateValues" dxfId="3572" priority="4095"/>
  </conditionalFormatting>
  <conditionalFormatting sqref="N239">
    <cfRule type="duplicateValues" dxfId="3571" priority="4094"/>
  </conditionalFormatting>
  <conditionalFormatting sqref="N239">
    <cfRule type="duplicateValues" dxfId="3570" priority="4093" stopIfTrue="1"/>
  </conditionalFormatting>
  <conditionalFormatting sqref="N239">
    <cfRule type="duplicateValues" dxfId="3569" priority="4091"/>
    <cfRule type="duplicateValues" dxfId="3568" priority="4092"/>
  </conditionalFormatting>
  <conditionalFormatting sqref="N239">
    <cfRule type="duplicateValues" dxfId="3567" priority="4090"/>
  </conditionalFormatting>
  <conditionalFormatting sqref="N239">
    <cfRule type="duplicateValues" dxfId="3566" priority="4086"/>
    <cfRule type="duplicateValues" dxfId="3565" priority="4087"/>
    <cfRule type="duplicateValues" dxfId="3564" priority="4088"/>
    <cfRule type="duplicateValues" dxfId="3563" priority="4089"/>
  </conditionalFormatting>
  <conditionalFormatting sqref="L240">
    <cfRule type="duplicateValues" dxfId="3562" priority="4085"/>
  </conditionalFormatting>
  <conditionalFormatting sqref="L240">
    <cfRule type="duplicateValues" dxfId="3561" priority="4084"/>
  </conditionalFormatting>
  <conditionalFormatting sqref="L240">
    <cfRule type="duplicateValues" dxfId="3560" priority="4083" stopIfTrue="1"/>
  </conditionalFormatting>
  <conditionalFormatting sqref="L240">
    <cfRule type="duplicateValues" dxfId="3559" priority="4081"/>
    <cfRule type="duplicateValues" dxfId="3558" priority="4082"/>
  </conditionalFormatting>
  <conditionalFormatting sqref="L240">
    <cfRule type="duplicateValues" dxfId="3557" priority="4080"/>
  </conditionalFormatting>
  <conditionalFormatting sqref="L240">
    <cfRule type="duplicateValues" dxfId="3556" priority="4076"/>
    <cfRule type="duplicateValues" dxfId="3555" priority="4077"/>
    <cfRule type="duplicateValues" dxfId="3554" priority="4078"/>
    <cfRule type="duplicateValues" dxfId="3553" priority="4079"/>
  </conditionalFormatting>
  <conditionalFormatting sqref="N240">
    <cfRule type="duplicateValues" dxfId="3552" priority="4075"/>
  </conditionalFormatting>
  <conditionalFormatting sqref="N240">
    <cfRule type="duplicateValues" dxfId="3551" priority="4074"/>
  </conditionalFormatting>
  <conditionalFormatting sqref="N240">
    <cfRule type="duplicateValues" dxfId="3550" priority="4073" stopIfTrue="1"/>
  </conditionalFormatting>
  <conditionalFormatting sqref="N240">
    <cfRule type="duplicateValues" dxfId="3549" priority="4071"/>
    <cfRule type="duplicateValues" dxfId="3548" priority="4072"/>
  </conditionalFormatting>
  <conditionalFormatting sqref="N240">
    <cfRule type="duplicateValues" dxfId="3547" priority="4070"/>
  </conditionalFormatting>
  <conditionalFormatting sqref="N240">
    <cfRule type="duplicateValues" dxfId="3546" priority="4066"/>
    <cfRule type="duplicateValues" dxfId="3545" priority="4067"/>
    <cfRule type="duplicateValues" dxfId="3544" priority="4068"/>
    <cfRule type="duplicateValues" dxfId="3543" priority="4069"/>
  </conditionalFormatting>
  <conditionalFormatting sqref="N240">
    <cfRule type="duplicateValues" dxfId="3542" priority="4065"/>
  </conditionalFormatting>
  <conditionalFormatting sqref="N240">
    <cfRule type="duplicateValues" dxfId="3541" priority="4064" stopIfTrue="1"/>
  </conditionalFormatting>
  <conditionalFormatting sqref="N240">
    <cfRule type="duplicateValues" dxfId="3540" priority="4062"/>
    <cfRule type="duplicateValues" dxfId="3539" priority="4063"/>
  </conditionalFormatting>
  <conditionalFormatting sqref="N240">
    <cfRule type="duplicateValues" dxfId="3538" priority="4058"/>
    <cfRule type="duplicateValues" dxfId="3537" priority="4059"/>
    <cfRule type="duplicateValues" dxfId="3536" priority="4060"/>
    <cfRule type="duplicateValues" dxfId="3535" priority="4061"/>
  </conditionalFormatting>
  <conditionalFormatting sqref="L241">
    <cfRule type="duplicateValues" dxfId="3534" priority="4057"/>
  </conditionalFormatting>
  <conditionalFormatting sqref="L241">
    <cfRule type="duplicateValues" dxfId="3533" priority="4056"/>
  </conditionalFormatting>
  <conditionalFormatting sqref="L241">
    <cfRule type="duplicateValues" dxfId="3532" priority="4055" stopIfTrue="1"/>
  </conditionalFormatting>
  <conditionalFormatting sqref="L241">
    <cfRule type="duplicateValues" dxfId="3531" priority="4053"/>
    <cfRule type="duplicateValues" dxfId="3530" priority="4054"/>
  </conditionalFormatting>
  <conditionalFormatting sqref="L241">
    <cfRule type="duplicateValues" dxfId="3529" priority="4052"/>
  </conditionalFormatting>
  <conditionalFormatting sqref="L241">
    <cfRule type="duplicateValues" dxfId="3528" priority="4048"/>
    <cfRule type="duplicateValues" dxfId="3527" priority="4049"/>
    <cfRule type="duplicateValues" dxfId="3526" priority="4050"/>
    <cfRule type="duplicateValues" dxfId="3525" priority="4051"/>
  </conditionalFormatting>
  <conditionalFormatting sqref="L241">
    <cfRule type="duplicateValues" dxfId="3524" priority="4047"/>
  </conditionalFormatting>
  <conditionalFormatting sqref="L241">
    <cfRule type="duplicateValues" dxfId="3523" priority="4046" stopIfTrue="1"/>
  </conditionalFormatting>
  <conditionalFormatting sqref="L241">
    <cfRule type="duplicateValues" dxfId="3522" priority="4044"/>
    <cfRule type="duplicateValues" dxfId="3521" priority="4045"/>
  </conditionalFormatting>
  <conditionalFormatting sqref="L241">
    <cfRule type="duplicateValues" dxfId="3520" priority="4040"/>
    <cfRule type="duplicateValues" dxfId="3519" priority="4041"/>
    <cfRule type="duplicateValues" dxfId="3518" priority="4042"/>
    <cfRule type="duplicateValues" dxfId="3517" priority="4043"/>
  </conditionalFormatting>
  <conditionalFormatting sqref="N241">
    <cfRule type="duplicateValues" dxfId="3516" priority="4039"/>
  </conditionalFormatting>
  <conditionalFormatting sqref="N241">
    <cfRule type="duplicateValues" dxfId="3515" priority="4038"/>
  </conditionalFormatting>
  <conditionalFormatting sqref="N241">
    <cfRule type="duplicateValues" dxfId="3514" priority="4037" stopIfTrue="1"/>
  </conditionalFormatting>
  <conditionalFormatting sqref="N241">
    <cfRule type="duplicateValues" dxfId="3513" priority="4035"/>
    <cfRule type="duplicateValues" dxfId="3512" priority="4036"/>
  </conditionalFormatting>
  <conditionalFormatting sqref="N241">
    <cfRule type="duplicateValues" dxfId="3511" priority="4034"/>
  </conditionalFormatting>
  <conditionalFormatting sqref="N241">
    <cfRule type="duplicateValues" dxfId="3510" priority="4030"/>
    <cfRule type="duplicateValues" dxfId="3509" priority="4031"/>
    <cfRule type="duplicateValues" dxfId="3508" priority="4032"/>
    <cfRule type="duplicateValues" dxfId="3507" priority="4033"/>
  </conditionalFormatting>
  <conditionalFormatting sqref="L242">
    <cfRule type="duplicateValues" dxfId="3506" priority="4029"/>
  </conditionalFormatting>
  <conditionalFormatting sqref="L242">
    <cfRule type="duplicateValues" dxfId="3505" priority="4028"/>
  </conditionalFormatting>
  <conditionalFormatting sqref="L242">
    <cfRule type="duplicateValues" dxfId="3504" priority="4027" stopIfTrue="1"/>
  </conditionalFormatting>
  <conditionalFormatting sqref="L242">
    <cfRule type="duplicateValues" dxfId="3503" priority="4025"/>
    <cfRule type="duplicateValues" dxfId="3502" priority="4026"/>
  </conditionalFormatting>
  <conditionalFormatting sqref="L242">
    <cfRule type="duplicateValues" dxfId="3501" priority="4024"/>
  </conditionalFormatting>
  <conditionalFormatting sqref="L242">
    <cfRule type="duplicateValues" dxfId="3500" priority="4020"/>
    <cfRule type="duplicateValues" dxfId="3499" priority="4021"/>
    <cfRule type="duplicateValues" dxfId="3498" priority="4022"/>
    <cfRule type="duplicateValues" dxfId="3497" priority="4023"/>
  </conditionalFormatting>
  <conditionalFormatting sqref="N242">
    <cfRule type="duplicateValues" dxfId="3496" priority="4019"/>
  </conditionalFormatting>
  <conditionalFormatting sqref="N242">
    <cfRule type="duplicateValues" dxfId="3495" priority="4018"/>
  </conditionalFormatting>
  <conditionalFormatting sqref="N242">
    <cfRule type="duplicateValues" dxfId="3494" priority="4017" stopIfTrue="1"/>
  </conditionalFormatting>
  <conditionalFormatting sqref="N242">
    <cfRule type="duplicateValues" dxfId="3493" priority="4015"/>
    <cfRule type="duplicateValues" dxfId="3492" priority="4016"/>
  </conditionalFormatting>
  <conditionalFormatting sqref="N242">
    <cfRule type="duplicateValues" dxfId="3491" priority="4014"/>
  </conditionalFormatting>
  <conditionalFormatting sqref="N242">
    <cfRule type="duplicateValues" dxfId="3490" priority="4010"/>
    <cfRule type="duplicateValues" dxfId="3489" priority="4011"/>
    <cfRule type="duplicateValues" dxfId="3488" priority="4012"/>
    <cfRule type="duplicateValues" dxfId="3487" priority="4013"/>
  </conditionalFormatting>
  <conditionalFormatting sqref="N242">
    <cfRule type="duplicateValues" dxfId="3486" priority="4009"/>
  </conditionalFormatting>
  <conditionalFormatting sqref="N242">
    <cfRule type="duplicateValues" dxfId="3485" priority="4008" stopIfTrue="1"/>
  </conditionalFormatting>
  <conditionalFormatting sqref="N242">
    <cfRule type="duplicateValues" dxfId="3484" priority="4006"/>
    <cfRule type="duplicateValues" dxfId="3483" priority="4007"/>
  </conditionalFormatting>
  <conditionalFormatting sqref="N242">
    <cfRule type="duplicateValues" dxfId="3482" priority="4002"/>
    <cfRule type="duplicateValues" dxfId="3481" priority="4003"/>
    <cfRule type="duplicateValues" dxfId="3480" priority="4004"/>
    <cfRule type="duplicateValues" dxfId="3479" priority="4005"/>
  </conditionalFormatting>
  <conditionalFormatting sqref="L243">
    <cfRule type="duplicateValues" dxfId="3478" priority="4001"/>
  </conditionalFormatting>
  <conditionalFormatting sqref="L243">
    <cfRule type="duplicateValues" dxfId="3477" priority="4000"/>
  </conditionalFormatting>
  <conditionalFormatting sqref="L243">
    <cfRule type="duplicateValues" dxfId="3476" priority="3999" stopIfTrue="1"/>
  </conditionalFormatting>
  <conditionalFormatting sqref="L243">
    <cfRule type="duplicateValues" dxfId="3475" priority="3997"/>
    <cfRule type="duplicateValues" dxfId="3474" priority="3998"/>
  </conditionalFormatting>
  <conditionalFormatting sqref="L243">
    <cfRule type="duplicateValues" dxfId="3473" priority="3996"/>
  </conditionalFormatting>
  <conditionalFormatting sqref="L243">
    <cfRule type="duplicateValues" dxfId="3472" priority="3992"/>
    <cfRule type="duplicateValues" dxfId="3471" priority="3993"/>
    <cfRule type="duplicateValues" dxfId="3470" priority="3994"/>
    <cfRule type="duplicateValues" dxfId="3469" priority="3995"/>
  </conditionalFormatting>
  <conditionalFormatting sqref="L243">
    <cfRule type="duplicateValues" dxfId="3468" priority="3991"/>
  </conditionalFormatting>
  <conditionalFormatting sqref="L243">
    <cfRule type="duplicateValues" dxfId="3467" priority="3990" stopIfTrue="1"/>
  </conditionalFormatting>
  <conditionalFormatting sqref="L243">
    <cfRule type="duplicateValues" dxfId="3466" priority="3988"/>
    <cfRule type="duplicateValues" dxfId="3465" priority="3989"/>
  </conditionalFormatting>
  <conditionalFormatting sqref="L243">
    <cfRule type="duplicateValues" dxfId="3464" priority="3984"/>
    <cfRule type="duplicateValues" dxfId="3463" priority="3985"/>
    <cfRule type="duplicateValues" dxfId="3462" priority="3986"/>
    <cfRule type="duplicateValues" dxfId="3461" priority="3987"/>
  </conditionalFormatting>
  <conditionalFormatting sqref="N243">
    <cfRule type="duplicateValues" dxfId="3460" priority="3983"/>
  </conditionalFormatting>
  <conditionalFormatting sqref="N243">
    <cfRule type="duplicateValues" dxfId="3459" priority="3982"/>
  </conditionalFormatting>
  <conditionalFormatting sqref="N243">
    <cfRule type="duplicateValues" dxfId="3458" priority="3981" stopIfTrue="1"/>
  </conditionalFormatting>
  <conditionalFormatting sqref="N243">
    <cfRule type="duplicateValues" dxfId="3457" priority="3979"/>
    <cfRule type="duplicateValues" dxfId="3456" priority="3980"/>
  </conditionalFormatting>
  <conditionalFormatting sqref="N243">
    <cfRule type="duplicateValues" dxfId="3455" priority="3978"/>
  </conditionalFormatting>
  <conditionalFormatting sqref="N243">
    <cfRule type="duplicateValues" dxfId="3454" priority="3974"/>
    <cfRule type="duplicateValues" dxfId="3453" priority="3975"/>
    <cfRule type="duplicateValues" dxfId="3452" priority="3976"/>
    <cfRule type="duplicateValues" dxfId="3451" priority="3977"/>
  </conditionalFormatting>
  <conditionalFormatting sqref="L244">
    <cfRule type="duplicateValues" dxfId="3450" priority="3973"/>
  </conditionalFormatting>
  <conditionalFormatting sqref="L244">
    <cfRule type="duplicateValues" dxfId="3449" priority="3972"/>
  </conditionalFormatting>
  <conditionalFormatting sqref="L244">
    <cfRule type="duplicateValues" dxfId="3448" priority="3971" stopIfTrue="1"/>
  </conditionalFormatting>
  <conditionalFormatting sqref="L244">
    <cfRule type="duplicateValues" dxfId="3447" priority="3969"/>
    <cfRule type="duplicateValues" dxfId="3446" priority="3970"/>
  </conditionalFormatting>
  <conditionalFormatting sqref="L244">
    <cfRule type="duplicateValues" dxfId="3445" priority="3968"/>
  </conditionalFormatting>
  <conditionalFormatting sqref="L244">
    <cfRule type="duplicateValues" dxfId="3444" priority="3964"/>
    <cfRule type="duplicateValues" dxfId="3443" priority="3965"/>
    <cfRule type="duplicateValues" dxfId="3442" priority="3966"/>
    <cfRule type="duplicateValues" dxfId="3441" priority="3967"/>
  </conditionalFormatting>
  <conditionalFormatting sqref="N244">
    <cfRule type="duplicateValues" dxfId="3440" priority="3963"/>
  </conditionalFormatting>
  <conditionalFormatting sqref="N244">
    <cfRule type="duplicateValues" dxfId="3439" priority="3962"/>
  </conditionalFormatting>
  <conditionalFormatting sqref="N244">
    <cfRule type="duplicateValues" dxfId="3438" priority="3961" stopIfTrue="1"/>
  </conditionalFormatting>
  <conditionalFormatting sqref="N244">
    <cfRule type="duplicateValues" dxfId="3437" priority="3959"/>
    <cfRule type="duplicateValues" dxfId="3436" priority="3960"/>
  </conditionalFormatting>
  <conditionalFormatting sqref="N244">
    <cfRule type="duplicateValues" dxfId="3435" priority="3958"/>
  </conditionalFormatting>
  <conditionalFormatting sqref="N244">
    <cfRule type="duplicateValues" dxfId="3434" priority="3954"/>
    <cfRule type="duplicateValues" dxfId="3433" priority="3955"/>
    <cfRule type="duplicateValues" dxfId="3432" priority="3956"/>
    <cfRule type="duplicateValues" dxfId="3431" priority="3957"/>
  </conditionalFormatting>
  <conditionalFormatting sqref="N244">
    <cfRule type="duplicateValues" dxfId="3430" priority="3953"/>
  </conditionalFormatting>
  <conditionalFormatting sqref="N244">
    <cfRule type="duplicateValues" dxfId="3429" priority="3952" stopIfTrue="1"/>
  </conditionalFormatting>
  <conditionalFormatting sqref="N244">
    <cfRule type="duplicateValues" dxfId="3428" priority="3950"/>
    <cfRule type="duplicateValues" dxfId="3427" priority="3951"/>
  </conditionalFormatting>
  <conditionalFormatting sqref="N244">
    <cfRule type="duplicateValues" dxfId="3426" priority="3946"/>
    <cfRule type="duplicateValues" dxfId="3425" priority="3947"/>
    <cfRule type="duplicateValues" dxfId="3424" priority="3948"/>
    <cfRule type="duplicateValues" dxfId="3423" priority="3949"/>
  </conditionalFormatting>
  <conditionalFormatting sqref="L245">
    <cfRule type="duplicateValues" dxfId="3422" priority="3945"/>
  </conditionalFormatting>
  <conditionalFormatting sqref="L245">
    <cfRule type="duplicateValues" dxfId="3421" priority="3944"/>
  </conditionalFormatting>
  <conditionalFormatting sqref="L245">
    <cfRule type="duplicateValues" dxfId="3420" priority="3943" stopIfTrue="1"/>
  </conditionalFormatting>
  <conditionalFormatting sqref="L245">
    <cfRule type="duplicateValues" dxfId="3419" priority="3941"/>
    <cfRule type="duplicateValues" dxfId="3418" priority="3942"/>
  </conditionalFormatting>
  <conditionalFormatting sqref="L245">
    <cfRule type="duplicateValues" dxfId="3417" priority="3940"/>
  </conditionalFormatting>
  <conditionalFormatting sqref="L245">
    <cfRule type="duplicateValues" dxfId="3416" priority="3936"/>
    <cfRule type="duplicateValues" dxfId="3415" priority="3937"/>
    <cfRule type="duplicateValues" dxfId="3414" priority="3938"/>
    <cfRule type="duplicateValues" dxfId="3413" priority="3939"/>
  </conditionalFormatting>
  <conditionalFormatting sqref="L245">
    <cfRule type="duplicateValues" dxfId="3412" priority="3935"/>
  </conditionalFormatting>
  <conditionalFormatting sqref="L245">
    <cfRule type="duplicateValues" dxfId="3411" priority="3934" stopIfTrue="1"/>
  </conditionalFormatting>
  <conditionalFormatting sqref="L245">
    <cfRule type="duplicateValues" dxfId="3410" priority="3932"/>
    <cfRule type="duplicateValues" dxfId="3409" priority="3933"/>
  </conditionalFormatting>
  <conditionalFormatting sqref="L245">
    <cfRule type="duplicateValues" dxfId="3408" priority="3928"/>
    <cfRule type="duplicateValues" dxfId="3407" priority="3929"/>
    <cfRule type="duplicateValues" dxfId="3406" priority="3930"/>
    <cfRule type="duplicateValues" dxfId="3405" priority="3931"/>
  </conditionalFormatting>
  <conditionalFormatting sqref="N245">
    <cfRule type="duplicateValues" dxfId="3404" priority="3927"/>
  </conditionalFormatting>
  <conditionalFormatting sqref="N245">
    <cfRule type="duplicateValues" dxfId="3403" priority="3926"/>
  </conditionalFormatting>
  <conditionalFormatting sqref="N245">
    <cfRule type="duplicateValues" dxfId="3402" priority="3925" stopIfTrue="1"/>
  </conditionalFormatting>
  <conditionalFormatting sqref="N245">
    <cfRule type="duplicateValues" dxfId="3401" priority="3923"/>
    <cfRule type="duplicateValues" dxfId="3400" priority="3924"/>
  </conditionalFormatting>
  <conditionalFormatting sqref="N245">
    <cfRule type="duplicateValues" dxfId="3399" priority="3922"/>
  </conditionalFormatting>
  <conditionalFormatting sqref="N245">
    <cfRule type="duplicateValues" dxfId="3398" priority="3918"/>
    <cfRule type="duplicateValues" dxfId="3397" priority="3919"/>
    <cfRule type="duplicateValues" dxfId="3396" priority="3920"/>
    <cfRule type="duplicateValues" dxfId="3395" priority="3921"/>
  </conditionalFormatting>
  <conditionalFormatting sqref="N245">
    <cfRule type="duplicateValues" dxfId="3394" priority="3917"/>
  </conditionalFormatting>
  <conditionalFormatting sqref="N245">
    <cfRule type="duplicateValues" dxfId="3393" priority="3916" stopIfTrue="1"/>
  </conditionalFormatting>
  <conditionalFormatting sqref="N245">
    <cfRule type="duplicateValues" dxfId="3392" priority="3914"/>
    <cfRule type="duplicateValues" dxfId="3391" priority="3915"/>
  </conditionalFormatting>
  <conditionalFormatting sqref="N245">
    <cfRule type="duplicateValues" dxfId="3390" priority="3910"/>
    <cfRule type="duplicateValues" dxfId="3389" priority="3911"/>
    <cfRule type="duplicateValues" dxfId="3388" priority="3912"/>
    <cfRule type="duplicateValues" dxfId="3387" priority="3913"/>
  </conditionalFormatting>
  <conditionalFormatting sqref="L246">
    <cfRule type="duplicateValues" dxfId="3386" priority="3909"/>
  </conditionalFormatting>
  <conditionalFormatting sqref="L246">
    <cfRule type="duplicateValues" dxfId="3385" priority="3908"/>
  </conditionalFormatting>
  <conditionalFormatting sqref="L246">
    <cfRule type="duplicateValues" dxfId="3384" priority="3907" stopIfTrue="1"/>
  </conditionalFormatting>
  <conditionalFormatting sqref="L246">
    <cfRule type="duplicateValues" dxfId="3383" priority="3905"/>
    <cfRule type="duplicateValues" dxfId="3382" priority="3906"/>
  </conditionalFormatting>
  <conditionalFormatting sqref="L246">
    <cfRule type="duplicateValues" dxfId="3381" priority="3904"/>
  </conditionalFormatting>
  <conditionalFormatting sqref="L246">
    <cfRule type="duplicateValues" dxfId="3380" priority="3900"/>
    <cfRule type="duplicateValues" dxfId="3379" priority="3901"/>
    <cfRule type="duplicateValues" dxfId="3378" priority="3902"/>
    <cfRule type="duplicateValues" dxfId="3377" priority="3903"/>
  </conditionalFormatting>
  <conditionalFormatting sqref="L246">
    <cfRule type="duplicateValues" dxfId="3376" priority="3899"/>
  </conditionalFormatting>
  <conditionalFormatting sqref="L246">
    <cfRule type="duplicateValues" dxfId="3375" priority="3898" stopIfTrue="1"/>
  </conditionalFormatting>
  <conditionalFormatting sqref="L246">
    <cfRule type="duplicateValues" dxfId="3374" priority="3896"/>
    <cfRule type="duplicateValues" dxfId="3373" priority="3897"/>
  </conditionalFormatting>
  <conditionalFormatting sqref="L246">
    <cfRule type="duplicateValues" dxfId="3372" priority="3892"/>
    <cfRule type="duplicateValues" dxfId="3371" priority="3893"/>
    <cfRule type="duplicateValues" dxfId="3370" priority="3894"/>
    <cfRule type="duplicateValues" dxfId="3369" priority="3895"/>
  </conditionalFormatting>
  <conditionalFormatting sqref="N246">
    <cfRule type="duplicateValues" dxfId="3368" priority="3891"/>
  </conditionalFormatting>
  <conditionalFormatting sqref="N246">
    <cfRule type="duplicateValues" dxfId="3367" priority="3890"/>
  </conditionalFormatting>
  <conditionalFormatting sqref="N246">
    <cfRule type="duplicateValues" dxfId="3366" priority="3889" stopIfTrue="1"/>
  </conditionalFormatting>
  <conditionalFormatting sqref="N246">
    <cfRule type="duplicateValues" dxfId="3365" priority="3887"/>
    <cfRule type="duplicateValues" dxfId="3364" priority="3888"/>
  </conditionalFormatting>
  <conditionalFormatting sqref="N246">
    <cfRule type="duplicateValues" dxfId="3363" priority="3886"/>
  </conditionalFormatting>
  <conditionalFormatting sqref="N246">
    <cfRule type="duplicateValues" dxfId="3362" priority="3882"/>
    <cfRule type="duplicateValues" dxfId="3361" priority="3883"/>
    <cfRule type="duplicateValues" dxfId="3360" priority="3884"/>
    <cfRule type="duplicateValues" dxfId="3359" priority="3885"/>
  </conditionalFormatting>
  <conditionalFormatting sqref="N246">
    <cfRule type="duplicateValues" dxfId="3358" priority="3881"/>
  </conditionalFormatting>
  <conditionalFormatting sqref="N246">
    <cfRule type="duplicateValues" dxfId="3357" priority="3880" stopIfTrue="1"/>
  </conditionalFormatting>
  <conditionalFormatting sqref="N246">
    <cfRule type="duplicateValues" dxfId="3356" priority="3878"/>
    <cfRule type="duplicateValues" dxfId="3355" priority="3879"/>
  </conditionalFormatting>
  <conditionalFormatting sqref="N246">
    <cfRule type="duplicateValues" dxfId="3354" priority="3874"/>
    <cfRule type="duplicateValues" dxfId="3353" priority="3875"/>
    <cfRule type="duplicateValues" dxfId="3352" priority="3876"/>
    <cfRule type="duplicateValues" dxfId="3351" priority="3877"/>
  </conditionalFormatting>
  <conditionalFormatting sqref="L247">
    <cfRule type="duplicateValues" dxfId="3350" priority="3873"/>
  </conditionalFormatting>
  <conditionalFormatting sqref="L247">
    <cfRule type="duplicateValues" dxfId="3349" priority="3872"/>
  </conditionalFormatting>
  <conditionalFormatting sqref="L247">
    <cfRule type="duplicateValues" dxfId="3348" priority="3871" stopIfTrue="1"/>
  </conditionalFormatting>
  <conditionalFormatting sqref="L247">
    <cfRule type="duplicateValues" dxfId="3347" priority="3869"/>
    <cfRule type="duplicateValues" dxfId="3346" priority="3870"/>
  </conditionalFormatting>
  <conditionalFormatting sqref="L247">
    <cfRule type="duplicateValues" dxfId="3345" priority="3868"/>
  </conditionalFormatting>
  <conditionalFormatting sqref="L247">
    <cfRule type="duplicateValues" dxfId="3344" priority="3864"/>
    <cfRule type="duplicateValues" dxfId="3343" priority="3865"/>
    <cfRule type="duplicateValues" dxfId="3342" priority="3866"/>
    <cfRule type="duplicateValues" dxfId="3341" priority="3867"/>
  </conditionalFormatting>
  <conditionalFormatting sqref="L247">
    <cfRule type="duplicateValues" dxfId="3340" priority="3863"/>
  </conditionalFormatting>
  <conditionalFormatting sqref="L247">
    <cfRule type="duplicateValues" dxfId="3339" priority="3862" stopIfTrue="1"/>
  </conditionalFormatting>
  <conditionalFormatting sqref="L247">
    <cfRule type="duplicateValues" dxfId="3338" priority="3860"/>
    <cfRule type="duplicateValues" dxfId="3337" priority="3861"/>
  </conditionalFormatting>
  <conditionalFormatting sqref="L247">
    <cfRule type="duplicateValues" dxfId="3336" priority="3856"/>
    <cfRule type="duplicateValues" dxfId="3335" priority="3857"/>
    <cfRule type="duplicateValues" dxfId="3334" priority="3858"/>
    <cfRule type="duplicateValues" dxfId="3333" priority="3859"/>
  </conditionalFormatting>
  <conditionalFormatting sqref="N247">
    <cfRule type="duplicateValues" dxfId="3332" priority="3855"/>
  </conditionalFormatting>
  <conditionalFormatting sqref="N247">
    <cfRule type="duplicateValues" dxfId="3331" priority="3854"/>
  </conditionalFormatting>
  <conditionalFormatting sqref="N247">
    <cfRule type="duplicateValues" dxfId="3330" priority="3853" stopIfTrue="1"/>
  </conditionalFormatting>
  <conditionalFormatting sqref="N247">
    <cfRule type="duplicateValues" dxfId="3329" priority="3851"/>
    <cfRule type="duplicateValues" dxfId="3328" priority="3852"/>
  </conditionalFormatting>
  <conditionalFormatting sqref="N247">
    <cfRule type="duplicateValues" dxfId="3327" priority="3850"/>
  </conditionalFormatting>
  <conditionalFormatting sqref="N247">
    <cfRule type="duplicateValues" dxfId="3326" priority="3846"/>
    <cfRule type="duplicateValues" dxfId="3325" priority="3847"/>
    <cfRule type="duplicateValues" dxfId="3324" priority="3848"/>
    <cfRule type="duplicateValues" dxfId="3323" priority="3849"/>
  </conditionalFormatting>
  <conditionalFormatting sqref="N247">
    <cfRule type="duplicateValues" dxfId="3322" priority="3845"/>
  </conditionalFormatting>
  <conditionalFormatting sqref="N247">
    <cfRule type="duplicateValues" dxfId="3321" priority="3844" stopIfTrue="1"/>
  </conditionalFormatting>
  <conditionalFormatting sqref="N247">
    <cfRule type="duplicateValues" dxfId="3320" priority="3842"/>
    <cfRule type="duplicateValues" dxfId="3319" priority="3843"/>
  </conditionalFormatting>
  <conditionalFormatting sqref="N247">
    <cfRule type="duplicateValues" dxfId="3318" priority="3838"/>
    <cfRule type="duplicateValues" dxfId="3317" priority="3839"/>
    <cfRule type="duplicateValues" dxfId="3316" priority="3840"/>
    <cfRule type="duplicateValues" dxfId="3315" priority="3841"/>
  </conditionalFormatting>
  <conditionalFormatting sqref="L248">
    <cfRule type="duplicateValues" dxfId="3314" priority="3837"/>
  </conditionalFormatting>
  <conditionalFormatting sqref="L248">
    <cfRule type="duplicateValues" dxfId="3313" priority="3836"/>
  </conditionalFormatting>
  <conditionalFormatting sqref="L248">
    <cfRule type="duplicateValues" dxfId="3312" priority="3835" stopIfTrue="1"/>
  </conditionalFormatting>
  <conditionalFormatting sqref="L248">
    <cfRule type="duplicateValues" dxfId="3311" priority="3833"/>
    <cfRule type="duplicateValues" dxfId="3310" priority="3834"/>
  </conditionalFormatting>
  <conditionalFormatting sqref="L248">
    <cfRule type="duplicateValues" dxfId="3309" priority="3832"/>
  </conditionalFormatting>
  <conditionalFormatting sqref="L248">
    <cfRule type="duplicateValues" dxfId="3308" priority="3828"/>
    <cfRule type="duplicateValues" dxfId="3307" priority="3829"/>
    <cfRule type="duplicateValues" dxfId="3306" priority="3830"/>
    <cfRule type="duplicateValues" dxfId="3305" priority="3831"/>
  </conditionalFormatting>
  <conditionalFormatting sqref="L248">
    <cfRule type="duplicateValues" dxfId="3304" priority="3827"/>
  </conditionalFormatting>
  <conditionalFormatting sqref="L248">
    <cfRule type="duplicateValues" dxfId="3303" priority="3826" stopIfTrue="1"/>
  </conditionalFormatting>
  <conditionalFormatting sqref="L248">
    <cfRule type="duplicateValues" dxfId="3302" priority="3824"/>
    <cfRule type="duplicateValues" dxfId="3301" priority="3825"/>
  </conditionalFormatting>
  <conditionalFormatting sqref="L248">
    <cfRule type="duplicateValues" dxfId="3300" priority="3820"/>
    <cfRule type="duplicateValues" dxfId="3299" priority="3821"/>
    <cfRule type="duplicateValues" dxfId="3298" priority="3822"/>
    <cfRule type="duplicateValues" dxfId="3297" priority="3823"/>
  </conditionalFormatting>
  <conditionalFormatting sqref="N249">
    <cfRule type="duplicateValues" dxfId="3296" priority="3819"/>
  </conditionalFormatting>
  <conditionalFormatting sqref="N249">
    <cfRule type="duplicateValues" dxfId="3295" priority="3818"/>
  </conditionalFormatting>
  <conditionalFormatting sqref="N249">
    <cfRule type="duplicateValues" dxfId="3294" priority="3817" stopIfTrue="1"/>
  </conditionalFormatting>
  <conditionalFormatting sqref="N249">
    <cfRule type="duplicateValues" dxfId="3293" priority="3815"/>
    <cfRule type="duplicateValues" dxfId="3292" priority="3816"/>
  </conditionalFormatting>
  <conditionalFormatting sqref="N249">
    <cfRule type="duplicateValues" dxfId="3291" priority="3814"/>
  </conditionalFormatting>
  <conditionalFormatting sqref="N249">
    <cfRule type="duplicateValues" dxfId="3290" priority="3810"/>
    <cfRule type="duplicateValues" dxfId="3289" priority="3811"/>
    <cfRule type="duplicateValues" dxfId="3288" priority="3812"/>
    <cfRule type="duplicateValues" dxfId="3287" priority="3813"/>
  </conditionalFormatting>
  <conditionalFormatting sqref="N249">
    <cfRule type="duplicateValues" dxfId="3286" priority="3809"/>
  </conditionalFormatting>
  <conditionalFormatting sqref="N249">
    <cfRule type="duplicateValues" dxfId="3285" priority="3808" stopIfTrue="1"/>
  </conditionalFormatting>
  <conditionalFormatting sqref="N249">
    <cfRule type="duplicateValues" dxfId="3284" priority="3806"/>
    <cfRule type="duplicateValues" dxfId="3283" priority="3807"/>
  </conditionalFormatting>
  <conditionalFormatting sqref="N249">
    <cfRule type="duplicateValues" dxfId="3282" priority="3802"/>
    <cfRule type="duplicateValues" dxfId="3281" priority="3803"/>
    <cfRule type="duplicateValues" dxfId="3280" priority="3804"/>
    <cfRule type="duplicateValues" dxfId="3279" priority="3805"/>
  </conditionalFormatting>
  <conditionalFormatting sqref="L250">
    <cfRule type="duplicateValues" dxfId="3278" priority="3801"/>
  </conditionalFormatting>
  <conditionalFormatting sqref="L250">
    <cfRule type="duplicateValues" dxfId="3277" priority="3800"/>
  </conditionalFormatting>
  <conditionalFormatting sqref="L250">
    <cfRule type="duplicateValues" dxfId="3276" priority="3799" stopIfTrue="1"/>
  </conditionalFormatting>
  <conditionalFormatting sqref="L250">
    <cfRule type="duplicateValues" dxfId="3275" priority="3797"/>
    <cfRule type="duplicateValues" dxfId="3274" priority="3798"/>
  </conditionalFormatting>
  <conditionalFormatting sqref="L250">
    <cfRule type="duplicateValues" dxfId="3273" priority="3796"/>
  </conditionalFormatting>
  <conditionalFormatting sqref="L250">
    <cfRule type="duplicateValues" dxfId="3272" priority="3792"/>
    <cfRule type="duplicateValues" dxfId="3271" priority="3793"/>
    <cfRule type="duplicateValues" dxfId="3270" priority="3794"/>
    <cfRule type="duplicateValues" dxfId="3269" priority="3795"/>
  </conditionalFormatting>
  <conditionalFormatting sqref="L250">
    <cfRule type="duplicateValues" dxfId="3268" priority="3791"/>
  </conditionalFormatting>
  <conditionalFormatting sqref="L250">
    <cfRule type="duplicateValues" dxfId="3267" priority="3790" stopIfTrue="1"/>
  </conditionalFormatting>
  <conditionalFormatting sqref="L250">
    <cfRule type="duplicateValues" dxfId="3266" priority="3788"/>
    <cfRule type="duplicateValues" dxfId="3265" priority="3789"/>
  </conditionalFormatting>
  <conditionalFormatting sqref="L250">
    <cfRule type="duplicateValues" dxfId="3264" priority="3784"/>
    <cfRule type="duplicateValues" dxfId="3263" priority="3785"/>
    <cfRule type="duplicateValues" dxfId="3262" priority="3786"/>
    <cfRule type="duplicateValues" dxfId="3261" priority="3787"/>
  </conditionalFormatting>
  <conditionalFormatting sqref="N251">
    <cfRule type="duplicateValues" dxfId="3260" priority="3783"/>
  </conditionalFormatting>
  <conditionalFormatting sqref="N251">
    <cfRule type="duplicateValues" dxfId="3259" priority="3782"/>
  </conditionalFormatting>
  <conditionalFormatting sqref="N251">
    <cfRule type="duplicateValues" dxfId="3258" priority="3781" stopIfTrue="1"/>
  </conditionalFormatting>
  <conditionalFormatting sqref="N251">
    <cfRule type="duplicateValues" dxfId="3257" priority="3779"/>
    <cfRule type="duplicateValues" dxfId="3256" priority="3780"/>
  </conditionalFormatting>
  <conditionalFormatting sqref="N251">
    <cfRule type="duplicateValues" dxfId="3255" priority="3778"/>
  </conditionalFormatting>
  <conditionalFormatting sqref="N251">
    <cfRule type="duplicateValues" dxfId="3254" priority="3774"/>
    <cfRule type="duplicateValues" dxfId="3253" priority="3775"/>
    <cfRule type="duplicateValues" dxfId="3252" priority="3776"/>
    <cfRule type="duplicateValues" dxfId="3251" priority="3777"/>
  </conditionalFormatting>
  <conditionalFormatting sqref="N251">
    <cfRule type="duplicateValues" dxfId="3250" priority="3773"/>
  </conditionalFormatting>
  <conditionalFormatting sqref="N251">
    <cfRule type="duplicateValues" dxfId="3249" priority="3772" stopIfTrue="1"/>
  </conditionalFormatting>
  <conditionalFormatting sqref="N251">
    <cfRule type="duplicateValues" dxfId="3248" priority="3770"/>
    <cfRule type="duplicateValues" dxfId="3247" priority="3771"/>
  </conditionalFormatting>
  <conditionalFormatting sqref="N251">
    <cfRule type="duplicateValues" dxfId="3246" priority="3766"/>
    <cfRule type="duplicateValues" dxfId="3245" priority="3767"/>
    <cfRule type="duplicateValues" dxfId="3244" priority="3768"/>
    <cfRule type="duplicateValues" dxfId="3243" priority="3769"/>
  </conditionalFormatting>
  <conditionalFormatting sqref="L252">
    <cfRule type="duplicateValues" dxfId="3242" priority="3765"/>
  </conditionalFormatting>
  <conditionalFormatting sqref="L252">
    <cfRule type="duplicateValues" dxfId="3241" priority="3764"/>
  </conditionalFormatting>
  <conditionalFormatting sqref="L252">
    <cfRule type="duplicateValues" dxfId="3240" priority="3763" stopIfTrue="1"/>
  </conditionalFormatting>
  <conditionalFormatting sqref="L252">
    <cfRule type="duplicateValues" dxfId="3239" priority="3761"/>
    <cfRule type="duplicateValues" dxfId="3238" priority="3762"/>
  </conditionalFormatting>
  <conditionalFormatting sqref="L252">
    <cfRule type="duplicateValues" dxfId="3237" priority="3760"/>
  </conditionalFormatting>
  <conditionalFormatting sqref="L252">
    <cfRule type="duplicateValues" dxfId="3236" priority="3756"/>
    <cfRule type="duplicateValues" dxfId="3235" priority="3757"/>
    <cfRule type="duplicateValues" dxfId="3234" priority="3758"/>
    <cfRule type="duplicateValues" dxfId="3233" priority="3759"/>
  </conditionalFormatting>
  <conditionalFormatting sqref="L252">
    <cfRule type="duplicateValues" dxfId="3232" priority="3755"/>
  </conditionalFormatting>
  <conditionalFormatting sqref="L252">
    <cfRule type="duplicateValues" dxfId="3231" priority="3754" stopIfTrue="1"/>
  </conditionalFormatting>
  <conditionalFormatting sqref="L252">
    <cfRule type="duplicateValues" dxfId="3230" priority="3752"/>
    <cfRule type="duplicateValues" dxfId="3229" priority="3753"/>
  </conditionalFormatting>
  <conditionalFormatting sqref="L252">
    <cfRule type="duplicateValues" dxfId="3228" priority="3748"/>
    <cfRule type="duplicateValues" dxfId="3227" priority="3749"/>
    <cfRule type="duplicateValues" dxfId="3226" priority="3750"/>
    <cfRule type="duplicateValues" dxfId="3225" priority="3751"/>
  </conditionalFormatting>
  <conditionalFormatting sqref="N252">
    <cfRule type="duplicateValues" dxfId="3224" priority="3747"/>
  </conditionalFormatting>
  <conditionalFormatting sqref="N252">
    <cfRule type="duplicateValues" dxfId="3223" priority="3746"/>
  </conditionalFormatting>
  <conditionalFormatting sqref="N252">
    <cfRule type="duplicateValues" dxfId="3222" priority="3745" stopIfTrue="1"/>
  </conditionalFormatting>
  <conditionalFormatting sqref="N252">
    <cfRule type="duplicateValues" dxfId="3221" priority="3743"/>
    <cfRule type="duplicateValues" dxfId="3220" priority="3744"/>
  </conditionalFormatting>
  <conditionalFormatting sqref="N252">
    <cfRule type="duplicateValues" dxfId="3219" priority="3742"/>
  </conditionalFormatting>
  <conditionalFormatting sqref="N252">
    <cfRule type="duplicateValues" dxfId="3218" priority="3738"/>
    <cfRule type="duplicateValues" dxfId="3217" priority="3739"/>
    <cfRule type="duplicateValues" dxfId="3216" priority="3740"/>
    <cfRule type="duplicateValues" dxfId="3215" priority="3741"/>
  </conditionalFormatting>
  <conditionalFormatting sqref="L253">
    <cfRule type="duplicateValues" dxfId="3214" priority="3737"/>
  </conditionalFormatting>
  <conditionalFormatting sqref="L253">
    <cfRule type="duplicateValues" dxfId="3213" priority="3736"/>
  </conditionalFormatting>
  <conditionalFormatting sqref="L253">
    <cfRule type="duplicateValues" dxfId="3212" priority="3735" stopIfTrue="1"/>
  </conditionalFormatting>
  <conditionalFormatting sqref="L253">
    <cfRule type="duplicateValues" dxfId="3211" priority="3733"/>
    <cfRule type="duplicateValues" dxfId="3210" priority="3734"/>
  </conditionalFormatting>
  <conditionalFormatting sqref="L253">
    <cfRule type="duplicateValues" dxfId="3209" priority="3732"/>
  </conditionalFormatting>
  <conditionalFormatting sqref="L253">
    <cfRule type="duplicateValues" dxfId="3208" priority="3728"/>
    <cfRule type="duplicateValues" dxfId="3207" priority="3729"/>
    <cfRule type="duplicateValues" dxfId="3206" priority="3730"/>
    <cfRule type="duplicateValues" dxfId="3205" priority="3731"/>
  </conditionalFormatting>
  <conditionalFormatting sqref="L253">
    <cfRule type="duplicateValues" dxfId="3204" priority="3727"/>
  </conditionalFormatting>
  <conditionalFormatting sqref="L253">
    <cfRule type="duplicateValues" dxfId="3203" priority="3726" stopIfTrue="1"/>
  </conditionalFormatting>
  <conditionalFormatting sqref="L253">
    <cfRule type="duplicateValues" dxfId="3202" priority="3724"/>
    <cfRule type="duplicateValues" dxfId="3201" priority="3725"/>
  </conditionalFormatting>
  <conditionalFormatting sqref="L253">
    <cfRule type="duplicateValues" dxfId="3200" priority="3720"/>
    <cfRule type="duplicateValues" dxfId="3199" priority="3721"/>
    <cfRule type="duplicateValues" dxfId="3198" priority="3722"/>
    <cfRule type="duplicateValues" dxfId="3197" priority="3723"/>
  </conditionalFormatting>
  <conditionalFormatting sqref="N253">
    <cfRule type="duplicateValues" dxfId="3196" priority="3719"/>
  </conditionalFormatting>
  <conditionalFormatting sqref="N253">
    <cfRule type="duplicateValues" dxfId="3195" priority="3718"/>
  </conditionalFormatting>
  <conditionalFormatting sqref="N253">
    <cfRule type="duplicateValues" dxfId="3194" priority="3717" stopIfTrue="1"/>
  </conditionalFormatting>
  <conditionalFormatting sqref="N253">
    <cfRule type="duplicateValues" dxfId="3193" priority="3715"/>
    <cfRule type="duplicateValues" dxfId="3192" priority="3716"/>
  </conditionalFormatting>
  <conditionalFormatting sqref="N253">
    <cfRule type="duplicateValues" dxfId="3191" priority="3714"/>
  </conditionalFormatting>
  <conditionalFormatting sqref="N253">
    <cfRule type="duplicateValues" dxfId="3190" priority="3710"/>
    <cfRule type="duplicateValues" dxfId="3189" priority="3711"/>
    <cfRule type="duplicateValues" dxfId="3188" priority="3712"/>
    <cfRule type="duplicateValues" dxfId="3187" priority="3713"/>
  </conditionalFormatting>
  <conditionalFormatting sqref="L254">
    <cfRule type="duplicateValues" dxfId="3186" priority="3709"/>
  </conditionalFormatting>
  <conditionalFormatting sqref="L254">
    <cfRule type="duplicateValues" dxfId="3185" priority="3708"/>
  </conditionalFormatting>
  <conditionalFormatting sqref="L254">
    <cfRule type="duplicateValues" dxfId="3184" priority="3707" stopIfTrue="1"/>
  </conditionalFormatting>
  <conditionalFormatting sqref="L254">
    <cfRule type="duplicateValues" dxfId="3183" priority="3705"/>
    <cfRule type="duplicateValues" dxfId="3182" priority="3706"/>
  </conditionalFormatting>
  <conditionalFormatting sqref="L254">
    <cfRule type="duplicateValues" dxfId="3181" priority="3704"/>
  </conditionalFormatting>
  <conditionalFormatting sqref="L254">
    <cfRule type="duplicateValues" dxfId="3180" priority="3700"/>
    <cfRule type="duplicateValues" dxfId="3179" priority="3701"/>
    <cfRule type="duplicateValues" dxfId="3178" priority="3702"/>
    <cfRule type="duplicateValues" dxfId="3177" priority="3703"/>
  </conditionalFormatting>
  <conditionalFormatting sqref="N254">
    <cfRule type="duplicateValues" dxfId="3176" priority="3699"/>
  </conditionalFormatting>
  <conditionalFormatting sqref="N254">
    <cfRule type="duplicateValues" dxfId="3175" priority="3698"/>
  </conditionalFormatting>
  <conditionalFormatting sqref="N254">
    <cfRule type="duplicateValues" dxfId="3174" priority="3697" stopIfTrue="1"/>
  </conditionalFormatting>
  <conditionalFormatting sqref="N254">
    <cfRule type="duplicateValues" dxfId="3173" priority="3695"/>
    <cfRule type="duplicateValues" dxfId="3172" priority="3696"/>
  </conditionalFormatting>
  <conditionalFormatting sqref="N254">
    <cfRule type="duplicateValues" dxfId="3171" priority="3694"/>
  </conditionalFormatting>
  <conditionalFormatting sqref="N254">
    <cfRule type="duplicateValues" dxfId="3170" priority="3690"/>
    <cfRule type="duplicateValues" dxfId="3169" priority="3691"/>
    <cfRule type="duplicateValues" dxfId="3168" priority="3692"/>
    <cfRule type="duplicateValues" dxfId="3167" priority="3693"/>
  </conditionalFormatting>
  <conditionalFormatting sqref="L255">
    <cfRule type="duplicateValues" dxfId="3166" priority="3689"/>
  </conditionalFormatting>
  <conditionalFormatting sqref="L255">
    <cfRule type="duplicateValues" dxfId="3165" priority="3688"/>
  </conditionalFormatting>
  <conditionalFormatting sqref="L255">
    <cfRule type="duplicateValues" dxfId="3164" priority="3687" stopIfTrue="1"/>
  </conditionalFormatting>
  <conditionalFormatting sqref="L255">
    <cfRule type="duplicateValues" dxfId="3163" priority="3685"/>
    <cfRule type="duplicateValues" dxfId="3162" priority="3686"/>
  </conditionalFormatting>
  <conditionalFormatting sqref="L255">
    <cfRule type="duplicateValues" dxfId="3161" priority="3684"/>
  </conditionalFormatting>
  <conditionalFormatting sqref="L255">
    <cfRule type="duplicateValues" dxfId="3160" priority="3680"/>
    <cfRule type="duplicateValues" dxfId="3159" priority="3681"/>
    <cfRule type="duplicateValues" dxfId="3158" priority="3682"/>
    <cfRule type="duplicateValues" dxfId="3157" priority="3683"/>
  </conditionalFormatting>
  <conditionalFormatting sqref="L255">
    <cfRule type="duplicateValues" dxfId="3156" priority="3679"/>
  </conditionalFormatting>
  <conditionalFormatting sqref="L255">
    <cfRule type="duplicateValues" dxfId="3155" priority="3678" stopIfTrue="1"/>
  </conditionalFormatting>
  <conditionalFormatting sqref="L255">
    <cfRule type="duplicateValues" dxfId="3154" priority="3676"/>
    <cfRule type="duplicateValues" dxfId="3153" priority="3677"/>
  </conditionalFormatting>
  <conditionalFormatting sqref="L255">
    <cfRule type="duplicateValues" dxfId="3152" priority="3672"/>
    <cfRule type="duplicateValues" dxfId="3151" priority="3673"/>
    <cfRule type="duplicateValues" dxfId="3150" priority="3674"/>
    <cfRule type="duplicateValues" dxfId="3149" priority="3675"/>
  </conditionalFormatting>
  <conditionalFormatting sqref="L256">
    <cfRule type="duplicateValues" dxfId="3148" priority="3671"/>
  </conditionalFormatting>
  <conditionalFormatting sqref="L256">
    <cfRule type="duplicateValues" dxfId="3147" priority="3670"/>
  </conditionalFormatting>
  <conditionalFormatting sqref="L256">
    <cfRule type="duplicateValues" dxfId="3146" priority="3669" stopIfTrue="1"/>
  </conditionalFormatting>
  <conditionalFormatting sqref="L256">
    <cfRule type="duplicateValues" dxfId="3145" priority="3667"/>
    <cfRule type="duplicateValues" dxfId="3144" priority="3668"/>
  </conditionalFormatting>
  <conditionalFormatting sqref="L256">
    <cfRule type="duplicateValues" dxfId="3143" priority="3666"/>
  </conditionalFormatting>
  <conditionalFormatting sqref="L256">
    <cfRule type="duplicateValues" dxfId="3142" priority="3662"/>
    <cfRule type="duplicateValues" dxfId="3141" priority="3663"/>
    <cfRule type="duplicateValues" dxfId="3140" priority="3664"/>
    <cfRule type="duplicateValues" dxfId="3139" priority="3665"/>
  </conditionalFormatting>
  <conditionalFormatting sqref="N256">
    <cfRule type="duplicateValues" dxfId="3138" priority="3661"/>
  </conditionalFormatting>
  <conditionalFormatting sqref="N256">
    <cfRule type="duplicateValues" dxfId="3137" priority="3660"/>
  </conditionalFormatting>
  <conditionalFormatting sqref="N256">
    <cfRule type="duplicateValues" dxfId="3136" priority="3659" stopIfTrue="1"/>
  </conditionalFormatting>
  <conditionalFormatting sqref="N256">
    <cfRule type="duplicateValues" dxfId="3135" priority="3657"/>
    <cfRule type="duplicateValues" dxfId="3134" priority="3658"/>
  </conditionalFormatting>
  <conditionalFormatting sqref="N256">
    <cfRule type="duplicateValues" dxfId="3133" priority="3656"/>
  </conditionalFormatting>
  <conditionalFormatting sqref="N256">
    <cfRule type="duplicateValues" dxfId="3132" priority="3652"/>
    <cfRule type="duplicateValues" dxfId="3131" priority="3653"/>
    <cfRule type="duplicateValues" dxfId="3130" priority="3654"/>
    <cfRule type="duplicateValues" dxfId="3129" priority="3655"/>
  </conditionalFormatting>
  <conditionalFormatting sqref="N256">
    <cfRule type="duplicateValues" dxfId="3128" priority="3651"/>
  </conditionalFormatting>
  <conditionalFormatting sqref="N256">
    <cfRule type="duplicateValues" dxfId="3127" priority="3650" stopIfTrue="1"/>
  </conditionalFormatting>
  <conditionalFormatting sqref="N256">
    <cfRule type="duplicateValues" dxfId="3126" priority="3648"/>
    <cfRule type="duplicateValues" dxfId="3125" priority="3649"/>
  </conditionalFormatting>
  <conditionalFormatting sqref="N256">
    <cfRule type="duplicateValues" dxfId="3124" priority="3644"/>
    <cfRule type="duplicateValues" dxfId="3123" priority="3645"/>
    <cfRule type="duplicateValues" dxfId="3122" priority="3646"/>
    <cfRule type="duplicateValues" dxfId="3121" priority="3647"/>
  </conditionalFormatting>
  <conditionalFormatting sqref="N255">
    <cfRule type="duplicateValues" dxfId="3120" priority="3643"/>
  </conditionalFormatting>
  <conditionalFormatting sqref="N255">
    <cfRule type="duplicateValues" dxfId="3119" priority="3642"/>
  </conditionalFormatting>
  <conditionalFormatting sqref="N255">
    <cfRule type="duplicateValues" dxfId="3118" priority="3641" stopIfTrue="1"/>
  </conditionalFormatting>
  <conditionalFormatting sqref="N255">
    <cfRule type="duplicateValues" dxfId="3117" priority="3639"/>
    <cfRule type="duplicateValues" dxfId="3116" priority="3640"/>
  </conditionalFormatting>
  <conditionalFormatting sqref="N255">
    <cfRule type="duplicateValues" dxfId="3115" priority="3638"/>
  </conditionalFormatting>
  <conditionalFormatting sqref="N255">
    <cfRule type="duplicateValues" dxfId="3114" priority="3634"/>
    <cfRule type="duplicateValues" dxfId="3113" priority="3635"/>
    <cfRule type="duplicateValues" dxfId="3112" priority="3636"/>
    <cfRule type="duplicateValues" dxfId="3111" priority="3637"/>
  </conditionalFormatting>
  <conditionalFormatting sqref="L257">
    <cfRule type="duplicateValues" dxfId="3110" priority="3633"/>
  </conditionalFormatting>
  <conditionalFormatting sqref="L257">
    <cfRule type="duplicateValues" dxfId="3109" priority="3632"/>
  </conditionalFormatting>
  <conditionalFormatting sqref="L257">
    <cfRule type="duplicateValues" dxfId="3108" priority="3631" stopIfTrue="1"/>
  </conditionalFormatting>
  <conditionalFormatting sqref="L257">
    <cfRule type="duplicateValues" dxfId="3107" priority="3629"/>
    <cfRule type="duplicateValues" dxfId="3106" priority="3630"/>
  </conditionalFormatting>
  <conditionalFormatting sqref="L257">
    <cfRule type="duplicateValues" dxfId="3105" priority="3628"/>
  </conditionalFormatting>
  <conditionalFormatting sqref="L257">
    <cfRule type="duplicateValues" dxfId="3104" priority="3624"/>
    <cfRule type="duplicateValues" dxfId="3103" priority="3625"/>
    <cfRule type="duplicateValues" dxfId="3102" priority="3626"/>
    <cfRule type="duplicateValues" dxfId="3101" priority="3627"/>
  </conditionalFormatting>
  <conditionalFormatting sqref="L257">
    <cfRule type="duplicateValues" dxfId="3100" priority="3623"/>
  </conditionalFormatting>
  <conditionalFormatting sqref="L257">
    <cfRule type="duplicateValues" dxfId="3099" priority="3622" stopIfTrue="1"/>
  </conditionalFormatting>
  <conditionalFormatting sqref="L257">
    <cfRule type="duplicateValues" dxfId="3098" priority="3620"/>
    <cfRule type="duplicateValues" dxfId="3097" priority="3621"/>
  </conditionalFormatting>
  <conditionalFormatting sqref="L257">
    <cfRule type="duplicateValues" dxfId="3096" priority="3616"/>
    <cfRule type="duplicateValues" dxfId="3095" priority="3617"/>
    <cfRule type="duplicateValues" dxfId="3094" priority="3618"/>
    <cfRule type="duplicateValues" dxfId="3093" priority="3619"/>
  </conditionalFormatting>
  <conditionalFormatting sqref="N257">
    <cfRule type="duplicateValues" dxfId="3092" priority="3615"/>
  </conditionalFormatting>
  <conditionalFormatting sqref="N257">
    <cfRule type="duplicateValues" dxfId="3091" priority="3614"/>
  </conditionalFormatting>
  <conditionalFormatting sqref="N257">
    <cfRule type="duplicateValues" dxfId="3090" priority="3613" stopIfTrue="1"/>
  </conditionalFormatting>
  <conditionalFormatting sqref="N257">
    <cfRule type="duplicateValues" dxfId="3089" priority="3611"/>
    <cfRule type="duplicateValues" dxfId="3088" priority="3612"/>
  </conditionalFormatting>
  <conditionalFormatting sqref="N257">
    <cfRule type="duplicateValues" dxfId="3087" priority="3610"/>
  </conditionalFormatting>
  <conditionalFormatting sqref="N257">
    <cfRule type="duplicateValues" dxfId="3086" priority="3606"/>
    <cfRule type="duplicateValues" dxfId="3085" priority="3607"/>
    <cfRule type="duplicateValues" dxfId="3084" priority="3608"/>
    <cfRule type="duplicateValues" dxfId="3083" priority="3609"/>
  </conditionalFormatting>
  <conditionalFormatting sqref="N257">
    <cfRule type="duplicateValues" dxfId="3082" priority="3605"/>
  </conditionalFormatting>
  <conditionalFormatting sqref="N257">
    <cfRule type="duplicateValues" dxfId="3081" priority="3604" stopIfTrue="1"/>
  </conditionalFormatting>
  <conditionalFormatting sqref="N257">
    <cfRule type="duplicateValues" dxfId="3080" priority="3602"/>
    <cfRule type="duplicateValues" dxfId="3079" priority="3603"/>
  </conditionalFormatting>
  <conditionalFormatting sqref="N257">
    <cfRule type="duplicateValues" dxfId="3078" priority="3598"/>
    <cfRule type="duplicateValues" dxfId="3077" priority="3599"/>
    <cfRule type="duplicateValues" dxfId="3076" priority="3600"/>
    <cfRule type="duplicateValues" dxfId="3075" priority="3601"/>
  </conditionalFormatting>
  <conditionalFormatting sqref="L258">
    <cfRule type="duplicateValues" dxfId="3074" priority="3597"/>
  </conditionalFormatting>
  <conditionalFormatting sqref="L258">
    <cfRule type="duplicateValues" dxfId="3073" priority="3596"/>
  </conditionalFormatting>
  <conditionalFormatting sqref="L258">
    <cfRule type="duplicateValues" dxfId="3072" priority="3595" stopIfTrue="1"/>
  </conditionalFormatting>
  <conditionalFormatting sqref="L258">
    <cfRule type="duplicateValues" dxfId="3071" priority="3593"/>
    <cfRule type="duplicateValues" dxfId="3070" priority="3594"/>
  </conditionalFormatting>
  <conditionalFormatting sqref="L258">
    <cfRule type="duplicateValues" dxfId="3069" priority="3592"/>
  </conditionalFormatting>
  <conditionalFormatting sqref="L258">
    <cfRule type="duplicateValues" dxfId="3068" priority="3588"/>
    <cfRule type="duplicateValues" dxfId="3067" priority="3589"/>
    <cfRule type="duplicateValues" dxfId="3066" priority="3590"/>
    <cfRule type="duplicateValues" dxfId="3065" priority="3591"/>
  </conditionalFormatting>
  <conditionalFormatting sqref="L258">
    <cfRule type="duplicateValues" dxfId="3064" priority="3587"/>
  </conditionalFormatting>
  <conditionalFormatting sqref="L258">
    <cfRule type="duplicateValues" dxfId="3063" priority="3586" stopIfTrue="1"/>
  </conditionalFormatting>
  <conditionalFormatting sqref="L258">
    <cfRule type="duplicateValues" dxfId="3062" priority="3584"/>
    <cfRule type="duplicateValues" dxfId="3061" priority="3585"/>
  </conditionalFormatting>
  <conditionalFormatting sqref="L258">
    <cfRule type="duplicateValues" dxfId="3060" priority="3580"/>
    <cfRule type="duplicateValues" dxfId="3059" priority="3581"/>
    <cfRule type="duplicateValues" dxfId="3058" priority="3582"/>
    <cfRule type="duplicateValues" dxfId="3057" priority="3583"/>
  </conditionalFormatting>
  <conditionalFormatting sqref="N258">
    <cfRule type="duplicateValues" dxfId="3056" priority="3579"/>
  </conditionalFormatting>
  <conditionalFormatting sqref="N258">
    <cfRule type="duplicateValues" dxfId="3055" priority="3578"/>
  </conditionalFormatting>
  <conditionalFormatting sqref="N258">
    <cfRule type="duplicateValues" dxfId="3054" priority="3577" stopIfTrue="1"/>
  </conditionalFormatting>
  <conditionalFormatting sqref="N258">
    <cfRule type="duplicateValues" dxfId="3053" priority="3575"/>
    <cfRule type="duplicateValues" dxfId="3052" priority="3576"/>
  </conditionalFormatting>
  <conditionalFormatting sqref="N258">
    <cfRule type="duplicateValues" dxfId="3051" priority="3574"/>
  </conditionalFormatting>
  <conditionalFormatting sqref="N258">
    <cfRule type="duplicateValues" dxfId="3050" priority="3570"/>
    <cfRule type="duplicateValues" dxfId="3049" priority="3571"/>
    <cfRule type="duplicateValues" dxfId="3048" priority="3572"/>
    <cfRule type="duplicateValues" dxfId="3047" priority="3573"/>
  </conditionalFormatting>
  <conditionalFormatting sqref="N258">
    <cfRule type="duplicateValues" dxfId="3046" priority="3569"/>
  </conditionalFormatting>
  <conditionalFormatting sqref="N258">
    <cfRule type="duplicateValues" dxfId="3045" priority="3568" stopIfTrue="1"/>
  </conditionalFormatting>
  <conditionalFormatting sqref="N258">
    <cfRule type="duplicateValues" dxfId="3044" priority="3566"/>
    <cfRule type="duplicateValues" dxfId="3043" priority="3567"/>
  </conditionalFormatting>
  <conditionalFormatting sqref="N258">
    <cfRule type="duplicateValues" dxfId="3042" priority="3562"/>
    <cfRule type="duplicateValues" dxfId="3041" priority="3563"/>
    <cfRule type="duplicateValues" dxfId="3040" priority="3564"/>
    <cfRule type="duplicateValues" dxfId="3039" priority="3565"/>
  </conditionalFormatting>
  <conditionalFormatting sqref="L259">
    <cfRule type="duplicateValues" dxfId="3038" priority="3561"/>
  </conditionalFormatting>
  <conditionalFormatting sqref="L259">
    <cfRule type="duplicateValues" dxfId="3037" priority="3560"/>
  </conditionalFormatting>
  <conditionalFormatting sqref="L259">
    <cfRule type="duplicateValues" dxfId="3036" priority="3559" stopIfTrue="1"/>
  </conditionalFormatting>
  <conditionalFormatting sqref="L259">
    <cfRule type="duplicateValues" dxfId="3035" priority="3557"/>
    <cfRule type="duplicateValues" dxfId="3034" priority="3558"/>
  </conditionalFormatting>
  <conditionalFormatting sqref="L259">
    <cfRule type="duplicateValues" dxfId="3033" priority="3556"/>
  </conditionalFormatting>
  <conditionalFormatting sqref="L259">
    <cfRule type="duplicateValues" dxfId="3032" priority="3552"/>
    <cfRule type="duplicateValues" dxfId="3031" priority="3553"/>
    <cfRule type="duplicateValues" dxfId="3030" priority="3554"/>
    <cfRule type="duplicateValues" dxfId="3029" priority="3555"/>
  </conditionalFormatting>
  <conditionalFormatting sqref="L259">
    <cfRule type="duplicateValues" dxfId="3028" priority="3551"/>
  </conditionalFormatting>
  <conditionalFormatting sqref="L259">
    <cfRule type="duplicateValues" dxfId="3027" priority="3550" stopIfTrue="1"/>
  </conditionalFormatting>
  <conditionalFormatting sqref="L259">
    <cfRule type="duplicateValues" dxfId="3026" priority="3548"/>
    <cfRule type="duplicateValues" dxfId="3025" priority="3549"/>
  </conditionalFormatting>
  <conditionalFormatting sqref="L259">
    <cfRule type="duplicateValues" dxfId="3024" priority="3544"/>
    <cfRule type="duplicateValues" dxfId="3023" priority="3545"/>
    <cfRule type="duplicateValues" dxfId="3022" priority="3546"/>
    <cfRule type="duplicateValues" dxfId="3021" priority="3547"/>
  </conditionalFormatting>
  <conditionalFormatting sqref="N261">
    <cfRule type="duplicateValues" dxfId="3020" priority="3543"/>
  </conditionalFormatting>
  <conditionalFormatting sqref="N261">
    <cfRule type="duplicateValues" dxfId="3019" priority="3542"/>
  </conditionalFormatting>
  <conditionalFormatting sqref="N261">
    <cfRule type="duplicateValues" dxfId="3018" priority="3541" stopIfTrue="1"/>
  </conditionalFormatting>
  <conditionalFormatting sqref="N261">
    <cfRule type="duplicateValues" dxfId="3017" priority="3539"/>
    <cfRule type="duplicateValues" dxfId="3016" priority="3540"/>
  </conditionalFormatting>
  <conditionalFormatting sqref="N261">
    <cfRule type="duplicateValues" dxfId="3015" priority="3538"/>
  </conditionalFormatting>
  <conditionalFormatting sqref="N261">
    <cfRule type="duplicateValues" dxfId="3014" priority="3534"/>
    <cfRule type="duplicateValues" dxfId="3013" priority="3535"/>
    <cfRule type="duplicateValues" dxfId="3012" priority="3536"/>
    <cfRule type="duplicateValues" dxfId="3011" priority="3537"/>
  </conditionalFormatting>
  <conditionalFormatting sqref="N261">
    <cfRule type="duplicateValues" dxfId="3010" priority="3533"/>
  </conditionalFormatting>
  <conditionalFormatting sqref="N261">
    <cfRule type="duplicateValues" dxfId="3009" priority="3532" stopIfTrue="1"/>
  </conditionalFormatting>
  <conditionalFormatting sqref="N261">
    <cfRule type="duplicateValues" dxfId="3008" priority="3530"/>
    <cfRule type="duplicateValues" dxfId="3007" priority="3531"/>
  </conditionalFormatting>
  <conditionalFormatting sqref="N261">
    <cfRule type="duplicateValues" dxfId="3006" priority="3526"/>
    <cfRule type="duplicateValues" dxfId="3005" priority="3527"/>
    <cfRule type="duplicateValues" dxfId="3004" priority="3528"/>
    <cfRule type="duplicateValues" dxfId="3003" priority="3529"/>
  </conditionalFormatting>
  <conditionalFormatting sqref="L262">
    <cfRule type="duplicateValues" dxfId="3002" priority="3525"/>
  </conditionalFormatting>
  <conditionalFormatting sqref="L262">
    <cfRule type="duplicateValues" dxfId="3001" priority="3524"/>
  </conditionalFormatting>
  <conditionalFormatting sqref="L262">
    <cfRule type="duplicateValues" dxfId="3000" priority="3523" stopIfTrue="1"/>
  </conditionalFormatting>
  <conditionalFormatting sqref="L262">
    <cfRule type="duplicateValues" dxfId="2999" priority="3521"/>
    <cfRule type="duplicateValues" dxfId="2998" priority="3522"/>
  </conditionalFormatting>
  <conditionalFormatting sqref="L262">
    <cfRule type="duplicateValues" dxfId="2997" priority="3520"/>
  </conditionalFormatting>
  <conditionalFormatting sqref="L262">
    <cfRule type="duplicateValues" dxfId="2996" priority="3516"/>
    <cfRule type="duplicateValues" dxfId="2995" priority="3517"/>
    <cfRule type="duplicateValues" dxfId="2994" priority="3518"/>
    <cfRule type="duplicateValues" dxfId="2993" priority="3519"/>
  </conditionalFormatting>
  <conditionalFormatting sqref="L262">
    <cfRule type="duplicateValues" dxfId="2992" priority="3515"/>
  </conditionalFormatting>
  <conditionalFormatting sqref="L262">
    <cfRule type="duplicateValues" dxfId="2991" priority="3514" stopIfTrue="1"/>
  </conditionalFormatting>
  <conditionalFormatting sqref="L262">
    <cfRule type="duplicateValues" dxfId="2990" priority="3512"/>
    <cfRule type="duplicateValues" dxfId="2989" priority="3513"/>
  </conditionalFormatting>
  <conditionalFormatting sqref="L262">
    <cfRule type="duplicateValues" dxfId="2988" priority="3508"/>
    <cfRule type="duplicateValues" dxfId="2987" priority="3509"/>
    <cfRule type="duplicateValues" dxfId="2986" priority="3510"/>
    <cfRule type="duplicateValues" dxfId="2985" priority="3511"/>
  </conditionalFormatting>
  <conditionalFormatting sqref="A266:A295">
    <cfRule type="duplicateValues" dxfId="2984" priority="3471"/>
  </conditionalFormatting>
  <conditionalFormatting sqref="A266:A295">
    <cfRule type="duplicateValues" dxfId="2983" priority="3470"/>
  </conditionalFormatting>
  <conditionalFormatting sqref="C266:C295">
    <cfRule type="duplicateValues" dxfId="2982" priority="3469" stopIfTrue="1"/>
  </conditionalFormatting>
  <conditionalFormatting sqref="A266:A295">
    <cfRule type="duplicateValues" dxfId="2981" priority="3468" stopIfTrue="1"/>
  </conditionalFormatting>
  <conditionalFormatting sqref="A266:A295">
    <cfRule type="duplicateValues" dxfId="2980" priority="3467" stopIfTrue="1"/>
  </conditionalFormatting>
  <conditionalFormatting sqref="A266:A295">
    <cfRule type="duplicateValues" dxfId="2979" priority="3465" stopIfTrue="1"/>
    <cfRule type="duplicateValues" dxfId="2978" priority="3466" stopIfTrue="1"/>
  </conditionalFormatting>
  <conditionalFormatting sqref="A266:A295">
    <cfRule type="duplicateValues" dxfId="2977" priority="3464"/>
  </conditionalFormatting>
  <conditionalFormatting sqref="A266:A295">
    <cfRule type="duplicateValues" dxfId="2976" priority="3462"/>
    <cfRule type="duplicateValues" dxfId="2975" priority="3463"/>
  </conditionalFormatting>
  <conditionalFormatting sqref="L268">
    <cfRule type="duplicateValues" dxfId="2974" priority="3461"/>
  </conditionalFormatting>
  <conditionalFormatting sqref="L268">
    <cfRule type="duplicateValues" dxfId="2973" priority="3460"/>
  </conditionalFormatting>
  <conditionalFormatting sqref="L268">
    <cfRule type="duplicateValues" dxfId="2972" priority="3459" stopIfTrue="1"/>
  </conditionalFormatting>
  <conditionalFormatting sqref="L268">
    <cfRule type="duplicateValues" dxfId="2971" priority="3457"/>
    <cfRule type="duplicateValues" dxfId="2970" priority="3458"/>
  </conditionalFormatting>
  <conditionalFormatting sqref="L268">
    <cfRule type="duplicateValues" dxfId="2969" priority="3456"/>
  </conditionalFormatting>
  <conditionalFormatting sqref="L268">
    <cfRule type="duplicateValues" dxfId="2968" priority="3452"/>
    <cfRule type="duplicateValues" dxfId="2967" priority="3453"/>
    <cfRule type="duplicateValues" dxfId="2966" priority="3454"/>
    <cfRule type="duplicateValues" dxfId="2965" priority="3455"/>
  </conditionalFormatting>
  <conditionalFormatting sqref="L268">
    <cfRule type="duplicateValues" dxfId="2964" priority="3451"/>
  </conditionalFormatting>
  <conditionalFormatting sqref="L268">
    <cfRule type="duplicateValues" dxfId="2963" priority="3450" stopIfTrue="1"/>
  </conditionalFormatting>
  <conditionalFormatting sqref="L268">
    <cfRule type="duplicateValues" dxfId="2962" priority="3448"/>
    <cfRule type="duplicateValues" dxfId="2961" priority="3449"/>
  </conditionalFormatting>
  <conditionalFormatting sqref="L268">
    <cfRule type="duplicateValues" dxfId="2960" priority="3444"/>
    <cfRule type="duplicateValues" dxfId="2959" priority="3445"/>
    <cfRule type="duplicateValues" dxfId="2958" priority="3446"/>
    <cfRule type="duplicateValues" dxfId="2957" priority="3447"/>
  </conditionalFormatting>
  <conditionalFormatting sqref="N268">
    <cfRule type="duplicateValues" dxfId="2956" priority="3443"/>
  </conditionalFormatting>
  <conditionalFormatting sqref="N268">
    <cfRule type="duplicateValues" dxfId="2955" priority="3442"/>
  </conditionalFormatting>
  <conditionalFormatting sqref="N268">
    <cfRule type="duplicateValues" dxfId="2954" priority="3441" stopIfTrue="1"/>
  </conditionalFormatting>
  <conditionalFormatting sqref="N268">
    <cfRule type="duplicateValues" dxfId="2953" priority="3439"/>
    <cfRule type="duplicateValues" dxfId="2952" priority="3440"/>
  </conditionalFormatting>
  <conditionalFormatting sqref="N268">
    <cfRule type="duplicateValues" dxfId="2951" priority="3438"/>
  </conditionalFormatting>
  <conditionalFormatting sqref="N268">
    <cfRule type="duplicateValues" dxfId="2950" priority="3434"/>
    <cfRule type="duplicateValues" dxfId="2949" priority="3435"/>
    <cfRule type="duplicateValues" dxfId="2948" priority="3436"/>
    <cfRule type="duplicateValues" dxfId="2947" priority="3437"/>
  </conditionalFormatting>
  <conditionalFormatting sqref="N268">
    <cfRule type="duplicateValues" dxfId="2946" priority="3433"/>
  </conditionalFormatting>
  <conditionalFormatting sqref="N268">
    <cfRule type="duplicateValues" dxfId="2945" priority="3432" stopIfTrue="1"/>
  </conditionalFormatting>
  <conditionalFormatting sqref="N268">
    <cfRule type="duplicateValues" dxfId="2944" priority="3430"/>
    <cfRule type="duplicateValues" dxfId="2943" priority="3431"/>
  </conditionalFormatting>
  <conditionalFormatting sqref="N268">
    <cfRule type="duplicateValues" dxfId="2942" priority="3426"/>
    <cfRule type="duplicateValues" dxfId="2941" priority="3427"/>
    <cfRule type="duplicateValues" dxfId="2940" priority="3428"/>
    <cfRule type="duplicateValues" dxfId="2939" priority="3429"/>
  </conditionalFormatting>
  <conditionalFormatting sqref="N269">
    <cfRule type="duplicateValues" dxfId="2938" priority="3425"/>
  </conditionalFormatting>
  <conditionalFormatting sqref="N269">
    <cfRule type="duplicateValues" dxfId="2937" priority="3424" stopIfTrue="1"/>
  </conditionalFormatting>
  <conditionalFormatting sqref="N269">
    <cfRule type="duplicateValues" dxfId="2936" priority="3422"/>
    <cfRule type="duplicateValues" dxfId="2935" priority="3423"/>
  </conditionalFormatting>
  <conditionalFormatting sqref="N269">
    <cfRule type="duplicateValues" dxfId="2934" priority="3418"/>
    <cfRule type="duplicateValues" dxfId="2933" priority="3419"/>
    <cfRule type="duplicateValues" dxfId="2932" priority="3420"/>
    <cfRule type="duplicateValues" dxfId="2931" priority="3421"/>
  </conditionalFormatting>
  <conditionalFormatting sqref="N269">
    <cfRule type="duplicateValues" dxfId="2930" priority="3417"/>
  </conditionalFormatting>
  <conditionalFormatting sqref="N269">
    <cfRule type="duplicateValues" dxfId="2929" priority="3416" stopIfTrue="1"/>
  </conditionalFormatting>
  <conditionalFormatting sqref="N269">
    <cfRule type="duplicateValues" dxfId="2928" priority="3414"/>
    <cfRule type="duplicateValues" dxfId="2927" priority="3415"/>
  </conditionalFormatting>
  <conditionalFormatting sqref="N269">
    <cfRule type="duplicateValues" dxfId="2926" priority="3410"/>
    <cfRule type="duplicateValues" dxfId="2925" priority="3411"/>
    <cfRule type="duplicateValues" dxfId="2924" priority="3412"/>
    <cfRule type="duplicateValues" dxfId="2923" priority="3413"/>
  </conditionalFormatting>
  <conditionalFormatting sqref="L270">
    <cfRule type="duplicateValues" dxfId="2922" priority="3409"/>
  </conditionalFormatting>
  <conditionalFormatting sqref="L270">
    <cfRule type="duplicateValues" dxfId="2921" priority="3408" stopIfTrue="1"/>
  </conditionalFormatting>
  <conditionalFormatting sqref="L270">
    <cfRule type="duplicateValues" dxfId="2920" priority="3406"/>
    <cfRule type="duplicateValues" dxfId="2919" priority="3407"/>
  </conditionalFormatting>
  <conditionalFormatting sqref="L270">
    <cfRule type="duplicateValues" dxfId="2918" priority="3402"/>
    <cfRule type="duplicateValues" dxfId="2917" priority="3403"/>
    <cfRule type="duplicateValues" dxfId="2916" priority="3404"/>
    <cfRule type="duplicateValues" dxfId="2915" priority="3405"/>
  </conditionalFormatting>
  <conditionalFormatting sqref="L270">
    <cfRule type="duplicateValues" dxfId="2914" priority="3401"/>
  </conditionalFormatting>
  <conditionalFormatting sqref="L270">
    <cfRule type="duplicateValues" dxfId="2913" priority="3400" stopIfTrue="1"/>
  </conditionalFormatting>
  <conditionalFormatting sqref="L270">
    <cfRule type="duplicateValues" dxfId="2912" priority="3398"/>
    <cfRule type="duplicateValues" dxfId="2911" priority="3399"/>
  </conditionalFormatting>
  <conditionalFormatting sqref="L270">
    <cfRule type="duplicateValues" dxfId="2910" priority="3394"/>
    <cfRule type="duplicateValues" dxfId="2909" priority="3395"/>
    <cfRule type="duplicateValues" dxfId="2908" priority="3396"/>
    <cfRule type="duplicateValues" dxfId="2907" priority="3397"/>
  </conditionalFormatting>
  <conditionalFormatting sqref="N270">
    <cfRule type="duplicateValues" dxfId="2906" priority="3393"/>
  </conditionalFormatting>
  <conditionalFormatting sqref="N270">
    <cfRule type="duplicateValues" dxfId="2905" priority="3392" stopIfTrue="1"/>
  </conditionalFormatting>
  <conditionalFormatting sqref="N270">
    <cfRule type="duplicateValues" dxfId="2904" priority="3390"/>
    <cfRule type="duplicateValues" dxfId="2903" priority="3391"/>
  </conditionalFormatting>
  <conditionalFormatting sqref="N270">
    <cfRule type="duplicateValues" dxfId="2902" priority="3386"/>
    <cfRule type="duplicateValues" dxfId="2901" priority="3387"/>
    <cfRule type="duplicateValues" dxfId="2900" priority="3388"/>
    <cfRule type="duplicateValues" dxfId="2899" priority="3389"/>
  </conditionalFormatting>
  <conditionalFormatting sqref="L271">
    <cfRule type="duplicateValues" dxfId="2898" priority="3385"/>
  </conditionalFormatting>
  <conditionalFormatting sqref="L271">
    <cfRule type="duplicateValues" dxfId="2897" priority="3384" stopIfTrue="1"/>
  </conditionalFormatting>
  <conditionalFormatting sqref="L271">
    <cfRule type="duplicateValues" dxfId="2896" priority="3382"/>
    <cfRule type="duplicateValues" dxfId="2895" priority="3383"/>
  </conditionalFormatting>
  <conditionalFormatting sqref="L271">
    <cfRule type="duplicateValues" dxfId="2894" priority="3378"/>
    <cfRule type="duplicateValues" dxfId="2893" priority="3379"/>
    <cfRule type="duplicateValues" dxfId="2892" priority="3380"/>
    <cfRule type="duplicateValues" dxfId="2891" priority="3381"/>
  </conditionalFormatting>
  <conditionalFormatting sqref="N271">
    <cfRule type="duplicateValues" dxfId="2890" priority="3377"/>
  </conditionalFormatting>
  <conditionalFormatting sqref="N271">
    <cfRule type="duplicateValues" dxfId="2889" priority="3376" stopIfTrue="1"/>
  </conditionalFormatting>
  <conditionalFormatting sqref="N271">
    <cfRule type="duplicateValues" dxfId="2888" priority="3374"/>
    <cfRule type="duplicateValues" dxfId="2887" priority="3375"/>
  </conditionalFormatting>
  <conditionalFormatting sqref="N271">
    <cfRule type="duplicateValues" dxfId="2886" priority="3370"/>
    <cfRule type="duplicateValues" dxfId="2885" priority="3371"/>
    <cfRule type="duplicateValues" dxfId="2884" priority="3372"/>
    <cfRule type="duplicateValues" dxfId="2883" priority="3373"/>
  </conditionalFormatting>
  <conditionalFormatting sqref="L272">
    <cfRule type="duplicateValues" dxfId="2882" priority="3369"/>
  </conditionalFormatting>
  <conditionalFormatting sqref="L272">
    <cfRule type="duplicateValues" dxfId="2881" priority="3368" stopIfTrue="1"/>
  </conditionalFormatting>
  <conditionalFormatting sqref="L272">
    <cfRule type="duplicateValues" dxfId="2880" priority="3366"/>
    <cfRule type="duplicateValues" dxfId="2879" priority="3367"/>
  </conditionalFormatting>
  <conditionalFormatting sqref="L272">
    <cfRule type="duplicateValues" dxfId="2878" priority="3362"/>
    <cfRule type="duplicateValues" dxfId="2877" priority="3363"/>
    <cfRule type="duplicateValues" dxfId="2876" priority="3364"/>
    <cfRule type="duplicateValues" dxfId="2875" priority="3365"/>
  </conditionalFormatting>
  <conditionalFormatting sqref="N272">
    <cfRule type="duplicateValues" dxfId="2874" priority="3361"/>
  </conditionalFormatting>
  <conditionalFormatting sqref="N272">
    <cfRule type="duplicateValues" dxfId="2873" priority="3360" stopIfTrue="1"/>
  </conditionalFormatting>
  <conditionalFormatting sqref="N272">
    <cfRule type="duplicateValues" dxfId="2872" priority="3358"/>
    <cfRule type="duplicateValues" dxfId="2871" priority="3359"/>
  </conditionalFormatting>
  <conditionalFormatting sqref="N272">
    <cfRule type="duplicateValues" dxfId="2870" priority="3354"/>
    <cfRule type="duplicateValues" dxfId="2869" priority="3355"/>
    <cfRule type="duplicateValues" dxfId="2868" priority="3356"/>
    <cfRule type="duplicateValues" dxfId="2867" priority="3357"/>
  </conditionalFormatting>
  <conditionalFormatting sqref="L273">
    <cfRule type="duplicateValues" dxfId="2866" priority="3353"/>
  </conditionalFormatting>
  <conditionalFormatting sqref="L273">
    <cfRule type="duplicateValues" dxfId="2865" priority="3352" stopIfTrue="1"/>
  </conditionalFormatting>
  <conditionalFormatting sqref="L273">
    <cfRule type="duplicateValues" dxfId="2864" priority="3350"/>
    <cfRule type="duplicateValues" dxfId="2863" priority="3351"/>
  </conditionalFormatting>
  <conditionalFormatting sqref="L273">
    <cfRule type="duplicateValues" dxfId="2862" priority="3346"/>
    <cfRule type="duplicateValues" dxfId="2861" priority="3347"/>
    <cfRule type="duplicateValues" dxfId="2860" priority="3348"/>
    <cfRule type="duplicateValues" dxfId="2859" priority="3349"/>
  </conditionalFormatting>
  <conditionalFormatting sqref="N274">
    <cfRule type="duplicateValues" dxfId="2858" priority="3345"/>
  </conditionalFormatting>
  <conditionalFormatting sqref="N274">
    <cfRule type="duplicateValues" dxfId="2857" priority="3344" stopIfTrue="1"/>
  </conditionalFormatting>
  <conditionalFormatting sqref="N274">
    <cfRule type="duplicateValues" dxfId="2856" priority="3342"/>
    <cfRule type="duplicateValues" dxfId="2855" priority="3343"/>
  </conditionalFormatting>
  <conditionalFormatting sqref="N274">
    <cfRule type="duplicateValues" dxfId="2854" priority="3338"/>
    <cfRule type="duplicateValues" dxfId="2853" priority="3339"/>
    <cfRule type="duplicateValues" dxfId="2852" priority="3340"/>
    <cfRule type="duplicateValues" dxfId="2851" priority="3341"/>
  </conditionalFormatting>
  <conditionalFormatting sqref="N273">
    <cfRule type="duplicateValues" dxfId="2850" priority="3337"/>
  </conditionalFormatting>
  <conditionalFormatting sqref="N273">
    <cfRule type="duplicateValues" dxfId="2849" priority="3336" stopIfTrue="1"/>
  </conditionalFormatting>
  <conditionalFormatting sqref="N273">
    <cfRule type="duplicateValues" dxfId="2848" priority="3334"/>
    <cfRule type="duplicateValues" dxfId="2847" priority="3335"/>
  </conditionalFormatting>
  <conditionalFormatting sqref="N273">
    <cfRule type="duplicateValues" dxfId="2846" priority="3330"/>
    <cfRule type="duplicateValues" dxfId="2845" priority="3331"/>
    <cfRule type="duplicateValues" dxfId="2844" priority="3332"/>
    <cfRule type="duplicateValues" dxfId="2843" priority="3333"/>
  </conditionalFormatting>
  <conditionalFormatting sqref="L274">
    <cfRule type="duplicateValues" dxfId="2842" priority="3329"/>
  </conditionalFormatting>
  <conditionalFormatting sqref="L274">
    <cfRule type="duplicateValues" dxfId="2841" priority="3328" stopIfTrue="1"/>
  </conditionalFormatting>
  <conditionalFormatting sqref="L274">
    <cfRule type="duplicateValues" dxfId="2840" priority="3326"/>
    <cfRule type="duplicateValues" dxfId="2839" priority="3327"/>
  </conditionalFormatting>
  <conditionalFormatting sqref="L274">
    <cfRule type="duplicateValues" dxfId="2838" priority="3322"/>
    <cfRule type="duplicateValues" dxfId="2837" priority="3323"/>
    <cfRule type="duplicateValues" dxfId="2836" priority="3324"/>
    <cfRule type="duplicateValues" dxfId="2835" priority="3325"/>
  </conditionalFormatting>
  <conditionalFormatting sqref="L275">
    <cfRule type="duplicateValues" dxfId="2834" priority="3321"/>
  </conditionalFormatting>
  <conditionalFormatting sqref="L275">
    <cfRule type="duplicateValues" dxfId="2833" priority="3320" stopIfTrue="1"/>
  </conditionalFormatting>
  <conditionalFormatting sqref="L275">
    <cfRule type="duplicateValues" dxfId="2832" priority="3318"/>
    <cfRule type="duplicateValues" dxfId="2831" priority="3319"/>
  </conditionalFormatting>
  <conditionalFormatting sqref="L275">
    <cfRule type="duplicateValues" dxfId="2830" priority="3314"/>
    <cfRule type="duplicateValues" dxfId="2829" priority="3315"/>
    <cfRule type="duplicateValues" dxfId="2828" priority="3316"/>
    <cfRule type="duplicateValues" dxfId="2827" priority="3317"/>
  </conditionalFormatting>
  <conditionalFormatting sqref="N275">
    <cfRule type="duplicateValues" dxfId="2826" priority="3313"/>
  </conditionalFormatting>
  <conditionalFormatting sqref="N275">
    <cfRule type="duplicateValues" dxfId="2825" priority="3312" stopIfTrue="1"/>
  </conditionalFormatting>
  <conditionalFormatting sqref="N275">
    <cfRule type="duplicateValues" dxfId="2824" priority="3310"/>
    <cfRule type="duplicateValues" dxfId="2823" priority="3311"/>
  </conditionalFormatting>
  <conditionalFormatting sqref="N275">
    <cfRule type="duplicateValues" dxfId="2822" priority="3306"/>
    <cfRule type="duplicateValues" dxfId="2821" priority="3307"/>
    <cfRule type="duplicateValues" dxfId="2820" priority="3308"/>
    <cfRule type="duplicateValues" dxfId="2819" priority="3309"/>
  </conditionalFormatting>
  <conditionalFormatting sqref="L276">
    <cfRule type="duplicateValues" dxfId="2818" priority="3305"/>
  </conditionalFormatting>
  <conditionalFormatting sqref="L276">
    <cfRule type="duplicateValues" dxfId="2817" priority="3304" stopIfTrue="1"/>
  </conditionalFormatting>
  <conditionalFormatting sqref="L276">
    <cfRule type="duplicateValues" dxfId="2816" priority="3302"/>
    <cfRule type="duplicateValues" dxfId="2815" priority="3303"/>
  </conditionalFormatting>
  <conditionalFormatting sqref="L276">
    <cfRule type="duplicateValues" dxfId="2814" priority="3298"/>
    <cfRule type="duplicateValues" dxfId="2813" priority="3299"/>
    <cfRule type="duplicateValues" dxfId="2812" priority="3300"/>
    <cfRule type="duplicateValues" dxfId="2811" priority="3301"/>
  </conditionalFormatting>
  <conditionalFormatting sqref="N277">
    <cfRule type="duplicateValues" dxfId="2810" priority="3297"/>
  </conditionalFormatting>
  <conditionalFormatting sqref="N277">
    <cfRule type="duplicateValues" dxfId="2809" priority="3296" stopIfTrue="1"/>
  </conditionalFormatting>
  <conditionalFormatting sqref="N277">
    <cfRule type="duplicateValues" dxfId="2808" priority="3294"/>
    <cfRule type="duplicateValues" dxfId="2807" priority="3295"/>
  </conditionalFormatting>
  <conditionalFormatting sqref="N277">
    <cfRule type="duplicateValues" dxfId="2806" priority="3290"/>
    <cfRule type="duplicateValues" dxfId="2805" priority="3291"/>
    <cfRule type="duplicateValues" dxfId="2804" priority="3292"/>
    <cfRule type="duplicateValues" dxfId="2803" priority="3293"/>
  </conditionalFormatting>
  <conditionalFormatting sqref="N277">
    <cfRule type="duplicateValues" dxfId="2802" priority="3289"/>
  </conditionalFormatting>
  <conditionalFormatting sqref="N277">
    <cfRule type="duplicateValues" dxfId="2801" priority="3288" stopIfTrue="1"/>
  </conditionalFormatting>
  <conditionalFormatting sqref="N277">
    <cfRule type="duplicateValues" dxfId="2800" priority="3286"/>
    <cfRule type="duplicateValues" dxfId="2799" priority="3287"/>
  </conditionalFormatting>
  <conditionalFormatting sqref="N277">
    <cfRule type="duplicateValues" dxfId="2798" priority="3282"/>
    <cfRule type="duplicateValues" dxfId="2797" priority="3283"/>
    <cfRule type="duplicateValues" dxfId="2796" priority="3284"/>
    <cfRule type="duplicateValues" dxfId="2795" priority="3285"/>
  </conditionalFormatting>
  <conditionalFormatting sqref="N276">
    <cfRule type="duplicateValues" dxfId="2794" priority="3281"/>
  </conditionalFormatting>
  <conditionalFormatting sqref="N276">
    <cfRule type="duplicateValues" dxfId="2793" priority="3280" stopIfTrue="1"/>
  </conditionalFormatting>
  <conditionalFormatting sqref="N276">
    <cfRule type="duplicateValues" dxfId="2792" priority="3278"/>
    <cfRule type="duplicateValues" dxfId="2791" priority="3279"/>
  </conditionalFormatting>
  <conditionalFormatting sqref="N276">
    <cfRule type="duplicateValues" dxfId="2790" priority="3274"/>
    <cfRule type="duplicateValues" dxfId="2789" priority="3275"/>
    <cfRule type="duplicateValues" dxfId="2788" priority="3276"/>
    <cfRule type="duplicateValues" dxfId="2787" priority="3277"/>
  </conditionalFormatting>
  <conditionalFormatting sqref="N276">
    <cfRule type="duplicateValues" dxfId="2786" priority="3273"/>
  </conditionalFormatting>
  <conditionalFormatting sqref="N276">
    <cfRule type="duplicateValues" dxfId="2785" priority="3272" stopIfTrue="1"/>
  </conditionalFormatting>
  <conditionalFormatting sqref="N276">
    <cfRule type="duplicateValues" dxfId="2784" priority="3270"/>
    <cfRule type="duplicateValues" dxfId="2783" priority="3271"/>
  </conditionalFormatting>
  <conditionalFormatting sqref="N276">
    <cfRule type="duplicateValues" dxfId="2782" priority="3266"/>
    <cfRule type="duplicateValues" dxfId="2781" priority="3267"/>
    <cfRule type="duplicateValues" dxfId="2780" priority="3268"/>
    <cfRule type="duplicateValues" dxfId="2779" priority="3269"/>
  </conditionalFormatting>
  <conditionalFormatting sqref="L277">
    <cfRule type="duplicateValues" dxfId="2778" priority="3265"/>
  </conditionalFormatting>
  <conditionalFormatting sqref="L277">
    <cfRule type="duplicateValues" dxfId="2777" priority="3264" stopIfTrue="1"/>
  </conditionalFormatting>
  <conditionalFormatting sqref="L277">
    <cfRule type="duplicateValues" dxfId="2776" priority="3262"/>
    <cfRule type="duplicateValues" dxfId="2775" priority="3263"/>
  </conditionalFormatting>
  <conditionalFormatting sqref="L277">
    <cfRule type="duplicateValues" dxfId="2774" priority="3258"/>
    <cfRule type="duplicateValues" dxfId="2773" priority="3259"/>
    <cfRule type="duplicateValues" dxfId="2772" priority="3260"/>
    <cfRule type="duplicateValues" dxfId="2771" priority="3261"/>
  </conditionalFormatting>
  <conditionalFormatting sqref="L277">
    <cfRule type="duplicateValues" dxfId="2770" priority="3257"/>
  </conditionalFormatting>
  <conditionalFormatting sqref="L277">
    <cfRule type="duplicateValues" dxfId="2769" priority="3256" stopIfTrue="1"/>
  </conditionalFormatting>
  <conditionalFormatting sqref="L277">
    <cfRule type="duplicateValues" dxfId="2768" priority="3254"/>
    <cfRule type="duplicateValues" dxfId="2767" priority="3255"/>
  </conditionalFormatting>
  <conditionalFormatting sqref="L277">
    <cfRule type="duplicateValues" dxfId="2766" priority="3250"/>
    <cfRule type="duplicateValues" dxfId="2765" priority="3251"/>
    <cfRule type="duplicateValues" dxfId="2764" priority="3252"/>
    <cfRule type="duplicateValues" dxfId="2763" priority="3253"/>
  </conditionalFormatting>
  <conditionalFormatting sqref="L278">
    <cfRule type="duplicateValues" dxfId="2762" priority="3249"/>
  </conditionalFormatting>
  <conditionalFormatting sqref="L278">
    <cfRule type="duplicateValues" dxfId="2761" priority="3248" stopIfTrue="1"/>
  </conditionalFormatting>
  <conditionalFormatting sqref="L278">
    <cfRule type="duplicateValues" dxfId="2760" priority="3246"/>
    <cfRule type="duplicateValues" dxfId="2759" priority="3247"/>
  </conditionalFormatting>
  <conditionalFormatting sqref="L278">
    <cfRule type="duplicateValues" dxfId="2758" priority="3242"/>
    <cfRule type="duplicateValues" dxfId="2757" priority="3243"/>
    <cfRule type="duplicateValues" dxfId="2756" priority="3244"/>
    <cfRule type="duplicateValues" dxfId="2755" priority="3245"/>
  </conditionalFormatting>
  <conditionalFormatting sqref="L278">
    <cfRule type="duplicateValues" dxfId="2754" priority="3241"/>
  </conditionalFormatting>
  <conditionalFormatting sqref="L278">
    <cfRule type="duplicateValues" dxfId="2753" priority="3240" stopIfTrue="1"/>
  </conditionalFormatting>
  <conditionalFormatting sqref="L278">
    <cfRule type="duplicateValues" dxfId="2752" priority="3238"/>
    <cfRule type="duplicateValues" dxfId="2751" priority="3239"/>
  </conditionalFormatting>
  <conditionalFormatting sqref="L278">
    <cfRule type="duplicateValues" dxfId="2750" priority="3234"/>
    <cfRule type="duplicateValues" dxfId="2749" priority="3235"/>
    <cfRule type="duplicateValues" dxfId="2748" priority="3236"/>
    <cfRule type="duplicateValues" dxfId="2747" priority="3237"/>
  </conditionalFormatting>
  <conditionalFormatting sqref="N278">
    <cfRule type="duplicateValues" dxfId="2746" priority="3233"/>
  </conditionalFormatting>
  <conditionalFormatting sqref="N278">
    <cfRule type="duplicateValues" dxfId="2745" priority="3232" stopIfTrue="1"/>
  </conditionalFormatting>
  <conditionalFormatting sqref="N278">
    <cfRule type="duplicateValues" dxfId="2744" priority="3230"/>
    <cfRule type="duplicateValues" dxfId="2743" priority="3231"/>
  </conditionalFormatting>
  <conditionalFormatting sqref="N278">
    <cfRule type="duplicateValues" dxfId="2742" priority="3226"/>
    <cfRule type="duplicateValues" dxfId="2741" priority="3227"/>
    <cfRule type="duplicateValues" dxfId="2740" priority="3228"/>
    <cfRule type="duplicateValues" dxfId="2739" priority="3229"/>
  </conditionalFormatting>
  <conditionalFormatting sqref="N278">
    <cfRule type="duplicateValues" dxfId="2738" priority="3225"/>
  </conditionalFormatting>
  <conditionalFormatting sqref="N278">
    <cfRule type="duplicateValues" dxfId="2737" priority="3224" stopIfTrue="1"/>
  </conditionalFormatting>
  <conditionalFormatting sqref="N278">
    <cfRule type="duplicateValues" dxfId="2736" priority="3222"/>
    <cfRule type="duplicateValues" dxfId="2735" priority="3223"/>
  </conditionalFormatting>
  <conditionalFormatting sqref="N278">
    <cfRule type="duplicateValues" dxfId="2734" priority="3218"/>
    <cfRule type="duplicateValues" dxfId="2733" priority="3219"/>
    <cfRule type="duplicateValues" dxfId="2732" priority="3220"/>
    <cfRule type="duplicateValues" dxfId="2731" priority="3221"/>
  </conditionalFormatting>
  <conditionalFormatting sqref="L279">
    <cfRule type="duplicateValues" dxfId="2730" priority="3217"/>
  </conditionalFormatting>
  <conditionalFormatting sqref="L279">
    <cfRule type="duplicateValues" dxfId="2729" priority="3216" stopIfTrue="1"/>
  </conditionalFormatting>
  <conditionalFormatting sqref="L279">
    <cfRule type="duplicateValues" dxfId="2728" priority="3214"/>
    <cfRule type="duplicateValues" dxfId="2727" priority="3215"/>
  </conditionalFormatting>
  <conditionalFormatting sqref="L279">
    <cfRule type="duplicateValues" dxfId="2726" priority="3210"/>
    <cfRule type="duplicateValues" dxfId="2725" priority="3211"/>
    <cfRule type="duplicateValues" dxfId="2724" priority="3212"/>
    <cfRule type="duplicateValues" dxfId="2723" priority="3213"/>
  </conditionalFormatting>
  <conditionalFormatting sqref="L279">
    <cfRule type="duplicateValues" dxfId="2722" priority="3209"/>
  </conditionalFormatting>
  <conditionalFormatting sqref="L279">
    <cfRule type="duplicateValues" dxfId="2721" priority="3208" stopIfTrue="1"/>
  </conditionalFormatting>
  <conditionalFormatting sqref="L279">
    <cfRule type="duplicateValues" dxfId="2720" priority="3206"/>
    <cfRule type="duplicateValues" dxfId="2719" priority="3207"/>
  </conditionalFormatting>
  <conditionalFormatting sqref="L279">
    <cfRule type="duplicateValues" dxfId="2718" priority="3202"/>
    <cfRule type="duplicateValues" dxfId="2717" priority="3203"/>
    <cfRule type="duplicateValues" dxfId="2716" priority="3204"/>
    <cfRule type="duplicateValues" dxfId="2715" priority="3205"/>
  </conditionalFormatting>
  <conditionalFormatting sqref="N279">
    <cfRule type="duplicateValues" dxfId="2714" priority="3201"/>
  </conditionalFormatting>
  <conditionalFormatting sqref="N279">
    <cfRule type="duplicateValues" dxfId="2713" priority="3200" stopIfTrue="1"/>
  </conditionalFormatting>
  <conditionalFormatting sqref="N279">
    <cfRule type="duplicateValues" dxfId="2712" priority="3198"/>
    <cfRule type="duplicateValues" dxfId="2711" priority="3199"/>
  </conditionalFormatting>
  <conditionalFormatting sqref="N279">
    <cfRule type="duplicateValues" dxfId="2710" priority="3194"/>
    <cfRule type="duplicateValues" dxfId="2709" priority="3195"/>
    <cfRule type="duplicateValues" dxfId="2708" priority="3196"/>
    <cfRule type="duplicateValues" dxfId="2707" priority="3197"/>
  </conditionalFormatting>
  <conditionalFormatting sqref="L280">
    <cfRule type="duplicateValues" dxfId="2706" priority="3193"/>
  </conditionalFormatting>
  <conditionalFormatting sqref="L280">
    <cfRule type="duplicateValues" dxfId="2705" priority="3192" stopIfTrue="1"/>
  </conditionalFormatting>
  <conditionalFormatting sqref="L280">
    <cfRule type="duplicateValues" dxfId="2704" priority="3190"/>
    <cfRule type="duplicateValues" dxfId="2703" priority="3191"/>
  </conditionalFormatting>
  <conditionalFormatting sqref="L280">
    <cfRule type="duplicateValues" dxfId="2702" priority="3186"/>
    <cfRule type="duplicateValues" dxfId="2701" priority="3187"/>
    <cfRule type="duplicateValues" dxfId="2700" priority="3188"/>
    <cfRule type="duplicateValues" dxfId="2699" priority="3189"/>
  </conditionalFormatting>
  <conditionalFormatting sqref="N280">
    <cfRule type="duplicateValues" dxfId="2698" priority="3185"/>
  </conditionalFormatting>
  <conditionalFormatting sqref="N280">
    <cfRule type="duplicateValues" dxfId="2697" priority="3184" stopIfTrue="1"/>
  </conditionalFormatting>
  <conditionalFormatting sqref="N280">
    <cfRule type="duplicateValues" dxfId="2696" priority="3182"/>
    <cfRule type="duplicateValues" dxfId="2695" priority="3183"/>
  </conditionalFormatting>
  <conditionalFormatting sqref="N280">
    <cfRule type="duplicateValues" dxfId="2694" priority="3178"/>
    <cfRule type="duplicateValues" dxfId="2693" priority="3179"/>
    <cfRule type="duplicateValues" dxfId="2692" priority="3180"/>
    <cfRule type="duplicateValues" dxfId="2691" priority="3181"/>
  </conditionalFormatting>
  <conditionalFormatting sqref="L281">
    <cfRule type="duplicateValues" dxfId="2690" priority="3177"/>
  </conditionalFormatting>
  <conditionalFormatting sqref="L281">
    <cfRule type="duplicateValues" dxfId="2689" priority="3176" stopIfTrue="1"/>
  </conditionalFormatting>
  <conditionalFormatting sqref="L281">
    <cfRule type="duplicateValues" dxfId="2688" priority="3174"/>
    <cfRule type="duplicateValues" dxfId="2687" priority="3175"/>
  </conditionalFormatting>
  <conditionalFormatting sqref="L281">
    <cfRule type="duplicateValues" dxfId="2686" priority="3170"/>
    <cfRule type="duplicateValues" dxfId="2685" priority="3171"/>
    <cfRule type="duplicateValues" dxfId="2684" priority="3172"/>
    <cfRule type="duplicateValues" dxfId="2683" priority="3173"/>
  </conditionalFormatting>
  <conditionalFormatting sqref="N281">
    <cfRule type="duplicateValues" dxfId="2682" priority="3169"/>
  </conditionalFormatting>
  <conditionalFormatting sqref="N281">
    <cfRule type="duplicateValues" dxfId="2681" priority="3168" stopIfTrue="1"/>
  </conditionalFormatting>
  <conditionalFormatting sqref="N281">
    <cfRule type="duplicateValues" dxfId="2680" priority="3166"/>
    <cfRule type="duplicateValues" dxfId="2679" priority="3167"/>
  </conditionalFormatting>
  <conditionalFormatting sqref="N281">
    <cfRule type="duplicateValues" dxfId="2678" priority="3162"/>
    <cfRule type="duplicateValues" dxfId="2677" priority="3163"/>
    <cfRule type="duplicateValues" dxfId="2676" priority="3164"/>
    <cfRule type="duplicateValues" dxfId="2675" priority="3165"/>
  </conditionalFormatting>
  <conditionalFormatting sqref="L282">
    <cfRule type="duplicateValues" dxfId="2674" priority="3161"/>
  </conditionalFormatting>
  <conditionalFormatting sqref="L282">
    <cfRule type="duplicateValues" dxfId="2673" priority="3160" stopIfTrue="1"/>
  </conditionalFormatting>
  <conditionalFormatting sqref="L282">
    <cfRule type="duplicateValues" dxfId="2672" priority="3158"/>
    <cfRule type="duplicateValues" dxfId="2671" priority="3159"/>
  </conditionalFormatting>
  <conditionalFormatting sqref="L282">
    <cfRule type="duplicateValues" dxfId="2670" priority="3154"/>
    <cfRule type="duplicateValues" dxfId="2669" priority="3155"/>
    <cfRule type="duplicateValues" dxfId="2668" priority="3156"/>
    <cfRule type="duplicateValues" dxfId="2667" priority="3157"/>
  </conditionalFormatting>
  <conditionalFormatting sqref="N282">
    <cfRule type="duplicateValues" dxfId="2666" priority="3153"/>
  </conditionalFormatting>
  <conditionalFormatting sqref="N282">
    <cfRule type="duplicateValues" dxfId="2665" priority="3152" stopIfTrue="1"/>
  </conditionalFormatting>
  <conditionalFormatting sqref="N282">
    <cfRule type="duplicateValues" dxfId="2664" priority="3150"/>
    <cfRule type="duplicateValues" dxfId="2663" priority="3151"/>
  </conditionalFormatting>
  <conditionalFormatting sqref="N282">
    <cfRule type="duplicateValues" dxfId="2662" priority="3146"/>
    <cfRule type="duplicateValues" dxfId="2661" priority="3147"/>
    <cfRule type="duplicateValues" dxfId="2660" priority="3148"/>
    <cfRule type="duplicateValues" dxfId="2659" priority="3149"/>
  </conditionalFormatting>
  <conditionalFormatting sqref="N282">
    <cfRule type="duplicateValues" dxfId="2658" priority="3145"/>
  </conditionalFormatting>
  <conditionalFormatting sqref="N282">
    <cfRule type="duplicateValues" dxfId="2657" priority="3144" stopIfTrue="1"/>
  </conditionalFormatting>
  <conditionalFormatting sqref="N282">
    <cfRule type="duplicateValues" dxfId="2656" priority="3142"/>
    <cfRule type="duplicateValues" dxfId="2655" priority="3143"/>
  </conditionalFormatting>
  <conditionalFormatting sqref="N282">
    <cfRule type="duplicateValues" dxfId="2654" priority="3138"/>
    <cfRule type="duplicateValues" dxfId="2653" priority="3139"/>
    <cfRule type="duplicateValues" dxfId="2652" priority="3140"/>
    <cfRule type="duplicateValues" dxfId="2651" priority="3141"/>
  </conditionalFormatting>
  <conditionalFormatting sqref="L283">
    <cfRule type="duplicateValues" dxfId="2650" priority="3137"/>
  </conditionalFormatting>
  <conditionalFormatting sqref="L283">
    <cfRule type="duplicateValues" dxfId="2649" priority="3136" stopIfTrue="1"/>
  </conditionalFormatting>
  <conditionalFormatting sqref="L283">
    <cfRule type="duplicateValues" dxfId="2648" priority="3134"/>
    <cfRule type="duplicateValues" dxfId="2647" priority="3135"/>
  </conditionalFormatting>
  <conditionalFormatting sqref="L283">
    <cfRule type="duplicateValues" dxfId="2646" priority="3130"/>
    <cfRule type="duplicateValues" dxfId="2645" priority="3131"/>
    <cfRule type="duplicateValues" dxfId="2644" priority="3132"/>
    <cfRule type="duplicateValues" dxfId="2643" priority="3133"/>
  </conditionalFormatting>
  <conditionalFormatting sqref="L283">
    <cfRule type="duplicateValues" dxfId="2642" priority="3129"/>
  </conditionalFormatting>
  <conditionalFormatting sqref="L283">
    <cfRule type="duplicateValues" dxfId="2641" priority="3128" stopIfTrue="1"/>
  </conditionalFormatting>
  <conditionalFormatting sqref="L283">
    <cfRule type="duplicateValues" dxfId="2640" priority="3126"/>
    <cfRule type="duplicateValues" dxfId="2639" priority="3127"/>
  </conditionalFormatting>
  <conditionalFormatting sqref="L283">
    <cfRule type="duplicateValues" dxfId="2638" priority="3122"/>
    <cfRule type="duplicateValues" dxfId="2637" priority="3123"/>
    <cfRule type="duplicateValues" dxfId="2636" priority="3124"/>
    <cfRule type="duplicateValues" dxfId="2635" priority="3125"/>
  </conditionalFormatting>
  <conditionalFormatting sqref="N283">
    <cfRule type="duplicateValues" dxfId="2634" priority="3121"/>
  </conditionalFormatting>
  <conditionalFormatting sqref="N283">
    <cfRule type="duplicateValues" dxfId="2633" priority="3120" stopIfTrue="1"/>
  </conditionalFormatting>
  <conditionalFormatting sqref="N283">
    <cfRule type="duplicateValues" dxfId="2632" priority="3118"/>
    <cfRule type="duplicateValues" dxfId="2631" priority="3119"/>
  </conditionalFormatting>
  <conditionalFormatting sqref="N283">
    <cfRule type="duplicateValues" dxfId="2630" priority="3114"/>
    <cfRule type="duplicateValues" dxfId="2629" priority="3115"/>
    <cfRule type="duplicateValues" dxfId="2628" priority="3116"/>
    <cfRule type="duplicateValues" dxfId="2627" priority="3117"/>
  </conditionalFormatting>
  <conditionalFormatting sqref="N283">
    <cfRule type="duplicateValues" dxfId="2626" priority="3113"/>
  </conditionalFormatting>
  <conditionalFormatting sqref="N283">
    <cfRule type="duplicateValues" dxfId="2625" priority="3112" stopIfTrue="1"/>
  </conditionalFormatting>
  <conditionalFormatting sqref="N283">
    <cfRule type="duplicateValues" dxfId="2624" priority="3110"/>
    <cfRule type="duplicateValues" dxfId="2623" priority="3111"/>
  </conditionalFormatting>
  <conditionalFormatting sqref="N283">
    <cfRule type="duplicateValues" dxfId="2622" priority="3106"/>
    <cfRule type="duplicateValues" dxfId="2621" priority="3107"/>
    <cfRule type="duplicateValues" dxfId="2620" priority="3108"/>
    <cfRule type="duplicateValues" dxfId="2619" priority="3109"/>
  </conditionalFormatting>
  <conditionalFormatting sqref="L284">
    <cfRule type="duplicateValues" dxfId="2618" priority="3105"/>
  </conditionalFormatting>
  <conditionalFormatting sqref="L284">
    <cfRule type="duplicateValues" dxfId="2617" priority="3104" stopIfTrue="1"/>
  </conditionalFormatting>
  <conditionalFormatting sqref="L284">
    <cfRule type="duplicateValues" dxfId="2616" priority="3102"/>
    <cfRule type="duplicateValues" dxfId="2615" priority="3103"/>
  </conditionalFormatting>
  <conditionalFormatting sqref="L284">
    <cfRule type="duplicateValues" dxfId="2614" priority="3098"/>
    <cfRule type="duplicateValues" dxfId="2613" priority="3099"/>
    <cfRule type="duplicateValues" dxfId="2612" priority="3100"/>
    <cfRule type="duplicateValues" dxfId="2611" priority="3101"/>
  </conditionalFormatting>
  <conditionalFormatting sqref="N284">
    <cfRule type="duplicateValues" dxfId="2610" priority="3097"/>
  </conditionalFormatting>
  <conditionalFormatting sqref="N284">
    <cfRule type="duplicateValues" dxfId="2609" priority="3096" stopIfTrue="1"/>
  </conditionalFormatting>
  <conditionalFormatting sqref="N284">
    <cfRule type="duplicateValues" dxfId="2608" priority="3094"/>
    <cfRule type="duplicateValues" dxfId="2607" priority="3095"/>
  </conditionalFormatting>
  <conditionalFormatting sqref="N284">
    <cfRule type="duplicateValues" dxfId="2606" priority="3090"/>
    <cfRule type="duplicateValues" dxfId="2605" priority="3091"/>
    <cfRule type="duplicateValues" dxfId="2604" priority="3092"/>
    <cfRule type="duplicateValues" dxfId="2603" priority="3093"/>
  </conditionalFormatting>
  <conditionalFormatting sqref="L285">
    <cfRule type="duplicateValues" dxfId="2602" priority="3089"/>
  </conditionalFormatting>
  <conditionalFormatting sqref="L285">
    <cfRule type="duplicateValues" dxfId="2601" priority="3088" stopIfTrue="1"/>
  </conditionalFormatting>
  <conditionalFormatting sqref="L285">
    <cfRule type="duplicateValues" dxfId="2600" priority="3086"/>
    <cfRule type="duplicateValues" dxfId="2599" priority="3087"/>
  </conditionalFormatting>
  <conditionalFormatting sqref="L285">
    <cfRule type="duplicateValues" dxfId="2598" priority="3082"/>
    <cfRule type="duplicateValues" dxfId="2597" priority="3083"/>
    <cfRule type="duplicateValues" dxfId="2596" priority="3084"/>
    <cfRule type="duplicateValues" dxfId="2595" priority="3085"/>
  </conditionalFormatting>
  <conditionalFormatting sqref="N285">
    <cfRule type="duplicateValues" dxfId="2594" priority="3081"/>
  </conditionalFormatting>
  <conditionalFormatting sqref="N285">
    <cfRule type="duplicateValues" dxfId="2593" priority="3080" stopIfTrue="1"/>
  </conditionalFormatting>
  <conditionalFormatting sqref="N285">
    <cfRule type="duplicateValues" dxfId="2592" priority="3078"/>
    <cfRule type="duplicateValues" dxfId="2591" priority="3079"/>
  </conditionalFormatting>
  <conditionalFormatting sqref="N285">
    <cfRule type="duplicateValues" dxfId="2590" priority="3074"/>
    <cfRule type="duplicateValues" dxfId="2589" priority="3075"/>
    <cfRule type="duplicateValues" dxfId="2588" priority="3076"/>
    <cfRule type="duplicateValues" dxfId="2587" priority="3077"/>
  </conditionalFormatting>
  <conditionalFormatting sqref="L286">
    <cfRule type="duplicateValues" dxfId="2586" priority="3073"/>
  </conditionalFormatting>
  <conditionalFormatting sqref="L286">
    <cfRule type="duplicateValues" dxfId="2585" priority="3072" stopIfTrue="1"/>
  </conditionalFormatting>
  <conditionalFormatting sqref="L286">
    <cfRule type="duplicateValues" dxfId="2584" priority="3070"/>
    <cfRule type="duplicateValues" dxfId="2583" priority="3071"/>
  </conditionalFormatting>
  <conditionalFormatting sqref="L286">
    <cfRule type="duplicateValues" dxfId="2582" priority="3066"/>
    <cfRule type="duplicateValues" dxfId="2581" priority="3067"/>
    <cfRule type="duplicateValues" dxfId="2580" priority="3068"/>
    <cfRule type="duplicateValues" dxfId="2579" priority="3069"/>
  </conditionalFormatting>
  <conditionalFormatting sqref="N286">
    <cfRule type="duplicateValues" dxfId="2578" priority="3065"/>
  </conditionalFormatting>
  <conditionalFormatting sqref="N286">
    <cfRule type="duplicateValues" dxfId="2577" priority="3064" stopIfTrue="1"/>
  </conditionalFormatting>
  <conditionalFormatting sqref="N286">
    <cfRule type="duplicateValues" dxfId="2576" priority="3062"/>
    <cfRule type="duplicateValues" dxfId="2575" priority="3063"/>
  </conditionalFormatting>
  <conditionalFormatting sqref="N286">
    <cfRule type="duplicateValues" dxfId="2574" priority="3058"/>
    <cfRule type="duplicateValues" dxfId="2573" priority="3059"/>
    <cfRule type="duplicateValues" dxfId="2572" priority="3060"/>
    <cfRule type="duplicateValues" dxfId="2571" priority="3061"/>
  </conditionalFormatting>
  <conditionalFormatting sqref="L287">
    <cfRule type="duplicateValues" dxfId="2570" priority="3057"/>
  </conditionalFormatting>
  <conditionalFormatting sqref="L287">
    <cfRule type="duplicateValues" dxfId="2569" priority="3056" stopIfTrue="1"/>
  </conditionalFormatting>
  <conditionalFormatting sqref="L287">
    <cfRule type="duplicateValues" dxfId="2568" priority="3054"/>
    <cfRule type="duplicateValues" dxfId="2567" priority="3055"/>
  </conditionalFormatting>
  <conditionalFormatting sqref="L287">
    <cfRule type="duplicateValues" dxfId="2566" priority="3050"/>
    <cfRule type="duplicateValues" dxfId="2565" priority="3051"/>
    <cfRule type="duplicateValues" dxfId="2564" priority="3052"/>
    <cfRule type="duplicateValues" dxfId="2563" priority="3053"/>
  </conditionalFormatting>
  <conditionalFormatting sqref="N287">
    <cfRule type="duplicateValues" dxfId="2562" priority="3049"/>
  </conditionalFormatting>
  <conditionalFormatting sqref="N287">
    <cfRule type="duplicateValues" dxfId="2561" priority="3048" stopIfTrue="1"/>
  </conditionalFormatting>
  <conditionalFormatting sqref="N287">
    <cfRule type="duplicateValues" dxfId="2560" priority="3046"/>
    <cfRule type="duplicateValues" dxfId="2559" priority="3047"/>
  </conditionalFormatting>
  <conditionalFormatting sqref="N287">
    <cfRule type="duplicateValues" dxfId="2558" priority="3042"/>
    <cfRule type="duplicateValues" dxfId="2557" priority="3043"/>
    <cfRule type="duplicateValues" dxfId="2556" priority="3044"/>
    <cfRule type="duplicateValues" dxfId="2555" priority="3045"/>
  </conditionalFormatting>
  <conditionalFormatting sqref="L288">
    <cfRule type="duplicateValues" dxfId="2554" priority="3041"/>
  </conditionalFormatting>
  <conditionalFormatting sqref="L288">
    <cfRule type="duplicateValues" dxfId="2553" priority="3040" stopIfTrue="1"/>
  </conditionalFormatting>
  <conditionalFormatting sqref="L288">
    <cfRule type="duplicateValues" dxfId="2552" priority="3038"/>
    <cfRule type="duplicateValues" dxfId="2551" priority="3039"/>
  </conditionalFormatting>
  <conditionalFormatting sqref="L288">
    <cfRule type="duplicateValues" dxfId="2550" priority="3034"/>
    <cfRule type="duplicateValues" dxfId="2549" priority="3035"/>
    <cfRule type="duplicateValues" dxfId="2548" priority="3036"/>
    <cfRule type="duplicateValues" dxfId="2547" priority="3037"/>
  </conditionalFormatting>
  <conditionalFormatting sqref="N288">
    <cfRule type="duplicateValues" dxfId="2546" priority="3033"/>
  </conditionalFormatting>
  <conditionalFormatting sqref="N288">
    <cfRule type="duplicateValues" dxfId="2545" priority="3032" stopIfTrue="1"/>
  </conditionalFormatting>
  <conditionalFormatting sqref="N288">
    <cfRule type="duplicateValues" dxfId="2544" priority="3030"/>
    <cfRule type="duplicateValues" dxfId="2543" priority="3031"/>
  </conditionalFormatting>
  <conditionalFormatting sqref="N288">
    <cfRule type="duplicateValues" dxfId="2542" priority="3026"/>
    <cfRule type="duplicateValues" dxfId="2541" priority="3027"/>
    <cfRule type="duplicateValues" dxfId="2540" priority="3028"/>
    <cfRule type="duplicateValues" dxfId="2539" priority="3029"/>
  </conditionalFormatting>
  <conditionalFormatting sqref="L289">
    <cfRule type="duplicateValues" dxfId="2538" priority="3025"/>
  </conditionalFormatting>
  <conditionalFormatting sqref="L289">
    <cfRule type="duplicateValues" dxfId="2537" priority="3024" stopIfTrue="1"/>
  </conditionalFormatting>
  <conditionalFormatting sqref="L289">
    <cfRule type="duplicateValues" dxfId="2536" priority="3022"/>
    <cfRule type="duplicateValues" dxfId="2535" priority="3023"/>
  </conditionalFormatting>
  <conditionalFormatting sqref="L289">
    <cfRule type="duplicateValues" dxfId="2534" priority="3018"/>
    <cfRule type="duplicateValues" dxfId="2533" priority="3019"/>
    <cfRule type="duplicateValues" dxfId="2532" priority="3020"/>
    <cfRule type="duplicateValues" dxfId="2531" priority="3021"/>
  </conditionalFormatting>
  <conditionalFormatting sqref="N289">
    <cfRule type="duplicateValues" dxfId="2530" priority="3017"/>
  </conditionalFormatting>
  <conditionalFormatting sqref="N289">
    <cfRule type="duplicateValues" dxfId="2529" priority="3016" stopIfTrue="1"/>
  </conditionalFormatting>
  <conditionalFormatting sqref="N289">
    <cfRule type="duplicateValues" dxfId="2528" priority="3014"/>
    <cfRule type="duplicateValues" dxfId="2527" priority="3015"/>
  </conditionalFormatting>
  <conditionalFormatting sqref="N289">
    <cfRule type="duplicateValues" dxfId="2526" priority="3010"/>
    <cfRule type="duplicateValues" dxfId="2525" priority="3011"/>
    <cfRule type="duplicateValues" dxfId="2524" priority="3012"/>
    <cfRule type="duplicateValues" dxfId="2523" priority="3013"/>
  </conditionalFormatting>
  <conditionalFormatting sqref="N289">
    <cfRule type="duplicateValues" dxfId="2522" priority="3009"/>
  </conditionalFormatting>
  <conditionalFormatting sqref="N289">
    <cfRule type="duplicateValues" dxfId="2521" priority="3008" stopIfTrue="1"/>
  </conditionalFormatting>
  <conditionalFormatting sqref="N289">
    <cfRule type="duplicateValues" dxfId="2520" priority="3006"/>
    <cfRule type="duplicateValues" dxfId="2519" priority="3007"/>
  </conditionalFormatting>
  <conditionalFormatting sqref="N289">
    <cfRule type="duplicateValues" dxfId="2518" priority="3002"/>
    <cfRule type="duplicateValues" dxfId="2517" priority="3003"/>
    <cfRule type="duplicateValues" dxfId="2516" priority="3004"/>
    <cfRule type="duplicateValues" dxfId="2515" priority="3005"/>
  </conditionalFormatting>
  <conditionalFormatting sqref="L290">
    <cfRule type="duplicateValues" dxfId="2514" priority="3001"/>
  </conditionalFormatting>
  <conditionalFormatting sqref="L290">
    <cfRule type="duplicateValues" dxfId="2513" priority="3000" stopIfTrue="1"/>
  </conditionalFormatting>
  <conditionalFormatting sqref="L290">
    <cfRule type="duplicateValues" dxfId="2512" priority="2998"/>
    <cfRule type="duplicateValues" dxfId="2511" priority="2999"/>
  </conditionalFormatting>
  <conditionalFormatting sqref="L290">
    <cfRule type="duplicateValues" dxfId="2510" priority="2994"/>
    <cfRule type="duplicateValues" dxfId="2509" priority="2995"/>
    <cfRule type="duplicateValues" dxfId="2508" priority="2996"/>
    <cfRule type="duplicateValues" dxfId="2507" priority="2997"/>
  </conditionalFormatting>
  <conditionalFormatting sqref="L290">
    <cfRule type="duplicateValues" dxfId="2506" priority="2993"/>
  </conditionalFormatting>
  <conditionalFormatting sqref="L290">
    <cfRule type="duplicateValues" dxfId="2505" priority="2992" stopIfTrue="1"/>
  </conditionalFormatting>
  <conditionalFormatting sqref="L290">
    <cfRule type="duplicateValues" dxfId="2504" priority="2990"/>
    <cfRule type="duplicateValues" dxfId="2503" priority="2991"/>
  </conditionalFormatting>
  <conditionalFormatting sqref="L290">
    <cfRule type="duplicateValues" dxfId="2502" priority="2986"/>
    <cfRule type="duplicateValues" dxfId="2501" priority="2987"/>
    <cfRule type="duplicateValues" dxfId="2500" priority="2988"/>
    <cfRule type="duplicateValues" dxfId="2499" priority="2989"/>
  </conditionalFormatting>
  <conditionalFormatting sqref="N290">
    <cfRule type="duplicateValues" dxfId="2498" priority="2985"/>
  </conditionalFormatting>
  <conditionalFormatting sqref="N290">
    <cfRule type="duplicateValues" dxfId="2497" priority="2984" stopIfTrue="1"/>
  </conditionalFormatting>
  <conditionalFormatting sqref="N290">
    <cfRule type="duplicateValues" dxfId="2496" priority="2982"/>
    <cfRule type="duplicateValues" dxfId="2495" priority="2983"/>
  </conditionalFormatting>
  <conditionalFormatting sqref="N290">
    <cfRule type="duplicateValues" dxfId="2494" priority="2978"/>
    <cfRule type="duplicateValues" dxfId="2493" priority="2979"/>
    <cfRule type="duplicateValues" dxfId="2492" priority="2980"/>
    <cfRule type="duplicateValues" dxfId="2491" priority="2981"/>
  </conditionalFormatting>
  <conditionalFormatting sqref="L291">
    <cfRule type="duplicateValues" dxfId="2490" priority="2977"/>
  </conditionalFormatting>
  <conditionalFormatting sqref="L291">
    <cfRule type="duplicateValues" dxfId="2489" priority="2976" stopIfTrue="1"/>
  </conditionalFormatting>
  <conditionalFormatting sqref="L291">
    <cfRule type="duplicateValues" dxfId="2488" priority="2974"/>
    <cfRule type="duplicateValues" dxfId="2487" priority="2975"/>
  </conditionalFormatting>
  <conditionalFormatting sqref="L291">
    <cfRule type="duplicateValues" dxfId="2486" priority="2970"/>
    <cfRule type="duplicateValues" dxfId="2485" priority="2971"/>
    <cfRule type="duplicateValues" dxfId="2484" priority="2972"/>
    <cfRule type="duplicateValues" dxfId="2483" priority="2973"/>
  </conditionalFormatting>
  <conditionalFormatting sqref="N291">
    <cfRule type="duplicateValues" dxfId="2482" priority="2969"/>
  </conditionalFormatting>
  <conditionalFormatting sqref="N291">
    <cfRule type="duplicateValues" dxfId="2481" priority="2968" stopIfTrue="1"/>
  </conditionalFormatting>
  <conditionalFormatting sqref="N291">
    <cfRule type="duplicateValues" dxfId="2480" priority="2966"/>
    <cfRule type="duplicateValues" dxfId="2479" priority="2967"/>
  </conditionalFormatting>
  <conditionalFormatting sqref="N291">
    <cfRule type="duplicateValues" dxfId="2478" priority="2962"/>
    <cfRule type="duplicateValues" dxfId="2477" priority="2963"/>
    <cfRule type="duplicateValues" dxfId="2476" priority="2964"/>
    <cfRule type="duplicateValues" dxfId="2475" priority="2965"/>
  </conditionalFormatting>
  <conditionalFormatting sqref="L292">
    <cfRule type="duplicateValues" dxfId="2474" priority="2961"/>
  </conditionalFormatting>
  <conditionalFormatting sqref="L292">
    <cfRule type="duplicateValues" dxfId="2473" priority="2960" stopIfTrue="1"/>
  </conditionalFormatting>
  <conditionalFormatting sqref="L292">
    <cfRule type="duplicateValues" dxfId="2472" priority="2958"/>
    <cfRule type="duplicateValues" dxfId="2471" priority="2959"/>
  </conditionalFormatting>
  <conditionalFormatting sqref="L292">
    <cfRule type="duplicateValues" dxfId="2470" priority="2954"/>
    <cfRule type="duplicateValues" dxfId="2469" priority="2955"/>
    <cfRule type="duplicateValues" dxfId="2468" priority="2956"/>
    <cfRule type="duplicateValues" dxfId="2467" priority="2957"/>
  </conditionalFormatting>
  <conditionalFormatting sqref="N292">
    <cfRule type="duplicateValues" dxfId="2466" priority="2953"/>
  </conditionalFormatting>
  <conditionalFormatting sqref="N292">
    <cfRule type="duplicateValues" dxfId="2465" priority="2952" stopIfTrue="1"/>
  </conditionalFormatting>
  <conditionalFormatting sqref="N292">
    <cfRule type="duplicateValues" dxfId="2464" priority="2950"/>
    <cfRule type="duplicateValues" dxfId="2463" priority="2951"/>
  </conditionalFormatting>
  <conditionalFormatting sqref="N292">
    <cfRule type="duplicateValues" dxfId="2462" priority="2946"/>
    <cfRule type="duplicateValues" dxfId="2461" priority="2947"/>
    <cfRule type="duplicateValues" dxfId="2460" priority="2948"/>
    <cfRule type="duplicateValues" dxfId="2459" priority="2949"/>
  </conditionalFormatting>
  <conditionalFormatting sqref="L293">
    <cfRule type="duplicateValues" dxfId="2458" priority="2945"/>
  </conditionalFormatting>
  <conditionalFormatting sqref="L293">
    <cfRule type="duplicateValues" dxfId="2457" priority="2944" stopIfTrue="1"/>
  </conditionalFormatting>
  <conditionalFormatting sqref="L293">
    <cfRule type="duplicateValues" dxfId="2456" priority="2942"/>
    <cfRule type="duplicateValues" dxfId="2455" priority="2943"/>
  </conditionalFormatting>
  <conditionalFormatting sqref="L293">
    <cfRule type="duplicateValues" dxfId="2454" priority="2938"/>
    <cfRule type="duplicateValues" dxfId="2453" priority="2939"/>
    <cfRule type="duplicateValues" dxfId="2452" priority="2940"/>
    <cfRule type="duplicateValues" dxfId="2451" priority="2941"/>
  </conditionalFormatting>
  <conditionalFormatting sqref="N293">
    <cfRule type="duplicateValues" dxfId="2450" priority="2937"/>
  </conditionalFormatting>
  <conditionalFormatting sqref="N293">
    <cfRule type="duplicateValues" dxfId="2449" priority="2936" stopIfTrue="1"/>
  </conditionalFormatting>
  <conditionalFormatting sqref="N293">
    <cfRule type="duplicateValues" dxfId="2448" priority="2934"/>
    <cfRule type="duplicateValues" dxfId="2447" priority="2935"/>
  </conditionalFormatting>
  <conditionalFormatting sqref="N293">
    <cfRule type="duplicateValues" dxfId="2446" priority="2930"/>
    <cfRule type="duplicateValues" dxfId="2445" priority="2931"/>
    <cfRule type="duplicateValues" dxfId="2444" priority="2932"/>
    <cfRule type="duplicateValues" dxfId="2443" priority="2933"/>
  </conditionalFormatting>
  <conditionalFormatting sqref="N293">
    <cfRule type="duplicateValues" dxfId="2442" priority="2929"/>
  </conditionalFormatting>
  <conditionalFormatting sqref="N293">
    <cfRule type="duplicateValues" dxfId="2441" priority="2928" stopIfTrue="1"/>
  </conditionalFormatting>
  <conditionalFormatting sqref="N293">
    <cfRule type="duplicateValues" dxfId="2440" priority="2926"/>
    <cfRule type="duplicateValues" dxfId="2439" priority="2927"/>
  </conditionalFormatting>
  <conditionalFormatting sqref="N293">
    <cfRule type="duplicateValues" dxfId="2438" priority="2922"/>
    <cfRule type="duplicateValues" dxfId="2437" priority="2923"/>
    <cfRule type="duplicateValues" dxfId="2436" priority="2924"/>
    <cfRule type="duplicateValues" dxfId="2435" priority="2925"/>
  </conditionalFormatting>
  <conditionalFormatting sqref="N294">
    <cfRule type="duplicateValues" dxfId="2434" priority="2921"/>
  </conditionalFormatting>
  <conditionalFormatting sqref="N294">
    <cfRule type="duplicateValues" dxfId="2433" priority="2920" stopIfTrue="1"/>
  </conditionalFormatting>
  <conditionalFormatting sqref="N294">
    <cfRule type="duplicateValues" dxfId="2432" priority="2918"/>
    <cfRule type="duplicateValues" dxfId="2431" priority="2919"/>
  </conditionalFormatting>
  <conditionalFormatting sqref="N294">
    <cfRule type="duplicateValues" dxfId="2430" priority="2914"/>
    <cfRule type="duplicateValues" dxfId="2429" priority="2915"/>
    <cfRule type="duplicateValues" dxfId="2428" priority="2916"/>
    <cfRule type="duplicateValues" dxfId="2427" priority="2917"/>
  </conditionalFormatting>
  <conditionalFormatting sqref="N294">
    <cfRule type="duplicateValues" dxfId="2426" priority="2913"/>
  </conditionalFormatting>
  <conditionalFormatting sqref="N294">
    <cfRule type="duplicateValues" dxfId="2425" priority="2912" stopIfTrue="1"/>
  </conditionalFormatting>
  <conditionalFormatting sqref="N294">
    <cfRule type="duplicateValues" dxfId="2424" priority="2910"/>
    <cfRule type="duplicateValues" dxfId="2423" priority="2911"/>
  </conditionalFormatting>
  <conditionalFormatting sqref="N294">
    <cfRule type="duplicateValues" dxfId="2422" priority="2906"/>
    <cfRule type="duplicateValues" dxfId="2421" priority="2907"/>
    <cfRule type="duplicateValues" dxfId="2420" priority="2908"/>
    <cfRule type="duplicateValues" dxfId="2419" priority="2909"/>
  </conditionalFormatting>
  <conditionalFormatting sqref="L295">
    <cfRule type="duplicateValues" dxfId="2418" priority="2905"/>
  </conditionalFormatting>
  <conditionalFormatting sqref="L295">
    <cfRule type="duplicateValues" dxfId="2417" priority="2904" stopIfTrue="1"/>
  </conditionalFormatting>
  <conditionalFormatting sqref="L295">
    <cfRule type="duplicateValues" dxfId="2416" priority="2902"/>
    <cfRule type="duplicateValues" dxfId="2415" priority="2903"/>
  </conditionalFormatting>
  <conditionalFormatting sqref="L295">
    <cfRule type="duplicateValues" dxfId="2414" priority="2898"/>
    <cfRule type="duplicateValues" dxfId="2413" priority="2899"/>
    <cfRule type="duplicateValues" dxfId="2412" priority="2900"/>
    <cfRule type="duplicateValues" dxfId="2411" priority="2901"/>
  </conditionalFormatting>
  <conditionalFormatting sqref="L295">
    <cfRule type="duplicateValues" dxfId="2410" priority="2897"/>
  </conditionalFormatting>
  <conditionalFormatting sqref="L295">
    <cfRule type="duplicateValues" dxfId="2409" priority="2896" stopIfTrue="1"/>
  </conditionalFormatting>
  <conditionalFormatting sqref="L295">
    <cfRule type="duplicateValues" dxfId="2408" priority="2894"/>
    <cfRule type="duplicateValues" dxfId="2407" priority="2895"/>
  </conditionalFormatting>
  <conditionalFormatting sqref="L295">
    <cfRule type="duplicateValues" dxfId="2406" priority="2890"/>
    <cfRule type="duplicateValues" dxfId="2405" priority="2891"/>
    <cfRule type="duplicateValues" dxfId="2404" priority="2892"/>
    <cfRule type="duplicateValues" dxfId="2403" priority="2893"/>
  </conditionalFormatting>
  <conditionalFormatting sqref="N295">
    <cfRule type="duplicateValues" dxfId="2402" priority="2889"/>
  </conditionalFormatting>
  <conditionalFormatting sqref="N295">
    <cfRule type="duplicateValues" dxfId="2401" priority="2888" stopIfTrue="1"/>
  </conditionalFormatting>
  <conditionalFormatting sqref="N295">
    <cfRule type="duplicateValues" dxfId="2400" priority="2886"/>
    <cfRule type="duplicateValues" dxfId="2399" priority="2887"/>
  </conditionalFormatting>
  <conditionalFormatting sqref="N295">
    <cfRule type="duplicateValues" dxfId="2398" priority="2882"/>
    <cfRule type="duplicateValues" dxfId="2397" priority="2883"/>
    <cfRule type="duplicateValues" dxfId="2396" priority="2884"/>
    <cfRule type="duplicateValues" dxfId="2395" priority="2885"/>
  </conditionalFormatting>
  <conditionalFormatting sqref="N295">
    <cfRule type="duplicateValues" dxfId="2394" priority="2881"/>
  </conditionalFormatting>
  <conditionalFormatting sqref="N295">
    <cfRule type="duplicateValues" dxfId="2393" priority="2880" stopIfTrue="1"/>
  </conditionalFormatting>
  <conditionalFormatting sqref="N295">
    <cfRule type="duplicateValues" dxfId="2392" priority="2878"/>
    <cfRule type="duplicateValues" dxfId="2391" priority="2879"/>
  </conditionalFormatting>
  <conditionalFormatting sqref="N295">
    <cfRule type="duplicateValues" dxfId="2390" priority="2874"/>
    <cfRule type="duplicateValues" dxfId="2389" priority="2875"/>
    <cfRule type="duplicateValues" dxfId="2388" priority="2876"/>
    <cfRule type="duplicateValues" dxfId="2387" priority="2877"/>
  </conditionalFormatting>
  <conditionalFormatting sqref="C298:C305 C317:C356">
    <cfRule type="duplicateValues" dxfId="2386" priority="85534" stopIfTrue="1"/>
  </conditionalFormatting>
  <conditionalFormatting sqref="A78 A69 A47 A36 A42 A49 A51 A53 A58 A62 A71:A72 A74:A76 A80:A81 A83:A84 A86:A87 A89:A90 A95:A96 A100 A129:A132 A30:A34 A7:A17 A64:A65 A105:A106 A109:A126 A165 A178:A200 A134:A139 A205 A20:A21 A25:A26 A141:A162 A297:A356">
    <cfRule type="duplicateValues" dxfId="2385" priority="85535" stopIfTrue="1"/>
  </conditionalFormatting>
  <conditionalFormatting sqref="A78 A69 A47 A36 A42 A49 A51 A53 A58 A62 A71:A72 A74:A76 A80:A81 A83:A84 A86:A87 A89:A90 A95:A96 A100 A129:A132 A30:A34 A7:A17 A64:A65 A105:A106 A109:A126 A165 A178:A200 A134:A139 A205 A20:A21 A25:A26 A141:A162 A297:A356">
    <cfRule type="duplicateValues" dxfId="2384" priority="85567" stopIfTrue="1"/>
  </conditionalFormatting>
  <conditionalFormatting sqref="A78 A69 A47 A36 A42 A49 A51 A53 A58 A62 A71:A72 A74:A76 A80:A81 A83:A84 A86:A87 A89:A90 A95:A96 A100 A129:A132 A30:A34 A7:A17 A64:A65 A105:A106 A109:A126 A165 A178:A200 A134:A139 A205 A20:A21 A25:A26 A141:A162 A297:A356">
    <cfRule type="duplicateValues" dxfId="2383" priority="85599" stopIfTrue="1"/>
    <cfRule type="duplicateValues" dxfId="2382" priority="85600" stopIfTrue="1"/>
  </conditionalFormatting>
  <conditionalFormatting sqref="A78 A69 A47 A36 A42 A49 A51 A53 A58 A62 A71:A72 A74:A76 A80:A81 A83:A84 A86:A87 A89:A90 A95:A96 A100 A129:A132 A30:A34 A7:A17 A64:A65 A105:A106 A109:A126 A165 A178:A200 A134:A139 A205 A20:A21 A25:A26 A141:A162 A297:A356">
    <cfRule type="duplicateValues" dxfId="2381" priority="85663"/>
  </conditionalFormatting>
  <conditionalFormatting sqref="A78 A69 A47 A36 A42 A49 A51 A53 A58 A62 A71:A72 A74:A76 A80:A81 A83:A84 A86:A87 A89:A90 A95:A96 A100 A129:A132 A30:A34 A7:A17 A64:A65 A105:A106 A109:A126 A165 A178:A200 A134:A139 A205 A20:A21 A25:A26 A141:A162 A297:A356">
    <cfRule type="duplicateValues" dxfId="2380" priority="85695"/>
    <cfRule type="duplicateValues" dxfId="2379" priority="85696"/>
  </conditionalFormatting>
  <conditionalFormatting sqref="N304">
    <cfRule type="duplicateValues" dxfId="2378" priority="2834"/>
  </conditionalFormatting>
  <conditionalFormatting sqref="N304">
    <cfRule type="duplicateValues" dxfId="2377" priority="2835" stopIfTrue="1"/>
  </conditionalFormatting>
  <conditionalFormatting sqref="N304">
    <cfRule type="duplicateValues" dxfId="2376" priority="2836"/>
    <cfRule type="duplicateValues" dxfId="2375" priority="2837"/>
  </conditionalFormatting>
  <conditionalFormatting sqref="N304">
    <cfRule type="duplicateValues" dxfId="2374" priority="2838"/>
    <cfRule type="duplicateValues" dxfId="2373" priority="2839"/>
    <cfRule type="duplicateValues" dxfId="2372" priority="2840"/>
    <cfRule type="duplicateValues" dxfId="2371" priority="2841"/>
  </conditionalFormatting>
  <conditionalFormatting sqref="N304">
    <cfRule type="duplicateValues" dxfId="2370" priority="2842"/>
  </conditionalFormatting>
  <conditionalFormatting sqref="N304">
    <cfRule type="duplicateValues" dxfId="2369" priority="2843" stopIfTrue="1"/>
  </conditionalFormatting>
  <conditionalFormatting sqref="N304">
    <cfRule type="duplicateValues" dxfId="2368" priority="2844"/>
    <cfRule type="duplicateValues" dxfId="2367" priority="2845"/>
  </conditionalFormatting>
  <conditionalFormatting sqref="N304">
    <cfRule type="duplicateValues" dxfId="2366" priority="2846"/>
    <cfRule type="duplicateValues" dxfId="2365" priority="2847"/>
    <cfRule type="duplicateValues" dxfId="2364" priority="2848"/>
    <cfRule type="duplicateValues" dxfId="2363" priority="2849"/>
  </conditionalFormatting>
  <conditionalFormatting sqref="L305">
    <cfRule type="duplicateValues" dxfId="2362" priority="2818"/>
  </conditionalFormatting>
  <conditionalFormatting sqref="L305">
    <cfRule type="duplicateValues" dxfId="2361" priority="2819" stopIfTrue="1"/>
  </conditionalFormatting>
  <conditionalFormatting sqref="L305">
    <cfRule type="duplicateValues" dxfId="2360" priority="2820"/>
    <cfRule type="duplicateValues" dxfId="2359" priority="2821"/>
  </conditionalFormatting>
  <conditionalFormatting sqref="L305">
    <cfRule type="duplicateValues" dxfId="2358" priority="2822"/>
    <cfRule type="duplicateValues" dxfId="2357" priority="2823"/>
    <cfRule type="duplicateValues" dxfId="2356" priority="2824"/>
    <cfRule type="duplicateValues" dxfId="2355" priority="2825"/>
  </conditionalFormatting>
  <conditionalFormatting sqref="L305">
    <cfRule type="duplicateValues" dxfId="2354" priority="2826"/>
  </conditionalFormatting>
  <conditionalFormatting sqref="L305">
    <cfRule type="duplicateValues" dxfId="2353" priority="2827" stopIfTrue="1"/>
  </conditionalFormatting>
  <conditionalFormatting sqref="L305">
    <cfRule type="duplicateValues" dxfId="2352" priority="2828"/>
    <cfRule type="duplicateValues" dxfId="2351" priority="2829"/>
  </conditionalFormatting>
  <conditionalFormatting sqref="L305">
    <cfRule type="duplicateValues" dxfId="2350" priority="2830"/>
    <cfRule type="duplicateValues" dxfId="2349" priority="2831"/>
    <cfRule type="duplicateValues" dxfId="2348" priority="2832"/>
    <cfRule type="duplicateValues" dxfId="2347" priority="2833"/>
  </conditionalFormatting>
  <conditionalFormatting sqref="N305">
    <cfRule type="duplicateValues" dxfId="2346" priority="2810"/>
  </conditionalFormatting>
  <conditionalFormatting sqref="N305">
    <cfRule type="duplicateValues" dxfId="2345" priority="2811" stopIfTrue="1"/>
  </conditionalFormatting>
  <conditionalFormatting sqref="N305">
    <cfRule type="duplicateValues" dxfId="2344" priority="2812"/>
    <cfRule type="duplicateValues" dxfId="2343" priority="2813"/>
  </conditionalFormatting>
  <conditionalFormatting sqref="N305">
    <cfRule type="duplicateValues" dxfId="2342" priority="2814"/>
    <cfRule type="duplicateValues" dxfId="2341" priority="2815"/>
    <cfRule type="duplicateValues" dxfId="2340" priority="2816"/>
    <cfRule type="duplicateValues" dxfId="2339" priority="2817"/>
  </conditionalFormatting>
  <conditionalFormatting sqref="L301">
    <cfRule type="duplicateValues" dxfId="2338" priority="2802"/>
  </conditionalFormatting>
  <conditionalFormatting sqref="L301">
    <cfRule type="duplicateValues" dxfId="2337" priority="2803" stopIfTrue="1"/>
  </conditionalFormatting>
  <conditionalFormatting sqref="L301">
    <cfRule type="duplicateValues" dxfId="2336" priority="2804"/>
    <cfRule type="duplicateValues" dxfId="2335" priority="2805"/>
  </conditionalFormatting>
  <conditionalFormatting sqref="L301">
    <cfRule type="duplicateValues" dxfId="2334" priority="2806"/>
    <cfRule type="duplicateValues" dxfId="2333" priority="2807"/>
    <cfRule type="duplicateValues" dxfId="2332" priority="2808"/>
    <cfRule type="duplicateValues" dxfId="2331" priority="2809"/>
  </conditionalFormatting>
  <conditionalFormatting sqref="N301">
    <cfRule type="duplicateValues" dxfId="2330" priority="2794"/>
  </conditionalFormatting>
  <conditionalFormatting sqref="N301">
    <cfRule type="duplicateValues" dxfId="2329" priority="2795" stopIfTrue="1"/>
  </conditionalFormatting>
  <conditionalFormatting sqref="N301">
    <cfRule type="duplicateValues" dxfId="2328" priority="2796"/>
    <cfRule type="duplicateValues" dxfId="2327" priority="2797"/>
  </conditionalFormatting>
  <conditionalFormatting sqref="N301">
    <cfRule type="duplicateValues" dxfId="2326" priority="2798"/>
    <cfRule type="duplicateValues" dxfId="2325" priority="2799"/>
    <cfRule type="duplicateValues" dxfId="2324" priority="2800"/>
    <cfRule type="duplicateValues" dxfId="2323" priority="2801"/>
  </conditionalFormatting>
  <conditionalFormatting sqref="N300">
    <cfRule type="duplicateValues" dxfId="2322" priority="2786"/>
  </conditionalFormatting>
  <conditionalFormatting sqref="N300">
    <cfRule type="duplicateValues" dxfId="2321" priority="2787" stopIfTrue="1"/>
  </conditionalFormatting>
  <conditionalFormatting sqref="N300">
    <cfRule type="duplicateValues" dxfId="2320" priority="2788"/>
    <cfRule type="duplicateValues" dxfId="2319" priority="2789"/>
  </conditionalFormatting>
  <conditionalFormatting sqref="N300">
    <cfRule type="duplicateValues" dxfId="2318" priority="2790"/>
    <cfRule type="duplicateValues" dxfId="2317" priority="2791"/>
    <cfRule type="duplicateValues" dxfId="2316" priority="2792"/>
    <cfRule type="duplicateValues" dxfId="2315" priority="2793"/>
  </conditionalFormatting>
  <conditionalFormatting sqref="L302">
    <cfRule type="duplicateValues" dxfId="2314" priority="2778"/>
  </conditionalFormatting>
  <conditionalFormatting sqref="L302">
    <cfRule type="duplicateValues" dxfId="2313" priority="2779" stopIfTrue="1"/>
  </conditionalFormatting>
  <conditionalFormatting sqref="L302">
    <cfRule type="duplicateValues" dxfId="2312" priority="2780"/>
    <cfRule type="duplicateValues" dxfId="2311" priority="2781"/>
  </conditionalFormatting>
  <conditionalFormatting sqref="L302">
    <cfRule type="duplicateValues" dxfId="2310" priority="2782"/>
    <cfRule type="duplicateValues" dxfId="2309" priority="2783"/>
    <cfRule type="duplicateValues" dxfId="2308" priority="2784"/>
    <cfRule type="duplicateValues" dxfId="2307" priority="2785"/>
  </conditionalFormatting>
  <conditionalFormatting sqref="L306">
    <cfRule type="duplicateValues" dxfId="2306" priority="2770"/>
  </conditionalFormatting>
  <conditionalFormatting sqref="L306">
    <cfRule type="duplicateValues" dxfId="2305" priority="2771" stopIfTrue="1"/>
  </conditionalFormatting>
  <conditionalFormatting sqref="L306">
    <cfRule type="duplicateValues" dxfId="2304" priority="2772"/>
    <cfRule type="duplicateValues" dxfId="2303" priority="2773"/>
  </conditionalFormatting>
  <conditionalFormatting sqref="L306">
    <cfRule type="duplicateValues" dxfId="2302" priority="2774"/>
    <cfRule type="duplicateValues" dxfId="2301" priority="2775"/>
    <cfRule type="duplicateValues" dxfId="2300" priority="2776"/>
    <cfRule type="duplicateValues" dxfId="2299" priority="2777"/>
  </conditionalFormatting>
  <conditionalFormatting sqref="N306">
    <cfRule type="duplicateValues" dxfId="2298" priority="2762"/>
  </conditionalFormatting>
  <conditionalFormatting sqref="N306">
    <cfRule type="duplicateValues" dxfId="2297" priority="2763" stopIfTrue="1"/>
  </conditionalFormatting>
  <conditionalFormatting sqref="N306">
    <cfRule type="duplicateValues" dxfId="2296" priority="2764"/>
    <cfRule type="duplicateValues" dxfId="2295" priority="2765"/>
  </conditionalFormatting>
  <conditionalFormatting sqref="N306">
    <cfRule type="duplicateValues" dxfId="2294" priority="2766"/>
    <cfRule type="duplicateValues" dxfId="2293" priority="2767"/>
    <cfRule type="duplicateValues" dxfId="2292" priority="2768"/>
    <cfRule type="duplicateValues" dxfId="2291" priority="2769"/>
  </conditionalFormatting>
  <conditionalFormatting sqref="L307">
    <cfRule type="duplicateValues" dxfId="2290" priority="2754"/>
  </conditionalFormatting>
  <conditionalFormatting sqref="L307">
    <cfRule type="duplicateValues" dxfId="2289" priority="2755" stopIfTrue="1"/>
  </conditionalFormatting>
  <conditionalFormatting sqref="L307">
    <cfRule type="duplicateValues" dxfId="2288" priority="2756"/>
    <cfRule type="duplicateValues" dxfId="2287" priority="2757"/>
  </conditionalFormatting>
  <conditionalFormatting sqref="L307">
    <cfRule type="duplicateValues" dxfId="2286" priority="2758"/>
    <cfRule type="duplicateValues" dxfId="2285" priority="2759"/>
    <cfRule type="duplicateValues" dxfId="2284" priority="2760"/>
    <cfRule type="duplicateValues" dxfId="2283" priority="2761"/>
  </conditionalFormatting>
  <conditionalFormatting sqref="N307">
    <cfRule type="duplicateValues" dxfId="2282" priority="2746"/>
  </conditionalFormatting>
  <conditionalFormatting sqref="N307">
    <cfRule type="duplicateValues" dxfId="2281" priority="2747" stopIfTrue="1"/>
  </conditionalFormatting>
  <conditionalFormatting sqref="N307">
    <cfRule type="duplicateValues" dxfId="2280" priority="2748"/>
    <cfRule type="duplicateValues" dxfId="2279" priority="2749"/>
  </conditionalFormatting>
  <conditionalFormatting sqref="N307">
    <cfRule type="duplicateValues" dxfId="2278" priority="2750"/>
    <cfRule type="duplicateValues" dxfId="2277" priority="2751"/>
    <cfRule type="duplicateValues" dxfId="2276" priority="2752"/>
    <cfRule type="duplicateValues" dxfId="2275" priority="2753"/>
  </conditionalFormatting>
  <conditionalFormatting sqref="L308">
    <cfRule type="duplicateValues" dxfId="2274" priority="2738"/>
  </conditionalFormatting>
  <conditionalFormatting sqref="L308">
    <cfRule type="duplicateValues" dxfId="2273" priority="2739" stopIfTrue="1"/>
  </conditionalFormatting>
  <conditionalFormatting sqref="L308">
    <cfRule type="duplicateValues" dxfId="2272" priority="2740"/>
    <cfRule type="duplicateValues" dxfId="2271" priority="2741"/>
  </conditionalFormatting>
  <conditionalFormatting sqref="L308">
    <cfRule type="duplicateValues" dxfId="2270" priority="2742"/>
    <cfRule type="duplicateValues" dxfId="2269" priority="2743"/>
    <cfRule type="duplicateValues" dxfId="2268" priority="2744"/>
    <cfRule type="duplicateValues" dxfId="2267" priority="2745"/>
  </conditionalFormatting>
  <conditionalFormatting sqref="N308">
    <cfRule type="duplicateValues" dxfId="2266" priority="2730"/>
  </conditionalFormatting>
  <conditionalFormatting sqref="N308">
    <cfRule type="duplicateValues" dxfId="2265" priority="2731" stopIfTrue="1"/>
  </conditionalFormatting>
  <conditionalFormatting sqref="N308">
    <cfRule type="duplicateValues" dxfId="2264" priority="2732"/>
    <cfRule type="duplicateValues" dxfId="2263" priority="2733"/>
  </conditionalFormatting>
  <conditionalFormatting sqref="N308">
    <cfRule type="duplicateValues" dxfId="2262" priority="2734"/>
    <cfRule type="duplicateValues" dxfId="2261" priority="2735"/>
    <cfRule type="duplicateValues" dxfId="2260" priority="2736"/>
    <cfRule type="duplicateValues" dxfId="2259" priority="2737"/>
  </conditionalFormatting>
  <conditionalFormatting sqref="L309">
    <cfRule type="duplicateValues" dxfId="2258" priority="2722"/>
  </conditionalFormatting>
  <conditionalFormatting sqref="L309">
    <cfRule type="duplicateValues" dxfId="2257" priority="2723" stopIfTrue="1"/>
  </conditionalFormatting>
  <conditionalFormatting sqref="L309">
    <cfRule type="duplicateValues" dxfId="2256" priority="2724"/>
    <cfRule type="duplicateValues" dxfId="2255" priority="2725"/>
  </conditionalFormatting>
  <conditionalFormatting sqref="L309">
    <cfRule type="duplicateValues" dxfId="2254" priority="2726"/>
    <cfRule type="duplicateValues" dxfId="2253" priority="2727"/>
    <cfRule type="duplicateValues" dxfId="2252" priority="2728"/>
    <cfRule type="duplicateValues" dxfId="2251" priority="2729"/>
  </conditionalFormatting>
  <conditionalFormatting sqref="N309">
    <cfRule type="duplicateValues" dxfId="2250" priority="2714"/>
  </conditionalFormatting>
  <conditionalFormatting sqref="N309">
    <cfRule type="duplicateValues" dxfId="2249" priority="2715" stopIfTrue="1"/>
  </conditionalFormatting>
  <conditionalFormatting sqref="N309">
    <cfRule type="duplicateValues" dxfId="2248" priority="2716"/>
    <cfRule type="duplicateValues" dxfId="2247" priority="2717"/>
  </conditionalFormatting>
  <conditionalFormatting sqref="N309">
    <cfRule type="duplicateValues" dxfId="2246" priority="2718"/>
    <cfRule type="duplicateValues" dxfId="2245" priority="2719"/>
    <cfRule type="duplicateValues" dxfId="2244" priority="2720"/>
    <cfRule type="duplicateValues" dxfId="2243" priority="2721"/>
  </conditionalFormatting>
  <conditionalFormatting sqref="L310">
    <cfRule type="duplicateValues" dxfId="2242" priority="2706"/>
  </conditionalFormatting>
  <conditionalFormatting sqref="L310">
    <cfRule type="duplicateValues" dxfId="2241" priority="2707" stopIfTrue="1"/>
  </conditionalFormatting>
  <conditionalFormatting sqref="L310">
    <cfRule type="duplicateValues" dxfId="2240" priority="2708"/>
    <cfRule type="duplicateValues" dxfId="2239" priority="2709"/>
  </conditionalFormatting>
  <conditionalFormatting sqref="L310">
    <cfRule type="duplicateValues" dxfId="2238" priority="2710"/>
    <cfRule type="duplicateValues" dxfId="2237" priority="2711"/>
    <cfRule type="duplicateValues" dxfId="2236" priority="2712"/>
    <cfRule type="duplicateValues" dxfId="2235" priority="2713"/>
  </conditionalFormatting>
  <conditionalFormatting sqref="L317">
    <cfRule type="duplicateValues" dxfId="2234" priority="2698"/>
  </conditionalFormatting>
  <conditionalFormatting sqref="L317">
    <cfRule type="duplicateValues" dxfId="2233" priority="2699" stopIfTrue="1"/>
  </conditionalFormatting>
  <conditionalFormatting sqref="L317">
    <cfRule type="duplicateValues" dxfId="2232" priority="2700"/>
    <cfRule type="duplicateValues" dxfId="2231" priority="2701"/>
  </conditionalFormatting>
  <conditionalFormatting sqref="L317">
    <cfRule type="duplicateValues" dxfId="2230" priority="2702"/>
    <cfRule type="duplicateValues" dxfId="2229" priority="2703"/>
    <cfRule type="duplicateValues" dxfId="2228" priority="2704"/>
    <cfRule type="duplicateValues" dxfId="2227" priority="2705"/>
  </conditionalFormatting>
  <conditionalFormatting sqref="N317">
    <cfRule type="duplicateValues" dxfId="2226" priority="2690"/>
  </conditionalFormatting>
  <conditionalFormatting sqref="N317">
    <cfRule type="duplicateValues" dxfId="2225" priority="2691" stopIfTrue="1"/>
  </conditionalFormatting>
  <conditionalFormatting sqref="N317">
    <cfRule type="duplicateValues" dxfId="2224" priority="2692"/>
    <cfRule type="duplicateValues" dxfId="2223" priority="2693"/>
  </conditionalFormatting>
  <conditionalFormatting sqref="N317">
    <cfRule type="duplicateValues" dxfId="2222" priority="2694"/>
    <cfRule type="duplicateValues" dxfId="2221" priority="2695"/>
    <cfRule type="duplicateValues" dxfId="2220" priority="2696"/>
    <cfRule type="duplicateValues" dxfId="2219" priority="2697"/>
  </conditionalFormatting>
  <conditionalFormatting sqref="L318">
    <cfRule type="duplicateValues" dxfId="2218" priority="2682"/>
  </conditionalFormatting>
  <conditionalFormatting sqref="L318">
    <cfRule type="duplicateValues" dxfId="2217" priority="2683" stopIfTrue="1"/>
  </conditionalFormatting>
  <conditionalFormatting sqref="L318">
    <cfRule type="duplicateValues" dxfId="2216" priority="2684"/>
    <cfRule type="duplicateValues" dxfId="2215" priority="2685"/>
  </conditionalFormatting>
  <conditionalFormatting sqref="L318">
    <cfRule type="duplicateValues" dxfId="2214" priority="2686"/>
    <cfRule type="duplicateValues" dxfId="2213" priority="2687"/>
    <cfRule type="duplicateValues" dxfId="2212" priority="2688"/>
    <cfRule type="duplicateValues" dxfId="2211" priority="2689"/>
  </conditionalFormatting>
  <conditionalFormatting sqref="N318">
    <cfRule type="duplicateValues" dxfId="2210" priority="2666"/>
  </conditionalFormatting>
  <conditionalFormatting sqref="N318">
    <cfRule type="duplicateValues" dxfId="2209" priority="2667" stopIfTrue="1"/>
  </conditionalFormatting>
  <conditionalFormatting sqref="N318">
    <cfRule type="duplicateValues" dxfId="2208" priority="2668"/>
    <cfRule type="duplicateValues" dxfId="2207" priority="2669"/>
  </conditionalFormatting>
  <conditionalFormatting sqref="N318">
    <cfRule type="duplicateValues" dxfId="2206" priority="2670"/>
    <cfRule type="duplicateValues" dxfId="2205" priority="2671"/>
    <cfRule type="duplicateValues" dxfId="2204" priority="2672"/>
    <cfRule type="duplicateValues" dxfId="2203" priority="2673"/>
  </conditionalFormatting>
  <conditionalFormatting sqref="N318">
    <cfRule type="duplicateValues" dxfId="2202" priority="2674"/>
  </conditionalFormatting>
  <conditionalFormatting sqref="N318">
    <cfRule type="duplicateValues" dxfId="2201" priority="2675" stopIfTrue="1"/>
  </conditionalFormatting>
  <conditionalFormatting sqref="N318">
    <cfRule type="duplicateValues" dxfId="2200" priority="2676"/>
    <cfRule type="duplicateValues" dxfId="2199" priority="2677"/>
  </conditionalFormatting>
  <conditionalFormatting sqref="N318">
    <cfRule type="duplicateValues" dxfId="2198" priority="2678"/>
    <cfRule type="duplicateValues" dxfId="2197" priority="2679"/>
    <cfRule type="duplicateValues" dxfId="2196" priority="2680"/>
    <cfRule type="duplicateValues" dxfId="2195" priority="2681"/>
  </conditionalFormatting>
  <conditionalFormatting sqref="N310">
    <cfRule type="duplicateValues" dxfId="2194" priority="2650"/>
  </conditionalFormatting>
  <conditionalFormatting sqref="N310">
    <cfRule type="duplicateValues" dxfId="2193" priority="2651" stopIfTrue="1"/>
  </conditionalFormatting>
  <conditionalFormatting sqref="N310">
    <cfRule type="duplicateValues" dxfId="2192" priority="2652"/>
    <cfRule type="duplicateValues" dxfId="2191" priority="2653"/>
  </conditionalFormatting>
  <conditionalFormatting sqref="N310">
    <cfRule type="duplicateValues" dxfId="2190" priority="2654"/>
    <cfRule type="duplicateValues" dxfId="2189" priority="2655"/>
    <cfRule type="duplicateValues" dxfId="2188" priority="2656"/>
    <cfRule type="duplicateValues" dxfId="2187" priority="2657"/>
  </conditionalFormatting>
  <conditionalFormatting sqref="N310">
    <cfRule type="duplicateValues" dxfId="2186" priority="2658"/>
  </conditionalFormatting>
  <conditionalFormatting sqref="N310">
    <cfRule type="duplicateValues" dxfId="2185" priority="2659" stopIfTrue="1"/>
  </conditionalFormatting>
  <conditionalFormatting sqref="N310">
    <cfRule type="duplicateValues" dxfId="2184" priority="2660"/>
    <cfRule type="duplicateValues" dxfId="2183" priority="2661"/>
  </conditionalFormatting>
  <conditionalFormatting sqref="N310">
    <cfRule type="duplicateValues" dxfId="2182" priority="2662"/>
    <cfRule type="duplicateValues" dxfId="2181" priority="2663"/>
    <cfRule type="duplicateValues" dxfId="2180" priority="2664"/>
    <cfRule type="duplicateValues" dxfId="2179" priority="2665"/>
  </conditionalFormatting>
  <conditionalFormatting sqref="L311">
    <cfRule type="duplicateValues" dxfId="2178" priority="2634"/>
  </conditionalFormatting>
  <conditionalFormatting sqref="L311">
    <cfRule type="duplicateValues" dxfId="2177" priority="2635" stopIfTrue="1"/>
  </conditionalFormatting>
  <conditionalFormatting sqref="L311">
    <cfRule type="duplicateValues" dxfId="2176" priority="2636"/>
    <cfRule type="duplicateValues" dxfId="2175" priority="2637"/>
  </conditionalFormatting>
  <conditionalFormatting sqref="L311">
    <cfRule type="duplicateValues" dxfId="2174" priority="2638"/>
    <cfRule type="duplicateValues" dxfId="2173" priority="2639"/>
    <cfRule type="duplicateValues" dxfId="2172" priority="2640"/>
    <cfRule type="duplicateValues" dxfId="2171" priority="2641"/>
  </conditionalFormatting>
  <conditionalFormatting sqref="L311">
    <cfRule type="duplicateValues" dxfId="2170" priority="2642"/>
  </conditionalFormatting>
  <conditionalFormatting sqref="L311">
    <cfRule type="duplicateValues" dxfId="2169" priority="2643" stopIfTrue="1"/>
  </conditionalFormatting>
  <conditionalFormatting sqref="L311">
    <cfRule type="duplicateValues" dxfId="2168" priority="2644"/>
    <cfRule type="duplicateValues" dxfId="2167" priority="2645"/>
  </conditionalFormatting>
  <conditionalFormatting sqref="L311">
    <cfRule type="duplicateValues" dxfId="2166" priority="2646"/>
    <cfRule type="duplicateValues" dxfId="2165" priority="2647"/>
    <cfRule type="duplicateValues" dxfId="2164" priority="2648"/>
    <cfRule type="duplicateValues" dxfId="2163" priority="2649"/>
  </conditionalFormatting>
  <conditionalFormatting sqref="N311">
    <cfRule type="duplicateValues" dxfId="2162" priority="2618"/>
  </conditionalFormatting>
  <conditionalFormatting sqref="N311">
    <cfRule type="duplicateValues" dxfId="2161" priority="2619" stopIfTrue="1"/>
  </conditionalFormatting>
  <conditionalFormatting sqref="N311">
    <cfRule type="duplicateValues" dxfId="2160" priority="2620"/>
    <cfRule type="duplicateValues" dxfId="2159" priority="2621"/>
  </conditionalFormatting>
  <conditionalFormatting sqref="N311">
    <cfRule type="duplicateValues" dxfId="2158" priority="2622"/>
    <cfRule type="duplicateValues" dxfId="2157" priority="2623"/>
    <cfRule type="duplicateValues" dxfId="2156" priority="2624"/>
    <cfRule type="duplicateValues" dxfId="2155" priority="2625"/>
  </conditionalFormatting>
  <conditionalFormatting sqref="N311">
    <cfRule type="duplicateValues" dxfId="2154" priority="2626"/>
  </conditionalFormatting>
  <conditionalFormatting sqref="N311">
    <cfRule type="duplicateValues" dxfId="2153" priority="2627" stopIfTrue="1"/>
  </conditionalFormatting>
  <conditionalFormatting sqref="N311">
    <cfRule type="duplicateValues" dxfId="2152" priority="2628"/>
    <cfRule type="duplicateValues" dxfId="2151" priority="2629"/>
  </conditionalFormatting>
  <conditionalFormatting sqref="N311">
    <cfRule type="duplicateValues" dxfId="2150" priority="2630"/>
    <cfRule type="duplicateValues" dxfId="2149" priority="2631"/>
    <cfRule type="duplicateValues" dxfId="2148" priority="2632"/>
    <cfRule type="duplicateValues" dxfId="2147" priority="2633"/>
  </conditionalFormatting>
  <conditionalFormatting sqref="L312">
    <cfRule type="duplicateValues" dxfId="2146" priority="2602"/>
  </conditionalFormatting>
  <conditionalFormatting sqref="L312">
    <cfRule type="duplicateValues" dxfId="2145" priority="2603" stopIfTrue="1"/>
  </conditionalFormatting>
  <conditionalFormatting sqref="L312">
    <cfRule type="duplicateValues" dxfId="2144" priority="2604"/>
    <cfRule type="duplicateValues" dxfId="2143" priority="2605"/>
  </conditionalFormatting>
  <conditionalFormatting sqref="L312">
    <cfRule type="duplicateValues" dxfId="2142" priority="2606"/>
    <cfRule type="duplicateValues" dxfId="2141" priority="2607"/>
    <cfRule type="duplicateValues" dxfId="2140" priority="2608"/>
    <cfRule type="duplicateValues" dxfId="2139" priority="2609"/>
  </conditionalFormatting>
  <conditionalFormatting sqref="L312">
    <cfRule type="duplicateValues" dxfId="2138" priority="2610"/>
  </conditionalFormatting>
  <conditionalFormatting sqref="L312">
    <cfRule type="duplicateValues" dxfId="2137" priority="2611" stopIfTrue="1"/>
  </conditionalFormatting>
  <conditionalFormatting sqref="L312">
    <cfRule type="duplicateValues" dxfId="2136" priority="2612"/>
    <cfRule type="duplicateValues" dxfId="2135" priority="2613"/>
  </conditionalFormatting>
  <conditionalFormatting sqref="L312">
    <cfRule type="duplicateValues" dxfId="2134" priority="2614"/>
    <cfRule type="duplicateValues" dxfId="2133" priority="2615"/>
    <cfRule type="duplicateValues" dxfId="2132" priority="2616"/>
    <cfRule type="duplicateValues" dxfId="2131" priority="2617"/>
  </conditionalFormatting>
  <conditionalFormatting sqref="N313">
    <cfRule type="duplicateValues" dxfId="2130" priority="2594"/>
  </conditionalFormatting>
  <conditionalFormatting sqref="N313">
    <cfRule type="duplicateValues" dxfId="2129" priority="2595" stopIfTrue="1"/>
  </conditionalFormatting>
  <conditionalFormatting sqref="N313">
    <cfRule type="duplicateValues" dxfId="2128" priority="2596"/>
    <cfRule type="duplicateValues" dxfId="2127" priority="2597"/>
  </conditionalFormatting>
  <conditionalFormatting sqref="N313">
    <cfRule type="duplicateValues" dxfId="2126" priority="2598"/>
    <cfRule type="duplicateValues" dxfId="2125" priority="2599"/>
    <cfRule type="duplicateValues" dxfId="2124" priority="2600"/>
    <cfRule type="duplicateValues" dxfId="2123" priority="2601"/>
  </conditionalFormatting>
  <conditionalFormatting sqref="L314">
    <cfRule type="duplicateValues" dxfId="2122" priority="2586"/>
  </conditionalFormatting>
  <conditionalFormatting sqref="L314">
    <cfRule type="duplicateValues" dxfId="2121" priority="2587" stopIfTrue="1"/>
  </conditionalFormatting>
  <conditionalFormatting sqref="L314">
    <cfRule type="duplicateValues" dxfId="2120" priority="2588"/>
    <cfRule type="duplicateValues" dxfId="2119" priority="2589"/>
  </conditionalFormatting>
  <conditionalFormatting sqref="L314">
    <cfRule type="duplicateValues" dxfId="2118" priority="2590"/>
    <cfRule type="duplicateValues" dxfId="2117" priority="2591"/>
    <cfRule type="duplicateValues" dxfId="2116" priority="2592"/>
    <cfRule type="duplicateValues" dxfId="2115" priority="2593"/>
  </conditionalFormatting>
  <conditionalFormatting sqref="N314">
    <cfRule type="duplicateValues" dxfId="2114" priority="2570"/>
  </conditionalFormatting>
  <conditionalFormatting sqref="N314">
    <cfRule type="duplicateValues" dxfId="2113" priority="2571" stopIfTrue="1"/>
  </conditionalFormatting>
  <conditionalFormatting sqref="N314">
    <cfRule type="duplicateValues" dxfId="2112" priority="2572"/>
    <cfRule type="duplicateValues" dxfId="2111" priority="2573"/>
  </conditionalFormatting>
  <conditionalFormatting sqref="N314">
    <cfRule type="duplicateValues" dxfId="2110" priority="2574"/>
    <cfRule type="duplicateValues" dxfId="2109" priority="2575"/>
    <cfRule type="duplicateValues" dxfId="2108" priority="2576"/>
    <cfRule type="duplicateValues" dxfId="2107" priority="2577"/>
  </conditionalFormatting>
  <conditionalFormatting sqref="N314">
    <cfRule type="duplicateValues" dxfId="2106" priority="2578"/>
  </conditionalFormatting>
  <conditionalFormatting sqref="N314">
    <cfRule type="duplicateValues" dxfId="2105" priority="2579" stopIfTrue="1"/>
  </conditionalFormatting>
  <conditionalFormatting sqref="N314">
    <cfRule type="duplicateValues" dxfId="2104" priority="2580"/>
    <cfRule type="duplicateValues" dxfId="2103" priority="2581"/>
  </conditionalFormatting>
  <conditionalFormatting sqref="N314">
    <cfRule type="duplicateValues" dxfId="2102" priority="2582"/>
    <cfRule type="duplicateValues" dxfId="2101" priority="2583"/>
    <cfRule type="duplicateValues" dxfId="2100" priority="2584"/>
    <cfRule type="duplicateValues" dxfId="2099" priority="2585"/>
  </conditionalFormatting>
  <conditionalFormatting sqref="L315">
    <cfRule type="duplicateValues" dxfId="2098" priority="2554"/>
  </conditionalFormatting>
  <conditionalFormatting sqref="L315">
    <cfRule type="duplicateValues" dxfId="2097" priority="2555" stopIfTrue="1"/>
  </conditionalFormatting>
  <conditionalFormatting sqref="L315">
    <cfRule type="duplicateValues" dxfId="2096" priority="2556"/>
    <cfRule type="duplicateValues" dxfId="2095" priority="2557"/>
  </conditionalFormatting>
  <conditionalFormatting sqref="L315">
    <cfRule type="duplicateValues" dxfId="2094" priority="2558"/>
    <cfRule type="duplicateValues" dxfId="2093" priority="2559"/>
    <cfRule type="duplicateValues" dxfId="2092" priority="2560"/>
    <cfRule type="duplicateValues" dxfId="2091" priority="2561"/>
  </conditionalFormatting>
  <conditionalFormatting sqref="L315">
    <cfRule type="duplicateValues" dxfId="2090" priority="2562"/>
  </conditionalFormatting>
  <conditionalFormatting sqref="L315">
    <cfRule type="duplicateValues" dxfId="2089" priority="2563" stopIfTrue="1"/>
  </conditionalFormatting>
  <conditionalFormatting sqref="L315">
    <cfRule type="duplicateValues" dxfId="2088" priority="2564"/>
    <cfRule type="duplicateValues" dxfId="2087" priority="2565"/>
  </conditionalFormatting>
  <conditionalFormatting sqref="L315">
    <cfRule type="duplicateValues" dxfId="2086" priority="2566"/>
    <cfRule type="duplicateValues" dxfId="2085" priority="2567"/>
    <cfRule type="duplicateValues" dxfId="2084" priority="2568"/>
    <cfRule type="duplicateValues" dxfId="2083" priority="2569"/>
  </conditionalFormatting>
  <conditionalFormatting sqref="N315">
    <cfRule type="duplicateValues" dxfId="2082" priority="2538"/>
  </conditionalFormatting>
  <conditionalFormatting sqref="N315">
    <cfRule type="duplicateValues" dxfId="2081" priority="2539" stopIfTrue="1"/>
  </conditionalFormatting>
  <conditionalFormatting sqref="N315">
    <cfRule type="duplicateValues" dxfId="2080" priority="2540"/>
    <cfRule type="duplicateValues" dxfId="2079" priority="2541"/>
  </conditionalFormatting>
  <conditionalFormatting sqref="N315">
    <cfRule type="duplicateValues" dxfId="2078" priority="2542"/>
    <cfRule type="duplicateValues" dxfId="2077" priority="2543"/>
    <cfRule type="duplicateValues" dxfId="2076" priority="2544"/>
    <cfRule type="duplicateValues" dxfId="2075" priority="2545"/>
  </conditionalFormatting>
  <conditionalFormatting sqref="N315">
    <cfRule type="duplicateValues" dxfId="2074" priority="2546"/>
  </conditionalFormatting>
  <conditionalFormatting sqref="N315">
    <cfRule type="duplicateValues" dxfId="2073" priority="2547" stopIfTrue="1"/>
  </conditionalFormatting>
  <conditionalFormatting sqref="N315">
    <cfRule type="duplicateValues" dxfId="2072" priority="2548"/>
    <cfRule type="duplicateValues" dxfId="2071" priority="2549"/>
  </conditionalFormatting>
  <conditionalFormatting sqref="N315">
    <cfRule type="duplicateValues" dxfId="2070" priority="2550"/>
    <cfRule type="duplicateValues" dxfId="2069" priority="2551"/>
    <cfRule type="duplicateValues" dxfId="2068" priority="2552"/>
    <cfRule type="duplicateValues" dxfId="2067" priority="2553"/>
  </conditionalFormatting>
  <conditionalFormatting sqref="L316">
    <cfRule type="duplicateValues" dxfId="2066" priority="2522"/>
  </conditionalFormatting>
  <conditionalFormatting sqref="L316">
    <cfRule type="duplicateValues" dxfId="2065" priority="2523" stopIfTrue="1"/>
  </conditionalFormatting>
  <conditionalFormatting sqref="L316">
    <cfRule type="duplicateValues" dxfId="2064" priority="2524"/>
    <cfRule type="duplicateValues" dxfId="2063" priority="2525"/>
  </conditionalFormatting>
  <conditionalFormatting sqref="L316">
    <cfRule type="duplicateValues" dxfId="2062" priority="2526"/>
    <cfRule type="duplicateValues" dxfId="2061" priority="2527"/>
    <cfRule type="duplicateValues" dxfId="2060" priority="2528"/>
    <cfRule type="duplicateValues" dxfId="2059" priority="2529"/>
  </conditionalFormatting>
  <conditionalFormatting sqref="L316">
    <cfRule type="duplicateValues" dxfId="2058" priority="2530"/>
  </conditionalFormatting>
  <conditionalFormatting sqref="L316">
    <cfRule type="duplicateValues" dxfId="2057" priority="2531" stopIfTrue="1"/>
  </conditionalFormatting>
  <conditionalFormatting sqref="L316">
    <cfRule type="duplicateValues" dxfId="2056" priority="2532"/>
    <cfRule type="duplicateValues" dxfId="2055" priority="2533"/>
  </conditionalFormatting>
  <conditionalFormatting sqref="L316">
    <cfRule type="duplicateValues" dxfId="2054" priority="2534"/>
    <cfRule type="duplicateValues" dxfId="2053" priority="2535"/>
    <cfRule type="duplicateValues" dxfId="2052" priority="2536"/>
    <cfRule type="duplicateValues" dxfId="2051" priority="2537"/>
  </conditionalFormatting>
  <conditionalFormatting sqref="N316">
    <cfRule type="duplicateValues" dxfId="2050" priority="2514"/>
  </conditionalFormatting>
  <conditionalFormatting sqref="N316">
    <cfRule type="duplicateValues" dxfId="2049" priority="2515" stopIfTrue="1"/>
  </conditionalFormatting>
  <conditionalFormatting sqref="N316">
    <cfRule type="duplicateValues" dxfId="2048" priority="2516"/>
    <cfRule type="duplicateValues" dxfId="2047" priority="2517"/>
  </conditionalFormatting>
  <conditionalFormatting sqref="N316">
    <cfRule type="duplicateValues" dxfId="2046" priority="2518"/>
    <cfRule type="duplicateValues" dxfId="2045" priority="2519"/>
    <cfRule type="duplicateValues" dxfId="2044" priority="2520"/>
    <cfRule type="duplicateValues" dxfId="2043" priority="2521"/>
  </conditionalFormatting>
  <conditionalFormatting sqref="L319">
    <cfRule type="duplicateValues" dxfId="2042" priority="2506"/>
  </conditionalFormatting>
  <conditionalFormatting sqref="L319">
    <cfRule type="duplicateValues" dxfId="2041" priority="2507" stopIfTrue="1"/>
  </conditionalFormatting>
  <conditionalFormatting sqref="L319">
    <cfRule type="duplicateValues" dxfId="2040" priority="2508"/>
    <cfRule type="duplicateValues" dxfId="2039" priority="2509"/>
  </conditionalFormatting>
  <conditionalFormatting sqref="L319">
    <cfRule type="duplicateValues" dxfId="2038" priority="2510"/>
    <cfRule type="duplicateValues" dxfId="2037" priority="2511"/>
    <cfRule type="duplicateValues" dxfId="2036" priority="2512"/>
    <cfRule type="duplicateValues" dxfId="2035" priority="2513"/>
  </conditionalFormatting>
  <conditionalFormatting sqref="N319">
    <cfRule type="duplicateValues" dxfId="2034" priority="2498"/>
  </conditionalFormatting>
  <conditionalFormatting sqref="N319">
    <cfRule type="duplicateValues" dxfId="2033" priority="2499" stopIfTrue="1"/>
  </conditionalFormatting>
  <conditionalFormatting sqref="N319">
    <cfRule type="duplicateValues" dxfId="2032" priority="2500"/>
    <cfRule type="duplicateValues" dxfId="2031" priority="2501"/>
  </conditionalFormatting>
  <conditionalFormatting sqref="N319">
    <cfRule type="duplicateValues" dxfId="2030" priority="2502"/>
    <cfRule type="duplicateValues" dxfId="2029" priority="2503"/>
    <cfRule type="duplicateValues" dxfId="2028" priority="2504"/>
    <cfRule type="duplicateValues" dxfId="2027" priority="2505"/>
  </conditionalFormatting>
  <conditionalFormatting sqref="L320">
    <cfRule type="duplicateValues" dxfId="2026" priority="2490"/>
  </conditionalFormatting>
  <conditionalFormatting sqref="L320">
    <cfRule type="duplicateValues" dxfId="2025" priority="2491" stopIfTrue="1"/>
  </conditionalFormatting>
  <conditionalFormatting sqref="L320">
    <cfRule type="duplicateValues" dxfId="2024" priority="2492"/>
    <cfRule type="duplicateValues" dxfId="2023" priority="2493"/>
  </conditionalFormatting>
  <conditionalFormatting sqref="L320">
    <cfRule type="duplicateValues" dxfId="2022" priority="2494"/>
    <cfRule type="duplicateValues" dxfId="2021" priority="2495"/>
    <cfRule type="duplicateValues" dxfId="2020" priority="2496"/>
    <cfRule type="duplicateValues" dxfId="2019" priority="2497"/>
  </conditionalFormatting>
  <conditionalFormatting sqref="N320">
    <cfRule type="duplicateValues" dxfId="2018" priority="2482"/>
  </conditionalFormatting>
  <conditionalFormatting sqref="N320">
    <cfRule type="duplicateValues" dxfId="2017" priority="2483" stopIfTrue="1"/>
  </conditionalFormatting>
  <conditionalFormatting sqref="N320">
    <cfRule type="duplicateValues" dxfId="2016" priority="2484"/>
    <cfRule type="duplicateValues" dxfId="2015" priority="2485"/>
  </conditionalFormatting>
  <conditionalFormatting sqref="N320">
    <cfRule type="duplicateValues" dxfId="2014" priority="2486"/>
    <cfRule type="duplicateValues" dxfId="2013" priority="2487"/>
    <cfRule type="duplicateValues" dxfId="2012" priority="2488"/>
    <cfRule type="duplicateValues" dxfId="2011" priority="2489"/>
  </conditionalFormatting>
  <conditionalFormatting sqref="L321">
    <cfRule type="duplicateValues" dxfId="2010" priority="2474"/>
  </conditionalFormatting>
  <conditionalFormatting sqref="L321">
    <cfRule type="duplicateValues" dxfId="2009" priority="2475" stopIfTrue="1"/>
  </conditionalFormatting>
  <conditionalFormatting sqref="L321">
    <cfRule type="duplicateValues" dxfId="2008" priority="2476"/>
    <cfRule type="duplicateValues" dxfId="2007" priority="2477"/>
  </conditionalFormatting>
  <conditionalFormatting sqref="L321">
    <cfRule type="duplicateValues" dxfId="2006" priority="2478"/>
    <cfRule type="duplicateValues" dxfId="2005" priority="2479"/>
    <cfRule type="duplicateValues" dxfId="2004" priority="2480"/>
    <cfRule type="duplicateValues" dxfId="2003" priority="2481"/>
  </conditionalFormatting>
  <conditionalFormatting sqref="N321">
    <cfRule type="duplicateValues" dxfId="2002" priority="2466"/>
  </conditionalFormatting>
  <conditionalFormatting sqref="N321">
    <cfRule type="duplicateValues" dxfId="2001" priority="2467" stopIfTrue="1"/>
  </conditionalFormatting>
  <conditionalFormatting sqref="N321">
    <cfRule type="duplicateValues" dxfId="2000" priority="2468"/>
    <cfRule type="duplicateValues" dxfId="1999" priority="2469"/>
  </conditionalFormatting>
  <conditionalFormatting sqref="N321">
    <cfRule type="duplicateValues" dxfId="1998" priority="2470"/>
    <cfRule type="duplicateValues" dxfId="1997" priority="2471"/>
    <cfRule type="duplicateValues" dxfId="1996" priority="2472"/>
    <cfRule type="duplicateValues" dxfId="1995" priority="2473"/>
  </conditionalFormatting>
  <conditionalFormatting sqref="L322">
    <cfRule type="duplicateValues" dxfId="1994" priority="2458"/>
  </conditionalFormatting>
  <conditionalFormatting sqref="L322">
    <cfRule type="duplicateValues" dxfId="1993" priority="2459" stopIfTrue="1"/>
  </conditionalFormatting>
  <conditionalFormatting sqref="L322">
    <cfRule type="duplicateValues" dxfId="1992" priority="2460"/>
    <cfRule type="duplicateValues" dxfId="1991" priority="2461"/>
  </conditionalFormatting>
  <conditionalFormatting sqref="L322">
    <cfRule type="duplicateValues" dxfId="1990" priority="2462"/>
    <cfRule type="duplicateValues" dxfId="1989" priority="2463"/>
    <cfRule type="duplicateValues" dxfId="1988" priority="2464"/>
    <cfRule type="duplicateValues" dxfId="1987" priority="2465"/>
  </conditionalFormatting>
  <conditionalFormatting sqref="N326">
    <cfRule type="duplicateValues" dxfId="1986" priority="2450"/>
  </conditionalFormatting>
  <conditionalFormatting sqref="N326">
    <cfRule type="duplicateValues" dxfId="1985" priority="2451" stopIfTrue="1"/>
  </conditionalFormatting>
  <conditionalFormatting sqref="N326">
    <cfRule type="duplicateValues" dxfId="1984" priority="2452"/>
    <cfRule type="duplicateValues" dxfId="1983" priority="2453"/>
  </conditionalFormatting>
  <conditionalFormatting sqref="N326">
    <cfRule type="duplicateValues" dxfId="1982" priority="2454"/>
    <cfRule type="duplicateValues" dxfId="1981" priority="2455"/>
    <cfRule type="duplicateValues" dxfId="1980" priority="2456"/>
    <cfRule type="duplicateValues" dxfId="1979" priority="2457"/>
  </conditionalFormatting>
  <conditionalFormatting sqref="L327">
    <cfRule type="duplicateValues" dxfId="1978" priority="2442"/>
  </conditionalFormatting>
  <conditionalFormatting sqref="L327">
    <cfRule type="duplicateValues" dxfId="1977" priority="2443" stopIfTrue="1"/>
  </conditionalFormatting>
  <conditionalFormatting sqref="L327">
    <cfRule type="duplicateValues" dxfId="1976" priority="2444"/>
    <cfRule type="duplicateValues" dxfId="1975" priority="2445"/>
  </conditionalFormatting>
  <conditionalFormatting sqref="L327">
    <cfRule type="duplicateValues" dxfId="1974" priority="2446"/>
    <cfRule type="duplicateValues" dxfId="1973" priority="2447"/>
    <cfRule type="duplicateValues" dxfId="1972" priority="2448"/>
    <cfRule type="duplicateValues" dxfId="1971" priority="2449"/>
  </conditionalFormatting>
  <conditionalFormatting sqref="N327">
    <cfRule type="duplicateValues" dxfId="1970" priority="2434"/>
  </conditionalFormatting>
  <conditionalFormatting sqref="N327">
    <cfRule type="duplicateValues" dxfId="1969" priority="2435" stopIfTrue="1"/>
  </conditionalFormatting>
  <conditionalFormatting sqref="N327">
    <cfRule type="duplicateValues" dxfId="1968" priority="2436"/>
    <cfRule type="duplicateValues" dxfId="1967" priority="2437"/>
  </conditionalFormatting>
  <conditionalFormatting sqref="N327">
    <cfRule type="duplicateValues" dxfId="1966" priority="2438"/>
    <cfRule type="duplicateValues" dxfId="1965" priority="2439"/>
    <cfRule type="duplicateValues" dxfId="1964" priority="2440"/>
    <cfRule type="duplicateValues" dxfId="1963" priority="2441"/>
  </conditionalFormatting>
  <conditionalFormatting sqref="L328">
    <cfRule type="duplicateValues" dxfId="1962" priority="2426"/>
  </conditionalFormatting>
  <conditionalFormatting sqref="L328">
    <cfRule type="duplicateValues" dxfId="1961" priority="2427" stopIfTrue="1"/>
  </conditionalFormatting>
  <conditionalFormatting sqref="L328">
    <cfRule type="duplicateValues" dxfId="1960" priority="2428"/>
    <cfRule type="duplicateValues" dxfId="1959" priority="2429"/>
  </conditionalFormatting>
  <conditionalFormatting sqref="L328">
    <cfRule type="duplicateValues" dxfId="1958" priority="2430"/>
    <cfRule type="duplicateValues" dxfId="1957" priority="2431"/>
    <cfRule type="duplicateValues" dxfId="1956" priority="2432"/>
    <cfRule type="duplicateValues" dxfId="1955" priority="2433"/>
  </conditionalFormatting>
  <conditionalFormatting sqref="N328">
    <cfRule type="duplicateValues" dxfId="1954" priority="2418"/>
  </conditionalFormatting>
  <conditionalFormatting sqref="N328">
    <cfRule type="duplicateValues" dxfId="1953" priority="2419" stopIfTrue="1"/>
  </conditionalFormatting>
  <conditionalFormatting sqref="N328">
    <cfRule type="duplicateValues" dxfId="1952" priority="2420"/>
    <cfRule type="duplicateValues" dxfId="1951" priority="2421"/>
  </conditionalFormatting>
  <conditionalFormatting sqref="N328">
    <cfRule type="duplicateValues" dxfId="1950" priority="2422"/>
    <cfRule type="duplicateValues" dxfId="1949" priority="2423"/>
    <cfRule type="duplicateValues" dxfId="1948" priority="2424"/>
    <cfRule type="duplicateValues" dxfId="1947" priority="2425"/>
  </conditionalFormatting>
  <conditionalFormatting sqref="L329">
    <cfRule type="duplicateValues" dxfId="1946" priority="2410"/>
  </conditionalFormatting>
  <conditionalFormatting sqref="L329">
    <cfRule type="duplicateValues" dxfId="1945" priority="2411" stopIfTrue="1"/>
  </conditionalFormatting>
  <conditionalFormatting sqref="L329">
    <cfRule type="duplicateValues" dxfId="1944" priority="2412"/>
    <cfRule type="duplicateValues" dxfId="1943" priority="2413"/>
  </conditionalFormatting>
  <conditionalFormatting sqref="L329">
    <cfRule type="duplicateValues" dxfId="1942" priority="2414"/>
    <cfRule type="duplicateValues" dxfId="1941" priority="2415"/>
    <cfRule type="duplicateValues" dxfId="1940" priority="2416"/>
    <cfRule type="duplicateValues" dxfId="1939" priority="2417"/>
  </conditionalFormatting>
  <conditionalFormatting sqref="N329">
    <cfRule type="duplicateValues" dxfId="1938" priority="2402"/>
  </conditionalFormatting>
  <conditionalFormatting sqref="N329">
    <cfRule type="duplicateValues" dxfId="1937" priority="2403" stopIfTrue="1"/>
  </conditionalFormatting>
  <conditionalFormatting sqref="N329">
    <cfRule type="duplicateValues" dxfId="1936" priority="2404"/>
    <cfRule type="duplicateValues" dxfId="1935" priority="2405"/>
  </conditionalFormatting>
  <conditionalFormatting sqref="N329">
    <cfRule type="duplicateValues" dxfId="1934" priority="2406"/>
    <cfRule type="duplicateValues" dxfId="1933" priority="2407"/>
    <cfRule type="duplicateValues" dxfId="1932" priority="2408"/>
    <cfRule type="duplicateValues" dxfId="1931" priority="2409"/>
  </conditionalFormatting>
  <conditionalFormatting sqref="L330">
    <cfRule type="duplicateValues" dxfId="1930" priority="2394"/>
  </conditionalFormatting>
  <conditionalFormatting sqref="L330">
    <cfRule type="duplicateValues" dxfId="1929" priority="2395" stopIfTrue="1"/>
  </conditionalFormatting>
  <conditionalFormatting sqref="L330">
    <cfRule type="duplicateValues" dxfId="1928" priority="2396"/>
    <cfRule type="duplicateValues" dxfId="1927" priority="2397"/>
  </conditionalFormatting>
  <conditionalFormatting sqref="L330">
    <cfRule type="duplicateValues" dxfId="1926" priority="2398"/>
    <cfRule type="duplicateValues" dxfId="1925" priority="2399"/>
    <cfRule type="duplicateValues" dxfId="1924" priority="2400"/>
    <cfRule type="duplicateValues" dxfId="1923" priority="2401"/>
  </conditionalFormatting>
  <conditionalFormatting sqref="N330">
    <cfRule type="duplicateValues" dxfId="1922" priority="2378"/>
  </conditionalFormatting>
  <conditionalFormatting sqref="N330">
    <cfRule type="duplicateValues" dxfId="1921" priority="2379" stopIfTrue="1"/>
  </conditionalFormatting>
  <conditionalFormatting sqref="N330">
    <cfRule type="duplicateValues" dxfId="1920" priority="2380"/>
    <cfRule type="duplicateValues" dxfId="1919" priority="2381"/>
  </conditionalFormatting>
  <conditionalFormatting sqref="N330">
    <cfRule type="duplicateValues" dxfId="1918" priority="2382"/>
    <cfRule type="duplicateValues" dxfId="1917" priority="2383"/>
    <cfRule type="duplicateValues" dxfId="1916" priority="2384"/>
    <cfRule type="duplicateValues" dxfId="1915" priority="2385"/>
  </conditionalFormatting>
  <conditionalFormatting sqref="N330">
    <cfRule type="duplicateValues" dxfId="1914" priority="2386"/>
  </conditionalFormatting>
  <conditionalFormatting sqref="N330">
    <cfRule type="duplicateValues" dxfId="1913" priority="2387" stopIfTrue="1"/>
  </conditionalFormatting>
  <conditionalFormatting sqref="N330">
    <cfRule type="duplicateValues" dxfId="1912" priority="2388"/>
    <cfRule type="duplicateValues" dxfId="1911" priority="2389"/>
  </conditionalFormatting>
  <conditionalFormatting sqref="N330">
    <cfRule type="duplicateValues" dxfId="1910" priority="2390"/>
    <cfRule type="duplicateValues" dxfId="1909" priority="2391"/>
    <cfRule type="duplicateValues" dxfId="1908" priority="2392"/>
    <cfRule type="duplicateValues" dxfId="1907" priority="2393"/>
  </conditionalFormatting>
  <conditionalFormatting sqref="L331">
    <cfRule type="duplicateValues" dxfId="1906" priority="2362"/>
  </conditionalFormatting>
  <conditionalFormatting sqref="L331">
    <cfRule type="duplicateValues" dxfId="1905" priority="2363" stopIfTrue="1"/>
  </conditionalFormatting>
  <conditionalFormatting sqref="L331">
    <cfRule type="duplicateValues" dxfId="1904" priority="2364"/>
    <cfRule type="duplicateValues" dxfId="1903" priority="2365"/>
  </conditionalFormatting>
  <conditionalFormatting sqref="L331">
    <cfRule type="duplicateValues" dxfId="1902" priority="2366"/>
    <cfRule type="duplicateValues" dxfId="1901" priority="2367"/>
    <cfRule type="duplicateValues" dxfId="1900" priority="2368"/>
    <cfRule type="duplicateValues" dxfId="1899" priority="2369"/>
  </conditionalFormatting>
  <conditionalFormatting sqref="L331">
    <cfRule type="duplicateValues" dxfId="1898" priority="2370"/>
  </conditionalFormatting>
  <conditionalFormatting sqref="L331">
    <cfRule type="duplicateValues" dxfId="1897" priority="2371" stopIfTrue="1"/>
  </conditionalFormatting>
  <conditionalFormatting sqref="L331">
    <cfRule type="duplicateValues" dxfId="1896" priority="2372"/>
    <cfRule type="duplicateValues" dxfId="1895" priority="2373"/>
  </conditionalFormatting>
  <conditionalFormatting sqref="L331">
    <cfRule type="duplicateValues" dxfId="1894" priority="2374"/>
    <cfRule type="duplicateValues" dxfId="1893" priority="2375"/>
    <cfRule type="duplicateValues" dxfId="1892" priority="2376"/>
    <cfRule type="duplicateValues" dxfId="1891" priority="2377"/>
  </conditionalFormatting>
  <conditionalFormatting sqref="N331">
    <cfRule type="duplicateValues" dxfId="1890" priority="2346"/>
  </conditionalFormatting>
  <conditionalFormatting sqref="N331">
    <cfRule type="duplicateValues" dxfId="1889" priority="2347" stopIfTrue="1"/>
  </conditionalFormatting>
  <conditionalFormatting sqref="N331">
    <cfRule type="duplicateValues" dxfId="1888" priority="2348"/>
    <cfRule type="duplicateValues" dxfId="1887" priority="2349"/>
  </conditionalFormatting>
  <conditionalFormatting sqref="N331">
    <cfRule type="duplicateValues" dxfId="1886" priority="2350"/>
    <cfRule type="duplicateValues" dxfId="1885" priority="2351"/>
    <cfRule type="duplicateValues" dxfId="1884" priority="2352"/>
    <cfRule type="duplicateValues" dxfId="1883" priority="2353"/>
  </conditionalFormatting>
  <conditionalFormatting sqref="N331">
    <cfRule type="duplicateValues" dxfId="1882" priority="2354"/>
  </conditionalFormatting>
  <conditionalFormatting sqref="N331">
    <cfRule type="duplicateValues" dxfId="1881" priority="2355" stopIfTrue="1"/>
  </conditionalFormatting>
  <conditionalFormatting sqref="N331">
    <cfRule type="duplicateValues" dxfId="1880" priority="2356"/>
    <cfRule type="duplicateValues" dxfId="1879" priority="2357"/>
  </conditionalFormatting>
  <conditionalFormatting sqref="N331">
    <cfRule type="duplicateValues" dxfId="1878" priority="2358"/>
    <cfRule type="duplicateValues" dxfId="1877" priority="2359"/>
    <cfRule type="duplicateValues" dxfId="1876" priority="2360"/>
    <cfRule type="duplicateValues" dxfId="1875" priority="2361"/>
  </conditionalFormatting>
  <conditionalFormatting sqref="L332">
    <cfRule type="duplicateValues" dxfId="1874" priority="2330"/>
  </conditionalFormatting>
  <conditionalFormatting sqref="L332">
    <cfRule type="duplicateValues" dxfId="1873" priority="2331" stopIfTrue="1"/>
  </conditionalFormatting>
  <conditionalFormatting sqref="L332">
    <cfRule type="duplicateValues" dxfId="1872" priority="2332"/>
    <cfRule type="duplicateValues" dxfId="1871" priority="2333"/>
  </conditionalFormatting>
  <conditionalFormatting sqref="L332">
    <cfRule type="duplicateValues" dxfId="1870" priority="2334"/>
    <cfRule type="duplicateValues" dxfId="1869" priority="2335"/>
    <cfRule type="duplicateValues" dxfId="1868" priority="2336"/>
    <cfRule type="duplicateValues" dxfId="1867" priority="2337"/>
  </conditionalFormatting>
  <conditionalFormatting sqref="L332">
    <cfRule type="duplicateValues" dxfId="1866" priority="2338"/>
  </conditionalFormatting>
  <conditionalFormatting sqref="L332">
    <cfRule type="duplicateValues" dxfId="1865" priority="2339" stopIfTrue="1"/>
  </conditionalFormatting>
  <conditionalFormatting sqref="L332">
    <cfRule type="duplicateValues" dxfId="1864" priority="2340"/>
    <cfRule type="duplicateValues" dxfId="1863" priority="2341"/>
  </conditionalFormatting>
  <conditionalFormatting sqref="L332">
    <cfRule type="duplicateValues" dxfId="1862" priority="2342"/>
    <cfRule type="duplicateValues" dxfId="1861" priority="2343"/>
    <cfRule type="duplicateValues" dxfId="1860" priority="2344"/>
    <cfRule type="duplicateValues" dxfId="1859" priority="2345"/>
  </conditionalFormatting>
  <conditionalFormatting sqref="N332">
    <cfRule type="duplicateValues" dxfId="1858" priority="2322"/>
  </conditionalFormatting>
  <conditionalFormatting sqref="N332">
    <cfRule type="duplicateValues" dxfId="1857" priority="2323" stopIfTrue="1"/>
  </conditionalFormatting>
  <conditionalFormatting sqref="N332">
    <cfRule type="duplicateValues" dxfId="1856" priority="2324"/>
    <cfRule type="duplicateValues" dxfId="1855" priority="2325"/>
  </conditionalFormatting>
  <conditionalFormatting sqref="N332">
    <cfRule type="duplicateValues" dxfId="1854" priority="2326"/>
    <cfRule type="duplicateValues" dxfId="1853" priority="2327"/>
    <cfRule type="duplicateValues" dxfId="1852" priority="2328"/>
    <cfRule type="duplicateValues" dxfId="1851" priority="2329"/>
  </conditionalFormatting>
  <conditionalFormatting sqref="L333">
    <cfRule type="duplicateValues" dxfId="1850" priority="2314"/>
  </conditionalFormatting>
  <conditionalFormatting sqref="L333">
    <cfRule type="duplicateValues" dxfId="1849" priority="2315" stopIfTrue="1"/>
  </conditionalFormatting>
  <conditionalFormatting sqref="L333">
    <cfRule type="duplicateValues" dxfId="1848" priority="2316"/>
    <cfRule type="duplicateValues" dxfId="1847" priority="2317"/>
  </conditionalFormatting>
  <conditionalFormatting sqref="L333">
    <cfRule type="duplicateValues" dxfId="1846" priority="2318"/>
    <cfRule type="duplicateValues" dxfId="1845" priority="2319"/>
    <cfRule type="duplicateValues" dxfId="1844" priority="2320"/>
    <cfRule type="duplicateValues" dxfId="1843" priority="2321"/>
  </conditionalFormatting>
  <conditionalFormatting sqref="N333">
    <cfRule type="duplicateValues" dxfId="1842" priority="2298"/>
  </conditionalFormatting>
  <conditionalFormatting sqref="N333">
    <cfRule type="duplicateValues" dxfId="1841" priority="2299" stopIfTrue="1"/>
  </conditionalFormatting>
  <conditionalFormatting sqref="N333">
    <cfRule type="duplicateValues" dxfId="1840" priority="2300"/>
    <cfRule type="duplicateValues" dxfId="1839" priority="2301"/>
  </conditionalFormatting>
  <conditionalFormatting sqref="N333">
    <cfRule type="duplicateValues" dxfId="1838" priority="2302"/>
    <cfRule type="duplicateValues" dxfId="1837" priority="2303"/>
    <cfRule type="duplicateValues" dxfId="1836" priority="2304"/>
    <cfRule type="duplicateValues" dxfId="1835" priority="2305"/>
  </conditionalFormatting>
  <conditionalFormatting sqref="N333">
    <cfRule type="duplicateValues" dxfId="1834" priority="2306"/>
  </conditionalFormatting>
  <conditionalFormatting sqref="N333">
    <cfRule type="duplicateValues" dxfId="1833" priority="2307" stopIfTrue="1"/>
  </conditionalFormatting>
  <conditionalFormatting sqref="N333">
    <cfRule type="duplicateValues" dxfId="1832" priority="2308"/>
    <cfRule type="duplicateValues" dxfId="1831" priority="2309"/>
  </conditionalFormatting>
  <conditionalFormatting sqref="N333">
    <cfRule type="duplicateValues" dxfId="1830" priority="2310"/>
    <cfRule type="duplicateValues" dxfId="1829" priority="2311"/>
    <cfRule type="duplicateValues" dxfId="1828" priority="2312"/>
    <cfRule type="duplicateValues" dxfId="1827" priority="2313"/>
  </conditionalFormatting>
  <conditionalFormatting sqref="L334">
    <cfRule type="duplicateValues" dxfId="1826" priority="2282"/>
  </conditionalFormatting>
  <conditionalFormatting sqref="L334">
    <cfRule type="duplicateValues" dxfId="1825" priority="2283" stopIfTrue="1"/>
  </conditionalFormatting>
  <conditionalFormatting sqref="L334">
    <cfRule type="duplicateValues" dxfId="1824" priority="2284"/>
    <cfRule type="duplicateValues" dxfId="1823" priority="2285"/>
  </conditionalFormatting>
  <conditionalFormatting sqref="L334">
    <cfRule type="duplicateValues" dxfId="1822" priority="2286"/>
    <cfRule type="duplicateValues" dxfId="1821" priority="2287"/>
    <cfRule type="duplicateValues" dxfId="1820" priority="2288"/>
    <cfRule type="duplicateValues" dxfId="1819" priority="2289"/>
  </conditionalFormatting>
  <conditionalFormatting sqref="L334">
    <cfRule type="duplicateValues" dxfId="1818" priority="2290"/>
  </conditionalFormatting>
  <conditionalFormatting sqref="L334">
    <cfRule type="duplicateValues" dxfId="1817" priority="2291" stopIfTrue="1"/>
  </conditionalFormatting>
  <conditionalFormatting sqref="L334">
    <cfRule type="duplicateValues" dxfId="1816" priority="2292"/>
    <cfRule type="duplicateValues" dxfId="1815" priority="2293"/>
  </conditionalFormatting>
  <conditionalFormatting sqref="L334">
    <cfRule type="duplicateValues" dxfId="1814" priority="2294"/>
    <cfRule type="duplicateValues" dxfId="1813" priority="2295"/>
    <cfRule type="duplicateValues" dxfId="1812" priority="2296"/>
    <cfRule type="duplicateValues" dxfId="1811" priority="2297"/>
  </conditionalFormatting>
  <conditionalFormatting sqref="N334">
    <cfRule type="duplicateValues" dxfId="1810" priority="2274"/>
  </conditionalFormatting>
  <conditionalFormatting sqref="N334">
    <cfRule type="duplicateValues" dxfId="1809" priority="2275" stopIfTrue="1"/>
  </conditionalFormatting>
  <conditionalFormatting sqref="N334">
    <cfRule type="duplicateValues" dxfId="1808" priority="2276"/>
    <cfRule type="duplicateValues" dxfId="1807" priority="2277"/>
  </conditionalFormatting>
  <conditionalFormatting sqref="N334">
    <cfRule type="duplicateValues" dxfId="1806" priority="2278"/>
    <cfRule type="duplicateValues" dxfId="1805" priority="2279"/>
    <cfRule type="duplicateValues" dxfId="1804" priority="2280"/>
    <cfRule type="duplicateValues" dxfId="1803" priority="2281"/>
  </conditionalFormatting>
  <conditionalFormatting sqref="L335">
    <cfRule type="duplicateValues" dxfId="1802" priority="2266"/>
  </conditionalFormatting>
  <conditionalFormatting sqref="L335">
    <cfRule type="duplicateValues" dxfId="1801" priority="2267" stopIfTrue="1"/>
  </conditionalFormatting>
  <conditionalFormatting sqref="L335">
    <cfRule type="duplicateValues" dxfId="1800" priority="2268"/>
    <cfRule type="duplicateValues" dxfId="1799" priority="2269"/>
  </conditionalFormatting>
  <conditionalFormatting sqref="L335">
    <cfRule type="duplicateValues" dxfId="1798" priority="2270"/>
    <cfRule type="duplicateValues" dxfId="1797" priority="2271"/>
    <cfRule type="duplicateValues" dxfId="1796" priority="2272"/>
    <cfRule type="duplicateValues" dxfId="1795" priority="2273"/>
  </conditionalFormatting>
  <conditionalFormatting sqref="N335">
    <cfRule type="duplicateValues" dxfId="1794" priority="2258"/>
  </conditionalFormatting>
  <conditionalFormatting sqref="N335">
    <cfRule type="duplicateValues" dxfId="1793" priority="2259" stopIfTrue="1"/>
  </conditionalFormatting>
  <conditionalFormatting sqref="N335">
    <cfRule type="duplicateValues" dxfId="1792" priority="2260"/>
    <cfRule type="duplicateValues" dxfId="1791" priority="2261"/>
  </conditionalFormatting>
  <conditionalFormatting sqref="N335">
    <cfRule type="duplicateValues" dxfId="1790" priority="2262"/>
    <cfRule type="duplicateValues" dxfId="1789" priority="2263"/>
    <cfRule type="duplicateValues" dxfId="1788" priority="2264"/>
    <cfRule type="duplicateValues" dxfId="1787" priority="2265"/>
  </conditionalFormatting>
  <conditionalFormatting sqref="L336">
    <cfRule type="duplicateValues" dxfId="1786" priority="2250"/>
  </conditionalFormatting>
  <conditionalFormatting sqref="L336">
    <cfRule type="duplicateValues" dxfId="1785" priority="2251" stopIfTrue="1"/>
  </conditionalFormatting>
  <conditionalFormatting sqref="L336">
    <cfRule type="duplicateValues" dxfId="1784" priority="2252"/>
    <cfRule type="duplicateValues" dxfId="1783" priority="2253"/>
  </conditionalFormatting>
  <conditionalFormatting sqref="L336">
    <cfRule type="duplicateValues" dxfId="1782" priority="2254"/>
    <cfRule type="duplicateValues" dxfId="1781" priority="2255"/>
    <cfRule type="duplicateValues" dxfId="1780" priority="2256"/>
    <cfRule type="duplicateValues" dxfId="1779" priority="2257"/>
  </conditionalFormatting>
  <conditionalFormatting sqref="N336">
    <cfRule type="duplicateValues" dxfId="1778" priority="2234"/>
  </conditionalFormatting>
  <conditionalFormatting sqref="N336">
    <cfRule type="duplicateValues" dxfId="1777" priority="2235" stopIfTrue="1"/>
  </conditionalFormatting>
  <conditionalFormatting sqref="N336">
    <cfRule type="duplicateValues" dxfId="1776" priority="2236"/>
    <cfRule type="duplicateValues" dxfId="1775" priority="2237"/>
  </conditionalFormatting>
  <conditionalFormatting sqref="N336">
    <cfRule type="duplicateValues" dxfId="1774" priority="2238"/>
    <cfRule type="duplicateValues" dxfId="1773" priority="2239"/>
    <cfRule type="duplicateValues" dxfId="1772" priority="2240"/>
    <cfRule type="duplicateValues" dxfId="1771" priority="2241"/>
  </conditionalFormatting>
  <conditionalFormatting sqref="N336">
    <cfRule type="duplicateValues" dxfId="1770" priority="2242"/>
  </conditionalFormatting>
  <conditionalFormatting sqref="N336">
    <cfRule type="duplicateValues" dxfId="1769" priority="2243" stopIfTrue="1"/>
  </conditionalFormatting>
  <conditionalFormatting sqref="N336">
    <cfRule type="duplicateValues" dxfId="1768" priority="2244"/>
    <cfRule type="duplicateValues" dxfId="1767" priority="2245"/>
  </conditionalFormatting>
  <conditionalFormatting sqref="N336">
    <cfRule type="duplicateValues" dxfId="1766" priority="2246"/>
    <cfRule type="duplicateValues" dxfId="1765" priority="2247"/>
    <cfRule type="duplicateValues" dxfId="1764" priority="2248"/>
    <cfRule type="duplicateValues" dxfId="1763" priority="2249"/>
  </conditionalFormatting>
  <conditionalFormatting sqref="L337">
    <cfRule type="duplicateValues" dxfId="1762" priority="2218"/>
  </conditionalFormatting>
  <conditionalFormatting sqref="L337">
    <cfRule type="duplicateValues" dxfId="1761" priority="2219" stopIfTrue="1"/>
  </conditionalFormatting>
  <conditionalFormatting sqref="L337">
    <cfRule type="duplicateValues" dxfId="1760" priority="2220"/>
    <cfRule type="duplicateValues" dxfId="1759" priority="2221"/>
  </conditionalFormatting>
  <conditionalFormatting sqref="L337">
    <cfRule type="duplicateValues" dxfId="1758" priority="2222"/>
    <cfRule type="duplicateValues" dxfId="1757" priority="2223"/>
    <cfRule type="duplicateValues" dxfId="1756" priority="2224"/>
    <cfRule type="duplicateValues" dxfId="1755" priority="2225"/>
  </conditionalFormatting>
  <conditionalFormatting sqref="L337">
    <cfRule type="duplicateValues" dxfId="1754" priority="2226"/>
  </conditionalFormatting>
  <conditionalFormatting sqref="L337">
    <cfRule type="duplicateValues" dxfId="1753" priority="2227" stopIfTrue="1"/>
  </conditionalFormatting>
  <conditionalFormatting sqref="L337">
    <cfRule type="duplicateValues" dxfId="1752" priority="2228"/>
    <cfRule type="duplicateValues" dxfId="1751" priority="2229"/>
  </conditionalFormatting>
  <conditionalFormatting sqref="L337">
    <cfRule type="duplicateValues" dxfId="1750" priority="2230"/>
    <cfRule type="duplicateValues" dxfId="1749" priority="2231"/>
    <cfRule type="duplicateValues" dxfId="1748" priority="2232"/>
    <cfRule type="duplicateValues" dxfId="1747" priority="2233"/>
  </conditionalFormatting>
  <conditionalFormatting sqref="N337">
    <cfRule type="duplicateValues" dxfId="1746" priority="2210"/>
  </conditionalFormatting>
  <conditionalFormatting sqref="N337">
    <cfRule type="duplicateValues" dxfId="1745" priority="2211" stopIfTrue="1"/>
  </conditionalFormatting>
  <conditionalFormatting sqref="N337">
    <cfRule type="duplicateValues" dxfId="1744" priority="2212"/>
    <cfRule type="duplicateValues" dxfId="1743" priority="2213"/>
  </conditionalFormatting>
  <conditionalFormatting sqref="N337">
    <cfRule type="duplicateValues" dxfId="1742" priority="2214"/>
    <cfRule type="duplicateValues" dxfId="1741" priority="2215"/>
    <cfRule type="duplicateValues" dxfId="1740" priority="2216"/>
    <cfRule type="duplicateValues" dxfId="1739" priority="2217"/>
  </conditionalFormatting>
  <conditionalFormatting sqref="L338">
    <cfRule type="duplicateValues" dxfId="1738" priority="2202"/>
  </conditionalFormatting>
  <conditionalFormatting sqref="L338">
    <cfRule type="duplicateValues" dxfId="1737" priority="2203" stopIfTrue="1"/>
  </conditionalFormatting>
  <conditionalFormatting sqref="L338">
    <cfRule type="duplicateValues" dxfId="1736" priority="2204"/>
    <cfRule type="duplicateValues" dxfId="1735" priority="2205"/>
  </conditionalFormatting>
  <conditionalFormatting sqref="L338">
    <cfRule type="duplicateValues" dxfId="1734" priority="2206"/>
    <cfRule type="duplicateValues" dxfId="1733" priority="2207"/>
    <cfRule type="duplicateValues" dxfId="1732" priority="2208"/>
    <cfRule type="duplicateValues" dxfId="1731" priority="2209"/>
  </conditionalFormatting>
  <conditionalFormatting sqref="N338">
    <cfRule type="duplicateValues" dxfId="1730" priority="2194"/>
  </conditionalFormatting>
  <conditionalFormatting sqref="N338">
    <cfRule type="duplicateValues" dxfId="1729" priority="2195" stopIfTrue="1"/>
  </conditionalFormatting>
  <conditionalFormatting sqref="N338">
    <cfRule type="duplicateValues" dxfId="1728" priority="2196"/>
    <cfRule type="duplicateValues" dxfId="1727" priority="2197"/>
  </conditionalFormatting>
  <conditionalFormatting sqref="N338">
    <cfRule type="duplicateValues" dxfId="1726" priority="2198"/>
    <cfRule type="duplicateValues" dxfId="1725" priority="2199"/>
    <cfRule type="duplicateValues" dxfId="1724" priority="2200"/>
    <cfRule type="duplicateValues" dxfId="1723" priority="2201"/>
  </conditionalFormatting>
  <conditionalFormatting sqref="L339">
    <cfRule type="duplicateValues" dxfId="1722" priority="2186"/>
  </conditionalFormatting>
  <conditionalFormatting sqref="L339">
    <cfRule type="duplicateValues" dxfId="1721" priority="2187" stopIfTrue="1"/>
  </conditionalFormatting>
  <conditionalFormatting sqref="L339">
    <cfRule type="duplicateValues" dxfId="1720" priority="2188"/>
    <cfRule type="duplicateValues" dxfId="1719" priority="2189"/>
  </conditionalFormatting>
  <conditionalFormatting sqref="L339">
    <cfRule type="duplicateValues" dxfId="1718" priority="2190"/>
    <cfRule type="duplicateValues" dxfId="1717" priority="2191"/>
    <cfRule type="duplicateValues" dxfId="1716" priority="2192"/>
    <cfRule type="duplicateValues" dxfId="1715" priority="2193"/>
  </conditionalFormatting>
  <conditionalFormatting sqref="N339">
    <cfRule type="duplicateValues" dxfId="1714" priority="2178"/>
  </conditionalFormatting>
  <conditionalFormatting sqref="N339">
    <cfRule type="duplicateValues" dxfId="1713" priority="2179" stopIfTrue="1"/>
  </conditionalFormatting>
  <conditionalFormatting sqref="N339">
    <cfRule type="duplicateValues" dxfId="1712" priority="2180"/>
    <cfRule type="duplicateValues" dxfId="1711" priority="2181"/>
  </conditionalFormatting>
  <conditionalFormatting sqref="N339">
    <cfRule type="duplicateValues" dxfId="1710" priority="2182"/>
    <cfRule type="duplicateValues" dxfId="1709" priority="2183"/>
    <cfRule type="duplicateValues" dxfId="1708" priority="2184"/>
    <cfRule type="duplicateValues" dxfId="1707" priority="2185"/>
  </conditionalFormatting>
  <conditionalFormatting sqref="L340">
    <cfRule type="duplicateValues" dxfId="1706" priority="2170"/>
  </conditionalFormatting>
  <conditionalFormatting sqref="L340">
    <cfRule type="duplicateValues" dxfId="1705" priority="2171" stopIfTrue="1"/>
  </conditionalFormatting>
  <conditionalFormatting sqref="L340">
    <cfRule type="duplicateValues" dxfId="1704" priority="2172"/>
    <cfRule type="duplicateValues" dxfId="1703" priority="2173"/>
  </conditionalFormatting>
  <conditionalFormatting sqref="L340">
    <cfRule type="duplicateValues" dxfId="1702" priority="2174"/>
    <cfRule type="duplicateValues" dxfId="1701" priority="2175"/>
    <cfRule type="duplicateValues" dxfId="1700" priority="2176"/>
    <cfRule type="duplicateValues" dxfId="1699" priority="2177"/>
  </conditionalFormatting>
  <conditionalFormatting sqref="N340">
    <cfRule type="duplicateValues" dxfId="1698" priority="2162"/>
  </conditionalFormatting>
  <conditionalFormatting sqref="N340">
    <cfRule type="duplicateValues" dxfId="1697" priority="2163" stopIfTrue="1"/>
  </conditionalFormatting>
  <conditionalFormatting sqref="N340">
    <cfRule type="duplicateValues" dxfId="1696" priority="2164"/>
    <cfRule type="duplicateValues" dxfId="1695" priority="2165"/>
  </conditionalFormatting>
  <conditionalFormatting sqref="N340">
    <cfRule type="duplicateValues" dxfId="1694" priority="2166"/>
    <cfRule type="duplicateValues" dxfId="1693" priority="2167"/>
    <cfRule type="duplicateValues" dxfId="1692" priority="2168"/>
    <cfRule type="duplicateValues" dxfId="1691" priority="2169"/>
  </conditionalFormatting>
  <conditionalFormatting sqref="L341">
    <cfRule type="duplicateValues" dxfId="1690" priority="2154"/>
  </conditionalFormatting>
  <conditionalFormatting sqref="L341">
    <cfRule type="duplicateValues" dxfId="1689" priority="2155" stopIfTrue="1"/>
  </conditionalFormatting>
  <conditionalFormatting sqref="L341">
    <cfRule type="duplicateValues" dxfId="1688" priority="2156"/>
    <cfRule type="duplicateValues" dxfId="1687" priority="2157"/>
  </conditionalFormatting>
  <conditionalFormatting sqref="L341">
    <cfRule type="duplicateValues" dxfId="1686" priority="2158"/>
    <cfRule type="duplicateValues" dxfId="1685" priority="2159"/>
    <cfRule type="duplicateValues" dxfId="1684" priority="2160"/>
    <cfRule type="duplicateValues" dxfId="1683" priority="2161"/>
  </conditionalFormatting>
  <conditionalFormatting sqref="N341">
    <cfRule type="duplicateValues" dxfId="1682" priority="2146"/>
  </conditionalFormatting>
  <conditionalFormatting sqref="N341">
    <cfRule type="duplicateValues" dxfId="1681" priority="2147" stopIfTrue="1"/>
  </conditionalFormatting>
  <conditionalFormatting sqref="N341">
    <cfRule type="duplicateValues" dxfId="1680" priority="2148"/>
    <cfRule type="duplicateValues" dxfId="1679" priority="2149"/>
  </conditionalFormatting>
  <conditionalFormatting sqref="N341">
    <cfRule type="duplicateValues" dxfId="1678" priority="2150"/>
    <cfRule type="duplicateValues" dxfId="1677" priority="2151"/>
    <cfRule type="duplicateValues" dxfId="1676" priority="2152"/>
    <cfRule type="duplicateValues" dxfId="1675" priority="2153"/>
  </conditionalFormatting>
  <conditionalFormatting sqref="L342">
    <cfRule type="duplicateValues" dxfId="1674" priority="2138"/>
  </conditionalFormatting>
  <conditionalFormatting sqref="L342">
    <cfRule type="duplicateValues" dxfId="1673" priority="2139" stopIfTrue="1"/>
  </conditionalFormatting>
  <conditionalFormatting sqref="L342">
    <cfRule type="duplicateValues" dxfId="1672" priority="2140"/>
    <cfRule type="duplicateValues" dxfId="1671" priority="2141"/>
  </conditionalFormatting>
  <conditionalFormatting sqref="L342">
    <cfRule type="duplicateValues" dxfId="1670" priority="2142"/>
    <cfRule type="duplicateValues" dxfId="1669" priority="2143"/>
    <cfRule type="duplicateValues" dxfId="1668" priority="2144"/>
    <cfRule type="duplicateValues" dxfId="1667" priority="2145"/>
  </conditionalFormatting>
  <conditionalFormatting sqref="N342">
    <cfRule type="duplicateValues" dxfId="1666" priority="2130"/>
  </conditionalFormatting>
  <conditionalFormatting sqref="N342">
    <cfRule type="duplicateValues" dxfId="1665" priority="2131" stopIfTrue="1"/>
  </conditionalFormatting>
  <conditionalFormatting sqref="N342">
    <cfRule type="duplicateValues" dxfId="1664" priority="2132"/>
    <cfRule type="duplicateValues" dxfId="1663" priority="2133"/>
  </conditionalFormatting>
  <conditionalFormatting sqref="N342">
    <cfRule type="duplicateValues" dxfId="1662" priority="2134"/>
    <cfRule type="duplicateValues" dxfId="1661" priority="2135"/>
    <cfRule type="duplicateValues" dxfId="1660" priority="2136"/>
    <cfRule type="duplicateValues" dxfId="1659" priority="2137"/>
  </conditionalFormatting>
  <conditionalFormatting sqref="L343">
    <cfRule type="duplicateValues" dxfId="1658" priority="2122"/>
  </conditionalFormatting>
  <conditionalFormatting sqref="L343">
    <cfRule type="duplicateValues" dxfId="1657" priority="2123" stopIfTrue="1"/>
  </conditionalFormatting>
  <conditionalFormatting sqref="L343">
    <cfRule type="duplicateValues" dxfId="1656" priority="2124"/>
    <cfRule type="duplicateValues" dxfId="1655" priority="2125"/>
  </conditionalFormatting>
  <conditionalFormatting sqref="L343">
    <cfRule type="duplicateValues" dxfId="1654" priority="2126"/>
    <cfRule type="duplicateValues" dxfId="1653" priority="2127"/>
    <cfRule type="duplicateValues" dxfId="1652" priority="2128"/>
    <cfRule type="duplicateValues" dxfId="1651" priority="2129"/>
  </conditionalFormatting>
  <conditionalFormatting sqref="N343">
    <cfRule type="duplicateValues" dxfId="1650" priority="2114"/>
  </conditionalFormatting>
  <conditionalFormatting sqref="N343">
    <cfRule type="duplicateValues" dxfId="1649" priority="2115" stopIfTrue="1"/>
  </conditionalFormatting>
  <conditionalFormatting sqref="N343">
    <cfRule type="duplicateValues" dxfId="1648" priority="2116"/>
    <cfRule type="duplicateValues" dxfId="1647" priority="2117"/>
  </conditionalFormatting>
  <conditionalFormatting sqref="N343">
    <cfRule type="duplicateValues" dxfId="1646" priority="2118"/>
    <cfRule type="duplicateValues" dxfId="1645" priority="2119"/>
    <cfRule type="duplicateValues" dxfId="1644" priority="2120"/>
    <cfRule type="duplicateValues" dxfId="1643" priority="2121"/>
  </conditionalFormatting>
  <conditionalFormatting sqref="L344">
    <cfRule type="duplicateValues" dxfId="1642" priority="2106"/>
  </conditionalFormatting>
  <conditionalFormatting sqref="L344">
    <cfRule type="duplicateValues" dxfId="1641" priority="2107" stopIfTrue="1"/>
  </conditionalFormatting>
  <conditionalFormatting sqref="L344">
    <cfRule type="duplicateValues" dxfId="1640" priority="2108"/>
    <cfRule type="duplicateValues" dxfId="1639" priority="2109"/>
  </conditionalFormatting>
  <conditionalFormatting sqref="L344">
    <cfRule type="duplicateValues" dxfId="1638" priority="2110"/>
    <cfRule type="duplicateValues" dxfId="1637" priority="2111"/>
    <cfRule type="duplicateValues" dxfId="1636" priority="2112"/>
    <cfRule type="duplicateValues" dxfId="1635" priority="2113"/>
  </conditionalFormatting>
  <conditionalFormatting sqref="N344">
    <cfRule type="duplicateValues" dxfId="1634" priority="2090"/>
  </conditionalFormatting>
  <conditionalFormatting sqref="N344">
    <cfRule type="duplicateValues" dxfId="1633" priority="2091" stopIfTrue="1"/>
  </conditionalFormatting>
  <conditionalFormatting sqref="N344">
    <cfRule type="duplicateValues" dxfId="1632" priority="2092"/>
    <cfRule type="duplicateValues" dxfId="1631" priority="2093"/>
  </conditionalFormatting>
  <conditionalFormatting sqref="N344">
    <cfRule type="duplicateValues" dxfId="1630" priority="2094"/>
    <cfRule type="duplicateValues" dxfId="1629" priority="2095"/>
    <cfRule type="duplicateValues" dxfId="1628" priority="2096"/>
    <cfRule type="duplicateValues" dxfId="1627" priority="2097"/>
  </conditionalFormatting>
  <conditionalFormatting sqref="N344">
    <cfRule type="duplicateValues" dxfId="1626" priority="2098"/>
  </conditionalFormatting>
  <conditionalFormatting sqref="N344">
    <cfRule type="duplicateValues" dxfId="1625" priority="2099" stopIfTrue="1"/>
  </conditionalFormatting>
  <conditionalFormatting sqref="N344">
    <cfRule type="duplicateValues" dxfId="1624" priority="2100"/>
    <cfRule type="duplicateValues" dxfId="1623" priority="2101"/>
  </conditionalFormatting>
  <conditionalFormatting sqref="N344">
    <cfRule type="duplicateValues" dxfId="1622" priority="2102"/>
    <cfRule type="duplicateValues" dxfId="1621" priority="2103"/>
    <cfRule type="duplicateValues" dxfId="1620" priority="2104"/>
    <cfRule type="duplicateValues" dxfId="1619" priority="2105"/>
  </conditionalFormatting>
  <conditionalFormatting sqref="L345">
    <cfRule type="duplicateValues" dxfId="1618" priority="2074"/>
  </conditionalFormatting>
  <conditionalFormatting sqref="L345">
    <cfRule type="duplicateValues" dxfId="1617" priority="2075" stopIfTrue="1"/>
  </conditionalFormatting>
  <conditionalFormatting sqref="L345">
    <cfRule type="duplicateValues" dxfId="1616" priority="2076"/>
    <cfRule type="duplicateValues" dxfId="1615" priority="2077"/>
  </conditionalFormatting>
  <conditionalFormatting sqref="L345">
    <cfRule type="duplicateValues" dxfId="1614" priority="2078"/>
    <cfRule type="duplicateValues" dxfId="1613" priority="2079"/>
    <cfRule type="duplicateValues" dxfId="1612" priority="2080"/>
    <cfRule type="duplicateValues" dxfId="1611" priority="2081"/>
  </conditionalFormatting>
  <conditionalFormatting sqref="L345">
    <cfRule type="duplicateValues" dxfId="1610" priority="2082"/>
  </conditionalFormatting>
  <conditionalFormatting sqref="L345">
    <cfRule type="duplicateValues" dxfId="1609" priority="2083" stopIfTrue="1"/>
  </conditionalFormatting>
  <conditionalFormatting sqref="L345">
    <cfRule type="duplicateValues" dxfId="1608" priority="2084"/>
    <cfRule type="duplicateValues" dxfId="1607" priority="2085"/>
  </conditionalFormatting>
  <conditionalFormatting sqref="L345">
    <cfRule type="duplicateValues" dxfId="1606" priority="2086"/>
    <cfRule type="duplicateValues" dxfId="1605" priority="2087"/>
    <cfRule type="duplicateValues" dxfId="1604" priority="2088"/>
    <cfRule type="duplicateValues" dxfId="1603" priority="2089"/>
  </conditionalFormatting>
  <conditionalFormatting sqref="N345">
    <cfRule type="duplicateValues" dxfId="1602" priority="2058"/>
  </conditionalFormatting>
  <conditionalFormatting sqref="N345">
    <cfRule type="duplicateValues" dxfId="1601" priority="2059" stopIfTrue="1"/>
  </conditionalFormatting>
  <conditionalFormatting sqref="N345">
    <cfRule type="duplicateValues" dxfId="1600" priority="2060"/>
    <cfRule type="duplicateValues" dxfId="1599" priority="2061"/>
  </conditionalFormatting>
  <conditionalFormatting sqref="N345">
    <cfRule type="duplicateValues" dxfId="1598" priority="2062"/>
    <cfRule type="duplicateValues" dxfId="1597" priority="2063"/>
    <cfRule type="duplicateValues" dxfId="1596" priority="2064"/>
    <cfRule type="duplicateValues" dxfId="1595" priority="2065"/>
  </conditionalFormatting>
  <conditionalFormatting sqref="N345">
    <cfRule type="duplicateValues" dxfId="1594" priority="2066"/>
  </conditionalFormatting>
  <conditionalFormatting sqref="N345">
    <cfRule type="duplicateValues" dxfId="1593" priority="2067" stopIfTrue="1"/>
  </conditionalFormatting>
  <conditionalFormatting sqref="N345">
    <cfRule type="duplicateValues" dxfId="1592" priority="2068"/>
    <cfRule type="duplicateValues" dxfId="1591" priority="2069"/>
  </conditionalFormatting>
  <conditionalFormatting sqref="N345">
    <cfRule type="duplicateValues" dxfId="1590" priority="2070"/>
    <cfRule type="duplicateValues" dxfId="1589" priority="2071"/>
    <cfRule type="duplicateValues" dxfId="1588" priority="2072"/>
    <cfRule type="duplicateValues" dxfId="1587" priority="2073"/>
  </conditionalFormatting>
  <conditionalFormatting sqref="L346">
    <cfRule type="duplicateValues" dxfId="1586" priority="2042"/>
  </conditionalFormatting>
  <conditionalFormatting sqref="L346">
    <cfRule type="duplicateValues" dxfId="1585" priority="2043" stopIfTrue="1"/>
  </conditionalFormatting>
  <conditionalFormatting sqref="L346">
    <cfRule type="duplicateValues" dxfId="1584" priority="2044"/>
    <cfRule type="duplicateValues" dxfId="1583" priority="2045"/>
  </conditionalFormatting>
  <conditionalFormatting sqref="L346">
    <cfRule type="duplicateValues" dxfId="1582" priority="2046"/>
    <cfRule type="duplicateValues" dxfId="1581" priority="2047"/>
    <cfRule type="duplicateValues" dxfId="1580" priority="2048"/>
    <cfRule type="duplicateValues" dxfId="1579" priority="2049"/>
  </conditionalFormatting>
  <conditionalFormatting sqref="L346">
    <cfRule type="duplicateValues" dxfId="1578" priority="2050"/>
  </conditionalFormatting>
  <conditionalFormatting sqref="L346">
    <cfRule type="duplicateValues" dxfId="1577" priority="2051" stopIfTrue="1"/>
  </conditionalFormatting>
  <conditionalFormatting sqref="L346">
    <cfRule type="duplicateValues" dxfId="1576" priority="2052"/>
    <cfRule type="duplicateValues" dxfId="1575" priority="2053"/>
  </conditionalFormatting>
  <conditionalFormatting sqref="L346">
    <cfRule type="duplicateValues" dxfId="1574" priority="2054"/>
    <cfRule type="duplicateValues" dxfId="1573" priority="2055"/>
    <cfRule type="duplicateValues" dxfId="1572" priority="2056"/>
    <cfRule type="duplicateValues" dxfId="1571" priority="2057"/>
  </conditionalFormatting>
  <conditionalFormatting sqref="N346">
    <cfRule type="duplicateValues" dxfId="1570" priority="2034"/>
  </conditionalFormatting>
  <conditionalFormatting sqref="N346">
    <cfRule type="duplicateValues" dxfId="1569" priority="2035" stopIfTrue="1"/>
  </conditionalFormatting>
  <conditionalFormatting sqref="N346">
    <cfRule type="duplicateValues" dxfId="1568" priority="2036"/>
    <cfRule type="duplicateValues" dxfId="1567" priority="2037"/>
  </conditionalFormatting>
  <conditionalFormatting sqref="N346">
    <cfRule type="duplicateValues" dxfId="1566" priority="2038"/>
    <cfRule type="duplicateValues" dxfId="1565" priority="2039"/>
    <cfRule type="duplicateValues" dxfId="1564" priority="2040"/>
    <cfRule type="duplicateValues" dxfId="1563" priority="2041"/>
  </conditionalFormatting>
  <conditionalFormatting sqref="L347">
    <cfRule type="duplicateValues" dxfId="1562" priority="2026"/>
  </conditionalFormatting>
  <conditionalFormatting sqref="L347">
    <cfRule type="duplicateValues" dxfId="1561" priority="2027" stopIfTrue="1"/>
  </conditionalFormatting>
  <conditionalFormatting sqref="L347">
    <cfRule type="duplicateValues" dxfId="1560" priority="2028"/>
    <cfRule type="duplicateValues" dxfId="1559" priority="2029"/>
  </conditionalFormatting>
  <conditionalFormatting sqref="L347">
    <cfRule type="duplicateValues" dxfId="1558" priority="2030"/>
    <cfRule type="duplicateValues" dxfId="1557" priority="2031"/>
    <cfRule type="duplicateValues" dxfId="1556" priority="2032"/>
    <cfRule type="duplicateValues" dxfId="1555" priority="2033"/>
  </conditionalFormatting>
  <conditionalFormatting sqref="N347">
    <cfRule type="duplicateValues" dxfId="1554" priority="2018"/>
  </conditionalFormatting>
  <conditionalFormatting sqref="N347">
    <cfRule type="duplicateValues" dxfId="1553" priority="2019" stopIfTrue="1"/>
  </conditionalFormatting>
  <conditionalFormatting sqref="N347">
    <cfRule type="duplicateValues" dxfId="1552" priority="2020"/>
    <cfRule type="duplicateValues" dxfId="1551" priority="2021"/>
  </conditionalFormatting>
  <conditionalFormatting sqref="N347">
    <cfRule type="duplicateValues" dxfId="1550" priority="2022"/>
    <cfRule type="duplicateValues" dxfId="1549" priority="2023"/>
    <cfRule type="duplicateValues" dxfId="1548" priority="2024"/>
    <cfRule type="duplicateValues" dxfId="1547" priority="2025"/>
  </conditionalFormatting>
  <conditionalFormatting sqref="L348">
    <cfRule type="duplicateValues" dxfId="1546" priority="2010"/>
  </conditionalFormatting>
  <conditionalFormatting sqref="L348">
    <cfRule type="duplicateValues" dxfId="1545" priority="2011" stopIfTrue="1"/>
  </conditionalFormatting>
  <conditionalFormatting sqref="L348">
    <cfRule type="duplicateValues" dxfId="1544" priority="2012"/>
    <cfRule type="duplicateValues" dxfId="1543" priority="2013"/>
  </conditionalFormatting>
  <conditionalFormatting sqref="L348">
    <cfRule type="duplicateValues" dxfId="1542" priority="2014"/>
    <cfRule type="duplicateValues" dxfId="1541" priority="2015"/>
    <cfRule type="duplicateValues" dxfId="1540" priority="2016"/>
    <cfRule type="duplicateValues" dxfId="1539" priority="2017"/>
  </conditionalFormatting>
  <conditionalFormatting sqref="N348">
    <cfRule type="duplicateValues" dxfId="1538" priority="2002"/>
  </conditionalFormatting>
  <conditionalFormatting sqref="N348">
    <cfRule type="duplicateValues" dxfId="1537" priority="2003" stopIfTrue="1"/>
  </conditionalFormatting>
  <conditionalFormatting sqref="N348">
    <cfRule type="duplicateValues" dxfId="1536" priority="2004"/>
    <cfRule type="duplicateValues" dxfId="1535" priority="2005"/>
  </conditionalFormatting>
  <conditionalFormatting sqref="N348">
    <cfRule type="duplicateValues" dxfId="1534" priority="2006"/>
    <cfRule type="duplicateValues" dxfId="1533" priority="2007"/>
    <cfRule type="duplicateValues" dxfId="1532" priority="2008"/>
    <cfRule type="duplicateValues" dxfId="1531" priority="2009"/>
  </conditionalFormatting>
  <conditionalFormatting sqref="L349">
    <cfRule type="duplicateValues" dxfId="1530" priority="1994"/>
  </conditionalFormatting>
  <conditionalFormatting sqref="L349">
    <cfRule type="duplicateValues" dxfId="1529" priority="1995" stopIfTrue="1"/>
  </conditionalFormatting>
  <conditionalFormatting sqref="L349">
    <cfRule type="duplicateValues" dxfId="1528" priority="1996"/>
    <cfRule type="duplicateValues" dxfId="1527" priority="1997"/>
  </conditionalFormatting>
  <conditionalFormatting sqref="L349">
    <cfRule type="duplicateValues" dxfId="1526" priority="1998"/>
    <cfRule type="duplicateValues" dxfId="1525" priority="1999"/>
    <cfRule type="duplicateValues" dxfId="1524" priority="2000"/>
    <cfRule type="duplicateValues" dxfId="1523" priority="2001"/>
  </conditionalFormatting>
  <conditionalFormatting sqref="N349">
    <cfRule type="duplicateValues" dxfId="1522" priority="1986"/>
  </conditionalFormatting>
  <conditionalFormatting sqref="N349">
    <cfRule type="duplicateValues" dxfId="1521" priority="1987" stopIfTrue="1"/>
  </conditionalFormatting>
  <conditionalFormatting sqref="N349">
    <cfRule type="duplicateValues" dxfId="1520" priority="1988"/>
    <cfRule type="duplicateValues" dxfId="1519" priority="1989"/>
  </conditionalFormatting>
  <conditionalFormatting sqref="N349">
    <cfRule type="duplicateValues" dxfId="1518" priority="1990"/>
    <cfRule type="duplicateValues" dxfId="1517" priority="1991"/>
    <cfRule type="duplicateValues" dxfId="1516" priority="1992"/>
    <cfRule type="duplicateValues" dxfId="1515" priority="1993"/>
  </conditionalFormatting>
  <conditionalFormatting sqref="L350">
    <cfRule type="duplicateValues" dxfId="1514" priority="1978"/>
  </conditionalFormatting>
  <conditionalFormatting sqref="L350">
    <cfRule type="duplicateValues" dxfId="1513" priority="1979" stopIfTrue="1"/>
  </conditionalFormatting>
  <conditionalFormatting sqref="L350">
    <cfRule type="duplicateValues" dxfId="1512" priority="1980"/>
    <cfRule type="duplicateValues" dxfId="1511" priority="1981"/>
  </conditionalFormatting>
  <conditionalFormatting sqref="L350">
    <cfRule type="duplicateValues" dxfId="1510" priority="1982"/>
    <cfRule type="duplicateValues" dxfId="1509" priority="1983"/>
    <cfRule type="duplicateValues" dxfId="1508" priority="1984"/>
    <cfRule type="duplicateValues" dxfId="1507" priority="1985"/>
  </conditionalFormatting>
  <conditionalFormatting sqref="N350">
    <cfRule type="duplicateValues" dxfId="1506" priority="1962"/>
  </conditionalFormatting>
  <conditionalFormatting sqref="N350">
    <cfRule type="duplicateValues" dxfId="1505" priority="1963" stopIfTrue="1"/>
  </conditionalFormatting>
  <conditionalFormatting sqref="N350">
    <cfRule type="duplicateValues" dxfId="1504" priority="1964"/>
    <cfRule type="duplicateValues" dxfId="1503" priority="1965"/>
  </conditionalFormatting>
  <conditionalFormatting sqref="N350">
    <cfRule type="duplicateValues" dxfId="1502" priority="1966"/>
    <cfRule type="duplicateValues" dxfId="1501" priority="1967"/>
    <cfRule type="duplicateValues" dxfId="1500" priority="1968"/>
    <cfRule type="duplicateValues" dxfId="1499" priority="1969"/>
  </conditionalFormatting>
  <conditionalFormatting sqref="N350">
    <cfRule type="duplicateValues" dxfId="1498" priority="1970"/>
  </conditionalFormatting>
  <conditionalFormatting sqref="N350">
    <cfRule type="duplicateValues" dxfId="1497" priority="1971" stopIfTrue="1"/>
  </conditionalFormatting>
  <conditionalFormatting sqref="N350">
    <cfRule type="duplicateValues" dxfId="1496" priority="1972"/>
    <cfRule type="duplicateValues" dxfId="1495" priority="1973"/>
  </conditionalFormatting>
  <conditionalFormatting sqref="N350">
    <cfRule type="duplicateValues" dxfId="1494" priority="1974"/>
    <cfRule type="duplicateValues" dxfId="1493" priority="1975"/>
    <cfRule type="duplicateValues" dxfId="1492" priority="1976"/>
    <cfRule type="duplicateValues" dxfId="1491" priority="1977"/>
  </conditionalFormatting>
  <conditionalFormatting sqref="L351">
    <cfRule type="duplicateValues" dxfId="1490" priority="1946"/>
  </conditionalFormatting>
  <conditionalFormatting sqref="L351">
    <cfRule type="duplicateValues" dxfId="1489" priority="1947" stopIfTrue="1"/>
  </conditionalFormatting>
  <conditionalFormatting sqref="L351">
    <cfRule type="duplicateValues" dxfId="1488" priority="1948"/>
    <cfRule type="duplicateValues" dxfId="1487" priority="1949"/>
  </conditionalFormatting>
  <conditionalFormatting sqref="L351">
    <cfRule type="duplicateValues" dxfId="1486" priority="1950"/>
    <cfRule type="duplicateValues" dxfId="1485" priority="1951"/>
    <cfRule type="duplicateValues" dxfId="1484" priority="1952"/>
    <cfRule type="duplicateValues" dxfId="1483" priority="1953"/>
  </conditionalFormatting>
  <conditionalFormatting sqref="L351">
    <cfRule type="duplicateValues" dxfId="1482" priority="1954"/>
  </conditionalFormatting>
  <conditionalFormatting sqref="L351">
    <cfRule type="duplicateValues" dxfId="1481" priority="1955" stopIfTrue="1"/>
  </conditionalFormatting>
  <conditionalFormatting sqref="L351">
    <cfRule type="duplicateValues" dxfId="1480" priority="1956"/>
    <cfRule type="duplicateValues" dxfId="1479" priority="1957"/>
  </conditionalFormatting>
  <conditionalFormatting sqref="L351">
    <cfRule type="duplicateValues" dxfId="1478" priority="1958"/>
    <cfRule type="duplicateValues" dxfId="1477" priority="1959"/>
    <cfRule type="duplicateValues" dxfId="1476" priority="1960"/>
    <cfRule type="duplicateValues" dxfId="1475" priority="1961"/>
  </conditionalFormatting>
  <conditionalFormatting sqref="N351">
    <cfRule type="duplicateValues" dxfId="1474" priority="1930"/>
  </conditionalFormatting>
  <conditionalFormatting sqref="N351">
    <cfRule type="duplicateValues" dxfId="1473" priority="1931" stopIfTrue="1"/>
  </conditionalFormatting>
  <conditionalFormatting sqref="N351">
    <cfRule type="duplicateValues" dxfId="1472" priority="1932"/>
    <cfRule type="duplicateValues" dxfId="1471" priority="1933"/>
  </conditionalFormatting>
  <conditionalFormatting sqref="N351">
    <cfRule type="duplicateValues" dxfId="1470" priority="1934"/>
    <cfRule type="duplicateValues" dxfId="1469" priority="1935"/>
    <cfRule type="duplicateValues" dxfId="1468" priority="1936"/>
    <cfRule type="duplicateValues" dxfId="1467" priority="1937"/>
  </conditionalFormatting>
  <conditionalFormatting sqref="N351">
    <cfRule type="duplicateValues" dxfId="1466" priority="1938"/>
  </conditionalFormatting>
  <conditionalFormatting sqref="N351">
    <cfRule type="duplicateValues" dxfId="1465" priority="1939" stopIfTrue="1"/>
  </conditionalFormatting>
  <conditionalFormatting sqref="N351">
    <cfRule type="duplicateValues" dxfId="1464" priority="1940"/>
    <cfRule type="duplicateValues" dxfId="1463" priority="1941"/>
  </conditionalFormatting>
  <conditionalFormatting sqref="N351">
    <cfRule type="duplicateValues" dxfId="1462" priority="1942"/>
    <cfRule type="duplicateValues" dxfId="1461" priority="1943"/>
    <cfRule type="duplicateValues" dxfId="1460" priority="1944"/>
    <cfRule type="duplicateValues" dxfId="1459" priority="1945"/>
  </conditionalFormatting>
  <conditionalFormatting sqref="L352">
    <cfRule type="duplicateValues" dxfId="1458" priority="1914"/>
  </conditionalFormatting>
  <conditionalFormatting sqref="L352">
    <cfRule type="duplicateValues" dxfId="1457" priority="1915" stopIfTrue="1"/>
  </conditionalFormatting>
  <conditionalFormatting sqref="L352">
    <cfRule type="duplicateValues" dxfId="1456" priority="1916"/>
    <cfRule type="duplicateValues" dxfId="1455" priority="1917"/>
  </conditionalFormatting>
  <conditionalFormatting sqref="L352">
    <cfRule type="duplicateValues" dxfId="1454" priority="1918"/>
    <cfRule type="duplicateValues" dxfId="1453" priority="1919"/>
    <cfRule type="duplicateValues" dxfId="1452" priority="1920"/>
    <cfRule type="duplicateValues" dxfId="1451" priority="1921"/>
  </conditionalFormatting>
  <conditionalFormatting sqref="L352">
    <cfRule type="duplicateValues" dxfId="1450" priority="1922"/>
  </conditionalFormatting>
  <conditionalFormatting sqref="L352">
    <cfRule type="duplicateValues" dxfId="1449" priority="1923" stopIfTrue="1"/>
  </conditionalFormatting>
  <conditionalFormatting sqref="L352">
    <cfRule type="duplicateValues" dxfId="1448" priority="1924"/>
    <cfRule type="duplicateValues" dxfId="1447" priority="1925"/>
  </conditionalFormatting>
  <conditionalFormatting sqref="L352">
    <cfRule type="duplicateValues" dxfId="1446" priority="1926"/>
    <cfRule type="duplicateValues" dxfId="1445" priority="1927"/>
    <cfRule type="duplicateValues" dxfId="1444" priority="1928"/>
    <cfRule type="duplicateValues" dxfId="1443" priority="1929"/>
  </conditionalFormatting>
  <conditionalFormatting sqref="N352">
    <cfRule type="duplicateValues" dxfId="1442" priority="1898"/>
  </conditionalFormatting>
  <conditionalFormatting sqref="N352">
    <cfRule type="duplicateValues" dxfId="1441" priority="1899" stopIfTrue="1"/>
  </conditionalFormatting>
  <conditionalFormatting sqref="N352">
    <cfRule type="duplicateValues" dxfId="1440" priority="1900"/>
    <cfRule type="duplicateValues" dxfId="1439" priority="1901"/>
  </conditionalFormatting>
  <conditionalFormatting sqref="N352">
    <cfRule type="duplicateValues" dxfId="1438" priority="1902"/>
    <cfRule type="duplicateValues" dxfId="1437" priority="1903"/>
    <cfRule type="duplicateValues" dxfId="1436" priority="1904"/>
    <cfRule type="duplicateValues" dxfId="1435" priority="1905"/>
  </conditionalFormatting>
  <conditionalFormatting sqref="N352">
    <cfRule type="duplicateValues" dxfId="1434" priority="1906"/>
  </conditionalFormatting>
  <conditionalFormatting sqref="N352">
    <cfRule type="duplicateValues" dxfId="1433" priority="1907" stopIfTrue="1"/>
  </conditionalFormatting>
  <conditionalFormatting sqref="N352">
    <cfRule type="duplicateValues" dxfId="1432" priority="1908"/>
    <cfRule type="duplicateValues" dxfId="1431" priority="1909"/>
  </conditionalFormatting>
  <conditionalFormatting sqref="N352">
    <cfRule type="duplicateValues" dxfId="1430" priority="1910"/>
    <cfRule type="duplicateValues" dxfId="1429" priority="1911"/>
    <cfRule type="duplicateValues" dxfId="1428" priority="1912"/>
    <cfRule type="duplicateValues" dxfId="1427" priority="1913"/>
  </conditionalFormatting>
  <conditionalFormatting sqref="L353">
    <cfRule type="duplicateValues" dxfId="1426" priority="1882"/>
  </conditionalFormatting>
  <conditionalFormatting sqref="L353">
    <cfRule type="duplicateValues" dxfId="1425" priority="1883" stopIfTrue="1"/>
  </conditionalFormatting>
  <conditionalFormatting sqref="L353">
    <cfRule type="duplicateValues" dxfId="1424" priority="1884"/>
    <cfRule type="duplicateValues" dxfId="1423" priority="1885"/>
  </conditionalFormatting>
  <conditionalFormatting sqref="L353">
    <cfRule type="duplicateValues" dxfId="1422" priority="1886"/>
    <cfRule type="duplicateValues" dxfId="1421" priority="1887"/>
    <cfRule type="duplicateValues" dxfId="1420" priority="1888"/>
    <cfRule type="duplicateValues" dxfId="1419" priority="1889"/>
  </conditionalFormatting>
  <conditionalFormatting sqref="L353">
    <cfRule type="duplicateValues" dxfId="1418" priority="1890"/>
  </conditionalFormatting>
  <conditionalFormatting sqref="L353">
    <cfRule type="duplicateValues" dxfId="1417" priority="1891" stopIfTrue="1"/>
  </conditionalFormatting>
  <conditionalFormatting sqref="L353">
    <cfRule type="duplicateValues" dxfId="1416" priority="1892"/>
    <cfRule type="duplicateValues" dxfId="1415" priority="1893"/>
  </conditionalFormatting>
  <conditionalFormatting sqref="L353">
    <cfRule type="duplicateValues" dxfId="1414" priority="1894"/>
    <cfRule type="duplicateValues" dxfId="1413" priority="1895"/>
    <cfRule type="duplicateValues" dxfId="1412" priority="1896"/>
    <cfRule type="duplicateValues" dxfId="1411" priority="1897"/>
  </conditionalFormatting>
  <conditionalFormatting sqref="N353">
    <cfRule type="duplicateValues" dxfId="1410" priority="1866"/>
  </conditionalFormatting>
  <conditionalFormatting sqref="N353">
    <cfRule type="duplicateValues" dxfId="1409" priority="1867" stopIfTrue="1"/>
  </conditionalFormatting>
  <conditionalFormatting sqref="N353">
    <cfRule type="duplicateValues" dxfId="1408" priority="1868"/>
    <cfRule type="duplicateValues" dxfId="1407" priority="1869"/>
  </conditionalFormatting>
  <conditionalFormatting sqref="N353">
    <cfRule type="duplicateValues" dxfId="1406" priority="1870"/>
    <cfRule type="duplicateValues" dxfId="1405" priority="1871"/>
    <cfRule type="duplicateValues" dxfId="1404" priority="1872"/>
    <cfRule type="duplicateValues" dxfId="1403" priority="1873"/>
  </conditionalFormatting>
  <conditionalFormatting sqref="N353">
    <cfRule type="duplicateValues" dxfId="1402" priority="1874"/>
  </conditionalFormatting>
  <conditionalFormatting sqref="N353">
    <cfRule type="duplicateValues" dxfId="1401" priority="1875" stopIfTrue="1"/>
  </conditionalFormatting>
  <conditionalFormatting sqref="N353">
    <cfRule type="duplicateValues" dxfId="1400" priority="1876"/>
    <cfRule type="duplicateValues" dxfId="1399" priority="1877"/>
  </conditionalFormatting>
  <conditionalFormatting sqref="N353">
    <cfRule type="duplicateValues" dxfId="1398" priority="1878"/>
    <cfRule type="duplicateValues" dxfId="1397" priority="1879"/>
    <cfRule type="duplicateValues" dxfId="1396" priority="1880"/>
    <cfRule type="duplicateValues" dxfId="1395" priority="1881"/>
  </conditionalFormatting>
  <conditionalFormatting sqref="L354">
    <cfRule type="duplicateValues" dxfId="1394" priority="1850"/>
  </conditionalFormatting>
  <conditionalFormatting sqref="L354">
    <cfRule type="duplicateValues" dxfId="1393" priority="1851" stopIfTrue="1"/>
  </conditionalFormatting>
  <conditionalFormatting sqref="L354">
    <cfRule type="duplicateValues" dxfId="1392" priority="1852"/>
    <cfRule type="duplicateValues" dxfId="1391" priority="1853"/>
  </conditionalFormatting>
  <conditionalFormatting sqref="L354">
    <cfRule type="duplicateValues" dxfId="1390" priority="1854"/>
    <cfRule type="duplicateValues" dxfId="1389" priority="1855"/>
    <cfRule type="duplicateValues" dxfId="1388" priority="1856"/>
    <cfRule type="duplicateValues" dxfId="1387" priority="1857"/>
  </conditionalFormatting>
  <conditionalFormatting sqref="L354">
    <cfRule type="duplicateValues" dxfId="1386" priority="1858"/>
  </conditionalFormatting>
  <conditionalFormatting sqref="L354">
    <cfRule type="duplicateValues" dxfId="1385" priority="1859" stopIfTrue="1"/>
  </conditionalFormatting>
  <conditionalFormatting sqref="L354">
    <cfRule type="duplicateValues" dxfId="1384" priority="1860"/>
    <cfRule type="duplicateValues" dxfId="1383" priority="1861"/>
  </conditionalFormatting>
  <conditionalFormatting sqref="L354">
    <cfRule type="duplicateValues" dxfId="1382" priority="1862"/>
    <cfRule type="duplicateValues" dxfId="1381" priority="1863"/>
    <cfRule type="duplicateValues" dxfId="1380" priority="1864"/>
    <cfRule type="duplicateValues" dxfId="1379" priority="1865"/>
  </conditionalFormatting>
  <conditionalFormatting sqref="N354">
    <cfRule type="duplicateValues" dxfId="1378" priority="1842"/>
  </conditionalFormatting>
  <conditionalFormatting sqref="N354">
    <cfRule type="duplicateValues" dxfId="1377" priority="1843" stopIfTrue="1"/>
  </conditionalFormatting>
  <conditionalFormatting sqref="N354">
    <cfRule type="duplicateValues" dxfId="1376" priority="1844"/>
    <cfRule type="duplicateValues" dxfId="1375" priority="1845"/>
  </conditionalFormatting>
  <conditionalFormatting sqref="N354">
    <cfRule type="duplicateValues" dxfId="1374" priority="1846"/>
    <cfRule type="duplicateValues" dxfId="1373" priority="1847"/>
    <cfRule type="duplicateValues" dxfId="1372" priority="1848"/>
    <cfRule type="duplicateValues" dxfId="1371" priority="1849"/>
  </conditionalFormatting>
  <conditionalFormatting sqref="N355">
    <cfRule type="duplicateValues" dxfId="1370" priority="1826"/>
  </conditionalFormatting>
  <conditionalFormatting sqref="N355">
    <cfRule type="duplicateValues" dxfId="1369" priority="1827" stopIfTrue="1"/>
  </conditionalFormatting>
  <conditionalFormatting sqref="N355">
    <cfRule type="duplicateValues" dxfId="1368" priority="1828"/>
    <cfRule type="duplicateValues" dxfId="1367" priority="1829"/>
  </conditionalFormatting>
  <conditionalFormatting sqref="N355">
    <cfRule type="duplicateValues" dxfId="1366" priority="1830"/>
    <cfRule type="duplicateValues" dxfId="1365" priority="1831"/>
    <cfRule type="duplicateValues" dxfId="1364" priority="1832"/>
    <cfRule type="duplicateValues" dxfId="1363" priority="1833"/>
  </conditionalFormatting>
  <conditionalFormatting sqref="L356">
    <cfRule type="duplicateValues" dxfId="1362" priority="1818"/>
  </conditionalFormatting>
  <conditionalFormatting sqref="L356">
    <cfRule type="duplicateValues" dxfId="1361" priority="1819" stopIfTrue="1"/>
  </conditionalFormatting>
  <conditionalFormatting sqref="L356">
    <cfRule type="duplicateValues" dxfId="1360" priority="1820"/>
    <cfRule type="duplicateValues" dxfId="1359" priority="1821"/>
  </conditionalFormatting>
  <conditionalFormatting sqref="L356">
    <cfRule type="duplicateValues" dxfId="1358" priority="1822"/>
    <cfRule type="duplicateValues" dxfId="1357" priority="1823"/>
    <cfRule type="duplicateValues" dxfId="1356" priority="1824"/>
    <cfRule type="duplicateValues" dxfId="1355" priority="1825"/>
  </conditionalFormatting>
  <conditionalFormatting sqref="N356">
    <cfRule type="duplicateValues" dxfId="1354" priority="1802"/>
  </conditionalFormatting>
  <conditionalFormatting sqref="N356">
    <cfRule type="duplicateValues" dxfId="1353" priority="1803" stopIfTrue="1"/>
  </conditionalFormatting>
  <conditionalFormatting sqref="N356">
    <cfRule type="duplicateValues" dxfId="1352" priority="1804"/>
    <cfRule type="duplicateValues" dxfId="1351" priority="1805"/>
  </conditionalFormatting>
  <conditionalFormatting sqref="N356">
    <cfRule type="duplicateValues" dxfId="1350" priority="1806"/>
    <cfRule type="duplicateValues" dxfId="1349" priority="1807"/>
    <cfRule type="duplicateValues" dxfId="1348" priority="1808"/>
    <cfRule type="duplicateValues" dxfId="1347" priority="1809"/>
  </conditionalFormatting>
  <conditionalFormatting sqref="N356">
    <cfRule type="duplicateValues" dxfId="1346" priority="1810"/>
  </conditionalFormatting>
  <conditionalFormatting sqref="N356">
    <cfRule type="duplicateValues" dxfId="1345" priority="1811" stopIfTrue="1"/>
  </conditionalFormatting>
  <conditionalFormatting sqref="N356">
    <cfRule type="duplicateValues" dxfId="1344" priority="1812"/>
    <cfRule type="duplicateValues" dxfId="1343" priority="1813"/>
  </conditionalFormatting>
  <conditionalFormatting sqref="N356">
    <cfRule type="duplicateValues" dxfId="1342" priority="1814"/>
    <cfRule type="duplicateValues" dxfId="1341" priority="1815"/>
    <cfRule type="duplicateValues" dxfId="1340" priority="1816"/>
    <cfRule type="duplicateValues" dxfId="1339" priority="1817"/>
  </conditionalFormatting>
  <conditionalFormatting sqref="Q307">
    <cfRule type="duplicateValues" dxfId="1338" priority="1794"/>
  </conditionalFormatting>
  <conditionalFormatting sqref="Q307">
    <cfRule type="duplicateValues" dxfId="1337" priority="1795"/>
    <cfRule type="duplicateValues" dxfId="1336" priority="1796"/>
    <cfRule type="duplicateValues" dxfId="1335" priority="1797"/>
    <cfRule type="duplicateValues" dxfId="1334" priority="1798"/>
  </conditionalFormatting>
  <conditionalFormatting sqref="Q307">
    <cfRule type="duplicateValues" dxfId="1333" priority="1799" stopIfTrue="1"/>
  </conditionalFormatting>
  <conditionalFormatting sqref="Q307">
    <cfRule type="duplicateValues" dxfId="1332" priority="1800"/>
    <cfRule type="duplicateValues" dxfId="1331" priority="1801"/>
  </conditionalFormatting>
  <conditionalFormatting sqref="Q307">
    <cfRule type="duplicateValues" dxfId="1330" priority="1793"/>
  </conditionalFormatting>
  <conditionalFormatting sqref="Q307">
    <cfRule type="duplicateValues" dxfId="1329" priority="1792"/>
  </conditionalFormatting>
  <conditionalFormatting sqref="Q307">
    <cfRule type="duplicateValues" dxfId="1328" priority="1791"/>
  </conditionalFormatting>
  <conditionalFormatting sqref="Q307">
    <cfRule type="duplicateValues" dxfId="1327" priority="1790"/>
  </conditionalFormatting>
  <conditionalFormatting sqref="Q307">
    <cfRule type="duplicateValues" dxfId="1326" priority="1789"/>
  </conditionalFormatting>
  <conditionalFormatting sqref="Q315">
    <cfRule type="duplicateValues" dxfId="1325" priority="1781"/>
  </conditionalFormatting>
  <conditionalFormatting sqref="Q315">
    <cfRule type="duplicateValues" dxfId="1324" priority="1782"/>
    <cfRule type="duplicateValues" dxfId="1323" priority="1783"/>
    <cfRule type="duplicateValues" dxfId="1322" priority="1784"/>
    <cfRule type="duplicateValues" dxfId="1321" priority="1785"/>
  </conditionalFormatting>
  <conditionalFormatting sqref="Q315">
    <cfRule type="duplicateValues" dxfId="1320" priority="1786" stopIfTrue="1"/>
  </conditionalFormatting>
  <conditionalFormatting sqref="Q315">
    <cfRule type="duplicateValues" dxfId="1319" priority="1787"/>
    <cfRule type="duplicateValues" dxfId="1318" priority="1788"/>
  </conditionalFormatting>
  <conditionalFormatting sqref="Q315">
    <cfRule type="duplicateValues" dxfId="1317" priority="1780"/>
  </conditionalFormatting>
  <conditionalFormatting sqref="Q315">
    <cfRule type="duplicateValues" dxfId="1316" priority="1779"/>
  </conditionalFormatting>
  <conditionalFormatting sqref="Q315">
    <cfRule type="duplicateValues" dxfId="1315" priority="1778"/>
  </conditionalFormatting>
  <conditionalFormatting sqref="Q315">
    <cfRule type="duplicateValues" dxfId="1314" priority="1777"/>
  </conditionalFormatting>
  <conditionalFormatting sqref="Q315">
    <cfRule type="duplicateValues" dxfId="1313" priority="1776"/>
  </conditionalFormatting>
  <conditionalFormatting sqref="Q325">
    <cfRule type="duplicateValues" dxfId="1312" priority="1768"/>
  </conditionalFormatting>
  <conditionalFormatting sqref="Q325">
    <cfRule type="duplicateValues" dxfId="1311" priority="1769"/>
    <cfRule type="duplicateValues" dxfId="1310" priority="1770"/>
    <cfRule type="duplicateValues" dxfId="1309" priority="1771"/>
    <cfRule type="duplicateValues" dxfId="1308" priority="1772"/>
  </conditionalFormatting>
  <conditionalFormatting sqref="Q325">
    <cfRule type="duplicateValues" dxfId="1307" priority="1773" stopIfTrue="1"/>
  </conditionalFormatting>
  <conditionalFormatting sqref="Q325">
    <cfRule type="duplicateValues" dxfId="1306" priority="1774"/>
    <cfRule type="duplicateValues" dxfId="1305" priority="1775"/>
  </conditionalFormatting>
  <conditionalFormatting sqref="Q325">
    <cfRule type="duplicateValues" dxfId="1304" priority="1767"/>
  </conditionalFormatting>
  <conditionalFormatting sqref="Q325">
    <cfRule type="duplicateValues" dxfId="1303" priority="1766"/>
  </conditionalFormatting>
  <conditionalFormatting sqref="Q325">
    <cfRule type="duplicateValues" dxfId="1302" priority="1765"/>
  </conditionalFormatting>
  <conditionalFormatting sqref="Q325">
    <cfRule type="duplicateValues" dxfId="1301" priority="1764"/>
  </conditionalFormatting>
  <conditionalFormatting sqref="Q325">
    <cfRule type="duplicateValues" dxfId="1300" priority="1763"/>
  </conditionalFormatting>
  <conditionalFormatting sqref="Q335">
    <cfRule type="duplicateValues" dxfId="1299" priority="1755"/>
  </conditionalFormatting>
  <conditionalFormatting sqref="Q335">
    <cfRule type="duplicateValues" dxfId="1298" priority="1756"/>
    <cfRule type="duplicateValues" dxfId="1297" priority="1757"/>
    <cfRule type="duplicateValues" dxfId="1296" priority="1758"/>
    <cfRule type="duplicateValues" dxfId="1295" priority="1759"/>
  </conditionalFormatting>
  <conditionalFormatting sqref="Q335">
    <cfRule type="duplicateValues" dxfId="1294" priority="1760" stopIfTrue="1"/>
  </conditionalFormatting>
  <conditionalFormatting sqref="Q335">
    <cfRule type="duplicateValues" dxfId="1293" priority="1761"/>
    <cfRule type="duplicateValues" dxfId="1292" priority="1762"/>
  </conditionalFormatting>
  <conditionalFormatting sqref="Q335">
    <cfRule type="duplicateValues" dxfId="1291" priority="1754"/>
  </conditionalFormatting>
  <conditionalFormatting sqref="Q335">
    <cfRule type="duplicateValues" dxfId="1290" priority="1753"/>
  </conditionalFormatting>
  <conditionalFormatting sqref="Q335">
    <cfRule type="duplicateValues" dxfId="1289" priority="1752"/>
  </conditionalFormatting>
  <conditionalFormatting sqref="Q335">
    <cfRule type="duplicateValues" dxfId="1288" priority="1751"/>
  </conditionalFormatting>
  <conditionalFormatting sqref="Q335">
    <cfRule type="duplicateValues" dxfId="1287" priority="1750"/>
  </conditionalFormatting>
  <conditionalFormatting sqref="Q345">
    <cfRule type="duplicateValues" dxfId="1286" priority="1742"/>
  </conditionalFormatting>
  <conditionalFormatting sqref="Q345">
    <cfRule type="duplicateValues" dxfId="1285" priority="1743"/>
    <cfRule type="duplicateValues" dxfId="1284" priority="1744"/>
    <cfRule type="duplicateValues" dxfId="1283" priority="1745"/>
    <cfRule type="duplicateValues" dxfId="1282" priority="1746"/>
  </conditionalFormatting>
  <conditionalFormatting sqref="Q345">
    <cfRule type="duplicateValues" dxfId="1281" priority="1747" stopIfTrue="1"/>
  </conditionalFormatting>
  <conditionalFormatting sqref="Q345">
    <cfRule type="duplicateValues" dxfId="1280" priority="1748"/>
    <cfRule type="duplicateValues" dxfId="1279" priority="1749"/>
  </conditionalFormatting>
  <conditionalFormatting sqref="Q345">
    <cfRule type="duplicateValues" dxfId="1278" priority="1741"/>
  </conditionalFormatting>
  <conditionalFormatting sqref="Q345">
    <cfRule type="duplicateValues" dxfId="1277" priority="1740"/>
  </conditionalFormatting>
  <conditionalFormatting sqref="Q345">
    <cfRule type="duplicateValues" dxfId="1276" priority="1739"/>
  </conditionalFormatting>
  <conditionalFormatting sqref="Q345">
    <cfRule type="duplicateValues" dxfId="1275" priority="1738"/>
  </conditionalFormatting>
  <conditionalFormatting sqref="Q345">
    <cfRule type="duplicateValues" dxfId="1274" priority="1737"/>
  </conditionalFormatting>
  <conditionalFormatting sqref="Q355">
    <cfRule type="duplicateValues" dxfId="1273" priority="1729"/>
  </conditionalFormatting>
  <conditionalFormatting sqref="Q355">
    <cfRule type="duplicateValues" dxfId="1272" priority="1730"/>
    <cfRule type="duplicateValues" dxfId="1271" priority="1731"/>
    <cfRule type="duplicateValues" dxfId="1270" priority="1732"/>
    <cfRule type="duplicateValues" dxfId="1269" priority="1733"/>
  </conditionalFormatting>
  <conditionalFormatting sqref="Q355">
    <cfRule type="duplicateValues" dxfId="1268" priority="1734" stopIfTrue="1"/>
  </conditionalFormatting>
  <conditionalFormatting sqref="Q355">
    <cfRule type="duplicateValues" dxfId="1267" priority="1735"/>
    <cfRule type="duplicateValues" dxfId="1266" priority="1736"/>
  </conditionalFormatting>
  <conditionalFormatting sqref="Q355">
    <cfRule type="duplicateValues" dxfId="1265" priority="1728"/>
  </conditionalFormatting>
  <conditionalFormatting sqref="Q355">
    <cfRule type="duplicateValues" dxfId="1264" priority="1727"/>
  </conditionalFormatting>
  <conditionalFormatting sqref="Q355">
    <cfRule type="duplicateValues" dxfId="1263" priority="1726"/>
  </conditionalFormatting>
  <conditionalFormatting sqref="Q355">
    <cfRule type="duplicateValues" dxfId="1262" priority="1725"/>
  </conditionalFormatting>
  <conditionalFormatting sqref="Q355">
    <cfRule type="duplicateValues" dxfId="1261" priority="1724"/>
  </conditionalFormatting>
  <conditionalFormatting sqref="C297">
    <cfRule type="duplicateValues" dxfId="1260" priority="1723" stopIfTrue="1"/>
  </conditionalFormatting>
  <conditionalFormatting sqref="C306">
    <cfRule type="duplicateValues" dxfId="1259" priority="1722" stopIfTrue="1"/>
  </conditionalFormatting>
  <conditionalFormatting sqref="C307">
    <cfRule type="duplicateValues" dxfId="1258" priority="1721" stopIfTrue="1"/>
  </conditionalFormatting>
  <conditionalFormatting sqref="C308">
    <cfRule type="duplicateValues" dxfId="1257" priority="1720" stopIfTrue="1"/>
  </conditionalFormatting>
  <conditionalFormatting sqref="C309">
    <cfRule type="duplicateValues" dxfId="1256" priority="1719" stopIfTrue="1"/>
  </conditionalFormatting>
  <conditionalFormatting sqref="C310">
    <cfRule type="duplicateValues" dxfId="1255" priority="1718" stopIfTrue="1"/>
  </conditionalFormatting>
  <conditionalFormatting sqref="C311">
    <cfRule type="duplicateValues" dxfId="1254" priority="1717" stopIfTrue="1"/>
  </conditionalFormatting>
  <conditionalFormatting sqref="C312">
    <cfRule type="duplicateValues" dxfId="1253" priority="1716" stopIfTrue="1"/>
  </conditionalFormatting>
  <conditionalFormatting sqref="C313">
    <cfRule type="duplicateValues" dxfId="1252" priority="1715" stopIfTrue="1"/>
  </conditionalFormatting>
  <conditionalFormatting sqref="C314">
    <cfRule type="duplicateValues" dxfId="1251" priority="1714" stopIfTrue="1"/>
  </conditionalFormatting>
  <conditionalFormatting sqref="C316">
    <cfRule type="duplicateValues" dxfId="1250" priority="1713" stopIfTrue="1"/>
  </conditionalFormatting>
  <conditionalFormatting sqref="C315">
    <cfRule type="duplicateValues" dxfId="1249" priority="1712" stopIfTrue="1"/>
  </conditionalFormatting>
  <conditionalFormatting sqref="L355">
    <cfRule type="duplicateValues" dxfId="1248" priority="1696"/>
  </conditionalFormatting>
  <conditionalFormatting sqref="L355">
    <cfRule type="duplicateValues" dxfId="1247" priority="1697" stopIfTrue="1"/>
  </conditionalFormatting>
  <conditionalFormatting sqref="L355">
    <cfRule type="duplicateValues" dxfId="1246" priority="1698"/>
    <cfRule type="duplicateValues" dxfId="1245" priority="1699"/>
  </conditionalFormatting>
  <conditionalFormatting sqref="L355">
    <cfRule type="duplicateValues" dxfId="1244" priority="1700"/>
    <cfRule type="duplicateValues" dxfId="1243" priority="1701"/>
    <cfRule type="duplicateValues" dxfId="1242" priority="1702"/>
    <cfRule type="duplicateValues" dxfId="1241" priority="1703"/>
  </conditionalFormatting>
  <conditionalFormatting sqref="L355">
    <cfRule type="duplicateValues" dxfId="1240" priority="1704"/>
  </conditionalFormatting>
  <conditionalFormatting sqref="L355">
    <cfRule type="duplicateValues" dxfId="1239" priority="1705" stopIfTrue="1"/>
  </conditionalFormatting>
  <conditionalFormatting sqref="L355">
    <cfRule type="duplicateValues" dxfId="1238" priority="1706"/>
    <cfRule type="duplicateValues" dxfId="1237" priority="1707"/>
  </conditionalFormatting>
  <conditionalFormatting sqref="L355">
    <cfRule type="duplicateValues" dxfId="1236" priority="1708"/>
    <cfRule type="duplicateValues" dxfId="1235" priority="1709"/>
    <cfRule type="duplicateValues" dxfId="1234" priority="1710"/>
    <cfRule type="duplicateValues" dxfId="1233" priority="1711"/>
  </conditionalFormatting>
  <conditionalFormatting sqref="A1496">
    <cfRule type="duplicateValues" dxfId="1232" priority="1692" stopIfTrue="1"/>
  </conditionalFormatting>
  <conditionalFormatting sqref="A1496">
    <cfRule type="duplicateValues" dxfId="1231" priority="1691" stopIfTrue="1"/>
  </conditionalFormatting>
  <conditionalFormatting sqref="A1496">
    <cfRule type="duplicateValues" dxfId="1230" priority="1690" stopIfTrue="1"/>
  </conditionalFormatting>
  <conditionalFormatting sqref="A1496">
    <cfRule type="duplicateValues" dxfId="1229" priority="1689" stopIfTrue="1"/>
  </conditionalFormatting>
  <conditionalFormatting sqref="A1496">
    <cfRule type="duplicateValues" dxfId="1228" priority="1688" stopIfTrue="1"/>
  </conditionalFormatting>
  <conditionalFormatting sqref="A1496">
    <cfRule type="duplicateValues" dxfId="1227" priority="1687" stopIfTrue="1"/>
  </conditionalFormatting>
  <conditionalFormatting sqref="A1496">
    <cfRule type="duplicateValues" dxfId="1226" priority="1686" stopIfTrue="1"/>
  </conditionalFormatting>
  <conditionalFormatting sqref="A1496">
    <cfRule type="duplicateValues" dxfId="1225" priority="1685" stopIfTrue="1"/>
  </conditionalFormatting>
  <conditionalFormatting sqref="A1496">
    <cfRule type="duplicateValues" dxfId="1224" priority="1684" stopIfTrue="1"/>
  </conditionalFormatting>
  <conditionalFormatting sqref="A1496">
    <cfRule type="duplicateValues" dxfId="1223" priority="1683" stopIfTrue="1"/>
  </conditionalFormatting>
  <conditionalFormatting sqref="A1496">
    <cfRule type="duplicateValues" dxfId="1222" priority="1682" stopIfTrue="1"/>
  </conditionalFormatting>
  <conditionalFormatting sqref="A1496">
    <cfRule type="duplicateValues" dxfId="1221" priority="1681" stopIfTrue="1"/>
  </conditionalFormatting>
  <conditionalFormatting sqref="A1496">
    <cfRule type="duplicateValues" dxfId="1220" priority="1680" stopIfTrue="1"/>
  </conditionalFormatting>
  <conditionalFormatting sqref="A1496">
    <cfRule type="duplicateValues" dxfId="1219" priority="1679" stopIfTrue="1"/>
  </conditionalFormatting>
  <conditionalFormatting sqref="A1496">
    <cfRule type="duplicateValues" dxfId="1218" priority="1693" stopIfTrue="1"/>
  </conditionalFormatting>
  <conditionalFormatting sqref="A1496">
    <cfRule type="duplicateValues" dxfId="1217" priority="1678" stopIfTrue="1"/>
  </conditionalFormatting>
  <conditionalFormatting sqref="C1496">
    <cfRule type="duplicateValues" dxfId="1216" priority="1677" stopIfTrue="1"/>
  </conditionalFormatting>
  <conditionalFormatting sqref="A1496">
    <cfRule type="duplicateValues" dxfId="1215" priority="1676" stopIfTrue="1"/>
  </conditionalFormatting>
  <conditionalFormatting sqref="A1496">
    <cfRule type="duplicateValues" dxfId="1214" priority="1675" stopIfTrue="1"/>
  </conditionalFormatting>
  <conditionalFormatting sqref="A1496">
    <cfRule type="duplicateValues" dxfId="1213" priority="1674" stopIfTrue="1"/>
  </conditionalFormatting>
  <conditionalFormatting sqref="A1496">
    <cfRule type="duplicateValues" dxfId="1212" priority="1673" stopIfTrue="1"/>
  </conditionalFormatting>
  <conditionalFormatting sqref="A1496">
    <cfRule type="duplicateValues" dxfId="1211" priority="1672" stopIfTrue="1"/>
  </conditionalFormatting>
  <conditionalFormatting sqref="A1496">
    <cfRule type="duplicateValues" dxfId="1210" priority="1671" stopIfTrue="1"/>
  </conditionalFormatting>
  <conditionalFormatting sqref="A1496">
    <cfRule type="duplicateValues" dxfId="1209" priority="1670" stopIfTrue="1"/>
  </conditionalFormatting>
  <conditionalFormatting sqref="A1496">
    <cfRule type="duplicateValues" dxfId="1208" priority="1669" stopIfTrue="1"/>
  </conditionalFormatting>
  <conditionalFormatting sqref="A1496">
    <cfRule type="duplicateValues" dxfId="1207" priority="1667" stopIfTrue="1"/>
    <cfRule type="duplicateValues" dxfId="1206" priority="1668" stopIfTrue="1"/>
  </conditionalFormatting>
  <conditionalFormatting sqref="A1496">
    <cfRule type="duplicateValues" dxfId="1205" priority="1666" stopIfTrue="1"/>
  </conditionalFormatting>
  <conditionalFormatting sqref="A1496">
    <cfRule type="duplicateValues" dxfId="1204" priority="1665" stopIfTrue="1"/>
  </conditionalFormatting>
  <conditionalFormatting sqref="A1496">
    <cfRule type="duplicateValues" dxfId="1203" priority="1664" stopIfTrue="1"/>
  </conditionalFormatting>
  <conditionalFormatting sqref="A1496">
    <cfRule type="duplicateValues" dxfId="1202" priority="1663" stopIfTrue="1"/>
  </conditionalFormatting>
  <conditionalFormatting sqref="A1496">
    <cfRule type="duplicateValues" dxfId="1201" priority="1662" stopIfTrue="1"/>
  </conditionalFormatting>
  <conditionalFormatting sqref="A1496">
    <cfRule type="duplicateValues" dxfId="1200" priority="1661"/>
  </conditionalFormatting>
  <conditionalFormatting sqref="A1496">
    <cfRule type="duplicateValues" dxfId="1199" priority="1660"/>
  </conditionalFormatting>
  <conditionalFormatting sqref="A1496">
    <cfRule type="duplicateValues" dxfId="1198" priority="1659"/>
  </conditionalFormatting>
  <conditionalFormatting sqref="A1496">
    <cfRule type="duplicateValues" dxfId="1197" priority="1658"/>
  </conditionalFormatting>
  <conditionalFormatting sqref="A1496">
    <cfRule type="duplicateValues" dxfId="1196" priority="1657"/>
  </conditionalFormatting>
  <conditionalFormatting sqref="A1496">
    <cfRule type="duplicateValues" dxfId="1195" priority="1656"/>
  </conditionalFormatting>
  <conditionalFormatting sqref="A1496">
    <cfRule type="duplicateValues" dxfId="1194" priority="1655"/>
  </conditionalFormatting>
  <conditionalFormatting sqref="A1496">
    <cfRule type="duplicateValues" dxfId="1193" priority="1654"/>
  </conditionalFormatting>
  <conditionalFormatting sqref="A1496">
    <cfRule type="duplicateValues" dxfId="1192" priority="1652"/>
    <cfRule type="duplicateValues" dxfId="1191" priority="1653"/>
  </conditionalFormatting>
  <conditionalFormatting sqref="A1496">
    <cfRule type="duplicateValues" dxfId="1190" priority="1651"/>
  </conditionalFormatting>
  <conditionalFormatting sqref="A1496">
    <cfRule type="duplicateValues" dxfId="1189" priority="1694"/>
  </conditionalFormatting>
  <conditionalFormatting sqref="A1496">
    <cfRule type="duplicateValues" dxfId="1188" priority="1650"/>
  </conditionalFormatting>
  <conditionalFormatting sqref="A1496">
    <cfRule type="duplicateValues" dxfId="1187" priority="1695"/>
  </conditionalFormatting>
  <conditionalFormatting sqref="A1496">
    <cfRule type="duplicateValues" dxfId="1186" priority="1649"/>
  </conditionalFormatting>
  <conditionalFormatting sqref="A1498:A1791 A1:A1162 A1164:A1408 A1427:A1496 A1794 A1796:A1897 A1899:A1048576">
    <cfRule type="duplicateValues" dxfId="1185" priority="1648"/>
  </conditionalFormatting>
  <conditionalFormatting sqref="A1792:C1792">
    <cfRule type="duplicateValues" dxfId="1184" priority="1647" stopIfTrue="1"/>
  </conditionalFormatting>
  <conditionalFormatting sqref="A1792:C1792">
    <cfRule type="duplicateValues" dxfId="1183" priority="1646" stopIfTrue="1"/>
  </conditionalFormatting>
  <conditionalFormatting sqref="A1792:C1792">
    <cfRule type="duplicateValues" dxfId="1182" priority="1644" stopIfTrue="1"/>
    <cfRule type="duplicateValues" dxfId="1181" priority="1645" stopIfTrue="1"/>
  </conditionalFormatting>
  <conditionalFormatting sqref="A1792:C1792">
    <cfRule type="duplicateValues" dxfId="1180" priority="1643"/>
  </conditionalFormatting>
  <conditionalFormatting sqref="A1792">
    <cfRule type="duplicateValues" dxfId="1179" priority="1641"/>
    <cfRule type="duplicateValues" dxfId="1178" priority="1642"/>
  </conditionalFormatting>
  <conditionalFormatting sqref="A1792">
    <cfRule type="duplicateValues" dxfId="1177" priority="1640"/>
  </conditionalFormatting>
  <conditionalFormatting sqref="A1792">
    <cfRule type="duplicateValues" dxfId="1176" priority="1639"/>
  </conditionalFormatting>
  <conditionalFormatting sqref="A1792">
    <cfRule type="duplicateValues" dxfId="1175" priority="1638"/>
  </conditionalFormatting>
  <conditionalFormatting sqref="A1793:C1793 A1795">
    <cfRule type="duplicateValues" dxfId="1174" priority="1637" stopIfTrue="1"/>
  </conditionalFormatting>
  <conditionalFormatting sqref="A1793:C1793 A1795">
    <cfRule type="duplicateValues" dxfId="1173" priority="1636" stopIfTrue="1"/>
  </conditionalFormatting>
  <conditionalFormatting sqref="A1793:C1793 A1795">
    <cfRule type="duplicateValues" dxfId="1172" priority="1634" stopIfTrue="1"/>
    <cfRule type="duplicateValues" dxfId="1171" priority="1635" stopIfTrue="1"/>
  </conditionalFormatting>
  <conditionalFormatting sqref="A1793:C1793 A1795">
    <cfRule type="duplicateValues" dxfId="1170" priority="1633"/>
  </conditionalFormatting>
  <conditionalFormatting sqref="A1793 A1795">
    <cfRule type="duplicateValues" dxfId="1169" priority="1631"/>
    <cfRule type="duplicateValues" dxfId="1168" priority="1632"/>
  </conditionalFormatting>
  <conditionalFormatting sqref="A1793 A1795">
    <cfRule type="duplicateValues" dxfId="1167" priority="1630"/>
  </conditionalFormatting>
  <conditionalFormatting sqref="A1793 A1795">
    <cfRule type="duplicateValues" dxfId="1166" priority="1629"/>
  </conditionalFormatting>
  <conditionalFormatting sqref="A1793 A1795">
    <cfRule type="duplicateValues" dxfId="1165" priority="1628"/>
  </conditionalFormatting>
  <conditionalFormatting sqref="A1497">
    <cfRule type="duplicateValues" dxfId="1164" priority="1624" stopIfTrue="1"/>
  </conditionalFormatting>
  <conditionalFormatting sqref="A1497">
    <cfRule type="duplicateValues" dxfId="1163" priority="1623" stopIfTrue="1"/>
  </conditionalFormatting>
  <conditionalFormatting sqref="A1497">
    <cfRule type="duplicateValues" dxfId="1162" priority="1622" stopIfTrue="1"/>
  </conditionalFormatting>
  <conditionalFormatting sqref="A1497">
    <cfRule type="duplicateValues" dxfId="1161" priority="1621" stopIfTrue="1"/>
  </conditionalFormatting>
  <conditionalFormatting sqref="A1497">
    <cfRule type="duplicateValues" dxfId="1160" priority="1620" stopIfTrue="1"/>
  </conditionalFormatting>
  <conditionalFormatting sqref="A1497">
    <cfRule type="duplicateValues" dxfId="1159" priority="1619" stopIfTrue="1"/>
  </conditionalFormatting>
  <conditionalFormatting sqref="A1497">
    <cfRule type="duplicateValues" dxfId="1158" priority="1618" stopIfTrue="1"/>
  </conditionalFormatting>
  <conditionalFormatting sqref="A1497">
    <cfRule type="duplicateValues" dxfId="1157" priority="1617" stopIfTrue="1"/>
  </conditionalFormatting>
  <conditionalFormatting sqref="A1497">
    <cfRule type="duplicateValues" dxfId="1156" priority="1616" stopIfTrue="1"/>
  </conditionalFormatting>
  <conditionalFormatting sqref="A1497">
    <cfRule type="duplicateValues" dxfId="1155" priority="1615" stopIfTrue="1"/>
  </conditionalFormatting>
  <conditionalFormatting sqref="A1497">
    <cfRule type="duplicateValues" dxfId="1154" priority="1614" stopIfTrue="1"/>
  </conditionalFormatting>
  <conditionalFormatting sqref="A1497">
    <cfRule type="duplicateValues" dxfId="1153" priority="1613" stopIfTrue="1"/>
  </conditionalFormatting>
  <conditionalFormatting sqref="A1497">
    <cfRule type="duplicateValues" dxfId="1152" priority="1612" stopIfTrue="1"/>
  </conditionalFormatting>
  <conditionalFormatting sqref="A1497">
    <cfRule type="duplicateValues" dxfId="1151" priority="1611" stopIfTrue="1"/>
  </conditionalFormatting>
  <conditionalFormatting sqref="A1497">
    <cfRule type="duplicateValues" dxfId="1150" priority="1625" stopIfTrue="1"/>
  </conditionalFormatting>
  <conditionalFormatting sqref="A1497">
    <cfRule type="duplicateValues" dxfId="1149" priority="1610" stopIfTrue="1"/>
  </conditionalFormatting>
  <conditionalFormatting sqref="C1497">
    <cfRule type="duplicateValues" dxfId="1148" priority="1609" stopIfTrue="1"/>
  </conditionalFormatting>
  <conditionalFormatting sqref="A1497">
    <cfRule type="duplicateValues" dxfId="1147" priority="1608" stopIfTrue="1"/>
  </conditionalFormatting>
  <conditionalFormatting sqref="A1497">
    <cfRule type="duplicateValues" dxfId="1146" priority="1607" stopIfTrue="1"/>
  </conditionalFormatting>
  <conditionalFormatting sqref="A1497">
    <cfRule type="duplicateValues" dxfId="1145" priority="1606" stopIfTrue="1"/>
  </conditionalFormatting>
  <conditionalFormatting sqref="A1497">
    <cfRule type="duplicateValues" dxfId="1144" priority="1605" stopIfTrue="1"/>
  </conditionalFormatting>
  <conditionalFormatting sqref="A1497">
    <cfRule type="duplicateValues" dxfId="1143" priority="1604" stopIfTrue="1"/>
  </conditionalFormatting>
  <conditionalFormatting sqref="A1497">
    <cfRule type="duplicateValues" dxfId="1142" priority="1603" stopIfTrue="1"/>
  </conditionalFormatting>
  <conditionalFormatting sqref="A1497">
    <cfRule type="duplicateValues" dxfId="1141" priority="1602" stopIfTrue="1"/>
  </conditionalFormatting>
  <conditionalFormatting sqref="A1497">
    <cfRule type="duplicateValues" dxfId="1140" priority="1601" stopIfTrue="1"/>
  </conditionalFormatting>
  <conditionalFormatting sqref="A1497">
    <cfRule type="duplicateValues" dxfId="1139" priority="1599" stopIfTrue="1"/>
    <cfRule type="duplicateValues" dxfId="1138" priority="1600" stopIfTrue="1"/>
  </conditionalFormatting>
  <conditionalFormatting sqref="A1497">
    <cfRule type="duplicateValues" dxfId="1137" priority="1598" stopIfTrue="1"/>
  </conditionalFormatting>
  <conditionalFormatting sqref="A1497">
    <cfRule type="duplicateValues" dxfId="1136" priority="1597" stopIfTrue="1"/>
  </conditionalFormatting>
  <conditionalFormatting sqref="A1497">
    <cfRule type="duplicateValues" dxfId="1135" priority="1596" stopIfTrue="1"/>
  </conditionalFormatting>
  <conditionalFormatting sqref="A1497">
    <cfRule type="duplicateValues" dxfId="1134" priority="1595" stopIfTrue="1"/>
  </conditionalFormatting>
  <conditionalFormatting sqref="A1497">
    <cfRule type="duplicateValues" dxfId="1133" priority="1594" stopIfTrue="1"/>
  </conditionalFormatting>
  <conditionalFormatting sqref="A1497">
    <cfRule type="duplicateValues" dxfId="1132" priority="1593"/>
  </conditionalFormatting>
  <conditionalFormatting sqref="A1497">
    <cfRule type="duplicateValues" dxfId="1131" priority="1592"/>
  </conditionalFormatting>
  <conditionalFormatting sqref="A1497">
    <cfRule type="duplicateValues" dxfId="1130" priority="1591"/>
  </conditionalFormatting>
  <conditionalFormatting sqref="A1497">
    <cfRule type="duplicateValues" dxfId="1129" priority="1590"/>
  </conditionalFormatting>
  <conditionalFormatting sqref="A1497">
    <cfRule type="duplicateValues" dxfId="1128" priority="1589"/>
  </conditionalFormatting>
  <conditionalFormatting sqref="A1497">
    <cfRule type="duplicateValues" dxfId="1127" priority="1588"/>
  </conditionalFormatting>
  <conditionalFormatting sqref="A1497">
    <cfRule type="duplicateValues" dxfId="1126" priority="1587"/>
  </conditionalFormatting>
  <conditionalFormatting sqref="A1497">
    <cfRule type="duplicateValues" dxfId="1125" priority="1586"/>
  </conditionalFormatting>
  <conditionalFormatting sqref="A1497">
    <cfRule type="duplicateValues" dxfId="1124" priority="1584"/>
    <cfRule type="duplicateValues" dxfId="1123" priority="1585"/>
  </conditionalFormatting>
  <conditionalFormatting sqref="A1497">
    <cfRule type="duplicateValues" dxfId="1122" priority="1583"/>
  </conditionalFormatting>
  <conditionalFormatting sqref="A1497">
    <cfRule type="duplicateValues" dxfId="1121" priority="1626"/>
  </conditionalFormatting>
  <conditionalFormatting sqref="A1497">
    <cfRule type="duplicateValues" dxfId="1120" priority="1582"/>
  </conditionalFormatting>
  <conditionalFormatting sqref="A1497">
    <cfRule type="duplicateValues" dxfId="1119" priority="1627"/>
  </conditionalFormatting>
  <conditionalFormatting sqref="A1497">
    <cfRule type="duplicateValues" dxfId="1118" priority="1581"/>
  </conditionalFormatting>
  <conditionalFormatting sqref="A1497">
    <cfRule type="duplicateValues" dxfId="1117" priority="1580"/>
  </conditionalFormatting>
  <conditionalFormatting sqref="A1163">
    <cfRule type="duplicateValues" dxfId="1116" priority="1576" stopIfTrue="1"/>
  </conditionalFormatting>
  <conditionalFormatting sqref="A1163">
    <cfRule type="duplicateValues" dxfId="1115" priority="1575" stopIfTrue="1"/>
  </conditionalFormatting>
  <conditionalFormatting sqref="A1163">
    <cfRule type="duplicateValues" dxfId="1114" priority="1574" stopIfTrue="1"/>
  </conditionalFormatting>
  <conditionalFormatting sqref="A1163">
    <cfRule type="duplicateValues" dxfId="1113" priority="1573" stopIfTrue="1"/>
  </conditionalFormatting>
  <conditionalFormatting sqref="A1163">
    <cfRule type="duplicateValues" dxfId="1112" priority="1572" stopIfTrue="1"/>
  </conditionalFormatting>
  <conditionalFormatting sqref="A1163">
    <cfRule type="duplicateValues" dxfId="1111" priority="1571" stopIfTrue="1"/>
  </conditionalFormatting>
  <conditionalFormatting sqref="A1163">
    <cfRule type="duplicateValues" dxfId="1110" priority="1570" stopIfTrue="1"/>
  </conditionalFormatting>
  <conditionalFormatting sqref="A1163">
    <cfRule type="duplicateValues" dxfId="1109" priority="1569" stopIfTrue="1"/>
  </conditionalFormatting>
  <conditionalFormatting sqref="A1163">
    <cfRule type="duplicateValues" dxfId="1108" priority="1568" stopIfTrue="1"/>
  </conditionalFormatting>
  <conditionalFormatting sqref="A1163">
    <cfRule type="duplicateValues" dxfId="1107" priority="1567" stopIfTrue="1"/>
  </conditionalFormatting>
  <conditionalFormatting sqref="A1163">
    <cfRule type="duplicateValues" dxfId="1106" priority="1566" stopIfTrue="1"/>
  </conditionalFormatting>
  <conditionalFormatting sqref="A1163">
    <cfRule type="duplicateValues" dxfId="1105" priority="1565" stopIfTrue="1"/>
  </conditionalFormatting>
  <conditionalFormatting sqref="A1163">
    <cfRule type="duplicateValues" dxfId="1104" priority="1564" stopIfTrue="1"/>
  </conditionalFormatting>
  <conditionalFormatting sqref="A1163">
    <cfRule type="duplicateValues" dxfId="1103" priority="1577" stopIfTrue="1"/>
  </conditionalFormatting>
  <conditionalFormatting sqref="A1163">
    <cfRule type="duplicateValues" dxfId="1102" priority="1563" stopIfTrue="1"/>
  </conditionalFormatting>
  <conditionalFormatting sqref="C1163">
    <cfRule type="duplicateValues" dxfId="1101" priority="1562" stopIfTrue="1"/>
  </conditionalFormatting>
  <conditionalFormatting sqref="A1163">
    <cfRule type="duplicateValues" dxfId="1100" priority="1561" stopIfTrue="1"/>
  </conditionalFormatting>
  <conditionalFormatting sqref="A1163">
    <cfRule type="duplicateValues" dxfId="1099" priority="1560" stopIfTrue="1"/>
  </conditionalFormatting>
  <conditionalFormatting sqref="A1163">
    <cfRule type="duplicateValues" dxfId="1098" priority="1559" stopIfTrue="1"/>
  </conditionalFormatting>
  <conditionalFormatting sqref="A1163">
    <cfRule type="duplicateValues" dxfId="1097" priority="1558" stopIfTrue="1"/>
  </conditionalFormatting>
  <conditionalFormatting sqref="A1163">
    <cfRule type="duplicateValues" dxfId="1096" priority="1557" stopIfTrue="1"/>
  </conditionalFormatting>
  <conditionalFormatting sqref="A1163">
    <cfRule type="duplicateValues" dxfId="1095" priority="1556" stopIfTrue="1"/>
  </conditionalFormatting>
  <conditionalFormatting sqref="A1163">
    <cfRule type="duplicateValues" dxfId="1094" priority="1555" stopIfTrue="1"/>
  </conditionalFormatting>
  <conditionalFormatting sqref="A1163">
    <cfRule type="duplicateValues" dxfId="1093" priority="1554" stopIfTrue="1"/>
  </conditionalFormatting>
  <conditionalFormatting sqref="A1163">
    <cfRule type="duplicateValues" dxfId="1092" priority="1552" stopIfTrue="1"/>
    <cfRule type="duplicateValues" dxfId="1091" priority="1553" stopIfTrue="1"/>
  </conditionalFormatting>
  <conditionalFormatting sqref="A1163">
    <cfRule type="duplicateValues" dxfId="1090" priority="1551" stopIfTrue="1"/>
  </conditionalFormatting>
  <conditionalFormatting sqref="A1163">
    <cfRule type="duplicateValues" dxfId="1089" priority="1550" stopIfTrue="1"/>
  </conditionalFormatting>
  <conditionalFormatting sqref="A1163">
    <cfRule type="duplicateValues" dxfId="1088" priority="1549" stopIfTrue="1"/>
  </conditionalFormatting>
  <conditionalFormatting sqref="A1163">
    <cfRule type="duplicateValues" dxfId="1087" priority="1548" stopIfTrue="1"/>
  </conditionalFormatting>
  <conditionalFormatting sqref="A1163">
    <cfRule type="duplicateValues" dxfId="1086" priority="1547" stopIfTrue="1"/>
  </conditionalFormatting>
  <conditionalFormatting sqref="A1163">
    <cfRule type="duplicateValues" dxfId="1085" priority="1546"/>
  </conditionalFormatting>
  <conditionalFormatting sqref="A1163">
    <cfRule type="duplicateValues" dxfId="1084" priority="1545"/>
  </conditionalFormatting>
  <conditionalFormatting sqref="A1163">
    <cfRule type="duplicateValues" dxfId="1083" priority="1544"/>
  </conditionalFormatting>
  <conditionalFormatting sqref="A1163">
    <cfRule type="duplicateValues" dxfId="1082" priority="1543"/>
  </conditionalFormatting>
  <conditionalFormatting sqref="A1163">
    <cfRule type="duplicateValues" dxfId="1081" priority="1542"/>
  </conditionalFormatting>
  <conditionalFormatting sqref="A1163">
    <cfRule type="duplicateValues" dxfId="1080" priority="1541"/>
  </conditionalFormatting>
  <conditionalFormatting sqref="A1163">
    <cfRule type="duplicateValues" dxfId="1079" priority="1540"/>
  </conditionalFormatting>
  <conditionalFormatting sqref="A1163">
    <cfRule type="duplicateValues" dxfId="1078" priority="1539"/>
  </conditionalFormatting>
  <conditionalFormatting sqref="A1163">
    <cfRule type="duplicateValues" dxfId="1077" priority="1537"/>
    <cfRule type="duplicateValues" dxfId="1076" priority="1538"/>
  </conditionalFormatting>
  <conditionalFormatting sqref="A1163">
    <cfRule type="duplicateValues" dxfId="1075" priority="1536"/>
  </conditionalFormatting>
  <conditionalFormatting sqref="A1163">
    <cfRule type="duplicateValues" dxfId="1074" priority="1578"/>
  </conditionalFormatting>
  <conditionalFormatting sqref="A1163">
    <cfRule type="duplicateValues" dxfId="1073" priority="1535"/>
  </conditionalFormatting>
  <conditionalFormatting sqref="A1163">
    <cfRule type="duplicateValues" dxfId="1072" priority="1579"/>
  </conditionalFormatting>
  <conditionalFormatting sqref="A1163">
    <cfRule type="duplicateValues" dxfId="1071" priority="1534"/>
  </conditionalFormatting>
  <conditionalFormatting sqref="A1163">
    <cfRule type="duplicateValues" dxfId="1070" priority="1533"/>
  </conditionalFormatting>
  <conditionalFormatting sqref="A1409">
    <cfRule type="duplicateValues" dxfId="1069" priority="1530" stopIfTrue="1"/>
  </conditionalFormatting>
  <conditionalFormatting sqref="C1409">
    <cfRule type="duplicateValues" dxfId="1068" priority="1529" stopIfTrue="1"/>
  </conditionalFormatting>
  <conditionalFormatting sqref="A1409">
    <cfRule type="duplicateValues" dxfId="1067" priority="1528" stopIfTrue="1"/>
  </conditionalFormatting>
  <conditionalFormatting sqref="A1409">
    <cfRule type="duplicateValues" dxfId="1066" priority="1527" stopIfTrue="1"/>
  </conditionalFormatting>
  <conditionalFormatting sqref="A1409">
    <cfRule type="duplicateValues" dxfId="1065" priority="1526" stopIfTrue="1"/>
  </conditionalFormatting>
  <conditionalFormatting sqref="A1409">
    <cfRule type="duplicateValues" dxfId="1064" priority="1525" stopIfTrue="1"/>
  </conditionalFormatting>
  <conditionalFormatting sqref="A1409">
    <cfRule type="duplicateValues" dxfId="1063" priority="1524" stopIfTrue="1"/>
  </conditionalFormatting>
  <conditionalFormatting sqref="A1409">
    <cfRule type="duplicateValues" dxfId="1062" priority="1523" stopIfTrue="1"/>
  </conditionalFormatting>
  <conditionalFormatting sqref="A1409">
    <cfRule type="duplicateValues" dxfId="1061" priority="1522" stopIfTrue="1"/>
  </conditionalFormatting>
  <conditionalFormatting sqref="A1409">
    <cfRule type="duplicateValues" dxfId="1060" priority="1521" stopIfTrue="1"/>
  </conditionalFormatting>
  <conditionalFormatting sqref="A1409">
    <cfRule type="duplicateValues" dxfId="1059" priority="1519" stopIfTrue="1"/>
    <cfRule type="duplicateValues" dxfId="1058" priority="1520" stopIfTrue="1"/>
  </conditionalFormatting>
  <conditionalFormatting sqref="A1409">
    <cfRule type="duplicateValues" dxfId="1057" priority="1518" stopIfTrue="1"/>
  </conditionalFormatting>
  <conditionalFormatting sqref="A1409">
    <cfRule type="duplicateValues" dxfId="1056" priority="1517" stopIfTrue="1"/>
  </conditionalFormatting>
  <conditionalFormatting sqref="A1409">
    <cfRule type="duplicateValues" dxfId="1055" priority="1516" stopIfTrue="1"/>
  </conditionalFormatting>
  <conditionalFormatting sqref="A1409">
    <cfRule type="duplicateValues" dxfId="1054" priority="1515" stopIfTrue="1"/>
  </conditionalFormatting>
  <conditionalFormatting sqref="A1409">
    <cfRule type="duplicateValues" dxfId="1053" priority="1514" stopIfTrue="1"/>
  </conditionalFormatting>
  <conditionalFormatting sqref="A1409">
    <cfRule type="duplicateValues" dxfId="1052" priority="1513"/>
  </conditionalFormatting>
  <conditionalFormatting sqref="A1409">
    <cfRule type="duplicateValues" dxfId="1051" priority="1512"/>
  </conditionalFormatting>
  <conditionalFormatting sqref="A1409">
    <cfRule type="duplicateValues" dxfId="1050" priority="1511"/>
  </conditionalFormatting>
  <conditionalFormatting sqref="A1409">
    <cfRule type="duplicateValues" dxfId="1049" priority="1510"/>
  </conditionalFormatting>
  <conditionalFormatting sqref="A1409">
    <cfRule type="duplicateValues" dxfId="1048" priority="1509"/>
  </conditionalFormatting>
  <conditionalFormatting sqref="A1409">
    <cfRule type="duplicateValues" dxfId="1047" priority="1508"/>
  </conditionalFormatting>
  <conditionalFormatting sqref="A1409">
    <cfRule type="duplicateValues" dxfId="1046" priority="1507"/>
  </conditionalFormatting>
  <conditionalFormatting sqref="A1409">
    <cfRule type="duplicateValues" dxfId="1045" priority="1506"/>
  </conditionalFormatting>
  <conditionalFormatting sqref="A1409">
    <cfRule type="duplicateValues" dxfId="1044" priority="1504"/>
    <cfRule type="duplicateValues" dxfId="1043" priority="1505"/>
  </conditionalFormatting>
  <conditionalFormatting sqref="A1409">
    <cfRule type="duplicateValues" dxfId="1042" priority="1503"/>
  </conditionalFormatting>
  <conditionalFormatting sqref="A1409">
    <cfRule type="duplicateValues" dxfId="1041" priority="1531"/>
  </conditionalFormatting>
  <conditionalFormatting sqref="A1409">
    <cfRule type="duplicateValues" dxfId="1040" priority="1502"/>
  </conditionalFormatting>
  <conditionalFormatting sqref="A1409">
    <cfRule type="duplicateValues" dxfId="1039" priority="1532"/>
  </conditionalFormatting>
  <conditionalFormatting sqref="A1409">
    <cfRule type="duplicateValues" dxfId="1038" priority="1501"/>
  </conditionalFormatting>
  <conditionalFormatting sqref="A1409">
    <cfRule type="duplicateValues" dxfId="1037" priority="1500"/>
  </conditionalFormatting>
  <conditionalFormatting sqref="A1410">
    <cfRule type="duplicateValues" dxfId="1036" priority="1497" stopIfTrue="1"/>
  </conditionalFormatting>
  <conditionalFormatting sqref="C1410">
    <cfRule type="duplicateValues" dxfId="1035" priority="1496" stopIfTrue="1"/>
  </conditionalFormatting>
  <conditionalFormatting sqref="A1410">
    <cfRule type="duplicateValues" dxfId="1034" priority="1495" stopIfTrue="1"/>
  </conditionalFormatting>
  <conditionalFormatting sqref="A1410">
    <cfRule type="duplicateValues" dxfId="1033" priority="1494" stopIfTrue="1"/>
  </conditionalFormatting>
  <conditionalFormatting sqref="A1410">
    <cfRule type="duplicateValues" dxfId="1032" priority="1493" stopIfTrue="1"/>
  </conditionalFormatting>
  <conditionalFormatting sqref="A1410">
    <cfRule type="duplicateValues" dxfId="1031" priority="1492" stopIfTrue="1"/>
  </conditionalFormatting>
  <conditionalFormatting sqref="A1410">
    <cfRule type="duplicateValues" dxfId="1030" priority="1491" stopIfTrue="1"/>
  </conditionalFormatting>
  <conditionalFormatting sqref="A1410">
    <cfRule type="duplicateValues" dxfId="1029" priority="1490" stopIfTrue="1"/>
  </conditionalFormatting>
  <conditionalFormatting sqref="A1410">
    <cfRule type="duplicateValues" dxfId="1028" priority="1489" stopIfTrue="1"/>
  </conditionalFormatting>
  <conditionalFormatting sqref="A1410">
    <cfRule type="duplicateValues" dxfId="1027" priority="1488" stopIfTrue="1"/>
  </conditionalFormatting>
  <conditionalFormatting sqref="A1410">
    <cfRule type="duplicateValues" dxfId="1026" priority="1486" stopIfTrue="1"/>
    <cfRule type="duplicateValues" dxfId="1025" priority="1487" stopIfTrue="1"/>
  </conditionalFormatting>
  <conditionalFormatting sqref="A1410">
    <cfRule type="duplicateValues" dxfId="1024" priority="1485" stopIfTrue="1"/>
  </conditionalFormatting>
  <conditionalFormatting sqref="A1410">
    <cfRule type="duplicateValues" dxfId="1023" priority="1484" stopIfTrue="1"/>
  </conditionalFormatting>
  <conditionalFormatting sqref="A1410">
    <cfRule type="duplicateValues" dxfId="1022" priority="1483" stopIfTrue="1"/>
  </conditionalFormatting>
  <conditionalFormatting sqref="A1410">
    <cfRule type="duplicateValues" dxfId="1021" priority="1482" stopIfTrue="1"/>
  </conditionalFormatting>
  <conditionalFormatting sqref="A1410">
    <cfRule type="duplicateValues" dxfId="1020" priority="1481" stopIfTrue="1"/>
  </conditionalFormatting>
  <conditionalFormatting sqref="A1410">
    <cfRule type="duplicateValues" dxfId="1019" priority="1480"/>
  </conditionalFormatting>
  <conditionalFormatting sqref="A1410">
    <cfRule type="duplicateValues" dxfId="1018" priority="1479"/>
  </conditionalFormatting>
  <conditionalFormatting sqref="A1410">
    <cfRule type="duplicateValues" dxfId="1017" priority="1478"/>
  </conditionalFormatting>
  <conditionalFormatting sqref="A1410">
    <cfRule type="duplicateValues" dxfId="1016" priority="1477"/>
  </conditionalFormatting>
  <conditionalFormatting sqref="A1410">
    <cfRule type="duplicateValues" dxfId="1015" priority="1476"/>
  </conditionalFormatting>
  <conditionalFormatting sqref="A1410">
    <cfRule type="duplicateValues" dxfId="1014" priority="1475"/>
  </conditionalFormatting>
  <conditionalFormatting sqref="A1410">
    <cfRule type="duplicateValues" dxfId="1013" priority="1474"/>
  </conditionalFormatting>
  <conditionalFormatting sqref="A1410">
    <cfRule type="duplicateValues" dxfId="1012" priority="1473"/>
  </conditionalFormatting>
  <conditionalFormatting sqref="A1410">
    <cfRule type="duplicateValues" dxfId="1011" priority="1471"/>
    <cfRule type="duplicateValues" dxfId="1010" priority="1472"/>
  </conditionalFormatting>
  <conditionalFormatting sqref="A1410">
    <cfRule type="duplicateValues" dxfId="1009" priority="1470"/>
  </conditionalFormatting>
  <conditionalFormatting sqref="A1410">
    <cfRule type="duplicateValues" dxfId="1008" priority="1498"/>
  </conditionalFormatting>
  <conditionalFormatting sqref="A1410">
    <cfRule type="duplicateValues" dxfId="1007" priority="1469"/>
  </conditionalFormatting>
  <conditionalFormatting sqref="A1410">
    <cfRule type="duplicateValues" dxfId="1006" priority="1499"/>
  </conditionalFormatting>
  <conditionalFormatting sqref="A1410">
    <cfRule type="duplicateValues" dxfId="1005" priority="1468"/>
  </conditionalFormatting>
  <conditionalFormatting sqref="A1410">
    <cfRule type="duplicateValues" dxfId="1004" priority="1467"/>
  </conditionalFormatting>
  <conditionalFormatting sqref="A1416:D1416 A1415:C1415 T1415:XFD1416">
    <cfRule type="duplicateValues" dxfId="1003" priority="1393" stopIfTrue="1"/>
  </conditionalFormatting>
  <conditionalFormatting sqref="A1415:C1415 A1416:D1416 T1415:XFD1416">
    <cfRule type="duplicateValues" dxfId="1002" priority="1392" stopIfTrue="1"/>
  </conditionalFormatting>
  <conditionalFormatting sqref="A1415:C1415">
    <cfRule type="duplicateValues" dxfId="1001" priority="1391" stopIfTrue="1"/>
  </conditionalFormatting>
  <conditionalFormatting sqref="A1415:C1415">
    <cfRule type="duplicateValues" dxfId="1000" priority="1390" stopIfTrue="1"/>
  </conditionalFormatting>
  <conditionalFormatting sqref="A1415:C1415">
    <cfRule type="duplicateValues" dxfId="999" priority="1389" stopIfTrue="1"/>
  </conditionalFormatting>
  <conditionalFormatting sqref="A1415:C1415">
    <cfRule type="duplicateValues" dxfId="998" priority="1388" stopIfTrue="1"/>
  </conditionalFormatting>
  <conditionalFormatting sqref="A1415:C1415">
    <cfRule type="duplicateValues" dxfId="997" priority="1387" stopIfTrue="1"/>
  </conditionalFormatting>
  <conditionalFormatting sqref="A1415:C1415">
    <cfRule type="duplicateValues" dxfId="996" priority="1386" stopIfTrue="1"/>
  </conditionalFormatting>
  <conditionalFormatting sqref="A1415:C1415">
    <cfRule type="duplicateValues" dxfId="995" priority="1385" stopIfTrue="1"/>
  </conditionalFormatting>
  <conditionalFormatting sqref="A1416:D1416 A1415:C1415 T1415:XFD1416">
    <cfRule type="duplicateValues" dxfId="994" priority="1383" stopIfTrue="1"/>
    <cfRule type="duplicateValues" dxfId="993" priority="1384" stopIfTrue="1"/>
  </conditionalFormatting>
  <conditionalFormatting sqref="A1416:D1416">
    <cfRule type="duplicateValues" dxfId="992" priority="1382" stopIfTrue="1"/>
  </conditionalFormatting>
  <conditionalFormatting sqref="A1415:C1415">
    <cfRule type="duplicateValues" dxfId="991" priority="1381" stopIfTrue="1"/>
  </conditionalFormatting>
  <conditionalFormatting sqref="A1415:C1415">
    <cfRule type="duplicateValues" dxfId="990" priority="1380" stopIfTrue="1"/>
  </conditionalFormatting>
  <conditionalFormatting sqref="A1415:C1415">
    <cfRule type="duplicateValues" dxfId="989" priority="1379" stopIfTrue="1"/>
  </conditionalFormatting>
  <conditionalFormatting sqref="A1415:C1415">
    <cfRule type="duplicateValues" dxfId="988" priority="1378" stopIfTrue="1"/>
  </conditionalFormatting>
  <conditionalFormatting sqref="A1415:C1415 A1416:D1416 T1415:XFD1416">
    <cfRule type="duplicateValues" dxfId="987" priority="1377"/>
  </conditionalFormatting>
  <conditionalFormatting sqref="A1415:C1415">
    <cfRule type="duplicateValues" dxfId="986" priority="1376"/>
  </conditionalFormatting>
  <conditionalFormatting sqref="A1415:C1415">
    <cfRule type="duplicateValues" dxfId="985" priority="1375"/>
  </conditionalFormatting>
  <conditionalFormatting sqref="A1415:C1415">
    <cfRule type="duplicateValues" dxfId="984" priority="1374"/>
  </conditionalFormatting>
  <conditionalFormatting sqref="A1415:C1415">
    <cfRule type="duplicateValues" dxfId="983" priority="1373"/>
  </conditionalFormatting>
  <conditionalFormatting sqref="A1415:C1415">
    <cfRule type="duplicateValues" dxfId="982" priority="1372"/>
  </conditionalFormatting>
  <conditionalFormatting sqref="A1415:C1415">
    <cfRule type="duplicateValues" dxfId="981" priority="1371"/>
  </conditionalFormatting>
  <conditionalFormatting sqref="A1415:C1415">
    <cfRule type="duplicateValues" dxfId="980" priority="1370"/>
  </conditionalFormatting>
  <conditionalFormatting sqref="A1416:D1416 A1415:C1415 T1415:XFD1416">
    <cfRule type="duplicateValues" dxfId="979" priority="1368"/>
    <cfRule type="duplicateValues" dxfId="978" priority="1369"/>
  </conditionalFormatting>
  <conditionalFormatting sqref="A1416:D1416 A1415:C1415 T1415:XFD1416">
    <cfRule type="duplicateValues" dxfId="977" priority="1367"/>
  </conditionalFormatting>
  <conditionalFormatting sqref="A1415:C1415">
    <cfRule type="duplicateValues" dxfId="976" priority="1394"/>
  </conditionalFormatting>
  <conditionalFormatting sqref="A1415:C1415">
    <cfRule type="duplicateValues" dxfId="975" priority="1366"/>
  </conditionalFormatting>
  <conditionalFormatting sqref="A1415:C1415">
    <cfRule type="duplicateValues" dxfId="974" priority="1395"/>
  </conditionalFormatting>
  <conditionalFormatting sqref="A1415:C1415">
    <cfRule type="duplicateValues" dxfId="973" priority="1365"/>
  </conditionalFormatting>
  <conditionalFormatting sqref="A1415:C1415">
    <cfRule type="duplicateValues" dxfId="972" priority="1364"/>
  </conditionalFormatting>
  <conditionalFormatting sqref="C1421:C1422">
    <cfRule type="duplicateValues" dxfId="971" priority="1360" stopIfTrue="1"/>
  </conditionalFormatting>
  <conditionalFormatting sqref="A1421:B1422">
    <cfRule type="duplicateValues" dxfId="970" priority="1307" stopIfTrue="1"/>
  </conditionalFormatting>
  <conditionalFormatting sqref="A1421:B1422">
    <cfRule type="duplicateValues" dxfId="969" priority="1306" stopIfTrue="1"/>
  </conditionalFormatting>
  <conditionalFormatting sqref="A1421:B1422">
    <cfRule type="duplicateValues" dxfId="968" priority="1305" stopIfTrue="1"/>
  </conditionalFormatting>
  <conditionalFormatting sqref="A1421:B1422">
    <cfRule type="duplicateValues" dxfId="967" priority="1304" stopIfTrue="1"/>
  </conditionalFormatting>
  <conditionalFormatting sqref="A1421:B1422">
    <cfRule type="duplicateValues" dxfId="966" priority="1303" stopIfTrue="1"/>
  </conditionalFormatting>
  <conditionalFormatting sqref="A1421:B1422">
    <cfRule type="duplicateValues" dxfId="965" priority="1302" stopIfTrue="1"/>
  </conditionalFormatting>
  <conditionalFormatting sqref="A1421:B1422">
    <cfRule type="duplicateValues" dxfId="964" priority="1301" stopIfTrue="1"/>
  </conditionalFormatting>
  <conditionalFormatting sqref="A1421:B1422">
    <cfRule type="duplicateValues" dxfId="963" priority="1300" stopIfTrue="1"/>
  </conditionalFormatting>
  <conditionalFormatting sqref="A1421:B1422">
    <cfRule type="duplicateValues" dxfId="962" priority="1299" stopIfTrue="1"/>
  </conditionalFormatting>
  <conditionalFormatting sqref="A1421:B1422">
    <cfRule type="duplicateValues" dxfId="961" priority="1297" stopIfTrue="1"/>
    <cfRule type="duplicateValues" dxfId="960" priority="1298" stopIfTrue="1"/>
  </conditionalFormatting>
  <conditionalFormatting sqref="A1421:B1422">
    <cfRule type="duplicateValues" dxfId="959" priority="1296" stopIfTrue="1"/>
  </conditionalFormatting>
  <conditionalFormatting sqref="A1421:B1422">
    <cfRule type="duplicateValues" dxfId="958" priority="1295" stopIfTrue="1"/>
  </conditionalFormatting>
  <conditionalFormatting sqref="A1421:B1422">
    <cfRule type="duplicateValues" dxfId="957" priority="1294" stopIfTrue="1"/>
  </conditionalFormatting>
  <conditionalFormatting sqref="A1421:B1422">
    <cfRule type="duplicateValues" dxfId="956" priority="1293" stopIfTrue="1"/>
  </conditionalFormatting>
  <conditionalFormatting sqref="A1421:B1422">
    <cfRule type="duplicateValues" dxfId="955" priority="1292" stopIfTrue="1"/>
  </conditionalFormatting>
  <conditionalFormatting sqref="A1421:B1422">
    <cfRule type="duplicateValues" dxfId="954" priority="1291"/>
  </conditionalFormatting>
  <conditionalFormatting sqref="A1421:B1422">
    <cfRule type="duplicateValues" dxfId="953" priority="1290"/>
  </conditionalFormatting>
  <conditionalFormatting sqref="A1421:B1422">
    <cfRule type="duplicateValues" dxfId="952" priority="1289"/>
  </conditionalFormatting>
  <conditionalFormatting sqref="A1421:B1422">
    <cfRule type="duplicateValues" dxfId="951" priority="1288"/>
  </conditionalFormatting>
  <conditionalFormatting sqref="A1421:B1422">
    <cfRule type="duplicateValues" dxfId="950" priority="1287"/>
  </conditionalFormatting>
  <conditionalFormatting sqref="A1421:B1422">
    <cfRule type="duplicateValues" dxfId="949" priority="1286"/>
  </conditionalFormatting>
  <conditionalFormatting sqref="A1421:B1422">
    <cfRule type="duplicateValues" dxfId="948" priority="1285"/>
  </conditionalFormatting>
  <conditionalFormatting sqref="A1421:B1422">
    <cfRule type="duplicateValues" dxfId="947" priority="1284"/>
  </conditionalFormatting>
  <conditionalFormatting sqref="A1421:B1422">
    <cfRule type="duplicateValues" dxfId="946" priority="1282"/>
    <cfRule type="duplicateValues" dxfId="945" priority="1283"/>
  </conditionalFormatting>
  <conditionalFormatting sqref="A1421:B1422">
    <cfRule type="duplicateValues" dxfId="944" priority="1281"/>
  </conditionalFormatting>
  <conditionalFormatting sqref="A1421:B1422">
    <cfRule type="duplicateValues" dxfId="943" priority="1308"/>
  </conditionalFormatting>
  <conditionalFormatting sqref="A1421:B1422">
    <cfRule type="duplicateValues" dxfId="942" priority="1280"/>
  </conditionalFormatting>
  <conditionalFormatting sqref="A1421:B1422">
    <cfRule type="duplicateValues" dxfId="941" priority="1309"/>
  </conditionalFormatting>
  <conditionalFormatting sqref="A1421:B1422">
    <cfRule type="duplicateValues" dxfId="940" priority="1279"/>
  </conditionalFormatting>
  <conditionalFormatting sqref="A1421:B1422">
    <cfRule type="duplicateValues" dxfId="939" priority="1278"/>
  </conditionalFormatting>
  <conditionalFormatting sqref="D1421:F1422 I1421:K1422 AX1421:BC1422 M1421:AM1422 AO1421:AV1422">
    <cfRule type="duplicateValues" dxfId="938" priority="1275" stopIfTrue="1"/>
  </conditionalFormatting>
  <conditionalFormatting sqref="D1421:F1422">
    <cfRule type="duplicateValues" dxfId="937" priority="1274" stopIfTrue="1"/>
  </conditionalFormatting>
  <conditionalFormatting sqref="D1421:F1422">
    <cfRule type="duplicateValues" dxfId="936" priority="1273" stopIfTrue="1"/>
  </conditionalFormatting>
  <conditionalFormatting sqref="D1421:F1422">
    <cfRule type="duplicateValues" dxfId="935" priority="1272" stopIfTrue="1"/>
  </conditionalFormatting>
  <conditionalFormatting sqref="D1421:F1422">
    <cfRule type="duplicateValues" dxfId="934" priority="1271" stopIfTrue="1"/>
  </conditionalFormatting>
  <conditionalFormatting sqref="D1421:F1422">
    <cfRule type="duplicateValues" dxfId="933" priority="1270" stopIfTrue="1"/>
  </conditionalFormatting>
  <conditionalFormatting sqref="D1421:F1422">
    <cfRule type="duplicateValues" dxfId="932" priority="1269" stopIfTrue="1"/>
  </conditionalFormatting>
  <conditionalFormatting sqref="D1421:F1422">
    <cfRule type="duplicateValues" dxfId="931" priority="1268" stopIfTrue="1"/>
  </conditionalFormatting>
  <conditionalFormatting sqref="D1421:F1422">
    <cfRule type="duplicateValues" dxfId="930" priority="1267" stopIfTrue="1"/>
  </conditionalFormatting>
  <conditionalFormatting sqref="D1421:F1422 I1421:K1422 AX1421:BC1422 M1421:AM1422 AO1421:AV1422">
    <cfRule type="duplicateValues" dxfId="929" priority="1265" stopIfTrue="1"/>
    <cfRule type="duplicateValues" dxfId="928" priority="1266" stopIfTrue="1"/>
  </conditionalFormatting>
  <conditionalFormatting sqref="D1421:F1422">
    <cfRule type="duplicateValues" dxfId="927" priority="1264" stopIfTrue="1"/>
  </conditionalFormatting>
  <conditionalFormatting sqref="D1421:F1422">
    <cfRule type="duplicateValues" dxfId="926" priority="1263" stopIfTrue="1"/>
  </conditionalFormatting>
  <conditionalFormatting sqref="D1421:F1422">
    <cfRule type="duplicateValues" dxfId="925" priority="1262" stopIfTrue="1"/>
  </conditionalFormatting>
  <conditionalFormatting sqref="D1421:F1422">
    <cfRule type="duplicateValues" dxfId="924" priority="1261" stopIfTrue="1"/>
  </conditionalFormatting>
  <conditionalFormatting sqref="D1421:F1422">
    <cfRule type="duplicateValues" dxfId="923" priority="1260" stopIfTrue="1"/>
  </conditionalFormatting>
  <conditionalFormatting sqref="D1421:F1422 I1421:K1422 AX1421:BC1422 M1421:AM1422 AO1421:AV1422">
    <cfRule type="duplicateValues" dxfId="922" priority="1259"/>
  </conditionalFormatting>
  <conditionalFormatting sqref="D1421:F1422">
    <cfRule type="duplicateValues" dxfId="921" priority="1258"/>
  </conditionalFormatting>
  <conditionalFormatting sqref="D1421:F1422">
    <cfRule type="duplicateValues" dxfId="920" priority="1257"/>
  </conditionalFormatting>
  <conditionalFormatting sqref="D1421:F1422">
    <cfRule type="duplicateValues" dxfId="919" priority="1256"/>
  </conditionalFormatting>
  <conditionalFormatting sqref="D1421:F1422">
    <cfRule type="duplicateValues" dxfId="918" priority="1255"/>
  </conditionalFormatting>
  <conditionalFormatting sqref="D1421:F1422">
    <cfRule type="duplicateValues" dxfId="917" priority="1254"/>
  </conditionalFormatting>
  <conditionalFormatting sqref="D1421:F1422">
    <cfRule type="duplicateValues" dxfId="916" priority="1253"/>
  </conditionalFormatting>
  <conditionalFormatting sqref="D1421:F1422">
    <cfRule type="duplicateValues" dxfId="915" priority="1252"/>
  </conditionalFormatting>
  <conditionalFormatting sqref="D1421:F1422 I1421:K1422 AX1421:BC1422 M1421:AM1422 AO1421:AV1422">
    <cfRule type="duplicateValues" dxfId="914" priority="1250"/>
    <cfRule type="duplicateValues" dxfId="913" priority="1251"/>
  </conditionalFormatting>
  <conditionalFormatting sqref="D1421:F1422">
    <cfRule type="duplicateValues" dxfId="912" priority="1249"/>
  </conditionalFormatting>
  <conditionalFormatting sqref="D1421:F1422">
    <cfRule type="duplicateValues" dxfId="911" priority="1276"/>
  </conditionalFormatting>
  <conditionalFormatting sqref="D1421:F1422">
    <cfRule type="duplicateValues" dxfId="910" priority="1248"/>
  </conditionalFormatting>
  <conditionalFormatting sqref="D1421:F1422">
    <cfRule type="duplicateValues" dxfId="909" priority="1277"/>
  </conditionalFormatting>
  <conditionalFormatting sqref="D1421:F1422">
    <cfRule type="duplicateValues" dxfId="908" priority="1247"/>
  </conditionalFormatting>
  <conditionalFormatting sqref="D1421:F1422">
    <cfRule type="duplicateValues" dxfId="907" priority="1246"/>
  </conditionalFormatting>
  <conditionalFormatting sqref="AW1421">
    <cfRule type="duplicateValues" dxfId="906" priority="1243" stopIfTrue="1"/>
  </conditionalFormatting>
  <conditionalFormatting sqref="AW1421">
    <cfRule type="duplicateValues" dxfId="905" priority="1242" stopIfTrue="1"/>
  </conditionalFormatting>
  <conditionalFormatting sqref="AW1421">
    <cfRule type="duplicateValues" dxfId="904" priority="1241" stopIfTrue="1"/>
  </conditionalFormatting>
  <conditionalFormatting sqref="AW1421">
    <cfRule type="duplicateValues" dxfId="903" priority="1240" stopIfTrue="1"/>
  </conditionalFormatting>
  <conditionalFormatting sqref="AW1421">
    <cfRule type="duplicateValues" dxfId="902" priority="1239" stopIfTrue="1"/>
  </conditionalFormatting>
  <conditionalFormatting sqref="AW1421">
    <cfRule type="duplicateValues" dxfId="901" priority="1238" stopIfTrue="1"/>
  </conditionalFormatting>
  <conditionalFormatting sqref="AW1421">
    <cfRule type="duplicateValues" dxfId="900" priority="1237" stopIfTrue="1"/>
  </conditionalFormatting>
  <conditionalFormatting sqref="AW1421">
    <cfRule type="duplicateValues" dxfId="899" priority="1236" stopIfTrue="1"/>
  </conditionalFormatting>
  <conditionalFormatting sqref="AW1421">
    <cfRule type="duplicateValues" dxfId="898" priority="1235" stopIfTrue="1"/>
  </conditionalFormatting>
  <conditionalFormatting sqref="AW1421">
    <cfRule type="duplicateValues" dxfId="897" priority="1233" stopIfTrue="1"/>
    <cfRule type="duplicateValues" dxfId="896" priority="1234" stopIfTrue="1"/>
  </conditionalFormatting>
  <conditionalFormatting sqref="AW1421">
    <cfRule type="duplicateValues" dxfId="895" priority="1232" stopIfTrue="1"/>
  </conditionalFormatting>
  <conditionalFormatting sqref="AW1421">
    <cfRule type="duplicateValues" dxfId="894" priority="1231" stopIfTrue="1"/>
  </conditionalFormatting>
  <conditionalFormatting sqref="AW1421">
    <cfRule type="duplicateValues" dxfId="893" priority="1230" stopIfTrue="1"/>
  </conditionalFormatting>
  <conditionalFormatting sqref="AW1421">
    <cfRule type="duplicateValues" dxfId="892" priority="1229" stopIfTrue="1"/>
  </conditionalFormatting>
  <conditionalFormatting sqref="AW1421">
    <cfRule type="duplicateValues" dxfId="891" priority="1228" stopIfTrue="1"/>
  </conditionalFormatting>
  <conditionalFormatting sqref="AW1421">
    <cfRule type="duplicateValues" dxfId="890" priority="1227"/>
  </conditionalFormatting>
  <conditionalFormatting sqref="AW1421">
    <cfRule type="duplicateValues" dxfId="889" priority="1226"/>
  </conditionalFormatting>
  <conditionalFormatting sqref="AW1421">
    <cfRule type="duplicateValues" dxfId="888" priority="1225"/>
  </conditionalFormatting>
  <conditionalFormatting sqref="AW1421">
    <cfRule type="duplicateValues" dxfId="887" priority="1224"/>
  </conditionalFormatting>
  <conditionalFormatting sqref="AW1421">
    <cfRule type="duplicateValues" dxfId="886" priority="1223"/>
  </conditionalFormatting>
  <conditionalFormatting sqref="AW1421">
    <cfRule type="duplicateValues" dxfId="885" priority="1222"/>
  </conditionalFormatting>
  <conditionalFormatting sqref="AW1421">
    <cfRule type="duplicateValues" dxfId="884" priority="1221"/>
  </conditionalFormatting>
  <conditionalFormatting sqref="AW1421">
    <cfRule type="duplicateValues" dxfId="883" priority="1220"/>
  </conditionalFormatting>
  <conditionalFormatting sqref="AW1421">
    <cfRule type="duplicateValues" dxfId="882" priority="1218"/>
    <cfRule type="duplicateValues" dxfId="881" priority="1219"/>
  </conditionalFormatting>
  <conditionalFormatting sqref="AW1421">
    <cfRule type="duplicateValues" dxfId="880" priority="1217"/>
  </conditionalFormatting>
  <conditionalFormatting sqref="AW1421">
    <cfRule type="duplicateValues" dxfId="879" priority="1244"/>
  </conditionalFormatting>
  <conditionalFormatting sqref="AW1421">
    <cfRule type="duplicateValues" dxfId="878" priority="1216"/>
  </conditionalFormatting>
  <conditionalFormatting sqref="AW1421">
    <cfRule type="duplicateValues" dxfId="877" priority="1245"/>
  </conditionalFormatting>
  <conditionalFormatting sqref="AW1421">
    <cfRule type="duplicateValues" dxfId="876" priority="1215"/>
  </conditionalFormatting>
  <conditionalFormatting sqref="AW1421">
    <cfRule type="duplicateValues" dxfId="875" priority="1214"/>
  </conditionalFormatting>
  <conditionalFormatting sqref="AW1422">
    <cfRule type="duplicateValues" dxfId="874" priority="1211" stopIfTrue="1"/>
  </conditionalFormatting>
  <conditionalFormatting sqref="AW1422">
    <cfRule type="duplicateValues" dxfId="873" priority="1210" stopIfTrue="1"/>
  </conditionalFormatting>
  <conditionalFormatting sqref="AW1422">
    <cfRule type="duplicateValues" dxfId="872" priority="1209" stopIfTrue="1"/>
  </conditionalFormatting>
  <conditionalFormatting sqref="AW1422">
    <cfRule type="duplicateValues" dxfId="871" priority="1208" stopIfTrue="1"/>
  </conditionalFormatting>
  <conditionalFormatting sqref="AW1422">
    <cfRule type="duplicateValues" dxfId="870" priority="1207" stopIfTrue="1"/>
  </conditionalFormatting>
  <conditionalFormatting sqref="AW1422">
    <cfRule type="duplicateValues" dxfId="869" priority="1206" stopIfTrue="1"/>
  </conditionalFormatting>
  <conditionalFormatting sqref="AW1422">
    <cfRule type="duplicateValues" dxfId="868" priority="1205" stopIfTrue="1"/>
  </conditionalFormatting>
  <conditionalFormatting sqref="AW1422">
    <cfRule type="duplicateValues" dxfId="867" priority="1204" stopIfTrue="1"/>
  </conditionalFormatting>
  <conditionalFormatting sqref="AW1422">
    <cfRule type="duplicateValues" dxfId="866" priority="1203" stopIfTrue="1"/>
  </conditionalFormatting>
  <conditionalFormatting sqref="AW1422">
    <cfRule type="duplicateValues" dxfId="865" priority="1201" stopIfTrue="1"/>
    <cfRule type="duplicateValues" dxfId="864" priority="1202" stopIfTrue="1"/>
  </conditionalFormatting>
  <conditionalFormatting sqref="AW1422">
    <cfRule type="duplicateValues" dxfId="863" priority="1200" stopIfTrue="1"/>
  </conditionalFormatting>
  <conditionalFormatting sqref="AW1422">
    <cfRule type="duplicateValues" dxfId="862" priority="1199" stopIfTrue="1"/>
  </conditionalFormatting>
  <conditionalFormatting sqref="AW1422">
    <cfRule type="duplicateValues" dxfId="861" priority="1198" stopIfTrue="1"/>
  </conditionalFormatting>
  <conditionalFormatting sqref="AW1422">
    <cfRule type="duplicateValues" dxfId="860" priority="1197" stopIfTrue="1"/>
  </conditionalFormatting>
  <conditionalFormatting sqref="AW1422">
    <cfRule type="duplicateValues" dxfId="859" priority="1196" stopIfTrue="1"/>
  </conditionalFormatting>
  <conditionalFormatting sqref="AW1422">
    <cfRule type="duplicateValues" dxfId="858" priority="1195"/>
  </conditionalFormatting>
  <conditionalFormatting sqref="AW1422">
    <cfRule type="duplicateValues" dxfId="857" priority="1194"/>
  </conditionalFormatting>
  <conditionalFormatting sqref="AW1422">
    <cfRule type="duplicateValues" dxfId="856" priority="1193"/>
  </conditionalFormatting>
  <conditionalFormatting sqref="AW1422">
    <cfRule type="duplicateValues" dxfId="855" priority="1192"/>
  </conditionalFormatting>
  <conditionalFormatting sqref="AW1422">
    <cfRule type="duplicateValues" dxfId="854" priority="1191"/>
  </conditionalFormatting>
  <conditionalFormatting sqref="AW1422">
    <cfRule type="duplicateValues" dxfId="853" priority="1190"/>
  </conditionalFormatting>
  <conditionalFormatting sqref="AW1422">
    <cfRule type="duplicateValues" dxfId="852" priority="1189"/>
  </conditionalFormatting>
  <conditionalFormatting sqref="AW1422">
    <cfRule type="duplicateValues" dxfId="851" priority="1188"/>
  </conditionalFormatting>
  <conditionalFormatting sqref="AW1422">
    <cfRule type="duplicateValues" dxfId="850" priority="1186"/>
    <cfRule type="duplicateValues" dxfId="849" priority="1187"/>
  </conditionalFormatting>
  <conditionalFormatting sqref="AW1422">
    <cfRule type="duplicateValues" dxfId="848" priority="1185"/>
  </conditionalFormatting>
  <conditionalFormatting sqref="AW1422">
    <cfRule type="duplicateValues" dxfId="847" priority="1212"/>
  </conditionalFormatting>
  <conditionalFormatting sqref="AW1422">
    <cfRule type="duplicateValues" dxfId="846" priority="1184"/>
  </conditionalFormatting>
  <conditionalFormatting sqref="AW1422">
    <cfRule type="duplicateValues" dxfId="845" priority="1213"/>
  </conditionalFormatting>
  <conditionalFormatting sqref="AW1422">
    <cfRule type="duplicateValues" dxfId="844" priority="1183"/>
  </conditionalFormatting>
  <conditionalFormatting sqref="AW1422">
    <cfRule type="duplicateValues" dxfId="843" priority="1182"/>
  </conditionalFormatting>
  <conditionalFormatting sqref="AN1409">
    <cfRule type="duplicateValues" dxfId="842" priority="1051" stopIfTrue="1"/>
  </conditionalFormatting>
  <conditionalFormatting sqref="AN1409">
    <cfRule type="duplicateValues" dxfId="841" priority="1050" stopIfTrue="1"/>
  </conditionalFormatting>
  <conditionalFormatting sqref="AN1409">
    <cfRule type="duplicateValues" dxfId="840" priority="1049" stopIfTrue="1"/>
  </conditionalFormatting>
  <conditionalFormatting sqref="AN1409">
    <cfRule type="duplicateValues" dxfId="839" priority="1048" stopIfTrue="1"/>
  </conditionalFormatting>
  <conditionalFormatting sqref="AN1409">
    <cfRule type="duplicateValues" dxfId="838" priority="1047" stopIfTrue="1"/>
  </conditionalFormatting>
  <conditionalFormatting sqref="AN1409">
    <cfRule type="duplicateValues" dxfId="837" priority="1046" stopIfTrue="1"/>
  </conditionalFormatting>
  <conditionalFormatting sqref="AN1409">
    <cfRule type="duplicateValues" dxfId="836" priority="1045" stopIfTrue="1"/>
  </conditionalFormatting>
  <conditionalFormatting sqref="AN1409">
    <cfRule type="duplicateValues" dxfId="835" priority="1044" stopIfTrue="1"/>
  </conditionalFormatting>
  <conditionalFormatting sqref="AN1409">
    <cfRule type="duplicateValues" dxfId="834" priority="1043" stopIfTrue="1"/>
  </conditionalFormatting>
  <conditionalFormatting sqref="AN1409">
    <cfRule type="duplicateValues" dxfId="833" priority="1041" stopIfTrue="1"/>
    <cfRule type="duplicateValues" dxfId="832" priority="1042" stopIfTrue="1"/>
  </conditionalFormatting>
  <conditionalFormatting sqref="AN1409">
    <cfRule type="duplicateValues" dxfId="831" priority="1040" stopIfTrue="1"/>
  </conditionalFormatting>
  <conditionalFormatting sqref="AN1409">
    <cfRule type="duplicateValues" dxfId="830" priority="1039" stopIfTrue="1"/>
  </conditionalFormatting>
  <conditionalFormatting sqref="AN1409">
    <cfRule type="duplicateValues" dxfId="829" priority="1038" stopIfTrue="1"/>
  </conditionalFormatting>
  <conditionalFormatting sqref="AN1409">
    <cfRule type="duplicateValues" dxfId="828" priority="1037" stopIfTrue="1"/>
  </conditionalFormatting>
  <conditionalFormatting sqref="AN1409">
    <cfRule type="duplicateValues" dxfId="827" priority="1036" stopIfTrue="1"/>
  </conditionalFormatting>
  <conditionalFormatting sqref="AN1409">
    <cfRule type="duplicateValues" dxfId="826" priority="1035"/>
  </conditionalFormatting>
  <conditionalFormatting sqref="AN1409">
    <cfRule type="duplicateValues" dxfId="825" priority="1034"/>
  </conditionalFormatting>
  <conditionalFormatting sqref="AN1409">
    <cfRule type="duplicateValues" dxfId="824" priority="1033"/>
  </conditionalFormatting>
  <conditionalFormatting sqref="AN1409">
    <cfRule type="duplicateValues" dxfId="823" priority="1032"/>
  </conditionalFormatting>
  <conditionalFormatting sqref="AN1409">
    <cfRule type="duplicateValues" dxfId="822" priority="1031"/>
  </conditionalFormatting>
  <conditionalFormatting sqref="AN1409">
    <cfRule type="duplicateValues" dxfId="821" priority="1030"/>
  </conditionalFormatting>
  <conditionalFormatting sqref="AN1409">
    <cfRule type="duplicateValues" dxfId="820" priority="1029"/>
  </conditionalFormatting>
  <conditionalFormatting sqref="AN1409">
    <cfRule type="duplicateValues" dxfId="819" priority="1028"/>
  </conditionalFormatting>
  <conditionalFormatting sqref="AN1409">
    <cfRule type="duplicateValues" dxfId="818" priority="1026"/>
    <cfRule type="duplicateValues" dxfId="817" priority="1027"/>
  </conditionalFormatting>
  <conditionalFormatting sqref="AN1409">
    <cfRule type="duplicateValues" dxfId="816" priority="1025"/>
  </conditionalFormatting>
  <conditionalFormatting sqref="AN1409">
    <cfRule type="duplicateValues" dxfId="815" priority="1052"/>
  </conditionalFormatting>
  <conditionalFormatting sqref="AN1409">
    <cfRule type="duplicateValues" dxfId="814" priority="1024"/>
  </conditionalFormatting>
  <conditionalFormatting sqref="AN1409">
    <cfRule type="duplicateValues" dxfId="813" priority="1053"/>
  </conditionalFormatting>
  <conditionalFormatting sqref="AN1409">
    <cfRule type="duplicateValues" dxfId="812" priority="1023"/>
  </conditionalFormatting>
  <conditionalFormatting sqref="AN1409">
    <cfRule type="duplicateValues" dxfId="811" priority="1022"/>
  </conditionalFormatting>
  <conditionalFormatting sqref="C1425">
    <cfRule type="duplicateValues" dxfId="810" priority="1021" stopIfTrue="1"/>
  </conditionalFormatting>
  <conditionalFormatting sqref="A1425:B1425">
    <cfRule type="duplicateValues" dxfId="809" priority="1018" stopIfTrue="1"/>
  </conditionalFormatting>
  <conditionalFormatting sqref="A1425:B1425">
    <cfRule type="duplicateValues" dxfId="808" priority="1017" stopIfTrue="1"/>
  </conditionalFormatting>
  <conditionalFormatting sqref="A1425:B1425">
    <cfRule type="duplicateValues" dxfId="807" priority="1016" stopIfTrue="1"/>
  </conditionalFormatting>
  <conditionalFormatting sqref="A1425:B1425">
    <cfRule type="duplicateValues" dxfId="806" priority="1015" stopIfTrue="1"/>
  </conditionalFormatting>
  <conditionalFormatting sqref="A1425:B1425">
    <cfRule type="duplicateValues" dxfId="805" priority="1014" stopIfTrue="1"/>
  </conditionalFormatting>
  <conditionalFormatting sqref="A1425:B1425">
    <cfRule type="duplicateValues" dxfId="804" priority="1013" stopIfTrue="1"/>
  </conditionalFormatting>
  <conditionalFormatting sqref="A1425:B1425">
    <cfRule type="duplicateValues" dxfId="803" priority="1012" stopIfTrue="1"/>
  </conditionalFormatting>
  <conditionalFormatting sqref="A1425:B1425">
    <cfRule type="duplicateValues" dxfId="802" priority="1011" stopIfTrue="1"/>
  </conditionalFormatting>
  <conditionalFormatting sqref="A1425:B1425">
    <cfRule type="duplicateValues" dxfId="801" priority="1010" stopIfTrue="1"/>
  </conditionalFormatting>
  <conditionalFormatting sqref="A1425:B1425">
    <cfRule type="duplicateValues" dxfId="800" priority="1008" stopIfTrue="1"/>
    <cfRule type="duplicateValues" dxfId="799" priority="1009" stopIfTrue="1"/>
  </conditionalFormatting>
  <conditionalFormatting sqref="A1425:B1425">
    <cfRule type="duplicateValues" dxfId="798" priority="1007" stopIfTrue="1"/>
  </conditionalFormatting>
  <conditionalFormatting sqref="A1425:B1425">
    <cfRule type="duplicateValues" dxfId="797" priority="1006" stopIfTrue="1"/>
  </conditionalFormatting>
  <conditionalFormatting sqref="A1425:B1425">
    <cfRule type="duplicateValues" dxfId="796" priority="1005" stopIfTrue="1"/>
  </conditionalFormatting>
  <conditionalFormatting sqref="A1425:B1425">
    <cfRule type="duplicateValues" dxfId="795" priority="1004" stopIfTrue="1"/>
  </conditionalFormatting>
  <conditionalFormatting sqref="A1425:B1425">
    <cfRule type="duplicateValues" dxfId="794" priority="1003" stopIfTrue="1"/>
  </conditionalFormatting>
  <conditionalFormatting sqref="A1425:B1425">
    <cfRule type="duplicateValues" dxfId="793" priority="1002"/>
  </conditionalFormatting>
  <conditionalFormatting sqref="A1425:B1425">
    <cfRule type="duplicateValues" dxfId="792" priority="1001"/>
  </conditionalFormatting>
  <conditionalFormatting sqref="A1425:B1425">
    <cfRule type="duplicateValues" dxfId="791" priority="1000"/>
  </conditionalFormatting>
  <conditionalFormatting sqref="A1425:B1425">
    <cfRule type="duplicateValues" dxfId="790" priority="999"/>
  </conditionalFormatting>
  <conditionalFormatting sqref="A1425:B1425">
    <cfRule type="duplicateValues" dxfId="789" priority="998"/>
  </conditionalFormatting>
  <conditionalFormatting sqref="A1425:B1425">
    <cfRule type="duplicateValues" dxfId="788" priority="997"/>
  </conditionalFormatting>
  <conditionalFormatting sqref="A1425:B1425">
    <cfRule type="duplicateValues" dxfId="787" priority="996"/>
  </conditionalFormatting>
  <conditionalFormatting sqref="A1425:B1425">
    <cfRule type="duplicateValues" dxfId="786" priority="995"/>
  </conditionalFormatting>
  <conditionalFormatting sqref="A1425:B1425">
    <cfRule type="duplicateValues" dxfId="785" priority="993"/>
    <cfRule type="duplicateValues" dxfId="784" priority="994"/>
  </conditionalFormatting>
  <conditionalFormatting sqref="A1425:B1425">
    <cfRule type="duplicateValues" dxfId="783" priority="992"/>
  </conditionalFormatting>
  <conditionalFormatting sqref="A1425:B1425">
    <cfRule type="duplicateValues" dxfId="782" priority="1019"/>
  </conditionalFormatting>
  <conditionalFormatting sqref="A1425:B1425">
    <cfRule type="duplicateValues" dxfId="781" priority="991"/>
  </conditionalFormatting>
  <conditionalFormatting sqref="A1425:B1425">
    <cfRule type="duplicateValues" dxfId="780" priority="1020"/>
  </conditionalFormatting>
  <conditionalFormatting sqref="A1425:B1425">
    <cfRule type="duplicateValues" dxfId="779" priority="990"/>
  </conditionalFormatting>
  <conditionalFormatting sqref="A1425:B1425">
    <cfRule type="duplicateValues" dxfId="778" priority="989"/>
  </conditionalFormatting>
  <conditionalFormatting sqref="D1425:F1425 I1425:K1425 AX1425:BC1425 M1425:AL1425 AN1425:AV1425">
    <cfRule type="duplicateValues" dxfId="777" priority="986" stopIfTrue="1"/>
  </conditionalFormatting>
  <conditionalFormatting sqref="D1425:F1425">
    <cfRule type="duplicateValues" dxfId="776" priority="985" stopIfTrue="1"/>
  </conditionalFormatting>
  <conditionalFormatting sqref="D1425:F1425">
    <cfRule type="duplicateValues" dxfId="775" priority="984" stopIfTrue="1"/>
  </conditionalFormatting>
  <conditionalFormatting sqref="D1425:F1425">
    <cfRule type="duplicateValues" dxfId="774" priority="983" stopIfTrue="1"/>
  </conditionalFormatting>
  <conditionalFormatting sqref="D1425:F1425">
    <cfRule type="duplicateValues" dxfId="773" priority="982" stopIfTrue="1"/>
  </conditionalFormatting>
  <conditionalFormatting sqref="D1425:F1425">
    <cfRule type="duplicateValues" dxfId="772" priority="981" stopIfTrue="1"/>
  </conditionalFormatting>
  <conditionalFormatting sqref="D1425:F1425">
    <cfRule type="duplicateValues" dxfId="771" priority="980" stopIfTrue="1"/>
  </conditionalFormatting>
  <conditionalFormatting sqref="D1425:F1425">
    <cfRule type="duplicateValues" dxfId="770" priority="979" stopIfTrue="1"/>
  </conditionalFormatting>
  <conditionalFormatting sqref="D1425:F1425">
    <cfRule type="duplicateValues" dxfId="769" priority="978" stopIfTrue="1"/>
  </conditionalFormatting>
  <conditionalFormatting sqref="D1425:F1425 I1425:K1425 AX1425:BC1425 M1425:AL1425 AN1425:AV1425">
    <cfRule type="duplicateValues" dxfId="768" priority="976" stopIfTrue="1"/>
    <cfRule type="duplicateValues" dxfId="767" priority="977" stopIfTrue="1"/>
  </conditionalFormatting>
  <conditionalFormatting sqref="D1425:F1425">
    <cfRule type="duplicateValues" dxfId="766" priority="975" stopIfTrue="1"/>
  </conditionalFormatting>
  <conditionalFormatting sqref="D1425:F1425">
    <cfRule type="duplicateValues" dxfId="765" priority="974" stopIfTrue="1"/>
  </conditionalFormatting>
  <conditionalFormatting sqref="D1425:F1425">
    <cfRule type="duplicateValues" dxfId="764" priority="973" stopIfTrue="1"/>
  </conditionalFormatting>
  <conditionalFormatting sqref="D1425:F1425">
    <cfRule type="duplicateValues" dxfId="763" priority="972" stopIfTrue="1"/>
  </conditionalFormatting>
  <conditionalFormatting sqref="D1425:F1425">
    <cfRule type="duplicateValues" dxfId="762" priority="971" stopIfTrue="1"/>
  </conditionalFormatting>
  <conditionalFormatting sqref="D1425:F1425 I1425:K1425 AX1425:BC1425 M1425:AL1425 AN1425:AV1425">
    <cfRule type="duplicateValues" dxfId="761" priority="970"/>
  </conditionalFormatting>
  <conditionalFormatting sqref="D1425:F1425">
    <cfRule type="duplicateValues" dxfId="760" priority="969"/>
  </conditionalFormatting>
  <conditionalFormatting sqref="D1425:F1425">
    <cfRule type="duplicateValues" dxfId="759" priority="968"/>
  </conditionalFormatting>
  <conditionalFormatting sqref="D1425:F1425">
    <cfRule type="duplicateValues" dxfId="758" priority="967"/>
  </conditionalFormatting>
  <conditionalFormatting sqref="D1425:F1425">
    <cfRule type="duplicateValues" dxfId="757" priority="966"/>
  </conditionalFormatting>
  <conditionalFormatting sqref="D1425:F1425">
    <cfRule type="duplicateValues" dxfId="756" priority="965"/>
  </conditionalFormatting>
  <conditionalFormatting sqref="D1425:F1425">
    <cfRule type="duplicateValues" dxfId="755" priority="964"/>
  </conditionalFormatting>
  <conditionalFormatting sqref="D1425:F1425">
    <cfRule type="duplicateValues" dxfId="754" priority="963"/>
  </conditionalFormatting>
  <conditionalFormatting sqref="D1425:F1425 I1425:K1425 AX1425:BC1425 M1425:AL1425 AN1425:AV1425">
    <cfRule type="duplicateValues" dxfId="753" priority="961"/>
    <cfRule type="duplicateValues" dxfId="752" priority="962"/>
  </conditionalFormatting>
  <conditionalFormatting sqref="D1425:F1425">
    <cfRule type="duplicateValues" dxfId="751" priority="960"/>
  </conditionalFormatting>
  <conditionalFormatting sqref="D1425:F1425">
    <cfRule type="duplicateValues" dxfId="750" priority="987"/>
  </conditionalFormatting>
  <conditionalFormatting sqref="D1425:F1425">
    <cfRule type="duplicateValues" dxfId="749" priority="959"/>
  </conditionalFormatting>
  <conditionalFormatting sqref="D1425:F1425">
    <cfRule type="duplicateValues" dxfId="748" priority="988"/>
  </conditionalFormatting>
  <conditionalFormatting sqref="D1425:F1425">
    <cfRule type="duplicateValues" dxfId="747" priority="958"/>
  </conditionalFormatting>
  <conditionalFormatting sqref="D1425:F1425">
    <cfRule type="duplicateValues" dxfId="746" priority="957"/>
  </conditionalFormatting>
  <conditionalFormatting sqref="AW1425">
    <cfRule type="duplicateValues" dxfId="745" priority="954" stopIfTrue="1"/>
  </conditionalFormatting>
  <conditionalFormatting sqref="AW1425">
    <cfRule type="duplicateValues" dxfId="744" priority="953" stopIfTrue="1"/>
  </conditionalFormatting>
  <conditionalFormatting sqref="AW1425">
    <cfRule type="duplicateValues" dxfId="743" priority="952" stopIfTrue="1"/>
  </conditionalFormatting>
  <conditionalFormatting sqref="AW1425">
    <cfRule type="duplicateValues" dxfId="742" priority="951" stopIfTrue="1"/>
  </conditionalFormatting>
  <conditionalFormatting sqref="AW1425">
    <cfRule type="duplicateValues" dxfId="741" priority="950" stopIfTrue="1"/>
  </conditionalFormatting>
  <conditionalFormatting sqref="AW1425">
    <cfRule type="duplicateValues" dxfId="740" priority="949" stopIfTrue="1"/>
  </conditionalFormatting>
  <conditionalFormatting sqref="AW1425">
    <cfRule type="duplicateValues" dxfId="739" priority="948" stopIfTrue="1"/>
  </conditionalFormatting>
  <conditionalFormatting sqref="AW1425">
    <cfRule type="duplicateValues" dxfId="738" priority="947" stopIfTrue="1"/>
  </conditionalFormatting>
  <conditionalFormatting sqref="AW1425">
    <cfRule type="duplicateValues" dxfId="737" priority="946" stopIfTrue="1"/>
  </conditionalFormatting>
  <conditionalFormatting sqref="AW1425">
    <cfRule type="duplicateValues" dxfId="736" priority="944" stopIfTrue="1"/>
    <cfRule type="duplicateValues" dxfId="735" priority="945" stopIfTrue="1"/>
  </conditionalFormatting>
  <conditionalFormatting sqref="AW1425">
    <cfRule type="duplicateValues" dxfId="734" priority="943" stopIfTrue="1"/>
  </conditionalFormatting>
  <conditionalFormatting sqref="AW1425">
    <cfRule type="duplicateValues" dxfId="733" priority="942" stopIfTrue="1"/>
  </conditionalFormatting>
  <conditionalFormatting sqref="AW1425">
    <cfRule type="duplicateValues" dxfId="732" priority="941" stopIfTrue="1"/>
  </conditionalFormatting>
  <conditionalFormatting sqref="AW1425">
    <cfRule type="duplicateValues" dxfId="731" priority="940" stopIfTrue="1"/>
  </conditionalFormatting>
  <conditionalFormatting sqref="AW1425">
    <cfRule type="duplicateValues" dxfId="730" priority="939" stopIfTrue="1"/>
  </conditionalFormatting>
  <conditionalFormatting sqref="AW1425">
    <cfRule type="duplicateValues" dxfId="729" priority="938"/>
  </conditionalFormatting>
  <conditionalFormatting sqref="AW1425">
    <cfRule type="duplicateValues" dxfId="728" priority="937"/>
  </conditionalFormatting>
  <conditionalFormatting sqref="AW1425">
    <cfRule type="duplicateValues" dxfId="727" priority="936"/>
  </conditionalFormatting>
  <conditionalFormatting sqref="AW1425">
    <cfRule type="duplicateValues" dxfId="726" priority="935"/>
  </conditionalFormatting>
  <conditionalFormatting sqref="AW1425">
    <cfRule type="duplicateValues" dxfId="725" priority="934"/>
  </conditionalFormatting>
  <conditionalFormatting sqref="AW1425">
    <cfRule type="duplicateValues" dxfId="724" priority="933"/>
  </conditionalFormatting>
  <conditionalFormatting sqref="AW1425">
    <cfRule type="duplicateValues" dxfId="723" priority="932"/>
  </conditionalFormatting>
  <conditionalFormatting sqref="AW1425">
    <cfRule type="duplicateValues" dxfId="722" priority="931"/>
  </conditionalFormatting>
  <conditionalFormatting sqref="AW1425">
    <cfRule type="duplicateValues" dxfId="721" priority="929"/>
    <cfRule type="duplicateValues" dxfId="720" priority="930"/>
  </conditionalFormatting>
  <conditionalFormatting sqref="AW1425">
    <cfRule type="duplicateValues" dxfId="719" priority="928"/>
  </conditionalFormatting>
  <conditionalFormatting sqref="AW1425">
    <cfRule type="duplicateValues" dxfId="718" priority="955"/>
  </conditionalFormatting>
  <conditionalFormatting sqref="AW1425">
    <cfRule type="duplicateValues" dxfId="717" priority="927"/>
  </conditionalFormatting>
  <conditionalFormatting sqref="AW1425">
    <cfRule type="duplicateValues" dxfId="716" priority="956"/>
  </conditionalFormatting>
  <conditionalFormatting sqref="AW1425">
    <cfRule type="duplicateValues" dxfId="715" priority="926"/>
  </conditionalFormatting>
  <conditionalFormatting sqref="AW1425">
    <cfRule type="duplicateValues" dxfId="714" priority="925"/>
  </conditionalFormatting>
  <conditionalFormatting sqref="AN1410">
    <cfRule type="duplicateValues" dxfId="713" priority="922" stopIfTrue="1"/>
  </conditionalFormatting>
  <conditionalFormatting sqref="AN1410">
    <cfRule type="duplicateValues" dxfId="712" priority="921" stopIfTrue="1"/>
  </conditionalFormatting>
  <conditionalFormatting sqref="AN1410">
    <cfRule type="duplicateValues" dxfId="711" priority="920" stopIfTrue="1"/>
  </conditionalFormatting>
  <conditionalFormatting sqref="AN1410">
    <cfRule type="duplicateValues" dxfId="710" priority="919" stopIfTrue="1"/>
  </conditionalFormatting>
  <conditionalFormatting sqref="AN1410">
    <cfRule type="duplicateValues" dxfId="709" priority="918" stopIfTrue="1"/>
  </conditionalFormatting>
  <conditionalFormatting sqref="AN1410">
    <cfRule type="duplicateValues" dxfId="708" priority="917" stopIfTrue="1"/>
  </conditionalFormatting>
  <conditionalFormatting sqref="AN1410">
    <cfRule type="duplicateValues" dxfId="707" priority="916" stopIfTrue="1"/>
  </conditionalFormatting>
  <conditionalFormatting sqref="AN1410">
    <cfRule type="duplicateValues" dxfId="706" priority="915" stopIfTrue="1"/>
  </conditionalFormatting>
  <conditionalFormatting sqref="AN1410">
    <cfRule type="duplicateValues" dxfId="705" priority="914" stopIfTrue="1"/>
  </conditionalFormatting>
  <conditionalFormatting sqref="AN1410">
    <cfRule type="duplicateValues" dxfId="704" priority="912" stopIfTrue="1"/>
    <cfRule type="duplicateValues" dxfId="703" priority="913" stopIfTrue="1"/>
  </conditionalFormatting>
  <conditionalFormatting sqref="AN1410">
    <cfRule type="duplicateValues" dxfId="702" priority="911" stopIfTrue="1"/>
  </conditionalFormatting>
  <conditionalFormatting sqref="AN1410">
    <cfRule type="duplicateValues" dxfId="701" priority="910" stopIfTrue="1"/>
  </conditionalFormatting>
  <conditionalFormatting sqref="AN1410">
    <cfRule type="duplicateValues" dxfId="700" priority="909" stopIfTrue="1"/>
  </conditionalFormatting>
  <conditionalFormatting sqref="AN1410">
    <cfRule type="duplicateValues" dxfId="699" priority="908" stopIfTrue="1"/>
  </conditionalFormatting>
  <conditionalFormatting sqref="AN1410">
    <cfRule type="duplicateValues" dxfId="698" priority="907" stopIfTrue="1"/>
  </conditionalFormatting>
  <conditionalFormatting sqref="AN1410">
    <cfRule type="duplicateValues" dxfId="697" priority="906"/>
  </conditionalFormatting>
  <conditionalFormatting sqref="AN1410">
    <cfRule type="duplicateValues" dxfId="696" priority="905"/>
  </conditionalFormatting>
  <conditionalFormatting sqref="AN1410">
    <cfRule type="duplicateValues" dxfId="695" priority="904"/>
  </conditionalFormatting>
  <conditionalFormatting sqref="AN1410">
    <cfRule type="duplicateValues" dxfId="694" priority="903"/>
  </conditionalFormatting>
  <conditionalFormatting sqref="AN1410">
    <cfRule type="duplicateValues" dxfId="693" priority="902"/>
  </conditionalFormatting>
  <conditionalFormatting sqref="AN1410">
    <cfRule type="duplicateValues" dxfId="692" priority="901"/>
  </conditionalFormatting>
  <conditionalFormatting sqref="AN1410">
    <cfRule type="duplicateValues" dxfId="691" priority="900"/>
  </conditionalFormatting>
  <conditionalFormatting sqref="AN1410">
    <cfRule type="duplicateValues" dxfId="690" priority="899"/>
  </conditionalFormatting>
  <conditionalFormatting sqref="AN1410">
    <cfRule type="duplicateValues" dxfId="689" priority="897"/>
    <cfRule type="duplicateValues" dxfId="688" priority="898"/>
  </conditionalFormatting>
  <conditionalFormatting sqref="AN1410">
    <cfRule type="duplicateValues" dxfId="687" priority="896"/>
  </conditionalFormatting>
  <conditionalFormatting sqref="AN1410">
    <cfRule type="duplicateValues" dxfId="686" priority="923"/>
  </conditionalFormatting>
  <conditionalFormatting sqref="AN1410">
    <cfRule type="duplicateValues" dxfId="685" priority="895"/>
  </conditionalFormatting>
  <conditionalFormatting sqref="AN1410">
    <cfRule type="duplicateValues" dxfId="684" priority="924"/>
  </conditionalFormatting>
  <conditionalFormatting sqref="AN1410">
    <cfRule type="duplicateValues" dxfId="683" priority="894"/>
  </conditionalFormatting>
  <conditionalFormatting sqref="AN1410">
    <cfRule type="duplicateValues" dxfId="682" priority="893"/>
  </conditionalFormatting>
  <conditionalFormatting sqref="C1426">
    <cfRule type="duplicateValues" dxfId="681" priority="892" stopIfTrue="1"/>
  </conditionalFormatting>
  <conditionalFormatting sqref="A1426:B1426">
    <cfRule type="duplicateValues" dxfId="680" priority="889" stopIfTrue="1"/>
  </conditionalFormatting>
  <conditionalFormatting sqref="A1426:B1426">
    <cfRule type="duplicateValues" dxfId="679" priority="888" stopIfTrue="1"/>
  </conditionalFormatting>
  <conditionalFormatting sqref="A1426:B1426">
    <cfRule type="duplicateValues" dxfId="678" priority="887" stopIfTrue="1"/>
  </conditionalFormatting>
  <conditionalFormatting sqref="A1426:B1426">
    <cfRule type="duplicateValues" dxfId="677" priority="886" stopIfTrue="1"/>
  </conditionalFormatting>
  <conditionalFormatting sqref="A1426:B1426">
    <cfRule type="duplicateValues" dxfId="676" priority="885" stopIfTrue="1"/>
  </conditionalFormatting>
  <conditionalFormatting sqref="A1426:B1426">
    <cfRule type="duplicateValues" dxfId="675" priority="884" stopIfTrue="1"/>
  </conditionalFormatting>
  <conditionalFormatting sqref="A1426:B1426">
    <cfRule type="duplicateValues" dxfId="674" priority="883" stopIfTrue="1"/>
  </conditionalFormatting>
  <conditionalFormatting sqref="A1426:B1426">
    <cfRule type="duplicateValues" dxfId="673" priority="882" stopIfTrue="1"/>
  </conditionalFormatting>
  <conditionalFormatting sqref="A1426:B1426">
    <cfRule type="duplicateValues" dxfId="672" priority="881" stopIfTrue="1"/>
  </conditionalFormatting>
  <conditionalFormatting sqref="A1426:B1426">
    <cfRule type="duplicateValues" dxfId="671" priority="879" stopIfTrue="1"/>
    <cfRule type="duplicateValues" dxfId="670" priority="880" stopIfTrue="1"/>
  </conditionalFormatting>
  <conditionalFormatting sqref="A1426:B1426">
    <cfRule type="duplicateValues" dxfId="669" priority="878" stopIfTrue="1"/>
  </conditionalFormatting>
  <conditionalFormatting sqref="A1426:B1426">
    <cfRule type="duplicateValues" dxfId="668" priority="877" stopIfTrue="1"/>
  </conditionalFormatting>
  <conditionalFormatting sqref="A1426:B1426">
    <cfRule type="duplicateValues" dxfId="667" priority="876" stopIfTrue="1"/>
  </conditionalFormatting>
  <conditionalFormatting sqref="A1426:B1426">
    <cfRule type="duplicateValues" dxfId="666" priority="875" stopIfTrue="1"/>
  </conditionalFormatting>
  <conditionalFormatting sqref="A1426:B1426">
    <cfRule type="duplicateValues" dxfId="665" priority="874" stopIfTrue="1"/>
  </conditionalFormatting>
  <conditionalFormatting sqref="A1426:B1426">
    <cfRule type="duplicateValues" dxfId="664" priority="873"/>
  </conditionalFormatting>
  <conditionalFormatting sqref="A1426:B1426">
    <cfRule type="duplicateValues" dxfId="663" priority="872"/>
  </conditionalFormatting>
  <conditionalFormatting sqref="A1426:B1426">
    <cfRule type="duplicateValues" dxfId="662" priority="871"/>
  </conditionalFormatting>
  <conditionalFormatting sqref="A1426:B1426">
    <cfRule type="duplicateValues" dxfId="661" priority="870"/>
  </conditionalFormatting>
  <conditionalFormatting sqref="A1426:B1426">
    <cfRule type="duplicateValues" dxfId="660" priority="869"/>
  </conditionalFormatting>
  <conditionalFormatting sqref="A1426:B1426">
    <cfRule type="duplicateValues" dxfId="659" priority="868"/>
  </conditionalFormatting>
  <conditionalFormatting sqref="A1426:B1426">
    <cfRule type="duplicateValues" dxfId="658" priority="867"/>
  </conditionalFormatting>
  <conditionalFormatting sqref="A1426:B1426">
    <cfRule type="duplicateValues" dxfId="657" priority="866"/>
  </conditionalFormatting>
  <conditionalFormatting sqref="A1426:B1426">
    <cfRule type="duplicateValues" dxfId="656" priority="864"/>
    <cfRule type="duplicateValues" dxfId="655" priority="865"/>
  </conditionalFormatting>
  <conditionalFormatting sqref="A1426:B1426">
    <cfRule type="duplicateValues" dxfId="654" priority="863"/>
  </conditionalFormatting>
  <conditionalFormatting sqref="A1426:B1426">
    <cfRule type="duplicateValues" dxfId="653" priority="890"/>
  </conditionalFormatting>
  <conditionalFormatting sqref="A1426:B1426">
    <cfRule type="duplicateValues" dxfId="652" priority="862"/>
  </conditionalFormatting>
  <conditionalFormatting sqref="A1426:B1426">
    <cfRule type="duplicateValues" dxfId="651" priority="891"/>
  </conditionalFormatting>
  <conditionalFormatting sqref="A1426:B1426">
    <cfRule type="duplicateValues" dxfId="650" priority="861"/>
  </conditionalFormatting>
  <conditionalFormatting sqref="A1426:B1426">
    <cfRule type="duplicateValues" dxfId="649" priority="860"/>
  </conditionalFormatting>
  <conditionalFormatting sqref="D1426:F1426 I1426:K1426 AX1426:BC1426 M1426:AL1426 AN1426:AV1426">
    <cfRule type="duplicateValues" dxfId="648" priority="857" stopIfTrue="1"/>
  </conditionalFormatting>
  <conditionalFormatting sqref="D1426:F1426">
    <cfRule type="duplicateValues" dxfId="647" priority="856" stopIfTrue="1"/>
  </conditionalFormatting>
  <conditionalFormatting sqref="D1426:F1426">
    <cfRule type="duplicateValues" dxfId="646" priority="855" stopIfTrue="1"/>
  </conditionalFormatting>
  <conditionalFormatting sqref="D1426:F1426">
    <cfRule type="duplicateValues" dxfId="645" priority="854" stopIfTrue="1"/>
  </conditionalFormatting>
  <conditionalFormatting sqref="D1426:F1426">
    <cfRule type="duplicateValues" dxfId="644" priority="853" stopIfTrue="1"/>
  </conditionalFormatting>
  <conditionalFormatting sqref="D1426:F1426">
    <cfRule type="duplicateValues" dxfId="643" priority="852" stopIfTrue="1"/>
  </conditionalFormatting>
  <conditionalFormatting sqref="D1426:F1426">
    <cfRule type="duplicateValues" dxfId="642" priority="851" stopIfTrue="1"/>
  </conditionalFormatting>
  <conditionalFormatting sqref="D1426:F1426">
    <cfRule type="duplicateValues" dxfId="641" priority="850" stopIfTrue="1"/>
  </conditionalFormatting>
  <conditionalFormatting sqref="D1426:F1426">
    <cfRule type="duplicateValues" dxfId="640" priority="849" stopIfTrue="1"/>
  </conditionalFormatting>
  <conditionalFormatting sqref="D1426:F1426 I1426:K1426 AX1426:BC1426 M1426:AL1426 AN1426:AV1426">
    <cfRule type="duplicateValues" dxfId="639" priority="847" stopIfTrue="1"/>
    <cfRule type="duplicateValues" dxfId="638" priority="848" stopIfTrue="1"/>
  </conditionalFormatting>
  <conditionalFormatting sqref="D1426:F1426">
    <cfRule type="duplicateValues" dxfId="637" priority="846" stopIfTrue="1"/>
  </conditionalFormatting>
  <conditionalFormatting sqref="D1426:F1426">
    <cfRule type="duplicateValues" dxfId="636" priority="845" stopIfTrue="1"/>
  </conditionalFormatting>
  <conditionalFormatting sqref="D1426:F1426">
    <cfRule type="duplicateValues" dxfId="635" priority="844" stopIfTrue="1"/>
  </conditionalFormatting>
  <conditionalFormatting sqref="D1426:F1426">
    <cfRule type="duplicateValues" dxfId="634" priority="843" stopIfTrue="1"/>
  </conditionalFormatting>
  <conditionalFormatting sqref="D1426:F1426">
    <cfRule type="duplicateValues" dxfId="633" priority="842" stopIfTrue="1"/>
  </conditionalFormatting>
  <conditionalFormatting sqref="D1426:F1426 I1426:K1426 AX1426:BC1426 M1426:AL1426 AN1426:AV1426">
    <cfRule type="duplicateValues" dxfId="632" priority="841"/>
  </conditionalFormatting>
  <conditionalFormatting sqref="D1426:F1426">
    <cfRule type="duplicateValues" dxfId="631" priority="840"/>
  </conditionalFormatting>
  <conditionalFormatting sqref="D1426:F1426">
    <cfRule type="duplicateValues" dxfId="630" priority="839"/>
  </conditionalFormatting>
  <conditionalFormatting sqref="D1426:F1426">
    <cfRule type="duplicateValues" dxfId="629" priority="838"/>
  </conditionalFormatting>
  <conditionalFormatting sqref="D1426:F1426">
    <cfRule type="duplicateValues" dxfId="628" priority="837"/>
  </conditionalFormatting>
  <conditionalFormatting sqref="D1426:F1426">
    <cfRule type="duplicateValues" dxfId="627" priority="836"/>
  </conditionalFormatting>
  <conditionalFormatting sqref="D1426:F1426">
    <cfRule type="duplicateValues" dxfId="626" priority="835"/>
  </conditionalFormatting>
  <conditionalFormatting sqref="D1426:F1426">
    <cfRule type="duplicateValues" dxfId="625" priority="834"/>
  </conditionalFormatting>
  <conditionalFormatting sqref="D1426:F1426 I1426:K1426 AX1426:BC1426 M1426:AL1426 AN1426:AV1426">
    <cfRule type="duplicateValues" dxfId="624" priority="832"/>
    <cfRule type="duplicateValues" dxfId="623" priority="833"/>
  </conditionalFormatting>
  <conditionalFormatting sqref="D1426:F1426">
    <cfRule type="duplicateValues" dxfId="622" priority="831"/>
  </conditionalFormatting>
  <conditionalFormatting sqref="D1426:F1426">
    <cfRule type="duplicateValues" dxfId="621" priority="858"/>
  </conditionalFormatting>
  <conditionalFormatting sqref="D1426:F1426">
    <cfRule type="duplicateValues" dxfId="620" priority="830"/>
  </conditionalFormatting>
  <conditionalFormatting sqref="D1426:F1426">
    <cfRule type="duplicateValues" dxfId="619" priority="859"/>
  </conditionalFormatting>
  <conditionalFormatting sqref="D1426:F1426">
    <cfRule type="duplicateValues" dxfId="618" priority="829"/>
  </conditionalFormatting>
  <conditionalFormatting sqref="D1426:F1426">
    <cfRule type="duplicateValues" dxfId="617" priority="828"/>
  </conditionalFormatting>
  <conditionalFormatting sqref="AW1426">
    <cfRule type="duplicateValues" dxfId="616" priority="825" stopIfTrue="1"/>
  </conditionalFormatting>
  <conditionalFormatting sqref="AW1426">
    <cfRule type="duplicateValues" dxfId="615" priority="824" stopIfTrue="1"/>
  </conditionalFormatting>
  <conditionalFormatting sqref="AW1426">
    <cfRule type="duplicateValues" dxfId="614" priority="823" stopIfTrue="1"/>
  </conditionalFormatting>
  <conditionalFormatting sqref="AW1426">
    <cfRule type="duplicateValues" dxfId="613" priority="822" stopIfTrue="1"/>
  </conditionalFormatting>
  <conditionalFormatting sqref="AW1426">
    <cfRule type="duplicateValues" dxfId="612" priority="821" stopIfTrue="1"/>
  </conditionalFormatting>
  <conditionalFormatting sqref="AW1426">
    <cfRule type="duplicateValues" dxfId="611" priority="820" stopIfTrue="1"/>
  </conditionalFormatting>
  <conditionalFormatting sqref="AW1426">
    <cfRule type="duplicateValues" dxfId="610" priority="819" stopIfTrue="1"/>
  </conditionalFormatting>
  <conditionalFormatting sqref="AW1426">
    <cfRule type="duplicateValues" dxfId="609" priority="818" stopIfTrue="1"/>
  </conditionalFormatting>
  <conditionalFormatting sqref="AW1426">
    <cfRule type="duplicateValues" dxfId="608" priority="817" stopIfTrue="1"/>
  </conditionalFormatting>
  <conditionalFormatting sqref="AW1426">
    <cfRule type="duplicateValues" dxfId="607" priority="815" stopIfTrue="1"/>
    <cfRule type="duplicateValues" dxfId="606" priority="816" stopIfTrue="1"/>
  </conditionalFormatting>
  <conditionalFormatting sqref="AW1426">
    <cfRule type="duplicateValues" dxfId="605" priority="814" stopIfTrue="1"/>
  </conditionalFormatting>
  <conditionalFormatting sqref="AW1426">
    <cfRule type="duplicateValues" dxfId="604" priority="813" stopIfTrue="1"/>
  </conditionalFormatting>
  <conditionalFormatting sqref="AW1426">
    <cfRule type="duplicateValues" dxfId="603" priority="812" stopIfTrue="1"/>
  </conditionalFormatting>
  <conditionalFormatting sqref="AW1426">
    <cfRule type="duplicateValues" dxfId="602" priority="811" stopIfTrue="1"/>
  </conditionalFormatting>
  <conditionalFormatting sqref="AW1426">
    <cfRule type="duplicateValues" dxfId="601" priority="810" stopIfTrue="1"/>
  </conditionalFormatting>
  <conditionalFormatting sqref="AW1426">
    <cfRule type="duplicateValues" dxfId="600" priority="809"/>
  </conditionalFormatting>
  <conditionalFormatting sqref="AW1426">
    <cfRule type="duplicateValues" dxfId="599" priority="808"/>
  </conditionalFormatting>
  <conditionalFormatting sqref="AW1426">
    <cfRule type="duplicateValues" dxfId="598" priority="807"/>
  </conditionalFormatting>
  <conditionalFormatting sqref="AW1426">
    <cfRule type="duplicateValues" dxfId="597" priority="806"/>
  </conditionalFormatting>
  <conditionalFormatting sqref="AW1426">
    <cfRule type="duplicateValues" dxfId="596" priority="805"/>
  </conditionalFormatting>
  <conditionalFormatting sqref="AW1426">
    <cfRule type="duplicateValues" dxfId="595" priority="804"/>
  </conditionalFormatting>
  <conditionalFormatting sqref="AW1426">
    <cfRule type="duplicateValues" dxfId="594" priority="803"/>
  </conditionalFormatting>
  <conditionalFormatting sqref="AW1426">
    <cfRule type="duplicateValues" dxfId="593" priority="802"/>
  </conditionalFormatting>
  <conditionalFormatting sqref="AW1426">
    <cfRule type="duplicateValues" dxfId="592" priority="800"/>
    <cfRule type="duplicateValues" dxfId="591" priority="801"/>
  </conditionalFormatting>
  <conditionalFormatting sqref="AW1426">
    <cfRule type="duplicateValues" dxfId="590" priority="799"/>
  </conditionalFormatting>
  <conditionalFormatting sqref="AW1426">
    <cfRule type="duplicateValues" dxfId="589" priority="826"/>
  </conditionalFormatting>
  <conditionalFormatting sqref="AW1426">
    <cfRule type="duplicateValues" dxfId="588" priority="798"/>
  </conditionalFormatting>
  <conditionalFormatting sqref="AW1426">
    <cfRule type="duplicateValues" dxfId="587" priority="827"/>
  </conditionalFormatting>
  <conditionalFormatting sqref="AW1426">
    <cfRule type="duplicateValues" dxfId="586" priority="797"/>
  </conditionalFormatting>
  <conditionalFormatting sqref="AW1426">
    <cfRule type="duplicateValues" dxfId="585" priority="796"/>
  </conditionalFormatting>
  <conditionalFormatting sqref="B1794:C1794">
    <cfRule type="duplicateValues" dxfId="584" priority="795" stopIfTrue="1"/>
  </conditionalFormatting>
  <conditionalFormatting sqref="B1794:C1794">
    <cfRule type="duplicateValues" dxfId="583" priority="794" stopIfTrue="1"/>
  </conditionalFormatting>
  <conditionalFormatting sqref="B1794:C1794">
    <cfRule type="duplicateValues" dxfId="582" priority="792" stopIfTrue="1"/>
    <cfRule type="duplicateValues" dxfId="581" priority="793" stopIfTrue="1"/>
  </conditionalFormatting>
  <conditionalFormatting sqref="B1794:C1794">
    <cfRule type="duplicateValues" dxfId="580" priority="791"/>
  </conditionalFormatting>
  <conditionalFormatting sqref="A1411">
    <cfRule type="duplicateValues" dxfId="579" priority="783" stopIfTrue="1"/>
  </conditionalFormatting>
  <conditionalFormatting sqref="C1411">
    <cfRule type="duplicateValues" dxfId="578" priority="782" stopIfTrue="1"/>
  </conditionalFormatting>
  <conditionalFormatting sqref="A1411">
    <cfRule type="duplicateValues" dxfId="577" priority="781" stopIfTrue="1"/>
  </conditionalFormatting>
  <conditionalFormatting sqref="A1411">
    <cfRule type="duplicateValues" dxfId="576" priority="780" stopIfTrue="1"/>
  </conditionalFormatting>
  <conditionalFormatting sqref="A1411">
    <cfRule type="duplicateValues" dxfId="575" priority="779" stopIfTrue="1"/>
  </conditionalFormatting>
  <conditionalFormatting sqref="A1411">
    <cfRule type="duplicateValues" dxfId="574" priority="778" stopIfTrue="1"/>
  </conditionalFormatting>
  <conditionalFormatting sqref="A1411">
    <cfRule type="duplicateValues" dxfId="573" priority="777" stopIfTrue="1"/>
  </conditionalFormatting>
  <conditionalFormatting sqref="A1411">
    <cfRule type="duplicateValues" dxfId="572" priority="776" stopIfTrue="1"/>
  </conditionalFormatting>
  <conditionalFormatting sqref="A1411">
    <cfRule type="duplicateValues" dxfId="571" priority="775" stopIfTrue="1"/>
  </conditionalFormatting>
  <conditionalFormatting sqref="A1411">
    <cfRule type="duplicateValues" dxfId="570" priority="774" stopIfTrue="1"/>
  </conditionalFormatting>
  <conditionalFormatting sqref="A1411">
    <cfRule type="duplicateValues" dxfId="569" priority="772" stopIfTrue="1"/>
    <cfRule type="duplicateValues" dxfId="568" priority="773" stopIfTrue="1"/>
  </conditionalFormatting>
  <conditionalFormatting sqref="A1411">
    <cfRule type="duplicateValues" dxfId="567" priority="771" stopIfTrue="1"/>
  </conditionalFormatting>
  <conditionalFormatting sqref="A1411">
    <cfRule type="duplicateValues" dxfId="566" priority="770" stopIfTrue="1"/>
  </conditionalFormatting>
  <conditionalFormatting sqref="A1411">
    <cfRule type="duplicateValues" dxfId="565" priority="769" stopIfTrue="1"/>
  </conditionalFormatting>
  <conditionalFormatting sqref="A1411">
    <cfRule type="duplicateValues" dxfId="564" priority="768" stopIfTrue="1"/>
  </conditionalFormatting>
  <conditionalFormatting sqref="A1411">
    <cfRule type="duplicateValues" dxfId="563" priority="767" stopIfTrue="1"/>
  </conditionalFormatting>
  <conditionalFormatting sqref="A1411">
    <cfRule type="duplicateValues" dxfId="562" priority="766"/>
  </conditionalFormatting>
  <conditionalFormatting sqref="A1411">
    <cfRule type="duplicateValues" dxfId="561" priority="765"/>
  </conditionalFormatting>
  <conditionalFormatting sqref="A1411">
    <cfRule type="duplicateValues" dxfId="560" priority="764"/>
  </conditionalFormatting>
  <conditionalFormatting sqref="A1411">
    <cfRule type="duplicateValues" dxfId="559" priority="763"/>
  </conditionalFormatting>
  <conditionalFormatting sqref="A1411">
    <cfRule type="duplicateValues" dxfId="558" priority="762"/>
  </conditionalFormatting>
  <conditionalFormatting sqref="A1411">
    <cfRule type="duplicateValues" dxfId="557" priority="761"/>
  </conditionalFormatting>
  <conditionalFormatting sqref="A1411">
    <cfRule type="duplicateValues" dxfId="556" priority="760"/>
  </conditionalFormatting>
  <conditionalFormatting sqref="A1411">
    <cfRule type="duplicateValues" dxfId="555" priority="759"/>
  </conditionalFormatting>
  <conditionalFormatting sqref="A1411">
    <cfRule type="duplicateValues" dxfId="554" priority="757"/>
    <cfRule type="duplicateValues" dxfId="553" priority="758"/>
  </conditionalFormatting>
  <conditionalFormatting sqref="A1411">
    <cfRule type="duplicateValues" dxfId="552" priority="756"/>
  </conditionalFormatting>
  <conditionalFormatting sqref="A1411">
    <cfRule type="duplicateValues" dxfId="551" priority="784"/>
  </conditionalFormatting>
  <conditionalFormatting sqref="A1411">
    <cfRule type="duplicateValues" dxfId="550" priority="755"/>
  </conditionalFormatting>
  <conditionalFormatting sqref="A1411">
    <cfRule type="duplicateValues" dxfId="549" priority="785"/>
  </conditionalFormatting>
  <conditionalFormatting sqref="A1411">
    <cfRule type="duplicateValues" dxfId="548" priority="754"/>
  </conditionalFormatting>
  <conditionalFormatting sqref="A1411">
    <cfRule type="duplicateValues" dxfId="547" priority="753"/>
  </conditionalFormatting>
  <conditionalFormatting sqref="AN1411">
    <cfRule type="duplicateValues" dxfId="546" priority="718" stopIfTrue="1"/>
  </conditionalFormatting>
  <conditionalFormatting sqref="AN1411">
    <cfRule type="duplicateValues" dxfId="545" priority="717" stopIfTrue="1"/>
  </conditionalFormatting>
  <conditionalFormatting sqref="AN1411">
    <cfRule type="duplicateValues" dxfId="544" priority="716" stopIfTrue="1"/>
  </conditionalFormatting>
  <conditionalFormatting sqref="AN1411">
    <cfRule type="duplicateValues" dxfId="543" priority="715" stopIfTrue="1"/>
  </conditionalFormatting>
  <conditionalFormatting sqref="AN1411">
    <cfRule type="duplicateValues" dxfId="542" priority="714" stopIfTrue="1"/>
  </conditionalFormatting>
  <conditionalFormatting sqref="AN1411">
    <cfRule type="duplicateValues" dxfId="541" priority="713" stopIfTrue="1"/>
  </conditionalFormatting>
  <conditionalFormatting sqref="AN1411">
    <cfRule type="duplicateValues" dxfId="540" priority="712" stopIfTrue="1"/>
  </conditionalFormatting>
  <conditionalFormatting sqref="AN1411">
    <cfRule type="duplicateValues" dxfId="539" priority="711" stopIfTrue="1"/>
  </conditionalFormatting>
  <conditionalFormatting sqref="AN1411">
    <cfRule type="duplicateValues" dxfId="538" priority="710" stopIfTrue="1"/>
  </conditionalFormatting>
  <conditionalFormatting sqref="AN1411">
    <cfRule type="duplicateValues" dxfId="537" priority="708" stopIfTrue="1"/>
    <cfRule type="duplicateValues" dxfId="536" priority="709" stopIfTrue="1"/>
  </conditionalFormatting>
  <conditionalFormatting sqref="AN1411">
    <cfRule type="duplicateValues" dxfId="535" priority="707" stopIfTrue="1"/>
  </conditionalFormatting>
  <conditionalFormatting sqref="AN1411">
    <cfRule type="duplicateValues" dxfId="534" priority="706" stopIfTrue="1"/>
  </conditionalFormatting>
  <conditionalFormatting sqref="AN1411">
    <cfRule type="duplicateValues" dxfId="533" priority="705" stopIfTrue="1"/>
  </conditionalFormatting>
  <conditionalFormatting sqref="AN1411">
    <cfRule type="duplicateValues" dxfId="532" priority="704" stopIfTrue="1"/>
  </conditionalFormatting>
  <conditionalFormatting sqref="AN1411">
    <cfRule type="duplicateValues" dxfId="531" priority="703" stopIfTrue="1"/>
  </conditionalFormatting>
  <conditionalFormatting sqref="AN1411">
    <cfRule type="duplicateValues" dxfId="530" priority="702"/>
  </conditionalFormatting>
  <conditionalFormatting sqref="AN1411">
    <cfRule type="duplicateValues" dxfId="529" priority="701"/>
  </conditionalFormatting>
  <conditionalFormatting sqref="AN1411">
    <cfRule type="duplicateValues" dxfId="528" priority="700"/>
  </conditionalFormatting>
  <conditionalFormatting sqref="AN1411">
    <cfRule type="duplicateValues" dxfId="527" priority="699"/>
  </conditionalFormatting>
  <conditionalFormatting sqref="AN1411">
    <cfRule type="duplicateValues" dxfId="526" priority="698"/>
  </conditionalFormatting>
  <conditionalFormatting sqref="AN1411">
    <cfRule type="duplicateValues" dxfId="525" priority="697"/>
  </conditionalFormatting>
  <conditionalFormatting sqref="AN1411">
    <cfRule type="duplicateValues" dxfId="524" priority="696"/>
  </conditionalFormatting>
  <conditionalFormatting sqref="AN1411">
    <cfRule type="duplicateValues" dxfId="523" priority="695"/>
  </conditionalFormatting>
  <conditionalFormatting sqref="AN1411">
    <cfRule type="duplicateValues" dxfId="522" priority="693"/>
    <cfRule type="duplicateValues" dxfId="521" priority="694"/>
  </conditionalFormatting>
  <conditionalFormatting sqref="AN1411">
    <cfRule type="duplicateValues" dxfId="520" priority="692"/>
  </conditionalFormatting>
  <conditionalFormatting sqref="AN1411">
    <cfRule type="duplicateValues" dxfId="519" priority="719"/>
  </conditionalFormatting>
  <conditionalFormatting sqref="AN1411">
    <cfRule type="duplicateValues" dxfId="518" priority="691"/>
  </conditionalFormatting>
  <conditionalFormatting sqref="AN1411">
    <cfRule type="duplicateValues" dxfId="517" priority="720"/>
  </conditionalFormatting>
  <conditionalFormatting sqref="AN1411">
    <cfRule type="duplicateValues" dxfId="516" priority="690"/>
  </conditionalFormatting>
  <conditionalFormatting sqref="AN1411">
    <cfRule type="duplicateValues" dxfId="515" priority="689"/>
  </conditionalFormatting>
  <conditionalFormatting sqref="A1418:D1418 T1418:AM1418 AO1418:XFD1418">
    <cfRule type="duplicateValues" dxfId="514" priority="688" stopIfTrue="1"/>
  </conditionalFormatting>
  <conditionalFormatting sqref="T1418:AM1418 A1418:D1418 AO1418:XFD1418">
    <cfRule type="duplicateValues" dxfId="513" priority="687" stopIfTrue="1"/>
  </conditionalFormatting>
  <conditionalFormatting sqref="A1418:D1418 T1418:AM1418 AO1418:XFD1418">
    <cfRule type="duplicateValues" dxfId="512" priority="685" stopIfTrue="1"/>
    <cfRule type="duplicateValues" dxfId="511" priority="686" stopIfTrue="1"/>
  </conditionalFormatting>
  <conditionalFormatting sqref="A1418:D1418">
    <cfRule type="duplicateValues" dxfId="510" priority="684" stopIfTrue="1"/>
  </conditionalFormatting>
  <conditionalFormatting sqref="T1418:AM1418 A1418:D1418 AO1418:XFD1418">
    <cfRule type="duplicateValues" dxfId="509" priority="683"/>
  </conditionalFormatting>
  <conditionalFormatting sqref="A1418:D1418 T1418:AM1418 AO1418:XFD1418">
    <cfRule type="duplicateValues" dxfId="508" priority="681"/>
    <cfRule type="duplicateValues" dxfId="507" priority="682"/>
  </conditionalFormatting>
  <conditionalFormatting sqref="A1418:D1418 T1418:AM1418 AO1418:XFD1418">
    <cfRule type="duplicateValues" dxfId="506" priority="680"/>
  </conditionalFormatting>
  <conditionalFormatting sqref="A1419:D1419 T1419:AM1419 AO1419:XFD1419">
    <cfRule type="duplicateValues" dxfId="505" priority="679" stopIfTrue="1"/>
  </conditionalFormatting>
  <conditionalFormatting sqref="T1419:AM1419 A1419:D1419 AO1419:XFD1419">
    <cfRule type="duplicateValues" dxfId="504" priority="678" stopIfTrue="1"/>
  </conditionalFormatting>
  <conditionalFormatting sqref="A1419:D1419 T1419:AM1419 AO1419:XFD1419">
    <cfRule type="duplicateValues" dxfId="503" priority="676" stopIfTrue="1"/>
    <cfRule type="duplicateValues" dxfId="502" priority="677" stopIfTrue="1"/>
  </conditionalFormatting>
  <conditionalFormatting sqref="A1419:D1419">
    <cfRule type="duplicateValues" dxfId="501" priority="675" stopIfTrue="1"/>
  </conditionalFormatting>
  <conditionalFormatting sqref="T1419:AM1419 A1419:D1419 AO1419:XFD1419">
    <cfRule type="duplicateValues" dxfId="500" priority="674"/>
  </conditionalFormatting>
  <conditionalFormatting sqref="A1419:D1419 T1419:AM1419 AO1419:XFD1419">
    <cfRule type="duplicateValues" dxfId="499" priority="672"/>
    <cfRule type="duplicateValues" dxfId="498" priority="673"/>
  </conditionalFormatting>
  <conditionalFormatting sqref="A1419:D1419 T1419:AM1419 AO1419:XFD1419">
    <cfRule type="duplicateValues" dxfId="497" priority="671"/>
  </conditionalFormatting>
  <conditionalFormatting sqref="A1420:D1420 T1420:AG1420 AI1420:AM1420 AO1420:XFD1420">
    <cfRule type="duplicateValues" dxfId="496" priority="670" stopIfTrue="1"/>
  </conditionalFormatting>
  <conditionalFormatting sqref="T1420:AG1420 A1420:D1420 AI1420:AM1420 AO1420:XFD1420">
    <cfRule type="duplicateValues" dxfId="495" priority="669" stopIfTrue="1"/>
  </conditionalFormatting>
  <conditionalFormatting sqref="A1420:D1420 T1420:AG1420 AI1420:AM1420 AO1420:XFD1420">
    <cfRule type="duplicateValues" dxfId="494" priority="667" stopIfTrue="1"/>
    <cfRule type="duplicateValues" dxfId="493" priority="668" stopIfTrue="1"/>
  </conditionalFormatting>
  <conditionalFormatting sqref="A1420:D1420">
    <cfRule type="duplicateValues" dxfId="492" priority="666" stopIfTrue="1"/>
  </conditionalFormatting>
  <conditionalFormatting sqref="T1420:AG1420 A1420:D1420 AI1420:AM1420 AO1420:XFD1420">
    <cfRule type="duplicateValues" dxfId="491" priority="665"/>
  </conditionalFormatting>
  <conditionalFormatting sqref="A1420:D1420 T1420:AG1420 AI1420:AM1420 AO1420:XFD1420">
    <cfRule type="duplicateValues" dxfId="490" priority="663"/>
    <cfRule type="duplicateValues" dxfId="489" priority="664"/>
  </conditionalFormatting>
  <conditionalFormatting sqref="A1420:D1420 T1420:AG1420 AI1420:AM1420 AO1420:XFD1420">
    <cfRule type="duplicateValues" dxfId="488" priority="662"/>
  </conditionalFormatting>
  <conditionalFormatting sqref="A1417:D1417 T1417:AM1417 AO1417:XFD1417">
    <cfRule type="duplicateValues" dxfId="487" priority="661" stopIfTrue="1"/>
  </conditionalFormatting>
  <conditionalFormatting sqref="T1417:AM1417 A1417:D1417 AO1417:XFD1417">
    <cfRule type="duplicateValues" dxfId="486" priority="660" stopIfTrue="1"/>
  </conditionalFormatting>
  <conditionalFormatting sqref="A1417:D1417 T1417:AM1417 AO1417:XFD1417">
    <cfRule type="duplicateValues" dxfId="485" priority="658" stopIfTrue="1"/>
    <cfRule type="duplicateValues" dxfId="484" priority="659" stopIfTrue="1"/>
  </conditionalFormatting>
  <conditionalFormatting sqref="A1417:D1417">
    <cfRule type="duplicateValues" dxfId="483" priority="657" stopIfTrue="1"/>
  </conditionalFormatting>
  <conditionalFormatting sqref="T1417:AM1417 A1417:D1417 AO1417:XFD1417">
    <cfRule type="duplicateValues" dxfId="482" priority="656"/>
  </conditionalFormatting>
  <conditionalFormatting sqref="A1417:D1417 T1417:AM1417 AO1417:XFD1417">
    <cfRule type="duplicateValues" dxfId="481" priority="654"/>
    <cfRule type="duplicateValues" dxfId="480" priority="655"/>
  </conditionalFormatting>
  <conditionalFormatting sqref="A1417:D1417 T1417:AM1417 AO1417:XFD1417">
    <cfRule type="duplicateValues" dxfId="479" priority="653"/>
  </conditionalFormatting>
  <conditionalFormatting sqref="AH1420">
    <cfRule type="duplicateValues" dxfId="478" priority="652" stopIfTrue="1"/>
  </conditionalFormatting>
  <conditionalFormatting sqref="AH1420">
    <cfRule type="duplicateValues" dxfId="477" priority="651" stopIfTrue="1"/>
  </conditionalFormatting>
  <conditionalFormatting sqref="AH1420">
    <cfRule type="duplicateValues" dxfId="476" priority="649" stopIfTrue="1"/>
    <cfRule type="duplicateValues" dxfId="475" priority="650" stopIfTrue="1"/>
  </conditionalFormatting>
  <conditionalFormatting sqref="AH1420">
    <cfRule type="duplicateValues" dxfId="474" priority="648"/>
  </conditionalFormatting>
  <conditionalFormatting sqref="AH1420">
    <cfRule type="duplicateValues" dxfId="473" priority="646"/>
    <cfRule type="duplicateValues" dxfId="472" priority="647"/>
  </conditionalFormatting>
  <conditionalFormatting sqref="AH1420">
    <cfRule type="duplicateValues" dxfId="471" priority="645"/>
  </conditionalFormatting>
  <conditionalFormatting sqref="A1412">
    <cfRule type="duplicateValues" dxfId="470" priority="642" stopIfTrue="1"/>
  </conditionalFormatting>
  <conditionalFormatting sqref="A1412">
    <cfRule type="duplicateValues" dxfId="469" priority="640" stopIfTrue="1"/>
  </conditionalFormatting>
  <conditionalFormatting sqref="A1412">
    <cfRule type="duplicateValues" dxfId="468" priority="639" stopIfTrue="1"/>
  </conditionalFormatting>
  <conditionalFormatting sqref="A1412">
    <cfRule type="duplicateValues" dxfId="467" priority="638" stopIfTrue="1"/>
  </conditionalFormatting>
  <conditionalFormatting sqref="A1412">
    <cfRule type="duplicateValues" dxfId="466" priority="637" stopIfTrue="1"/>
  </conditionalFormatting>
  <conditionalFormatting sqref="A1412">
    <cfRule type="duplicateValues" dxfId="465" priority="636" stopIfTrue="1"/>
  </conditionalFormatting>
  <conditionalFormatting sqref="A1412">
    <cfRule type="duplicateValues" dxfId="464" priority="635" stopIfTrue="1"/>
  </conditionalFormatting>
  <conditionalFormatting sqref="A1412">
    <cfRule type="duplicateValues" dxfId="463" priority="634" stopIfTrue="1"/>
  </conditionalFormatting>
  <conditionalFormatting sqref="A1412">
    <cfRule type="duplicateValues" dxfId="462" priority="633" stopIfTrue="1"/>
  </conditionalFormatting>
  <conditionalFormatting sqref="A1412">
    <cfRule type="duplicateValues" dxfId="461" priority="631" stopIfTrue="1"/>
    <cfRule type="duplicateValues" dxfId="460" priority="632" stopIfTrue="1"/>
  </conditionalFormatting>
  <conditionalFormatting sqref="A1412">
    <cfRule type="duplicateValues" dxfId="459" priority="630" stopIfTrue="1"/>
  </conditionalFormatting>
  <conditionalFormatting sqref="A1412">
    <cfRule type="duplicateValues" dxfId="458" priority="629" stopIfTrue="1"/>
  </conditionalFormatting>
  <conditionalFormatting sqref="A1412">
    <cfRule type="duplicateValues" dxfId="457" priority="628" stopIfTrue="1"/>
  </conditionalFormatting>
  <conditionalFormatting sqref="A1412">
    <cfRule type="duplicateValues" dxfId="456" priority="627" stopIfTrue="1"/>
  </conditionalFormatting>
  <conditionalFormatting sqref="A1412">
    <cfRule type="duplicateValues" dxfId="455" priority="626" stopIfTrue="1"/>
  </conditionalFormatting>
  <conditionalFormatting sqref="A1412">
    <cfRule type="duplicateValues" dxfId="454" priority="625"/>
  </conditionalFormatting>
  <conditionalFormatting sqref="A1412">
    <cfRule type="duplicateValues" dxfId="453" priority="624"/>
  </conditionalFormatting>
  <conditionalFormatting sqref="A1412">
    <cfRule type="duplicateValues" dxfId="452" priority="623"/>
  </conditionalFormatting>
  <conditionalFormatting sqref="A1412">
    <cfRule type="duplicateValues" dxfId="451" priority="622"/>
  </conditionalFormatting>
  <conditionalFormatting sqref="A1412">
    <cfRule type="duplicateValues" dxfId="450" priority="621"/>
  </conditionalFormatting>
  <conditionalFormatting sqref="A1412">
    <cfRule type="duplicateValues" dxfId="449" priority="620"/>
  </conditionalFormatting>
  <conditionalFormatting sqref="A1412">
    <cfRule type="duplicateValues" dxfId="448" priority="619"/>
  </conditionalFormatting>
  <conditionalFormatting sqref="A1412">
    <cfRule type="duplicateValues" dxfId="447" priority="618"/>
  </conditionalFormatting>
  <conditionalFormatting sqref="A1412">
    <cfRule type="duplicateValues" dxfId="446" priority="616"/>
    <cfRule type="duplicateValues" dxfId="445" priority="617"/>
  </conditionalFormatting>
  <conditionalFormatting sqref="A1412">
    <cfRule type="duplicateValues" dxfId="444" priority="615"/>
  </conditionalFormatting>
  <conditionalFormatting sqref="A1412">
    <cfRule type="duplicateValues" dxfId="443" priority="643"/>
  </conditionalFormatting>
  <conditionalFormatting sqref="A1412">
    <cfRule type="duplicateValues" dxfId="442" priority="614"/>
  </conditionalFormatting>
  <conditionalFormatting sqref="A1412">
    <cfRule type="duplicateValues" dxfId="441" priority="644"/>
  </conditionalFormatting>
  <conditionalFormatting sqref="A1412">
    <cfRule type="duplicateValues" dxfId="440" priority="613"/>
  </conditionalFormatting>
  <conditionalFormatting sqref="A1412">
    <cfRule type="duplicateValues" dxfId="439" priority="612"/>
  </conditionalFormatting>
  <conditionalFormatting sqref="A1413">
    <cfRule type="duplicateValues" dxfId="438" priority="609" stopIfTrue="1"/>
  </conditionalFormatting>
  <conditionalFormatting sqref="A1413">
    <cfRule type="duplicateValues" dxfId="437" priority="607" stopIfTrue="1"/>
  </conditionalFormatting>
  <conditionalFormatting sqref="A1413">
    <cfRule type="duplicateValues" dxfId="436" priority="606" stopIfTrue="1"/>
  </conditionalFormatting>
  <conditionalFormatting sqref="A1413">
    <cfRule type="duplicateValues" dxfId="435" priority="605" stopIfTrue="1"/>
  </conditionalFormatting>
  <conditionalFormatting sqref="A1413">
    <cfRule type="duplicateValues" dxfId="434" priority="604" stopIfTrue="1"/>
  </conditionalFormatting>
  <conditionalFormatting sqref="A1413">
    <cfRule type="duplicateValues" dxfId="433" priority="603" stopIfTrue="1"/>
  </conditionalFormatting>
  <conditionalFormatting sqref="A1413">
    <cfRule type="duplicateValues" dxfId="432" priority="602" stopIfTrue="1"/>
  </conditionalFormatting>
  <conditionalFormatting sqref="A1413">
    <cfRule type="duplicateValues" dxfId="431" priority="601" stopIfTrue="1"/>
  </conditionalFormatting>
  <conditionalFormatting sqref="A1413">
    <cfRule type="duplicateValues" dxfId="430" priority="600" stopIfTrue="1"/>
  </conditionalFormatting>
  <conditionalFormatting sqref="A1413">
    <cfRule type="duplicateValues" dxfId="429" priority="598" stopIfTrue="1"/>
    <cfRule type="duplicateValues" dxfId="428" priority="599" stopIfTrue="1"/>
  </conditionalFormatting>
  <conditionalFormatting sqref="A1413">
    <cfRule type="duplicateValues" dxfId="427" priority="597" stopIfTrue="1"/>
  </conditionalFormatting>
  <conditionalFormatting sqref="A1413">
    <cfRule type="duplicateValues" dxfId="426" priority="596" stopIfTrue="1"/>
  </conditionalFormatting>
  <conditionalFormatting sqref="A1413">
    <cfRule type="duplicateValues" dxfId="425" priority="595" stopIfTrue="1"/>
  </conditionalFormatting>
  <conditionalFormatting sqref="A1413">
    <cfRule type="duplicateValues" dxfId="424" priority="594" stopIfTrue="1"/>
  </conditionalFormatting>
  <conditionalFormatting sqref="A1413">
    <cfRule type="duplicateValues" dxfId="423" priority="593" stopIfTrue="1"/>
  </conditionalFormatting>
  <conditionalFormatting sqref="A1413">
    <cfRule type="duplicateValues" dxfId="422" priority="592"/>
  </conditionalFormatting>
  <conditionalFormatting sqref="A1413">
    <cfRule type="duplicateValues" dxfId="421" priority="591"/>
  </conditionalFormatting>
  <conditionalFormatting sqref="A1413">
    <cfRule type="duplicateValues" dxfId="420" priority="590"/>
  </conditionalFormatting>
  <conditionalFormatting sqref="A1413">
    <cfRule type="duplicateValues" dxfId="419" priority="589"/>
  </conditionalFormatting>
  <conditionalFormatting sqref="A1413">
    <cfRule type="duplicateValues" dxfId="418" priority="588"/>
  </conditionalFormatting>
  <conditionalFormatting sqref="A1413">
    <cfRule type="duplicateValues" dxfId="417" priority="587"/>
  </conditionalFormatting>
  <conditionalFormatting sqref="A1413">
    <cfRule type="duplicateValues" dxfId="416" priority="586"/>
  </conditionalFormatting>
  <conditionalFormatting sqref="A1413">
    <cfRule type="duplicateValues" dxfId="415" priority="585"/>
  </conditionalFormatting>
  <conditionalFormatting sqref="A1413">
    <cfRule type="duplicateValues" dxfId="414" priority="583"/>
    <cfRule type="duplicateValues" dxfId="413" priority="584"/>
  </conditionalFormatting>
  <conditionalFormatting sqref="A1413">
    <cfRule type="duplicateValues" dxfId="412" priority="582"/>
  </conditionalFormatting>
  <conditionalFormatting sqref="A1413">
    <cfRule type="duplicateValues" dxfId="411" priority="610"/>
  </conditionalFormatting>
  <conditionalFormatting sqref="A1413">
    <cfRule type="duplicateValues" dxfId="410" priority="581"/>
  </conditionalFormatting>
  <conditionalFormatting sqref="A1413">
    <cfRule type="duplicateValues" dxfId="409" priority="611"/>
  </conditionalFormatting>
  <conditionalFormatting sqref="A1413">
    <cfRule type="duplicateValues" dxfId="408" priority="580"/>
  </conditionalFormatting>
  <conditionalFormatting sqref="A1413">
    <cfRule type="duplicateValues" dxfId="407" priority="579"/>
  </conditionalFormatting>
  <conditionalFormatting sqref="AN1412">
    <cfRule type="duplicateValues" dxfId="406" priority="512" stopIfTrue="1"/>
  </conditionalFormatting>
  <conditionalFormatting sqref="AN1412">
    <cfRule type="duplicateValues" dxfId="405" priority="511" stopIfTrue="1"/>
  </conditionalFormatting>
  <conditionalFormatting sqref="AN1412">
    <cfRule type="duplicateValues" dxfId="404" priority="510" stopIfTrue="1"/>
  </conditionalFormatting>
  <conditionalFormatting sqref="AN1412">
    <cfRule type="duplicateValues" dxfId="403" priority="509" stopIfTrue="1"/>
  </conditionalFormatting>
  <conditionalFormatting sqref="AN1412">
    <cfRule type="duplicateValues" dxfId="402" priority="508" stopIfTrue="1"/>
  </conditionalFormatting>
  <conditionalFormatting sqref="AN1412">
    <cfRule type="duplicateValues" dxfId="401" priority="507" stopIfTrue="1"/>
  </conditionalFormatting>
  <conditionalFormatting sqref="AN1412">
    <cfRule type="duplicateValues" dxfId="400" priority="506" stopIfTrue="1"/>
  </conditionalFormatting>
  <conditionalFormatting sqref="AN1412">
    <cfRule type="duplicateValues" dxfId="399" priority="505" stopIfTrue="1"/>
  </conditionalFormatting>
  <conditionalFormatting sqref="AN1412">
    <cfRule type="duplicateValues" dxfId="398" priority="504" stopIfTrue="1"/>
  </conditionalFormatting>
  <conditionalFormatting sqref="AN1412">
    <cfRule type="duplicateValues" dxfId="397" priority="502" stopIfTrue="1"/>
    <cfRule type="duplicateValues" dxfId="396" priority="503" stopIfTrue="1"/>
  </conditionalFormatting>
  <conditionalFormatting sqref="AN1412">
    <cfRule type="duplicateValues" dxfId="395" priority="501" stopIfTrue="1"/>
  </conditionalFormatting>
  <conditionalFormatting sqref="AN1412">
    <cfRule type="duplicateValues" dxfId="394" priority="500" stopIfTrue="1"/>
  </conditionalFormatting>
  <conditionalFormatting sqref="AN1412">
    <cfRule type="duplicateValues" dxfId="393" priority="499" stopIfTrue="1"/>
  </conditionalFormatting>
  <conditionalFormatting sqref="AN1412">
    <cfRule type="duplicateValues" dxfId="392" priority="498" stopIfTrue="1"/>
  </conditionalFormatting>
  <conditionalFormatting sqref="AN1412">
    <cfRule type="duplicateValues" dxfId="391" priority="497" stopIfTrue="1"/>
  </conditionalFormatting>
  <conditionalFormatting sqref="AN1412">
    <cfRule type="duplicateValues" dxfId="390" priority="496"/>
  </conditionalFormatting>
  <conditionalFormatting sqref="AN1412">
    <cfRule type="duplicateValues" dxfId="389" priority="495"/>
  </conditionalFormatting>
  <conditionalFormatting sqref="AN1412">
    <cfRule type="duplicateValues" dxfId="388" priority="494"/>
  </conditionalFormatting>
  <conditionalFormatting sqref="AN1412">
    <cfRule type="duplicateValues" dxfId="387" priority="493"/>
  </conditionalFormatting>
  <conditionalFormatting sqref="AN1412">
    <cfRule type="duplicateValues" dxfId="386" priority="492"/>
  </conditionalFormatting>
  <conditionalFormatting sqref="AN1412">
    <cfRule type="duplicateValues" dxfId="385" priority="491"/>
  </conditionalFormatting>
  <conditionalFormatting sqref="AN1412">
    <cfRule type="duplicateValues" dxfId="384" priority="490"/>
  </conditionalFormatting>
  <conditionalFormatting sqref="AN1412">
    <cfRule type="duplicateValues" dxfId="383" priority="489"/>
  </conditionalFormatting>
  <conditionalFormatting sqref="AN1412">
    <cfRule type="duplicateValues" dxfId="382" priority="487"/>
    <cfRule type="duplicateValues" dxfId="381" priority="488"/>
  </conditionalFormatting>
  <conditionalFormatting sqref="AN1412">
    <cfRule type="duplicateValues" dxfId="380" priority="486"/>
  </conditionalFormatting>
  <conditionalFormatting sqref="AN1412">
    <cfRule type="duplicateValues" dxfId="379" priority="513"/>
  </conditionalFormatting>
  <conditionalFormatting sqref="AN1412">
    <cfRule type="duplicateValues" dxfId="378" priority="485"/>
  </conditionalFormatting>
  <conditionalFormatting sqref="AN1412">
    <cfRule type="duplicateValues" dxfId="377" priority="514"/>
  </conditionalFormatting>
  <conditionalFormatting sqref="AN1412">
    <cfRule type="duplicateValues" dxfId="376" priority="484"/>
  </conditionalFormatting>
  <conditionalFormatting sqref="AN1412">
    <cfRule type="duplicateValues" dxfId="375" priority="483"/>
  </conditionalFormatting>
  <conditionalFormatting sqref="AN1413">
    <cfRule type="duplicateValues" dxfId="374" priority="480" stopIfTrue="1"/>
  </conditionalFormatting>
  <conditionalFormatting sqref="AN1413">
    <cfRule type="duplicateValues" dxfId="373" priority="479" stopIfTrue="1"/>
  </conditionalFormatting>
  <conditionalFormatting sqref="AN1413">
    <cfRule type="duplicateValues" dxfId="372" priority="478" stopIfTrue="1"/>
  </conditionalFormatting>
  <conditionalFormatting sqref="AN1413">
    <cfRule type="duplicateValues" dxfId="371" priority="477" stopIfTrue="1"/>
  </conditionalFormatting>
  <conditionalFormatting sqref="AN1413">
    <cfRule type="duplicateValues" dxfId="370" priority="476" stopIfTrue="1"/>
  </conditionalFormatting>
  <conditionalFormatting sqref="AN1413">
    <cfRule type="duplicateValues" dxfId="369" priority="475" stopIfTrue="1"/>
  </conditionalFormatting>
  <conditionalFormatting sqref="AN1413">
    <cfRule type="duplicateValues" dxfId="368" priority="474" stopIfTrue="1"/>
  </conditionalFormatting>
  <conditionalFormatting sqref="AN1413">
    <cfRule type="duplicateValues" dxfId="367" priority="473" stopIfTrue="1"/>
  </conditionalFormatting>
  <conditionalFormatting sqref="AN1413">
    <cfRule type="duplicateValues" dxfId="366" priority="472" stopIfTrue="1"/>
  </conditionalFormatting>
  <conditionalFormatting sqref="AN1413">
    <cfRule type="duplicateValues" dxfId="365" priority="470" stopIfTrue="1"/>
    <cfRule type="duplicateValues" dxfId="364" priority="471" stopIfTrue="1"/>
  </conditionalFormatting>
  <conditionalFormatting sqref="AN1413">
    <cfRule type="duplicateValues" dxfId="363" priority="469" stopIfTrue="1"/>
  </conditionalFormatting>
  <conditionalFormatting sqref="AN1413">
    <cfRule type="duplicateValues" dxfId="362" priority="468" stopIfTrue="1"/>
  </conditionalFormatting>
  <conditionalFormatting sqref="AN1413">
    <cfRule type="duplicateValues" dxfId="361" priority="467" stopIfTrue="1"/>
  </conditionalFormatting>
  <conditionalFormatting sqref="AN1413">
    <cfRule type="duplicateValues" dxfId="360" priority="466" stopIfTrue="1"/>
  </conditionalFormatting>
  <conditionalFormatting sqref="AN1413">
    <cfRule type="duplicateValues" dxfId="359" priority="465" stopIfTrue="1"/>
  </conditionalFormatting>
  <conditionalFormatting sqref="AN1413">
    <cfRule type="duplicateValues" dxfId="358" priority="464"/>
  </conditionalFormatting>
  <conditionalFormatting sqref="AN1413">
    <cfRule type="duplicateValues" dxfId="357" priority="463"/>
  </conditionalFormatting>
  <conditionalFormatting sqref="AN1413">
    <cfRule type="duplicateValues" dxfId="356" priority="462"/>
  </conditionalFormatting>
  <conditionalFormatting sqref="AN1413">
    <cfRule type="duplicateValues" dxfId="355" priority="461"/>
  </conditionalFormatting>
  <conditionalFormatting sqref="AN1413">
    <cfRule type="duplicateValues" dxfId="354" priority="460"/>
  </conditionalFormatting>
  <conditionalFormatting sqref="AN1413">
    <cfRule type="duplicateValues" dxfId="353" priority="459"/>
  </conditionalFormatting>
  <conditionalFormatting sqref="AN1413">
    <cfRule type="duplicateValues" dxfId="352" priority="458"/>
  </conditionalFormatting>
  <conditionalFormatting sqref="AN1413">
    <cfRule type="duplicateValues" dxfId="351" priority="457"/>
  </conditionalFormatting>
  <conditionalFormatting sqref="AN1413">
    <cfRule type="duplicateValues" dxfId="350" priority="455"/>
    <cfRule type="duplicateValues" dxfId="349" priority="456"/>
  </conditionalFormatting>
  <conditionalFormatting sqref="AN1413">
    <cfRule type="duplicateValues" dxfId="348" priority="454"/>
  </conditionalFormatting>
  <conditionalFormatting sqref="AN1413">
    <cfRule type="duplicateValues" dxfId="347" priority="481"/>
  </conditionalFormatting>
  <conditionalFormatting sqref="AN1413">
    <cfRule type="duplicateValues" dxfId="346" priority="453"/>
  </conditionalFormatting>
  <conditionalFormatting sqref="AN1413">
    <cfRule type="duplicateValues" dxfId="345" priority="482"/>
  </conditionalFormatting>
  <conditionalFormatting sqref="AN1413">
    <cfRule type="duplicateValues" dxfId="344" priority="452"/>
  </conditionalFormatting>
  <conditionalFormatting sqref="AN1413">
    <cfRule type="duplicateValues" dxfId="343" priority="451"/>
  </conditionalFormatting>
  <conditionalFormatting sqref="A1414">
    <cfRule type="duplicateValues" dxfId="342" priority="448" stopIfTrue="1"/>
  </conditionalFormatting>
  <conditionalFormatting sqref="A1414">
    <cfRule type="duplicateValues" dxfId="341" priority="446" stopIfTrue="1"/>
  </conditionalFormatting>
  <conditionalFormatting sqref="A1414">
    <cfRule type="duplicateValues" dxfId="340" priority="445" stopIfTrue="1"/>
  </conditionalFormatting>
  <conditionalFormatting sqref="A1414">
    <cfRule type="duplicateValues" dxfId="339" priority="444" stopIfTrue="1"/>
  </conditionalFormatting>
  <conditionalFormatting sqref="A1414">
    <cfRule type="duplicateValues" dxfId="338" priority="443" stopIfTrue="1"/>
  </conditionalFormatting>
  <conditionalFormatting sqref="A1414">
    <cfRule type="duplicateValues" dxfId="337" priority="442" stopIfTrue="1"/>
  </conditionalFormatting>
  <conditionalFormatting sqref="A1414">
    <cfRule type="duplicateValues" dxfId="336" priority="441" stopIfTrue="1"/>
  </conditionalFormatting>
  <conditionalFormatting sqref="A1414">
    <cfRule type="duplicateValues" dxfId="335" priority="440" stopIfTrue="1"/>
  </conditionalFormatting>
  <conditionalFormatting sqref="A1414">
    <cfRule type="duplicateValues" dxfId="334" priority="439" stopIfTrue="1"/>
  </conditionalFormatting>
  <conditionalFormatting sqref="A1414">
    <cfRule type="duplicateValues" dxfId="333" priority="437" stopIfTrue="1"/>
    <cfRule type="duplicateValues" dxfId="332" priority="438" stopIfTrue="1"/>
  </conditionalFormatting>
  <conditionalFormatting sqref="A1414">
    <cfRule type="duplicateValues" dxfId="331" priority="436" stopIfTrue="1"/>
  </conditionalFormatting>
  <conditionalFormatting sqref="A1414">
    <cfRule type="duplicateValues" dxfId="330" priority="435" stopIfTrue="1"/>
  </conditionalFormatting>
  <conditionalFormatting sqref="A1414">
    <cfRule type="duplicateValues" dxfId="329" priority="434" stopIfTrue="1"/>
  </conditionalFormatting>
  <conditionalFormatting sqref="A1414">
    <cfRule type="duplicateValues" dxfId="328" priority="433" stopIfTrue="1"/>
  </conditionalFormatting>
  <conditionalFormatting sqref="A1414">
    <cfRule type="duplicateValues" dxfId="327" priority="432" stopIfTrue="1"/>
  </conditionalFormatting>
  <conditionalFormatting sqref="A1414">
    <cfRule type="duplicateValues" dxfId="326" priority="431"/>
  </conditionalFormatting>
  <conditionalFormatting sqref="A1414">
    <cfRule type="duplicateValues" dxfId="325" priority="430"/>
  </conditionalFormatting>
  <conditionalFormatting sqref="A1414">
    <cfRule type="duplicateValues" dxfId="324" priority="429"/>
  </conditionalFormatting>
  <conditionalFormatting sqref="A1414">
    <cfRule type="duplicateValues" dxfId="323" priority="428"/>
  </conditionalFormatting>
  <conditionalFormatting sqref="A1414">
    <cfRule type="duplicateValues" dxfId="322" priority="427"/>
  </conditionalFormatting>
  <conditionalFormatting sqref="A1414">
    <cfRule type="duplicateValues" dxfId="321" priority="426"/>
  </conditionalFormatting>
  <conditionalFormatting sqref="A1414">
    <cfRule type="duplicateValues" dxfId="320" priority="425"/>
  </conditionalFormatting>
  <conditionalFormatting sqref="A1414">
    <cfRule type="duplicateValues" dxfId="319" priority="424"/>
  </conditionalFormatting>
  <conditionalFormatting sqref="A1414">
    <cfRule type="duplicateValues" dxfId="318" priority="422"/>
    <cfRule type="duplicateValues" dxfId="317" priority="423"/>
  </conditionalFormatting>
  <conditionalFormatting sqref="A1414">
    <cfRule type="duplicateValues" dxfId="316" priority="421"/>
  </conditionalFormatting>
  <conditionalFormatting sqref="A1414">
    <cfRule type="duplicateValues" dxfId="315" priority="449"/>
  </conditionalFormatting>
  <conditionalFormatting sqref="A1414">
    <cfRule type="duplicateValues" dxfId="314" priority="420"/>
  </conditionalFormatting>
  <conditionalFormatting sqref="A1414">
    <cfRule type="duplicateValues" dxfId="313" priority="450"/>
  </conditionalFormatting>
  <conditionalFormatting sqref="A1414">
    <cfRule type="duplicateValues" dxfId="312" priority="419"/>
  </conditionalFormatting>
  <conditionalFormatting sqref="A1414">
    <cfRule type="duplicateValues" dxfId="311" priority="418"/>
  </conditionalFormatting>
  <conditionalFormatting sqref="AN1414">
    <cfRule type="duplicateValues" dxfId="310" priority="383" stopIfTrue="1"/>
  </conditionalFormatting>
  <conditionalFormatting sqref="AN1414">
    <cfRule type="duplicateValues" dxfId="309" priority="382" stopIfTrue="1"/>
  </conditionalFormatting>
  <conditionalFormatting sqref="AN1414">
    <cfRule type="duplicateValues" dxfId="308" priority="381" stopIfTrue="1"/>
  </conditionalFormatting>
  <conditionalFormatting sqref="AN1414">
    <cfRule type="duplicateValues" dxfId="307" priority="380" stopIfTrue="1"/>
  </conditionalFormatting>
  <conditionalFormatting sqref="AN1414">
    <cfRule type="duplicateValues" dxfId="306" priority="379" stopIfTrue="1"/>
  </conditionalFormatting>
  <conditionalFormatting sqref="AN1414">
    <cfRule type="duplicateValues" dxfId="305" priority="378" stopIfTrue="1"/>
  </conditionalFormatting>
  <conditionalFormatting sqref="AN1414">
    <cfRule type="duplicateValues" dxfId="304" priority="377" stopIfTrue="1"/>
  </conditionalFormatting>
  <conditionalFormatting sqref="AN1414">
    <cfRule type="duplicateValues" dxfId="303" priority="376" stopIfTrue="1"/>
  </conditionalFormatting>
  <conditionalFormatting sqref="AN1414">
    <cfRule type="duplicateValues" dxfId="302" priority="375" stopIfTrue="1"/>
  </conditionalFormatting>
  <conditionalFormatting sqref="AN1414">
    <cfRule type="duplicateValues" dxfId="301" priority="373" stopIfTrue="1"/>
    <cfRule type="duplicateValues" dxfId="300" priority="374" stopIfTrue="1"/>
  </conditionalFormatting>
  <conditionalFormatting sqref="AN1414">
    <cfRule type="duplicateValues" dxfId="299" priority="372" stopIfTrue="1"/>
  </conditionalFormatting>
  <conditionalFormatting sqref="AN1414">
    <cfRule type="duplicateValues" dxfId="298" priority="371" stopIfTrue="1"/>
  </conditionalFormatting>
  <conditionalFormatting sqref="AN1414">
    <cfRule type="duplicateValues" dxfId="297" priority="370" stopIfTrue="1"/>
  </conditionalFormatting>
  <conditionalFormatting sqref="AN1414">
    <cfRule type="duplicateValues" dxfId="296" priority="369" stopIfTrue="1"/>
  </conditionalFormatting>
  <conditionalFormatting sqref="AN1414">
    <cfRule type="duplicateValues" dxfId="295" priority="368" stopIfTrue="1"/>
  </conditionalFormatting>
  <conditionalFormatting sqref="AN1414">
    <cfRule type="duplicateValues" dxfId="294" priority="367"/>
  </conditionalFormatting>
  <conditionalFormatting sqref="AN1414">
    <cfRule type="duplicateValues" dxfId="293" priority="366"/>
  </conditionalFormatting>
  <conditionalFormatting sqref="AN1414">
    <cfRule type="duplicateValues" dxfId="292" priority="365"/>
  </conditionalFormatting>
  <conditionalFormatting sqref="AN1414">
    <cfRule type="duplicateValues" dxfId="291" priority="364"/>
  </conditionalFormatting>
  <conditionalFormatting sqref="AN1414">
    <cfRule type="duplicateValues" dxfId="290" priority="363"/>
  </conditionalFormatting>
  <conditionalFormatting sqref="AN1414">
    <cfRule type="duplicateValues" dxfId="289" priority="362"/>
  </conditionalFormatting>
  <conditionalFormatting sqref="AN1414">
    <cfRule type="duplicateValues" dxfId="288" priority="361"/>
  </conditionalFormatting>
  <conditionalFormatting sqref="AN1414">
    <cfRule type="duplicateValues" dxfId="287" priority="360"/>
  </conditionalFormatting>
  <conditionalFormatting sqref="AN1414">
    <cfRule type="duplicateValues" dxfId="286" priority="358"/>
    <cfRule type="duplicateValues" dxfId="285" priority="359"/>
  </conditionalFormatting>
  <conditionalFormatting sqref="AN1414">
    <cfRule type="duplicateValues" dxfId="284" priority="357"/>
  </conditionalFormatting>
  <conditionalFormatting sqref="AN1414">
    <cfRule type="duplicateValues" dxfId="283" priority="384"/>
  </conditionalFormatting>
  <conditionalFormatting sqref="AN1414">
    <cfRule type="duplicateValues" dxfId="282" priority="356"/>
  </conditionalFormatting>
  <conditionalFormatting sqref="AN1414">
    <cfRule type="duplicateValues" dxfId="281" priority="385"/>
  </conditionalFormatting>
  <conditionalFormatting sqref="AN1414">
    <cfRule type="duplicateValues" dxfId="280" priority="355"/>
  </conditionalFormatting>
  <conditionalFormatting sqref="AN1414">
    <cfRule type="duplicateValues" dxfId="279" priority="354"/>
  </conditionalFormatting>
  <conditionalFormatting sqref="C1412">
    <cfRule type="duplicateValues" dxfId="278" priority="353" stopIfTrue="1"/>
  </conditionalFormatting>
  <conditionalFormatting sqref="C1413">
    <cfRule type="duplicateValues" dxfId="277" priority="352" stopIfTrue="1"/>
  </conditionalFormatting>
  <conditionalFormatting sqref="C1414">
    <cfRule type="duplicateValues" dxfId="276" priority="351" stopIfTrue="1"/>
  </conditionalFormatting>
  <conditionalFormatting sqref="C1423:C1424">
    <cfRule type="duplicateValues" dxfId="275" priority="350" stopIfTrue="1"/>
  </conditionalFormatting>
  <conditionalFormatting sqref="A1423:B1424">
    <cfRule type="duplicateValues" dxfId="274" priority="347" stopIfTrue="1"/>
  </conditionalFormatting>
  <conditionalFormatting sqref="A1423:B1424">
    <cfRule type="duplicateValues" dxfId="273" priority="346" stopIfTrue="1"/>
  </conditionalFormatting>
  <conditionalFormatting sqref="A1423:B1424">
    <cfRule type="duplicateValues" dxfId="272" priority="345" stopIfTrue="1"/>
  </conditionalFormatting>
  <conditionalFormatting sqref="A1423:B1424">
    <cfRule type="duplicateValues" dxfId="271" priority="344" stopIfTrue="1"/>
  </conditionalFormatting>
  <conditionalFormatting sqref="A1423:B1424">
    <cfRule type="duplicateValues" dxfId="270" priority="343" stopIfTrue="1"/>
  </conditionalFormatting>
  <conditionalFormatting sqref="A1423:B1424">
    <cfRule type="duplicateValues" dxfId="269" priority="342" stopIfTrue="1"/>
  </conditionalFormatting>
  <conditionalFormatting sqref="A1423:B1424">
    <cfRule type="duplicateValues" dxfId="268" priority="341" stopIfTrue="1"/>
  </conditionalFormatting>
  <conditionalFormatting sqref="A1423:B1424">
    <cfRule type="duplicateValues" dxfId="267" priority="340" stopIfTrue="1"/>
  </conditionalFormatting>
  <conditionalFormatting sqref="A1423:B1424">
    <cfRule type="duplicateValues" dxfId="266" priority="339" stopIfTrue="1"/>
  </conditionalFormatting>
  <conditionalFormatting sqref="A1423:B1424">
    <cfRule type="duplicateValues" dxfId="265" priority="337" stopIfTrue="1"/>
    <cfRule type="duplicateValues" dxfId="264" priority="338" stopIfTrue="1"/>
  </conditionalFormatting>
  <conditionalFormatting sqref="A1423:B1424">
    <cfRule type="duplicateValues" dxfId="263" priority="336" stopIfTrue="1"/>
  </conditionalFormatting>
  <conditionalFormatting sqref="A1423:B1424">
    <cfRule type="duplicateValues" dxfId="262" priority="335" stopIfTrue="1"/>
  </conditionalFormatting>
  <conditionalFormatting sqref="A1423:B1424">
    <cfRule type="duplicateValues" dxfId="261" priority="334" stopIfTrue="1"/>
  </conditionalFormatting>
  <conditionalFormatting sqref="A1423:B1424">
    <cfRule type="duplicateValues" dxfId="260" priority="333" stopIfTrue="1"/>
  </conditionalFormatting>
  <conditionalFormatting sqref="A1423:B1424">
    <cfRule type="duplicateValues" dxfId="259" priority="332" stopIfTrue="1"/>
  </conditionalFormatting>
  <conditionalFormatting sqref="A1423:B1424">
    <cfRule type="duplicateValues" dxfId="258" priority="331"/>
  </conditionalFormatting>
  <conditionalFormatting sqref="A1423:B1424">
    <cfRule type="duplicateValues" dxfId="257" priority="330"/>
  </conditionalFormatting>
  <conditionalFormatting sqref="A1423:B1424">
    <cfRule type="duplicateValues" dxfId="256" priority="329"/>
  </conditionalFormatting>
  <conditionalFormatting sqref="A1423:B1424">
    <cfRule type="duplicateValues" dxfId="255" priority="328"/>
  </conditionalFormatting>
  <conditionalFormatting sqref="A1423:B1424">
    <cfRule type="duplicateValues" dxfId="254" priority="327"/>
  </conditionalFormatting>
  <conditionalFormatting sqref="A1423:B1424">
    <cfRule type="duplicateValues" dxfId="253" priority="326"/>
  </conditionalFormatting>
  <conditionalFormatting sqref="A1423:B1424">
    <cfRule type="duplicateValues" dxfId="252" priority="325"/>
  </conditionalFormatting>
  <conditionalFormatting sqref="A1423:B1424">
    <cfRule type="duplicateValues" dxfId="251" priority="324"/>
  </conditionalFormatting>
  <conditionalFormatting sqref="A1423:B1424">
    <cfRule type="duplicateValues" dxfId="250" priority="322"/>
    <cfRule type="duplicateValues" dxfId="249" priority="323"/>
  </conditionalFormatting>
  <conditionalFormatting sqref="A1423:B1424">
    <cfRule type="duplicateValues" dxfId="248" priority="321"/>
  </conditionalFormatting>
  <conditionalFormatting sqref="A1423:B1424">
    <cfRule type="duplicateValues" dxfId="247" priority="348"/>
  </conditionalFormatting>
  <conditionalFormatting sqref="A1423:B1424">
    <cfRule type="duplicateValues" dxfId="246" priority="320"/>
  </conditionalFormatting>
  <conditionalFormatting sqref="A1423:B1424">
    <cfRule type="duplicateValues" dxfId="245" priority="349"/>
  </conditionalFormatting>
  <conditionalFormatting sqref="A1423:B1424">
    <cfRule type="duplicateValues" dxfId="244" priority="319"/>
  </conditionalFormatting>
  <conditionalFormatting sqref="A1423:B1424">
    <cfRule type="duplicateValues" dxfId="243" priority="318"/>
  </conditionalFormatting>
  <conditionalFormatting sqref="D1423:F1424 I1423:K1424 AX1423:BC1424 M1423:AM1424 AO1423:AV1424">
    <cfRule type="duplicateValues" dxfId="242" priority="315" stopIfTrue="1"/>
  </conditionalFormatting>
  <conditionalFormatting sqref="D1423:F1424">
    <cfRule type="duplicateValues" dxfId="241" priority="314" stopIfTrue="1"/>
  </conditionalFormatting>
  <conditionalFormatting sqref="D1423:F1424">
    <cfRule type="duplicateValues" dxfId="240" priority="313" stopIfTrue="1"/>
  </conditionalFormatting>
  <conditionalFormatting sqref="D1423:F1424">
    <cfRule type="duplicateValues" dxfId="239" priority="312" stopIfTrue="1"/>
  </conditionalFormatting>
  <conditionalFormatting sqref="D1423:F1424">
    <cfRule type="duplicateValues" dxfId="238" priority="311" stopIfTrue="1"/>
  </conditionalFormatting>
  <conditionalFormatting sqref="D1423:F1424">
    <cfRule type="duplicateValues" dxfId="237" priority="310" stopIfTrue="1"/>
  </conditionalFormatting>
  <conditionalFormatting sqref="D1423:F1424">
    <cfRule type="duplicateValues" dxfId="236" priority="309" stopIfTrue="1"/>
  </conditionalFormatting>
  <conditionalFormatting sqref="D1423:F1424">
    <cfRule type="duplicateValues" dxfId="235" priority="308" stopIfTrue="1"/>
  </conditionalFormatting>
  <conditionalFormatting sqref="D1423:F1424">
    <cfRule type="duplicateValues" dxfId="234" priority="307" stopIfTrue="1"/>
  </conditionalFormatting>
  <conditionalFormatting sqref="D1423:F1424 I1423:K1424 AX1423:BC1424 M1423:AM1424 AO1423:AV1424">
    <cfRule type="duplicateValues" dxfId="233" priority="305" stopIfTrue="1"/>
    <cfRule type="duplicateValues" dxfId="232" priority="306" stopIfTrue="1"/>
  </conditionalFormatting>
  <conditionalFormatting sqref="D1423:F1424">
    <cfRule type="duplicateValues" dxfId="231" priority="304" stopIfTrue="1"/>
  </conditionalFormatting>
  <conditionalFormatting sqref="D1423:F1424">
    <cfRule type="duplicateValues" dxfId="230" priority="303" stopIfTrue="1"/>
  </conditionalFormatting>
  <conditionalFormatting sqref="D1423:F1424">
    <cfRule type="duplicateValues" dxfId="229" priority="302" stopIfTrue="1"/>
  </conditionalFormatting>
  <conditionalFormatting sqref="D1423:F1424">
    <cfRule type="duplicateValues" dxfId="228" priority="301" stopIfTrue="1"/>
  </conditionalFormatting>
  <conditionalFormatting sqref="D1423:F1424">
    <cfRule type="duplicateValues" dxfId="227" priority="300" stopIfTrue="1"/>
  </conditionalFormatting>
  <conditionalFormatting sqref="D1423:F1424 I1423:K1424 AX1423:BC1424 M1423:AM1424 AO1423:AV1424">
    <cfRule type="duplicateValues" dxfId="226" priority="299"/>
  </conditionalFormatting>
  <conditionalFormatting sqref="D1423:F1424">
    <cfRule type="duplicateValues" dxfId="225" priority="298"/>
  </conditionalFormatting>
  <conditionalFormatting sqref="D1423:F1424">
    <cfRule type="duplicateValues" dxfId="224" priority="297"/>
  </conditionalFormatting>
  <conditionalFormatting sqref="D1423:F1424">
    <cfRule type="duplicateValues" dxfId="223" priority="296"/>
  </conditionalFormatting>
  <conditionalFormatting sqref="D1423:F1424">
    <cfRule type="duplicateValues" dxfId="222" priority="295"/>
  </conditionalFormatting>
  <conditionalFormatting sqref="D1423:F1424">
    <cfRule type="duplicateValues" dxfId="221" priority="294"/>
  </conditionalFormatting>
  <conditionalFormatting sqref="D1423:F1424">
    <cfRule type="duplicateValues" dxfId="220" priority="293"/>
  </conditionalFormatting>
  <conditionalFormatting sqref="D1423:F1424">
    <cfRule type="duplicateValues" dxfId="219" priority="292"/>
  </conditionalFormatting>
  <conditionalFormatting sqref="D1423:F1424 I1423:K1424 AX1423:BC1424 M1423:AM1424 AO1423:AV1424">
    <cfRule type="duplicateValues" dxfId="218" priority="290"/>
    <cfRule type="duplicateValues" dxfId="217" priority="291"/>
  </conditionalFormatting>
  <conditionalFormatting sqref="D1423:F1424">
    <cfRule type="duplicateValues" dxfId="216" priority="289"/>
  </conditionalFormatting>
  <conditionalFormatting sqref="D1423:F1424">
    <cfRule type="duplicateValues" dxfId="215" priority="316"/>
  </conditionalFormatting>
  <conditionalFormatting sqref="D1423:F1424">
    <cfRule type="duplicateValues" dxfId="214" priority="288"/>
  </conditionalFormatting>
  <conditionalFormatting sqref="D1423:F1424">
    <cfRule type="duplicateValues" dxfId="213" priority="317"/>
  </conditionalFormatting>
  <conditionalFormatting sqref="D1423:F1424">
    <cfRule type="duplicateValues" dxfId="212" priority="287"/>
  </conditionalFormatting>
  <conditionalFormatting sqref="D1423:F1424">
    <cfRule type="duplicateValues" dxfId="211" priority="286"/>
  </conditionalFormatting>
  <conditionalFormatting sqref="AW1423">
    <cfRule type="duplicateValues" dxfId="210" priority="283" stopIfTrue="1"/>
  </conditionalFormatting>
  <conditionalFormatting sqref="AW1423">
    <cfRule type="duplicateValues" dxfId="209" priority="282" stopIfTrue="1"/>
  </conditionalFormatting>
  <conditionalFormatting sqref="AW1423">
    <cfRule type="duplicateValues" dxfId="208" priority="281" stopIfTrue="1"/>
  </conditionalFormatting>
  <conditionalFormatting sqref="AW1423">
    <cfRule type="duplicateValues" dxfId="207" priority="280" stopIfTrue="1"/>
  </conditionalFormatting>
  <conditionalFormatting sqref="AW1423">
    <cfRule type="duplicateValues" dxfId="206" priority="279" stopIfTrue="1"/>
  </conditionalFormatting>
  <conditionalFormatting sqref="AW1423">
    <cfRule type="duplicateValues" dxfId="205" priority="278" stopIfTrue="1"/>
  </conditionalFormatting>
  <conditionalFormatting sqref="AW1423">
    <cfRule type="duplicateValues" dxfId="204" priority="277" stopIfTrue="1"/>
  </conditionalFormatting>
  <conditionalFormatting sqref="AW1423">
    <cfRule type="duplicateValues" dxfId="203" priority="276" stopIfTrue="1"/>
  </conditionalFormatting>
  <conditionalFormatting sqref="AW1423">
    <cfRule type="duplicateValues" dxfId="202" priority="275" stopIfTrue="1"/>
  </conditionalFormatting>
  <conditionalFormatting sqref="AW1423">
    <cfRule type="duplicateValues" dxfId="201" priority="273" stopIfTrue="1"/>
    <cfRule type="duplicateValues" dxfId="200" priority="274" stopIfTrue="1"/>
  </conditionalFormatting>
  <conditionalFormatting sqref="AW1423">
    <cfRule type="duplicateValues" dxfId="199" priority="272" stopIfTrue="1"/>
  </conditionalFormatting>
  <conditionalFormatting sqref="AW1423">
    <cfRule type="duplicateValues" dxfId="198" priority="271" stopIfTrue="1"/>
  </conditionalFormatting>
  <conditionalFormatting sqref="AW1423">
    <cfRule type="duplicateValues" dxfId="197" priority="270" stopIfTrue="1"/>
  </conditionalFormatting>
  <conditionalFormatting sqref="AW1423">
    <cfRule type="duplicateValues" dxfId="196" priority="269" stopIfTrue="1"/>
  </conditionalFormatting>
  <conditionalFormatting sqref="AW1423">
    <cfRule type="duplicateValues" dxfId="195" priority="268" stopIfTrue="1"/>
  </conditionalFormatting>
  <conditionalFormatting sqref="AW1423">
    <cfRule type="duplicateValues" dxfId="194" priority="267"/>
  </conditionalFormatting>
  <conditionalFormatting sqref="AW1423">
    <cfRule type="duplicateValues" dxfId="193" priority="266"/>
  </conditionalFormatting>
  <conditionalFormatting sqref="AW1423">
    <cfRule type="duplicateValues" dxfId="192" priority="265"/>
  </conditionalFormatting>
  <conditionalFormatting sqref="AW1423">
    <cfRule type="duplicateValues" dxfId="191" priority="264"/>
  </conditionalFormatting>
  <conditionalFormatting sqref="AW1423">
    <cfRule type="duplicateValues" dxfId="190" priority="263"/>
  </conditionalFormatting>
  <conditionalFormatting sqref="AW1423">
    <cfRule type="duplicateValues" dxfId="189" priority="262"/>
  </conditionalFormatting>
  <conditionalFormatting sqref="AW1423">
    <cfRule type="duplicateValues" dxfId="188" priority="261"/>
  </conditionalFormatting>
  <conditionalFormatting sqref="AW1423">
    <cfRule type="duplicateValues" dxfId="187" priority="260"/>
  </conditionalFormatting>
  <conditionalFormatting sqref="AW1423">
    <cfRule type="duplicateValues" dxfId="186" priority="258"/>
    <cfRule type="duplicateValues" dxfId="185" priority="259"/>
  </conditionalFormatting>
  <conditionalFormatting sqref="AW1423">
    <cfRule type="duplicateValues" dxfId="184" priority="257"/>
  </conditionalFormatting>
  <conditionalFormatting sqref="AW1423">
    <cfRule type="duplicateValues" dxfId="183" priority="284"/>
  </conditionalFormatting>
  <conditionalFormatting sqref="AW1423">
    <cfRule type="duplicateValues" dxfId="182" priority="256"/>
  </conditionalFormatting>
  <conditionalFormatting sqref="AW1423">
    <cfRule type="duplicateValues" dxfId="181" priority="285"/>
  </conditionalFormatting>
  <conditionalFormatting sqref="AW1423">
    <cfRule type="duplicateValues" dxfId="180" priority="255"/>
  </conditionalFormatting>
  <conditionalFormatting sqref="AW1423">
    <cfRule type="duplicateValues" dxfId="179" priority="254"/>
  </conditionalFormatting>
  <conditionalFormatting sqref="AW1424">
    <cfRule type="duplicateValues" dxfId="178" priority="251" stopIfTrue="1"/>
  </conditionalFormatting>
  <conditionalFormatting sqref="AW1424">
    <cfRule type="duplicateValues" dxfId="177" priority="250" stopIfTrue="1"/>
  </conditionalFormatting>
  <conditionalFormatting sqref="AW1424">
    <cfRule type="duplicateValues" dxfId="176" priority="249" stopIfTrue="1"/>
  </conditionalFormatting>
  <conditionalFormatting sqref="AW1424">
    <cfRule type="duplicateValues" dxfId="175" priority="248" stopIfTrue="1"/>
  </conditionalFormatting>
  <conditionalFormatting sqref="AW1424">
    <cfRule type="duplicateValues" dxfId="174" priority="247" stopIfTrue="1"/>
  </conditionalFormatting>
  <conditionalFormatting sqref="AW1424">
    <cfRule type="duplicateValues" dxfId="173" priority="246" stopIfTrue="1"/>
  </conditionalFormatting>
  <conditionalFormatting sqref="AW1424">
    <cfRule type="duplicateValues" dxfId="172" priority="245" stopIfTrue="1"/>
  </conditionalFormatting>
  <conditionalFormatting sqref="AW1424">
    <cfRule type="duplicateValues" dxfId="171" priority="244" stopIfTrue="1"/>
  </conditionalFormatting>
  <conditionalFormatting sqref="AW1424">
    <cfRule type="duplicateValues" dxfId="170" priority="243" stopIfTrue="1"/>
  </conditionalFormatting>
  <conditionalFormatting sqref="AW1424">
    <cfRule type="duplicateValues" dxfId="169" priority="241" stopIfTrue="1"/>
    <cfRule type="duplicateValues" dxfId="168" priority="242" stopIfTrue="1"/>
  </conditionalFormatting>
  <conditionalFormatting sqref="AW1424">
    <cfRule type="duplicateValues" dxfId="167" priority="240" stopIfTrue="1"/>
  </conditionalFormatting>
  <conditionalFormatting sqref="AW1424">
    <cfRule type="duplicateValues" dxfId="166" priority="239" stopIfTrue="1"/>
  </conditionalFormatting>
  <conditionalFormatting sqref="AW1424">
    <cfRule type="duplicateValues" dxfId="165" priority="238" stopIfTrue="1"/>
  </conditionalFormatting>
  <conditionalFormatting sqref="AW1424">
    <cfRule type="duplicateValues" dxfId="164" priority="237" stopIfTrue="1"/>
  </conditionalFormatting>
  <conditionalFormatting sqref="AW1424">
    <cfRule type="duplicateValues" dxfId="163" priority="236" stopIfTrue="1"/>
  </conditionalFormatting>
  <conditionalFormatting sqref="AW1424">
    <cfRule type="duplicateValues" dxfId="162" priority="235"/>
  </conditionalFormatting>
  <conditionalFormatting sqref="AW1424">
    <cfRule type="duplicateValues" dxfId="161" priority="234"/>
  </conditionalFormatting>
  <conditionalFormatting sqref="AW1424">
    <cfRule type="duplicateValues" dxfId="160" priority="233"/>
  </conditionalFormatting>
  <conditionalFormatting sqref="AW1424">
    <cfRule type="duplicateValues" dxfId="159" priority="232"/>
  </conditionalFormatting>
  <conditionalFormatting sqref="AW1424">
    <cfRule type="duplicateValues" dxfId="158" priority="231"/>
  </conditionalFormatting>
  <conditionalFormatting sqref="AW1424">
    <cfRule type="duplicateValues" dxfId="157" priority="230"/>
  </conditionalFormatting>
  <conditionalFormatting sqref="AW1424">
    <cfRule type="duplicateValues" dxfId="156" priority="229"/>
  </conditionalFormatting>
  <conditionalFormatting sqref="AW1424">
    <cfRule type="duplicateValues" dxfId="155" priority="228"/>
  </conditionalFormatting>
  <conditionalFormatting sqref="AW1424">
    <cfRule type="duplicateValues" dxfId="154" priority="226"/>
    <cfRule type="duplicateValues" dxfId="153" priority="227"/>
  </conditionalFormatting>
  <conditionalFormatting sqref="AW1424">
    <cfRule type="duplicateValues" dxfId="152" priority="225"/>
  </conditionalFormatting>
  <conditionalFormatting sqref="AW1424">
    <cfRule type="duplicateValues" dxfId="151" priority="252"/>
  </conditionalFormatting>
  <conditionalFormatting sqref="AW1424">
    <cfRule type="duplicateValues" dxfId="150" priority="224"/>
  </conditionalFormatting>
  <conditionalFormatting sqref="AW1424">
    <cfRule type="duplicateValues" dxfId="149" priority="253"/>
  </conditionalFormatting>
  <conditionalFormatting sqref="AW1424">
    <cfRule type="duplicateValues" dxfId="148" priority="223"/>
  </conditionalFormatting>
  <conditionalFormatting sqref="AW1424">
    <cfRule type="duplicateValues" dxfId="147" priority="222"/>
  </conditionalFormatting>
  <conditionalFormatting sqref="B1795:C1795">
    <cfRule type="duplicateValues" dxfId="146" priority="211" stopIfTrue="1"/>
  </conditionalFormatting>
  <conditionalFormatting sqref="B1795:C1795">
    <cfRule type="duplicateValues" dxfId="145" priority="210" stopIfTrue="1"/>
  </conditionalFormatting>
  <conditionalFormatting sqref="B1795:C1795">
    <cfRule type="duplicateValues" dxfId="144" priority="208" stopIfTrue="1"/>
    <cfRule type="duplicateValues" dxfId="143" priority="209" stopIfTrue="1"/>
  </conditionalFormatting>
  <conditionalFormatting sqref="B1795:C1795">
    <cfRule type="duplicateValues" dxfId="142" priority="207"/>
  </conditionalFormatting>
  <conditionalFormatting sqref="AM1425">
    <cfRule type="duplicateValues" dxfId="141" priority="206" stopIfTrue="1"/>
  </conditionalFormatting>
  <conditionalFormatting sqref="AM1425">
    <cfRule type="duplicateValues" dxfId="140" priority="204" stopIfTrue="1"/>
    <cfRule type="duplicateValues" dxfId="139" priority="205" stopIfTrue="1"/>
  </conditionalFormatting>
  <conditionalFormatting sqref="AM1425">
    <cfRule type="duplicateValues" dxfId="138" priority="203"/>
  </conditionalFormatting>
  <conditionalFormatting sqref="AM1425">
    <cfRule type="duplicateValues" dxfId="137" priority="201"/>
    <cfRule type="duplicateValues" dxfId="136" priority="202"/>
  </conditionalFormatting>
  <conditionalFormatting sqref="AM1426">
    <cfRule type="duplicateValues" dxfId="135" priority="200" stopIfTrue="1"/>
  </conditionalFormatting>
  <conditionalFormatting sqref="AM1426">
    <cfRule type="duplicateValues" dxfId="134" priority="198" stopIfTrue="1"/>
    <cfRule type="duplicateValues" dxfId="133" priority="199" stopIfTrue="1"/>
  </conditionalFormatting>
  <conditionalFormatting sqref="AM1426">
    <cfRule type="duplicateValues" dxfId="132" priority="197"/>
  </conditionalFormatting>
  <conditionalFormatting sqref="AM1426">
    <cfRule type="duplicateValues" dxfId="131" priority="195"/>
    <cfRule type="duplicateValues" dxfId="130" priority="196"/>
  </conditionalFormatting>
  <conditionalFormatting sqref="AM1409">
    <cfRule type="duplicateValues" dxfId="129" priority="194" stopIfTrue="1"/>
  </conditionalFormatting>
  <conditionalFormatting sqref="AM1409:AM1410">
    <cfRule type="duplicateValues" dxfId="128" priority="193" stopIfTrue="1"/>
  </conditionalFormatting>
  <conditionalFormatting sqref="AM1409">
    <cfRule type="duplicateValues" dxfId="127" priority="191" stopIfTrue="1"/>
    <cfRule type="duplicateValues" dxfId="126" priority="192" stopIfTrue="1"/>
  </conditionalFormatting>
  <conditionalFormatting sqref="AM1409">
    <cfRule type="duplicateValues" dxfId="125" priority="190"/>
  </conditionalFormatting>
  <conditionalFormatting sqref="AM1409">
    <cfRule type="duplicateValues" dxfId="124" priority="188"/>
    <cfRule type="duplicateValues" dxfId="123" priority="189"/>
  </conditionalFormatting>
  <conditionalFormatting sqref="AM1409">
    <cfRule type="duplicateValues" dxfId="122" priority="187"/>
  </conditionalFormatting>
  <conditionalFormatting sqref="AM1410:AM1414">
    <cfRule type="duplicateValues" dxfId="121" priority="186" stopIfTrue="1"/>
  </conditionalFormatting>
  <conditionalFormatting sqref="AM1410:AM1414">
    <cfRule type="duplicateValues" dxfId="120" priority="185" stopIfTrue="1"/>
  </conditionalFormatting>
  <conditionalFormatting sqref="AM1410:AM1414">
    <cfRule type="duplicateValues" dxfId="119" priority="183" stopIfTrue="1"/>
    <cfRule type="duplicateValues" dxfId="118" priority="184" stopIfTrue="1"/>
  </conditionalFormatting>
  <conditionalFormatting sqref="AM1410:AM1414">
    <cfRule type="duplicateValues" dxfId="117" priority="182"/>
  </conditionalFormatting>
  <conditionalFormatting sqref="AM1410:AM1414">
    <cfRule type="duplicateValues" dxfId="116" priority="180"/>
    <cfRule type="duplicateValues" dxfId="115" priority="181"/>
  </conditionalFormatting>
  <conditionalFormatting sqref="AM1410:AM1414">
    <cfRule type="duplicateValues" dxfId="114" priority="179"/>
  </conditionalFormatting>
  <conditionalFormatting sqref="C1581">
    <cfRule type="duplicateValues" dxfId="113" priority="114" stopIfTrue="1"/>
  </conditionalFormatting>
  <conditionalFormatting sqref="C1582">
    <cfRule type="duplicateValues" dxfId="112" priority="113" stopIfTrue="1"/>
  </conditionalFormatting>
  <conditionalFormatting sqref="AN1417">
    <cfRule type="duplicateValues" dxfId="111" priority="112" stopIfTrue="1"/>
  </conditionalFormatting>
  <conditionalFormatting sqref="AN1417">
    <cfRule type="duplicateValues" dxfId="110" priority="111" stopIfTrue="1"/>
  </conditionalFormatting>
  <conditionalFormatting sqref="AN1417">
    <cfRule type="duplicateValues" dxfId="109" priority="109" stopIfTrue="1"/>
    <cfRule type="duplicateValues" dxfId="108" priority="110" stopIfTrue="1"/>
  </conditionalFormatting>
  <conditionalFormatting sqref="AN1417">
    <cfRule type="duplicateValues" dxfId="107" priority="108"/>
  </conditionalFormatting>
  <conditionalFormatting sqref="AN1417">
    <cfRule type="duplicateValues" dxfId="106" priority="106"/>
    <cfRule type="duplicateValues" dxfId="105" priority="107"/>
  </conditionalFormatting>
  <conditionalFormatting sqref="AN1417">
    <cfRule type="duplicateValues" dxfId="104" priority="105"/>
  </conditionalFormatting>
  <conditionalFormatting sqref="AN1418">
    <cfRule type="duplicateValues" dxfId="103" priority="104" stopIfTrue="1"/>
  </conditionalFormatting>
  <conditionalFormatting sqref="AN1418">
    <cfRule type="duplicateValues" dxfId="102" priority="103" stopIfTrue="1"/>
  </conditionalFormatting>
  <conditionalFormatting sqref="AN1418">
    <cfRule type="duplicateValues" dxfId="101" priority="101" stopIfTrue="1"/>
    <cfRule type="duplicateValues" dxfId="100" priority="102" stopIfTrue="1"/>
  </conditionalFormatting>
  <conditionalFormatting sqref="AN1418">
    <cfRule type="duplicateValues" dxfId="99" priority="100"/>
  </conditionalFormatting>
  <conditionalFormatting sqref="AN1418">
    <cfRule type="duplicateValues" dxfId="98" priority="98"/>
    <cfRule type="duplicateValues" dxfId="97" priority="99"/>
  </conditionalFormatting>
  <conditionalFormatting sqref="AN1418">
    <cfRule type="duplicateValues" dxfId="96" priority="97"/>
  </conditionalFormatting>
  <conditionalFormatting sqref="AN1419">
    <cfRule type="duplicateValues" dxfId="95" priority="96" stopIfTrue="1"/>
  </conditionalFormatting>
  <conditionalFormatting sqref="AN1419">
    <cfRule type="duplicateValues" dxfId="94" priority="95" stopIfTrue="1"/>
  </conditionalFormatting>
  <conditionalFormatting sqref="AN1419">
    <cfRule type="duplicateValues" dxfId="93" priority="93" stopIfTrue="1"/>
    <cfRule type="duplicateValues" dxfId="92" priority="94" stopIfTrue="1"/>
  </conditionalFormatting>
  <conditionalFormatting sqref="AN1419">
    <cfRule type="duplicateValues" dxfId="91" priority="92"/>
  </conditionalFormatting>
  <conditionalFormatting sqref="AN1419">
    <cfRule type="duplicateValues" dxfId="90" priority="90"/>
    <cfRule type="duplicateValues" dxfId="89" priority="91"/>
  </conditionalFormatting>
  <conditionalFormatting sqref="AN1419">
    <cfRule type="duplicateValues" dxfId="88" priority="89"/>
  </conditionalFormatting>
  <conditionalFormatting sqref="AN1420">
    <cfRule type="duplicateValues" dxfId="87" priority="88" stopIfTrue="1"/>
  </conditionalFormatting>
  <conditionalFormatting sqref="AN1420">
    <cfRule type="duplicateValues" dxfId="86" priority="87" stopIfTrue="1"/>
  </conditionalFormatting>
  <conditionalFormatting sqref="AN1420">
    <cfRule type="duplicateValues" dxfId="85" priority="85" stopIfTrue="1"/>
    <cfRule type="duplicateValues" dxfId="84" priority="86" stopIfTrue="1"/>
  </conditionalFormatting>
  <conditionalFormatting sqref="AN1420">
    <cfRule type="duplicateValues" dxfId="83" priority="84"/>
  </conditionalFormatting>
  <conditionalFormatting sqref="AN1420">
    <cfRule type="duplicateValues" dxfId="82" priority="82"/>
    <cfRule type="duplicateValues" dxfId="81" priority="83"/>
  </conditionalFormatting>
  <conditionalFormatting sqref="AN1420">
    <cfRule type="duplicateValues" dxfId="80" priority="81"/>
  </conditionalFormatting>
  <conditionalFormatting sqref="AN1421">
    <cfRule type="duplicateValues" dxfId="79" priority="80" stopIfTrue="1"/>
  </conditionalFormatting>
  <conditionalFormatting sqref="AN1421">
    <cfRule type="duplicateValues" dxfId="78" priority="79" stopIfTrue="1"/>
  </conditionalFormatting>
  <conditionalFormatting sqref="AN1421">
    <cfRule type="duplicateValues" dxfId="77" priority="77" stopIfTrue="1"/>
    <cfRule type="duplicateValues" dxfId="76" priority="78" stopIfTrue="1"/>
  </conditionalFormatting>
  <conditionalFormatting sqref="AN1421">
    <cfRule type="duplicateValues" dxfId="75" priority="76"/>
  </conditionalFormatting>
  <conditionalFormatting sqref="AN1421">
    <cfRule type="duplicateValues" dxfId="74" priority="74"/>
    <cfRule type="duplicateValues" dxfId="73" priority="75"/>
  </conditionalFormatting>
  <conditionalFormatting sqref="AN1421">
    <cfRule type="duplicateValues" dxfId="72" priority="73"/>
  </conditionalFormatting>
  <conditionalFormatting sqref="AN1422">
    <cfRule type="duplicateValues" dxfId="71" priority="72" stopIfTrue="1"/>
  </conditionalFormatting>
  <conditionalFormatting sqref="AN1422">
    <cfRule type="duplicateValues" dxfId="70" priority="71" stopIfTrue="1"/>
  </conditionalFormatting>
  <conditionalFormatting sqref="AN1422">
    <cfRule type="duplicateValues" dxfId="69" priority="69" stopIfTrue="1"/>
    <cfRule type="duplicateValues" dxfId="68" priority="70" stopIfTrue="1"/>
  </conditionalFormatting>
  <conditionalFormatting sqref="AN1422">
    <cfRule type="duplicateValues" dxfId="67" priority="68"/>
  </conditionalFormatting>
  <conditionalFormatting sqref="AN1422">
    <cfRule type="duplicateValues" dxfId="66" priority="66"/>
    <cfRule type="duplicateValues" dxfId="65" priority="67"/>
  </conditionalFormatting>
  <conditionalFormatting sqref="AN1422">
    <cfRule type="duplicateValues" dxfId="64" priority="65"/>
  </conditionalFormatting>
  <conditionalFormatting sqref="AN1423">
    <cfRule type="duplicateValues" dxfId="63" priority="64" stopIfTrue="1"/>
  </conditionalFormatting>
  <conditionalFormatting sqref="AN1423">
    <cfRule type="duplicateValues" dxfId="62" priority="63" stopIfTrue="1"/>
  </conditionalFormatting>
  <conditionalFormatting sqref="AN1423">
    <cfRule type="duplicateValues" dxfId="61" priority="61" stopIfTrue="1"/>
    <cfRule type="duplicateValues" dxfId="60" priority="62" stopIfTrue="1"/>
  </conditionalFormatting>
  <conditionalFormatting sqref="AN1423">
    <cfRule type="duplicateValues" dxfId="59" priority="60"/>
  </conditionalFormatting>
  <conditionalFormatting sqref="AN1423">
    <cfRule type="duplicateValues" dxfId="58" priority="58"/>
    <cfRule type="duplicateValues" dxfId="57" priority="59"/>
  </conditionalFormatting>
  <conditionalFormatting sqref="AN1423">
    <cfRule type="duplicateValues" dxfId="56" priority="57"/>
  </conditionalFormatting>
  <conditionalFormatting sqref="AN1424">
    <cfRule type="duplicateValues" dxfId="55" priority="56" stopIfTrue="1"/>
  </conditionalFormatting>
  <conditionalFormatting sqref="AN1424">
    <cfRule type="duplicateValues" dxfId="54" priority="55" stopIfTrue="1"/>
  </conditionalFormatting>
  <conditionalFormatting sqref="AN1424">
    <cfRule type="duplicateValues" dxfId="53" priority="53" stopIfTrue="1"/>
    <cfRule type="duplicateValues" dxfId="52" priority="54" stopIfTrue="1"/>
  </conditionalFormatting>
  <conditionalFormatting sqref="AN1424">
    <cfRule type="duplicateValues" dxfId="51" priority="52"/>
  </conditionalFormatting>
  <conditionalFormatting sqref="AN1424">
    <cfRule type="duplicateValues" dxfId="50" priority="50"/>
    <cfRule type="duplicateValues" dxfId="49" priority="51"/>
  </conditionalFormatting>
  <conditionalFormatting sqref="AN1424">
    <cfRule type="duplicateValues" dxfId="48" priority="49"/>
  </conditionalFormatting>
  <conditionalFormatting sqref="A1898">
    <cfRule type="duplicateValues" dxfId="47" priority="46" stopIfTrue="1"/>
  </conditionalFormatting>
  <conditionalFormatting sqref="A1898">
    <cfRule type="duplicateValues" dxfId="46" priority="45" stopIfTrue="1"/>
  </conditionalFormatting>
  <conditionalFormatting sqref="A1898">
    <cfRule type="duplicateValues" dxfId="45" priority="44" stopIfTrue="1"/>
  </conditionalFormatting>
  <conditionalFormatting sqref="A1898">
    <cfRule type="duplicateValues" dxfId="44" priority="43" stopIfTrue="1"/>
  </conditionalFormatting>
  <conditionalFormatting sqref="A1898">
    <cfRule type="duplicateValues" dxfId="43" priority="42" stopIfTrue="1"/>
  </conditionalFormatting>
  <conditionalFormatting sqref="A1898">
    <cfRule type="duplicateValues" dxfId="42" priority="41" stopIfTrue="1"/>
  </conditionalFormatting>
  <conditionalFormatting sqref="A1898">
    <cfRule type="duplicateValues" dxfId="41" priority="40" stopIfTrue="1"/>
  </conditionalFormatting>
  <conditionalFormatting sqref="A1898">
    <cfRule type="duplicateValues" dxfId="40" priority="39" stopIfTrue="1"/>
  </conditionalFormatting>
  <conditionalFormatting sqref="A1898">
    <cfRule type="duplicateValues" dxfId="39" priority="38" stopIfTrue="1"/>
  </conditionalFormatting>
  <conditionalFormatting sqref="A1898">
    <cfRule type="duplicateValues" dxfId="38" priority="37" stopIfTrue="1"/>
  </conditionalFormatting>
  <conditionalFormatting sqref="A1898">
    <cfRule type="duplicateValues" dxfId="37" priority="36" stopIfTrue="1"/>
  </conditionalFormatting>
  <conditionalFormatting sqref="A1898">
    <cfRule type="duplicateValues" dxfId="36" priority="35" stopIfTrue="1"/>
  </conditionalFormatting>
  <conditionalFormatting sqref="A1898">
    <cfRule type="duplicateValues" dxfId="35" priority="34" stopIfTrue="1"/>
  </conditionalFormatting>
  <conditionalFormatting sqref="A1898">
    <cfRule type="duplicateValues" dxfId="34" priority="33" stopIfTrue="1"/>
  </conditionalFormatting>
  <conditionalFormatting sqref="A1898">
    <cfRule type="duplicateValues" dxfId="33" priority="47" stopIfTrue="1"/>
  </conditionalFormatting>
  <conditionalFormatting sqref="A1898">
    <cfRule type="duplicateValues" dxfId="32" priority="32" stopIfTrue="1"/>
  </conditionalFormatting>
  <conditionalFormatting sqref="C1898">
    <cfRule type="duplicateValues" dxfId="31" priority="31" stopIfTrue="1"/>
  </conditionalFormatting>
  <conditionalFormatting sqref="A1898">
    <cfRule type="duplicateValues" dxfId="30" priority="30" stopIfTrue="1"/>
  </conditionalFormatting>
  <conditionalFormatting sqref="A1898">
    <cfRule type="duplicateValues" dxfId="29" priority="29" stopIfTrue="1"/>
  </conditionalFormatting>
  <conditionalFormatting sqref="A1898">
    <cfRule type="duplicateValues" dxfId="28" priority="28" stopIfTrue="1"/>
  </conditionalFormatting>
  <conditionalFormatting sqref="A1898">
    <cfRule type="duplicateValues" dxfId="27" priority="27" stopIfTrue="1"/>
  </conditionalFormatting>
  <conditionalFormatting sqref="A1898">
    <cfRule type="duplicateValues" dxfId="26" priority="26" stopIfTrue="1"/>
  </conditionalFormatting>
  <conditionalFormatting sqref="A1898">
    <cfRule type="duplicateValues" dxfId="25" priority="25" stopIfTrue="1"/>
  </conditionalFormatting>
  <conditionalFormatting sqref="A1898">
    <cfRule type="duplicateValues" dxfId="24" priority="24" stopIfTrue="1"/>
  </conditionalFormatting>
  <conditionalFormatting sqref="A1898">
    <cfRule type="duplicateValues" dxfId="23" priority="23" stopIfTrue="1"/>
  </conditionalFormatting>
  <conditionalFormatting sqref="A1898">
    <cfRule type="duplicateValues" dxfId="22" priority="21" stopIfTrue="1"/>
    <cfRule type="duplicateValues" dxfId="21" priority="22" stopIfTrue="1"/>
  </conditionalFormatting>
  <conditionalFormatting sqref="A1898">
    <cfRule type="duplicateValues" dxfId="20" priority="20" stopIfTrue="1"/>
  </conditionalFormatting>
  <conditionalFormatting sqref="A1898">
    <cfRule type="duplicateValues" dxfId="19" priority="19" stopIfTrue="1"/>
  </conditionalFormatting>
  <conditionalFormatting sqref="A1898">
    <cfRule type="duplicateValues" dxfId="18" priority="18" stopIfTrue="1"/>
  </conditionalFormatting>
  <conditionalFormatting sqref="A1898">
    <cfRule type="duplicateValues" dxfId="17" priority="17" stopIfTrue="1"/>
  </conditionalFormatting>
  <conditionalFormatting sqref="A1898">
    <cfRule type="duplicateValues" dxfId="16" priority="16" stopIfTrue="1"/>
  </conditionalFormatting>
  <conditionalFormatting sqref="A1898">
    <cfRule type="duplicateValues" dxfId="15" priority="15"/>
  </conditionalFormatting>
  <conditionalFormatting sqref="A1898">
    <cfRule type="duplicateValues" dxfId="14" priority="14"/>
  </conditionalFormatting>
  <conditionalFormatting sqref="A1898">
    <cfRule type="duplicateValues" dxfId="13" priority="13"/>
  </conditionalFormatting>
  <conditionalFormatting sqref="A1898">
    <cfRule type="duplicateValues" dxfId="12" priority="12"/>
  </conditionalFormatting>
  <conditionalFormatting sqref="A1898">
    <cfRule type="duplicateValues" dxfId="11" priority="11"/>
  </conditionalFormatting>
  <conditionalFormatting sqref="A1898">
    <cfRule type="duplicateValues" dxfId="10" priority="10"/>
  </conditionalFormatting>
  <conditionalFormatting sqref="A1898">
    <cfRule type="duplicateValues" dxfId="9" priority="9"/>
  </conditionalFormatting>
  <conditionalFormatting sqref="A1898">
    <cfRule type="duplicateValues" dxfId="8" priority="8"/>
  </conditionalFormatting>
  <conditionalFormatting sqref="A1898">
    <cfRule type="duplicateValues" dxfId="7" priority="7"/>
  </conditionalFormatting>
  <conditionalFormatting sqref="A1898">
    <cfRule type="duplicateValues" dxfId="6" priority="5"/>
    <cfRule type="duplicateValues" dxfId="5" priority="6"/>
  </conditionalFormatting>
  <conditionalFormatting sqref="A1898">
    <cfRule type="duplicateValues" dxfId="4" priority="4"/>
  </conditionalFormatting>
  <conditionalFormatting sqref="A1898">
    <cfRule type="duplicateValues" dxfId="3" priority="3"/>
  </conditionalFormatting>
  <conditionalFormatting sqref="A1898">
    <cfRule type="duplicateValues" dxfId="2" priority="48"/>
  </conditionalFormatting>
  <conditionalFormatting sqref="A1898">
    <cfRule type="duplicateValues" dxfId="1" priority="2"/>
  </conditionalFormatting>
  <conditionalFormatting sqref="A1898">
    <cfRule type="duplicateValues" dxfId="0" priority="1"/>
  </conditionalFormatting>
  <dataValidations count="1">
    <dataValidation type="whole" operator="lessThan" allowBlank="1" showInputMessage="1" showErrorMessage="1" sqref="N378:N383 R1546 R1548:R1550 R1577 R1580:R1582 R1590:R1783 L848:L901 N848:N901 M98 M63 M72 M94 M65:M66 M74 M68 N123 L124 O104 O134:O151 M140 L252:L265 N251:N264 L35:L53 N33:N52 O153:O161 Q13:Q14 M54:M58 M159 N1316:N1336 N1235:N1237 N1299:N1307 N1409:N1410 Q1338:Q1339 N1219:N1230 L172:L177 O53:O66 O69:O71 M77:M78 O73:O88 M81 L69:L70 N68:N69 O94:O95 O106:O132 M107:M108 M112:N113 M133 M142:M143 N169:N174 M145 M161:M162 L164 N163 L106:L114 N105:N111 O97:O102 M102:M103 N209 Q208 Q211 N233:N234 L234 L237:L248 N236:N247 N249 L250 L268 L270:L293 V345 N267:N356 S297 S299 S301 S303 S305 S309 S311 S313 S317 S319 S321 S323 S327 S329 S331 S333 S337 S339 S341 S343 S347 S349 S351 S353 Q307 Q315 Q325 Q335 Q345 Q355 U297:V297 U299:V299 U301:V301 U305:V305 U311:V311 U313:V313 U317:V317 U315:V315 U303:V303 U323:V323 U319:V319 U329:V329 U331:V331 U333:V333 U321:V321 U339:V339 U341:V341 U343:V343 U327:V327 U349:V349 U351:V351 U353:V353 U337:V337 U307:V307 U309:V309 U347:V347 V355 V325 V335 L295:L356 S1421:S1426 Q1416:Q1420 S1341:S1360">
      <formula1>65535</formula1>
    </dataValidation>
  </dataValidations>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4"/>
  <sheetViews>
    <sheetView workbookViewId="0">
      <selection activeCell="B8" sqref="B8"/>
    </sheetView>
  </sheetViews>
  <sheetFormatPr defaultRowHeight="14.25" x14ac:dyDescent="0.15"/>
  <cols>
    <col min="1" max="1" width="13.875" style="1" bestFit="1" customWidth="1"/>
    <col min="2" max="2" width="91.25" style="1" bestFit="1" customWidth="1"/>
    <col min="3" max="3" width="38.875" style="1" customWidth="1"/>
    <col min="4" max="4" width="12.5" style="1" customWidth="1"/>
    <col min="5" max="16384" width="9" style="1"/>
  </cols>
  <sheetData>
    <row r="1" spans="1:3" x14ac:dyDescent="0.15">
      <c r="A1" s="3" t="s">
        <v>300</v>
      </c>
      <c r="B1" s="1" t="s">
        <v>299</v>
      </c>
    </row>
    <row r="2" spans="1:3" x14ac:dyDescent="0.15">
      <c r="B2" s="1" t="s">
        <v>298</v>
      </c>
      <c r="C2" s="2"/>
    </row>
    <row r="3" spans="1:3" x14ac:dyDescent="0.15">
      <c r="B3" s="1" t="s">
        <v>315</v>
      </c>
    </row>
    <row r="4" spans="1:3" x14ac:dyDescent="0.15">
      <c r="B4" s="1" t="s">
        <v>316</v>
      </c>
    </row>
    <row r="5" spans="1:3" ht="114" x14ac:dyDescent="0.15">
      <c r="A5" s="1" t="s">
        <v>297</v>
      </c>
      <c r="B5" s="5" t="s">
        <v>3592</v>
      </c>
    </row>
    <row r="6" spans="1:3" x14ac:dyDescent="0.15">
      <c r="A6" s="1" t="s">
        <v>583</v>
      </c>
      <c r="B6" s="1" t="s">
        <v>584</v>
      </c>
    </row>
    <row r="7" spans="1:3" ht="85.5" x14ac:dyDescent="0.15">
      <c r="A7" s="1" t="s">
        <v>585</v>
      </c>
      <c r="B7" s="2" t="s">
        <v>7779</v>
      </c>
    </row>
    <row r="8" spans="1:3" x14ac:dyDescent="0.15">
      <c r="A8" s="1" t="s">
        <v>586</v>
      </c>
      <c r="B8" s="1" t="s">
        <v>587</v>
      </c>
    </row>
    <row r="9" spans="1:3" x14ac:dyDescent="0.15">
      <c r="A9" s="1" t="s">
        <v>588</v>
      </c>
      <c r="B9" s="1">
        <v>1</v>
      </c>
    </row>
    <row r="10" spans="1:3" x14ac:dyDescent="0.15">
      <c r="A10" s="1" t="s">
        <v>2990</v>
      </c>
      <c r="B10" s="1" t="s">
        <v>2992</v>
      </c>
    </row>
    <row r="11" spans="1:3" x14ac:dyDescent="0.15">
      <c r="A11" s="1" t="s">
        <v>2991</v>
      </c>
      <c r="B11" s="2" t="s">
        <v>2993</v>
      </c>
    </row>
    <row r="12" spans="1:3" x14ac:dyDescent="0.15">
      <c r="A12" s="1" t="s">
        <v>3459</v>
      </c>
      <c r="B12" s="1" t="s">
        <v>3460</v>
      </c>
    </row>
    <row r="13" spans="1:3" x14ac:dyDescent="0.15">
      <c r="A13" s="1" t="s">
        <v>5262</v>
      </c>
      <c r="B13" s="1" t="s">
        <v>5263</v>
      </c>
    </row>
    <row r="14" spans="1:3" x14ac:dyDescent="0.15">
      <c r="A14" s="1" t="s">
        <v>5269</v>
      </c>
      <c r="B14" s="1" t="s">
        <v>5270</v>
      </c>
    </row>
  </sheetData>
  <phoneticPr fontId="10" type="noConversion"/>
  <pageMargins left="0.75" right="0.75" top="1" bottom="1" header="0.5" footer="0.5"/>
  <pageSetup paperSize="9" orientation="portrait" verticalDpi="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5:C17"/>
  <sheetViews>
    <sheetView workbookViewId="0">
      <selection activeCell="A27" sqref="A27"/>
    </sheetView>
  </sheetViews>
  <sheetFormatPr defaultRowHeight="14.25" x14ac:dyDescent="0.15"/>
  <cols>
    <col min="1" max="1" width="70.625" style="4" customWidth="1"/>
    <col min="2" max="16384" width="9" style="4"/>
  </cols>
  <sheetData>
    <row r="5" spans="1:3" x14ac:dyDescent="0.15">
      <c r="A5" s="4" t="s">
        <v>312</v>
      </c>
      <c r="C5" s="4" t="s">
        <v>301</v>
      </c>
    </row>
    <row r="6" spans="1:3" x14ac:dyDescent="0.15">
      <c r="A6" s="4" t="s">
        <v>311</v>
      </c>
      <c r="B6" s="4" t="s">
        <v>302</v>
      </c>
      <c r="C6" s="4" t="s">
        <v>301</v>
      </c>
    </row>
    <row r="7" spans="1:3" x14ac:dyDescent="0.15">
      <c r="A7" s="4" t="s">
        <v>310</v>
      </c>
      <c r="C7" s="4" t="s">
        <v>301</v>
      </c>
    </row>
    <row r="8" spans="1:3" x14ac:dyDescent="0.15">
      <c r="A8" s="4" t="s">
        <v>309</v>
      </c>
      <c r="B8" s="4" t="s">
        <v>302</v>
      </c>
      <c r="C8" s="4" t="s">
        <v>301</v>
      </c>
    </row>
    <row r="9" spans="1:3" x14ac:dyDescent="0.15">
      <c r="A9" s="4" t="s">
        <v>6558</v>
      </c>
      <c r="B9" s="4" t="s">
        <v>302</v>
      </c>
      <c r="C9" s="4" t="s">
        <v>301</v>
      </c>
    </row>
    <row r="10" spans="1:3" x14ac:dyDescent="0.15">
      <c r="A10" s="4" t="s">
        <v>308</v>
      </c>
      <c r="B10" s="4" t="s">
        <v>302</v>
      </c>
      <c r="C10" s="4" t="s">
        <v>301</v>
      </c>
    </row>
    <row r="11" spans="1:3" x14ac:dyDescent="0.15">
      <c r="A11" s="4" t="s">
        <v>307</v>
      </c>
      <c r="B11" s="4" t="s">
        <v>302</v>
      </c>
      <c r="C11" s="4" t="s">
        <v>301</v>
      </c>
    </row>
    <row r="12" spans="1:3" x14ac:dyDescent="0.15">
      <c r="A12" s="4" t="s">
        <v>306</v>
      </c>
      <c r="C12" s="4" t="s">
        <v>301</v>
      </c>
    </row>
    <row r="13" spans="1:3" x14ac:dyDescent="0.15">
      <c r="A13" s="4" t="s">
        <v>305</v>
      </c>
      <c r="C13" s="4" t="s">
        <v>301</v>
      </c>
    </row>
    <row r="14" spans="1:3" x14ac:dyDescent="0.15">
      <c r="A14" s="4" t="s">
        <v>304</v>
      </c>
      <c r="B14" s="4" t="s">
        <v>302</v>
      </c>
      <c r="C14" s="4" t="s">
        <v>301</v>
      </c>
    </row>
    <row r="15" spans="1:3" x14ac:dyDescent="0.15">
      <c r="A15" s="4" t="s">
        <v>2407</v>
      </c>
      <c r="B15" s="4" t="s">
        <v>302</v>
      </c>
      <c r="C15" s="4" t="s">
        <v>301</v>
      </c>
    </row>
    <row r="16" spans="1:3" x14ac:dyDescent="0.15">
      <c r="A16" s="4" t="s">
        <v>303</v>
      </c>
      <c r="B16" s="4" t="s">
        <v>302</v>
      </c>
      <c r="C16" s="4" t="s">
        <v>301</v>
      </c>
    </row>
    <row r="17" spans="1:3" x14ac:dyDescent="0.15">
      <c r="A17" s="4" t="s">
        <v>313</v>
      </c>
      <c r="C17" s="4" t="s">
        <v>314</v>
      </c>
    </row>
  </sheetData>
  <phoneticPr fontId="1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K152"/>
  <sheetViews>
    <sheetView workbookViewId="0">
      <pane xSplit="1" ySplit="1" topLeftCell="B2" activePane="bottomRight" state="frozen"/>
      <selection pane="topRight" activeCell="B1" sqref="B1"/>
      <selection pane="bottomLeft" activeCell="A2" sqref="A2"/>
      <selection pane="bottomRight" activeCell="H18" sqref="H18"/>
    </sheetView>
  </sheetViews>
  <sheetFormatPr defaultRowHeight="16.5" x14ac:dyDescent="0.35"/>
  <cols>
    <col min="1" max="1" width="9" style="845" customWidth="1"/>
    <col min="2" max="2" width="11.625" style="845" bestFit="1" customWidth="1"/>
    <col min="3" max="3" width="8.875" style="839" customWidth="1"/>
    <col min="4" max="4" width="11.375" style="839" bestFit="1" customWidth="1"/>
    <col min="5" max="6" width="9" style="841" customWidth="1"/>
    <col min="7" max="7" width="9.625" style="839" bestFit="1" customWidth="1"/>
    <col min="8" max="8" width="9" style="839" customWidth="1"/>
    <col min="9" max="16384" width="9" style="839"/>
  </cols>
  <sheetData>
    <row r="1" spans="1:11" x14ac:dyDescent="0.15">
      <c r="A1" s="839" t="s">
        <v>5283</v>
      </c>
      <c r="B1" s="840" t="s">
        <v>5284</v>
      </c>
      <c r="C1" s="839" t="s">
        <v>5285</v>
      </c>
      <c r="D1" s="839" t="s">
        <v>5286</v>
      </c>
      <c r="E1" s="841" t="s">
        <v>5288</v>
      </c>
      <c r="F1" s="841" t="s">
        <v>5287</v>
      </c>
      <c r="G1" s="839" t="s">
        <v>5387</v>
      </c>
      <c r="H1" s="860" t="s">
        <v>7619</v>
      </c>
      <c r="I1" s="860" t="s">
        <v>7620</v>
      </c>
      <c r="J1" s="860" t="s">
        <v>7621</v>
      </c>
      <c r="K1" s="859" t="s">
        <v>7618</v>
      </c>
    </row>
    <row r="2" spans="1:11" x14ac:dyDescent="0.15">
      <c r="A2" s="839">
        <v>1</v>
      </c>
      <c r="B2" s="840">
        <v>200</v>
      </c>
      <c r="C2" s="839">
        <f>COUNTIF(Sheet1!G2:G295,A2)</f>
        <v>5</v>
      </c>
      <c r="D2" s="842">
        <f>J2/B2</f>
        <v>2.5</v>
      </c>
      <c r="E2" s="841">
        <f>B2*D2/(C2-G2)</f>
        <v>250</v>
      </c>
      <c r="F2" s="841">
        <f>IF((C2-G2)&gt;0,J2/(C2-G2),J2)</f>
        <v>250</v>
      </c>
      <c r="G2" s="839">
        <v>3</v>
      </c>
      <c r="H2" s="839">
        <f>FLOOR(F2,1)</f>
        <v>250</v>
      </c>
      <c r="I2" s="841">
        <f>ROUND(IF((C2-G2)&gt;0,K2/(C2-G2),K2),0)</f>
        <v>200</v>
      </c>
      <c r="J2" s="841">
        <v>500</v>
      </c>
      <c r="K2" s="839">
        <v>400</v>
      </c>
    </row>
    <row r="3" spans="1:11" x14ac:dyDescent="0.15">
      <c r="A3" s="839">
        <v>2</v>
      </c>
      <c r="B3" s="840">
        <v>740</v>
      </c>
      <c r="C3" s="839">
        <f>COUNTIF(Sheet1!G3:G357,A3)</f>
        <v>2</v>
      </c>
      <c r="D3" s="842">
        <f t="shared" ref="D3:D66" si="0">J3/B3</f>
        <v>0.79729729729729726</v>
      </c>
      <c r="E3" s="841">
        <f t="shared" ref="E3:E66" si="1">B3*D3/(C3-G3)</f>
        <v>295</v>
      </c>
      <c r="F3" s="841">
        <f t="shared" ref="F3:F66" si="2">IF((C3-G3)&gt;0,J3/(C3-G3),J3)</f>
        <v>295</v>
      </c>
      <c r="G3" s="839">
        <v>0</v>
      </c>
      <c r="H3" s="839">
        <f t="shared" ref="H3:H66" si="3">FLOOR(F3,1)</f>
        <v>295</v>
      </c>
      <c r="I3" s="841">
        <f t="shared" ref="I3:I66" si="4">ROUND(IF((C3-G3)&gt;0,K3/(C3-G3),K3),0)</f>
        <v>220</v>
      </c>
      <c r="J3" s="841">
        <v>590</v>
      </c>
      <c r="K3" s="839">
        <v>440</v>
      </c>
    </row>
    <row r="4" spans="1:11" x14ac:dyDescent="0.15">
      <c r="A4" s="839">
        <v>3</v>
      </c>
      <c r="B4" s="840">
        <v>1610</v>
      </c>
      <c r="C4" s="839">
        <f>COUNTIF(Sheet1!G4:G358,A4)</f>
        <v>2</v>
      </c>
      <c r="D4" s="842">
        <f t="shared" si="0"/>
        <v>0.43242236024844716</v>
      </c>
      <c r="E4" s="841">
        <f t="shared" si="1"/>
        <v>348.09999999999997</v>
      </c>
      <c r="F4" s="841">
        <f t="shared" si="2"/>
        <v>348.09999999999997</v>
      </c>
      <c r="G4" s="839">
        <v>0</v>
      </c>
      <c r="H4" s="839">
        <f t="shared" si="3"/>
        <v>348</v>
      </c>
      <c r="I4" s="841">
        <f t="shared" si="4"/>
        <v>240</v>
      </c>
      <c r="J4" s="841">
        <v>696.19999999999993</v>
      </c>
      <c r="K4" s="839">
        <v>480</v>
      </c>
    </row>
    <row r="5" spans="1:11" x14ac:dyDescent="0.15">
      <c r="A5" s="839">
        <v>4</v>
      </c>
      <c r="B5" s="840">
        <v>2780</v>
      </c>
      <c r="C5" s="839">
        <f>COUNTIF(Sheet1!G5:G359,A5)</f>
        <v>2</v>
      </c>
      <c r="D5" s="842">
        <f t="shared" si="0"/>
        <v>0.2955093525179856</v>
      </c>
      <c r="E5" s="841">
        <f t="shared" si="1"/>
        <v>410.75799999999998</v>
      </c>
      <c r="F5" s="841">
        <f t="shared" si="2"/>
        <v>410.75799999999998</v>
      </c>
      <c r="G5" s="839">
        <v>0</v>
      </c>
      <c r="H5" s="839">
        <f t="shared" si="3"/>
        <v>410</v>
      </c>
      <c r="I5" s="841">
        <f t="shared" si="4"/>
        <v>260</v>
      </c>
      <c r="J5" s="841">
        <v>821.51599999999996</v>
      </c>
      <c r="K5" s="839">
        <v>520</v>
      </c>
    </row>
    <row r="6" spans="1:11" x14ac:dyDescent="0.15">
      <c r="A6" s="839">
        <v>5</v>
      </c>
      <c r="B6" s="840">
        <v>4250</v>
      </c>
      <c r="C6" s="839">
        <f>COUNTIF(Sheet1!G6:G360,A6)</f>
        <v>2</v>
      </c>
      <c r="D6" s="842">
        <f t="shared" si="0"/>
        <v>0.22809150117647053</v>
      </c>
      <c r="E6" s="841">
        <f t="shared" si="1"/>
        <v>484.69443999999987</v>
      </c>
      <c r="F6" s="841">
        <f t="shared" si="2"/>
        <v>484.69443999999987</v>
      </c>
      <c r="G6" s="839">
        <v>0</v>
      </c>
      <c r="H6" s="839">
        <f t="shared" si="3"/>
        <v>484</v>
      </c>
      <c r="I6" s="841">
        <f t="shared" si="4"/>
        <v>280</v>
      </c>
      <c r="J6" s="841">
        <v>969.38887999999974</v>
      </c>
      <c r="K6" s="839">
        <v>560</v>
      </c>
    </row>
    <row r="7" spans="1:11" x14ac:dyDescent="0.15">
      <c r="A7" s="839">
        <v>6</v>
      </c>
      <c r="B7" s="840">
        <v>6010</v>
      </c>
      <c r="C7" s="839">
        <f>COUNTIF(Sheet1!G7:G361,A7)</f>
        <v>2</v>
      </c>
      <c r="D7" s="842">
        <f t="shared" si="0"/>
        <v>0.19032926429284519</v>
      </c>
      <c r="E7" s="841">
        <f t="shared" si="1"/>
        <v>571.93943919999981</v>
      </c>
      <c r="F7" s="841">
        <f t="shared" si="2"/>
        <v>571.93943919999981</v>
      </c>
      <c r="G7" s="839">
        <v>0</v>
      </c>
      <c r="H7" s="839">
        <f t="shared" si="3"/>
        <v>571</v>
      </c>
      <c r="I7" s="841">
        <f t="shared" si="4"/>
        <v>300</v>
      </c>
      <c r="J7" s="841">
        <v>1143.8788783999996</v>
      </c>
      <c r="K7" s="839">
        <v>600</v>
      </c>
    </row>
    <row r="8" spans="1:11" x14ac:dyDescent="0.15">
      <c r="A8" s="839">
        <v>7</v>
      </c>
      <c r="B8" s="840">
        <v>8060</v>
      </c>
      <c r="C8" s="839">
        <f>COUNTIF(Sheet1!G8:G362,A8)</f>
        <v>4</v>
      </c>
      <c r="D8" s="842">
        <f t="shared" si="0"/>
        <v>0.16746613852506198</v>
      </c>
      <c r="E8" s="841">
        <f t="shared" si="1"/>
        <v>674.88853825599983</v>
      </c>
      <c r="F8" s="841">
        <f t="shared" si="2"/>
        <v>674.88853825599983</v>
      </c>
      <c r="G8" s="839">
        <v>2</v>
      </c>
      <c r="H8" s="839">
        <f t="shared" si="3"/>
        <v>674</v>
      </c>
      <c r="I8" s="841">
        <f t="shared" si="4"/>
        <v>320</v>
      </c>
      <c r="J8" s="841">
        <v>1349.7770765119997</v>
      </c>
      <c r="K8" s="839">
        <v>640</v>
      </c>
    </row>
    <row r="9" spans="1:11" x14ac:dyDescent="0.15">
      <c r="A9" s="839">
        <v>8</v>
      </c>
      <c r="B9" s="840">
        <v>10390</v>
      </c>
      <c r="C9" s="839">
        <f>COUNTIF(Sheet1!G9:G363,A9)</f>
        <v>5</v>
      </c>
      <c r="D9" s="842">
        <f t="shared" si="0"/>
        <v>0.15329518289549177</v>
      </c>
      <c r="E9" s="841">
        <f t="shared" si="1"/>
        <v>796.36847514207977</v>
      </c>
      <c r="F9" s="841">
        <f t="shared" si="2"/>
        <v>796.36847514207977</v>
      </c>
      <c r="G9" s="839">
        <v>3</v>
      </c>
      <c r="H9" s="839">
        <f t="shared" si="3"/>
        <v>796</v>
      </c>
      <c r="I9" s="841">
        <f t="shared" si="4"/>
        <v>340</v>
      </c>
      <c r="J9" s="841">
        <v>1592.7369502841595</v>
      </c>
      <c r="K9" s="839">
        <v>680</v>
      </c>
    </row>
    <row r="10" spans="1:11" x14ac:dyDescent="0.15">
      <c r="A10" s="839">
        <v>9</v>
      </c>
      <c r="B10" s="840">
        <v>13000</v>
      </c>
      <c r="C10" s="839">
        <f>COUNTIF(Sheet1!G11:G364,A10)</f>
        <v>5</v>
      </c>
      <c r="D10" s="842">
        <f t="shared" si="0"/>
        <v>0.1445715077950237</v>
      </c>
      <c r="E10" s="841">
        <f t="shared" si="1"/>
        <v>939.714800667654</v>
      </c>
      <c r="F10" s="841">
        <f t="shared" si="2"/>
        <v>939.714800667654</v>
      </c>
      <c r="G10" s="839">
        <v>3</v>
      </c>
      <c r="H10" s="839">
        <f t="shared" si="3"/>
        <v>939</v>
      </c>
      <c r="I10" s="841">
        <f t="shared" si="4"/>
        <v>360</v>
      </c>
      <c r="J10" s="841">
        <v>1879.429601335308</v>
      </c>
      <c r="K10" s="839">
        <v>720</v>
      </c>
    </row>
    <row r="11" spans="1:11" x14ac:dyDescent="0.15">
      <c r="A11" s="839">
        <v>10</v>
      </c>
      <c r="B11" s="840">
        <v>15880</v>
      </c>
      <c r="C11" s="839">
        <f>COUNTIF(Sheet1!G12:G365,A11)</f>
        <v>1</v>
      </c>
      <c r="D11" s="842">
        <f t="shared" si="0"/>
        <v>0.13965534821005435</v>
      </c>
      <c r="E11" s="841">
        <f t="shared" si="1"/>
        <v>2217.7269295756632</v>
      </c>
      <c r="F11" s="841">
        <f t="shared" si="2"/>
        <v>2217.7269295756632</v>
      </c>
      <c r="G11" s="839">
        <v>0</v>
      </c>
      <c r="H11" s="839">
        <f t="shared" si="3"/>
        <v>2217</v>
      </c>
      <c r="I11" s="841">
        <f t="shared" si="4"/>
        <v>760</v>
      </c>
      <c r="J11" s="841">
        <v>2217.7269295756632</v>
      </c>
      <c r="K11" s="839">
        <v>760</v>
      </c>
    </row>
    <row r="12" spans="1:11" x14ac:dyDescent="0.15">
      <c r="A12" s="839">
        <v>11</v>
      </c>
      <c r="B12" s="840">
        <v>19040</v>
      </c>
      <c r="C12" s="839">
        <f>COUNTIF(Sheet1!G13:G366,A12)</f>
        <v>0</v>
      </c>
      <c r="D12" s="842">
        <f t="shared" si="0"/>
        <v>0.13744316055143291</v>
      </c>
      <c r="E12" s="841">
        <v>0</v>
      </c>
      <c r="F12" s="841">
        <f t="shared" si="2"/>
        <v>2616.9177768992827</v>
      </c>
      <c r="G12" s="839">
        <v>2</v>
      </c>
      <c r="H12" s="839">
        <f t="shared" si="3"/>
        <v>2616</v>
      </c>
      <c r="I12" s="841">
        <f t="shared" si="4"/>
        <v>800</v>
      </c>
      <c r="J12" s="841">
        <v>2616.9177768992827</v>
      </c>
      <c r="K12" s="839">
        <v>800</v>
      </c>
    </row>
    <row r="13" spans="1:11" x14ac:dyDescent="0.15">
      <c r="A13" s="839">
        <v>12</v>
      </c>
      <c r="B13" s="840">
        <v>22460</v>
      </c>
      <c r="C13" s="839">
        <f>COUNTIF(Sheet1!G14:G367,A13)</f>
        <v>0</v>
      </c>
      <c r="D13" s="842">
        <f t="shared" si="0"/>
        <v>0.13748722069194805</v>
      </c>
      <c r="E13" s="841">
        <v>0</v>
      </c>
      <c r="F13" s="841">
        <f t="shared" si="2"/>
        <v>3087.9629767411534</v>
      </c>
      <c r="G13" s="839">
        <v>2</v>
      </c>
      <c r="H13" s="839">
        <f t="shared" si="3"/>
        <v>3087</v>
      </c>
      <c r="I13" s="841">
        <f t="shared" si="4"/>
        <v>840</v>
      </c>
      <c r="J13" s="841">
        <v>3087.9629767411534</v>
      </c>
      <c r="K13" s="839">
        <v>840</v>
      </c>
    </row>
    <row r="14" spans="1:11" x14ac:dyDescent="0.15">
      <c r="A14" s="843">
        <v>13</v>
      </c>
      <c r="B14" s="844">
        <v>26150</v>
      </c>
      <c r="C14" s="839">
        <f>COUNTIF(Sheet1!G16:G368,A14)</f>
        <v>0</v>
      </c>
      <c r="D14" s="842">
        <f t="shared" si="0"/>
        <v>0.13934211520285128</v>
      </c>
      <c r="E14" s="841">
        <v>0</v>
      </c>
      <c r="F14" s="841">
        <f t="shared" si="2"/>
        <v>3643.7963125545607</v>
      </c>
      <c r="G14" s="839">
        <v>0</v>
      </c>
      <c r="H14" s="839">
        <f t="shared" si="3"/>
        <v>3643</v>
      </c>
      <c r="I14" s="841">
        <f t="shared" si="4"/>
        <v>880</v>
      </c>
      <c r="J14" s="841">
        <v>3643.7963125545607</v>
      </c>
      <c r="K14" s="839">
        <v>880</v>
      </c>
    </row>
    <row r="15" spans="1:11" x14ac:dyDescent="0.15">
      <c r="A15" s="843">
        <v>14</v>
      </c>
      <c r="B15" s="844">
        <v>30100</v>
      </c>
      <c r="C15" s="839">
        <f>COUNTIF(Sheet1!G17:G369,A15)</f>
        <v>0</v>
      </c>
      <c r="D15" s="842">
        <f t="shared" si="0"/>
        <v>0.14284649996061066</v>
      </c>
      <c r="E15" s="841">
        <v>0</v>
      </c>
      <c r="F15" s="841">
        <f t="shared" si="2"/>
        <v>4299.6796488143809</v>
      </c>
      <c r="G15" s="839">
        <v>0</v>
      </c>
      <c r="H15" s="839">
        <f t="shared" si="3"/>
        <v>4299</v>
      </c>
      <c r="I15" s="841">
        <f t="shared" si="4"/>
        <v>920</v>
      </c>
      <c r="J15" s="841">
        <v>4299.6796488143809</v>
      </c>
      <c r="K15" s="839">
        <v>920</v>
      </c>
    </row>
    <row r="16" spans="1:11" x14ac:dyDescent="0.15">
      <c r="A16" s="843">
        <v>15</v>
      </c>
      <c r="B16" s="844">
        <v>34320</v>
      </c>
      <c r="C16" s="839">
        <f>COUNTIF(Sheet1!G18:G370,A16)</f>
        <v>0</v>
      </c>
      <c r="D16" s="842">
        <f t="shared" si="0"/>
        <v>0.14783280843825672</v>
      </c>
      <c r="E16" s="841">
        <v>0</v>
      </c>
      <c r="F16" s="841">
        <f t="shared" si="2"/>
        <v>5073.6219856009702</v>
      </c>
      <c r="G16" s="839">
        <v>0</v>
      </c>
      <c r="H16" s="839">
        <f t="shared" si="3"/>
        <v>5073</v>
      </c>
      <c r="I16" s="841">
        <f t="shared" si="4"/>
        <v>960</v>
      </c>
      <c r="J16" s="841">
        <v>5073.6219856009702</v>
      </c>
      <c r="K16" s="839">
        <v>960</v>
      </c>
    </row>
    <row r="17" spans="1:11" x14ac:dyDescent="0.15">
      <c r="A17" s="839">
        <v>16</v>
      </c>
      <c r="B17" s="840">
        <v>38800</v>
      </c>
      <c r="C17" s="839">
        <f>COUNTIF(Sheet1!G19:G371,A17)</f>
        <v>0</v>
      </c>
      <c r="D17" s="842">
        <f t="shared" si="0"/>
        <v>0.15430087481982332</v>
      </c>
      <c r="E17" s="841">
        <v>0</v>
      </c>
      <c r="F17" s="841">
        <f t="shared" si="2"/>
        <v>5986.8739430091446</v>
      </c>
      <c r="G17" s="839">
        <v>0</v>
      </c>
      <c r="H17" s="839">
        <f t="shared" si="3"/>
        <v>5986</v>
      </c>
      <c r="I17" s="841">
        <f t="shared" si="4"/>
        <v>1000</v>
      </c>
      <c r="J17" s="841">
        <v>5986.8739430091446</v>
      </c>
      <c r="K17" s="839">
        <v>1000</v>
      </c>
    </row>
    <row r="18" spans="1:11" x14ac:dyDescent="0.15">
      <c r="A18" s="839">
        <v>17</v>
      </c>
      <c r="B18" s="840">
        <v>43530</v>
      </c>
      <c r="C18" s="839">
        <f>COUNTIF(Sheet1!G17:G372,A18)</f>
        <v>0</v>
      </c>
      <c r="D18" s="842">
        <f t="shared" si="0"/>
        <v>0.16229063296004573</v>
      </c>
      <c r="E18" s="841">
        <v>0</v>
      </c>
      <c r="F18" s="841">
        <f t="shared" si="2"/>
        <v>7064.5112527507899</v>
      </c>
      <c r="G18" s="839">
        <v>3</v>
      </c>
      <c r="H18" s="839">
        <f t="shared" si="3"/>
        <v>7064</v>
      </c>
      <c r="I18" s="841">
        <f t="shared" si="4"/>
        <v>1040</v>
      </c>
      <c r="J18" s="841">
        <v>7064.5112527507899</v>
      </c>
      <c r="K18" s="839">
        <v>1040</v>
      </c>
    </row>
    <row r="19" spans="1:11" x14ac:dyDescent="0.15">
      <c r="A19" s="839">
        <v>18</v>
      </c>
      <c r="B19" s="840">
        <v>48530</v>
      </c>
      <c r="C19" s="839">
        <f>COUNTIF(Sheet1!G10:G373,A19)</f>
        <v>0</v>
      </c>
      <c r="D19" s="842">
        <f t="shared" si="0"/>
        <v>0.17177257939925678</v>
      </c>
      <c r="E19" s="841">
        <v>0</v>
      </c>
      <c r="F19" s="841">
        <f t="shared" si="2"/>
        <v>8336.1232782459319</v>
      </c>
      <c r="G19" s="839">
        <v>2</v>
      </c>
      <c r="H19" s="839">
        <f t="shared" si="3"/>
        <v>8336</v>
      </c>
      <c r="I19" s="841">
        <f t="shared" si="4"/>
        <v>1080</v>
      </c>
      <c r="J19" s="841">
        <v>8336.1232782459319</v>
      </c>
      <c r="K19" s="839">
        <v>1080</v>
      </c>
    </row>
    <row r="20" spans="1:11" x14ac:dyDescent="0.15">
      <c r="A20" s="839">
        <v>19</v>
      </c>
      <c r="B20" s="840">
        <v>53780</v>
      </c>
      <c r="C20" s="839">
        <f>COUNTIF(Sheet1!G12:G374,A20)</f>
        <v>0</v>
      </c>
      <c r="D20" s="842">
        <f t="shared" si="0"/>
        <v>0.18290489900204909</v>
      </c>
      <c r="E20" s="841">
        <v>0</v>
      </c>
      <c r="F20" s="841">
        <f t="shared" si="2"/>
        <v>9836.6254683301995</v>
      </c>
      <c r="G20" s="839">
        <v>0</v>
      </c>
      <c r="H20" s="839">
        <f t="shared" si="3"/>
        <v>9836</v>
      </c>
      <c r="I20" s="841">
        <f t="shared" si="4"/>
        <v>1120</v>
      </c>
      <c r="J20" s="841">
        <v>9836.6254683301995</v>
      </c>
      <c r="K20" s="839">
        <v>1120</v>
      </c>
    </row>
    <row r="21" spans="1:11" x14ac:dyDescent="0.15">
      <c r="A21" s="839">
        <v>20</v>
      </c>
      <c r="B21" s="840">
        <v>59290</v>
      </c>
      <c r="C21" s="839">
        <f>COUNTIF(Sheet1!G20:G375,A21)</f>
        <v>2</v>
      </c>
      <c r="D21" s="842">
        <f t="shared" si="0"/>
        <v>0.19577024882154889</v>
      </c>
      <c r="E21" s="841">
        <f t="shared" si="1"/>
        <v>5803.6090263148171</v>
      </c>
      <c r="F21" s="841">
        <f t="shared" si="2"/>
        <v>5803.6090263148171</v>
      </c>
      <c r="G21" s="839">
        <v>0</v>
      </c>
      <c r="H21" s="839">
        <f t="shared" si="3"/>
        <v>5803</v>
      </c>
      <c r="I21" s="841">
        <f t="shared" si="4"/>
        <v>580</v>
      </c>
      <c r="J21" s="841">
        <v>11607.218052629634</v>
      </c>
      <c r="K21" s="839">
        <v>1160</v>
      </c>
    </row>
    <row r="22" spans="1:11" x14ac:dyDescent="0.15">
      <c r="A22" s="839">
        <v>21</v>
      </c>
      <c r="B22" s="840">
        <v>65040</v>
      </c>
      <c r="C22" s="839">
        <f>COUNTIF(Sheet1!G26:G376,A22)</f>
        <v>4</v>
      </c>
      <c r="D22" s="842">
        <f t="shared" si="0"/>
        <v>0.2105860593804269</v>
      </c>
      <c r="E22" s="841">
        <f t="shared" si="1"/>
        <v>6848.258651051483</v>
      </c>
      <c r="F22" s="841">
        <f t="shared" si="2"/>
        <v>6848.258651051483</v>
      </c>
      <c r="G22" s="839">
        <v>2</v>
      </c>
      <c r="H22" s="839">
        <f t="shared" si="3"/>
        <v>6848</v>
      </c>
      <c r="I22" s="841">
        <f t="shared" si="4"/>
        <v>600</v>
      </c>
      <c r="J22" s="841">
        <v>13696.517302102966</v>
      </c>
      <c r="K22" s="839">
        <v>1200</v>
      </c>
    </row>
    <row r="23" spans="1:11" x14ac:dyDescent="0.15">
      <c r="A23" s="839">
        <v>22</v>
      </c>
      <c r="B23" s="840">
        <v>71060</v>
      </c>
      <c r="C23" s="839">
        <f>COUNTIF(Sheet1!G27:G377,A23)</f>
        <v>3</v>
      </c>
      <c r="D23" s="842">
        <f t="shared" si="0"/>
        <v>0.22744005652239654</v>
      </c>
      <c r="E23" s="841">
        <f t="shared" si="1"/>
        <v>16161.890416481498</v>
      </c>
      <c r="F23" s="841">
        <f t="shared" si="2"/>
        <v>16161.890416481498</v>
      </c>
      <c r="G23" s="839">
        <v>2</v>
      </c>
      <c r="H23" s="839">
        <f t="shared" si="3"/>
        <v>16161</v>
      </c>
      <c r="I23" s="841">
        <f t="shared" si="4"/>
        <v>1240</v>
      </c>
      <c r="J23" s="841">
        <v>16161.890416481498</v>
      </c>
      <c r="K23" s="839">
        <v>1240</v>
      </c>
    </row>
    <row r="24" spans="1:11" x14ac:dyDescent="0.15">
      <c r="A24" s="839">
        <v>23</v>
      </c>
      <c r="B24" s="840">
        <v>77320</v>
      </c>
      <c r="C24" s="839">
        <f>COUNTIF(Sheet1!G28:G378,A24)</f>
        <v>2</v>
      </c>
      <c r="D24" s="842">
        <f t="shared" si="0"/>
        <v>0.24665068147242847</v>
      </c>
      <c r="E24" s="841">
        <f t="shared" si="1"/>
        <v>9535.5153457240849</v>
      </c>
      <c r="F24" s="841">
        <f t="shared" si="2"/>
        <v>9535.5153457240849</v>
      </c>
      <c r="G24" s="839">
        <v>0</v>
      </c>
      <c r="H24" s="839">
        <f t="shared" si="3"/>
        <v>9535</v>
      </c>
      <c r="I24" s="841">
        <f t="shared" si="4"/>
        <v>640</v>
      </c>
      <c r="J24" s="841">
        <v>19071.03069144817</v>
      </c>
      <c r="K24" s="839">
        <v>1280</v>
      </c>
    </row>
    <row r="25" spans="1:11" x14ac:dyDescent="0.15">
      <c r="A25" s="839">
        <v>24</v>
      </c>
      <c r="B25" s="840">
        <v>83830</v>
      </c>
      <c r="C25" s="839">
        <f>COUNTIF(Sheet1!G29:G379,A25)</f>
        <v>4</v>
      </c>
      <c r="D25" s="842">
        <f t="shared" si="0"/>
        <v>0.26844585728150827</v>
      </c>
      <c r="E25" s="841">
        <f t="shared" si="1"/>
        <v>11251.908107954419</v>
      </c>
      <c r="F25" s="841">
        <f t="shared" si="2"/>
        <v>11251.908107954419</v>
      </c>
      <c r="G25" s="839">
        <v>2</v>
      </c>
      <c r="H25" s="839">
        <f t="shared" si="3"/>
        <v>11251</v>
      </c>
      <c r="I25" s="841">
        <f t="shared" si="4"/>
        <v>660</v>
      </c>
      <c r="J25" s="841">
        <v>22503.816215908839</v>
      </c>
      <c r="K25" s="839">
        <v>1320</v>
      </c>
    </row>
    <row r="26" spans="1:11" x14ac:dyDescent="0.15">
      <c r="A26" s="839">
        <v>25</v>
      </c>
      <c r="B26" s="840">
        <v>90590</v>
      </c>
      <c r="C26" s="839">
        <f>COUNTIF(Sheet1!G30:G380,A26)</f>
        <v>2</v>
      </c>
      <c r="D26" s="842">
        <f t="shared" si="0"/>
        <v>0.29312841521991861</v>
      </c>
      <c r="E26" s="841">
        <f t="shared" si="1"/>
        <v>13277.251567386214</v>
      </c>
      <c r="F26" s="841">
        <f t="shared" si="2"/>
        <v>13277.251567386214</v>
      </c>
      <c r="G26" s="839">
        <v>0</v>
      </c>
      <c r="H26" s="839">
        <f t="shared" si="3"/>
        <v>13277</v>
      </c>
      <c r="I26" s="841">
        <f t="shared" si="4"/>
        <v>680</v>
      </c>
      <c r="J26" s="841">
        <v>26554.503134772429</v>
      </c>
      <c r="K26" s="839">
        <v>1360</v>
      </c>
    </row>
    <row r="27" spans="1:11" x14ac:dyDescent="0.15">
      <c r="A27" s="839">
        <v>26</v>
      </c>
      <c r="B27" s="840">
        <v>97600</v>
      </c>
      <c r="C27" s="839">
        <f>COUNTIF(Sheet1!G20:G381,A27)</f>
        <v>2</v>
      </c>
      <c r="D27" s="842">
        <f t="shared" si="0"/>
        <v>0.32104829609663388</v>
      </c>
      <c r="E27" s="841">
        <f t="shared" si="1"/>
        <v>15667.156849515733</v>
      </c>
      <c r="F27" s="841">
        <f t="shared" si="2"/>
        <v>15667.156849515733</v>
      </c>
      <c r="G27" s="839">
        <v>0</v>
      </c>
      <c r="H27" s="839">
        <f t="shared" si="3"/>
        <v>15667</v>
      </c>
      <c r="I27" s="841">
        <f t="shared" si="4"/>
        <v>700</v>
      </c>
      <c r="J27" s="841">
        <v>31334.313699031467</v>
      </c>
      <c r="K27" s="839">
        <v>1400</v>
      </c>
    </row>
    <row r="28" spans="1:11" x14ac:dyDescent="0.15">
      <c r="A28" s="839">
        <v>27</v>
      </c>
      <c r="B28" s="840">
        <v>104860</v>
      </c>
      <c r="C28" s="839">
        <f>COUNTIF(Sheet1!G21:G382,A28)</f>
        <v>6</v>
      </c>
      <c r="D28" s="842">
        <f t="shared" si="0"/>
        <v>0.3526081457644204</v>
      </c>
      <c r="E28" s="841">
        <f t="shared" si="1"/>
        <v>12324.830054952376</v>
      </c>
      <c r="F28" s="841">
        <f t="shared" si="2"/>
        <v>12324.830054952376</v>
      </c>
      <c r="G28" s="839">
        <v>3</v>
      </c>
      <c r="H28" s="839">
        <f t="shared" si="3"/>
        <v>12324</v>
      </c>
      <c r="I28" s="841">
        <f t="shared" si="4"/>
        <v>480</v>
      </c>
      <c r="J28" s="841">
        <v>36974.490164857125</v>
      </c>
      <c r="K28" s="839">
        <v>1440</v>
      </c>
    </row>
    <row r="29" spans="1:11" x14ac:dyDescent="0.15">
      <c r="A29" s="839">
        <v>28</v>
      </c>
      <c r="B29" s="840">
        <v>112360</v>
      </c>
      <c r="C29" s="839">
        <f>COUNTIF(Sheet1!G22:G383,A29)</f>
        <v>2</v>
      </c>
      <c r="D29" s="842">
        <f t="shared" si="0"/>
        <v>0.3883045424931596</v>
      </c>
      <c r="E29" s="841">
        <f t="shared" si="1"/>
        <v>21814.949197265705</v>
      </c>
      <c r="F29" s="841">
        <f t="shared" si="2"/>
        <v>21814.949197265705</v>
      </c>
      <c r="G29" s="839">
        <v>0</v>
      </c>
      <c r="H29" s="839">
        <f t="shared" si="3"/>
        <v>21814</v>
      </c>
      <c r="I29" s="841">
        <f t="shared" si="4"/>
        <v>740</v>
      </c>
      <c r="J29" s="841">
        <v>43629.89839453141</v>
      </c>
      <c r="K29" s="839">
        <v>1480</v>
      </c>
    </row>
    <row r="30" spans="1:11" x14ac:dyDescent="0.15">
      <c r="A30" s="839">
        <v>29</v>
      </c>
      <c r="B30" s="840">
        <v>120110</v>
      </c>
      <c r="C30" s="839">
        <f>COUNTIF(Sheet1!G23:G384,A30)</f>
        <v>2</v>
      </c>
      <c r="D30" s="842">
        <f t="shared" si="0"/>
        <v>0.42863441932850765</v>
      </c>
      <c r="E30" s="841">
        <f t="shared" si="1"/>
        <v>25741.640052773528</v>
      </c>
      <c r="F30" s="841">
        <f t="shared" si="2"/>
        <v>25741.640052773528</v>
      </c>
      <c r="G30" s="839">
        <v>0</v>
      </c>
      <c r="H30" s="839">
        <f t="shared" si="3"/>
        <v>25741</v>
      </c>
      <c r="I30" s="841">
        <f t="shared" si="4"/>
        <v>760</v>
      </c>
      <c r="J30" s="841">
        <v>51483.280105547055</v>
      </c>
      <c r="K30" s="839">
        <v>1520</v>
      </c>
    </row>
    <row r="31" spans="1:11" x14ac:dyDescent="0.15">
      <c r="A31" s="839">
        <v>30</v>
      </c>
      <c r="B31" s="840">
        <v>128100</v>
      </c>
      <c r="C31" s="839">
        <f>COUNTIF(Sheet1!G24:G385,A31)</f>
        <v>2</v>
      </c>
      <c r="D31" s="842">
        <f t="shared" si="0"/>
        <v>0.47424098770137019</v>
      </c>
      <c r="E31" s="841">
        <f t="shared" si="1"/>
        <v>30375.135262272761</v>
      </c>
      <c r="F31" s="841">
        <f t="shared" si="2"/>
        <v>30375.135262272761</v>
      </c>
      <c r="G31" s="839">
        <v>0</v>
      </c>
      <c r="H31" s="839">
        <f t="shared" si="3"/>
        <v>30375</v>
      </c>
      <c r="I31" s="841">
        <f t="shared" si="4"/>
        <v>780</v>
      </c>
      <c r="J31" s="841">
        <v>60750.270524545522</v>
      </c>
      <c r="K31" s="839">
        <v>1560</v>
      </c>
    </row>
    <row r="32" spans="1:11" x14ac:dyDescent="0.15">
      <c r="A32" s="839">
        <v>31</v>
      </c>
      <c r="B32" s="840">
        <v>136330</v>
      </c>
      <c r="C32" s="839">
        <f>COUNTIF(Sheet1!G31:G386,A32)</f>
        <v>2</v>
      </c>
      <c r="D32" s="842">
        <f t="shared" si="0"/>
        <v>0.52582204370984909</v>
      </c>
      <c r="E32" s="841">
        <f t="shared" si="1"/>
        <v>35842.65960948186</v>
      </c>
      <c r="F32" s="841">
        <f t="shared" si="2"/>
        <v>35842.65960948186</v>
      </c>
      <c r="G32" s="839">
        <v>0</v>
      </c>
      <c r="H32" s="839">
        <f t="shared" si="3"/>
        <v>35842</v>
      </c>
      <c r="I32" s="841">
        <f t="shared" si="4"/>
        <v>800</v>
      </c>
      <c r="J32" s="841">
        <v>71685.319218963719</v>
      </c>
      <c r="K32" s="839">
        <v>1600</v>
      </c>
    </row>
    <row r="33" spans="1:11" x14ac:dyDescent="0.15">
      <c r="A33" s="839">
        <v>32</v>
      </c>
      <c r="B33" s="840">
        <v>144810</v>
      </c>
      <c r="C33" s="839">
        <f>COUNTIF(Sheet1!G32:G387,A33)</f>
        <v>2</v>
      </c>
      <c r="D33" s="842">
        <f t="shared" si="0"/>
        <v>0.5841356030548801</v>
      </c>
      <c r="E33" s="841">
        <f t="shared" si="1"/>
        <v>42294.338339188595</v>
      </c>
      <c r="F33" s="841">
        <f t="shared" si="2"/>
        <v>42294.338339188595</v>
      </c>
      <c r="G33" s="839">
        <v>0</v>
      </c>
      <c r="H33" s="839">
        <f t="shared" si="3"/>
        <v>42294</v>
      </c>
      <c r="I33" s="841">
        <f t="shared" si="4"/>
        <v>820</v>
      </c>
      <c r="J33" s="841">
        <v>84588.676678377189</v>
      </c>
      <c r="K33" s="839">
        <v>1640</v>
      </c>
    </row>
    <row r="34" spans="1:11" x14ac:dyDescent="0.15">
      <c r="A34" s="839">
        <v>33</v>
      </c>
      <c r="B34" s="840">
        <v>153530</v>
      </c>
      <c r="C34" s="839">
        <f>COUNTIF(Sheet1!G33:G388,A34)</f>
        <v>2</v>
      </c>
      <c r="D34" s="842">
        <f t="shared" si="0"/>
        <v>0.6501311696768387</v>
      </c>
      <c r="E34" s="841">
        <f t="shared" si="1"/>
        <v>49907.319240242527</v>
      </c>
      <c r="F34" s="841">
        <f t="shared" si="2"/>
        <v>49907.319240242527</v>
      </c>
      <c r="G34" s="839">
        <v>0</v>
      </c>
      <c r="H34" s="839">
        <f t="shared" si="3"/>
        <v>49907</v>
      </c>
      <c r="I34" s="841">
        <f t="shared" si="4"/>
        <v>840</v>
      </c>
      <c r="J34" s="841">
        <v>99814.638480485053</v>
      </c>
      <c r="K34" s="839">
        <v>1680</v>
      </c>
    </row>
    <row r="35" spans="1:11" x14ac:dyDescent="0.15">
      <c r="A35" s="839">
        <v>34</v>
      </c>
      <c r="B35" s="840">
        <v>162490</v>
      </c>
      <c r="C35" s="839">
        <f>COUNTIF(Sheet1!G34:G389,A35)</f>
        <v>2</v>
      </c>
      <c r="D35" s="842">
        <f t="shared" si="0"/>
        <v>0.72485244265476256</v>
      </c>
      <c r="E35" s="841">
        <f t="shared" si="1"/>
        <v>58890.636703486183</v>
      </c>
      <c r="F35" s="841">
        <f t="shared" si="2"/>
        <v>58890.636703486183</v>
      </c>
      <c r="G35" s="839">
        <v>0</v>
      </c>
      <c r="H35" s="839">
        <f t="shared" si="3"/>
        <v>58890</v>
      </c>
      <c r="I35" s="841">
        <f t="shared" si="4"/>
        <v>860</v>
      </c>
      <c r="J35" s="841">
        <v>117781.27340697237</v>
      </c>
      <c r="K35" s="839">
        <v>1720</v>
      </c>
    </row>
    <row r="36" spans="1:11" x14ac:dyDescent="0.15">
      <c r="A36" s="839">
        <v>35</v>
      </c>
      <c r="B36" s="840">
        <v>171690</v>
      </c>
      <c r="C36" s="839">
        <f>COUNTIF(Sheet1!G35:G390,A36)</f>
        <v>2</v>
      </c>
      <c r="D36" s="842">
        <f t="shared" si="0"/>
        <v>0.80949328802042853</v>
      </c>
      <c r="E36" s="841">
        <f t="shared" si="1"/>
        <v>69490.951310113684</v>
      </c>
      <c r="F36" s="841">
        <f t="shared" si="2"/>
        <v>69490.951310113684</v>
      </c>
      <c r="G36" s="839">
        <v>0</v>
      </c>
      <c r="H36" s="839">
        <f t="shared" si="3"/>
        <v>69490</v>
      </c>
      <c r="I36" s="841">
        <f t="shared" si="4"/>
        <v>880</v>
      </c>
      <c r="J36" s="841">
        <v>138981.90262022737</v>
      </c>
      <c r="K36" s="839">
        <v>1760</v>
      </c>
    </row>
    <row r="37" spans="1:11" x14ac:dyDescent="0.15">
      <c r="A37" s="839">
        <v>36</v>
      </c>
      <c r="B37" s="840">
        <v>181130</v>
      </c>
      <c r="C37" s="839">
        <f>COUNTIF(Sheet1!G36:G391,A37)</f>
        <v>2</v>
      </c>
      <c r="D37" s="842">
        <f t="shared" si="0"/>
        <v>0.90541956104382648</v>
      </c>
      <c r="E37" s="841">
        <f t="shared" si="1"/>
        <v>81999.322545934148</v>
      </c>
      <c r="F37" s="841">
        <f t="shared" si="2"/>
        <v>81999.322545934148</v>
      </c>
      <c r="G37" s="839">
        <v>0</v>
      </c>
      <c r="H37" s="839">
        <f t="shared" si="3"/>
        <v>81999</v>
      </c>
      <c r="I37" s="841">
        <f t="shared" si="4"/>
        <v>900</v>
      </c>
      <c r="J37" s="841">
        <v>163998.6450918683</v>
      </c>
      <c r="K37" s="839">
        <v>1800</v>
      </c>
    </row>
    <row r="38" spans="1:11" x14ac:dyDescent="0.15">
      <c r="A38" s="839">
        <v>37</v>
      </c>
      <c r="B38" s="840">
        <v>190810</v>
      </c>
      <c r="C38" s="839">
        <f>COUNTIF(Sheet1!G37:G392,A38)</f>
        <v>2</v>
      </c>
      <c r="D38" s="842">
        <f t="shared" si="0"/>
        <v>1.0141942309543766</v>
      </c>
      <c r="E38" s="841">
        <f t="shared" si="1"/>
        <v>96759.200604202299</v>
      </c>
      <c r="F38" s="841">
        <f t="shared" si="2"/>
        <v>96759.200604202299</v>
      </c>
      <c r="G38" s="839">
        <v>0</v>
      </c>
      <c r="H38" s="839">
        <f t="shared" si="3"/>
        <v>96759</v>
      </c>
      <c r="I38" s="841">
        <f t="shared" si="4"/>
        <v>920</v>
      </c>
      <c r="J38" s="841">
        <v>193518.4012084046</v>
      </c>
      <c r="K38" s="839">
        <v>1840</v>
      </c>
    </row>
    <row r="39" spans="1:11" x14ac:dyDescent="0.15">
      <c r="A39" s="839">
        <v>38</v>
      </c>
      <c r="B39" s="840">
        <v>200730</v>
      </c>
      <c r="C39" s="839">
        <f>COUNTIF(Sheet1!G38:G393,A39)</f>
        <v>2</v>
      </c>
      <c r="D39" s="842">
        <f t="shared" si="0"/>
        <v>1.1376063041195505</v>
      </c>
      <c r="E39" s="841">
        <f t="shared" si="1"/>
        <v>114175.85671295869</v>
      </c>
      <c r="F39" s="841">
        <f t="shared" si="2"/>
        <v>114175.85671295869</v>
      </c>
      <c r="G39" s="839">
        <v>0</v>
      </c>
      <c r="H39" s="839">
        <f t="shared" si="3"/>
        <v>114175</v>
      </c>
      <c r="I39" s="841">
        <f t="shared" si="4"/>
        <v>940</v>
      </c>
      <c r="J39" s="841">
        <v>228351.71342591738</v>
      </c>
      <c r="K39" s="839">
        <v>1880</v>
      </c>
    </row>
    <row r="40" spans="1:11" x14ac:dyDescent="0.15">
      <c r="A40" s="839">
        <v>39</v>
      </c>
      <c r="B40" s="840">
        <v>210880</v>
      </c>
      <c r="C40" s="839">
        <f>COUNTIF(Sheet1!G39:G394,A40)</f>
        <v>4</v>
      </c>
      <c r="D40" s="842">
        <f t="shared" si="0"/>
        <v>1.2777647090410782</v>
      </c>
      <c r="E40" s="841">
        <f t="shared" si="1"/>
        <v>67363.75546064564</v>
      </c>
      <c r="F40" s="841">
        <f t="shared" si="2"/>
        <v>67363.75546064564</v>
      </c>
      <c r="G40" s="839">
        <v>0</v>
      </c>
      <c r="H40" s="839">
        <f t="shared" si="3"/>
        <v>67363</v>
      </c>
      <c r="I40" s="841">
        <f t="shared" si="4"/>
        <v>480</v>
      </c>
      <c r="J40" s="841">
        <v>269455.02184258256</v>
      </c>
      <c r="K40" s="839">
        <v>1920</v>
      </c>
    </row>
    <row r="41" spans="1:11" s="846" customFormat="1" x14ac:dyDescent="0.15">
      <c r="A41" s="846">
        <v>40</v>
      </c>
      <c r="B41" s="840">
        <v>221280</v>
      </c>
      <c r="C41" s="846">
        <f>COUNTIF(Sheet1!G40:G395,A41)</f>
        <v>5</v>
      </c>
      <c r="D41" s="842">
        <f t="shared" si="0"/>
        <v>1.436898616116447</v>
      </c>
      <c r="E41" s="847">
        <f t="shared" si="1"/>
        <v>63591.385154849479</v>
      </c>
      <c r="F41" s="841">
        <f t="shared" si="2"/>
        <v>63591.385154849479</v>
      </c>
      <c r="G41" s="846">
        <v>0</v>
      </c>
      <c r="H41" s="846">
        <f t="shared" si="3"/>
        <v>63591</v>
      </c>
      <c r="I41" s="841">
        <f t="shared" si="4"/>
        <v>392</v>
      </c>
      <c r="J41" s="847">
        <v>317956.92577424739</v>
      </c>
      <c r="K41" s="846">
        <v>1960</v>
      </c>
    </row>
    <row r="42" spans="1:11" x14ac:dyDescent="0.15">
      <c r="A42" s="839">
        <v>41</v>
      </c>
      <c r="B42" s="840">
        <v>231900</v>
      </c>
      <c r="C42" s="839">
        <v>3</v>
      </c>
      <c r="D42" s="842">
        <f t="shared" si="0"/>
        <v>1.6178920759534792</v>
      </c>
      <c r="E42" s="841">
        <f t="shared" si="1"/>
        <v>125063.05747120395</v>
      </c>
      <c r="F42" s="841">
        <f t="shared" si="2"/>
        <v>125063.05747120395</v>
      </c>
      <c r="G42" s="839">
        <v>0</v>
      </c>
      <c r="H42" s="839">
        <f t="shared" si="3"/>
        <v>125063</v>
      </c>
      <c r="I42" s="841">
        <f t="shared" si="4"/>
        <v>667</v>
      </c>
      <c r="J42" s="841">
        <v>375189.17241361184</v>
      </c>
      <c r="K42" s="839">
        <v>2000</v>
      </c>
    </row>
    <row r="43" spans="1:11" x14ac:dyDescent="0.15">
      <c r="A43" s="839">
        <v>42</v>
      </c>
      <c r="B43" s="840">
        <v>242770</v>
      </c>
      <c r="C43" s="839">
        <f>COUNTIF(Sheet1!G42:G397,A43)</f>
        <v>3</v>
      </c>
      <c r="D43" s="842">
        <f t="shared" si="0"/>
        <v>1.8236323410967663</v>
      </c>
      <c r="E43" s="841">
        <f t="shared" si="1"/>
        <v>147574.40781602066</v>
      </c>
      <c r="F43" s="841">
        <f t="shared" si="2"/>
        <v>147574.40781602066</v>
      </c>
      <c r="G43" s="839">
        <v>0</v>
      </c>
      <c r="H43" s="839">
        <f t="shared" si="3"/>
        <v>147574</v>
      </c>
      <c r="I43" s="841">
        <f t="shared" si="4"/>
        <v>680</v>
      </c>
      <c r="J43" s="841">
        <v>442723.22344806197</v>
      </c>
      <c r="K43" s="839">
        <v>2040</v>
      </c>
    </row>
    <row r="44" spans="1:11" x14ac:dyDescent="0.15">
      <c r="A44" s="839">
        <v>43</v>
      </c>
      <c r="B44" s="840">
        <v>253870</v>
      </c>
      <c r="C44" s="839">
        <f>COUNTIF(Sheet1!G43:G398,A44)</f>
        <v>3</v>
      </c>
      <c r="D44" s="842">
        <f t="shared" si="0"/>
        <v>2.0577988878903102</v>
      </c>
      <c r="E44" s="841">
        <f t="shared" si="1"/>
        <v>174137.80122290435</v>
      </c>
      <c r="F44" s="841">
        <f t="shared" si="2"/>
        <v>174137.80122290435</v>
      </c>
      <c r="G44" s="839">
        <v>0</v>
      </c>
      <c r="H44" s="839">
        <f t="shared" si="3"/>
        <v>174137</v>
      </c>
      <c r="I44" s="841">
        <f t="shared" si="4"/>
        <v>693</v>
      </c>
      <c r="J44" s="841">
        <v>522413.40366871306</v>
      </c>
      <c r="K44" s="839">
        <v>2080</v>
      </c>
    </row>
    <row r="45" spans="1:11" x14ac:dyDescent="0.15">
      <c r="A45" s="839">
        <v>44</v>
      </c>
      <c r="B45" s="840">
        <v>265210</v>
      </c>
      <c r="C45" s="839">
        <f>COUNTIF(Sheet1!G47:G399,A45)</f>
        <v>4</v>
      </c>
      <c r="D45" s="842">
        <f t="shared" si="0"/>
        <v>2.3243762163156796</v>
      </c>
      <c r="E45" s="841">
        <f t="shared" si="1"/>
        <v>308223.90816454071</v>
      </c>
      <c r="F45" s="841">
        <f t="shared" si="2"/>
        <v>308223.90816454071</v>
      </c>
      <c r="G45" s="839">
        <v>2</v>
      </c>
      <c r="H45" s="839">
        <f t="shared" si="3"/>
        <v>308223</v>
      </c>
      <c r="I45" s="841">
        <f t="shared" si="4"/>
        <v>1060</v>
      </c>
      <c r="J45" s="841">
        <v>616447.81632908143</v>
      </c>
      <c r="K45" s="839">
        <v>2120</v>
      </c>
    </row>
    <row r="46" spans="1:11" x14ac:dyDescent="0.15">
      <c r="A46" s="839">
        <v>45</v>
      </c>
      <c r="B46" s="840">
        <v>276770</v>
      </c>
      <c r="C46" s="839">
        <f>COUNTIF(Sheet1!G48:G400,A46)</f>
        <v>3</v>
      </c>
      <c r="D46" s="842">
        <f t="shared" si="0"/>
        <v>2.6282054531499659</v>
      </c>
      <c r="E46" s="841">
        <f t="shared" si="1"/>
        <v>242469.47442277204</v>
      </c>
      <c r="F46" s="841">
        <f t="shared" si="2"/>
        <v>242469.47442277204</v>
      </c>
      <c r="G46" s="839">
        <v>0</v>
      </c>
      <c r="H46" s="839">
        <f t="shared" si="3"/>
        <v>242469</v>
      </c>
      <c r="I46" s="841">
        <f t="shared" si="4"/>
        <v>720</v>
      </c>
      <c r="J46" s="841">
        <v>727408.42326831608</v>
      </c>
      <c r="K46" s="839">
        <v>2160</v>
      </c>
    </row>
    <row r="47" spans="1:11" x14ac:dyDescent="0.15">
      <c r="A47" s="839">
        <v>46</v>
      </c>
      <c r="B47" s="840">
        <v>300000</v>
      </c>
      <c r="C47" s="839">
        <f>COUNTIF(Sheet1!G49:G401,A47)</f>
        <v>3</v>
      </c>
      <c r="D47" s="842">
        <f t="shared" si="0"/>
        <v>3.1698717922376236</v>
      </c>
      <c r="E47" s="841">
        <f t="shared" si="1"/>
        <v>316987.17922376236</v>
      </c>
      <c r="F47" s="841">
        <f t="shared" si="2"/>
        <v>316987.17922376236</v>
      </c>
      <c r="G47" s="839">
        <v>0</v>
      </c>
      <c r="H47" s="839">
        <f t="shared" si="3"/>
        <v>316987</v>
      </c>
      <c r="I47" s="841">
        <f t="shared" si="4"/>
        <v>733</v>
      </c>
      <c r="J47" s="841">
        <v>950961.53767128708</v>
      </c>
      <c r="K47" s="839">
        <v>2200</v>
      </c>
    </row>
    <row r="48" spans="1:11" x14ac:dyDescent="0.15">
      <c r="A48" s="839">
        <v>47</v>
      </c>
      <c r="B48" s="840">
        <v>500000</v>
      </c>
      <c r="C48" s="839">
        <f>COUNTIF(Sheet1!G50:G402,A48)</f>
        <v>3</v>
      </c>
      <c r="D48" s="842">
        <f t="shared" si="0"/>
        <v>1.9632945973130931</v>
      </c>
      <c r="E48" s="841">
        <f t="shared" si="1"/>
        <v>327215.76621884882</v>
      </c>
      <c r="F48" s="841">
        <f t="shared" si="2"/>
        <v>327215.76621884882</v>
      </c>
      <c r="G48" s="839">
        <v>0</v>
      </c>
      <c r="H48" s="839">
        <f t="shared" si="3"/>
        <v>327215</v>
      </c>
      <c r="I48" s="841">
        <f t="shared" si="4"/>
        <v>747</v>
      </c>
      <c r="J48" s="841">
        <v>981647.29865654651</v>
      </c>
      <c r="K48" s="839">
        <v>2240</v>
      </c>
    </row>
    <row r="49" spans="1:11" x14ac:dyDescent="0.15">
      <c r="A49" s="839">
        <v>48</v>
      </c>
      <c r="B49" s="840">
        <v>700000</v>
      </c>
      <c r="C49" s="839">
        <f>COUNTIF(Sheet1!G51:G403,A49)</f>
        <v>2</v>
      </c>
      <c r="D49" s="842">
        <f t="shared" si="0"/>
        <v>1.4466589502281055</v>
      </c>
      <c r="E49" s="841">
        <f t="shared" si="1"/>
        <v>506330.63257983694</v>
      </c>
      <c r="F49" s="841">
        <f t="shared" si="2"/>
        <v>506330.63257983694</v>
      </c>
      <c r="G49" s="839">
        <v>0</v>
      </c>
      <c r="H49" s="839">
        <f t="shared" si="3"/>
        <v>506330</v>
      </c>
      <c r="I49" s="841">
        <f t="shared" si="4"/>
        <v>1140</v>
      </c>
      <c r="J49" s="841">
        <v>1012661.2651596739</v>
      </c>
      <c r="K49" s="839">
        <v>2280</v>
      </c>
    </row>
    <row r="50" spans="1:11" x14ac:dyDescent="0.15">
      <c r="A50" s="839">
        <v>49</v>
      </c>
      <c r="B50" s="840">
        <v>900000</v>
      </c>
      <c r="C50" s="839">
        <f>COUNTIF(Sheet1!G52:G404,A50)</f>
        <v>3</v>
      </c>
      <c r="D50" s="842">
        <f t="shared" si="0"/>
        <v>1.1599999999999993</v>
      </c>
      <c r="E50" s="841">
        <f t="shared" si="1"/>
        <v>347999.99999999977</v>
      </c>
      <c r="F50" s="841">
        <f t="shared" si="2"/>
        <v>347999.99999999983</v>
      </c>
      <c r="G50" s="839">
        <v>0</v>
      </c>
      <c r="H50" s="839">
        <f t="shared" si="3"/>
        <v>348000</v>
      </c>
      <c r="I50" s="841">
        <f t="shared" si="4"/>
        <v>773</v>
      </c>
      <c r="J50" s="841">
        <v>1043999.9999999994</v>
      </c>
      <c r="K50" s="839">
        <v>2320</v>
      </c>
    </row>
    <row r="51" spans="1:11" x14ac:dyDescent="0.15">
      <c r="A51" s="839">
        <v>50</v>
      </c>
      <c r="B51" s="840">
        <v>1100000</v>
      </c>
      <c r="C51" s="839">
        <f>COUNTIF(Sheet1!G53:G405,A51)</f>
        <v>3</v>
      </c>
      <c r="D51" s="842">
        <f t="shared" si="0"/>
        <v>0.97787288343620082</v>
      </c>
      <c r="E51" s="841">
        <f t="shared" si="1"/>
        <v>358553.39059327362</v>
      </c>
      <c r="F51" s="841">
        <f t="shared" si="2"/>
        <v>358553.39059327362</v>
      </c>
      <c r="G51" s="839">
        <v>0</v>
      </c>
      <c r="H51" s="839">
        <f t="shared" si="3"/>
        <v>358553</v>
      </c>
      <c r="I51" s="841">
        <f t="shared" si="4"/>
        <v>787</v>
      </c>
      <c r="J51" s="841">
        <v>1075660.1717798209</v>
      </c>
      <c r="K51" s="839">
        <v>2360</v>
      </c>
    </row>
    <row r="52" spans="1:11" x14ac:dyDescent="0.15">
      <c r="A52" s="839">
        <v>51</v>
      </c>
      <c r="B52" s="840">
        <v>1300000</v>
      </c>
      <c r="C52" s="839">
        <v>4</v>
      </c>
      <c r="D52" s="842">
        <f t="shared" si="0"/>
        <v>0.85202965351311988</v>
      </c>
      <c r="E52" s="841">
        <f t="shared" si="1"/>
        <v>276909.63739176397</v>
      </c>
      <c r="F52" s="841">
        <f t="shared" si="2"/>
        <v>276909.63739176397</v>
      </c>
      <c r="G52" s="839">
        <v>0</v>
      </c>
      <c r="H52" s="839">
        <f t="shared" si="3"/>
        <v>276909</v>
      </c>
      <c r="I52" s="841">
        <f t="shared" si="4"/>
        <v>600</v>
      </c>
      <c r="J52" s="841">
        <v>1107638.5495670559</v>
      </c>
      <c r="K52" s="839">
        <v>2400</v>
      </c>
    </row>
    <row r="53" spans="1:11" x14ac:dyDescent="0.15">
      <c r="A53" s="839">
        <v>52</v>
      </c>
      <c r="B53" s="840">
        <v>1500000</v>
      </c>
      <c r="C53" s="839">
        <f>COUNTIF(Sheet1!G55:G407,A53)</f>
        <v>1</v>
      </c>
      <c r="D53" s="842">
        <f t="shared" si="0"/>
        <v>0.75995466529651012</v>
      </c>
      <c r="E53" s="841">
        <f t="shared" si="1"/>
        <v>1139931.9979447653</v>
      </c>
      <c r="F53" s="841">
        <f t="shared" si="2"/>
        <v>1139931.9979447653</v>
      </c>
      <c r="G53" s="839">
        <v>0</v>
      </c>
      <c r="H53" s="839">
        <f t="shared" si="3"/>
        <v>1139931</v>
      </c>
      <c r="I53" s="841">
        <f t="shared" si="4"/>
        <v>2440</v>
      </c>
      <c r="J53" s="841">
        <v>1139931.9979447653</v>
      </c>
      <c r="K53" s="839">
        <v>2440</v>
      </c>
    </row>
    <row r="54" spans="1:11" x14ac:dyDescent="0.15">
      <c r="A54" s="839">
        <v>53</v>
      </c>
      <c r="B54" s="840">
        <v>1700000</v>
      </c>
      <c r="C54" s="839">
        <v>2</v>
      </c>
      <c r="D54" s="842">
        <f t="shared" si="0"/>
        <v>0.68972792493858959</v>
      </c>
      <c r="E54" s="841">
        <f t="shared" si="1"/>
        <v>586268.73619780119</v>
      </c>
      <c r="F54" s="841">
        <f t="shared" si="2"/>
        <v>586268.73619780119</v>
      </c>
      <c r="G54" s="839">
        <v>0</v>
      </c>
      <c r="H54" s="839">
        <f t="shared" si="3"/>
        <v>586268</v>
      </c>
      <c r="I54" s="841">
        <f t="shared" si="4"/>
        <v>1240</v>
      </c>
      <c r="J54" s="841">
        <v>1172537.4723956024</v>
      </c>
      <c r="K54" s="839">
        <v>2480</v>
      </c>
    </row>
    <row r="55" spans="1:11" x14ac:dyDescent="0.15">
      <c r="A55" s="839">
        <v>54</v>
      </c>
      <c r="B55" s="840">
        <v>1900000</v>
      </c>
      <c r="C55" s="839">
        <v>4</v>
      </c>
      <c r="D55" s="842">
        <f t="shared" si="0"/>
        <v>0.63444842894348674</v>
      </c>
      <c r="E55" s="841">
        <f t="shared" si="1"/>
        <v>301363.00374815619</v>
      </c>
      <c r="F55" s="841">
        <f t="shared" si="2"/>
        <v>301363.00374815619</v>
      </c>
      <c r="G55" s="839">
        <v>0</v>
      </c>
      <c r="H55" s="839">
        <f t="shared" si="3"/>
        <v>301363</v>
      </c>
      <c r="I55" s="841">
        <f t="shared" si="4"/>
        <v>630</v>
      </c>
      <c r="J55" s="841">
        <v>1205452.0149926248</v>
      </c>
      <c r="K55" s="839">
        <v>2520</v>
      </c>
    </row>
    <row r="56" spans="1:11" x14ac:dyDescent="0.15">
      <c r="A56" s="839">
        <v>55</v>
      </c>
      <c r="B56" s="840">
        <v>2100000</v>
      </c>
      <c r="C56" s="839">
        <f>COUNTIF(Sheet1!G58:G410,A56)</f>
        <v>4</v>
      </c>
      <c r="D56" s="842">
        <f t="shared" si="0"/>
        <v>0.5898441668432306</v>
      </c>
      <c r="E56" s="841">
        <f t="shared" si="1"/>
        <v>309668.18759269605</v>
      </c>
      <c r="F56" s="841">
        <f t="shared" si="2"/>
        <v>309668.18759269605</v>
      </c>
      <c r="G56" s="839">
        <v>0</v>
      </c>
      <c r="H56" s="839">
        <f t="shared" si="3"/>
        <v>309668</v>
      </c>
      <c r="I56" s="841">
        <f t="shared" si="4"/>
        <v>640</v>
      </c>
      <c r="J56" s="841">
        <v>1238672.7503707842</v>
      </c>
      <c r="K56" s="839">
        <v>2560</v>
      </c>
    </row>
    <row r="57" spans="1:11" x14ac:dyDescent="0.15">
      <c r="A57" s="839">
        <v>56</v>
      </c>
      <c r="B57" s="840">
        <v>2300000</v>
      </c>
      <c r="C57" s="839">
        <v>4</v>
      </c>
      <c r="D57" s="842">
        <f t="shared" si="0"/>
        <v>0.55312907911132392</v>
      </c>
      <c r="E57" s="841">
        <f t="shared" si="1"/>
        <v>318049.22048901126</v>
      </c>
      <c r="F57" s="841">
        <f t="shared" si="2"/>
        <v>318049.22048901126</v>
      </c>
      <c r="G57" s="839">
        <v>0</v>
      </c>
      <c r="H57" s="839">
        <f t="shared" si="3"/>
        <v>318049</v>
      </c>
      <c r="I57" s="841">
        <f t="shared" si="4"/>
        <v>650</v>
      </c>
      <c r="J57" s="841">
        <v>1272196.8819560451</v>
      </c>
      <c r="K57" s="839">
        <v>2600</v>
      </c>
    </row>
    <row r="58" spans="1:11" x14ac:dyDescent="0.15">
      <c r="A58" s="839">
        <v>57</v>
      </c>
      <c r="B58" s="840">
        <v>2500000</v>
      </c>
      <c r="C58" s="839">
        <v>3</v>
      </c>
      <c r="D58" s="842">
        <f t="shared" si="0"/>
        <v>0.52240867537251956</v>
      </c>
      <c r="E58" s="841">
        <f t="shared" si="1"/>
        <v>435340.56281043292</v>
      </c>
      <c r="F58" s="841">
        <f t="shared" si="2"/>
        <v>435340.56281043292</v>
      </c>
      <c r="G58" s="839">
        <v>0</v>
      </c>
      <c r="H58" s="839">
        <f t="shared" si="3"/>
        <v>435340</v>
      </c>
      <c r="I58" s="841">
        <f t="shared" si="4"/>
        <v>880</v>
      </c>
      <c r="J58" s="841">
        <v>1306021.6884312988</v>
      </c>
      <c r="K58" s="839">
        <v>2640</v>
      </c>
    </row>
    <row r="59" spans="1:11" x14ac:dyDescent="0.15">
      <c r="A59" s="839">
        <v>58</v>
      </c>
      <c r="B59" s="840">
        <v>2700000</v>
      </c>
      <c r="C59" s="839">
        <f>COUNTIF(Sheet1!G61:G413,A59)</f>
        <v>4</v>
      </c>
      <c r="D59" s="842">
        <f t="shared" si="0"/>
        <v>0.49634982237789643</v>
      </c>
      <c r="E59" s="841">
        <f t="shared" si="1"/>
        <v>335036.13010508008</v>
      </c>
      <c r="F59" s="841">
        <f t="shared" si="2"/>
        <v>335036.13010508008</v>
      </c>
      <c r="G59" s="839">
        <v>0</v>
      </c>
      <c r="H59" s="839">
        <f t="shared" si="3"/>
        <v>335036</v>
      </c>
      <c r="I59" s="841">
        <f t="shared" si="4"/>
        <v>670</v>
      </c>
      <c r="J59" s="841">
        <v>1340144.5204203203</v>
      </c>
      <c r="K59" s="839">
        <v>2680</v>
      </c>
    </row>
    <row r="60" spans="1:11" x14ac:dyDescent="0.15">
      <c r="A60" s="839">
        <v>59</v>
      </c>
      <c r="B60" s="840">
        <v>2900000</v>
      </c>
      <c r="C60" s="839">
        <f>COUNTIF(Sheet1!G62:G414,A60)</f>
        <v>3</v>
      </c>
      <c r="D60" s="842">
        <f t="shared" si="0"/>
        <v>0.47398717150784309</v>
      </c>
      <c r="E60" s="841">
        <f t="shared" si="1"/>
        <v>458187.59912424831</v>
      </c>
      <c r="F60" s="841">
        <f t="shared" si="2"/>
        <v>458187.59912424831</v>
      </c>
      <c r="G60" s="839">
        <v>0</v>
      </c>
      <c r="H60" s="839">
        <f t="shared" si="3"/>
        <v>458187</v>
      </c>
      <c r="I60" s="841">
        <f t="shared" si="4"/>
        <v>907</v>
      </c>
      <c r="J60" s="841">
        <v>1374562.7973727449</v>
      </c>
      <c r="K60" s="839">
        <v>2720</v>
      </c>
    </row>
    <row r="61" spans="1:11" x14ac:dyDescent="0.15">
      <c r="A61" s="839">
        <v>60</v>
      </c>
      <c r="B61" s="840">
        <v>3100000</v>
      </c>
      <c r="C61" s="839">
        <f>COUNTIF(Sheet1!G63:G415,A61)</f>
        <v>6</v>
      </c>
      <c r="D61" s="842">
        <f t="shared" si="0"/>
        <v>0.45460451762408671</v>
      </c>
      <c r="E61" s="841">
        <f t="shared" si="1"/>
        <v>234879.00077244479</v>
      </c>
      <c r="F61" s="841">
        <f t="shared" si="2"/>
        <v>234879.00077244479</v>
      </c>
      <c r="G61" s="839">
        <v>0</v>
      </c>
      <c r="H61" s="839">
        <f t="shared" si="3"/>
        <v>234879</v>
      </c>
      <c r="I61" s="841">
        <f t="shared" si="4"/>
        <v>460</v>
      </c>
      <c r="J61" s="841">
        <v>1409274.0046346688</v>
      </c>
      <c r="K61" s="839">
        <v>2760</v>
      </c>
    </row>
    <row r="62" spans="1:11" x14ac:dyDescent="0.15">
      <c r="A62" s="839">
        <v>61</v>
      </c>
      <c r="B62" s="840">
        <v>6039140</v>
      </c>
      <c r="C62" s="839">
        <f>COUNTIF(Sheet1!G64:G416,A62)</f>
        <v>4</v>
      </c>
      <c r="D62" s="842">
        <f t="shared" si="0"/>
        <v>0.23915254335731889</v>
      </c>
      <c r="E62" s="841">
        <f t="shared" si="1"/>
        <v>361068.92267272971</v>
      </c>
      <c r="F62" s="841">
        <f t="shared" si="2"/>
        <v>361068.92267272971</v>
      </c>
      <c r="G62" s="839">
        <v>0</v>
      </c>
      <c r="H62" s="839">
        <f t="shared" si="3"/>
        <v>361068</v>
      </c>
      <c r="I62" s="841">
        <f t="shared" si="4"/>
        <v>700</v>
      </c>
      <c r="J62" s="841">
        <v>1444275.6906909188</v>
      </c>
      <c r="K62" s="839">
        <v>2800</v>
      </c>
    </row>
    <row r="63" spans="1:11" x14ac:dyDescent="0.15">
      <c r="A63" s="839">
        <v>62</v>
      </c>
      <c r="B63" s="840">
        <v>6183040</v>
      </c>
      <c r="C63" s="839">
        <f>COUNTIF(Sheet1!G65:G417,A63)</f>
        <v>3</v>
      </c>
      <c r="D63" s="842">
        <f t="shared" si="0"/>
        <v>0.2392941764190748</v>
      </c>
      <c r="E63" s="841">
        <f t="shared" si="1"/>
        <v>493188.48818873212</v>
      </c>
      <c r="F63" s="841">
        <f t="shared" si="2"/>
        <v>493188.48818873212</v>
      </c>
      <c r="G63" s="839">
        <v>0</v>
      </c>
      <c r="H63" s="839">
        <f t="shared" si="3"/>
        <v>493188</v>
      </c>
      <c r="I63" s="841">
        <f t="shared" si="4"/>
        <v>947</v>
      </c>
      <c r="J63" s="841">
        <v>1479565.4645661963</v>
      </c>
      <c r="K63" s="839">
        <v>2840</v>
      </c>
    </row>
    <row r="64" spans="1:11" x14ac:dyDescent="0.15">
      <c r="A64" s="839">
        <v>63</v>
      </c>
      <c r="B64" s="840">
        <v>6328100</v>
      </c>
      <c r="C64" s="839">
        <f>COUNTIF(Sheet1!G67:G418,A64)</f>
        <v>3</v>
      </c>
      <c r="D64" s="842">
        <f t="shared" si="0"/>
        <v>0.23943063374055751</v>
      </c>
      <c r="E64" s="841">
        <f t="shared" si="1"/>
        <v>505046.99779120734</v>
      </c>
      <c r="F64" s="841">
        <f t="shared" si="2"/>
        <v>505046.99779120734</v>
      </c>
      <c r="G64" s="839">
        <v>0</v>
      </c>
      <c r="H64" s="839">
        <f t="shared" si="3"/>
        <v>505046</v>
      </c>
      <c r="I64" s="841">
        <f t="shared" si="4"/>
        <v>960</v>
      </c>
      <c r="J64" s="841">
        <v>1515140.993373622</v>
      </c>
      <c r="K64" s="839">
        <v>2880</v>
      </c>
    </row>
    <row r="65" spans="1:11" x14ac:dyDescent="0.15">
      <c r="A65" s="839">
        <v>64</v>
      </c>
      <c r="B65" s="840">
        <v>6474320</v>
      </c>
      <c r="C65" s="839">
        <f>COUNTIF(Sheet1!G68:G419,A65)</f>
        <v>3</v>
      </c>
      <c r="D65" s="842">
        <f t="shared" si="0"/>
        <v>0.23956183815443144</v>
      </c>
      <c r="E65" s="841">
        <f t="shared" si="1"/>
        <v>516999.99999999953</v>
      </c>
      <c r="F65" s="841">
        <f t="shared" si="2"/>
        <v>516999.99999999953</v>
      </c>
      <c r="G65" s="839">
        <v>0</v>
      </c>
      <c r="H65" s="839">
        <f t="shared" si="3"/>
        <v>517000</v>
      </c>
      <c r="I65" s="841">
        <f t="shared" si="4"/>
        <v>973</v>
      </c>
      <c r="J65" s="841">
        <v>1550999.9999999986</v>
      </c>
      <c r="K65" s="839">
        <v>2920</v>
      </c>
    </row>
    <row r="66" spans="1:11" x14ac:dyDescent="0.15">
      <c r="A66" s="839">
        <v>65</v>
      </c>
      <c r="B66" s="840">
        <v>6621700</v>
      </c>
      <c r="C66" s="839">
        <f>COUNTIF(Sheet1!G69:G420,A66)</f>
        <v>4</v>
      </c>
      <c r="D66" s="842">
        <f t="shared" si="0"/>
        <v>0.23968773289611686</v>
      </c>
      <c r="E66" s="841">
        <f t="shared" si="1"/>
        <v>396785.06522955425</v>
      </c>
      <c r="F66" s="841">
        <f t="shared" si="2"/>
        <v>396785.06522955425</v>
      </c>
      <c r="G66" s="839">
        <v>0</v>
      </c>
      <c r="H66" s="839">
        <f t="shared" si="3"/>
        <v>396785</v>
      </c>
      <c r="I66" s="841">
        <f t="shared" si="4"/>
        <v>740</v>
      </c>
      <c r="J66" s="841">
        <v>1587140.260918217</v>
      </c>
      <c r="K66" s="839">
        <v>2960</v>
      </c>
    </row>
    <row r="67" spans="1:11" x14ac:dyDescent="0.15">
      <c r="A67" s="839">
        <v>66</v>
      </c>
      <c r="B67" s="840">
        <v>6770220</v>
      </c>
      <c r="C67" s="839">
        <f>COUNTIF(Sheet1!G70:G421,A67)</f>
        <v>2</v>
      </c>
      <c r="D67" s="842">
        <f t="shared" ref="D67:D91" si="5">J67/B67</f>
        <v>0.23980898761309369</v>
      </c>
      <c r="E67" s="841">
        <f t="shared" ref="E67:E91" si="6">B67*D67/(C67-G67)</f>
        <v>811779.80205895961</v>
      </c>
      <c r="F67" s="841">
        <f t="shared" ref="F67:F130" si="7">IF((C67-G67)&gt;0,J67/(C67-G67),J67)</f>
        <v>811779.80205895961</v>
      </c>
      <c r="G67" s="839">
        <v>0</v>
      </c>
      <c r="H67" s="839">
        <f t="shared" ref="H67:H130" si="8">FLOOR(F67,1)</f>
        <v>811779</v>
      </c>
      <c r="I67" s="841">
        <f t="shared" ref="I67:I130" si="9">ROUND(IF((C67-G67)&gt;0,K67/(C67-G67),K67),0)</f>
        <v>1500</v>
      </c>
      <c r="J67" s="841">
        <v>1623559.6041179192</v>
      </c>
      <c r="K67" s="839">
        <v>3000</v>
      </c>
    </row>
    <row r="68" spans="1:11" x14ac:dyDescent="0.15">
      <c r="A68" s="839">
        <v>67</v>
      </c>
      <c r="B68" s="840">
        <v>6919890</v>
      </c>
      <c r="C68" s="839">
        <f>COUNTIF(Sheet1!G71:G422,A68)</f>
        <v>3</v>
      </c>
      <c r="D68" s="842">
        <f t="shared" si="5"/>
        <v>0.23992518770477023</v>
      </c>
      <c r="E68" s="841">
        <f t="shared" si="6"/>
        <v>553418.63571545412</v>
      </c>
      <c r="F68" s="841">
        <f t="shared" si="7"/>
        <v>553418.63571545412</v>
      </c>
      <c r="G68" s="839">
        <v>0</v>
      </c>
      <c r="H68" s="839">
        <f t="shared" si="8"/>
        <v>553418</v>
      </c>
      <c r="I68" s="841">
        <f t="shared" si="9"/>
        <v>1013</v>
      </c>
      <c r="J68" s="841">
        <v>1660255.9071463624</v>
      </c>
      <c r="K68" s="839">
        <v>3040</v>
      </c>
    </row>
    <row r="69" spans="1:11" x14ac:dyDescent="0.15">
      <c r="A69" s="839">
        <v>68</v>
      </c>
      <c r="B69" s="840">
        <v>7070690</v>
      </c>
      <c r="C69" s="839">
        <f>COUNTIF(Sheet1!G72:G423,A69)</f>
        <v>3</v>
      </c>
      <c r="D69" s="842">
        <f t="shared" si="5"/>
        <v>0.24003698298921422</v>
      </c>
      <c r="E69" s="841">
        <f t="shared" si="6"/>
        <v>565742.36508400238</v>
      </c>
      <c r="F69" s="841">
        <f t="shared" si="7"/>
        <v>565742.36508400238</v>
      </c>
      <c r="G69" s="839">
        <v>0</v>
      </c>
      <c r="H69" s="839">
        <f t="shared" si="8"/>
        <v>565742</v>
      </c>
      <c r="I69" s="841">
        <f t="shared" si="9"/>
        <v>1027</v>
      </c>
      <c r="J69" s="841">
        <v>1697227.095252007</v>
      </c>
      <c r="K69" s="839">
        <v>3080</v>
      </c>
    </row>
    <row r="70" spans="1:11" x14ac:dyDescent="0.15">
      <c r="A70" s="839">
        <v>69</v>
      </c>
      <c r="B70" s="840">
        <v>7222630</v>
      </c>
      <c r="C70" s="839">
        <f>COUNTIF(Sheet1!G73:G424,A70)</f>
        <v>3</v>
      </c>
      <c r="D70" s="842">
        <f t="shared" si="5"/>
        <v>0.24014398351072136</v>
      </c>
      <c r="E70" s="841">
        <f t="shared" si="6"/>
        <v>578157.04654134717</v>
      </c>
      <c r="F70" s="841">
        <f t="shared" si="7"/>
        <v>578157.04654134717</v>
      </c>
      <c r="G70" s="839">
        <v>0</v>
      </c>
      <c r="H70" s="839">
        <f t="shared" si="8"/>
        <v>578157</v>
      </c>
      <c r="I70" s="841">
        <f t="shared" si="9"/>
        <v>1040</v>
      </c>
      <c r="J70" s="841">
        <v>1734471.1396240415</v>
      </c>
      <c r="K70" s="839">
        <v>3120</v>
      </c>
    </row>
    <row r="71" spans="1:11" x14ac:dyDescent="0.15">
      <c r="A71" s="839">
        <v>70</v>
      </c>
      <c r="B71" s="840">
        <v>7375680</v>
      </c>
      <c r="C71" s="839">
        <f>COUNTIF(Sheet1!G74:G425,A71)</f>
        <v>3</v>
      </c>
      <c r="D71" s="842">
        <f t="shared" si="5"/>
        <v>0.24024714408997686</v>
      </c>
      <c r="E71" s="841">
        <f t="shared" si="6"/>
        <v>590662.01857385354</v>
      </c>
      <c r="F71" s="841">
        <f t="shared" si="7"/>
        <v>590662.01857385354</v>
      </c>
      <c r="G71" s="839">
        <v>0</v>
      </c>
      <c r="H71" s="839">
        <f t="shared" si="8"/>
        <v>590662</v>
      </c>
      <c r="I71" s="841">
        <f t="shared" si="9"/>
        <v>1053</v>
      </c>
      <c r="J71" s="841">
        <v>1771986.0557215605</v>
      </c>
      <c r="K71" s="839">
        <v>3160</v>
      </c>
    </row>
    <row r="72" spans="1:11" x14ac:dyDescent="0.15">
      <c r="A72" s="839">
        <v>71</v>
      </c>
      <c r="B72" s="840">
        <v>7529860</v>
      </c>
      <c r="C72" s="839">
        <f>COUNTIF(Sheet1!G75:G426,A72)</f>
        <v>3</v>
      </c>
      <c r="D72" s="842">
        <f t="shared" si="5"/>
        <v>0.24034575698440147</v>
      </c>
      <c r="E72" s="841">
        <f t="shared" si="6"/>
        <v>603256.63389552175</v>
      </c>
      <c r="F72" s="841">
        <f t="shared" si="7"/>
        <v>603256.63389552175</v>
      </c>
      <c r="G72" s="839">
        <v>0</v>
      </c>
      <c r="H72" s="839">
        <f t="shared" si="8"/>
        <v>603256</v>
      </c>
      <c r="I72" s="841">
        <f t="shared" si="9"/>
        <v>1067</v>
      </c>
      <c r="J72" s="841">
        <v>1809769.9016865653</v>
      </c>
      <c r="K72" s="839">
        <v>3200</v>
      </c>
    </row>
    <row r="73" spans="1:11" x14ac:dyDescent="0.15">
      <c r="A73" s="839">
        <v>72</v>
      </c>
      <c r="B73" s="840">
        <v>7685140</v>
      </c>
      <c r="C73" s="839">
        <f>COUNTIF(Sheet1!G77:G427,A73)</f>
        <v>3</v>
      </c>
      <c r="D73" s="842">
        <f t="shared" si="5"/>
        <v>0.24044074367357393</v>
      </c>
      <c r="E73" s="841">
        <f t="shared" si="6"/>
        <v>615940.25894517673</v>
      </c>
      <c r="F73" s="841">
        <f t="shared" si="7"/>
        <v>615940.25894517673</v>
      </c>
      <c r="G73" s="839">
        <v>0</v>
      </c>
      <c r="H73" s="839">
        <f t="shared" si="8"/>
        <v>615940</v>
      </c>
      <c r="I73" s="841">
        <f t="shared" si="9"/>
        <v>1080</v>
      </c>
      <c r="J73" s="841">
        <v>1847820.7768355301</v>
      </c>
      <c r="K73" s="839">
        <v>3240</v>
      </c>
    </row>
    <row r="74" spans="1:11" x14ac:dyDescent="0.15">
      <c r="A74" s="839">
        <v>73</v>
      </c>
      <c r="B74" s="840">
        <v>7841530</v>
      </c>
      <c r="C74" s="839">
        <f>COUNTIF(Sheet1!G76:G428,A74)</f>
        <v>3</v>
      </c>
      <c r="D74" s="842">
        <f t="shared" si="5"/>
        <v>0.24053173554453514</v>
      </c>
      <c r="E74" s="841">
        <f t="shared" si="6"/>
        <v>628712.27340817952</v>
      </c>
      <c r="F74" s="841">
        <f t="shared" si="7"/>
        <v>628712.27340817952</v>
      </c>
      <c r="G74" s="839">
        <v>0</v>
      </c>
      <c r="H74" s="839">
        <f t="shared" si="8"/>
        <v>628712</v>
      </c>
      <c r="I74" s="841">
        <f t="shared" si="9"/>
        <v>1093</v>
      </c>
      <c r="J74" s="841">
        <v>1886136.8202245387</v>
      </c>
      <c r="K74" s="839">
        <v>3280</v>
      </c>
    </row>
    <row r="75" spans="1:11" x14ac:dyDescent="0.15">
      <c r="A75" s="839">
        <v>74</v>
      </c>
      <c r="B75" s="840">
        <v>7999020</v>
      </c>
      <c r="C75" s="839">
        <f>COUNTIF(Sheet1!G78:G429,A75)</f>
        <v>2</v>
      </c>
      <c r="D75" s="842">
        <f t="shared" si="5"/>
        <v>0.24061900198817668</v>
      </c>
      <c r="E75" s="841">
        <f t="shared" si="6"/>
        <v>962358.10464173253</v>
      </c>
      <c r="F75" s="841">
        <f t="shared" si="7"/>
        <v>962358.10464173253</v>
      </c>
      <c r="G75" s="839">
        <v>0</v>
      </c>
      <c r="H75" s="839">
        <f t="shared" si="8"/>
        <v>962358</v>
      </c>
      <c r="I75" s="841">
        <f t="shared" si="9"/>
        <v>1660</v>
      </c>
      <c r="J75" s="841">
        <v>1924716.2092834651</v>
      </c>
      <c r="K75" s="839">
        <v>3320</v>
      </c>
    </row>
    <row r="76" spans="1:11" x14ac:dyDescent="0.15">
      <c r="A76" s="839">
        <v>75</v>
      </c>
      <c r="B76" s="840">
        <v>8157610</v>
      </c>
      <c r="C76" s="839">
        <f>COUNTIF(Sheet1!G79:G430,A76)</f>
        <v>6</v>
      </c>
      <c r="D76" s="842">
        <f t="shared" si="5"/>
        <v>0.24070250459570708</v>
      </c>
      <c r="E76" s="841">
        <f t="shared" si="6"/>
        <v>327259.52641916432</v>
      </c>
      <c r="F76" s="841">
        <f t="shared" si="7"/>
        <v>327259.52641916432</v>
      </c>
      <c r="G76" s="839">
        <v>0</v>
      </c>
      <c r="H76" s="839">
        <f t="shared" si="8"/>
        <v>327259</v>
      </c>
      <c r="I76" s="841">
        <f t="shared" si="9"/>
        <v>560</v>
      </c>
      <c r="J76" s="841">
        <v>1963557.158514986</v>
      </c>
      <c r="K76" s="839">
        <v>3360</v>
      </c>
    </row>
    <row r="77" spans="1:11" x14ac:dyDescent="0.15">
      <c r="A77" s="839">
        <v>76</v>
      </c>
      <c r="B77" s="840">
        <v>8317280</v>
      </c>
      <c r="C77" s="839">
        <f>COUNTIF(Sheet1!G80:G431,A77)</f>
        <v>4</v>
      </c>
      <c r="D77" s="842">
        <f t="shared" si="5"/>
        <v>0.24078279416522555</v>
      </c>
      <c r="E77" s="841">
        <f t="shared" si="6"/>
        <v>500664.47956363676</v>
      </c>
      <c r="F77" s="841">
        <f t="shared" si="7"/>
        <v>500664.47956363676</v>
      </c>
      <c r="G77" s="839">
        <v>0</v>
      </c>
      <c r="H77" s="839">
        <f t="shared" si="8"/>
        <v>500664</v>
      </c>
      <c r="I77" s="841">
        <f t="shared" si="9"/>
        <v>850</v>
      </c>
      <c r="J77" s="841">
        <v>2002657.9182545471</v>
      </c>
      <c r="K77" s="839">
        <v>3400</v>
      </c>
    </row>
    <row r="78" spans="1:11" x14ac:dyDescent="0.15">
      <c r="A78" s="839">
        <v>77</v>
      </c>
      <c r="B78" s="840">
        <v>8478040</v>
      </c>
      <c r="C78" s="839">
        <f>COUNTIF(Sheet1!G81:G432,A78)</f>
        <v>3</v>
      </c>
      <c r="D78" s="842">
        <f t="shared" si="5"/>
        <v>0.240859535162323</v>
      </c>
      <c r="E78" s="841">
        <f t="shared" si="6"/>
        <v>680672.25782919361</v>
      </c>
      <c r="F78" s="841">
        <f t="shared" si="7"/>
        <v>680672.25782919361</v>
      </c>
      <c r="G78" s="839">
        <v>0</v>
      </c>
      <c r="H78" s="839">
        <f t="shared" si="8"/>
        <v>680672</v>
      </c>
      <c r="I78" s="841">
        <f t="shared" si="9"/>
        <v>1147</v>
      </c>
      <c r="J78" s="841">
        <v>2042016.7734875809</v>
      </c>
      <c r="K78" s="839">
        <v>3440</v>
      </c>
    </row>
    <row r="79" spans="1:11" x14ac:dyDescent="0.15">
      <c r="A79" s="839">
        <v>78</v>
      </c>
      <c r="B79" s="840">
        <v>8639880</v>
      </c>
      <c r="C79" s="839">
        <f>COUNTIF(Sheet1!G82:G433,A79)</f>
        <v>3</v>
      </c>
      <c r="D79" s="842">
        <f t="shared" si="5"/>
        <v>0.24093298086555798</v>
      </c>
      <c r="E79" s="841">
        <f t="shared" si="6"/>
        <v>693877.34757357242</v>
      </c>
      <c r="F79" s="841">
        <f t="shared" si="7"/>
        <v>693877.34757357242</v>
      </c>
      <c r="G79" s="839">
        <v>0</v>
      </c>
      <c r="H79" s="839">
        <f t="shared" si="8"/>
        <v>693877</v>
      </c>
      <c r="I79" s="841">
        <f t="shared" si="9"/>
        <v>1160</v>
      </c>
      <c r="J79" s="841">
        <v>2081632.0427207171</v>
      </c>
      <c r="K79" s="839">
        <v>3480</v>
      </c>
    </row>
    <row r="80" spans="1:11" x14ac:dyDescent="0.15">
      <c r="A80" s="839">
        <v>79</v>
      </c>
      <c r="B80" s="840">
        <v>8802790</v>
      </c>
      <c r="C80" s="839">
        <f>COUNTIF(Sheet1!G83:G434,A80)</f>
        <v>3</v>
      </c>
      <c r="D80" s="842">
        <f t="shared" si="5"/>
        <v>0.24100337244257719</v>
      </c>
      <c r="E80" s="841">
        <f t="shared" si="6"/>
        <v>707167.35896793136</v>
      </c>
      <c r="F80" s="841">
        <f t="shared" si="7"/>
        <v>707167.35896793136</v>
      </c>
      <c r="G80" s="839">
        <v>0</v>
      </c>
      <c r="H80" s="839">
        <f t="shared" si="8"/>
        <v>707167</v>
      </c>
      <c r="I80" s="841">
        <f t="shared" si="9"/>
        <v>1173</v>
      </c>
      <c r="J80" s="841">
        <v>2121502.076903794</v>
      </c>
      <c r="K80" s="839">
        <v>3520</v>
      </c>
    </row>
    <row r="81" spans="1:11" x14ac:dyDescent="0.15">
      <c r="A81" s="839">
        <v>80</v>
      </c>
      <c r="B81" s="840">
        <v>8966780</v>
      </c>
      <c r="C81" s="839">
        <f>COUNTIF(Sheet1!G84:G435,A81)</f>
        <v>3</v>
      </c>
      <c r="D81" s="842">
        <f t="shared" si="5"/>
        <v>0.24107040190567819</v>
      </c>
      <c r="E81" s="841">
        <f t="shared" si="6"/>
        <v>720541.75279993238</v>
      </c>
      <c r="F81" s="841">
        <f t="shared" si="7"/>
        <v>720541.75279993238</v>
      </c>
      <c r="G81" s="839">
        <v>0</v>
      </c>
      <c r="H81" s="839">
        <f t="shared" si="8"/>
        <v>720541</v>
      </c>
      <c r="I81" s="841">
        <f t="shared" si="9"/>
        <v>1187</v>
      </c>
      <c r="J81" s="841">
        <v>2161625.2583997971</v>
      </c>
      <c r="K81" s="839">
        <v>3560</v>
      </c>
    </row>
    <row r="82" spans="1:11" x14ac:dyDescent="0.15">
      <c r="A82" s="839">
        <v>81</v>
      </c>
      <c r="B82" s="840">
        <v>9131820</v>
      </c>
      <c r="C82" s="839">
        <f>COUNTIF(Sheet1!G85:G436,A82)</f>
        <v>2</v>
      </c>
      <c r="D82" s="842">
        <f t="shared" si="5"/>
        <v>0.24113484497066306</v>
      </c>
      <c r="E82" s="841">
        <f t="shared" si="6"/>
        <v>1101000.0000000002</v>
      </c>
      <c r="F82" s="841">
        <f t="shared" si="7"/>
        <v>1101000.0000000002</v>
      </c>
      <c r="G82" s="839">
        <v>0</v>
      </c>
      <c r="H82" s="839">
        <f t="shared" si="8"/>
        <v>1101000</v>
      </c>
      <c r="I82" s="841">
        <f t="shared" si="9"/>
        <v>1800</v>
      </c>
      <c r="J82" s="841">
        <v>2202000.0000000005</v>
      </c>
      <c r="K82" s="839">
        <v>3600</v>
      </c>
    </row>
    <row r="83" spans="1:11" x14ac:dyDescent="0.15">
      <c r="A83" s="839">
        <v>82</v>
      </c>
      <c r="B83" s="840">
        <v>9297930</v>
      </c>
      <c r="C83" s="839">
        <f>COUNTIF(Sheet1!G86:G437,A83)</f>
        <v>3</v>
      </c>
      <c r="D83" s="842">
        <f t="shared" si="5"/>
        <v>0.24119613117993</v>
      </c>
      <c r="E83" s="841">
        <f t="shared" si="6"/>
        <v>747541.58132726885</v>
      </c>
      <c r="F83" s="841">
        <f t="shared" si="7"/>
        <v>747541.58132726885</v>
      </c>
      <c r="G83" s="839">
        <v>0</v>
      </c>
      <c r="H83" s="839">
        <f t="shared" si="8"/>
        <v>747541</v>
      </c>
      <c r="I83" s="841">
        <f t="shared" si="9"/>
        <v>1213</v>
      </c>
      <c r="J83" s="841">
        <v>2242624.7439818066</v>
      </c>
      <c r="K83" s="839">
        <v>3640</v>
      </c>
    </row>
    <row r="84" spans="1:11" x14ac:dyDescent="0.15">
      <c r="A84" s="839">
        <v>83</v>
      </c>
      <c r="B84" s="840">
        <v>9465090</v>
      </c>
      <c r="C84" s="839">
        <f>COUNTIF(Sheet1!G87:G438,A84)</f>
        <v>2</v>
      </c>
      <c r="D84" s="842">
        <f t="shared" si="5"/>
        <v>0.24125475417633976</v>
      </c>
      <c r="E84" s="841">
        <f t="shared" si="6"/>
        <v>1141748.9806034658</v>
      </c>
      <c r="F84" s="841">
        <f t="shared" si="7"/>
        <v>1141748.9806034658</v>
      </c>
      <c r="G84" s="839">
        <v>0</v>
      </c>
      <c r="H84" s="839">
        <f t="shared" si="8"/>
        <v>1141748</v>
      </c>
      <c r="I84" s="841">
        <f t="shared" si="9"/>
        <v>1840</v>
      </c>
      <c r="J84" s="841">
        <v>2283497.9612069316</v>
      </c>
      <c r="K84" s="839">
        <v>3680</v>
      </c>
    </row>
    <row r="85" spans="1:11" x14ac:dyDescent="0.15">
      <c r="A85" s="839">
        <v>84</v>
      </c>
      <c r="B85" s="840">
        <v>9633300</v>
      </c>
      <c r="C85" s="839">
        <f>COUNTIF(Sheet1!G88:G439,A85)</f>
        <v>4</v>
      </c>
      <c r="D85" s="842">
        <f t="shared" si="5"/>
        <v>0.24131067757235242</v>
      </c>
      <c r="E85" s="841">
        <f t="shared" si="6"/>
        <v>581154.53756443562</v>
      </c>
      <c r="F85" s="841">
        <f t="shared" si="7"/>
        <v>581154.53756443562</v>
      </c>
      <c r="G85" s="839">
        <v>0</v>
      </c>
      <c r="H85" s="839">
        <f t="shared" si="8"/>
        <v>581154</v>
      </c>
      <c r="I85" s="841">
        <f t="shared" si="9"/>
        <v>930</v>
      </c>
      <c r="J85" s="841">
        <v>2324618.1502577425</v>
      </c>
      <c r="K85" s="839">
        <v>3720</v>
      </c>
    </row>
    <row r="86" spans="1:11" x14ac:dyDescent="0.15">
      <c r="A86" s="839">
        <v>85</v>
      </c>
      <c r="B86" s="840">
        <v>9802550</v>
      </c>
      <c r="C86" s="839">
        <f>COUNTIF(Sheet1!G89:G440,A86)</f>
        <v>4</v>
      </c>
      <c r="D86" s="842">
        <f t="shared" si="5"/>
        <v>0.24136411817432069</v>
      </c>
      <c r="E86" s="841">
        <f t="shared" si="6"/>
        <v>591495.9591524218</v>
      </c>
      <c r="F86" s="841">
        <f t="shared" si="7"/>
        <v>591495.9591524218</v>
      </c>
      <c r="G86" s="839">
        <v>0</v>
      </c>
      <c r="H86" s="839">
        <f t="shared" si="8"/>
        <v>591495</v>
      </c>
      <c r="I86" s="841">
        <f t="shared" si="9"/>
        <v>940</v>
      </c>
      <c r="J86" s="841">
        <v>2365983.8366096872</v>
      </c>
      <c r="K86" s="839">
        <v>3760</v>
      </c>
    </row>
    <row r="87" spans="1:11" x14ac:dyDescent="0.15">
      <c r="A87" s="839">
        <v>86</v>
      </c>
      <c r="B87" s="840">
        <v>9972850</v>
      </c>
      <c r="C87" s="839">
        <f>COUNTIF(Sheet1!G90:G441,A87)</f>
        <v>3</v>
      </c>
      <c r="D87" s="842">
        <f t="shared" si="5"/>
        <v>0.24141479836134003</v>
      </c>
      <c r="E87" s="841">
        <f t="shared" si="6"/>
        <v>802531.19061262999</v>
      </c>
      <c r="F87" s="841">
        <f t="shared" si="7"/>
        <v>802531.19061262999</v>
      </c>
      <c r="G87" s="839">
        <v>0</v>
      </c>
      <c r="H87" s="839">
        <f t="shared" si="8"/>
        <v>802531</v>
      </c>
      <c r="I87" s="841">
        <f t="shared" si="9"/>
        <v>1267</v>
      </c>
      <c r="J87" s="841">
        <v>2407593.57183789</v>
      </c>
      <c r="K87" s="839">
        <v>3800</v>
      </c>
    </row>
    <row r="88" spans="1:11" x14ac:dyDescent="0.15">
      <c r="A88" s="839">
        <v>87</v>
      </c>
      <c r="B88" s="840">
        <v>10144180</v>
      </c>
      <c r="C88" s="839">
        <f>COUNTIF(Sheet1!G91:G442,A88)</f>
        <v>2</v>
      </c>
      <c r="D88" s="842">
        <f t="shared" si="5"/>
        <v>0.24146317719679469</v>
      </c>
      <c r="E88" s="841">
        <f t="shared" si="6"/>
        <v>1224722.9664280904</v>
      </c>
      <c r="F88" s="841">
        <f t="shared" si="7"/>
        <v>1224722.9664280904</v>
      </c>
      <c r="G88" s="839">
        <v>0</v>
      </c>
      <c r="H88" s="839">
        <f t="shared" si="8"/>
        <v>1224722</v>
      </c>
      <c r="I88" s="841">
        <f t="shared" si="9"/>
        <v>1920</v>
      </c>
      <c r="J88" s="841">
        <v>2449445.9328561807</v>
      </c>
      <c r="K88" s="839">
        <v>3840</v>
      </c>
    </row>
    <row r="89" spans="1:11" x14ac:dyDescent="0.15">
      <c r="A89" s="839">
        <v>88</v>
      </c>
      <c r="B89" s="840">
        <v>10316550</v>
      </c>
      <c r="C89" s="839">
        <f>COUNTIF(Sheet1!G92:G443,A89)</f>
        <v>3</v>
      </c>
      <c r="D89" s="842">
        <f t="shared" si="5"/>
        <v>0.24150898519241143</v>
      </c>
      <c r="E89" s="841">
        <f t="shared" si="6"/>
        <v>830513.17372892413</v>
      </c>
      <c r="F89" s="841">
        <f t="shared" si="7"/>
        <v>830513.17372892413</v>
      </c>
      <c r="G89" s="839">
        <v>0</v>
      </c>
      <c r="H89" s="839">
        <f t="shared" si="8"/>
        <v>830513</v>
      </c>
      <c r="I89" s="841">
        <f t="shared" si="9"/>
        <v>1293</v>
      </c>
      <c r="J89" s="841">
        <v>2491539.5211867723</v>
      </c>
      <c r="K89" s="839">
        <v>3880</v>
      </c>
    </row>
    <row r="90" spans="1:11" x14ac:dyDescent="0.15">
      <c r="A90" s="839">
        <v>89</v>
      </c>
      <c r="B90" s="840">
        <v>10489940</v>
      </c>
      <c r="C90" s="839">
        <f>COUNTIF(Sheet1!G93:G444,A90)</f>
        <v>2</v>
      </c>
      <c r="D90" s="842">
        <f t="shared" si="5"/>
        <v>0.2415526649589142</v>
      </c>
      <c r="E90" s="841">
        <f t="shared" si="6"/>
        <v>1266936.4811295562</v>
      </c>
      <c r="F90" s="841">
        <f t="shared" si="7"/>
        <v>1266936.4811295562</v>
      </c>
      <c r="G90" s="839">
        <v>0</v>
      </c>
      <c r="H90" s="839">
        <f t="shared" si="8"/>
        <v>1266936</v>
      </c>
      <c r="I90" s="841">
        <f t="shared" si="9"/>
        <v>1960</v>
      </c>
      <c r="J90" s="841">
        <v>2533872.9622591124</v>
      </c>
      <c r="K90" s="839">
        <v>3920</v>
      </c>
    </row>
    <row r="91" spans="1:11" x14ac:dyDescent="0.15">
      <c r="A91" s="839">
        <v>90</v>
      </c>
      <c r="B91" s="840">
        <v>10664360</v>
      </c>
      <c r="C91" s="839">
        <f>COUNTIF(Sheet1!G94:G445,A91)</f>
        <v>2</v>
      </c>
      <c r="D91" s="842">
        <f t="shared" si="5"/>
        <v>0.24159395451169949</v>
      </c>
      <c r="E91" s="841">
        <f t="shared" si="6"/>
        <v>1288222.4523681938</v>
      </c>
      <c r="F91" s="841">
        <f t="shared" si="7"/>
        <v>1288222.4523681938</v>
      </c>
      <c r="G91" s="839">
        <v>0</v>
      </c>
      <c r="H91" s="839">
        <f t="shared" si="8"/>
        <v>1288222</v>
      </c>
      <c r="I91" s="841">
        <f t="shared" si="9"/>
        <v>1980</v>
      </c>
      <c r="J91" s="841">
        <v>2576444.9047363875</v>
      </c>
      <c r="K91" s="839">
        <v>3960</v>
      </c>
    </row>
    <row r="92" spans="1:11" x14ac:dyDescent="0.15">
      <c r="A92" s="839">
        <v>91</v>
      </c>
      <c r="B92" s="840">
        <v>21679600</v>
      </c>
      <c r="C92" s="839">
        <f>COUNTIF(Sheet1!G95:G446,A92)</f>
        <v>2</v>
      </c>
      <c r="D92" s="842">
        <f>J92/B92</f>
        <v>0.12081652889667063</v>
      </c>
      <c r="F92" s="841">
        <f t="shared" si="7"/>
        <v>1309627.0099341304</v>
      </c>
      <c r="G92" s="839">
        <v>0</v>
      </c>
      <c r="H92" s="839">
        <f t="shared" si="8"/>
        <v>1309627</v>
      </c>
      <c r="I92" s="841">
        <f t="shared" si="9"/>
        <v>2000</v>
      </c>
      <c r="J92" s="841">
        <v>2619254.0198682607</v>
      </c>
      <c r="K92" s="839">
        <v>4000</v>
      </c>
    </row>
    <row r="93" spans="1:11" x14ac:dyDescent="0.15">
      <c r="A93" s="839">
        <v>92</v>
      </c>
      <c r="B93" s="840">
        <v>22032510</v>
      </c>
      <c r="C93" s="839">
        <f>COUNTIF(Sheet1!G96:G447,A93)</f>
        <v>3</v>
      </c>
      <c r="D93" s="842">
        <f t="shared" ref="D93:D151" si="10">J93/B93</f>
        <v>0.12083502972964141</v>
      </c>
      <c r="F93" s="841">
        <f t="shared" si="7"/>
        <v>887433.00028954062</v>
      </c>
      <c r="G93" s="839">
        <v>0</v>
      </c>
      <c r="H93" s="839">
        <f t="shared" si="8"/>
        <v>887433</v>
      </c>
      <c r="I93" s="841">
        <f t="shared" si="9"/>
        <v>1347</v>
      </c>
      <c r="J93" s="841">
        <v>2662299.0008686217</v>
      </c>
      <c r="K93" s="839">
        <v>4040</v>
      </c>
    </row>
    <row r="94" spans="1:11" x14ac:dyDescent="0.15">
      <c r="A94" s="839">
        <v>93</v>
      </c>
      <c r="B94" s="840">
        <v>22387440</v>
      </c>
      <c r="C94" s="839">
        <f>COUNTIF(Sheet1!G98:G448,A94)</f>
        <v>2</v>
      </c>
      <c r="D94" s="842">
        <f t="shared" si="10"/>
        <v>0.12085252098127502</v>
      </c>
      <c r="F94" s="841">
        <f t="shared" si="7"/>
        <v>1352789.2811585178</v>
      </c>
      <c r="G94" s="839">
        <v>0</v>
      </c>
      <c r="H94" s="839">
        <f t="shared" si="8"/>
        <v>1352789</v>
      </c>
      <c r="I94" s="841">
        <f t="shared" si="9"/>
        <v>2040</v>
      </c>
      <c r="J94" s="841">
        <v>2705578.5623170356</v>
      </c>
      <c r="K94" s="839">
        <v>4080</v>
      </c>
    </row>
    <row r="95" spans="1:11" x14ac:dyDescent="0.15">
      <c r="A95" s="839">
        <v>94</v>
      </c>
      <c r="B95" s="840">
        <v>22744390</v>
      </c>
      <c r="C95" s="839">
        <f>COUNTIF(Sheet1!G99:G449,A95)</f>
        <v>2</v>
      </c>
      <c r="D95" s="842">
        <f t="shared" si="10"/>
        <v>0.12086898965339632</v>
      </c>
      <c r="F95" s="841">
        <f t="shared" si="7"/>
        <v>1374545.7197914054</v>
      </c>
      <c r="G95" s="839">
        <v>0</v>
      </c>
      <c r="H95" s="839">
        <f t="shared" si="8"/>
        <v>1374545</v>
      </c>
      <c r="I95" s="841">
        <f t="shared" si="9"/>
        <v>2060</v>
      </c>
      <c r="J95" s="841">
        <v>2749091.4395828107</v>
      </c>
      <c r="K95" s="839">
        <v>4120</v>
      </c>
    </row>
    <row r="96" spans="1:11" x14ac:dyDescent="0.15">
      <c r="A96" s="839">
        <v>95</v>
      </c>
      <c r="B96" s="840">
        <v>23103340</v>
      </c>
      <c r="C96" s="839">
        <f>COUNTIF(Sheet1!G100:G450,A96)</f>
        <v>2</v>
      </c>
      <c r="D96" s="842">
        <f t="shared" si="10"/>
        <v>0.12088452960786418</v>
      </c>
      <c r="F96" s="841">
        <f t="shared" si="7"/>
        <v>1396418.1941352764</v>
      </c>
      <c r="G96" s="839">
        <v>0</v>
      </c>
      <c r="H96" s="839">
        <f t="shared" si="8"/>
        <v>1396418</v>
      </c>
      <c r="I96" s="841">
        <f t="shared" si="9"/>
        <v>2080</v>
      </c>
      <c r="J96" s="841">
        <v>2792836.3882705527</v>
      </c>
      <c r="K96" s="839">
        <v>4160</v>
      </c>
    </row>
    <row r="97" spans="1:11" x14ac:dyDescent="0.15">
      <c r="A97" s="839">
        <v>96</v>
      </c>
      <c r="B97" s="840">
        <v>23464290</v>
      </c>
      <c r="C97" s="839">
        <f>COUNTIF(Sheet1!G101:G451,A97)</f>
        <v>2</v>
      </c>
      <c r="D97" s="842">
        <f t="shared" si="10"/>
        <v>0.1208991272988111</v>
      </c>
      <c r="F97" s="841">
        <f t="shared" si="7"/>
        <v>1418406.09184311</v>
      </c>
      <c r="G97" s="839">
        <v>0</v>
      </c>
      <c r="H97" s="839">
        <f t="shared" si="8"/>
        <v>1418406</v>
      </c>
      <c r="I97" s="841">
        <f t="shared" si="9"/>
        <v>2100</v>
      </c>
      <c r="J97" s="841">
        <v>2836812.1836862201</v>
      </c>
      <c r="K97" s="839">
        <v>4200</v>
      </c>
    </row>
    <row r="98" spans="1:11" x14ac:dyDescent="0.15">
      <c r="A98" s="839">
        <v>97</v>
      </c>
      <c r="B98" s="840">
        <v>23827240</v>
      </c>
      <c r="C98" s="839">
        <f>COUNTIF(Sheet1!G105:G452,A98)</f>
        <v>2</v>
      </c>
      <c r="D98" s="842">
        <f t="shared" si="10"/>
        <v>0.12091277127869893</v>
      </c>
      <c r="F98" s="841">
        <f t="shared" si="7"/>
        <v>1440508.8101613331</v>
      </c>
      <c r="G98" s="839">
        <v>0</v>
      </c>
      <c r="H98" s="839">
        <f t="shared" si="8"/>
        <v>1440508</v>
      </c>
      <c r="I98" s="841">
        <f t="shared" si="9"/>
        <v>2120</v>
      </c>
      <c r="J98" s="841">
        <v>2881017.6203226661</v>
      </c>
      <c r="K98" s="839">
        <v>4240</v>
      </c>
    </row>
    <row r="99" spans="1:11" x14ac:dyDescent="0.15">
      <c r="A99" s="839">
        <v>98</v>
      </c>
      <c r="B99" s="840">
        <v>24192170</v>
      </c>
      <c r="C99" s="839">
        <f>COUNTIF(Sheet1!G106:G453,A99)</f>
        <v>2</v>
      </c>
      <c r="D99" s="842">
        <f t="shared" si="10"/>
        <v>0.1209255520014877</v>
      </c>
      <c r="F99" s="841">
        <f t="shared" si="7"/>
        <v>1462725.7556819154</v>
      </c>
      <c r="G99" s="839">
        <v>0</v>
      </c>
      <c r="H99" s="839">
        <f t="shared" si="8"/>
        <v>1462725</v>
      </c>
      <c r="I99" s="841">
        <f t="shared" si="9"/>
        <v>2140</v>
      </c>
      <c r="J99" s="841">
        <v>2925451.5113638309</v>
      </c>
      <c r="K99" s="839">
        <v>4280</v>
      </c>
    </row>
    <row r="100" spans="1:11" x14ac:dyDescent="0.15">
      <c r="A100" s="839">
        <v>99</v>
      </c>
      <c r="B100" s="840">
        <v>24559080</v>
      </c>
      <c r="C100" s="839">
        <f>COUNTIF(Sheet1!G108:G454,A100)</f>
        <v>2</v>
      </c>
      <c r="D100" s="842">
        <f t="shared" si="10"/>
        <v>0.12093745727472933</v>
      </c>
      <c r="F100" s="841">
        <f t="shared" si="7"/>
        <v>1485056.3441033298</v>
      </c>
      <c r="G100" s="839">
        <v>0</v>
      </c>
      <c r="H100" s="839">
        <f t="shared" si="8"/>
        <v>1485056</v>
      </c>
      <c r="I100" s="841">
        <f t="shared" si="9"/>
        <v>2160</v>
      </c>
      <c r="J100" s="841">
        <v>2970112.6882066596</v>
      </c>
      <c r="K100" s="839">
        <v>4320</v>
      </c>
    </row>
    <row r="101" spans="1:11" x14ac:dyDescent="0.15">
      <c r="A101" s="839">
        <v>100</v>
      </c>
      <c r="B101" s="840">
        <v>24927960</v>
      </c>
      <c r="C101" s="839">
        <f>COUNTIF(Sheet1!G108:G455,A101)</f>
        <v>2</v>
      </c>
      <c r="D101" s="842">
        <f t="shared" si="10"/>
        <v>0.12094852527041933</v>
      </c>
      <c r="F101" s="841">
        <f t="shared" si="7"/>
        <v>1507500.0000000012</v>
      </c>
      <c r="G101" s="839">
        <v>0</v>
      </c>
      <c r="H101" s="839">
        <f t="shared" si="8"/>
        <v>1507500</v>
      </c>
      <c r="I101" s="841">
        <f t="shared" si="9"/>
        <v>2180</v>
      </c>
      <c r="J101" s="841">
        <v>3015000.0000000023</v>
      </c>
      <c r="K101" s="839">
        <v>4360</v>
      </c>
    </row>
    <row r="102" spans="1:11" x14ac:dyDescent="0.15">
      <c r="A102" s="839">
        <v>101</v>
      </c>
      <c r="B102" s="840">
        <v>25298810</v>
      </c>
      <c r="C102" s="839">
        <f>COUNTIF(Sheet1!G109:G456,A102)</f>
        <v>2</v>
      </c>
      <c r="D102" s="842">
        <f t="shared" si="10"/>
        <v>0.12095874522159866</v>
      </c>
      <c r="F102" s="841">
        <f t="shared" si="7"/>
        <v>1530056.1565998162</v>
      </c>
      <c r="G102" s="839">
        <v>0</v>
      </c>
      <c r="H102" s="839">
        <f t="shared" si="8"/>
        <v>1530056</v>
      </c>
      <c r="I102" s="841">
        <f t="shared" si="9"/>
        <v>2200</v>
      </c>
      <c r="J102" s="841">
        <v>3060112.3131996323</v>
      </c>
      <c r="K102" s="839">
        <v>4400</v>
      </c>
    </row>
    <row r="103" spans="1:11" x14ac:dyDescent="0.15">
      <c r="A103" s="839">
        <v>102</v>
      </c>
      <c r="B103" s="840">
        <v>25671610</v>
      </c>
      <c r="C103" s="839">
        <f>COUNTIF(Sheet1!G110:G457,A103)</f>
        <v>2</v>
      </c>
      <c r="D103" s="842">
        <f t="shared" si="10"/>
        <v>0.1209682022724245</v>
      </c>
      <c r="F103" s="841">
        <f t="shared" si="7"/>
        <v>1552724.2555693977</v>
      </c>
      <c r="G103" s="839">
        <v>0</v>
      </c>
      <c r="H103" s="839">
        <f t="shared" si="8"/>
        <v>1552724</v>
      </c>
      <c r="I103" s="841">
        <f t="shared" si="9"/>
        <v>2220</v>
      </c>
      <c r="J103" s="841">
        <v>3105448.5111387954</v>
      </c>
      <c r="K103" s="839">
        <v>4440</v>
      </c>
    </row>
    <row r="104" spans="1:11" x14ac:dyDescent="0.15">
      <c r="A104" s="839">
        <v>103</v>
      </c>
      <c r="B104" s="840">
        <v>26046360</v>
      </c>
      <c r="C104" s="839">
        <f>COUNTIF(Sheet1!G111:G458,A104)</f>
        <v>2</v>
      </c>
      <c r="D104" s="842">
        <f t="shared" si="10"/>
        <v>0.12097688481666906</v>
      </c>
      <c r="F104" s="841">
        <f t="shared" si="7"/>
        <v>1575503.7468067482</v>
      </c>
      <c r="G104" s="839">
        <v>0</v>
      </c>
      <c r="H104" s="839">
        <f t="shared" si="8"/>
        <v>1575503</v>
      </c>
      <c r="I104" s="841">
        <f t="shared" si="9"/>
        <v>2240</v>
      </c>
      <c r="J104" s="841">
        <v>3151007.4936134964</v>
      </c>
      <c r="K104" s="839">
        <v>4480</v>
      </c>
    </row>
    <row r="105" spans="1:11" x14ac:dyDescent="0.15">
      <c r="A105" s="839">
        <v>104</v>
      </c>
      <c r="B105" s="840">
        <v>26423050</v>
      </c>
      <c r="C105" s="839">
        <f>COUNTIF(Sheet1!G113:G459,A105)</f>
        <v>2</v>
      </c>
      <c r="D105" s="842">
        <f t="shared" si="10"/>
        <v>0.12098482864324508</v>
      </c>
      <c r="F105" s="841">
        <f t="shared" si="7"/>
        <v>1598394.0882409485</v>
      </c>
      <c r="G105" s="839">
        <v>0</v>
      </c>
      <c r="H105" s="839">
        <f t="shared" si="8"/>
        <v>1598394</v>
      </c>
      <c r="I105" s="841">
        <f t="shared" si="9"/>
        <v>2260</v>
      </c>
      <c r="J105" s="841">
        <v>3196788.176481897</v>
      </c>
      <c r="K105" s="839">
        <v>4520</v>
      </c>
    </row>
    <row r="106" spans="1:11" x14ac:dyDescent="0.15">
      <c r="A106" s="839">
        <v>105</v>
      </c>
      <c r="B106" s="840">
        <v>26801680</v>
      </c>
      <c r="C106" s="839">
        <f>COUNTIF(Sheet1!G114:G460,A106)</f>
        <v>2</v>
      </c>
      <c r="D106" s="842">
        <f t="shared" si="10"/>
        <v>0.12099202330888488</v>
      </c>
      <c r="F106" s="841">
        <f t="shared" si="7"/>
        <v>1621394.7456386369</v>
      </c>
      <c r="G106" s="839">
        <v>0</v>
      </c>
      <c r="H106" s="839">
        <f t="shared" si="8"/>
        <v>1621394</v>
      </c>
      <c r="I106" s="841">
        <f t="shared" si="9"/>
        <v>2280</v>
      </c>
      <c r="J106" s="841">
        <v>3242789.4912772737</v>
      </c>
      <c r="K106" s="839">
        <v>4560</v>
      </c>
    </row>
    <row r="107" spans="1:11" x14ac:dyDescent="0.15">
      <c r="A107" s="839">
        <v>106</v>
      </c>
      <c r="B107" s="840">
        <v>27182240</v>
      </c>
      <c r="C107" s="839">
        <f>COUNTIF(Sheet1!G115:G461,A107)</f>
        <v>2</v>
      </c>
      <c r="D107" s="842">
        <f t="shared" si="10"/>
        <v>0.12099850434820175</v>
      </c>
      <c r="F107" s="841">
        <f t="shared" si="7"/>
        <v>1644505.1924169317</v>
      </c>
      <c r="G107" s="839">
        <v>0</v>
      </c>
      <c r="H107" s="839">
        <f t="shared" si="8"/>
        <v>1644505</v>
      </c>
      <c r="I107" s="841">
        <f t="shared" si="9"/>
        <v>2300</v>
      </c>
      <c r="J107" s="841">
        <v>3289010.3848338635</v>
      </c>
      <c r="K107" s="839">
        <v>4600</v>
      </c>
    </row>
    <row r="108" spans="1:11" x14ac:dyDescent="0.15">
      <c r="A108" s="839">
        <v>107</v>
      </c>
      <c r="B108" s="840">
        <v>27564730</v>
      </c>
      <c r="C108" s="839">
        <f>COUNTIF(Sheet1!G116:G462,A108)</f>
        <v>2</v>
      </c>
      <c r="D108" s="842">
        <f t="shared" si="10"/>
        <v>0.12100426229189029</v>
      </c>
      <c r="F108" s="841">
        <f t="shared" si="7"/>
        <v>1667724.9094625686</v>
      </c>
      <c r="G108" s="839">
        <v>0</v>
      </c>
      <c r="H108" s="839">
        <f t="shared" si="8"/>
        <v>1667724</v>
      </c>
      <c r="I108" s="841">
        <f t="shared" si="9"/>
        <v>2320</v>
      </c>
      <c r="J108" s="841">
        <v>3335449.8189251372</v>
      </c>
      <c r="K108" s="839">
        <v>4640</v>
      </c>
    </row>
    <row r="109" spans="1:11" x14ac:dyDescent="0.15">
      <c r="A109" s="839">
        <v>108</v>
      </c>
      <c r="B109" s="840">
        <v>27949130</v>
      </c>
      <c r="C109" s="839">
        <f>COUNTIF(Sheet1!G117:G463,A109)</f>
        <v>2</v>
      </c>
      <c r="D109" s="842">
        <f t="shared" si="10"/>
        <v>0.12100937560181298</v>
      </c>
      <c r="F109" s="841">
        <f t="shared" si="7"/>
        <v>1691053.3849569496</v>
      </c>
      <c r="G109" s="839">
        <v>0</v>
      </c>
      <c r="H109" s="839">
        <f t="shared" si="8"/>
        <v>1691053</v>
      </c>
      <c r="I109" s="841">
        <f t="shared" si="9"/>
        <v>2340</v>
      </c>
      <c r="J109" s="841">
        <v>3382106.7699138992</v>
      </c>
      <c r="K109" s="839">
        <v>4680</v>
      </c>
    </row>
    <row r="110" spans="1:11" x14ac:dyDescent="0.15">
      <c r="A110" s="839">
        <v>109</v>
      </c>
      <c r="B110" s="840">
        <v>28335440</v>
      </c>
      <c r="C110" s="839">
        <f>COUNTIF(Sheet1!G118:G464,A110)</f>
        <v>2</v>
      </c>
      <c r="D110" s="842">
        <f t="shared" si="10"/>
        <v>0.12101383385660322</v>
      </c>
      <c r="F110" s="841">
        <f t="shared" si="7"/>
        <v>1714490.1142068745</v>
      </c>
      <c r="G110" s="839">
        <v>0</v>
      </c>
      <c r="H110" s="839">
        <f t="shared" si="8"/>
        <v>1714490</v>
      </c>
      <c r="I110" s="841">
        <f t="shared" si="9"/>
        <v>2360</v>
      </c>
      <c r="J110" s="841">
        <v>3428980.228413749</v>
      </c>
      <c r="K110" s="839">
        <v>4720</v>
      </c>
    </row>
    <row r="111" spans="1:11" x14ac:dyDescent="0.15">
      <c r="A111" s="839">
        <v>110</v>
      </c>
      <c r="B111" s="840">
        <v>28723650</v>
      </c>
      <c r="C111" s="839">
        <f>COUNTIF(Sheet1!G119:G465,A111)</f>
        <v>2</v>
      </c>
      <c r="D111" s="842">
        <f t="shared" si="10"/>
        <v>0.12101767007192693</v>
      </c>
      <c r="F111" s="841">
        <f t="shared" si="7"/>
        <v>1738034.5994807519</v>
      </c>
      <c r="G111" s="839">
        <v>0</v>
      </c>
      <c r="H111" s="839">
        <f t="shared" si="8"/>
        <v>1738034</v>
      </c>
      <c r="I111" s="841">
        <f t="shared" si="9"/>
        <v>2380</v>
      </c>
      <c r="J111" s="841">
        <v>3476069.1989615038</v>
      </c>
      <c r="K111" s="839">
        <v>4760</v>
      </c>
    </row>
    <row r="112" spans="1:11" x14ac:dyDescent="0.15">
      <c r="A112" s="839">
        <v>111</v>
      </c>
      <c r="B112" s="840">
        <v>29113760</v>
      </c>
      <c r="C112" s="839">
        <f>COUNTIF(Sheet1!G120:G466,A112)</f>
        <v>2</v>
      </c>
      <c r="D112" s="842">
        <f t="shared" si="10"/>
        <v>0.12102087465514459</v>
      </c>
      <c r="F112" s="841">
        <f t="shared" si="7"/>
        <v>1761686.3498499813</v>
      </c>
      <c r="G112" s="839">
        <v>0</v>
      </c>
      <c r="H112" s="839">
        <f t="shared" si="8"/>
        <v>1761686</v>
      </c>
      <c r="I112" s="841">
        <f t="shared" si="9"/>
        <v>2400</v>
      </c>
      <c r="J112" s="841">
        <v>3523372.6996999625</v>
      </c>
      <c r="K112" s="839">
        <v>4800</v>
      </c>
    </row>
    <row r="113" spans="1:11" x14ac:dyDescent="0.15">
      <c r="A113" s="839">
        <v>112</v>
      </c>
      <c r="B113" s="840">
        <v>29505770</v>
      </c>
      <c r="C113" s="839">
        <f>COUNTIF(Sheet1!G121:G467,A113)</f>
        <v>2</v>
      </c>
      <c r="D113" s="842">
        <f t="shared" si="10"/>
        <v>0.12102343921445906</v>
      </c>
      <c r="F113" s="841">
        <f t="shared" si="7"/>
        <v>1785444.8810354047</v>
      </c>
      <c r="G113" s="839">
        <v>0</v>
      </c>
      <c r="H113" s="839">
        <f t="shared" si="8"/>
        <v>1785444</v>
      </c>
      <c r="I113" s="841">
        <f t="shared" si="9"/>
        <v>2420</v>
      </c>
      <c r="J113" s="841">
        <v>3570889.7620708095</v>
      </c>
      <c r="K113" s="839">
        <v>4840</v>
      </c>
    </row>
    <row r="114" spans="1:11" x14ac:dyDescent="0.15">
      <c r="A114" s="839">
        <v>113</v>
      </c>
      <c r="B114" s="840">
        <v>29899660</v>
      </c>
      <c r="C114" s="839">
        <f>COUNTIF(Sheet1!G122:G468,A114)</f>
        <v>2</v>
      </c>
      <c r="D114" s="842">
        <f t="shared" si="10"/>
        <v>0.12102543743029343</v>
      </c>
      <c r="F114" s="841">
        <f t="shared" si="7"/>
        <v>1809309.7152585236</v>
      </c>
      <c r="G114" s="839">
        <v>0</v>
      </c>
      <c r="H114" s="839">
        <f t="shared" si="8"/>
        <v>1809309</v>
      </c>
      <c r="I114" s="841">
        <f t="shared" si="9"/>
        <v>2440</v>
      </c>
      <c r="J114" s="841">
        <v>3618619.4305170472</v>
      </c>
      <c r="K114" s="839">
        <v>4880</v>
      </c>
    </row>
    <row r="115" spans="1:11" x14ac:dyDescent="0.15">
      <c r="A115" s="839">
        <v>114</v>
      </c>
      <c r="B115" s="840">
        <v>30295430</v>
      </c>
      <c r="C115" s="839">
        <f>COUNTIF(Sheet1!G123:G469,A115)</f>
        <v>2</v>
      </c>
      <c r="D115" s="842">
        <f t="shared" si="10"/>
        <v>0.12102685989915667</v>
      </c>
      <c r="F115" s="841">
        <f t="shared" si="7"/>
        <v>1833280.381097354</v>
      </c>
      <c r="G115" s="839">
        <v>0</v>
      </c>
      <c r="H115" s="839">
        <f t="shared" si="8"/>
        <v>1833280</v>
      </c>
      <c r="I115" s="841">
        <f t="shared" si="9"/>
        <v>2460</v>
      </c>
      <c r="J115" s="841">
        <v>3666560.762194708</v>
      </c>
      <c r="K115" s="839">
        <v>4920</v>
      </c>
    </row>
    <row r="116" spans="1:11" x14ac:dyDescent="0.15">
      <c r="A116" s="839">
        <v>115</v>
      </c>
      <c r="B116" s="840">
        <v>30693070</v>
      </c>
      <c r="C116" s="839">
        <f>COUNTIF(Sheet1!G124:G470,A116)</f>
        <v>2</v>
      </c>
      <c r="D116" s="842">
        <f t="shared" si="10"/>
        <v>0.12102773774970857</v>
      </c>
      <c r="F116" s="841">
        <f t="shared" si="7"/>
        <v>1857356.4133467239</v>
      </c>
      <c r="G116" s="839">
        <v>0</v>
      </c>
      <c r="H116" s="839">
        <f t="shared" si="8"/>
        <v>1857356</v>
      </c>
      <c r="I116" s="841">
        <f t="shared" si="9"/>
        <v>2480</v>
      </c>
      <c r="J116" s="841">
        <v>3714712.8266934478</v>
      </c>
      <c r="K116" s="839">
        <v>4960</v>
      </c>
    </row>
    <row r="117" spans="1:11" x14ac:dyDescent="0.15">
      <c r="A117" s="839">
        <v>116</v>
      </c>
      <c r="B117" s="840">
        <v>31092580</v>
      </c>
      <c r="C117" s="839">
        <f>COUNTIF(Sheet1!G125:G471,A117)</f>
        <v>2</v>
      </c>
      <c r="D117" s="842">
        <f t="shared" si="10"/>
        <v>0.12102806218607824</v>
      </c>
      <c r="F117" s="841">
        <f t="shared" si="7"/>
        <v>1881537.3528828062</v>
      </c>
      <c r="G117" s="839">
        <v>0</v>
      </c>
      <c r="H117" s="839">
        <f t="shared" si="8"/>
        <v>1881537</v>
      </c>
      <c r="I117" s="841">
        <f t="shared" si="9"/>
        <v>2500</v>
      </c>
      <c r="J117" s="841">
        <v>3763074.7057656124</v>
      </c>
      <c r="K117" s="839">
        <v>5000</v>
      </c>
    </row>
    <row r="118" spans="1:11" x14ac:dyDescent="0.15">
      <c r="A118" s="839">
        <v>117</v>
      </c>
      <c r="B118" s="840">
        <v>31493960</v>
      </c>
      <c r="C118" s="839">
        <f>COUNTIF(Sheet1!G126:G472,A118)</f>
        <v>2</v>
      </c>
      <c r="D118" s="842">
        <f t="shared" si="10"/>
        <v>0.12102782543267286</v>
      </c>
      <c r="F118" s="841">
        <f t="shared" si="7"/>
        <v>1905822.7465317908</v>
      </c>
      <c r="G118" s="839">
        <v>0</v>
      </c>
      <c r="H118" s="839">
        <f t="shared" si="8"/>
        <v>1905822</v>
      </c>
      <c r="I118" s="841">
        <f t="shared" si="9"/>
        <v>2520</v>
      </c>
      <c r="J118" s="841">
        <v>3811645.4930635816</v>
      </c>
      <c r="K118" s="839">
        <v>5040</v>
      </c>
    </row>
    <row r="119" spans="1:11" x14ac:dyDescent="0.15">
      <c r="A119" s="839">
        <v>118</v>
      </c>
      <c r="B119" s="840">
        <v>31897190</v>
      </c>
      <c r="C119" s="839">
        <f>COUNTIF(Sheet1!G127:G473,A119)</f>
        <v>2</v>
      </c>
      <c r="D119" s="842">
        <f t="shared" si="10"/>
        <v>0.12102709655254511</v>
      </c>
      <c r="F119" s="841">
        <f t="shared" si="7"/>
        <v>1930212.1469424381</v>
      </c>
      <c r="G119" s="839">
        <v>0</v>
      </c>
      <c r="H119" s="839">
        <f t="shared" si="8"/>
        <v>1930212</v>
      </c>
      <c r="I119" s="841">
        <f t="shared" si="9"/>
        <v>2540</v>
      </c>
      <c r="J119" s="841">
        <v>3860424.2938848762</v>
      </c>
      <c r="K119" s="839">
        <v>5080</v>
      </c>
    </row>
    <row r="120" spans="1:11" x14ac:dyDescent="0.15">
      <c r="A120" s="839">
        <v>119</v>
      </c>
      <c r="B120" s="840">
        <v>32302270</v>
      </c>
      <c r="C120" s="839">
        <f>COUNTIF(Sheet1!G128:G474,A120)</f>
        <v>2</v>
      </c>
      <c r="D120" s="842">
        <f t="shared" si="10"/>
        <v>0.1210258667556475</v>
      </c>
      <c r="F120" s="841">
        <f t="shared" si="7"/>
        <v>1954705.1124624747</v>
      </c>
      <c r="G120" s="839">
        <v>0</v>
      </c>
      <c r="H120" s="839">
        <f t="shared" si="8"/>
        <v>1954705</v>
      </c>
      <c r="I120" s="841">
        <f t="shared" si="9"/>
        <v>2560</v>
      </c>
      <c r="J120" s="841">
        <v>3909410.2249249495</v>
      </c>
      <c r="K120" s="839">
        <v>5120</v>
      </c>
    </row>
    <row r="121" spans="1:11" x14ac:dyDescent="0.15">
      <c r="A121" s="839">
        <v>120</v>
      </c>
      <c r="B121" s="840">
        <v>32709200</v>
      </c>
      <c r="C121" s="839">
        <f>COUNTIF(Sheet1!G129:G475,A121)</f>
        <v>2</v>
      </c>
      <c r="D121" s="842">
        <f t="shared" si="10"/>
        <v>0.12102412819748563</v>
      </c>
      <c r="F121" s="841">
        <f t="shared" si="7"/>
        <v>1979301.2070185984</v>
      </c>
      <c r="G121" s="839">
        <v>0</v>
      </c>
      <c r="H121" s="839">
        <f t="shared" si="8"/>
        <v>1979301</v>
      </c>
      <c r="I121" s="841">
        <f t="shared" si="9"/>
        <v>2580</v>
      </c>
      <c r="J121" s="841">
        <v>3958602.4140371969</v>
      </c>
      <c r="K121" s="839">
        <v>5160</v>
      </c>
    </row>
    <row r="122" spans="1:11" x14ac:dyDescent="0.15">
      <c r="A122" s="839">
        <v>121</v>
      </c>
      <c r="B122" s="840">
        <v>49676950</v>
      </c>
      <c r="C122" s="839">
        <f>COUNTIF(Sheet1!G130:G476,A122)</f>
        <v>0</v>
      </c>
      <c r="D122" s="842">
        <f t="shared" si="10"/>
        <v>8.0681281761460819E-2</v>
      </c>
      <c r="F122" s="841">
        <f t="shared" si="7"/>
        <v>4008000.0000000009</v>
      </c>
      <c r="G122" s="839">
        <v>0</v>
      </c>
      <c r="H122" s="839">
        <f t="shared" si="8"/>
        <v>4008000</v>
      </c>
      <c r="I122" s="841">
        <f t="shared" si="9"/>
        <v>5200</v>
      </c>
      <c r="J122" s="841">
        <v>4008000.0000000009</v>
      </c>
      <c r="K122" s="839">
        <v>5200</v>
      </c>
    </row>
    <row r="123" spans="1:11" x14ac:dyDescent="0.15">
      <c r="A123" s="839">
        <v>122</v>
      </c>
      <c r="B123" s="840">
        <v>50292850</v>
      </c>
      <c r="C123" s="839">
        <f>COUNTIF(Sheet1!G131:G477,A123)</f>
        <v>0</v>
      </c>
      <c r="D123" s="842">
        <f t="shared" si="10"/>
        <v>8.0679502797923297E-2</v>
      </c>
      <c r="F123" s="841">
        <f t="shared" si="7"/>
        <v>4057602.132290537</v>
      </c>
      <c r="G123" s="839">
        <v>0</v>
      </c>
      <c r="H123" s="839">
        <f t="shared" si="8"/>
        <v>4057602</v>
      </c>
      <c r="I123" s="841">
        <f t="shared" si="9"/>
        <v>5240</v>
      </c>
      <c r="J123" s="841">
        <v>4057602.132290537</v>
      </c>
      <c r="K123" s="839">
        <v>5240</v>
      </c>
    </row>
    <row r="124" spans="1:11" x14ac:dyDescent="0.15">
      <c r="A124" s="839">
        <v>123</v>
      </c>
      <c r="B124" s="840">
        <v>50911500</v>
      </c>
      <c r="C124" s="839">
        <f>COUNTIF(Sheet1!G132:G478,A124)</f>
        <v>0</v>
      </c>
      <c r="D124" s="842">
        <f t="shared" si="10"/>
        <v>8.0677410228829918E-2</v>
      </c>
      <c r="F124" s="841">
        <f t="shared" si="7"/>
        <v>4107407.9708650741</v>
      </c>
      <c r="G124" s="839">
        <v>0</v>
      </c>
      <c r="H124" s="839">
        <f t="shared" si="8"/>
        <v>4107407</v>
      </c>
      <c r="I124" s="841">
        <f t="shared" si="9"/>
        <v>5280</v>
      </c>
      <c r="J124" s="841">
        <v>4107407.9708650741</v>
      </c>
      <c r="K124" s="839">
        <v>5280</v>
      </c>
    </row>
    <row r="125" spans="1:11" x14ac:dyDescent="0.15">
      <c r="A125" s="839">
        <v>124</v>
      </c>
      <c r="B125" s="840">
        <v>51532890</v>
      </c>
      <c r="C125" s="839">
        <f>COUNTIF(Sheet1!G134:G479,A125)</f>
        <v>0</v>
      </c>
      <c r="D125" s="842">
        <f t="shared" si="10"/>
        <v>8.0675015236784497E-2</v>
      </c>
      <c r="F125" s="841">
        <f t="shared" si="7"/>
        <v>4157416.6859455393</v>
      </c>
      <c r="G125" s="839">
        <v>0</v>
      </c>
      <c r="H125" s="839">
        <f t="shared" si="8"/>
        <v>4157416</v>
      </c>
      <c r="I125" s="841">
        <f t="shared" si="9"/>
        <v>5320</v>
      </c>
      <c r="J125" s="841">
        <v>4157416.6859455393</v>
      </c>
      <c r="K125" s="839">
        <v>5320</v>
      </c>
    </row>
    <row r="126" spans="1:11" x14ac:dyDescent="0.15">
      <c r="A126" s="839">
        <v>125</v>
      </c>
      <c r="B126" s="840">
        <v>52157000</v>
      </c>
      <c r="C126" s="839">
        <f>COUNTIF(Sheet1!G135:G480,A126)</f>
        <v>0</v>
      </c>
      <c r="D126" s="842">
        <f t="shared" si="10"/>
        <v>8.0672344226318735E-2</v>
      </c>
      <c r="F126" s="841">
        <f t="shared" si="7"/>
        <v>4207627.4578121062</v>
      </c>
      <c r="G126" s="839">
        <v>0</v>
      </c>
      <c r="H126" s="839">
        <f t="shared" si="8"/>
        <v>4207627</v>
      </c>
      <c r="I126" s="841">
        <f t="shared" si="9"/>
        <v>5360</v>
      </c>
      <c r="J126" s="841">
        <v>4207627.4578121062</v>
      </c>
      <c r="K126" s="839">
        <v>5360</v>
      </c>
    </row>
    <row r="127" spans="1:11" x14ac:dyDescent="0.15">
      <c r="A127" s="839">
        <v>126</v>
      </c>
      <c r="B127" s="840">
        <v>52783830</v>
      </c>
      <c r="C127" s="839">
        <f>COUNTIF(Sheet1!G136:G481,A127)</f>
        <v>0</v>
      </c>
      <c r="D127" s="842">
        <f t="shared" si="10"/>
        <v>8.0669392058167283E-2</v>
      </c>
      <c r="F127" s="841">
        <f t="shared" si="7"/>
        <v>4258039.4766016519</v>
      </c>
      <c r="G127" s="839">
        <v>0</v>
      </c>
      <c r="H127" s="839">
        <f t="shared" si="8"/>
        <v>4258039</v>
      </c>
      <c r="I127" s="841">
        <f t="shared" si="9"/>
        <v>5400</v>
      </c>
      <c r="J127" s="841">
        <v>4258039.4766016519</v>
      </c>
      <c r="K127" s="839">
        <v>5400</v>
      </c>
    </row>
    <row r="128" spans="1:11" x14ac:dyDescent="0.15">
      <c r="A128" s="839">
        <v>127</v>
      </c>
      <c r="B128" s="840">
        <v>53413380</v>
      </c>
      <c r="C128" s="839">
        <f>COUNTIF(Sheet1!G137:G482,A128)</f>
        <v>0</v>
      </c>
      <c r="D128" s="842">
        <f t="shared" si="10"/>
        <v>8.066615410055962E-2</v>
      </c>
      <c r="F128" s="841">
        <f t="shared" si="7"/>
        <v>4308651.9421117492</v>
      </c>
      <c r="G128" s="839">
        <v>0</v>
      </c>
      <c r="H128" s="839">
        <f t="shared" si="8"/>
        <v>4308651</v>
      </c>
      <c r="I128" s="841">
        <f t="shared" si="9"/>
        <v>5440</v>
      </c>
      <c r="J128" s="841">
        <v>4308651.9421117492</v>
      </c>
      <c r="K128" s="839">
        <v>5440</v>
      </c>
    </row>
    <row r="129" spans="1:11" x14ac:dyDescent="0.15">
      <c r="A129" s="839">
        <v>128</v>
      </c>
      <c r="B129" s="840">
        <v>54045630</v>
      </c>
      <c r="C129" s="839">
        <f>COUNTIF(Sheet1!G138:G483,A129)</f>
        <v>0</v>
      </c>
      <c r="D129" s="842">
        <f t="shared" si="10"/>
        <v>8.0662656048419601E-2</v>
      </c>
      <c r="F129" s="841">
        <f t="shared" si="7"/>
        <v>4359464.0636101477</v>
      </c>
      <c r="G129" s="839">
        <v>0</v>
      </c>
      <c r="H129" s="839">
        <f t="shared" si="8"/>
        <v>4359464</v>
      </c>
      <c r="I129" s="841">
        <f t="shared" si="9"/>
        <v>5480</v>
      </c>
      <c r="J129" s="841">
        <v>4359464.0636101477</v>
      </c>
      <c r="K129" s="839">
        <v>5480</v>
      </c>
    </row>
    <row r="130" spans="1:11" x14ac:dyDescent="0.15">
      <c r="A130" s="839">
        <v>129</v>
      </c>
      <c r="B130" s="840">
        <v>54680580</v>
      </c>
      <c r="C130" s="839">
        <f>COUNTIF(Sheet1!G139:G484,A130)</f>
        <v>0</v>
      </c>
      <c r="D130" s="842">
        <f t="shared" si="10"/>
        <v>8.0658893150903091E-2</v>
      </c>
      <c r="F130" s="841">
        <f t="shared" si="7"/>
        <v>4410475.0596494088</v>
      </c>
      <c r="G130" s="839">
        <v>0</v>
      </c>
      <c r="H130" s="839">
        <f t="shared" si="8"/>
        <v>4410475</v>
      </c>
      <c r="I130" s="841">
        <f t="shared" si="9"/>
        <v>5520</v>
      </c>
      <c r="J130" s="841">
        <v>4410475.0596494088</v>
      </c>
      <c r="K130" s="839">
        <v>5520</v>
      </c>
    </row>
    <row r="131" spans="1:11" x14ac:dyDescent="0.15">
      <c r="A131" s="839">
        <v>130</v>
      </c>
      <c r="B131" s="840">
        <v>55318220</v>
      </c>
      <c r="C131" s="839">
        <f>COUNTIF(Sheet1!G141:G485,A131)</f>
        <v>0</v>
      </c>
      <c r="D131" s="842">
        <f t="shared" si="10"/>
        <v>8.0654875697132603E-2</v>
      </c>
      <c r="F131" s="841">
        <f t="shared" ref="F131:F151" si="11">IF((C131-G131)&gt;0,J131/(C131-G131),J131)</f>
        <v>4461684.1578866346</v>
      </c>
      <c r="G131" s="839">
        <v>0</v>
      </c>
      <c r="H131" s="839">
        <f t="shared" ref="H131:H151" si="12">FLOOR(F131,1)</f>
        <v>4461684</v>
      </c>
      <c r="I131" s="841">
        <f t="shared" ref="I131:I151" si="13">ROUND(IF((C131-G131)&gt;0,K131/(C131-G131),K131),0)</f>
        <v>5560</v>
      </c>
      <c r="J131" s="841">
        <v>4461684.1578866346</v>
      </c>
      <c r="K131" s="839">
        <v>5560</v>
      </c>
    </row>
    <row r="132" spans="1:11" x14ac:dyDescent="0.15">
      <c r="A132" s="839">
        <v>131</v>
      </c>
      <c r="B132" s="840">
        <v>55958540</v>
      </c>
      <c r="C132" s="839">
        <f>COUNTIF(Sheet1!G142:G486,A132)</f>
        <v>0</v>
      </c>
      <c r="D132" s="842">
        <f t="shared" si="10"/>
        <v>8.065061373845743E-2</v>
      </c>
      <c r="F132" s="841">
        <f t="shared" si="11"/>
        <v>4513090.5949080195</v>
      </c>
      <c r="G132" s="839">
        <v>0</v>
      </c>
      <c r="H132" s="839">
        <f t="shared" si="12"/>
        <v>4513090</v>
      </c>
      <c r="I132" s="841">
        <f t="shared" si="13"/>
        <v>5600</v>
      </c>
      <c r="J132" s="841">
        <v>4513090.5949080195</v>
      </c>
      <c r="K132" s="839">
        <v>5600</v>
      </c>
    </row>
    <row r="133" spans="1:11" x14ac:dyDescent="0.15">
      <c r="A133" s="839">
        <v>132</v>
      </c>
      <c r="B133" s="840">
        <v>56601550</v>
      </c>
      <c r="C133" s="839">
        <f>COUNTIF(Sheet1!G143:G487,A133)</f>
        <v>0</v>
      </c>
      <c r="D133" s="842">
        <f t="shared" si="10"/>
        <v>8.0646088597540466E-2</v>
      </c>
      <c r="F133" s="841">
        <f t="shared" si="11"/>
        <v>4564693.6160581168</v>
      </c>
      <c r="G133" s="839">
        <v>0</v>
      </c>
      <c r="H133" s="839">
        <f t="shared" si="12"/>
        <v>4564693</v>
      </c>
      <c r="I133" s="841">
        <f t="shared" si="13"/>
        <v>5640</v>
      </c>
      <c r="J133" s="841">
        <v>4564693.6160581168</v>
      </c>
      <c r="K133" s="839">
        <v>5640</v>
      </c>
    </row>
    <row r="134" spans="1:11" x14ac:dyDescent="0.15">
      <c r="A134" s="839">
        <v>133</v>
      </c>
      <c r="B134" s="840">
        <v>57247220</v>
      </c>
      <c r="C134" s="839">
        <f>COUNTIF(Sheet1!G144:G488,A134)</f>
        <v>0</v>
      </c>
      <c r="D134" s="842">
        <f t="shared" si="10"/>
        <v>8.0641339007791954E-2</v>
      </c>
      <c r="F134" s="841">
        <f t="shared" si="11"/>
        <v>4616492.4752736473</v>
      </c>
      <c r="G134" s="839">
        <v>0</v>
      </c>
      <c r="H134" s="839">
        <f t="shared" si="12"/>
        <v>4616492</v>
      </c>
      <c r="I134" s="841">
        <f t="shared" si="13"/>
        <v>5680</v>
      </c>
      <c r="J134" s="841">
        <v>4616492.4752736473</v>
      </c>
      <c r="K134" s="839">
        <v>5680</v>
      </c>
    </row>
    <row r="135" spans="1:11" x14ac:dyDescent="0.15">
      <c r="A135" s="839">
        <v>134</v>
      </c>
      <c r="B135" s="840">
        <v>57895550</v>
      </c>
      <c r="C135" s="839">
        <f>COUNTIF(Sheet1!G145:G489,A135)</f>
        <v>0</v>
      </c>
      <c r="D135" s="842">
        <f t="shared" si="10"/>
        <v>8.063636039249418E-2</v>
      </c>
      <c r="F135" s="841">
        <f t="shared" si="11"/>
        <v>4668486.434921666</v>
      </c>
      <c r="G135" s="839">
        <v>0</v>
      </c>
      <c r="H135" s="839">
        <f t="shared" si="12"/>
        <v>4668486</v>
      </c>
      <c r="I135" s="841">
        <f t="shared" si="13"/>
        <v>5720</v>
      </c>
      <c r="J135" s="841">
        <v>4668486.434921666</v>
      </c>
      <c r="K135" s="839">
        <v>5720</v>
      </c>
    </row>
    <row r="136" spans="1:11" x14ac:dyDescent="0.15">
      <c r="A136" s="839">
        <v>135</v>
      </c>
      <c r="B136" s="840">
        <v>58546530</v>
      </c>
      <c r="C136" s="839">
        <f>COUNTIF(Sheet1!G146:G490,A136)</f>
        <v>0</v>
      </c>
      <c r="D136" s="842">
        <f t="shared" si="10"/>
        <v>8.0631162353123481E-2</v>
      </c>
      <c r="F136" s="841">
        <f t="shared" si="11"/>
        <v>4720674.7656420143</v>
      </c>
      <c r="G136" s="839">
        <v>0</v>
      </c>
      <c r="H136" s="839">
        <f t="shared" si="12"/>
        <v>4720674</v>
      </c>
      <c r="I136" s="841">
        <f t="shared" si="13"/>
        <v>5760</v>
      </c>
      <c r="J136" s="841">
        <v>4720674.7656420143</v>
      </c>
      <c r="K136" s="839">
        <v>5760</v>
      </c>
    </row>
    <row r="137" spans="1:11" x14ac:dyDescent="0.15">
      <c r="A137" s="839">
        <v>136</v>
      </c>
      <c r="B137" s="840">
        <v>59200160</v>
      </c>
      <c r="C137" s="839">
        <f>COUNTIF(Sheet1!G147:G491,A137)</f>
        <v>0</v>
      </c>
      <c r="D137" s="842">
        <f t="shared" si="10"/>
        <v>8.0625740643163218E-2</v>
      </c>
      <c r="F137" s="841">
        <f t="shared" si="11"/>
        <v>4773056.7461937657</v>
      </c>
      <c r="G137" s="839">
        <v>0</v>
      </c>
      <c r="H137" s="839">
        <f t="shared" si="12"/>
        <v>4773056</v>
      </c>
      <c r="I137" s="841">
        <f t="shared" si="13"/>
        <v>5800</v>
      </c>
      <c r="J137" s="841">
        <v>4773056.7461937657</v>
      </c>
      <c r="K137" s="839">
        <v>5800</v>
      </c>
    </row>
    <row r="138" spans="1:11" x14ac:dyDescent="0.15">
      <c r="A138" s="839">
        <v>137</v>
      </c>
      <c r="B138" s="840">
        <v>59856440</v>
      </c>
      <c r="C138" s="839">
        <f>COUNTIF(Sheet1!G148:G492,A138)</f>
        <v>0</v>
      </c>
      <c r="D138" s="842">
        <f t="shared" si="10"/>
        <v>8.0620091393770993E-2</v>
      </c>
      <c r="F138" s="841">
        <f t="shared" si="11"/>
        <v>4825631.6633057697</v>
      </c>
      <c r="G138" s="839">
        <v>0</v>
      </c>
      <c r="H138" s="839">
        <f t="shared" si="12"/>
        <v>4825631</v>
      </c>
      <c r="I138" s="841">
        <f t="shared" si="13"/>
        <v>5840</v>
      </c>
      <c r="J138" s="841">
        <v>4825631.6633057697</v>
      </c>
      <c r="K138" s="839">
        <v>5840</v>
      </c>
    </row>
    <row r="139" spans="1:11" x14ac:dyDescent="0.15">
      <c r="A139" s="839">
        <v>138</v>
      </c>
      <c r="B139" s="840">
        <v>60515340</v>
      </c>
      <c r="C139" s="839">
        <f>COUNTIF(Sheet1!G149:G493,A139)</f>
        <v>0</v>
      </c>
      <c r="D139" s="842">
        <f t="shared" si="10"/>
        <v>8.0614251056523631E-2</v>
      </c>
      <c r="F139" s="841">
        <f t="shared" si="11"/>
        <v>4878398.8115308871</v>
      </c>
      <c r="G139" s="839">
        <v>0</v>
      </c>
      <c r="H139" s="839">
        <f t="shared" si="12"/>
        <v>4878398</v>
      </c>
      <c r="I139" s="841">
        <f t="shared" si="13"/>
        <v>5880</v>
      </c>
      <c r="J139" s="841">
        <v>4878398.8115308871</v>
      </c>
      <c r="K139" s="839">
        <v>5880</v>
      </c>
    </row>
    <row r="140" spans="1:11" x14ac:dyDescent="0.15">
      <c r="A140" s="839">
        <v>139</v>
      </c>
      <c r="B140" s="840">
        <v>61176880</v>
      </c>
      <c r="C140" s="839">
        <f>COUNTIF(Sheet1!G150:G494,A140)</f>
        <v>0</v>
      </c>
      <c r="D140" s="842">
        <f t="shared" si="10"/>
        <v>8.0608188797859803E-2</v>
      </c>
      <c r="F140" s="841">
        <f t="shared" si="11"/>
        <v>4931357.4931040136</v>
      </c>
      <c r="G140" s="839">
        <v>0</v>
      </c>
      <c r="H140" s="839">
        <f t="shared" si="12"/>
        <v>4931357</v>
      </c>
      <c r="I140" s="841">
        <f t="shared" si="13"/>
        <v>5920</v>
      </c>
      <c r="J140" s="841">
        <v>4931357.4931040136</v>
      </c>
      <c r="K140" s="839">
        <v>5920</v>
      </c>
    </row>
    <row r="141" spans="1:11" x14ac:dyDescent="0.15">
      <c r="A141" s="839">
        <v>140</v>
      </c>
      <c r="B141" s="840">
        <v>61841040</v>
      </c>
      <c r="C141" s="839">
        <f>COUNTIF(Sheet1!G151:G495,A141)</f>
        <v>0</v>
      </c>
      <c r="D141" s="842">
        <f t="shared" si="10"/>
        <v>8.0601927422366673E-2</v>
      </c>
      <c r="F141" s="841">
        <f t="shared" si="11"/>
        <v>4984507.0178036746</v>
      </c>
      <c r="G141" s="839">
        <v>0</v>
      </c>
      <c r="H141" s="839">
        <f t="shared" si="12"/>
        <v>4984507</v>
      </c>
      <c r="I141" s="841">
        <f t="shared" si="13"/>
        <v>5960</v>
      </c>
      <c r="J141" s="841">
        <v>4984507.0178036746</v>
      </c>
      <c r="K141" s="839">
        <v>5960</v>
      </c>
    </row>
    <row r="142" spans="1:11" x14ac:dyDescent="0.15">
      <c r="A142" s="839">
        <v>141</v>
      </c>
      <c r="B142" s="840">
        <v>62507810</v>
      </c>
      <c r="C142" s="839">
        <f>COUNTIF(Sheet1!G152:G496,A142)</f>
        <v>0</v>
      </c>
      <c r="D142" s="842">
        <f t="shared" si="10"/>
        <v>8.0595476034387381E-2</v>
      </c>
      <c r="F142" s="841">
        <f t="shared" si="11"/>
        <v>5037846.7028170396</v>
      </c>
      <c r="G142" s="839">
        <v>0</v>
      </c>
      <c r="H142" s="839">
        <f t="shared" si="12"/>
        <v>5037846</v>
      </c>
      <c r="I142" s="841">
        <f t="shared" si="13"/>
        <v>6000</v>
      </c>
      <c r="J142" s="841">
        <v>5037846.7028170396</v>
      </c>
      <c r="K142" s="839">
        <v>6000</v>
      </c>
    </row>
    <row r="143" spans="1:11" x14ac:dyDescent="0.15">
      <c r="A143" s="839">
        <v>142</v>
      </c>
      <c r="B143" s="840">
        <v>63177180</v>
      </c>
      <c r="C143" s="839">
        <f>COUNTIF(Sheet1!G153:G497,A143)</f>
        <v>0</v>
      </c>
      <c r="D143" s="842">
        <f t="shared" si="10"/>
        <v>8.0588843512931885E-2</v>
      </c>
      <c r="F143" s="841">
        <f t="shared" si="11"/>
        <v>5091375.8726083301</v>
      </c>
      <c r="G143" s="839">
        <v>0</v>
      </c>
      <c r="H143" s="839">
        <f t="shared" si="12"/>
        <v>5091375</v>
      </c>
      <c r="I143" s="841">
        <f t="shared" si="13"/>
        <v>6040</v>
      </c>
      <c r="J143" s="841">
        <v>5091375.8726083301</v>
      </c>
      <c r="K143" s="839">
        <v>6040</v>
      </c>
    </row>
    <row r="144" spans="1:11" x14ac:dyDescent="0.15">
      <c r="A144" s="839">
        <v>143</v>
      </c>
      <c r="B144" s="840">
        <v>63849160</v>
      </c>
      <c r="C144" s="839">
        <f>COUNTIF(Sheet1!G154:G498,A144)</f>
        <v>0</v>
      </c>
      <c r="D144" s="842">
        <f t="shared" si="10"/>
        <v>8.0582013276141742E-2</v>
      </c>
      <c r="F144" s="841">
        <f t="shared" si="11"/>
        <v>5145093.8587904982</v>
      </c>
      <c r="G144" s="839">
        <v>0</v>
      </c>
      <c r="H144" s="839">
        <f t="shared" si="12"/>
        <v>5145093</v>
      </c>
      <c r="I144" s="841">
        <f t="shared" si="13"/>
        <v>6080</v>
      </c>
      <c r="J144" s="841">
        <v>5145093.8587904982</v>
      </c>
      <c r="K144" s="839">
        <v>6080</v>
      </c>
    </row>
    <row r="145" spans="1:11" x14ac:dyDescent="0.15">
      <c r="A145" s="839">
        <v>144</v>
      </c>
      <c r="B145" s="840">
        <v>64523740</v>
      </c>
      <c r="C145" s="839">
        <f>COUNTIF(Sheet1!G155:G499,A145)</f>
        <v>0</v>
      </c>
      <c r="D145" s="842">
        <f t="shared" si="10"/>
        <v>8.0574994567890856E-2</v>
      </c>
      <c r="F145" s="841">
        <f t="shared" si="11"/>
        <v>5199000.0000000019</v>
      </c>
      <c r="G145" s="839">
        <v>0</v>
      </c>
      <c r="H145" s="839">
        <f t="shared" si="12"/>
        <v>5199000</v>
      </c>
      <c r="I145" s="841">
        <f t="shared" si="13"/>
        <v>6120</v>
      </c>
      <c r="J145" s="841">
        <v>5199000.0000000019</v>
      </c>
      <c r="K145" s="839">
        <v>6120</v>
      </c>
    </row>
    <row r="146" spans="1:11" x14ac:dyDescent="0.15">
      <c r="A146" s="839">
        <v>145</v>
      </c>
      <c r="B146" s="840">
        <v>65200900</v>
      </c>
      <c r="C146" s="839">
        <f>COUNTIF(Sheet1!G156:G500,A146)</f>
        <v>0</v>
      </c>
      <c r="D146" s="842">
        <f t="shared" si="10"/>
        <v>8.0567808753784789E-2</v>
      </c>
      <c r="F146" s="841">
        <f t="shared" si="11"/>
        <v>5253093.6417746469</v>
      </c>
      <c r="G146" s="839">
        <v>0</v>
      </c>
      <c r="H146" s="839">
        <f t="shared" si="12"/>
        <v>5253093</v>
      </c>
      <c r="I146" s="841">
        <f t="shared" si="13"/>
        <v>6160</v>
      </c>
      <c r="J146" s="841">
        <v>5253093.6417746469</v>
      </c>
      <c r="K146" s="839">
        <v>6160</v>
      </c>
    </row>
    <row r="147" spans="1:11" x14ac:dyDescent="0.15">
      <c r="A147" s="839">
        <v>146</v>
      </c>
      <c r="B147" s="840">
        <v>65880640</v>
      </c>
      <c r="C147" s="839">
        <f>COUNTIF(Sheet1!G157:G501,A147)</f>
        <v>0</v>
      </c>
      <c r="D147" s="842">
        <f t="shared" si="10"/>
        <v>8.0560451999774463E-2</v>
      </c>
      <c r="F147" s="841">
        <f t="shared" si="11"/>
        <v>5307374.1364344219</v>
      </c>
      <c r="G147" s="839">
        <v>0</v>
      </c>
      <c r="H147" s="839">
        <f t="shared" si="12"/>
        <v>5307374</v>
      </c>
      <c r="I147" s="841">
        <f t="shared" si="13"/>
        <v>6200</v>
      </c>
      <c r="J147" s="841">
        <v>5307374.1364344219</v>
      </c>
      <c r="K147" s="839">
        <v>6200</v>
      </c>
    </row>
    <row r="148" spans="1:11" x14ac:dyDescent="0.15">
      <c r="A148" s="839">
        <v>147</v>
      </c>
      <c r="B148" s="840">
        <v>66562970</v>
      </c>
      <c r="C148" s="839">
        <f>COUNTIF(Sheet1!G158:G502,A148)</f>
        <v>0</v>
      </c>
      <c r="D148" s="842">
        <f t="shared" si="10"/>
        <v>8.055290866626176E-2</v>
      </c>
      <c r="F148" s="841">
        <f t="shared" si="11"/>
        <v>5361840.8429651214</v>
      </c>
      <c r="G148" s="839">
        <v>0</v>
      </c>
      <c r="H148" s="839">
        <f t="shared" si="12"/>
        <v>5361840</v>
      </c>
      <c r="I148" s="841">
        <f t="shared" si="13"/>
        <v>6240</v>
      </c>
      <c r="J148" s="841">
        <v>5361840.8429651214</v>
      </c>
      <c r="K148" s="839">
        <v>6240</v>
      </c>
    </row>
    <row r="149" spans="1:11" x14ac:dyDescent="0.15">
      <c r="A149" s="839">
        <v>148</v>
      </c>
      <c r="B149" s="840">
        <v>67247860</v>
      </c>
      <c r="C149" s="839">
        <f>COUNTIF(Sheet1!G159:G503,A149)</f>
        <v>0</v>
      </c>
      <c r="D149" s="842">
        <f t="shared" si="10"/>
        <v>8.0545211801607022E-2</v>
      </c>
      <c r="F149" s="841">
        <f t="shared" si="11"/>
        <v>5416493.1269048164</v>
      </c>
      <c r="G149" s="839">
        <v>0</v>
      </c>
      <c r="H149" s="839">
        <f t="shared" si="12"/>
        <v>5416493</v>
      </c>
      <c r="I149" s="841">
        <f t="shared" si="13"/>
        <v>6280</v>
      </c>
      <c r="J149" s="841">
        <v>5416493.1269048164</v>
      </c>
      <c r="K149" s="839">
        <v>6280</v>
      </c>
    </row>
    <row r="150" spans="1:11" x14ac:dyDescent="0.15">
      <c r="A150" s="839">
        <v>149</v>
      </c>
      <c r="B150" s="840">
        <v>67935310</v>
      </c>
      <c r="C150" s="839">
        <f>COUNTIF(Sheet1!G160:G504,A150)</f>
        <v>0</v>
      </c>
      <c r="D150" s="842">
        <f t="shared" si="10"/>
        <v>8.0537357675014173E-2</v>
      </c>
      <c r="F150" s="841">
        <f t="shared" si="11"/>
        <v>5471330.360232967</v>
      </c>
      <c r="G150" s="839">
        <v>0</v>
      </c>
      <c r="H150" s="839">
        <f t="shared" si="12"/>
        <v>5471330</v>
      </c>
      <c r="I150" s="841">
        <f t="shared" si="13"/>
        <v>6320</v>
      </c>
      <c r="J150" s="841">
        <v>5471330.360232967</v>
      </c>
      <c r="K150" s="839">
        <v>6320</v>
      </c>
    </row>
    <row r="151" spans="1:11" x14ac:dyDescent="0.15">
      <c r="A151" s="839">
        <v>150</v>
      </c>
      <c r="B151" s="840">
        <v>68625320</v>
      </c>
      <c r="C151" s="839">
        <f>COUNTIF(Sheet1!G161:G505,A151)</f>
        <v>0</v>
      </c>
      <c r="D151" s="842">
        <f t="shared" si="10"/>
        <v>8.0529342832385317E-2</v>
      </c>
      <c r="F151" s="841">
        <f t="shared" si="11"/>
        <v>5526351.9212621488</v>
      </c>
      <c r="G151" s="839">
        <v>0</v>
      </c>
      <c r="H151" s="839">
        <f t="shared" si="12"/>
        <v>5526351</v>
      </c>
      <c r="I151" s="841">
        <f t="shared" si="13"/>
        <v>6360</v>
      </c>
      <c r="J151" s="841">
        <v>5526351.9212621488</v>
      </c>
      <c r="K151" s="839">
        <v>6360</v>
      </c>
    </row>
    <row r="152" spans="1:11" x14ac:dyDescent="0.15">
      <c r="A152" s="839">
        <v>151</v>
      </c>
      <c r="B152" s="840">
        <v>3370000000</v>
      </c>
      <c r="C152" s="839">
        <f>COUNTIF(Sheet1!G162:G506,A152)</f>
        <v>0</v>
      </c>
      <c r="D152" s="842"/>
      <c r="G152" s="841"/>
      <c r="H152" s="841"/>
      <c r="I152" s="841"/>
      <c r="J152" s="841"/>
    </row>
  </sheetData>
  <phoneticPr fontId="14" type="noConversion"/>
  <pageMargins left="0.7" right="0.7" top="0.75" bottom="0.75" header="0.3" footer="0.3"/>
  <pageSetup paperSize="9" orientation="portrait" r:id="rId1"/>
  <ignoredErrors>
    <ignoredError sqref="C2:C152" formulaRange="1"/>
  </ignoredErrors>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vt:i4>
      </vt:variant>
    </vt:vector>
  </HeadingPairs>
  <TitlesOfParts>
    <vt:vector size="5" baseType="lpstr">
      <vt:lpstr>Sheet1</vt:lpstr>
      <vt:lpstr>字段说明</vt:lpstr>
      <vt:lpstr>文本格式说明</vt:lpstr>
      <vt:lpstr>Sheet2</vt:lpstr>
      <vt:lpstr>MmExcelLinker_FA1F8535_D8F5_4B54_A31A_A496410B3102</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2006-09-13T11:21:51Z</dcterms:created>
  <dcterms:modified xsi:type="dcterms:W3CDTF">2014-01-26T03:36:03Z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mExcelLinker_FA1F8535_D8F5_4B54_A31A_A496410B3102">
    <vt:lpwstr>473</vt:lpwstr>
  </property>
</Properties>
</file>